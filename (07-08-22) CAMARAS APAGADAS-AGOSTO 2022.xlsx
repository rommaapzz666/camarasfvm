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AGOSTO\"/>
    </mc:Choice>
  </mc:AlternateContent>
  <xr:revisionPtr revIDLastSave="0" documentId="13_ncr:1_{8644A4B3-B0E3-49DE-B965-7B483D1371DB}" xr6:coauthVersionLast="47" xr6:coauthVersionMax="47" xr10:uidLastSave="{00000000-0000-0000-0000-000000000000}"/>
  <bookViews>
    <workbookView xWindow="-120" yWindow="-120" windowWidth="20730" windowHeight="11040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GRAFICO2" sheetId="16" r:id="rId8"/>
    <sheet name="PORCENTAJE" sheetId="15" r:id="rId9"/>
    <sheet name="AUXILIAR" sheetId="14" r:id="rId10"/>
    <sheet name="informe" sheetId="24" r:id="rId11"/>
  </sheets>
  <definedNames>
    <definedName name="_25_de_agosto" localSheetId="0">'RESUMEN TOTAL'!$A$4:$D$349</definedName>
    <definedName name="_xlnm._FilterDatabase" localSheetId="2" hidden="1">APAGADOS!$A$2:$AG$379</definedName>
    <definedName name="_xlnm._FilterDatabase" localSheetId="4" hidden="1">'APAGADOS ANTENA'!$A$3:$AI$454</definedName>
    <definedName name="_xlnm._FilterDatabase" localSheetId="3" hidden="1">'APAGADOS FIBRA'!$A$3:$AI$400</definedName>
    <definedName name="_xlnm._FilterDatabase" localSheetId="5" hidden="1">'APAGADOS RADIO'!$A$3:$AI$400</definedName>
    <definedName name="_xlnm._FilterDatabase" localSheetId="1" hidden="1">ESTADISTICA!$A$1:$AG$365</definedName>
    <definedName name="_xlnm._FilterDatabase" localSheetId="0" hidden="1">'RESUMEN TOTAL'!$A$4:$AS$396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3" i="24" l="1"/>
  <c r="C44" i="24"/>
  <c r="D44" i="24" s="1"/>
  <c r="AH395" i="9"/>
  <c r="AI395" i="9"/>
  <c r="AH396" i="9"/>
  <c r="AI396" i="9"/>
  <c r="AH397" i="9"/>
  <c r="AI397" i="9"/>
  <c r="AH398" i="9"/>
  <c r="AI398" i="9"/>
  <c r="AH399" i="9"/>
  <c r="AI399" i="9"/>
  <c r="AH400" i="9"/>
  <c r="AI400" i="9"/>
  <c r="AH401" i="9"/>
  <c r="AI401" i="9"/>
  <c r="D38" i="24"/>
  <c r="C39" i="24"/>
  <c r="D39" i="24" s="1"/>
  <c r="D33" i="24"/>
  <c r="C34" i="24"/>
  <c r="D34" i="24" s="1"/>
  <c r="D28" i="24"/>
  <c r="C29" i="24"/>
  <c r="D29" i="24" s="1"/>
  <c r="D23" i="24"/>
  <c r="C24" i="24"/>
  <c r="C25" i="24" s="1"/>
  <c r="A375" i="8"/>
  <c r="A377" i="21" s="1"/>
  <c r="B375" i="8"/>
  <c r="C375" i="8"/>
  <c r="C377" i="10" s="1"/>
  <c r="D375" i="8"/>
  <c r="D377" i="21" s="1"/>
  <c r="E375" i="8"/>
  <c r="E377" i="11" s="1"/>
  <c r="F375" i="8"/>
  <c r="F377" i="21" s="1"/>
  <c r="G375" i="8"/>
  <c r="G377" i="10" s="1"/>
  <c r="H375" i="8"/>
  <c r="I375" i="8"/>
  <c r="I377" i="10" s="1"/>
  <c r="J375" i="8"/>
  <c r="K375" i="8"/>
  <c r="K377" i="11" s="1"/>
  <c r="L375" i="8"/>
  <c r="L377" i="11" s="1"/>
  <c r="M375" i="8"/>
  <c r="M377" i="11" s="1"/>
  <c r="N375" i="8"/>
  <c r="N377" i="21" s="1"/>
  <c r="O375" i="8"/>
  <c r="O377" i="10" s="1"/>
  <c r="P375" i="8"/>
  <c r="Q375" i="8"/>
  <c r="Q377" i="11" s="1"/>
  <c r="R375" i="8"/>
  <c r="S375" i="8"/>
  <c r="A376" i="8"/>
  <c r="A378" i="21" s="1"/>
  <c r="B376" i="8"/>
  <c r="B378" i="10" s="1"/>
  <c r="C376" i="8"/>
  <c r="C378" i="10" s="1"/>
  <c r="D376" i="8"/>
  <c r="D378" i="21" s="1"/>
  <c r="E376" i="8"/>
  <c r="E378" i="21" s="1"/>
  <c r="F376" i="8"/>
  <c r="F378" i="11" s="1"/>
  <c r="G376" i="8"/>
  <c r="H376" i="8"/>
  <c r="H378" i="10" s="1"/>
  <c r="I376" i="8"/>
  <c r="I378" i="11" s="1"/>
  <c r="J376" i="8"/>
  <c r="J378" i="21" s="1"/>
  <c r="K376" i="8"/>
  <c r="K378" i="21" s="1"/>
  <c r="L376" i="8"/>
  <c r="L378" i="21" s="1"/>
  <c r="M376" i="8"/>
  <c r="M378" i="21" s="1"/>
  <c r="N376" i="8"/>
  <c r="N378" i="10" s="1"/>
  <c r="O376" i="8"/>
  <c r="P376" i="8"/>
  <c r="P378" i="10" s="1"/>
  <c r="Q376" i="8"/>
  <c r="Q378" i="21" s="1"/>
  <c r="R376" i="8"/>
  <c r="R378" i="21" s="1"/>
  <c r="S376" i="8"/>
  <c r="A377" i="8"/>
  <c r="A379" i="11" s="1"/>
  <c r="B377" i="8"/>
  <c r="C377" i="8"/>
  <c r="C379" i="21" s="1"/>
  <c r="D377" i="8"/>
  <c r="E377" i="8"/>
  <c r="E379" i="21" s="1"/>
  <c r="F377" i="8"/>
  <c r="F379" i="11" s="1"/>
  <c r="G377" i="8"/>
  <c r="G379" i="10" s="1"/>
  <c r="H377" i="8"/>
  <c r="H379" i="21" s="1"/>
  <c r="I377" i="8"/>
  <c r="I379" i="11" s="1"/>
  <c r="J377" i="8"/>
  <c r="K377" i="8"/>
  <c r="K379" i="11" s="1"/>
  <c r="L377" i="8"/>
  <c r="M377" i="8"/>
  <c r="M379" i="10" s="1"/>
  <c r="N377" i="8"/>
  <c r="N379" i="21" s="1"/>
  <c r="O377" i="8"/>
  <c r="O379" i="10" s="1"/>
  <c r="P377" i="8"/>
  <c r="P379" i="10" s="1"/>
  <c r="Q377" i="8"/>
  <c r="Q379" i="11" s="1"/>
  <c r="R377" i="8"/>
  <c r="S377" i="8"/>
  <c r="A378" i="8"/>
  <c r="A380" i="21" s="1"/>
  <c r="B378" i="8"/>
  <c r="B380" i="10" s="1"/>
  <c r="C378" i="8"/>
  <c r="C380" i="11" s="1"/>
  <c r="D378" i="8"/>
  <c r="D380" i="10" s="1"/>
  <c r="E378" i="8"/>
  <c r="E380" i="10" s="1"/>
  <c r="F378" i="8"/>
  <c r="F380" i="11" s="1"/>
  <c r="G378" i="8"/>
  <c r="H378" i="8"/>
  <c r="H380" i="11" s="1"/>
  <c r="I378" i="8"/>
  <c r="I380" i="21" s="1"/>
  <c r="J378" i="8"/>
  <c r="J380" i="21" s="1"/>
  <c r="K378" i="8"/>
  <c r="K380" i="21" s="1"/>
  <c r="L378" i="8"/>
  <c r="L380" i="10" s="1"/>
  <c r="M378" i="8"/>
  <c r="M380" i="10" s="1"/>
  <c r="N378" i="8"/>
  <c r="N380" i="11" s="1"/>
  <c r="O378" i="8"/>
  <c r="P378" i="8"/>
  <c r="P380" i="21" s="1"/>
  <c r="Q378" i="8"/>
  <c r="Q380" i="21" s="1"/>
  <c r="R378" i="8"/>
  <c r="R380" i="10" s="1"/>
  <c r="S378" i="8"/>
  <c r="A379" i="8"/>
  <c r="A381" i="21" s="1"/>
  <c r="B379" i="8"/>
  <c r="B381" i="11" s="1"/>
  <c r="C379" i="8"/>
  <c r="D379" i="8"/>
  <c r="D381" i="11" s="1"/>
  <c r="E379" i="8"/>
  <c r="E380" i="9" s="1"/>
  <c r="F379" i="8"/>
  <c r="F381" i="11" s="1"/>
  <c r="G379" i="8"/>
  <c r="G381" i="10" s="1"/>
  <c r="H379" i="8"/>
  <c r="H381" i="21" s="1"/>
  <c r="I379" i="8"/>
  <c r="I381" i="11" s="1"/>
  <c r="J379" i="8"/>
  <c r="J380" i="9" s="1"/>
  <c r="K379" i="8"/>
  <c r="L379" i="8"/>
  <c r="L381" i="11" s="1"/>
  <c r="M379" i="8"/>
  <c r="M381" i="11" s="1"/>
  <c r="N379" i="8"/>
  <c r="N381" i="11" s="1"/>
  <c r="O379" i="8"/>
  <c r="O380" i="9" s="1"/>
  <c r="P379" i="8"/>
  <c r="P380" i="9" s="1"/>
  <c r="Q379" i="8"/>
  <c r="Q381" i="21" s="1"/>
  <c r="R379" i="8"/>
  <c r="R381" i="10" s="1"/>
  <c r="S379" i="8"/>
  <c r="A380" i="8"/>
  <c r="B380" i="8"/>
  <c r="B382" i="10" s="1"/>
  <c r="C380" i="8"/>
  <c r="C382" i="10" s="1"/>
  <c r="D380" i="8"/>
  <c r="D382" i="21" s="1"/>
  <c r="E380" i="8"/>
  <c r="E382" i="21" s="1"/>
  <c r="F380" i="8"/>
  <c r="F381" i="9" s="1"/>
  <c r="G380" i="8"/>
  <c r="G381" i="9" s="1"/>
  <c r="H380" i="8"/>
  <c r="H382" i="10" s="1"/>
  <c r="I380" i="8"/>
  <c r="J380" i="8"/>
  <c r="J382" i="11" s="1"/>
  <c r="K380" i="8"/>
  <c r="K382" i="10" s="1"/>
  <c r="L380" i="8"/>
  <c r="L382" i="10" s="1"/>
  <c r="M380" i="8"/>
  <c r="M381" i="9" s="1"/>
  <c r="N380" i="8"/>
  <c r="N382" i="10" s="1"/>
  <c r="O380" i="8"/>
  <c r="O381" i="9" s="1"/>
  <c r="P380" i="8"/>
  <c r="P382" i="10" s="1"/>
  <c r="Q380" i="8"/>
  <c r="R380" i="8"/>
  <c r="R382" i="21" s="1"/>
  <c r="S380" i="8"/>
  <c r="A381" i="8"/>
  <c r="A383" i="21" s="1"/>
  <c r="B381" i="8"/>
  <c r="B383" i="21" s="1"/>
  <c r="C381" i="8"/>
  <c r="C382" i="9" s="1"/>
  <c r="D381" i="8"/>
  <c r="D383" i="21" s="1"/>
  <c r="E381" i="8"/>
  <c r="E383" i="21" s="1"/>
  <c r="F381" i="8"/>
  <c r="G381" i="8"/>
  <c r="G382" i="9" s="1"/>
  <c r="H381" i="8"/>
  <c r="H383" i="21" s="1"/>
  <c r="I381" i="8"/>
  <c r="I382" i="9" s="1"/>
  <c r="J381" i="8"/>
  <c r="J382" i="9" s="1"/>
  <c r="K381" i="8"/>
  <c r="K383" i="10" s="1"/>
  <c r="L381" i="8"/>
  <c r="L383" i="21" s="1"/>
  <c r="M381" i="8"/>
  <c r="M383" i="21" s="1"/>
  <c r="N381" i="8"/>
  <c r="O381" i="8"/>
  <c r="O383" i="10" s="1"/>
  <c r="P381" i="8"/>
  <c r="P383" i="21" s="1"/>
  <c r="Q381" i="8"/>
  <c r="Q383" i="21" s="1"/>
  <c r="R381" i="8"/>
  <c r="R383" i="11" s="1"/>
  <c r="S381" i="8"/>
  <c r="S383" i="11" s="1"/>
  <c r="A382" i="8"/>
  <c r="A384" i="10" s="1"/>
  <c r="B382" i="8"/>
  <c r="B384" i="21" s="1"/>
  <c r="C382" i="8"/>
  <c r="D382" i="8"/>
  <c r="D384" i="21" s="1"/>
  <c r="E382" i="8"/>
  <c r="F382" i="8"/>
  <c r="F384" i="21" s="1"/>
  <c r="G382" i="8"/>
  <c r="G384" i="21" s="1"/>
  <c r="H382" i="8"/>
  <c r="H384" i="11" s="1"/>
  <c r="I382" i="8"/>
  <c r="I384" i="11" s="1"/>
  <c r="J382" i="8"/>
  <c r="J384" i="21" s="1"/>
  <c r="K382" i="8"/>
  <c r="K383" i="9" s="1"/>
  <c r="L382" i="8"/>
  <c r="L383" i="9" s="1"/>
  <c r="M382" i="8"/>
  <c r="N382" i="8"/>
  <c r="N384" i="10" s="1"/>
  <c r="O382" i="8"/>
  <c r="O384" i="10" s="1"/>
  <c r="P382" i="8"/>
  <c r="P384" i="10" s="1"/>
  <c r="Q382" i="8"/>
  <c r="Q384" i="10" s="1"/>
  <c r="R382" i="8"/>
  <c r="R384" i="21" s="1"/>
  <c r="S382" i="8"/>
  <c r="S384" i="11" s="1"/>
  <c r="A383" i="8"/>
  <c r="A385" i="10" s="1"/>
  <c r="B383" i="8"/>
  <c r="B384" i="9" s="1"/>
  <c r="C383" i="8"/>
  <c r="C385" i="10" s="1"/>
  <c r="D383" i="8"/>
  <c r="D385" i="21" s="1"/>
  <c r="E383" i="8"/>
  <c r="E385" i="10" s="1"/>
  <c r="F383" i="8"/>
  <c r="F385" i="10" s="1"/>
  <c r="G383" i="8"/>
  <c r="G385" i="10" s="1"/>
  <c r="H383" i="8"/>
  <c r="I383" i="8"/>
  <c r="I384" i="9" s="1"/>
  <c r="J383" i="8"/>
  <c r="J384" i="9" s="1"/>
  <c r="K383" i="8"/>
  <c r="K384" i="9" s="1"/>
  <c r="L383" i="8"/>
  <c r="L385" i="10" s="1"/>
  <c r="M383" i="8"/>
  <c r="M385" i="11" s="1"/>
  <c r="N383" i="8"/>
  <c r="N385" i="21" s="1"/>
  <c r="O383" i="8"/>
  <c r="O385" i="11" s="1"/>
  <c r="P383" i="8"/>
  <c r="Q383" i="8"/>
  <c r="Q385" i="11" s="1"/>
  <c r="R383" i="8"/>
  <c r="R384" i="9" s="1"/>
  <c r="S383" i="8"/>
  <c r="S385" i="21" s="1"/>
  <c r="A384" i="8"/>
  <c r="A386" i="21" s="1"/>
  <c r="B384" i="8"/>
  <c r="B386" i="21" s="1"/>
  <c r="C384" i="8"/>
  <c r="C385" i="9" s="1"/>
  <c r="D384" i="8"/>
  <c r="D386" i="21" s="1"/>
  <c r="E384" i="8"/>
  <c r="F384" i="8"/>
  <c r="F385" i="9" s="1"/>
  <c r="G384" i="8"/>
  <c r="G385" i="9" s="1"/>
  <c r="H384" i="8"/>
  <c r="H386" i="10" s="1"/>
  <c r="I384" i="8"/>
  <c r="I385" i="9" s="1"/>
  <c r="J384" i="8"/>
  <c r="J386" i="10" s="1"/>
  <c r="K384" i="8"/>
  <c r="K386" i="11" s="1"/>
  <c r="L384" i="8"/>
  <c r="L386" i="21" s="1"/>
  <c r="M384" i="8"/>
  <c r="M386" i="10" s="1"/>
  <c r="N384" i="8"/>
  <c r="N386" i="10" s="1"/>
  <c r="O384" i="8"/>
  <c r="O385" i="9" s="1"/>
  <c r="P384" i="8"/>
  <c r="P385" i="9" s="1"/>
  <c r="Q384" i="8"/>
  <c r="Q386" i="10" s="1"/>
  <c r="R384" i="8"/>
  <c r="R386" i="11" s="1"/>
  <c r="S384" i="8"/>
  <c r="A385" i="8"/>
  <c r="A387" i="21" s="1"/>
  <c r="B385" i="8"/>
  <c r="C385" i="8"/>
  <c r="C386" i="9" s="1"/>
  <c r="D385" i="8"/>
  <c r="E385" i="8"/>
  <c r="E386" i="9" s="1"/>
  <c r="F385" i="8"/>
  <c r="F387" i="10" s="1"/>
  <c r="G385" i="8"/>
  <c r="G386" i="9" s="1"/>
  <c r="H385" i="8"/>
  <c r="H387" i="10" s="1"/>
  <c r="I385" i="8"/>
  <c r="I387" i="21" s="1"/>
  <c r="J385" i="8"/>
  <c r="K385" i="8"/>
  <c r="K386" i="9" s="1"/>
  <c r="L385" i="8"/>
  <c r="M385" i="8"/>
  <c r="M387" i="21" s="1"/>
  <c r="N385" i="8"/>
  <c r="N386" i="9" s="1"/>
  <c r="O385" i="8"/>
  <c r="O387" i="11" s="1"/>
  <c r="P385" i="8"/>
  <c r="P387" i="11" s="1"/>
  <c r="Q385" i="8"/>
  <c r="Q387" i="21" s="1"/>
  <c r="R385" i="8"/>
  <c r="R387" i="11" s="1"/>
  <c r="S385" i="8"/>
  <c r="S387" i="21" s="1"/>
  <c r="A386" i="8"/>
  <c r="A388" i="10" s="1"/>
  <c r="B386" i="8"/>
  <c r="B388" i="10" s="1"/>
  <c r="C386" i="8"/>
  <c r="C388" i="10" s="1"/>
  <c r="D386" i="8"/>
  <c r="D388" i="21" s="1"/>
  <c r="E386" i="8"/>
  <c r="E387" i="9" s="1"/>
  <c r="F386" i="8"/>
  <c r="F388" i="21" s="1"/>
  <c r="G386" i="8"/>
  <c r="G388" i="10" s="1"/>
  <c r="H386" i="8"/>
  <c r="H388" i="11" s="1"/>
  <c r="I386" i="8"/>
  <c r="I388" i="10" s="1"/>
  <c r="J386" i="8"/>
  <c r="J388" i="10" s="1"/>
  <c r="K386" i="8"/>
  <c r="K387" i="9" s="1"/>
  <c r="L386" i="8"/>
  <c r="L388" i="10" s="1"/>
  <c r="M386" i="8"/>
  <c r="M388" i="11" s="1"/>
  <c r="N386" i="8"/>
  <c r="N388" i="21" s="1"/>
  <c r="O386" i="8"/>
  <c r="O388" i="10" s="1"/>
  <c r="P386" i="8"/>
  <c r="P388" i="10" s="1"/>
  <c r="Q386" i="8"/>
  <c r="Q388" i="10" s="1"/>
  <c r="R386" i="8"/>
  <c r="R388" i="10" s="1"/>
  <c r="S386" i="8"/>
  <c r="A387" i="8"/>
  <c r="A388" i="9" s="1"/>
  <c r="B387" i="8"/>
  <c r="B389" i="21" s="1"/>
  <c r="C387" i="8"/>
  <c r="D387" i="8"/>
  <c r="E387" i="8"/>
  <c r="E388" i="9" s="1"/>
  <c r="F387" i="8"/>
  <c r="F389" i="21" s="1"/>
  <c r="G387" i="8"/>
  <c r="G389" i="21" s="1"/>
  <c r="H387" i="8"/>
  <c r="H389" i="11" s="1"/>
  <c r="I387" i="8"/>
  <c r="I388" i="9" s="1"/>
  <c r="J387" i="8"/>
  <c r="J389" i="21" s="1"/>
  <c r="K387" i="8"/>
  <c r="L387" i="8"/>
  <c r="L389" i="10" s="1"/>
  <c r="M387" i="8"/>
  <c r="M388" i="9" s="1"/>
  <c r="N387" i="8"/>
  <c r="N389" i="21" s="1"/>
  <c r="O387" i="8"/>
  <c r="O389" i="10" s="1"/>
  <c r="P387" i="8"/>
  <c r="P389" i="21" s="1"/>
  <c r="Q387" i="8"/>
  <c r="Q389" i="10" s="1"/>
  <c r="R387" i="8"/>
  <c r="R389" i="10" s="1"/>
  <c r="S387" i="8"/>
  <c r="A388" i="8"/>
  <c r="B388" i="8"/>
  <c r="B390" i="10" s="1"/>
  <c r="C388" i="8"/>
  <c r="C389" i="9" s="1"/>
  <c r="D388" i="8"/>
  <c r="D389" i="9" s="1"/>
  <c r="E388" i="8"/>
  <c r="E390" i="10" s="1"/>
  <c r="F388" i="8"/>
  <c r="F390" i="21" s="1"/>
  <c r="G388" i="8"/>
  <c r="G390" i="10" s="1"/>
  <c r="H388" i="8"/>
  <c r="I388" i="8"/>
  <c r="J388" i="8"/>
  <c r="J390" i="21" s="1"/>
  <c r="K388" i="8"/>
  <c r="K389" i="9" s="1"/>
  <c r="L388" i="8"/>
  <c r="L390" i="10" s="1"/>
  <c r="M388" i="8"/>
  <c r="M390" i="21" s="1"/>
  <c r="N388" i="8"/>
  <c r="N390" i="11" s="1"/>
  <c r="O388" i="8"/>
  <c r="O390" i="11" s="1"/>
  <c r="P388" i="8"/>
  <c r="P389" i="9" s="1"/>
  <c r="Q388" i="8"/>
  <c r="R388" i="8"/>
  <c r="R390" i="11" s="1"/>
  <c r="S388" i="8"/>
  <c r="S390" i="11" s="1"/>
  <c r="A389" i="8"/>
  <c r="A391" i="10" s="1"/>
  <c r="B389" i="8"/>
  <c r="B391" i="10" s="1"/>
  <c r="C389" i="8"/>
  <c r="C391" i="10" s="1"/>
  <c r="D389" i="8"/>
  <c r="D391" i="10" s="1"/>
  <c r="E389" i="8"/>
  <c r="E390" i="9" s="1"/>
  <c r="F389" i="8"/>
  <c r="G389" i="8"/>
  <c r="G390" i="9" s="1"/>
  <c r="H389" i="8"/>
  <c r="H391" i="11" s="1"/>
  <c r="I389" i="8"/>
  <c r="I390" i="9" s="1"/>
  <c r="J389" i="8"/>
  <c r="J391" i="21" s="1"/>
  <c r="K389" i="8"/>
  <c r="K391" i="11" s="1"/>
  <c r="L389" i="8"/>
  <c r="L391" i="10" s="1"/>
  <c r="M389" i="8"/>
  <c r="M390" i="9" s="1"/>
  <c r="N389" i="8"/>
  <c r="N391" i="11" s="1"/>
  <c r="O389" i="8"/>
  <c r="O391" i="10" s="1"/>
  <c r="P389" i="8"/>
  <c r="P391" i="11" s="1"/>
  <c r="Q389" i="8"/>
  <c r="Q391" i="10" s="1"/>
  <c r="R389" i="8"/>
  <c r="R391" i="10" s="1"/>
  <c r="S389" i="8"/>
  <c r="A390" i="8"/>
  <c r="A392" i="11" s="1"/>
  <c r="B390" i="8"/>
  <c r="C390" i="8"/>
  <c r="C391" i="9" s="1"/>
  <c r="D390" i="8"/>
  <c r="D392" i="21" s="1"/>
  <c r="E390" i="8"/>
  <c r="E392" i="21" s="1"/>
  <c r="F390" i="8"/>
  <c r="F392" i="21" s="1"/>
  <c r="G390" i="8"/>
  <c r="G391" i="9" s="1"/>
  <c r="H390" i="8"/>
  <c r="H392" i="10" s="1"/>
  <c r="I390" i="8"/>
  <c r="I392" i="10" s="1"/>
  <c r="J390" i="8"/>
  <c r="K390" i="8"/>
  <c r="L390" i="8"/>
  <c r="L392" i="11" s="1"/>
  <c r="M390" i="8"/>
  <c r="M392" i="21" s="1"/>
  <c r="N390" i="8"/>
  <c r="N392" i="10" s="1"/>
  <c r="O390" i="8"/>
  <c r="O392" i="11" s="1"/>
  <c r="P390" i="8"/>
  <c r="P391" i="9" s="1"/>
  <c r="Q390" i="8"/>
  <c r="Q391" i="9" s="1"/>
  <c r="R390" i="8"/>
  <c r="S390" i="8"/>
  <c r="S392" i="11" s="1"/>
  <c r="A391" i="8"/>
  <c r="A392" i="9" s="1"/>
  <c r="B391" i="8"/>
  <c r="B393" i="21" s="1"/>
  <c r="C391" i="8"/>
  <c r="C392" i="9" s="1"/>
  <c r="D391" i="8"/>
  <c r="D393" i="21" s="1"/>
  <c r="E391" i="8"/>
  <c r="E393" i="21" s="1"/>
  <c r="F391" i="8"/>
  <c r="F393" i="21" s="1"/>
  <c r="G391" i="8"/>
  <c r="G393" i="11" s="1"/>
  <c r="H391" i="8"/>
  <c r="I391" i="8"/>
  <c r="I393" i="10" s="1"/>
  <c r="J391" i="8"/>
  <c r="J393" i="10" s="1"/>
  <c r="K391" i="8"/>
  <c r="K392" i="9" s="1"/>
  <c r="L391" i="8"/>
  <c r="L392" i="9" s="1"/>
  <c r="M391" i="8"/>
  <c r="M393" i="10" s="1"/>
  <c r="N391" i="8"/>
  <c r="N393" i="21" s="1"/>
  <c r="O391" i="8"/>
  <c r="O393" i="11" s="1"/>
  <c r="P391" i="8"/>
  <c r="Q391" i="8"/>
  <c r="Q393" i="11" s="1"/>
  <c r="R391" i="8"/>
  <c r="R393" i="10" s="1"/>
  <c r="S391" i="8"/>
  <c r="S393" i="11" s="1"/>
  <c r="A392" i="8"/>
  <c r="A394" i="10" s="1"/>
  <c r="B392" i="8"/>
  <c r="B393" i="9" s="1"/>
  <c r="C392" i="8"/>
  <c r="C393" i="9" s="1"/>
  <c r="D392" i="8"/>
  <c r="D394" i="11" s="1"/>
  <c r="E392" i="8"/>
  <c r="E393" i="9" s="1"/>
  <c r="F392" i="8"/>
  <c r="F394" i="11" s="1"/>
  <c r="G392" i="8"/>
  <c r="G393" i="9" s="1"/>
  <c r="H392" i="8"/>
  <c r="H394" i="10" s="1"/>
  <c r="I392" i="8"/>
  <c r="I393" i="9" s="1"/>
  <c r="J392" i="8"/>
  <c r="J394" i="11" s="1"/>
  <c r="K392" i="8"/>
  <c r="K394" i="11" s="1"/>
  <c r="L392" i="8"/>
  <c r="L394" i="11" s="1"/>
  <c r="M392" i="8"/>
  <c r="M393" i="9" s="1"/>
  <c r="N392" i="8"/>
  <c r="N393" i="9" s="1"/>
  <c r="O392" i="8"/>
  <c r="O393" i="9" s="1"/>
  <c r="P392" i="8"/>
  <c r="P393" i="9" s="1"/>
  <c r="Q392" i="8"/>
  <c r="Q394" i="10" s="1"/>
  <c r="R392" i="8"/>
  <c r="R394" i="10" s="1"/>
  <c r="S392" i="8"/>
  <c r="S394" i="11" s="1"/>
  <c r="A393" i="8"/>
  <c r="A395" i="11" s="1"/>
  <c r="B393" i="8"/>
  <c r="B395" i="11" s="1"/>
  <c r="C393" i="8"/>
  <c r="C395" i="10" s="1"/>
  <c r="D393" i="8"/>
  <c r="D395" i="11" s="1"/>
  <c r="E393" i="8"/>
  <c r="E394" i="9" s="1"/>
  <c r="F393" i="8"/>
  <c r="F394" i="9" s="1"/>
  <c r="G393" i="8"/>
  <c r="G395" i="10" s="1"/>
  <c r="H393" i="8"/>
  <c r="H395" i="11" s="1"/>
  <c r="I393" i="8"/>
  <c r="I395" i="11" s="1"/>
  <c r="J393" i="8"/>
  <c r="J395" i="11" s="1"/>
  <c r="K393" i="8"/>
  <c r="K395" i="10" s="1"/>
  <c r="L393" i="8"/>
  <c r="L395" i="21" s="1"/>
  <c r="M393" i="8"/>
  <c r="M395" i="10" s="1"/>
  <c r="N393" i="8"/>
  <c r="N395" i="10" s="1"/>
  <c r="O393" i="8"/>
  <c r="O395" i="21" s="1"/>
  <c r="P393" i="8"/>
  <c r="P395" i="21" s="1"/>
  <c r="Q393" i="8"/>
  <c r="Q395" i="10" s="1"/>
  <c r="R393" i="8"/>
  <c r="R395" i="11" s="1"/>
  <c r="S393" i="8"/>
  <c r="A394" i="8"/>
  <c r="A396" i="11" s="1"/>
  <c r="B394" i="8"/>
  <c r="C394" i="8"/>
  <c r="D394" i="8"/>
  <c r="E394" i="8"/>
  <c r="F394" i="8"/>
  <c r="F396" i="21" s="1"/>
  <c r="G394" i="8"/>
  <c r="G395" i="9" s="1"/>
  <c r="H394" i="8"/>
  <c r="I394" i="8"/>
  <c r="I396" i="11" s="1"/>
  <c r="J394" i="8"/>
  <c r="K394" i="8"/>
  <c r="L394" i="8"/>
  <c r="M394" i="8"/>
  <c r="N394" i="8"/>
  <c r="N396" i="21" s="1"/>
  <c r="O394" i="8"/>
  <c r="O395" i="9" s="1"/>
  <c r="P394" i="8"/>
  <c r="Q394" i="8"/>
  <c r="Q396" i="11" s="1"/>
  <c r="R394" i="8"/>
  <c r="S394" i="8"/>
  <c r="A395" i="8"/>
  <c r="B395" i="8"/>
  <c r="C395" i="8"/>
  <c r="D395" i="8"/>
  <c r="E395" i="8"/>
  <c r="F395" i="8"/>
  <c r="F397" i="10" s="1"/>
  <c r="G395" i="8"/>
  <c r="H395" i="8"/>
  <c r="I395" i="8"/>
  <c r="J395" i="8"/>
  <c r="K395" i="8"/>
  <c r="L395" i="8"/>
  <c r="L397" i="21" s="1"/>
  <c r="M395" i="8"/>
  <c r="N395" i="8"/>
  <c r="N397" i="11" s="1"/>
  <c r="O395" i="8"/>
  <c r="P395" i="8"/>
  <c r="Q395" i="8"/>
  <c r="R395" i="8"/>
  <c r="S395" i="8"/>
  <c r="A396" i="8"/>
  <c r="A398" i="10" s="1"/>
  <c r="B396" i="8"/>
  <c r="C396" i="8"/>
  <c r="C398" i="11" s="1"/>
  <c r="D396" i="8"/>
  <c r="E396" i="8"/>
  <c r="F396" i="8"/>
  <c r="G396" i="8"/>
  <c r="H396" i="8"/>
  <c r="I396" i="8"/>
  <c r="I398" i="10" s="1"/>
  <c r="J396" i="8"/>
  <c r="K396" i="8"/>
  <c r="K398" i="11" s="1"/>
  <c r="L396" i="8"/>
  <c r="M396" i="8"/>
  <c r="N396" i="8"/>
  <c r="O396" i="8"/>
  <c r="P396" i="8"/>
  <c r="Q396" i="8"/>
  <c r="Q398" i="10" s="1"/>
  <c r="R396" i="8"/>
  <c r="S396" i="8"/>
  <c r="S398" i="11" s="1"/>
  <c r="A397" i="8"/>
  <c r="B397" i="8"/>
  <c r="C397" i="8"/>
  <c r="D397" i="8"/>
  <c r="E397" i="8"/>
  <c r="F397" i="8"/>
  <c r="F398" i="9" s="1"/>
  <c r="G397" i="8"/>
  <c r="H397" i="8"/>
  <c r="H398" i="9" s="1"/>
  <c r="I397" i="8"/>
  <c r="J397" i="8"/>
  <c r="K397" i="8"/>
  <c r="L397" i="8"/>
  <c r="M397" i="8"/>
  <c r="N397" i="8"/>
  <c r="N398" i="9" s="1"/>
  <c r="O397" i="8"/>
  <c r="P397" i="8"/>
  <c r="P399" i="11" s="1"/>
  <c r="Q397" i="8"/>
  <c r="R397" i="8"/>
  <c r="S397" i="8"/>
  <c r="A398" i="8"/>
  <c r="B398" i="8"/>
  <c r="B400" i="21" s="1"/>
  <c r="C398" i="8"/>
  <c r="C399" i="9" s="1"/>
  <c r="D398" i="8"/>
  <c r="E398" i="8"/>
  <c r="E400" i="11" s="1"/>
  <c r="F398" i="8"/>
  <c r="G398" i="8"/>
  <c r="H398" i="8"/>
  <c r="I398" i="8"/>
  <c r="J398" i="8"/>
  <c r="J400" i="21" s="1"/>
  <c r="K398" i="8"/>
  <c r="K399" i="9" s="1"/>
  <c r="L398" i="8"/>
  <c r="M398" i="8"/>
  <c r="M400" i="11" s="1"/>
  <c r="N398" i="8"/>
  <c r="O398" i="8"/>
  <c r="P398" i="8"/>
  <c r="Q398" i="8"/>
  <c r="R398" i="8"/>
  <c r="R400" i="21" s="1"/>
  <c r="S398" i="8"/>
  <c r="S399" i="9" s="1"/>
  <c r="A399" i="8"/>
  <c r="B399" i="8"/>
  <c r="C399" i="8"/>
  <c r="D399" i="8"/>
  <c r="E399" i="8"/>
  <c r="F399" i="8"/>
  <c r="G399" i="8"/>
  <c r="G401" i="21" s="1"/>
  <c r="H399" i="8"/>
  <c r="H400" i="9" s="1"/>
  <c r="I399" i="8"/>
  <c r="J399" i="8"/>
  <c r="K399" i="8"/>
  <c r="L399" i="8"/>
  <c r="M399" i="8"/>
  <c r="N399" i="8"/>
  <c r="O399" i="8"/>
  <c r="O401" i="21" s="1"/>
  <c r="P399" i="8"/>
  <c r="P400" i="9" s="1"/>
  <c r="Q399" i="8"/>
  <c r="R399" i="8"/>
  <c r="S399" i="8"/>
  <c r="F378" i="10"/>
  <c r="H380" i="10"/>
  <c r="G383" i="10"/>
  <c r="L384" i="10"/>
  <c r="A396" i="10"/>
  <c r="B396" i="10"/>
  <c r="C396" i="10"/>
  <c r="D396" i="10"/>
  <c r="E396" i="10"/>
  <c r="H396" i="10"/>
  <c r="I396" i="10"/>
  <c r="J396" i="10"/>
  <c r="K396" i="10"/>
  <c r="L396" i="10"/>
  <c r="M396" i="10"/>
  <c r="P396" i="10"/>
  <c r="Q396" i="10"/>
  <c r="R396" i="10"/>
  <c r="S396" i="10"/>
  <c r="T396" i="10"/>
  <c r="U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397" i="10"/>
  <c r="B397" i="10"/>
  <c r="E397" i="10"/>
  <c r="G397" i="10"/>
  <c r="H397" i="10"/>
  <c r="I397" i="10"/>
  <c r="J397" i="10"/>
  <c r="M397" i="10"/>
  <c r="N397" i="10"/>
  <c r="O397" i="10"/>
  <c r="P397" i="10"/>
  <c r="Q397" i="10"/>
  <c r="R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B398" i="10"/>
  <c r="D398" i="10"/>
  <c r="E398" i="10"/>
  <c r="F398" i="10"/>
  <c r="G398" i="10"/>
  <c r="J398" i="10"/>
  <c r="L398" i="10"/>
  <c r="M398" i="10"/>
  <c r="N398" i="10"/>
  <c r="O398" i="10"/>
  <c r="R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399" i="10"/>
  <c r="B399" i="10"/>
  <c r="C399" i="10"/>
  <c r="D399" i="10"/>
  <c r="G399" i="10"/>
  <c r="I399" i="10"/>
  <c r="J399" i="10"/>
  <c r="K399" i="10"/>
  <c r="L399" i="10"/>
  <c r="N399" i="10"/>
  <c r="O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400" i="10"/>
  <c r="D400" i="10"/>
  <c r="F400" i="10"/>
  <c r="G400" i="10"/>
  <c r="H400" i="10"/>
  <c r="I400" i="10"/>
  <c r="L400" i="10"/>
  <c r="N400" i="10"/>
  <c r="O400" i="10"/>
  <c r="P400" i="10"/>
  <c r="Q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D383" i="9"/>
  <c r="A384" i="9"/>
  <c r="N385" i="9"/>
  <c r="B395" i="9"/>
  <c r="C395" i="9"/>
  <c r="D395" i="9"/>
  <c r="E395" i="9"/>
  <c r="H395" i="9"/>
  <c r="J395" i="9"/>
  <c r="K395" i="9"/>
  <c r="L395" i="9"/>
  <c r="M395" i="9"/>
  <c r="P395" i="9"/>
  <c r="R395" i="9"/>
  <c r="S395" i="9"/>
  <c r="T395" i="9"/>
  <c r="U395" i="9"/>
  <c r="W395" i="9"/>
  <c r="X395" i="9"/>
  <c r="Y395" i="9"/>
  <c r="Z395" i="9"/>
  <c r="AA395" i="9"/>
  <c r="AB395" i="9"/>
  <c r="AC395" i="9"/>
  <c r="AD395" i="9"/>
  <c r="AE395" i="9"/>
  <c r="AF395" i="9"/>
  <c r="AG395" i="9"/>
  <c r="A396" i="9"/>
  <c r="B396" i="9"/>
  <c r="C396" i="9"/>
  <c r="E396" i="9"/>
  <c r="G396" i="9"/>
  <c r="H396" i="9"/>
  <c r="I396" i="9"/>
  <c r="J396" i="9"/>
  <c r="M396" i="9"/>
  <c r="O396" i="9"/>
  <c r="P396" i="9"/>
  <c r="Q396" i="9"/>
  <c r="R396" i="9"/>
  <c r="T396" i="9"/>
  <c r="U396" i="9"/>
  <c r="V396" i="9"/>
  <c r="W396" i="9"/>
  <c r="X396" i="9"/>
  <c r="Y396" i="9"/>
  <c r="Z396" i="9"/>
  <c r="AA396" i="9"/>
  <c r="AB396" i="9"/>
  <c r="AC396" i="9"/>
  <c r="AD396" i="9"/>
  <c r="AE396" i="9"/>
  <c r="AF396" i="9"/>
  <c r="AG396" i="9"/>
  <c r="B397" i="9"/>
  <c r="D397" i="9"/>
  <c r="E397" i="9"/>
  <c r="F397" i="9"/>
  <c r="G397" i="9"/>
  <c r="I397" i="9"/>
  <c r="J397" i="9"/>
  <c r="L397" i="9"/>
  <c r="M397" i="9"/>
  <c r="N397" i="9"/>
  <c r="O397" i="9"/>
  <c r="R397" i="9"/>
  <c r="T397" i="9"/>
  <c r="U397" i="9"/>
  <c r="V397" i="9"/>
  <c r="W397" i="9"/>
  <c r="X397" i="9"/>
  <c r="Y397" i="9"/>
  <c r="Z397" i="9"/>
  <c r="AA397" i="9"/>
  <c r="AB397" i="9"/>
  <c r="AC397" i="9"/>
  <c r="AD397" i="9"/>
  <c r="AE397" i="9"/>
  <c r="AF397" i="9"/>
  <c r="AG397" i="9"/>
  <c r="A398" i="9"/>
  <c r="B398" i="9"/>
  <c r="C398" i="9"/>
  <c r="D398" i="9"/>
  <c r="G398" i="9"/>
  <c r="I398" i="9"/>
  <c r="J398" i="9"/>
  <c r="K398" i="9"/>
  <c r="L398" i="9"/>
  <c r="O398" i="9"/>
  <c r="Q398" i="9"/>
  <c r="R398" i="9"/>
  <c r="S398" i="9"/>
  <c r="T398" i="9"/>
  <c r="U398" i="9"/>
  <c r="V398" i="9"/>
  <c r="W398" i="9"/>
  <c r="X398" i="9"/>
  <c r="Y398" i="9"/>
  <c r="Z398" i="9"/>
  <c r="AA398" i="9"/>
  <c r="AB398" i="9"/>
  <c r="AC398" i="9"/>
  <c r="AD398" i="9"/>
  <c r="AE398" i="9"/>
  <c r="AF398" i="9"/>
  <c r="AG398" i="9"/>
  <c r="A399" i="9"/>
  <c r="D399" i="9"/>
  <c r="F399" i="9"/>
  <c r="G399" i="9"/>
  <c r="H399" i="9"/>
  <c r="I399" i="9"/>
  <c r="J399" i="9"/>
  <c r="L399" i="9"/>
  <c r="N399" i="9"/>
  <c r="O399" i="9"/>
  <c r="P399" i="9"/>
  <c r="Q399" i="9"/>
  <c r="R399" i="9"/>
  <c r="T399" i="9"/>
  <c r="U399" i="9"/>
  <c r="V399" i="9"/>
  <c r="W399" i="9"/>
  <c r="X399" i="9"/>
  <c r="Y399" i="9"/>
  <c r="Z399" i="9"/>
  <c r="AA399" i="9"/>
  <c r="AB399" i="9"/>
  <c r="AC399" i="9"/>
  <c r="AD399" i="9"/>
  <c r="AE399" i="9"/>
  <c r="AF399" i="9"/>
  <c r="AG399" i="9"/>
  <c r="A400" i="9"/>
  <c r="C400" i="9"/>
  <c r="D400" i="9"/>
  <c r="E400" i="9"/>
  <c r="F400" i="9"/>
  <c r="I400" i="9"/>
  <c r="K400" i="9"/>
  <c r="L400" i="9"/>
  <c r="M400" i="9"/>
  <c r="N400" i="9"/>
  <c r="O400" i="9"/>
  <c r="Q400" i="9"/>
  <c r="S400" i="9"/>
  <c r="T400" i="9"/>
  <c r="U400" i="9"/>
  <c r="V400" i="9"/>
  <c r="W400" i="9"/>
  <c r="X400" i="9"/>
  <c r="Y400" i="9"/>
  <c r="Z400" i="9"/>
  <c r="AA400" i="9"/>
  <c r="AB400" i="9"/>
  <c r="AC400" i="9"/>
  <c r="AD400" i="9"/>
  <c r="AE400" i="9"/>
  <c r="AF400" i="9"/>
  <c r="AG400" i="9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I377" i="21"/>
  <c r="F378" i="21"/>
  <c r="H380" i="21"/>
  <c r="O391" i="21"/>
  <c r="C393" i="21"/>
  <c r="N394" i="21"/>
  <c r="B396" i="21"/>
  <c r="C396" i="21"/>
  <c r="D396" i="21"/>
  <c r="E396" i="21"/>
  <c r="H396" i="21"/>
  <c r="J396" i="21"/>
  <c r="K396" i="21"/>
  <c r="L396" i="21"/>
  <c r="M396" i="21"/>
  <c r="O396" i="21"/>
  <c r="P396" i="21"/>
  <c r="R396" i="21"/>
  <c r="S396" i="21"/>
  <c r="T396" i="21"/>
  <c r="U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397" i="21"/>
  <c r="B397" i="21"/>
  <c r="E397" i="21"/>
  <c r="G397" i="21"/>
  <c r="H397" i="21"/>
  <c r="I397" i="21"/>
  <c r="J397" i="21"/>
  <c r="M397" i="21"/>
  <c r="O397" i="21"/>
  <c r="P397" i="21"/>
  <c r="Q397" i="21"/>
  <c r="R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B398" i="21"/>
  <c r="D398" i="21"/>
  <c r="E398" i="21"/>
  <c r="F398" i="21"/>
  <c r="G398" i="21"/>
  <c r="I398" i="21"/>
  <c r="J398" i="21"/>
  <c r="L398" i="21"/>
  <c r="M398" i="21"/>
  <c r="N398" i="21"/>
  <c r="O398" i="21"/>
  <c r="R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399" i="21"/>
  <c r="B399" i="21"/>
  <c r="C399" i="21"/>
  <c r="D399" i="21"/>
  <c r="G399" i="21"/>
  <c r="I399" i="21"/>
  <c r="J399" i="21"/>
  <c r="K399" i="21"/>
  <c r="L399" i="21"/>
  <c r="O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400" i="21"/>
  <c r="C400" i="21"/>
  <c r="D400" i="21"/>
  <c r="F400" i="21"/>
  <c r="G400" i="21"/>
  <c r="H400" i="21"/>
  <c r="I400" i="21"/>
  <c r="L400" i="21"/>
  <c r="N400" i="21"/>
  <c r="O400" i="21"/>
  <c r="P400" i="21"/>
  <c r="Q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401" i="21"/>
  <c r="C401" i="21"/>
  <c r="D401" i="21"/>
  <c r="E401" i="21"/>
  <c r="F401" i="21"/>
  <c r="I401" i="21"/>
  <c r="K401" i="21"/>
  <c r="L401" i="21"/>
  <c r="M401" i="21"/>
  <c r="N401" i="21"/>
  <c r="P401" i="21"/>
  <c r="Q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N378" i="11"/>
  <c r="C379" i="11"/>
  <c r="E381" i="11"/>
  <c r="B382" i="11"/>
  <c r="N386" i="11"/>
  <c r="P388" i="11"/>
  <c r="Q392" i="11"/>
  <c r="N394" i="11"/>
  <c r="K395" i="11"/>
  <c r="B396" i="11"/>
  <c r="C396" i="11"/>
  <c r="D396" i="11"/>
  <c r="E396" i="11"/>
  <c r="F396" i="11"/>
  <c r="H396" i="11"/>
  <c r="J396" i="11"/>
  <c r="K396" i="11"/>
  <c r="L396" i="11"/>
  <c r="M396" i="11"/>
  <c r="N396" i="11"/>
  <c r="P396" i="11"/>
  <c r="R396" i="11"/>
  <c r="S396" i="11"/>
  <c r="T396" i="11"/>
  <c r="U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E397" i="11"/>
  <c r="G397" i="11"/>
  <c r="H397" i="11"/>
  <c r="I397" i="11"/>
  <c r="J397" i="11"/>
  <c r="K397" i="11"/>
  <c r="M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B398" i="11"/>
  <c r="D398" i="11"/>
  <c r="E398" i="11"/>
  <c r="F398" i="11"/>
  <c r="G398" i="11"/>
  <c r="H398" i="11"/>
  <c r="J398" i="11"/>
  <c r="L398" i="11"/>
  <c r="M398" i="11"/>
  <c r="N398" i="11"/>
  <c r="O398" i="11"/>
  <c r="P398" i="11"/>
  <c r="R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G399" i="11"/>
  <c r="I399" i="11"/>
  <c r="J399" i="11"/>
  <c r="K399" i="11"/>
  <c r="L399" i="11"/>
  <c r="M399" i="11"/>
  <c r="O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D400" i="11"/>
  <c r="F400" i="11"/>
  <c r="G400" i="11"/>
  <c r="H400" i="11"/>
  <c r="I400" i="11"/>
  <c r="J400" i="11"/>
  <c r="L400" i="11"/>
  <c r="N400" i="11"/>
  <c r="O400" i="11"/>
  <c r="P400" i="11"/>
  <c r="Q400" i="11"/>
  <c r="R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S395" i="21"/>
  <c r="T393" i="8"/>
  <c r="T395" i="21" s="1"/>
  <c r="U393" i="8"/>
  <c r="U395" i="21" s="1"/>
  <c r="V393" i="8"/>
  <c r="V395" i="11" s="1"/>
  <c r="W393" i="8"/>
  <c r="W395" i="21" s="1"/>
  <c r="X393" i="8"/>
  <c r="X395" i="21" s="1"/>
  <c r="Y393" i="8"/>
  <c r="Z393" i="8"/>
  <c r="Z395" i="11" s="1"/>
  <c r="AA393" i="8"/>
  <c r="AB393" i="8"/>
  <c r="AB395" i="11" s="1"/>
  <c r="AC393" i="8"/>
  <c r="AD393" i="8"/>
  <c r="AD395" i="11" s="1"/>
  <c r="AE393" i="8"/>
  <c r="AE395" i="11" s="1"/>
  <c r="AF393" i="8"/>
  <c r="AF395" i="21" s="1"/>
  <c r="AG393" i="8"/>
  <c r="AH393" i="8"/>
  <c r="AH395" i="21" s="1"/>
  <c r="AI393" i="8"/>
  <c r="AI395" i="21" s="1"/>
  <c r="T394" i="8"/>
  <c r="U394" i="8"/>
  <c r="V394" i="8"/>
  <c r="V396" i="10" s="1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T390" i="8"/>
  <c r="T392" i="21" s="1"/>
  <c r="U390" i="8"/>
  <c r="U392" i="11" s="1"/>
  <c r="V390" i="8"/>
  <c r="V392" i="11" s="1"/>
  <c r="W390" i="8"/>
  <c r="X390" i="8"/>
  <c r="X392" i="11" s="1"/>
  <c r="Y390" i="8"/>
  <c r="Y392" i="11" s="1"/>
  <c r="Z390" i="8"/>
  <c r="AA390" i="8"/>
  <c r="AA392" i="11" s="1"/>
  <c r="AB390" i="8"/>
  <c r="AC390" i="8"/>
  <c r="AC392" i="21" s="1"/>
  <c r="AD390" i="8"/>
  <c r="AD392" i="21" s="1"/>
  <c r="AE390" i="8"/>
  <c r="AE392" i="11" s="1"/>
  <c r="AF390" i="8"/>
  <c r="AF392" i="21" s="1"/>
  <c r="AG390" i="8"/>
  <c r="AG392" i="11" s="1"/>
  <c r="AH390" i="8"/>
  <c r="AH391" i="9" s="1"/>
  <c r="AI390" i="8"/>
  <c r="AI392" i="21" s="1"/>
  <c r="T391" i="8"/>
  <c r="T393" i="11" s="1"/>
  <c r="U391" i="8"/>
  <c r="V391" i="8"/>
  <c r="V393" i="21" s="1"/>
  <c r="W391" i="8"/>
  <c r="W392" i="9" s="1"/>
  <c r="X391" i="8"/>
  <c r="Y391" i="8"/>
  <c r="Z391" i="8"/>
  <c r="Z393" i="21" s="1"/>
  <c r="AA391" i="8"/>
  <c r="AA393" i="21" s="1"/>
  <c r="AB391" i="8"/>
  <c r="AB393" i="11" s="1"/>
  <c r="AC391" i="8"/>
  <c r="AC393" i="21" s="1"/>
  <c r="AD391" i="8"/>
  <c r="AE391" i="8"/>
  <c r="AE393" i="11" s="1"/>
  <c r="AF391" i="8"/>
  <c r="AF393" i="11" s="1"/>
  <c r="AG391" i="8"/>
  <c r="AH391" i="8"/>
  <c r="AH393" i="21" s="1"/>
  <c r="AI391" i="8"/>
  <c r="AI393" i="11" s="1"/>
  <c r="T392" i="8"/>
  <c r="U392" i="8"/>
  <c r="U394" i="11" s="1"/>
  <c r="V392" i="8"/>
  <c r="W392" i="8"/>
  <c r="W394" i="11" s="1"/>
  <c r="X392" i="8"/>
  <c r="Y392" i="8"/>
  <c r="Y394" i="11" s="1"/>
  <c r="Z392" i="8"/>
  <c r="Z394" i="11" s="1"/>
  <c r="AA392" i="8"/>
  <c r="AA394" i="21" s="1"/>
  <c r="AB392" i="8"/>
  <c r="AB394" i="11" s="1"/>
  <c r="AC392" i="8"/>
  <c r="AD392" i="8"/>
  <c r="AE392" i="8"/>
  <c r="AE394" i="11" s="1"/>
  <c r="AF392" i="8"/>
  <c r="AG392" i="8"/>
  <c r="AG394" i="11" s="1"/>
  <c r="AH392" i="8"/>
  <c r="AH394" i="21" s="1"/>
  <c r="AI392" i="8"/>
  <c r="AI394" i="21" s="1"/>
  <c r="T375" i="8"/>
  <c r="T377" i="11" s="1"/>
  <c r="U375" i="8"/>
  <c r="V375" i="8"/>
  <c r="V377" i="11" s="1"/>
  <c r="W375" i="8"/>
  <c r="X375" i="8"/>
  <c r="X377" i="10" s="1"/>
  <c r="Y375" i="8"/>
  <c r="Z375" i="8"/>
  <c r="AA375" i="8"/>
  <c r="AA377" i="21" s="1"/>
  <c r="AB375" i="8"/>
  <c r="AC375" i="8"/>
  <c r="AD375" i="8"/>
  <c r="AE375" i="8"/>
  <c r="AF375" i="8"/>
  <c r="AF377" i="10" s="1"/>
  <c r="AG375" i="8"/>
  <c r="AG377" i="21" s="1"/>
  <c r="AH375" i="8"/>
  <c r="AH377" i="11" s="1"/>
  <c r="AI375" i="8"/>
  <c r="AI376" i="9" s="1"/>
  <c r="T376" i="8"/>
  <c r="U376" i="8"/>
  <c r="V376" i="8"/>
  <c r="W376" i="8"/>
  <c r="W378" i="21" s="1"/>
  <c r="X376" i="8"/>
  <c r="X378" i="21" s="1"/>
  <c r="Y376" i="8"/>
  <c r="Y378" i="11" s="1"/>
  <c r="Z376" i="8"/>
  <c r="Z378" i="11" s="1"/>
  <c r="AA376" i="8"/>
  <c r="AB376" i="8"/>
  <c r="AB378" i="11" s="1"/>
  <c r="AC376" i="8"/>
  <c r="AC378" i="10" s="1"/>
  <c r="AD376" i="8"/>
  <c r="AE376" i="8"/>
  <c r="AF376" i="8"/>
  <c r="AG376" i="8"/>
  <c r="AG378" i="10" s="1"/>
  <c r="AH376" i="8"/>
  <c r="AH378" i="21" s="1"/>
  <c r="AI376" i="8"/>
  <c r="AI378" i="21" s="1"/>
  <c r="T377" i="8"/>
  <c r="U377" i="8"/>
  <c r="V377" i="8"/>
  <c r="W377" i="8"/>
  <c r="W379" i="11" s="1"/>
  <c r="X377" i="8"/>
  <c r="Y377" i="8"/>
  <c r="Y379" i="10" s="1"/>
  <c r="Z377" i="8"/>
  <c r="Z379" i="10" s="1"/>
  <c r="AA377" i="8"/>
  <c r="AA379" i="21" s="1"/>
  <c r="AB377" i="8"/>
  <c r="AC377" i="8"/>
  <c r="AD377" i="8"/>
  <c r="AD379" i="10" s="1"/>
  <c r="AE377" i="8"/>
  <c r="AE379" i="11" s="1"/>
  <c r="AF377" i="8"/>
  <c r="AF379" i="11" s="1"/>
  <c r="AG377" i="8"/>
  <c r="AH377" i="8"/>
  <c r="AH379" i="21" s="1"/>
  <c r="AI377" i="8"/>
  <c r="AI378" i="9" s="1"/>
  <c r="T378" i="8"/>
  <c r="U378" i="8"/>
  <c r="U380" i="10" s="1"/>
  <c r="V378" i="8"/>
  <c r="V380" i="11" s="1"/>
  <c r="W378" i="8"/>
  <c r="X378" i="8"/>
  <c r="X380" i="21" s="1"/>
  <c r="Y378" i="8"/>
  <c r="Y380" i="21" s="1"/>
  <c r="Z378" i="8"/>
  <c r="Z380" i="21" s="1"/>
  <c r="AA378" i="8"/>
  <c r="AA380" i="11" s="1"/>
  <c r="AB378" i="8"/>
  <c r="AC378" i="8"/>
  <c r="AC380" i="11" s="1"/>
  <c r="AD378" i="8"/>
  <c r="AD380" i="10" s="1"/>
  <c r="AE378" i="8"/>
  <c r="AE380" i="11" s="1"/>
  <c r="AF378" i="8"/>
  <c r="AG378" i="8"/>
  <c r="AH378" i="8"/>
  <c r="AH379" i="9" s="1"/>
  <c r="AI378" i="8"/>
  <c r="AI380" i="21" s="1"/>
  <c r="T379" i="8"/>
  <c r="T381" i="11" s="1"/>
  <c r="U379" i="8"/>
  <c r="V379" i="8"/>
  <c r="V381" i="21" s="1"/>
  <c r="W379" i="8"/>
  <c r="W381" i="21" s="1"/>
  <c r="X379" i="8"/>
  <c r="Y379" i="8"/>
  <c r="Z379" i="8"/>
  <c r="AA379" i="8"/>
  <c r="AB379" i="8"/>
  <c r="AB381" i="11" s="1"/>
  <c r="AC379" i="8"/>
  <c r="AD379" i="8"/>
  <c r="AE379" i="8"/>
  <c r="AF379" i="8"/>
  <c r="AF381" i="21" s="1"/>
  <c r="AG379" i="8"/>
  <c r="AG381" i="11" s="1"/>
  <c r="AH379" i="8"/>
  <c r="AH381" i="21" s="1"/>
  <c r="AI379" i="8"/>
  <c r="AI380" i="9" s="1"/>
  <c r="T380" i="8"/>
  <c r="U380" i="8"/>
  <c r="U382" i="11" s="1"/>
  <c r="V380" i="8"/>
  <c r="V382" i="11" s="1"/>
  <c r="W380" i="8"/>
  <c r="X380" i="8"/>
  <c r="X382" i="11" s="1"/>
  <c r="Y380" i="8"/>
  <c r="Y382" i="11" s="1"/>
  <c r="Z380" i="8"/>
  <c r="AA380" i="8"/>
  <c r="AA382" i="11" s="1"/>
  <c r="AB380" i="8"/>
  <c r="AC380" i="8"/>
  <c r="AC382" i="11" s="1"/>
  <c r="AD380" i="8"/>
  <c r="AD382" i="11" s="1"/>
  <c r="AE380" i="8"/>
  <c r="AE382" i="11" s="1"/>
  <c r="AF380" i="8"/>
  <c r="AF382" i="11" s="1"/>
  <c r="AG380" i="8"/>
  <c r="AH380" i="8"/>
  <c r="AH381" i="9" s="1"/>
  <c r="AI380" i="8"/>
  <c r="AI382" i="21" s="1"/>
  <c r="T381" i="8"/>
  <c r="T383" i="11" s="1"/>
  <c r="U381" i="8"/>
  <c r="U383" i="11" s="1"/>
  <c r="V381" i="8"/>
  <c r="V383" i="11" s="1"/>
  <c r="W381" i="8"/>
  <c r="X381" i="8"/>
  <c r="Y381" i="8"/>
  <c r="Z381" i="8"/>
  <c r="Z383" i="11" s="1"/>
  <c r="AA381" i="8"/>
  <c r="AA383" i="11" s="1"/>
  <c r="AB381" i="8"/>
  <c r="AB383" i="11" s="1"/>
  <c r="AC381" i="8"/>
  <c r="AC383" i="11" s="1"/>
  <c r="AD381" i="8"/>
  <c r="AD383" i="11" s="1"/>
  <c r="AE381" i="8"/>
  <c r="AE383" i="21" s="1"/>
  <c r="AF381" i="8"/>
  <c r="AF383" i="21" s="1"/>
  <c r="AG381" i="8"/>
  <c r="AH381" i="8"/>
  <c r="AH383" i="21" s="1"/>
  <c r="AI381" i="8"/>
  <c r="AI382" i="9" s="1"/>
  <c r="T382" i="8"/>
  <c r="U382" i="8"/>
  <c r="V382" i="8"/>
  <c r="W382" i="8"/>
  <c r="X382" i="8"/>
  <c r="Y382" i="8"/>
  <c r="Y384" i="21" s="1"/>
  <c r="Z382" i="8"/>
  <c r="AA382" i="8"/>
  <c r="AB382" i="8"/>
  <c r="AB384" i="21" s="1"/>
  <c r="AC382" i="8"/>
  <c r="AC384" i="10" s="1"/>
  <c r="AD382" i="8"/>
  <c r="AD384" i="21" s="1"/>
  <c r="AE382" i="8"/>
  <c r="AF382" i="8"/>
  <c r="AG382" i="8"/>
  <c r="AG384" i="11" s="1"/>
  <c r="AH382" i="8"/>
  <c r="AH383" i="9" s="1"/>
  <c r="AI382" i="8"/>
  <c r="AI384" i="21" s="1"/>
  <c r="T383" i="8"/>
  <c r="T385" i="11" s="1"/>
  <c r="U383" i="8"/>
  <c r="V383" i="8"/>
  <c r="W383" i="8"/>
  <c r="X383" i="8"/>
  <c r="X385" i="11" s="1"/>
  <c r="Y383" i="8"/>
  <c r="Z383" i="8"/>
  <c r="Z385" i="11" s="1"/>
  <c r="AA383" i="8"/>
  <c r="AB383" i="8"/>
  <c r="AC383" i="8"/>
  <c r="AC385" i="11" s="1"/>
  <c r="AD383" i="8"/>
  <c r="AD385" i="11" s="1"/>
  <c r="AE383" i="8"/>
  <c r="AF383" i="8"/>
  <c r="AF385" i="11" s="1"/>
  <c r="AG383" i="8"/>
  <c r="AH383" i="8"/>
  <c r="AH385" i="21" s="1"/>
  <c r="AI383" i="8"/>
  <c r="AI385" i="11" s="1"/>
  <c r="T384" i="8"/>
  <c r="T386" i="11" s="1"/>
  <c r="U384" i="8"/>
  <c r="U386" i="11" s="1"/>
  <c r="V384" i="8"/>
  <c r="W384" i="8"/>
  <c r="W386" i="11" s="1"/>
  <c r="X384" i="8"/>
  <c r="Y384" i="8"/>
  <c r="Y386" i="11" s="1"/>
  <c r="Z384" i="8"/>
  <c r="Z386" i="11" s="1"/>
  <c r="AA384" i="8"/>
  <c r="AA386" i="11" s="1"/>
  <c r="AB384" i="8"/>
  <c r="AB386" i="11" s="1"/>
  <c r="AC384" i="8"/>
  <c r="AD384" i="8"/>
  <c r="AE384" i="8"/>
  <c r="AE386" i="11" s="1"/>
  <c r="AF384" i="8"/>
  <c r="AG384" i="8"/>
  <c r="AH384" i="8"/>
  <c r="AH386" i="21" s="1"/>
  <c r="AI384" i="8"/>
  <c r="AI386" i="21" s="1"/>
  <c r="T385" i="8"/>
  <c r="T387" i="21" s="1"/>
  <c r="U385" i="8"/>
  <c r="V385" i="8"/>
  <c r="W385" i="8"/>
  <c r="X385" i="8"/>
  <c r="Y385" i="8"/>
  <c r="Z385" i="8"/>
  <c r="AA385" i="8"/>
  <c r="AB385" i="8"/>
  <c r="AB387" i="21" s="1"/>
  <c r="AC385" i="8"/>
  <c r="AD385" i="8"/>
  <c r="AD387" i="11" s="1"/>
  <c r="AE385" i="8"/>
  <c r="AE387" i="11" s="1"/>
  <c r="AF385" i="8"/>
  <c r="AF387" i="21" s="1"/>
  <c r="AG385" i="8"/>
  <c r="AG387" i="11" s="1"/>
  <c r="AH385" i="8"/>
  <c r="AH387" i="21" s="1"/>
  <c r="AI385" i="8"/>
  <c r="AI386" i="9" s="1"/>
  <c r="T386" i="8"/>
  <c r="U386" i="8"/>
  <c r="U388" i="11" s="1"/>
  <c r="V386" i="8"/>
  <c r="W386" i="8"/>
  <c r="X386" i="8"/>
  <c r="X388" i="21" s="1"/>
  <c r="Y386" i="8"/>
  <c r="Y388" i="21" s="1"/>
  <c r="Z386" i="8"/>
  <c r="AA386" i="8"/>
  <c r="AB386" i="8"/>
  <c r="AC386" i="8"/>
  <c r="AC388" i="11" s="1"/>
  <c r="AD386" i="8"/>
  <c r="AE386" i="8"/>
  <c r="AE388" i="11" s="1"/>
  <c r="AF386" i="8"/>
  <c r="AG386" i="8"/>
  <c r="AH386" i="8"/>
  <c r="AH388" i="11" s="1"/>
  <c r="AI386" i="8"/>
  <c r="AI388" i="21" s="1"/>
  <c r="T387" i="8"/>
  <c r="T389" i="11" s="1"/>
  <c r="U387" i="8"/>
  <c r="V387" i="8"/>
  <c r="V389" i="11" s="1"/>
  <c r="W387" i="8"/>
  <c r="X387" i="8"/>
  <c r="X389" i="11" s="1"/>
  <c r="Y387" i="8"/>
  <c r="Z387" i="8"/>
  <c r="Z389" i="11" s="1"/>
  <c r="AA387" i="8"/>
  <c r="AB387" i="8"/>
  <c r="AB389" i="11" s="1"/>
  <c r="AC387" i="8"/>
  <c r="AD387" i="8"/>
  <c r="AD389" i="21" s="1"/>
  <c r="AE387" i="8"/>
  <c r="AE389" i="21" s="1"/>
  <c r="AF387" i="8"/>
  <c r="AF389" i="11" s="1"/>
  <c r="AG387" i="8"/>
  <c r="AG389" i="11" s="1"/>
  <c r="AH387" i="8"/>
  <c r="AH389" i="21" s="1"/>
  <c r="AI387" i="8"/>
  <c r="AI388" i="9" s="1"/>
  <c r="T388" i="8"/>
  <c r="U388" i="8"/>
  <c r="U390" i="11" s="1"/>
  <c r="V388" i="8"/>
  <c r="V390" i="11" s="1"/>
  <c r="W388" i="8"/>
  <c r="W390" i="11" s="1"/>
  <c r="X388" i="8"/>
  <c r="Y388" i="8"/>
  <c r="Y390" i="11" s="1"/>
  <c r="Z388" i="8"/>
  <c r="AA388" i="8"/>
  <c r="AA390" i="11" s="1"/>
  <c r="AB388" i="8"/>
  <c r="AC388" i="8"/>
  <c r="AC390" i="11" s="1"/>
  <c r="AD388" i="8"/>
  <c r="AD390" i="11" s="1"/>
  <c r="AE388" i="8"/>
  <c r="AE390" i="21" s="1"/>
  <c r="AF388" i="8"/>
  <c r="AF390" i="11" s="1"/>
  <c r="AG388" i="8"/>
  <c r="AH388" i="8"/>
  <c r="AH389" i="9" s="1"/>
  <c r="AI388" i="8"/>
  <c r="AI390" i="21" s="1"/>
  <c r="T389" i="8"/>
  <c r="T391" i="11" s="1"/>
  <c r="U389" i="8"/>
  <c r="U391" i="11" s="1"/>
  <c r="V389" i="8"/>
  <c r="V391" i="11" s="1"/>
  <c r="W389" i="8"/>
  <c r="X389" i="8"/>
  <c r="X391" i="21" s="1"/>
  <c r="Y389" i="8"/>
  <c r="Z389" i="8"/>
  <c r="Z391" i="11" s="1"/>
  <c r="AA389" i="8"/>
  <c r="AB389" i="8"/>
  <c r="AB391" i="11" s="1"/>
  <c r="AC389" i="8"/>
  <c r="AC391" i="11" s="1"/>
  <c r="AD389" i="8"/>
  <c r="AD391" i="11" s="1"/>
  <c r="AE389" i="8"/>
  <c r="AE391" i="21" s="1"/>
  <c r="AF389" i="8"/>
  <c r="AF391" i="11" s="1"/>
  <c r="AG389" i="8"/>
  <c r="AH389" i="8"/>
  <c r="AH391" i="21" s="1"/>
  <c r="AI389" i="8"/>
  <c r="AI390" i="9" s="1"/>
  <c r="D18" i="24"/>
  <c r="C19" i="24"/>
  <c r="C20" i="24" s="1"/>
  <c r="L380" i="2"/>
  <c r="M380" i="2"/>
  <c r="L381" i="2"/>
  <c r="M381" i="2"/>
  <c r="L382" i="2"/>
  <c r="M382" i="2"/>
  <c r="L383" i="2"/>
  <c r="M383" i="2"/>
  <c r="L384" i="2"/>
  <c r="M384" i="2"/>
  <c r="L385" i="2"/>
  <c r="M385" i="2"/>
  <c r="L386" i="2"/>
  <c r="M386" i="2"/>
  <c r="L387" i="2"/>
  <c r="M387" i="2"/>
  <c r="L388" i="2"/>
  <c r="M388" i="2"/>
  <c r="L389" i="2"/>
  <c r="M389" i="2"/>
  <c r="L390" i="2"/>
  <c r="M390" i="2"/>
  <c r="L391" i="2"/>
  <c r="M391" i="2"/>
  <c r="L392" i="2"/>
  <c r="M392" i="2"/>
  <c r="L393" i="2"/>
  <c r="M393" i="2"/>
  <c r="L394" i="2"/>
  <c r="M394" i="2"/>
  <c r="L395" i="2"/>
  <c r="M395" i="2"/>
  <c r="L396" i="2"/>
  <c r="M396" i="2"/>
  <c r="D13" i="24"/>
  <c r="C14" i="24"/>
  <c r="D14" i="24" s="1"/>
  <c r="D8" i="24"/>
  <c r="C9" i="24"/>
  <c r="C10" i="24" s="1"/>
  <c r="D9" i="24"/>
  <c r="AS3" i="2"/>
  <c r="AS2" i="2"/>
  <c r="M378" i="2"/>
  <c r="M379" i="2"/>
  <c r="L378" i="2"/>
  <c r="L379" i="2"/>
  <c r="O2" i="2"/>
  <c r="P2" i="2"/>
  <c r="Q2" i="2"/>
  <c r="R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R2" i="2"/>
  <c r="AM2" i="2"/>
  <c r="AN2" i="2"/>
  <c r="AO2" i="2"/>
  <c r="AP2" i="2"/>
  <c r="AQ2" i="2"/>
  <c r="AK2" i="2"/>
  <c r="AL2" i="2"/>
  <c r="AI2" i="2"/>
  <c r="AJ2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5" i="2"/>
  <c r="D3" i="24"/>
  <c r="C4" i="24"/>
  <c r="D4" i="24" s="1"/>
  <c r="F386" i="10" l="1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C45" i="24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N394" i="10"/>
  <c r="M381" i="10"/>
  <c r="P388" i="21"/>
  <c r="F393" i="9"/>
  <c r="M380" i="9"/>
  <c r="A393" i="10"/>
  <c r="G391" i="11"/>
  <c r="H382" i="11"/>
  <c r="I385" i="21"/>
  <c r="L391" i="9"/>
  <c r="G391" i="10"/>
  <c r="O383" i="21"/>
  <c r="B389" i="9"/>
  <c r="M389" i="10"/>
  <c r="J390" i="11"/>
  <c r="P387" i="9"/>
  <c r="H388" i="10"/>
  <c r="P394" i="11"/>
  <c r="E387" i="21"/>
  <c r="O389" i="11"/>
  <c r="K385" i="21"/>
  <c r="K393" i="11"/>
  <c r="J388" i="11"/>
  <c r="F392" i="11"/>
  <c r="P378" i="21"/>
  <c r="N380" i="10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I395" i="10"/>
  <c r="E377" i="10"/>
  <c r="P389" i="11"/>
  <c r="P381" i="21"/>
  <c r="I378" i="21"/>
  <c r="G384" i="10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F394" i="10"/>
  <c r="L392" i="10"/>
  <c r="R390" i="10"/>
  <c r="E389" i="10"/>
  <c r="K387" i="10"/>
  <c r="Q385" i="10"/>
  <c r="R382" i="10"/>
  <c r="E381" i="10"/>
  <c r="K379" i="10"/>
  <c r="Q377" i="10"/>
  <c r="A377" i="10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Q393" i="10"/>
  <c r="D392" i="10"/>
  <c r="J390" i="10"/>
  <c r="A389" i="10"/>
  <c r="C387" i="10"/>
  <c r="I385" i="10"/>
  <c r="D384" i="10"/>
  <c r="J382" i="10"/>
  <c r="P380" i="10"/>
  <c r="C379" i="10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7" i="10"/>
  <c r="C40" i="24"/>
  <c r="C394" i="10"/>
  <c r="Q383" i="11"/>
  <c r="R380" i="11"/>
  <c r="C377" i="11"/>
  <c r="N384" i="21"/>
  <c r="G381" i="21"/>
  <c r="K377" i="21"/>
  <c r="N391" i="9"/>
  <c r="O388" i="9"/>
  <c r="P392" i="10"/>
  <c r="M390" i="10"/>
  <c r="P386" i="10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O395" i="10"/>
  <c r="E394" i="10"/>
  <c r="F384" i="10"/>
  <c r="D382" i="10"/>
  <c r="J380" i="10"/>
  <c r="M395" i="11"/>
  <c r="H394" i="11"/>
  <c r="Q391" i="11"/>
  <c r="B388" i="11"/>
  <c r="L382" i="11"/>
  <c r="D390" i="21"/>
  <c r="C385" i="21"/>
  <c r="R380" i="21"/>
  <c r="F391" i="9"/>
  <c r="D390" i="10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P387" i="10"/>
  <c r="Q383" i="10"/>
  <c r="Q381" i="10"/>
  <c r="K377" i="10"/>
  <c r="I391" i="11"/>
  <c r="R388" i="11"/>
  <c r="N384" i="11"/>
  <c r="M395" i="21"/>
  <c r="Q391" i="21"/>
  <c r="O389" i="21"/>
  <c r="H386" i="21"/>
  <c r="Q390" i="9"/>
  <c r="E395" i="10"/>
  <c r="K393" i="10"/>
  <c r="K391" i="10"/>
  <c r="M387" i="10"/>
  <c r="K385" i="10"/>
  <c r="O381" i="10"/>
  <c r="E379" i="10"/>
  <c r="E395" i="11"/>
  <c r="N392" i="11"/>
  <c r="E387" i="11"/>
  <c r="K385" i="11"/>
  <c r="G381" i="11"/>
  <c r="B380" i="11"/>
  <c r="K393" i="21"/>
  <c r="I383" i="21"/>
  <c r="B387" i="9"/>
  <c r="Q382" i="9"/>
  <c r="I391" i="10"/>
  <c r="I383" i="10"/>
  <c r="F384" i="11"/>
  <c r="E395" i="21"/>
  <c r="I391" i="21"/>
  <c r="O381" i="21"/>
  <c r="M394" i="9"/>
  <c r="K390" i="9"/>
  <c r="M386" i="9"/>
  <c r="P394" i="10"/>
  <c r="C393" i="10"/>
  <c r="E387" i="10"/>
  <c r="J394" i="21"/>
  <c r="B390" i="9"/>
  <c r="M384" i="9"/>
  <c r="H380" i="9"/>
  <c r="O387" i="10"/>
  <c r="H384" i="10"/>
  <c r="C383" i="10"/>
  <c r="I381" i="10"/>
  <c r="N379" i="10"/>
  <c r="R392" i="9"/>
  <c r="M385" i="21"/>
  <c r="R390" i="9"/>
  <c r="R385" i="9"/>
  <c r="D381" i="10"/>
  <c r="M393" i="21"/>
  <c r="R391" i="21"/>
  <c r="E390" i="21"/>
  <c r="E381" i="9"/>
  <c r="B394" i="10"/>
  <c r="F390" i="10"/>
  <c r="G387" i="10"/>
  <c r="M385" i="10"/>
  <c r="A381" i="10"/>
  <c r="Q380" i="11"/>
  <c r="Y388" i="11"/>
  <c r="M378" i="11"/>
  <c r="U395" i="11"/>
  <c r="K391" i="21"/>
  <c r="O387" i="21"/>
  <c r="Q393" i="9"/>
  <c r="A385" i="9"/>
  <c r="B382" i="9"/>
  <c r="J378" i="10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J394" i="10"/>
  <c r="A392" i="10"/>
  <c r="N390" i="10"/>
  <c r="B386" i="10"/>
  <c r="G382" i="10"/>
  <c r="R378" i="10"/>
  <c r="N377" i="10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3" i="10"/>
  <c r="P391" i="10"/>
  <c r="I389" i="10"/>
  <c r="D388" i="10"/>
  <c r="F382" i="10"/>
  <c r="M377" i="10"/>
  <c r="E392" i="11"/>
  <c r="G387" i="11"/>
  <c r="E385" i="11"/>
  <c r="P392" i="21"/>
  <c r="R386" i="21"/>
  <c r="I381" i="21"/>
  <c r="G379" i="21"/>
  <c r="N389" i="9"/>
  <c r="O386" i="9"/>
  <c r="E384" i="9"/>
  <c r="N381" i="9"/>
  <c r="R386" i="10"/>
  <c r="N385" i="10"/>
  <c r="I384" i="10"/>
  <c r="B381" i="10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N393" i="2"/>
  <c r="N389" i="2"/>
  <c r="N381" i="2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I386" i="10"/>
  <c r="M382" i="10"/>
  <c r="P381" i="10"/>
  <c r="C380" i="10"/>
  <c r="A378" i="10"/>
  <c r="Q386" i="11"/>
  <c r="A386" i="11"/>
  <c r="B383" i="11"/>
  <c r="N395" i="21"/>
  <c r="Q394" i="21"/>
  <c r="F379" i="21"/>
  <c r="E389" i="9"/>
  <c r="H388" i="9"/>
  <c r="C387" i="9"/>
  <c r="D384" i="9"/>
  <c r="F395" i="10"/>
  <c r="I394" i="10"/>
  <c r="L393" i="10"/>
  <c r="O392" i="10"/>
  <c r="P389" i="10"/>
  <c r="J383" i="10"/>
  <c r="Q378" i="10"/>
  <c r="D377" i="10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J391" i="10"/>
  <c r="K388" i="10"/>
  <c r="N387" i="10"/>
  <c r="A386" i="10"/>
  <c r="D385" i="10"/>
  <c r="A394" i="11"/>
  <c r="G392" i="11"/>
  <c r="E390" i="11"/>
  <c r="C388" i="11"/>
  <c r="L385" i="11"/>
  <c r="G384" i="11"/>
  <c r="E382" i="11"/>
  <c r="O392" i="21"/>
  <c r="V390" i="21"/>
  <c r="O383" i="9"/>
  <c r="G392" i="10"/>
  <c r="E382" i="10"/>
  <c r="H381" i="10"/>
  <c r="K380" i="10"/>
  <c r="N395" i="11"/>
  <c r="AC393" i="11"/>
  <c r="F387" i="11"/>
  <c r="I386" i="11"/>
  <c r="Y384" i="11"/>
  <c r="F395" i="21"/>
  <c r="I394" i="21"/>
  <c r="Z389" i="21"/>
  <c r="P388" i="9"/>
  <c r="L384" i="9"/>
  <c r="D393" i="10"/>
  <c r="H389" i="10"/>
  <c r="R383" i="10"/>
  <c r="B383" i="10"/>
  <c r="F379" i="10"/>
  <c r="I378" i="10"/>
  <c r="L377" i="10"/>
  <c r="M382" i="11"/>
  <c r="J390" i="9"/>
  <c r="M389" i="9"/>
  <c r="J391" i="11"/>
  <c r="F387" i="21"/>
  <c r="L385" i="21"/>
  <c r="C35" i="24"/>
  <c r="C30" i="24"/>
  <c r="N385" i="2"/>
  <c r="D24" i="24"/>
  <c r="D25" i="24"/>
  <c r="C26" i="24"/>
  <c r="D26" i="24" s="1"/>
  <c r="N392" i="2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Q392" i="10"/>
  <c r="F392" i="10"/>
  <c r="J389" i="10"/>
  <c r="D383" i="10"/>
  <c r="K378" i="10"/>
  <c r="F377" i="10"/>
  <c r="N382" i="2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O390" i="10"/>
  <c r="K386" i="10"/>
  <c r="N394" i="2"/>
  <c r="N390" i="2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H395" i="10"/>
  <c r="F393" i="10"/>
  <c r="G389" i="10"/>
  <c r="N388" i="10"/>
  <c r="F388" i="10"/>
  <c r="L383" i="10"/>
  <c r="A383" i="10"/>
  <c r="A379" i="10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K394" i="10"/>
  <c r="M388" i="10"/>
  <c r="E388" i="10"/>
  <c r="J381" i="10"/>
  <c r="F380" i="10"/>
  <c r="N396" i="2"/>
  <c r="N388" i="2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P395" i="10"/>
  <c r="B389" i="10"/>
  <c r="O382" i="10"/>
  <c r="M380" i="11"/>
  <c r="H379" i="11"/>
  <c r="A384" i="21"/>
  <c r="R381" i="21"/>
  <c r="G389" i="9"/>
  <c r="F387" i="9"/>
  <c r="N393" i="10"/>
  <c r="C386" i="10"/>
  <c r="H379" i="10"/>
  <c r="N380" i="2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5" i="10"/>
  <c r="R394" i="9"/>
  <c r="R395" i="21"/>
  <c r="P393" i="10"/>
  <c r="P392" i="9"/>
  <c r="P393" i="21"/>
  <c r="F391" i="10"/>
  <c r="F391" i="21"/>
  <c r="G388" i="11"/>
  <c r="G387" i="9"/>
  <c r="G388" i="21"/>
  <c r="M386" i="21"/>
  <c r="M386" i="11"/>
  <c r="M385" i="9"/>
  <c r="H385" i="11"/>
  <c r="H385" i="10"/>
  <c r="H385" i="21"/>
  <c r="H384" i="9"/>
  <c r="F383" i="21"/>
  <c r="F383" i="10"/>
  <c r="F383" i="11"/>
  <c r="O380" i="21"/>
  <c r="O380" i="11"/>
  <c r="J379" i="10"/>
  <c r="J379" i="21"/>
  <c r="J379" i="11"/>
  <c r="B379" i="10"/>
  <c r="B379" i="21"/>
  <c r="B379" i="11"/>
  <c r="P393" i="11"/>
  <c r="R393" i="21"/>
  <c r="C390" i="21"/>
  <c r="M400" i="10"/>
  <c r="E400" i="10"/>
  <c r="M399" i="10"/>
  <c r="M398" i="9"/>
  <c r="M399" i="21"/>
  <c r="E399" i="10"/>
  <c r="E398" i="9"/>
  <c r="E399" i="21"/>
  <c r="P398" i="10"/>
  <c r="P397" i="9"/>
  <c r="P398" i="21"/>
  <c r="H398" i="10"/>
  <c r="H397" i="9"/>
  <c r="H398" i="21"/>
  <c r="S397" i="10"/>
  <c r="S397" i="21"/>
  <c r="K397" i="10"/>
  <c r="K397" i="21"/>
  <c r="C397" i="10"/>
  <c r="C397" i="21"/>
  <c r="Q394" i="9"/>
  <c r="Q395" i="21"/>
  <c r="I394" i="9"/>
  <c r="I395" i="21"/>
  <c r="A394" i="9"/>
  <c r="A395" i="21"/>
  <c r="L394" i="10"/>
  <c r="L393" i="9"/>
  <c r="L394" i="21"/>
  <c r="D394" i="10"/>
  <c r="D393" i="9"/>
  <c r="D394" i="21"/>
  <c r="O392" i="9"/>
  <c r="O393" i="21"/>
  <c r="G392" i="9"/>
  <c r="G393" i="21"/>
  <c r="R392" i="10"/>
  <c r="R392" i="11"/>
  <c r="R392" i="21"/>
  <c r="R391" i="9"/>
  <c r="J392" i="10"/>
  <c r="J392" i="11"/>
  <c r="J392" i="21"/>
  <c r="J391" i="9"/>
  <c r="B392" i="10"/>
  <c r="B392" i="11"/>
  <c r="B392" i="21"/>
  <c r="B391" i="9"/>
  <c r="M391" i="11"/>
  <c r="M391" i="10"/>
  <c r="M391" i="21"/>
  <c r="E391" i="11"/>
  <c r="E391" i="10"/>
  <c r="E391" i="21"/>
  <c r="P390" i="21"/>
  <c r="P390" i="10"/>
  <c r="P390" i="11"/>
  <c r="H390" i="21"/>
  <c r="H390" i="10"/>
  <c r="H390" i="11"/>
  <c r="K388" i="9"/>
  <c r="K389" i="11"/>
  <c r="K389" i="21"/>
  <c r="K389" i="10"/>
  <c r="C388" i="9"/>
  <c r="C389" i="11"/>
  <c r="C389" i="21"/>
  <c r="C389" i="10"/>
  <c r="Q386" i="9"/>
  <c r="Q387" i="11"/>
  <c r="I386" i="9"/>
  <c r="I387" i="11"/>
  <c r="A386" i="9"/>
  <c r="A387" i="11"/>
  <c r="L386" i="10"/>
  <c r="L386" i="11"/>
  <c r="L385" i="9"/>
  <c r="D386" i="10"/>
  <c r="D386" i="11"/>
  <c r="D385" i="9"/>
  <c r="O385" i="21"/>
  <c r="O384" i="9"/>
  <c r="G385" i="21"/>
  <c r="G384" i="9"/>
  <c r="R384" i="10"/>
  <c r="R383" i="9"/>
  <c r="R384" i="11"/>
  <c r="J384" i="10"/>
  <c r="J383" i="9"/>
  <c r="J384" i="11"/>
  <c r="B384" i="10"/>
  <c r="B383" i="9"/>
  <c r="B384" i="11"/>
  <c r="M383" i="10"/>
  <c r="M383" i="11"/>
  <c r="E383" i="10"/>
  <c r="E383" i="11"/>
  <c r="K380" i="9"/>
  <c r="K381" i="21"/>
  <c r="K381" i="11"/>
  <c r="K381" i="10"/>
  <c r="C380" i="9"/>
  <c r="C381" i="21"/>
  <c r="C381" i="11"/>
  <c r="C381" i="10"/>
  <c r="L378" i="10"/>
  <c r="L378" i="11"/>
  <c r="D378" i="10"/>
  <c r="D378" i="11"/>
  <c r="D396" i="9"/>
  <c r="D397" i="10"/>
  <c r="K392" i="10"/>
  <c r="K392" i="11"/>
  <c r="K392" i="21"/>
  <c r="Q389" i="9"/>
  <c r="Q390" i="21"/>
  <c r="Q390" i="10"/>
  <c r="Q390" i="11"/>
  <c r="D389" i="11"/>
  <c r="D389" i="21"/>
  <c r="B387" i="10"/>
  <c r="B387" i="21"/>
  <c r="B386" i="9"/>
  <c r="C384" i="21"/>
  <c r="C384" i="10"/>
  <c r="I381" i="9"/>
  <c r="I382" i="21"/>
  <c r="I382" i="11"/>
  <c r="I382" i="10"/>
  <c r="G380" i="21"/>
  <c r="G380" i="11"/>
  <c r="P377" i="11"/>
  <c r="P377" i="10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O396" i="10"/>
  <c r="G396" i="10"/>
  <c r="M394" i="10"/>
  <c r="D389" i="10"/>
  <c r="H383" i="10"/>
  <c r="L381" i="10"/>
  <c r="B395" i="10"/>
  <c r="B394" i="9"/>
  <c r="B395" i="21"/>
  <c r="C392" i="10"/>
  <c r="C392" i="11"/>
  <c r="C392" i="21"/>
  <c r="I389" i="9"/>
  <c r="I390" i="21"/>
  <c r="I390" i="10"/>
  <c r="I390" i="11"/>
  <c r="O388" i="11"/>
  <c r="O387" i="9"/>
  <c r="O388" i="21"/>
  <c r="E386" i="21"/>
  <c r="E386" i="11"/>
  <c r="E385" i="9"/>
  <c r="N383" i="21"/>
  <c r="N383" i="10"/>
  <c r="N383" i="11"/>
  <c r="Q381" i="9"/>
  <c r="Q382" i="21"/>
  <c r="Q382" i="11"/>
  <c r="Q382" i="10"/>
  <c r="R379" i="10"/>
  <c r="R379" i="21"/>
  <c r="R379" i="11"/>
  <c r="H377" i="11"/>
  <c r="H377" i="10"/>
  <c r="H377" i="21"/>
  <c r="C390" i="11"/>
  <c r="P383" i="11"/>
  <c r="E394" i="21"/>
  <c r="K390" i="21"/>
  <c r="K396" i="9"/>
  <c r="F395" i="9"/>
  <c r="K391" i="9"/>
  <c r="S400" i="10"/>
  <c r="K400" i="10"/>
  <c r="C400" i="10"/>
  <c r="N396" i="10"/>
  <c r="F396" i="10"/>
  <c r="G393" i="10"/>
  <c r="A387" i="10"/>
  <c r="O385" i="10"/>
  <c r="I379" i="10"/>
  <c r="A389" i="9"/>
  <c r="A390" i="21"/>
  <c r="A390" i="10"/>
  <c r="A390" i="11"/>
  <c r="R387" i="10"/>
  <c r="R387" i="21"/>
  <c r="R386" i="9"/>
  <c r="P385" i="11"/>
  <c r="P385" i="10"/>
  <c r="P385" i="21"/>
  <c r="P384" i="9"/>
  <c r="A381" i="9"/>
  <c r="A382" i="21"/>
  <c r="A382" i="11"/>
  <c r="A382" i="10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R400" i="10"/>
  <c r="J400" i="10"/>
  <c r="B400" i="10"/>
  <c r="H391" i="10"/>
  <c r="P383" i="10"/>
  <c r="Q380" i="10"/>
  <c r="I380" i="10"/>
  <c r="A380" i="10"/>
  <c r="E378" i="10"/>
  <c r="L396" i="9"/>
  <c r="L397" i="10"/>
  <c r="J395" i="10"/>
  <c r="J394" i="9"/>
  <c r="J395" i="21"/>
  <c r="H393" i="11"/>
  <c r="H393" i="10"/>
  <c r="H392" i="9"/>
  <c r="H393" i="21"/>
  <c r="N391" i="10"/>
  <c r="N391" i="21"/>
  <c r="L389" i="11"/>
  <c r="L389" i="21"/>
  <c r="J387" i="10"/>
  <c r="J387" i="21"/>
  <c r="J386" i="9"/>
  <c r="K384" i="21"/>
  <c r="K384" i="10"/>
  <c r="K390" i="11"/>
  <c r="M394" i="21"/>
  <c r="S396" i="9"/>
  <c r="N395" i="9"/>
  <c r="P390" i="9"/>
  <c r="H390" i="9"/>
  <c r="D388" i="9"/>
  <c r="M382" i="9"/>
  <c r="E382" i="9"/>
  <c r="A395" i="10"/>
  <c r="O393" i="10"/>
  <c r="C390" i="10"/>
  <c r="I387" i="10"/>
  <c r="Q379" i="10"/>
  <c r="F391" i="11"/>
  <c r="J387" i="11"/>
  <c r="K384" i="11"/>
  <c r="H401" i="21"/>
  <c r="N399" i="21"/>
  <c r="A398" i="21"/>
  <c r="G396" i="21"/>
  <c r="A397" i="9"/>
  <c r="C383" i="9"/>
  <c r="F399" i="10"/>
  <c r="E386" i="10"/>
  <c r="O380" i="10"/>
  <c r="G380" i="10"/>
  <c r="M378" i="10"/>
  <c r="R401" i="21"/>
  <c r="R400" i="9"/>
  <c r="J401" i="21"/>
  <c r="J400" i="9"/>
  <c r="B401" i="21"/>
  <c r="B400" i="9"/>
  <c r="M400" i="21"/>
  <c r="M399" i="9"/>
  <c r="E400" i="21"/>
  <c r="E399" i="9"/>
  <c r="P399" i="21"/>
  <c r="P399" i="10"/>
  <c r="H399" i="21"/>
  <c r="H399" i="10"/>
  <c r="S397" i="9"/>
  <c r="S398" i="21"/>
  <c r="S398" i="10"/>
  <c r="K397" i="9"/>
  <c r="K398" i="21"/>
  <c r="K398" i="10"/>
  <c r="C397" i="9"/>
  <c r="C398" i="21"/>
  <c r="C398" i="10"/>
  <c r="N397" i="21"/>
  <c r="N396" i="9"/>
  <c r="F397" i="21"/>
  <c r="F396" i="9"/>
  <c r="Q396" i="21"/>
  <c r="Q395" i="9"/>
  <c r="I396" i="21"/>
  <c r="I395" i="9"/>
  <c r="A396" i="21"/>
  <c r="A395" i="9"/>
  <c r="L395" i="10"/>
  <c r="L394" i="9"/>
  <c r="D395" i="10"/>
  <c r="D394" i="9"/>
  <c r="O394" i="21"/>
  <c r="O394" i="10"/>
  <c r="G394" i="21"/>
  <c r="G394" i="10"/>
  <c r="B393" i="11"/>
  <c r="B393" i="10"/>
  <c r="M391" i="9"/>
  <c r="M392" i="10"/>
  <c r="E391" i="9"/>
  <c r="E392" i="10"/>
  <c r="N389" i="10"/>
  <c r="N388" i="9"/>
  <c r="N389" i="11"/>
  <c r="F389" i="10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10"/>
  <c r="L387" i="21"/>
  <c r="L386" i="9"/>
  <c r="D387" i="11"/>
  <c r="D387" i="10"/>
  <c r="D387" i="21"/>
  <c r="D386" i="9"/>
  <c r="O386" i="10"/>
  <c r="O386" i="21"/>
  <c r="O386" i="11"/>
  <c r="G386" i="10"/>
  <c r="G386" i="21"/>
  <c r="G386" i="11"/>
  <c r="R385" i="11"/>
  <c r="R385" i="10"/>
  <c r="R385" i="21"/>
  <c r="J385" i="11"/>
  <c r="J385" i="10"/>
  <c r="J385" i="21"/>
  <c r="B385" i="11"/>
  <c r="B385" i="10"/>
  <c r="B385" i="21"/>
  <c r="M383" i="9"/>
  <c r="M384" i="11"/>
  <c r="M384" i="21"/>
  <c r="M384" i="10"/>
  <c r="E383" i="9"/>
  <c r="E384" i="11"/>
  <c r="E384" i="21"/>
  <c r="E384" i="10"/>
  <c r="K381" i="9"/>
  <c r="K382" i="21"/>
  <c r="K382" i="11"/>
  <c r="C381" i="9"/>
  <c r="C382" i="21"/>
  <c r="C382" i="11"/>
  <c r="N381" i="10"/>
  <c r="N380" i="9"/>
  <c r="N381" i="21"/>
  <c r="F381" i="10"/>
  <c r="F380" i="9"/>
  <c r="F381" i="21"/>
  <c r="L379" i="10"/>
  <c r="L379" i="21"/>
  <c r="L379" i="11"/>
  <c r="D379" i="10"/>
  <c r="D379" i="21"/>
  <c r="D379" i="11"/>
  <c r="O378" i="10"/>
  <c r="O378" i="11"/>
  <c r="O378" i="21"/>
  <c r="G378" i="10"/>
  <c r="G378" i="11"/>
  <c r="G378" i="21"/>
  <c r="R377" i="11"/>
  <c r="R377" i="10"/>
  <c r="R377" i="21"/>
  <c r="J377" i="11"/>
  <c r="J377" i="10"/>
  <c r="J377" i="21"/>
  <c r="B377" i="11"/>
  <c r="B377" i="10"/>
  <c r="B377" i="21"/>
  <c r="D395" i="21"/>
  <c r="P398" i="9"/>
  <c r="N390" i="9"/>
  <c r="F390" i="9"/>
  <c r="L388" i="9"/>
  <c r="K390" i="10"/>
  <c r="Y384" i="9"/>
  <c r="Y385" i="10"/>
  <c r="Y385" i="11"/>
  <c r="Y385" i="21"/>
  <c r="V387" i="9"/>
  <c r="V388" i="10"/>
  <c r="V388" i="21"/>
  <c r="V388" i="11"/>
  <c r="X385" i="9"/>
  <c r="X386" i="10"/>
  <c r="X386" i="11"/>
  <c r="X386" i="21"/>
  <c r="AA391" i="10"/>
  <c r="AA390" i="9"/>
  <c r="AA391" i="11"/>
  <c r="AA391" i="21"/>
  <c r="AC389" i="10"/>
  <c r="AC388" i="9"/>
  <c r="AC389" i="11"/>
  <c r="AC389" i="21"/>
  <c r="W386" i="9"/>
  <c r="W387" i="10"/>
  <c r="W387" i="21"/>
  <c r="W387" i="11"/>
  <c r="AH384" i="21"/>
  <c r="AH384" i="11"/>
  <c r="AI391" i="21"/>
  <c r="AI391" i="11"/>
  <c r="AB390" i="10"/>
  <c r="AB389" i="9"/>
  <c r="AB390" i="21"/>
  <c r="AB390" i="11"/>
  <c r="U389" i="10"/>
  <c r="U388" i="9"/>
  <c r="U389" i="11"/>
  <c r="U389" i="21"/>
  <c r="AF385" i="9"/>
  <c r="AF386" i="10"/>
  <c r="AF386" i="21"/>
  <c r="AF386" i="11"/>
  <c r="AG384" i="9"/>
  <c r="AG385" i="10"/>
  <c r="AG385" i="11"/>
  <c r="AG385" i="21"/>
  <c r="AG391" i="10"/>
  <c r="AG390" i="9"/>
  <c r="AG391" i="21"/>
  <c r="AG391" i="11"/>
  <c r="Z390" i="10"/>
  <c r="Z389" i="9"/>
  <c r="Z390" i="11"/>
  <c r="Z390" i="21"/>
  <c r="AB387" i="9"/>
  <c r="AB388" i="10"/>
  <c r="AB388" i="21"/>
  <c r="AB388" i="11"/>
  <c r="V385" i="9"/>
  <c r="V386" i="10"/>
  <c r="V386" i="11"/>
  <c r="V386" i="21"/>
  <c r="AE384" i="9"/>
  <c r="AE385" i="10"/>
  <c r="AE385" i="21"/>
  <c r="AE385" i="11"/>
  <c r="AF383" i="9"/>
  <c r="AF384" i="10"/>
  <c r="AF384" i="21"/>
  <c r="AF384" i="11"/>
  <c r="AG382" i="9"/>
  <c r="AG383" i="10"/>
  <c r="AG383" i="21"/>
  <c r="AG383" i="11"/>
  <c r="S380" i="9"/>
  <c r="S381" i="10"/>
  <c r="S381" i="11"/>
  <c r="S381" i="21"/>
  <c r="V378" i="10"/>
  <c r="V378" i="11"/>
  <c r="V378" i="21"/>
  <c r="W377" i="10"/>
  <c r="W377" i="21"/>
  <c r="W377" i="11"/>
  <c r="AF394" i="10"/>
  <c r="AF393" i="9"/>
  <c r="AF394" i="11"/>
  <c r="AF394" i="21"/>
  <c r="X394" i="10"/>
  <c r="X393" i="9"/>
  <c r="X394" i="21"/>
  <c r="X394" i="11"/>
  <c r="Y393" i="10"/>
  <c r="Y392" i="9"/>
  <c r="Y393" i="11"/>
  <c r="Y393" i="21"/>
  <c r="Z392" i="10"/>
  <c r="Z391" i="9"/>
  <c r="Z392" i="21"/>
  <c r="Z392" i="11"/>
  <c r="AG395" i="10"/>
  <c r="AG394" i="9"/>
  <c r="AG395" i="21"/>
  <c r="AG395" i="11"/>
  <c r="Y395" i="10"/>
  <c r="Y394" i="9"/>
  <c r="Y395" i="21"/>
  <c r="Y395" i="11"/>
  <c r="S391" i="10"/>
  <c r="S390" i="9"/>
  <c r="S391" i="21"/>
  <c r="S391" i="11"/>
  <c r="AD387" i="9"/>
  <c r="AD388" i="10"/>
  <c r="AD388" i="21"/>
  <c r="AD388" i="11"/>
  <c r="Z383" i="9"/>
  <c r="Z384" i="10"/>
  <c r="Z384" i="21"/>
  <c r="Z384" i="11"/>
  <c r="Y391" i="10"/>
  <c r="Y390" i="9"/>
  <c r="Y391" i="11"/>
  <c r="Y391" i="21"/>
  <c r="AI389" i="21"/>
  <c r="AI389" i="11"/>
  <c r="S388" i="9"/>
  <c r="S389" i="10"/>
  <c r="S389" i="21"/>
  <c r="S389" i="11"/>
  <c r="AC386" i="9"/>
  <c r="AC387" i="10"/>
  <c r="AC387" i="11"/>
  <c r="AC387" i="21"/>
  <c r="Y382" i="9"/>
  <c r="Y383" i="10"/>
  <c r="Y383" i="21"/>
  <c r="Y383" i="11"/>
  <c r="Z381" i="9"/>
  <c r="Z382" i="21"/>
  <c r="Z382" i="10"/>
  <c r="Z382" i="11"/>
  <c r="AI381" i="21"/>
  <c r="AI381" i="11"/>
  <c r="AB380" i="21"/>
  <c r="AB380" i="10"/>
  <c r="AB380" i="11"/>
  <c r="U379" i="21"/>
  <c r="U379" i="10"/>
  <c r="U379" i="11"/>
  <c r="AH392" i="21"/>
  <c r="AH392" i="11"/>
  <c r="T390" i="10"/>
  <c r="T389" i="9"/>
  <c r="T390" i="21"/>
  <c r="T390" i="11"/>
  <c r="AE386" i="9"/>
  <c r="AE387" i="10"/>
  <c r="AE387" i="21"/>
  <c r="AI383" i="21"/>
  <c r="AI383" i="11"/>
  <c r="AH390" i="11"/>
  <c r="AH390" i="21"/>
  <c r="AA388" i="9"/>
  <c r="AA389" i="10"/>
  <c r="AA389" i="21"/>
  <c r="AA389" i="11"/>
  <c r="T387" i="9"/>
  <c r="T388" i="10"/>
  <c r="T388" i="11"/>
  <c r="T388" i="21"/>
  <c r="U386" i="9"/>
  <c r="U387" i="10"/>
  <c r="U387" i="21"/>
  <c r="U387" i="11"/>
  <c r="AD385" i="9"/>
  <c r="AD386" i="10"/>
  <c r="AD386" i="11"/>
  <c r="AD386" i="21"/>
  <c r="W384" i="9"/>
  <c r="W385" i="10"/>
  <c r="W385" i="21"/>
  <c r="W385" i="11"/>
  <c r="X383" i="9"/>
  <c r="X384" i="10"/>
  <c r="X384" i="21"/>
  <c r="X384" i="11"/>
  <c r="AH382" i="21"/>
  <c r="AH382" i="11"/>
  <c r="AA380" i="9"/>
  <c r="AA381" i="10"/>
  <c r="AA381" i="21"/>
  <c r="AA381" i="11"/>
  <c r="T380" i="21"/>
  <c r="T380" i="10"/>
  <c r="T380" i="11"/>
  <c r="AC379" i="21"/>
  <c r="AC379" i="10"/>
  <c r="AC379" i="11"/>
  <c r="AD378" i="10"/>
  <c r="AD378" i="21"/>
  <c r="AD378" i="11"/>
  <c r="AE377" i="10"/>
  <c r="AE377" i="21"/>
  <c r="AG393" i="10"/>
  <c r="AG392" i="9"/>
  <c r="AG393" i="11"/>
  <c r="AG393" i="21"/>
  <c r="AE377" i="11"/>
  <c r="AD380" i="21"/>
  <c r="N395" i="2"/>
  <c r="AF391" i="10"/>
  <c r="AF390" i="9"/>
  <c r="AF391" i="21"/>
  <c r="X391" i="10"/>
  <c r="X390" i="9"/>
  <c r="AG390" i="10"/>
  <c r="AG389" i="9"/>
  <c r="AG390" i="21"/>
  <c r="Y390" i="10"/>
  <c r="Y389" i="9"/>
  <c r="Y390" i="21"/>
  <c r="Z389" i="10"/>
  <c r="Z388" i="9"/>
  <c r="AA388" i="10"/>
  <c r="AA387" i="9"/>
  <c r="AA388" i="21"/>
  <c r="S388" i="10"/>
  <c r="S387" i="9"/>
  <c r="S388" i="21"/>
  <c r="AB387" i="10"/>
  <c r="AB386" i="9"/>
  <c r="T387" i="10"/>
  <c r="T386" i="9"/>
  <c r="AC386" i="10"/>
  <c r="AC385" i="9"/>
  <c r="AC386" i="21"/>
  <c r="U386" i="10"/>
  <c r="U386" i="21"/>
  <c r="U385" i="9"/>
  <c r="AD385" i="10"/>
  <c r="AD384" i="9"/>
  <c r="V385" i="10"/>
  <c r="V384" i="9"/>
  <c r="AE384" i="10"/>
  <c r="AE383" i="9"/>
  <c r="AE384" i="21"/>
  <c r="W384" i="10"/>
  <c r="W383" i="9"/>
  <c r="W384" i="21"/>
  <c r="AF383" i="10"/>
  <c r="AF382" i="9"/>
  <c r="X383" i="10"/>
  <c r="X382" i="9"/>
  <c r="X383" i="21"/>
  <c r="AG382" i="10"/>
  <c r="AG381" i="9"/>
  <c r="Y382" i="10"/>
  <c r="Y381" i="9"/>
  <c r="Y382" i="21"/>
  <c r="Z381" i="10"/>
  <c r="Z380" i="9"/>
  <c r="Z381" i="21"/>
  <c r="AA380" i="10"/>
  <c r="AA380" i="21"/>
  <c r="S380" i="10"/>
  <c r="S380" i="21"/>
  <c r="AB379" i="10"/>
  <c r="AB379" i="21"/>
  <c r="AB379" i="11"/>
  <c r="T379" i="10"/>
  <c r="T379" i="11"/>
  <c r="T379" i="21"/>
  <c r="U378" i="10"/>
  <c r="U378" i="21"/>
  <c r="AD377" i="10"/>
  <c r="AD377" i="21"/>
  <c r="V377" i="10"/>
  <c r="V377" i="21"/>
  <c r="AE394" i="10"/>
  <c r="AE393" i="9"/>
  <c r="W394" i="10"/>
  <c r="W393" i="9"/>
  <c r="W394" i="21"/>
  <c r="AF393" i="10"/>
  <c r="AF392" i="9"/>
  <c r="AF393" i="21"/>
  <c r="X393" i="10"/>
  <c r="X392" i="9"/>
  <c r="X393" i="21"/>
  <c r="AG392" i="10"/>
  <c r="AG391" i="9"/>
  <c r="Y392" i="10"/>
  <c r="Y391" i="9"/>
  <c r="Y392" i="21"/>
  <c r="AF395" i="10"/>
  <c r="AF394" i="9"/>
  <c r="X395" i="10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N391" i="2"/>
  <c r="N384" i="2"/>
  <c r="AE391" i="10"/>
  <c r="AE390" i="9"/>
  <c r="AE391" i="11"/>
  <c r="W391" i="10"/>
  <c r="W390" i="9"/>
  <c r="W391" i="11"/>
  <c r="W391" i="21"/>
  <c r="AF390" i="10"/>
  <c r="AF389" i="9"/>
  <c r="AF390" i="21"/>
  <c r="X390" i="10"/>
  <c r="X389" i="9"/>
  <c r="X390" i="21"/>
  <c r="AG389" i="10"/>
  <c r="AG388" i="9"/>
  <c r="Y389" i="10"/>
  <c r="Y388" i="9"/>
  <c r="Y389" i="21"/>
  <c r="Z388" i="10"/>
  <c r="Z387" i="9"/>
  <c r="Z388" i="11"/>
  <c r="AI387" i="21"/>
  <c r="AI387" i="11"/>
  <c r="AA387" i="10"/>
  <c r="AA386" i="9"/>
  <c r="AA387" i="11"/>
  <c r="S387" i="10"/>
  <c r="S386" i="9"/>
  <c r="S387" i="11"/>
  <c r="AB386" i="10"/>
  <c r="AB385" i="9"/>
  <c r="AB386" i="21"/>
  <c r="T386" i="10"/>
  <c r="T385" i="9"/>
  <c r="T386" i="21"/>
  <c r="AC385" i="10"/>
  <c r="AC384" i="9"/>
  <c r="AC385" i="21"/>
  <c r="U385" i="10"/>
  <c r="U384" i="9"/>
  <c r="AD384" i="10"/>
  <c r="AD383" i="9"/>
  <c r="AD384" i="11"/>
  <c r="V384" i="10"/>
  <c r="V383" i="9"/>
  <c r="V384" i="11"/>
  <c r="AE383" i="10"/>
  <c r="AE382" i="9"/>
  <c r="AE383" i="11"/>
  <c r="W383" i="10"/>
  <c r="W382" i="9"/>
  <c r="W383" i="11"/>
  <c r="W383" i="21"/>
  <c r="AF382" i="10"/>
  <c r="AF381" i="9"/>
  <c r="X382" i="10"/>
  <c r="X381" i="9"/>
  <c r="X382" i="21"/>
  <c r="AG381" i="10"/>
  <c r="AG380" i="9"/>
  <c r="AG381" i="21"/>
  <c r="Y381" i="10"/>
  <c r="Y380" i="9"/>
  <c r="Y381" i="21"/>
  <c r="AH380" i="21"/>
  <c r="AH380" i="11"/>
  <c r="Z380" i="10"/>
  <c r="Z380" i="11"/>
  <c r="AI379" i="21"/>
  <c r="AI379" i="11"/>
  <c r="AA379" i="10"/>
  <c r="AA379" i="11"/>
  <c r="S379" i="10"/>
  <c r="S379" i="21"/>
  <c r="S379" i="11"/>
  <c r="AB378" i="10"/>
  <c r="AB378" i="21"/>
  <c r="T378" i="10"/>
  <c r="T378" i="21"/>
  <c r="AC377" i="10"/>
  <c r="AC377" i="21"/>
  <c r="U377" i="10"/>
  <c r="U377" i="21"/>
  <c r="AD394" i="10"/>
  <c r="AD393" i="9"/>
  <c r="AD394" i="11"/>
  <c r="V394" i="10"/>
  <c r="V393" i="9"/>
  <c r="V394" i="11"/>
  <c r="AE393" i="10"/>
  <c r="AE393" i="21"/>
  <c r="AE392" i="9"/>
  <c r="W393" i="10"/>
  <c r="W393" i="21"/>
  <c r="AF392" i="10"/>
  <c r="AF391" i="9"/>
  <c r="X392" i="10"/>
  <c r="X391" i="9"/>
  <c r="X392" i="21"/>
  <c r="AE395" i="10"/>
  <c r="AE394" i="9"/>
  <c r="W395" i="10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10"/>
  <c r="AD391" i="21"/>
  <c r="V391" i="10"/>
  <c r="V390" i="9"/>
  <c r="V391" i="21"/>
  <c r="AE390" i="10"/>
  <c r="AE389" i="9"/>
  <c r="W389" i="9"/>
  <c r="W390" i="10"/>
  <c r="AF389" i="10"/>
  <c r="AF388" i="9"/>
  <c r="AF389" i="21"/>
  <c r="X388" i="9"/>
  <c r="X389" i="21"/>
  <c r="X389" i="10"/>
  <c r="AG388" i="10"/>
  <c r="AG387" i="9"/>
  <c r="Y388" i="10"/>
  <c r="Y387" i="9"/>
  <c r="Z386" i="9"/>
  <c r="Z387" i="10"/>
  <c r="Z387" i="21"/>
  <c r="AA385" i="9"/>
  <c r="AA386" i="10"/>
  <c r="S385" i="9"/>
  <c r="S386" i="10"/>
  <c r="S386" i="21"/>
  <c r="AB384" i="9"/>
  <c r="AB385" i="10"/>
  <c r="AB385" i="21"/>
  <c r="T384" i="9"/>
  <c r="T385" i="21"/>
  <c r="T385" i="10"/>
  <c r="U384" i="10"/>
  <c r="U383" i="9"/>
  <c r="U384" i="21"/>
  <c r="AD383" i="10"/>
  <c r="AD382" i="9"/>
  <c r="V382" i="9"/>
  <c r="V383" i="10"/>
  <c r="V383" i="21"/>
  <c r="AE382" i="10"/>
  <c r="AE381" i="9"/>
  <c r="W382" i="10"/>
  <c r="W381" i="9"/>
  <c r="W382" i="21"/>
  <c r="AF380" i="9"/>
  <c r="AF381" i="10"/>
  <c r="X380" i="9"/>
  <c r="X381" i="10"/>
  <c r="X381" i="21"/>
  <c r="AG380" i="10"/>
  <c r="AG380" i="21"/>
  <c r="AG380" i="11"/>
  <c r="Y380" i="10"/>
  <c r="Y380" i="11"/>
  <c r="AA378" i="10"/>
  <c r="AA378" i="21"/>
  <c r="S378" i="21"/>
  <c r="S378" i="10"/>
  <c r="AB377" i="10"/>
  <c r="AB377" i="21"/>
  <c r="T377" i="10"/>
  <c r="T377" i="21"/>
  <c r="AC394" i="10"/>
  <c r="AC393" i="9"/>
  <c r="AC394" i="21"/>
  <c r="U394" i="10"/>
  <c r="U393" i="9"/>
  <c r="U394" i="21"/>
  <c r="AD393" i="10"/>
  <c r="AD392" i="9"/>
  <c r="AD393" i="21"/>
  <c r="V393" i="10"/>
  <c r="V392" i="9"/>
  <c r="AE392" i="10"/>
  <c r="AE391" i="9"/>
  <c r="AE392" i="21"/>
  <c r="W392" i="10"/>
  <c r="W391" i="9"/>
  <c r="W392" i="21"/>
  <c r="AD395" i="10"/>
  <c r="AD394" i="9"/>
  <c r="AD395" i="21"/>
  <c r="V395" i="10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N383" i="2"/>
  <c r="AC391" i="10"/>
  <c r="AC390" i="9"/>
  <c r="AC391" i="21"/>
  <c r="U391" i="10"/>
  <c r="U390" i="9"/>
  <c r="U391" i="21"/>
  <c r="AD390" i="10"/>
  <c r="AD389" i="9"/>
  <c r="AD390" i="21"/>
  <c r="V390" i="10"/>
  <c r="V389" i="9"/>
  <c r="AE389" i="10"/>
  <c r="AE388" i="9"/>
  <c r="AE389" i="11"/>
  <c r="W389" i="10"/>
  <c r="W388" i="9"/>
  <c r="W389" i="21"/>
  <c r="W389" i="11"/>
  <c r="AF388" i="10"/>
  <c r="AF387" i="9"/>
  <c r="AF388" i="11"/>
  <c r="AF388" i="21"/>
  <c r="X388" i="10"/>
  <c r="X387" i="9"/>
  <c r="X388" i="11"/>
  <c r="AG387" i="10"/>
  <c r="AG386" i="9"/>
  <c r="AG387" i="21"/>
  <c r="Y387" i="10"/>
  <c r="Y387" i="21"/>
  <c r="Y386" i="9"/>
  <c r="Z386" i="10"/>
  <c r="Z385" i="9"/>
  <c r="AA385" i="10"/>
  <c r="AA384" i="9"/>
  <c r="AA385" i="21"/>
  <c r="AA385" i="11"/>
  <c r="S385" i="10"/>
  <c r="S384" i="9"/>
  <c r="S385" i="11"/>
  <c r="AB384" i="10"/>
  <c r="AB383" i="9"/>
  <c r="AB384" i="11"/>
  <c r="T384" i="10"/>
  <c r="T383" i="9"/>
  <c r="T384" i="11"/>
  <c r="T384" i="21"/>
  <c r="AC383" i="10"/>
  <c r="AC382" i="9"/>
  <c r="AC383" i="21"/>
  <c r="U383" i="10"/>
  <c r="U382" i="9"/>
  <c r="U383" i="21"/>
  <c r="AD382" i="10"/>
  <c r="AD382" i="21"/>
  <c r="AD381" i="9"/>
  <c r="V382" i="10"/>
  <c r="V382" i="21"/>
  <c r="V381" i="9"/>
  <c r="AE381" i="10"/>
  <c r="AE380" i="9"/>
  <c r="AE381" i="21"/>
  <c r="AE381" i="11"/>
  <c r="W381" i="10"/>
  <c r="W380" i="9"/>
  <c r="W381" i="11"/>
  <c r="AF380" i="10"/>
  <c r="AF380" i="21"/>
  <c r="AF380" i="11"/>
  <c r="X380" i="10"/>
  <c r="X380" i="11"/>
  <c r="AG379" i="10"/>
  <c r="AG379" i="21"/>
  <c r="Z378" i="10"/>
  <c r="Z378" i="21"/>
  <c r="AI377" i="21"/>
  <c r="AI377" i="11"/>
  <c r="AA377" i="10"/>
  <c r="AA377" i="11"/>
  <c r="S377" i="10"/>
  <c r="S377" i="21"/>
  <c r="S377" i="11"/>
  <c r="AB394" i="10"/>
  <c r="AB393" i="9"/>
  <c r="AB394" i="21"/>
  <c r="T394" i="10"/>
  <c r="T393" i="9"/>
  <c r="T394" i="21"/>
  <c r="AC393" i="10"/>
  <c r="AC392" i="9"/>
  <c r="U393" i="10"/>
  <c r="U392" i="9"/>
  <c r="U393" i="21"/>
  <c r="AD392" i="10"/>
  <c r="AD391" i="9"/>
  <c r="V392" i="10"/>
  <c r="V391" i="9"/>
  <c r="AC395" i="10"/>
  <c r="AC394" i="9"/>
  <c r="AC395" i="21"/>
  <c r="U395" i="10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1" i="10"/>
  <c r="AB390" i="9"/>
  <c r="T391" i="10"/>
  <c r="T390" i="9"/>
  <c r="T391" i="21"/>
  <c r="AC390" i="10"/>
  <c r="AC389" i="9"/>
  <c r="AC390" i="21"/>
  <c r="U390" i="10"/>
  <c r="U389" i="9"/>
  <c r="U390" i="21"/>
  <c r="AD389" i="10"/>
  <c r="AD388" i="9"/>
  <c r="V389" i="10"/>
  <c r="V388" i="9"/>
  <c r="V389" i="21"/>
  <c r="AE388" i="10"/>
  <c r="AE387" i="9"/>
  <c r="AE388" i="21"/>
  <c r="W388" i="10"/>
  <c r="W388" i="21"/>
  <c r="W387" i="9"/>
  <c r="AF387" i="10"/>
  <c r="AF386" i="9"/>
  <c r="X387" i="10"/>
  <c r="X386" i="9"/>
  <c r="X387" i="21"/>
  <c r="AG386" i="10"/>
  <c r="AG385" i="9"/>
  <c r="AG386" i="21"/>
  <c r="Y386" i="10"/>
  <c r="Y385" i="9"/>
  <c r="Y386" i="21"/>
  <c r="Z385" i="10"/>
  <c r="Z384" i="9"/>
  <c r="Z385" i="21"/>
  <c r="AA384" i="10"/>
  <c r="AA384" i="21"/>
  <c r="AA383" i="9"/>
  <c r="S384" i="10"/>
  <c r="S383" i="9"/>
  <c r="S384" i="21"/>
  <c r="AB383" i="10"/>
  <c r="AB382" i="9"/>
  <c r="AB383" i="21"/>
  <c r="T383" i="10"/>
  <c r="T382" i="9"/>
  <c r="T383" i="21"/>
  <c r="AC382" i="10"/>
  <c r="AC381" i="9"/>
  <c r="AC382" i="21"/>
  <c r="U382" i="10"/>
  <c r="U381" i="9"/>
  <c r="AD381" i="10"/>
  <c r="AD380" i="9"/>
  <c r="AD381" i="21"/>
  <c r="AD381" i="11"/>
  <c r="V381" i="10"/>
  <c r="V380" i="9"/>
  <c r="V381" i="11"/>
  <c r="AE380" i="10"/>
  <c r="AE380" i="21"/>
  <c r="W380" i="10"/>
  <c r="W380" i="21"/>
  <c r="AF379" i="10"/>
  <c r="AF379" i="21"/>
  <c r="X379" i="10"/>
  <c r="X379" i="21"/>
  <c r="Y378" i="10"/>
  <c r="Y378" i="21"/>
  <c r="Z377" i="10"/>
  <c r="Z377" i="21"/>
  <c r="Z377" i="11"/>
  <c r="AA393" i="9"/>
  <c r="AA394" i="10"/>
  <c r="S393" i="9"/>
  <c r="S394" i="10"/>
  <c r="AB392" i="9"/>
  <c r="AB393" i="21"/>
  <c r="AB393" i="10"/>
  <c r="T392" i="9"/>
  <c r="T393" i="21"/>
  <c r="T393" i="10"/>
  <c r="AC392" i="10"/>
  <c r="AC391" i="9"/>
  <c r="U391" i="9"/>
  <c r="U392" i="10"/>
  <c r="AB395" i="10"/>
  <c r="AB394" i="9"/>
  <c r="AB395" i="21"/>
  <c r="T395" i="10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10"/>
  <c r="AA383" i="21"/>
  <c r="S382" i="9"/>
  <c r="S383" i="10"/>
  <c r="S383" i="21"/>
  <c r="AB381" i="9"/>
  <c r="AB382" i="10"/>
  <c r="AB382" i="21"/>
  <c r="AB382" i="11"/>
  <c r="T381" i="9"/>
  <c r="T382" i="10"/>
  <c r="T382" i="21"/>
  <c r="T382" i="11"/>
  <c r="AC380" i="9"/>
  <c r="AC381" i="10"/>
  <c r="AC381" i="21"/>
  <c r="AC381" i="11"/>
  <c r="U380" i="9"/>
  <c r="U381" i="10"/>
  <c r="U381" i="21"/>
  <c r="U381" i="11"/>
  <c r="V380" i="10"/>
  <c r="V380" i="21"/>
  <c r="AE379" i="10"/>
  <c r="AE379" i="21"/>
  <c r="W379" i="10"/>
  <c r="W379" i="21"/>
  <c r="AF378" i="10"/>
  <c r="AF378" i="11"/>
  <c r="X378" i="10"/>
  <c r="X378" i="11"/>
  <c r="AG377" i="10"/>
  <c r="AG377" i="11"/>
  <c r="Y377" i="10"/>
  <c r="Y377" i="21"/>
  <c r="Y377" i="11"/>
  <c r="Z394" i="10"/>
  <c r="Z393" i="9"/>
  <c r="Z394" i="21"/>
  <c r="AA393" i="10"/>
  <c r="AA392" i="9"/>
  <c r="S393" i="10"/>
  <c r="S392" i="9"/>
  <c r="S393" i="21"/>
  <c r="AB392" i="10"/>
  <c r="AB391" i="9"/>
  <c r="AB392" i="11"/>
  <c r="AB392" i="21"/>
  <c r="T392" i="10"/>
  <c r="T391" i="9"/>
  <c r="T392" i="11"/>
  <c r="AA395" i="10"/>
  <c r="AA394" i="9"/>
  <c r="AA395" i="21"/>
  <c r="AA395" i="11"/>
  <c r="S395" i="10"/>
  <c r="S394" i="9"/>
  <c r="S395" i="11"/>
  <c r="Z391" i="10"/>
  <c r="Z390" i="9"/>
  <c r="Z391" i="21"/>
  <c r="AA390" i="10"/>
  <c r="AA389" i="9"/>
  <c r="AA390" i="21"/>
  <c r="S390" i="10"/>
  <c r="S389" i="9"/>
  <c r="AB389" i="10"/>
  <c r="AB389" i="21"/>
  <c r="AB388" i="9"/>
  <c r="T389" i="10"/>
  <c r="T388" i="9"/>
  <c r="T389" i="21"/>
  <c r="AC388" i="10"/>
  <c r="AC387" i="9"/>
  <c r="AC388" i="21"/>
  <c r="U388" i="10"/>
  <c r="U387" i="9"/>
  <c r="AD387" i="10"/>
  <c r="AD386" i="9"/>
  <c r="AD387" i="21"/>
  <c r="V387" i="10"/>
  <c r="V386" i="9"/>
  <c r="V387" i="21"/>
  <c r="AE386" i="10"/>
  <c r="AE385" i="9"/>
  <c r="AE386" i="21"/>
  <c r="W386" i="10"/>
  <c r="W385" i="9"/>
  <c r="AF385" i="10"/>
  <c r="AF384" i="9"/>
  <c r="AF385" i="21"/>
  <c r="X385" i="10"/>
  <c r="X384" i="9"/>
  <c r="X385" i="21"/>
  <c r="AG384" i="10"/>
  <c r="AG383" i="9"/>
  <c r="AG384" i="21"/>
  <c r="Y384" i="10"/>
  <c r="Y383" i="9"/>
  <c r="Z383" i="10"/>
  <c r="Z382" i="9"/>
  <c r="AA382" i="10"/>
  <c r="AA381" i="9"/>
  <c r="AA382" i="21"/>
  <c r="S382" i="10"/>
  <c r="S381" i="9"/>
  <c r="S382" i="21"/>
  <c r="S382" i="11"/>
  <c r="AB381" i="10"/>
  <c r="AB380" i="9"/>
  <c r="AB381" i="21"/>
  <c r="T381" i="10"/>
  <c r="T380" i="9"/>
  <c r="T381" i="21"/>
  <c r="AC380" i="10"/>
  <c r="AC380" i="21"/>
  <c r="V379" i="10"/>
  <c r="V379" i="21"/>
  <c r="AE378" i="10"/>
  <c r="AE378" i="21"/>
  <c r="AE378" i="11"/>
  <c r="W378" i="10"/>
  <c r="W378" i="11"/>
  <c r="AG394" i="10"/>
  <c r="AG393" i="9"/>
  <c r="AG394" i="21"/>
  <c r="Y394" i="10"/>
  <c r="Y393" i="9"/>
  <c r="Y394" i="21"/>
  <c r="Z393" i="10"/>
  <c r="Z392" i="9"/>
  <c r="AA392" i="10"/>
  <c r="AA391" i="9"/>
  <c r="AA392" i="21"/>
  <c r="S392" i="10"/>
  <c r="S391" i="9"/>
  <c r="S392" i="21"/>
  <c r="Z395" i="10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D19" i="24"/>
  <c r="D20" i="24"/>
  <c r="C21" i="24"/>
  <c r="D21" i="24" s="1"/>
  <c r="N387" i="2"/>
  <c r="N386" i="2"/>
  <c r="AS1" i="2"/>
  <c r="C15" i="24"/>
  <c r="D10" i="24"/>
  <c r="C11" i="24"/>
  <c r="D11" i="24" s="1"/>
  <c r="C5" i="24"/>
  <c r="N379" i="2"/>
  <c r="N378" i="2"/>
  <c r="M377" i="2"/>
  <c r="M376" i="2"/>
  <c r="M375" i="2"/>
  <c r="M374" i="2"/>
  <c r="M373" i="2"/>
  <c r="M247" i="2"/>
  <c r="M248" i="2"/>
  <c r="M249" i="2"/>
  <c r="N249" i="2" s="1"/>
  <c r="M250" i="2"/>
  <c r="M251" i="2"/>
  <c r="M252" i="2"/>
  <c r="M253" i="2"/>
  <c r="M254" i="2"/>
  <c r="M255" i="2"/>
  <c r="M256" i="2"/>
  <c r="M257" i="2"/>
  <c r="M258" i="2"/>
  <c r="M259" i="2"/>
  <c r="N259" i="2" s="1"/>
  <c r="M260" i="2"/>
  <c r="M261" i="2"/>
  <c r="M262" i="2"/>
  <c r="M263" i="2"/>
  <c r="M264" i="2"/>
  <c r="M265" i="2"/>
  <c r="M266" i="2"/>
  <c r="M267" i="2"/>
  <c r="N267" i="2" s="1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N299" i="2" s="1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N315" i="2" s="1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N331" i="2" s="1"/>
  <c r="M332" i="2"/>
  <c r="M333" i="2"/>
  <c r="M334" i="2"/>
  <c r="M335" i="2"/>
  <c r="M336" i="2"/>
  <c r="M337" i="2"/>
  <c r="M338" i="2"/>
  <c r="M339" i="2"/>
  <c r="N339" i="2" s="1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N371" i="2" s="1"/>
  <c r="M372" i="2"/>
  <c r="M245" i="2"/>
  <c r="M246" i="2"/>
  <c r="AH2" i="8"/>
  <c r="AH3" i="9" s="1"/>
  <c r="AI2" i="8"/>
  <c r="AI3" i="9" s="1"/>
  <c r="AH3" i="8"/>
  <c r="AH4" i="9" s="1"/>
  <c r="AI3" i="8"/>
  <c r="AI4" i="9" s="1"/>
  <c r="AH4" i="8"/>
  <c r="AH5" i="9" s="1"/>
  <c r="AI4" i="8"/>
  <c r="AI5" i="9" s="1"/>
  <c r="AH5" i="8"/>
  <c r="AH6" i="9" s="1"/>
  <c r="AI5" i="8"/>
  <c r="AI6" i="9" s="1"/>
  <c r="AH6" i="8"/>
  <c r="AH7" i="9" s="1"/>
  <c r="AI6" i="8"/>
  <c r="AI7" i="9" s="1"/>
  <c r="AH7" i="8"/>
  <c r="AH8" i="9" s="1"/>
  <c r="AI7" i="8"/>
  <c r="AI8" i="9" s="1"/>
  <c r="AH8" i="8"/>
  <c r="AI8" i="8"/>
  <c r="AH9" i="8"/>
  <c r="AH10" i="9" s="1"/>
  <c r="AI9" i="8"/>
  <c r="AI10" i="9" s="1"/>
  <c r="AH10" i="8"/>
  <c r="AI10" i="8"/>
  <c r="AI11" i="9" s="1"/>
  <c r="AH11" i="8"/>
  <c r="AH12" i="9" s="1"/>
  <c r="AI11" i="8"/>
  <c r="AH12" i="8"/>
  <c r="AH13" i="9" s="1"/>
  <c r="AI12" i="8"/>
  <c r="AI13" i="9" s="1"/>
  <c r="AH13" i="8"/>
  <c r="AH14" i="9" s="1"/>
  <c r="AI13" i="8"/>
  <c r="AI14" i="9" s="1"/>
  <c r="AH14" i="8"/>
  <c r="AH15" i="9" s="1"/>
  <c r="AI14" i="8"/>
  <c r="AH15" i="8"/>
  <c r="AI15" i="8"/>
  <c r="AI16" i="9" s="1"/>
  <c r="AH16" i="8"/>
  <c r="AH17" i="9" s="1"/>
  <c r="AI16" i="8"/>
  <c r="AI17" i="9" s="1"/>
  <c r="AH17" i="8"/>
  <c r="AH18" i="9" s="1"/>
  <c r="AI17" i="8"/>
  <c r="AI18" i="9" s="1"/>
  <c r="AH18" i="8"/>
  <c r="AI18" i="8"/>
  <c r="AI19" i="9" s="1"/>
  <c r="AH19" i="8"/>
  <c r="AH20" i="9" s="1"/>
  <c r="AI19" i="8"/>
  <c r="AH20" i="8"/>
  <c r="AH21" i="9" s="1"/>
  <c r="AI20" i="8"/>
  <c r="AI21" i="9" s="1"/>
  <c r="AH21" i="8"/>
  <c r="AH22" i="9" s="1"/>
  <c r="AI21" i="8"/>
  <c r="AI22" i="9" s="1"/>
  <c r="AH22" i="8"/>
  <c r="AH23" i="9" s="1"/>
  <c r="AI22" i="8"/>
  <c r="AI23" i="9" s="1"/>
  <c r="AH23" i="8"/>
  <c r="AH24" i="9" s="1"/>
  <c r="AI23" i="8"/>
  <c r="AI24" i="9" s="1"/>
  <c r="AH24" i="8"/>
  <c r="AH25" i="9" s="1"/>
  <c r="AI24" i="8"/>
  <c r="AI25" i="9" s="1"/>
  <c r="AH25" i="8"/>
  <c r="AH26" i="9" s="1"/>
  <c r="AI25" i="8"/>
  <c r="AI26" i="9" s="1"/>
  <c r="AH26" i="8"/>
  <c r="AH27" i="9" s="1"/>
  <c r="AI26" i="8"/>
  <c r="AI27" i="9" s="1"/>
  <c r="AH27" i="8"/>
  <c r="AI27" i="8"/>
  <c r="AI28" i="9" s="1"/>
  <c r="AH28" i="8"/>
  <c r="AH29" i="9" s="1"/>
  <c r="AI28" i="8"/>
  <c r="AI29" i="9" s="1"/>
  <c r="AH29" i="8"/>
  <c r="AH30" i="9" s="1"/>
  <c r="AI29" i="8"/>
  <c r="AH30" i="8"/>
  <c r="AI30" i="8"/>
  <c r="AI31" i="9" s="1"/>
  <c r="AH31" i="8"/>
  <c r="AI31" i="8"/>
  <c r="AH32" i="8"/>
  <c r="AH33" i="9" s="1"/>
  <c r="AI32" i="8"/>
  <c r="AH33" i="8"/>
  <c r="AI33" i="8"/>
  <c r="AI34" i="9" s="1"/>
  <c r="AH34" i="8"/>
  <c r="AH35" i="9" s="1"/>
  <c r="AI34" i="8"/>
  <c r="AI35" i="9" s="1"/>
  <c r="AH35" i="8"/>
  <c r="AI35" i="8"/>
  <c r="AH36" i="8"/>
  <c r="AI36" i="8"/>
  <c r="AI37" i="9" s="1"/>
  <c r="AH37" i="8"/>
  <c r="AH38" i="9" s="1"/>
  <c r="AI37" i="8"/>
  <c r="AI38" i="9" s="1"/>
  <c r="AH38" i="8"/>
  <c r="AI38" i="8"/>
  <c r="AH39" i="8"/>
  <c r="AI39" i="8"/>
  <c r="AI40" i="9" s="1"/>
  <c r="AH40" i="8"/>
  <c r="AH41" i="9" s="1"/>
  <c r="AI40" i="8"/>
  <c r="AH41" i="8"/>
  <c r="AI41" i="8"/>
  <c r="AH42" i="8"/>
  <c r="AH43" i="9" s="1"/>
  <c r="AI42" i="8"/>
  <c r="AH43" i="8"/>
  <c r="AH44" i="9" s="1"/>
  <c r="AI43" i="8"/>
  <c r="AH44" i="8"/>
  <c r="AI44" i="8"/>
  <c r="AI45" i="9" s="1"/>
  <c r="AH45" i="8"/>
  <c r="AH46" i="9" s="1"/>
  <c r="AI45" i="8"/>
  <c r="AI46" i="9" s="1"/>
  <c r="AH46" i="8"/>
  <c r="AH47" i="9" s="1"/>
  <c r="AI46" i="8"/>
  <c r="AH47" i="8"/>
  <c r="AI47" i="8"/>
  <c r="AI48" i="9" s="1"/>
  <c r="AH48" i="8"/>
  <c r="AH49" i="9" s="1"/>
  <c r="AI48" i="8"/>
  <c r="AH49" i="8"/>
  <c r="AI49" i="8"/>
  <c r="AI50" i="9" s="1"/>
  <c r="AH50" i="8"/>
  <c r="AH51" i="9" s="1"/>
  <c r="AI50" i="8"/>
  <c r="AI51" i="9" s="1"/>
  <c r="AH51" i="8"/>
  <c r="AH52" i="9" s="1"/>
  <c r="AI51" i="8"/>
  <c r="AH52" i="8"/>
  <c r="AH53" i="9" s="1"/>
  <c r="AI52" i="8"/>
  <c r="AH53" i="8"/>
  <c r="AH54" i="9" s="1"/>
  <c r="AI53" i="8"/>
  <c r="AH54" i="8"/>
  <c r="AH55" i="9" s="1"/>
  <c r="AI54" i="8"/>
  <c r="AI55" i="9" s="1"/>
  <c r="AH55" i="8"/>
  <c r="AH56" i="9" s="1"/>
  <c r="AI55" i="8"/>
  <c r="AI56" i="9" s="1"/>
  <c r="AH56" i="8"/>
  <c r="AH57" i="9" s="1"/>
  <c r="AI56" i="8"/>
  <c r="AH57" i="8"/>
  <c r="AI57" i="8"/>
  <c r="AH58" i="8"/>
  <c r="AH59" i="9" s="1"/>
  <c r="AI58" i="8"/>
  <c r="AI59" i="9" s="1"/>
  <c r="AH59" i="8"/>
  <c r="AI59" i="8"/>
  <c r="AH60" i="8"/>
  <c r="AI60" i="8"/>
  <c r="AI61" i="9" s="1"/>
  <c r="AH61" i="8"/>
  <c r="AH62" i="9" s="1"/>
  <c r="AI61" i="8"/>
  <c r="AH62" i="8"/>
  <c r="AH63" i="9" s="1"/>
  <c r="AI62" i="8"/>
  <c r="AH63" i="8"/>
  <c r="AI63" i="8"/>
  <c r="AI64" i="9" s="1"/>
  <c r="AH64" i="8"/>
  <c r="AH65" i="9" s="1"/>
  <c r="AI64" i="8"/>
  <c r="AI65" i="9" s="1"/>
  <c r="AH65" i="8"/>
  <c r="AI65" i="8"/>
  <c r="AH66" i="8"/>
  <c r="AI66" i="8"/>
  <c r="AI67" i="9" s="1"/>
  <c r="AH67" i="8"/>
  <c r="AH68" i="9" s="1"/>
  <c r="AI67" i="8"/>
  <c r="AH68" i="8"/>
  <c r="AI68" i="8"/>
  <c r="AI69" i="9" s="1"/>
  <c r="AH69" i="8"/>
  <c r="AH70" i="9" s="1"/>
  <c r="AI69" i="8"/>
  <c r="AH70" i="8"/>
  <c r="AH71" i="9" s="1"/>
  <c r="AI70" i="8"/>
  <c r="AH71" i="8"/>
  <c r="AH72" i="9" s="1"/>
  <c r="AI71" i="8"/>
  <c r="AI72" i="9" s="1"/>
  <c r="AH72" i="8"/>
  <c r="AH73" i="9" s="1"/>
  <c r="AI72" i="8"/>
  <c r="AI73" i="9" s="1"/>
  <c r="AH73" i="8"/>
  <c r="AI73" i="8"/>
  <c r="AH74" i="8"/>
  <c r="AH75" i="9" s="1"/>
  <c r="AI74" i="8"/>
  <c r="AI75" i="9" s="1"/>
  <c r="AH75" i="8"/>
  <c r="AH76" i="9" s="1"/>
  <c r="AI75" i="8"/>
  <c r="AH76" i="8"/>
  <c r="AI76" i="8"/>
  <c r="AI77" i="9" s="1"/>
  <c r="AH77" i="8"/>
  <c r="AH78" i="9" s="1"/>
  <c r="AI77" i="8"/>
  <c r="AI78" i="9" s="1"/>
  <c r="AH78" i="8"/>
  <c r="AH79" i="9" s="1"/>
  <c r="AI78" i="8"/>
  <c r="AH79" i="8"/>
  <c r="AI79" i="8"/>
  <c r="AI80" i="9" s="1"/>
  <c r="AH80" i="8"/>
  <c r="AH81" i="9" s="1"/>
  <c r="AI80" i="8"/>
  <c r="AI81" i="9" s="1"/>
  <c r="AH81" i="8"/>
  <c r="AH82" i="9" s="1"/>
  <c r="AI81" i="8"/>
  <c r="AI82" i="9" s="1"/>
  <c r="AH82" i="8"/>
  <c r="AH83" i="9" s="1"/>
  <c r="AI82" i="8"/>
  <c r="AI83" i="9" s="1"/>
  <c r="AH83" i="8"/>
  <c r="AH84" i="9" s="1"/>
  <c r="AI83" i="8"/>
  <c r="AI84" i="9" s="1"/>
  <c r="AH84" i="8"/>
  <c r="AH85" i="9" s="1"/>
  <c r="AI84" i="8"/>
  <c r="AI85" i="9" s="1"/>
  <c r="AH85" i="8"/>
  <c r="AI85" i="8"/>
  <c r="AH86" i="8"/>
  <c r="AH87" i="9" s="1"/>
  <c r="AI86" i="8"/>
  <c r="AI87" i="9" s="1"/>
  <c r="AH87" i="8"/>
  <c r="AH88" i="9" s="1"/>
  <c r="AI87" i="8"/>
  <c r="AI88" i="9" s="1"/>
  <c r="AH88" i="8"/>
  <c r="AH89" i="9" s="1"/>
  <c r="AI88" i="8"/>
  <c r="AI89" i="9" s="1"/>
  <c r="AH89" i="8"/>
  <c r="AH90" i="9" s="1"/>
  <c r="AI89" i="8"/>
  <c r="AI90" i="9" s="1"/>
  <c r="AH90" i="8"/>
  <c r="AH91" i="9" s="1"/>
  <c r="AI90" i="8"/>
  <c r="AI91" i="9" s="1"/>
  <c r="AH91" i="8"/>
  <c r="AI91" i="8"/>
  <c r="AI92" i="9" s="1"/>
  <c r="AH92" i="8"/>
  <c r="AH93" i="9" s="1"/>
  <c r="AI92" i="8"/>
  <c r="AH93" i="8"/>
  <c r="AH94" i="9" s="1"/>
  <c r="AI93" i="8"/>
  <c r="AH94" i="8"/>
  <c r="AI94" i="8"/>
  <c r="AI95" i="9" s="1"/>
  <c r="AH95" i="8"/>
  <c r="AI95" i="8"/>
  <c r="AI96" i="9" s="1"/>
  <c r="AH96" i="8"/>
  <c r="AH97" i="9" s="1"/>
  <c r="AI96" i="8"/>
  <c r="AH97" i="8"/>
  <c r="AH98" i="9" s="1"/>
  <c r="AI97" i="8"/>
  <c r="AI98" i="9" s="1"/>
  <c r="AH98" i="8"/>
  <c r="AH99" i="9" s="1"/>
  <c r="AI98" i="8"/>
  <c r="AI99" i="9" s="1"/>
  <c r="AH99" i="8"/>
  <c r="AH100" i="9" s="1"/>
  <c r="AI99" i="8"/>
  <c r="AI100" i="9" s="1"/>
  <c r="AH100" i="8"/>
  <c r="AH101" i="9" s="1"/>
  <c r="AI100" i="8"/>
  <c r="AI101" i="9" s="1"/>
  <c r="AH101" i="8"/>
  <c r="AH102" i="9" s="1"/>
  <c r="AI101" i="8"/>
  <c r="AI102" i="9" s="1"/>
  <c r="AH102" i="8"/>
  <c r="AH103" i="9" s="1"/>
  <c r="AI102" i="8"/>
  <c r="AI103" i="9" s="1"/>
  <c r="AH103" i="8"/>
  <c r="AI103" i="8"/>
  <c r="AI104" i="9" s="1"/>
  <c r="AH104" i="8"/>
  <c r="AH105" i="9" s="1"/>
  <c r="AI104" i="8"/>
  <c r="AH105" i="8"/>
  <c r="AH106" i="9" s="1"/>
  <c r="AI105" i="8"/>
  <c r="AH106" i="8"/>
  <c r="AH107" i="9" s="1"/>
  <c r="AI106" i="8"/>
  <c r="AI107" i="9" s="1"/>
  <c r="AH107" i="8"/>
  <c r="AH108" i="9" s="1"/>
  <c r="AI107" i="8"/>
  <c r="AI108" i="9" s="1"/>
  <c r="AH108" i="8"/>
  <c r="AH109" i="9" s="1"/>
  <c r="AI108" i="8"/>
  <c r="AI109" i="9" s="1"/>
  <c r="AH109" i="8"/>
  <c r="AH110" i="9" s="1"/>
  <c r="AI109" i="8"/>
  <c r="AI110" i="9" s="1"/>
  <c r="AH110" i="8"/>
  <c r="AH111" i="9" s="1"/>
  <c r="AI110" i="8"/>
  <c r="AI111" i="9" s="1"/>
  <c r="AH111" i="8"/>
  <c r="AH112" i="9" s="1"/>
  <c r="AI111" i="8"/>
  <c r="AI112" i="9" s="1"/>
  <c r="AH112" i="8"/>
  <c r="AH113" i="9" s="1"/>
  <c r="AI112" i="8"/>
  <c r="AI113" i="9" s="1"/>
  <c r="AH113" i="8"/>
  <c r="AH114" i="9" s="1"/>
  <c r="AI113" i="8"/>
  <c r="AI114" i="9" s="1"/>
  <c r="AH114" i="8"/>
  <c r="AH115" i="9" s="1"/>
  <c r="AI114" i="8"/>
  <c r="AI115" i="9" s="1"/>
  <c r="AH115" i="8"/>
  <c r="AI115" i="8"/>
  <c r="AH116" i="8"/>
  <c r="AH117" i="9" s="1"/>
  <c r="AI116" i="8"/>
  <c r="AI117" i="9" s="1"/>
  <c r="AH117" i="8"/>
  <c r="AH118" i="9" s="1"/>
  <c r="AI117" i="8"/>
  <c r="AI118" i="9" s="1"/>
  <c r="AH118" i="8"/>
  <c r="AH119" i="9" s="1"/>
  <c r="AI118" i="8"/>
  <c r="AH119" i="8"/>
  <c r="AH120" i="9" s="1"/>
  <c r="AI119" i="8"/>
  <c r="AI120" i="9" s="1"/>
  <c r="AH120" i="8"/>
  <c r="AH121" i="9" s="1"/>
  <c r="AI120" i="8"/>
  <c r="AH121" i="8"/>
  <c r="AH122" i="9" s="1"/>
  <c r="AI121" i="8"/>
  <c r="AI122" i="9" s="1"/>
  <c r="AH122" i="8"/>
  <c r="AH123" i="9" s="1"/>
  <c r="AI122" i="8"/>
  <c r="AI123" i="9" s="1"/>
  <c r="AH123" i="8"/>
  <c r="AI123" i="8"/>
  <c r="AI124" i="9" s="1"/>
  <c r="AH124" i="8"/>
  <c r="AH125" i="9" s="1"/>
  <c r="AI124" i="8"/>
  <c r="AI125" i="9" s="1"/>
  <c r="AH125" i="8"/>
  <c r="AH126" i="9" s="1"/>
  <c r="AI125" i="8"/>
  <c r="AH126" i="8"/>
  <c r="AH127" i="9" s="1"/>
  <c r="AI126" i="8"/>
  <c r="AI127" i="9" s="1"/>
  <c r="AH127" i="8"/>
  <c r="AH128" i="9" s="1"/>
  <c r="AI127" i="8"/>
  <c r="AI128" i="9" s="1"/>
  <c r="AH128" i="8"/>
  <c r="AH129" i="9" s="1"/>
  <c r="AI128" i="8"/>
  <c r="AI129" i="9" s="1"/>
  <c r="AH129" i="8"/>
  <c r="AH130" i="9" s="1"/>
  <c r="AI129" i="8"/>
  <c r="AI130" i="9" s="1"/>
  <c r="AH130" i="8"/>
  <c r="AH131" i="9" s="1"/>
  <c r="AI130" i="8"/>
  <c r="AI131" i="9" s="1"/>
  <c r="AH131" i="8"/>
  <c r="AH132" i="9" s="1"/>
  <c r="AI131" i="8"/>
  <c r="AI132" i="9" s="1"/>
  <c r="AH132" i="8"/>
  <c r="AH133" i="9" s="1"/>
  <c r="AI132" i="8"/>
  <c r="AI133" i="9" s="1"/>
  <c r="AH133" i="8"/>
  <c r="AH134" i="9" s="1"/>
  <c r="AI133" i="8"/>
  <c r="AI134" i="9" s="1"/>
  <c r="AH134" i="8"/>
  <c r="AH135" i="9" s="1"/>
  <c r="AI134" i="8"/>
  <c r="AH135" i="8"/>
  <c r="AH136" i="9" s="1"/>
  <c r="AI135" i="8"/>
  <c r="AI136" i="9" s="1"/>
  <c r="AH136" i="8"/>
  <c r="AH137" i="9" s="1"/>
  <c r="AI136" i="8"/>
  <c r="AI137" i="9" s="1"/>
  <c r="AH137" i="8"/>
  <c r="AH138" i="9" s="1"/>
  <c r="AI137" i="8"/>
  <c r="AI138" i="9" s="1"/>
  <c r="AH138" i="8"/>
  <c r="AH139" i="9" s="1"/>
  <c r="AI138" i="8"/>
  <c r="AI139" i="9" s="1"/>
  <c r="AH139" i="8"/>
  <c r="AH140" i="9" s="1"/>
  <c r="AI139" i="8"/>
  <c r="AI140" i="9" s="1"/>
  <c r="AH140" i="8"/>
  <c r="AH141" i="9" s="1"/>
  <c r="AI140" i="8"/>
  <c r="AI141" i="9" s="1"/>
  <c r="AH141" i="8"/>
  <c r="AH142" i="9" s="1"/>
  <c r="AI141" i="8"/>
  <c r="AI142" i="9" s="1"/>
  <c r="AH142" i="8"/>
  <c r="AH143" i="9" s="1"/>
  <c r="AI142" i="8"/>
  <c r="AI143" i="9" s="1"/>
  <c r="AH143" i="8"/>
  <c r="AH144" i="9" s="1"/>
  <c r="AI143" i="8"/>
  <c r="AI144" i="9" s="1"/>
  <c r="AH144" i="8"/>
  <c r="AH145" i="9" s="1"/>
  <c r="AI144" i="8"/>
  <c r="AH145" i="8"/>
  <c r="AH146" i="9" s="1"/>
  <c r="AI145" i="8"/>
  <c r="AI146" i="9" s="1"/>
  <c r="AH146" i="8"/>
  <c r="AI146" i="8"/>
  <c r="AI147" i="9" s="1"/>
  <c r="AH147" i="8"/>
  <c r="AH148" i="9" s="1"/>
  <c r="AI147" i="8"/>
  <c r="AH148" i="8"/>
  <c r="AH149" i="9" s="1"/>
  <c r="AI148" i="8"/>
  <c r="AI149" i="9" s="1"/>
  <c r="AH149" i="8"/>
  <c r="AH150" i="9" s="1"/>
  <c r="AI149" i="8"/>
  <c r="AH150" i="8"/>
  <c r="AH151" i="9" s="1"/>
  <c r="AI150" i="8"/>
  <c r="AI151" i="9" s="1"/>
  <c r="AH151" i="8"/>
  <c r="AH152" i="9" s="1"/>
  <c r="AI151" i="8"/>
  <c r="AH152" i="8"/>
  <c r="AI152" i="8"/>
  <c r="AH153" i="8"/>
  <c r="AH154" i="9" s="1"/>
  <c r="AI153" i="8"/>
  <c r="AI154" i="9" s="1"/>
  <c r="AH154" i="8"/>
  <c r="AH155" i="9" s="1"/>
  <c r="AI154" i="8"/>
  <c r="AI155" i="9" s="1"/>
  <c r="AH155" i="8"/>
  <c r="AI155" i="8"/>
  <c r="AH156" i="8"/>
  <c r="AH157" i="9" s="1"/>
  <c r="AI156" i="8"/>
  <c r="AI157" i="9" s="1"/>
  <c r="AH157" i="8"/>
  <c r="AH158" i="9" s="1"/>
  <c r="AI157" i="8"/>
  <c r="AH158" i="8"/>
  <c r="AI158" i="8"/>
  <c r="AI159" i="9" s="1"/>
  <c r="AH159" i="8"/>
  <c r="AH160" i="9" s="1"/>
  <c r="AI159" i="8"/>
  <c r="AH160" i="8"/>
  <c r="AH161" i="9" s="1"/>
  <c r="AI160" i="8"/>
  <c r="AI161" i="9" s="1"/>
  <c r="AH161" i="8"/>
  <c r="AH162" i="9" s="1"/>
  <c r="AI161" i="8"/>
  <c r="AI162" i="9" s="1"/>
  <c r="AH162" i="8"/>
  <c r="AH163" i="9" s="1"/>
  <c r="AI162" i="8"/>
  <c r="AI163" i="9" s="1"/>
  <c r="AH163" i="8"/>
  <c r="AH164" i="9" s="1"/>
  <c r="AI163" i="8"/>
  <c r="AI164" i="9" s="1"/>
  <c r="AH164" i="8"/>
  <c r="AH165" i="9" s="1"/>
  <c r="AI164" i="8"/>
  <c r="AI165" i="9" s="1"/>
  <c r="AH165" i="8"/>
  <c r="AI165" i="8"/>
  <c r="AI166" i="9" s="1"/>
  <c r="AH166" i="8"/>
  <c r="AH167" i="9" s="1"/>
  <c r="AI166" i="8"/>
  <c r="AI167" i="9" s="1"/>
  <c r="AH167" i="8"/>
  <c r="AH168" i="9" s="1"/>
  <c r="AI167" i="8"/>
  <c r="AI168" i="9" s="1"/>
  <c r="AH168" i="8"/>
  <c r="AI168" i="8"/>
  <c r="AI169" i="9" s="1"/>
  <c r="AH169" i="8"/>
  <c r="AH170" i="9" s="1"/>
  <c r="AI169" i="8"/>
  <c r="AI170" i="9" s="1"/>
  <c r="AH170" i="8"/>
  <c r="AH171" i="9" s="1"/>
  <c r="AI170" i="8"/>
  <c r="AI171" i="9" s="1"/>
  <c r="AH171" i="8"/>
  <c r="AH172" i="9" s="1"/>
  <c r="AI171" i="8"/>
  <c r="AI172" i="9" s="1"/>
  <c r="AH172" i="8"/>
  <c r="AH173" i="9" s="1"/>
  <c r="AI172" i="8"/>
  <c r="AI173" i="9" s="1"/>
  <c r="AH173" i="8"/>
  <c r="AH174" i="9" s="1"/>
  <c r="AI173" i="8"/>
  <c r="AI174" i="9" s="1"/>
  <c r="AH174" i="8"/>
  <c r="AH175" i="9" s="1"/>
  <c r="AI174" i="8"/>
  <c r="AI175" i="9" s="1"/>
  <c r="AH175" i="8"/>
  <c r="AH176" i="9" s="1"/>
  <c r="AI175" i="8"/>
  <c r="AI176" i="9" s="1"/>
  <c r="AH176" i="8"/>
  <c r="AH177" i="9" s="1"/>
  <c r="AI176" i="8"/>
  <c r="AI177" i="9" s="1"/>
  <c r="AH177" i="8"/>
  <c r="AI177" i="8"/>
  <c r="AI178" i="9" s="1"/>
  <c r="AH178" i="8"/>
  <c r="AH179" i="9" s="1"/>
  <c r="AI178" i="8"/>
  <c r="AI179" i="9" s="1"/>
  <c r="AH179" i="8"/>
  <c r="AH180" i="9" s="1"/>
  <c r="AI179" i="8"/>
  <c r="AI180" i="9" s="1"/>
  <c r="AH180" i="8"/>
  <c r="AH181" i="9" s="1"/>
  <c r="AI180" i="8"/>
  <c r="AI181" i="9" s="1"/>
  <c r="AH181" i="8"/>
  <c r="AH182" i="9" s="1"/>
  <c r="AI181" i="8"/>
  <c r="AI182" i="9" s="1"/>
  <c r="AH182" i="8"/>
  <c r="AH183" i="9" s="1"/>
  <c r="AI182" i="8"/>
  <c r="AI183" i="9" s="1"/>
  <c r="AH183" i="8"/>
  <c r="AH184" i="9" s="1"/>
  <c r="AI183" i="8"/>
  <c r="AI184" i="9" s="1"/>
  <c r="AH184" i="8"/>
  <c r="AH185" i="9" s="1"/>
  <c r="AI184" i="8"/>
  <c r="AI185" i="9" s="1"/>
  <c r="AH185" i="8"/>
  <c r="AH186" i="9" s="1"/>
  <c r="AI185" i="8"/>
  <c r="AI186" i="9" s="1"/>
  <c r="AH186" i="8"/>
  <c r="AI186" i="8"/>
  <c r="AI187" i="9" s="1"/>
  <c r="AH187" i="8"/>
  <c r="AH188" i="9" s="1"/>
  <c r="AI187" i="8"/>
  <c r="AI188" i="9" s="1"/>
  <c r="AH188" i="8"/>
  <c r="AH189" i="9" s="1"/>
  <c r="AI188" i="8"/>
  <c r="AI189" i="9" s="1"/>
  <c r="AH189" i="8"/>
  <c r="AH190" i="9" s="1"/>
  <c r="AI189" i="8"/>
  <c r="AI190" i="9" s="1"/>
  <c r="AH190" i="8"/>
  <c r="AH191" i="9" s="1"/>
  <c r="AI190" i="8"/>
  <c r="AI191" i="9" s="1"/>
  <c r="AH191" i="8"/>
  <c r="AH192" i="9" s="1"/>
  <c r="AI191" i="8"/>
  <c r="AI192" i="9" s="1"/>
  <c r="AH192" i="8"/>
  <c r="AH193" i="9" s="1"/>
  <c r="AI192" i="8"/>
  <c r="AI193" i="9" s="1"/>
  <c r="AH193" i="8"/>
  <c r="AH194" i="9" s="1"/>
  <c r="AI193" i="8"/>
  <c r="AI194" i="9" s="1"/>
  <c r="AH194" i="8"/>
  <c r="AH195" i="9" s="1"/>
  <c r="AI194" i="8"/>
  <c r="AI195" i="9" s="1"/>
  <c r="AH195" i="8"/>
  <c r="AH196" i="9" s="1"/>
  <c r="AI195" i="8"/>
  <c r="AI196" i="9" s="1"/>
  <c r="AH196" i="8"/>
  <c r="AH197" i="9" s="1"/>
  <c r="AI196" i="8"/>
  <c r="AI197" i="9" s="1"/>
  <c r="AH197" i="8"/>
  <c r="AH198" i="9" s="1"/>
  <c r="AI197" i="8"/>
  <c r="AI198" i="9" s="1"/>
  <c r="AH198" i="8"/>
  <c r="AH199" i="9" s="1"/>
  <c r="AI198" i="8"/>
  <c r="AI199" i="9" s="1"/>
  <c r="AH199" i="8"/>
  <c r="AH200" i="9" s="1"/>
  <c r="AI199" i="8"/>
  <c r="AI200" i="9" s="1"/>
  <c r="AH200" i="8"/>
  <c r="AH201" i="9" s="1"/>
  <c r="AI200" i="8"/>
  <c r="AI201" i="9" s="1"/>
  <c r="AH201" i="8"/>
  <c r="AH202" i="9" s="1"/>
  <c r="AI201" i="8"/>
  <c r="AI202" i="9" s="1"/>
  <c r="AH202" i="8"/>
  <c r="AH203" i="9" s="1"/>
  <c r="AI202" i="8"/>
  <c r="AI203" i="9" s="1"/>
  <c r="AH203" i="8"/>
  <c r="AH204" i="9" s="1"/>
  <c r="AI203" i="8"/>
  <c r="AI204" i="9" s="1"/>
  <c r="AH204" i="8"/>
  <c r="AH205" i="9" s="1"/>
  <c r="AI204" i="8"/>
  <c r="AI205" i="9" s="1"/>
  <c r="AH205" i="8"/>
  <c r="AH206" i="9" s="1"/>
  <c r="AI205" i="8"/>
  <c r="AI206" i="9" s="1"/>
  <c r="AH206" i="8"/>
  <c r="AH207" i="9" s="1"/>
  <c r="AI206" i="8"/>
  <c r="AI207" i="9" s="1"/>
  <c r="AH207" i="8"/>
  <c r="AH208" i="9" s="1"/>
  <c r="AI207" i="8"/>
  <c r="AI208" i="9" s="1"/>
  <c r="AH208" i="8"/>
  <c r="AH209" i="9" s="1"/>
  <c r="AI208" i="8"/>
  <c r="AI209" i="9" s="1"/>
  <c r="AH209" i="8"/>
  <c r="AH210" i="9" s="1"/>
  <c r="AI209" i="8"/>
  <c r="AI210" i="9" s="1"/>
  <c r="AH210" i="8"/>
  <c r="AH211" i="9" s="1"/>
  <c r="AI210" i="8"/>
  <c r="AI211" i="9" s="1"/>
  <c r="AH211" i="8"/>
  <c r="AH212" i="9" s="1"/>
  <c r="AI211" i="8"/>
  <c r="AI212" i="9" s="1"/>
  <c r="AH212" i="8"/>
  <c r="AI212" i="8"/>
  <c r="AI213" i="9" s="1"/>
  <c r="AH213" i="8"/>
  <c r="AH214" i="9" s="1"/>
  <c r="AI213" i="8"/>
  <c r="AI214" i="9" s="1"/>
  <c r="AH214" i="8"/>
  <c r="AH215" i="9" s="1"/>
  <c r="AI214" i="8"/>
  <c r="AI215" i="9" s="1"/>
  <c r="AH215" i="8"/>
  <c r="AI215" i="8"/>
  <c r="AI216" i="9" s="1"/>
  <c r="AH216" i="8"/>
  <c r="AH217" i="9" s="1"/>
  <c r="AI216" i="8"/>
  <c r="AI217" i="9" s="1"/>
  <c r="AH217" i="8"/>
  <c r="AH218" i="9" s="1"/>
  <c r="AI217" i="8"/>
  <c r="AI218" i="9" s="1"/>
  <c r="AH218" i="8"/>
  <c r="AI218" i="8"/>
  <c r="AI219" i="9" s="1"/>
  <c r="AH219" i="8"/>
  <c r="AH220" i="9" s="1"/>
  <c r="AI219" i="8"/>
  <c r="AI220" i="9" s="1"/>
  <c r="AH220" i="8"/>
  <c r="AI220" i="8"/>
  <c r="AI221" i="9" s="1"/>
  <c r="AH221" i="8"/>
  <c r="AH222" i="9" s="1"/>
  <c r="AI221" i="8"/>
  <c r="AI222" i="9" s="1"/>
  <c r="AH222" i="8"/>
  <c r="AI222" i="8"/>
  <c r="AI223" i="9" s="1"/>
  <c r="AH223" i="8"/>
  <c r="AI223" i="8"/>
  <c r="AI224" i="9" s="1"/>
  <c r="AH224" i="8"/>
  <c r="AH225" i="9" s="1"/>
  <c r="AI224" i="8"/>
  <c r="AI225" i="9" s="1"/>
  <c r="AH225" i="8"/>
  <c r="AH226" i="9" s="1"/>
  <c r="AI225" i="8"/>
  <c r="AI226" i="9" s="1"/>
  <c r="AH226" i="8"/>
  <c r="AH227" i="9" s="1"/>
  <c r="AI226" i="8"/>
  <c r="AI227" i="9" s="1"/>
  <c r="AH227" i="8"/>
  <c r="AH228" i="9" s="1"/>
  <c r="AI227" i="8"/>
  <c r="AI228" i="9" s="1"/>
  <c r="AH228" i="8"/>
  <c r="AH229" i="9" s="1"/>
  <c r="AI228" i="8"/>
  <c r="AI229" i="9" s="1"/>
  <c r="AH229" i="8"/>
  <c r="AI229" i="8"/>
  <c r="AI230" i="9" s="1"/>
  <c r="AH230" i="8"/>
  <c r="AH231" i="9" s="1"/>
  <c r="AI230" i="8"/>
  <c r="AI231" i="9" s="1"/>
  <c r="AH231" i="8"/>
  <c r="AH232" i="9" s="1"/>
  <c r="AI231" i="8"/>
  <c r="AI232" i="9" s="1"/>
  <c r="AH232" i="8"/>
  <c r="AH233" i="9" s="1"/>
  <c r="AI232" i="8"/>
  <c r="AI233" i="9" s="1"/>
  <c r="AH233" i="8"/>
  <c r="AH234" i="9" s="1"/>
  <c r="AI233" i="8"/>
  <c r="AI234" i="9" s="1"/>
  <c r="AH234" i="8"/>
  <c r="AH235" i="9" s="1"/>
  <c r="AI234" i="8"/>
  <c r="AI235" i="9" s="1"/>
  <c r="AH235" i="8"/>
  <c r="AH236" i="9" s="1"/>
  <c r="AI235" i="8"/>
  <c r="AI236" i="9" s="1"/>
  <c r="AH236" i="8"/>
  <c r="AH237" i="9" s="1"/>
  <c r="AI236" i="8"/>
  <c r="AI237" i="9" s="1"/>
  <c r="AH237" i="8"/>
  <c r="AI237" i="8"/>
  <c r="AI238" i="9" s="1"/>
  <c r="AH238" i="8"/>
  <c r="AH239" i="9" s="1"/>
  <c r="AI238" i="8"/>
  <c r="AI239" i="9" s="1"/>
  <c r="AH239" i="8"/>
  <c r="AH240" i="9" s="1"/>
  <c r="AI239" i="8"/>
  <c r="AI240" i="9" s="1"/>
  <c r="AH240" i="8"/>
  <c r="AI240" i="8"/>
  <c r="AI241" i="9" s="1"/>
  <c r="AH241" i="8"/>
  <c r="AH242" i="9" s="1"/>
  <c r="AI241" i="8"/>
  <c r="AI242" i="9" s="1"/>
  <c r="AH242" i="8"/>
  <c r="AH243" i="9" s="1"/>
  <c r="AI242" i="8"/>
  <c r="AI243" i="9" s="1"/>
  <c r="AH243" i="8"/>
  <c r="AH244" i="9" s="1"/>
  <c r="AI243" i="8"/>
  <c r="AI244" i="9" s="1"/>
  <c r="AH244" i="8"/>
  <c r="AH245" i="9" s="1"/>
  <c r="AI244" i="8"/>
  <c r="AI245" i="9" s="1"/>
  <c r="AH245" i="8"/>
  <c r="AH246" i="9" s="1"/>
  <c r="AI245" i="8"/>
  <c r="AI246" i="9" s="1"/>
  <c r="AH246" i="8"/>
  <c r="AI246" i="8"/>
  <c r="AI247" i="9" s="1"/>
  <c r="AH247" i="8"/>
  <c r="AH248" i="9" s="1"/>
  <c r="AI247" i="8"/>
  <c r="AI248" i="9" s="1"/>
  <c r="AH248" i="8"/>
  <c r="AH249" i="9" s="1"/>
  <c r="AI248" i="8"/>
  <c r="AI249" i="9" s="1"/>
  <c r="AH249" i="8"/>
  <c r="AH250" i="9" s="1"/>
  <c r="AI249" i="8"/>
  <c r="AI250" i="9" s="1"/>
  <c r="AH250" i="8"/>
  <c r="AH251" i="9" s="1"/>
  <c r="AI250" i="8"/>
  <c r="AI251" i="9" s="1"/>
  <c r="AH251" i="8"/>
  <c r="AH252" i="9" s="1"/>
  <c r="AI251" i="8"/>
  <c r="AI252" i="9" s="1"/>
  <c r="AH252" i="8"/>
  <c r="AH253" i="9" s="1"/>
  <c r="AI252" i="8"/>
  <c r="AI253" i="9" s="1"/>
  <c r="AH253" i="8"/>
  <c r="AH254" i="9" s="1"/>
  <c r="AI253" i="8"/>
  <c r="AI254" i="9" s="1"/>
  <c r="AH254" i="8"/>
  <c r="AI254" i="8"/>
  <c r="AI255" i="9" s="1"/>
  <c r="AH255" i="8"/>
  <c r="AH256" i="9" s="1"/>
  <c r="AI255" i="8"/>
  <c r="AI256" i="9" s="1"/>
  <c r="AH256" i="8"/>
  <c r="AH257" i="9" s="1"/>
  <c r="AI256" i="8"/>
  <c r="AI257" i="9" s="1"/>
  <c r="AH257" i="8"/>
  <c r="AH258" i="9" s="1"/>
  <c r="AI257" i="8"/>
  <c r="AI258" i="9" s="1"/>
  <c r="AH258" i="8"/>
  <c r="AH259" i="9" s="1"/>
  <c r="AI258" i="8"/>
  <c r="AI259" i="9" s="1"/>
  <c r="AH259" i="8"/>
  <c r="AH260" i="9" s="1"/>
  <c r="AI259" i="8"/>
  <c r="AI260" i="9" s="1"/>
  <c r="AH260" i="8"/>
  <c r="AH261" i="9" s="1"/>
  <c r="AI260" i="8"/>
  <c r="AI261" i="9" s="1"/>
  <c r="AH261" i="8"/>
  <c r="AH262" i="9" s="1"/>
  <c r="AI261" i="8"/>
  <c r="AI262" i="9" s="1"/>
  <c r="AH262" i="8"/>
  <c r="AH263" i="9" s="1"/>
  <c r="AI262" i="8"/>
  <c r="AI263" i="9" s="1"/>
  <c r="AH263" i="8"/>
  <c r="AH264" i="9" s="1"/>
  <c r="AI263" i="8"/>
  <c r="AI264" i="9" s="1"/>
  <c r="AH264" i="8"/>
  <c r="AI264" i="8"/>
  <c r="AI265" i="9" s="1"/>
  <c r="AH265" i="8"/>
  <c r="AI265" i="8"/>
  <c r="AI266" i="9" s="1"/>
  <c r="AH266" i="8"/>
  <c r="AH267" i="9" s="1"/>
  <c r="AI266" i="8"/>
  <c r="AI267" i="9" s="1"/>
  <c r="AH267" i="8"/>
  <c r="AI267" i="8"/>
  <c r="AI268" i="9" s="1"/>
  <c r="AH268" i="8"/>
  <c r="AH269" i="9" s="1"/>
  <c r="AI268" i="8"/>
  <c r="AI269" i="9" s="1"/>
  <c r="AH269" i="8"/>
  <c r="AH270" i="9" s="1"/>
  <c r="AI269" i="8"/>
  <c r="AI270" i="9" s="1"/>
  <c r="AH270" i="8"/>
  <c r="AH271" i="9" s="1"/>
  <c r="AI270" i="8"/>
  <c r="AI271" i="9" s="1"/>
  <c r="AH271" i="8"/>
  <c r="AH272" i="9" s="1"/>
  <c r="AI271" i="8"/>
  <c r="AI272" i="9" s="1"/>
  <c r="AH272" i="8"/>
  <c r="AH273" i="9" s="1"/>
  <c r="AI272" i="8"/>
  <c r="AI273" i="9" s="1"/>
  <c r="AH273" i="8"/>
  <c r="AI273" i="8"/>
  <c r="AI274" i="9" s="1"/>
  <c r="AH274" i="8"/>
  <c r="AH275" i="9" s="1"/>
  <c r="AI274" i="8"/>
  <c r="AI275" i="9" s="1"/>
  <c r="AH275" i="8"/>
  <c r="AH276" i="9" s="1"/>
  <c r="AI275" i="8"/>
  <c r="AI276" i="9" s="1"/>
  <c r="AH276" i="8"/>
  <c r="AH277" i="9" s="1"/>
  <c r="AI276" i="8"/>
  <c r="AI277" i="9" s="1"/>
  <c r="AH277" i="8"/>
  <c r="AH278" i="9" s="1"/>
  <c r="AI277" i="8"/>
  <c r="AI278" i="9" s="1"/>
  <c r="AH278" i="8"/>
  <c r="AH279" i="9" s="1"/>
  <c r="AI278" i="8"/>
  <c r="AI279" i="9" s="1"/>
  <c r="AH279" i="8"/>
  <c r="AH280" i="9" s="1"/>
  <c r="AI279" i="8"/>
  <c r="AI280" i="9" s="1"/>
  <c r="AH280" i="8"/>
  <c r="AI280" i="8"/>
  <c r="AI281" i="9" s="1"/>
  <c r="AH281" i="8"/>
  <c r="AH282" i="9" s="1"/>
  <c r="AI281" i="8"/>
  <c r="AI282" i="9" s="1"/>
  <c r="AH282" i="8"/>
  <c r="AH283" i="9" s="1"/>
  <c r="AI282" i="8"/>
  <c r="AI283" i="9" s="1"/>
  <c r="AH283" i="8"/>
  <c r="AI283" i="8"/>
  <c r="AI284" i="9" s="1"/>
  <c r="AH284" i="8"/>
  <c r="AH285" i="9" s="1"/>
  <c r="AI284" i="8"/>
  <c r="AI285" i="9" s="1"/>
  <c r="AH285" i="8"/>
  <c r="AH286" i="9" s="1"/>
  <c r="AI285" i="8"/>
  <c r="AI286" i="9" s="1"/>
  <c r="AH286" i="8"/>
  <c r="AI286" i="8"/>
  <c r="AH287" i="8"/>
  <c r="AH288" i="9" s="1"/>
  <c r="AI287" i="8"/>
  <c r="AI288" i="9" s="1"/>
  <c r="AH288" i="8"/>
  <c r="AH289" i="9" s="1"/>
  <c r="AI288" i="8"/>
  <c r="AI289" i="9" s="1"/>
  <c r="AH289" i="8"/>
  <c r="AI289" i="8"/>
  <c r="AI290" i="9" s="1"/>
  <c r="AH290" i="8"/>
  <c r="AH291" i="9" s="1"/>
  <c r="AI290" i="8"/>
  <c r="AI291" i="9" s="1"/>
  <c r="AH291" i="8"/>
  <c r="AH292" i="9" s="1"/>
  <c r="AI291" i="8"/>
  <c r="AI292" i="9" s="1"/>
  <c r="AH292" i="8"/>
  <c r="AH293" i="9" s="1"/>
  <c r="AI292" i="8"/>
  <c r="AI293" i="9" s="1"/>
  <c r="AH293" i="8"/>
  <c r="AH294" i="9" s="1"/>
  <c r="AI293" i="8"/>
  <c r="AI294" i="9" s="1"/>
  <c r="AH294" i="8"/>
  <c r="AH295" i="9" s="1"/>
  <c r="AI294" i="8"/>
  <c r="AI295" i="9" s="1"/>
  <c r="AH295" i="8"/>
  <c r="AH296" i="9" s="1"/>
  <c r="AI295" i="8"/>
  <c r="AI296" i="9" s="1"/>
  <c r="AH296" i="8"/>
  <c r="AH297" i="9" s="1"/>
  <c r="AI296" i="8"/>
  <c r="AI297" i="9" s="1"/>
  <c r="AH297" i="8"/>
  <c r="AI297" i="8"/>
  <c r="AI298" i="9" s="1"/>
  <c r="AH298" i="8"/>
  <c r="AH299" i="9" s="1"/>
  <c r="AI298" i="8"/>
  <c r="AI299" i="9" s="1"/>
  <c r="AH299" i="8"/>
  <c r="AH300" i="9" s="1"/>
  <c r="AI299" i="8"/>
  <c r="AI300" i="9" s="1"/>
  <c r="AH300" i="8"/>
  <c r="AI300" i="8"/>
  <c r="AI301" i="9" s="1"/>
  <c r="AH301" i="8"/>
  <c r="AH302" i="9" s="1"/>
  <c r="AI301" i="8"/>
  <c r="AI302" i="9" s="1"/>
  <c r="AH302" i="8"/>
  <c r="AH303" i="9" s="1"/>
  <c r="AI302" i="8"/>
  <c r="AI303" i="9" s="1"/>
  <c r="AH303" i="8"/>
  <c r="AH304" i="9" s="1"/>
  <c r="AI303" i="8"/>
  <c r="AI304" i="9" s="1"/>
  <c r="AH304" i="8"/>
  <c r="AH305" i="9" s="1"/>
  <c r="AI304" i="8"/>
  <c r="AI305" i="9" s="1"/>
  <c r="AH305" i="8"/>
  <c r="AH306" i="9" s="1"/>
  <c r="AI305" i="8"/>
  <c r="AI306" i="9" s="1"/>
  <c r="AH306" i="8"/>
  <c r="AH307" i="9" s="1"/>
  <c r="AI306" i="8"/>
  <c r="AI307" i="9" s="1"/>
  <c r="AH307" i="8"/>
  <c r="AH308" i="9" s="1"/>
  <c r="AI307" i="8"/>
  <c r="AI308" i="9" s="1"/>
  <c r="AH308" i="8"/>
  <c r="AH309" i="9" s="1"/>
  <c r="AI308" i="8"/>
  <c r="AI309" i="9" s="1"/>
  <c r="AH309" i="8"/>
  <c r="AH310" i="9" s="1"/>
  <c r="AI309" i="8"/>
  <c r="AI310" i="9" s="1"/>
  <c r="AH310" i="8"/>
  <c r="AH311" i="9" s="1"/>
  <c r="AI310" i="8"/>
  <c r="AI311" i="9" s="1"/>
  <c r="AH311" i="8"/>
  <c r="AH312" i="9" s="1"/>
  <c r="AI311" i="8"/>
  <c r="AI312" i="9" s="1"/>
  <c r="AH312" i="8"/>
  <c r="AI312" i="8"/>
  <c r="AI313" i="9" s="1"/>
  <c r="AH313" i="8"/>
  <c r="AI313" i="8"/>
  <c r="AI314" i="9" s="1"/>
  <c r="AH314" i="8"/>
  <c r="AH315" i="9" s="1"/>
  <c r="AI314" i="8"/>
  <c r="AI315" i="9" s="1"/>
  <c r="AH315" i="8"/>
  <c r="AH316" i="9" s="1"/>
  <c r="AI315" i="8"/>
  <c r="AI316" i="9" s="1"/>
  <c r="AH316" i="8"/>
  <c r="AI316" i="8"/>
  <c r="AI317" i="9" s="1"/>
  <c r="AH317" i="8"/>
  <c r="AI317" i="8"/>
  <c r="AI318" i="9" s="1"/>
  <c r="AH318" i="8"/>
  <c r="AH319" i="9" s="1"/>
  <c r="AI318" i="8"/>
  <c r="AI319" i="9" s="1"/>
  <c r="AH319" i="8"/>
  <c r="AH320" i="9" s="1"/>
  <c r="AI319" i="8"/>
  <c r="AI320" i="9" s="1"/>
  <c r="AH320" i="8"/>
  <c r="AI320" i="8"/>
  <c r="AH321" i="8"/>
  <c r="AH322" i="9" s="1"/>
  <c r="AI321" i="8"/>
  <c r="AI322" i="9" s="1"/>
  <c r="AH322" i="8"/>
  <c r="AH323" i="9" s="1"/>
  <c r="AI322" i="8"/>
  <c r="AI323" i="9" s="1"/>
  <c r="AH323" i="8"/>
  <c r="AH324" i="9" s="1"/>
  <c r="AI323" i="8"/>
  <c r="AI324" i="9" s="1"/>
  <c r="AH324" i="8"/>
  <c r="AH325" i="9" s="1"/>
  <c r="AI324" i="8"/>
  <c r="AI325" i="9" s="1"/>
  <c r="AH325" i="8"/>
  <c r="AI325" i="8"/>
  <c r="AI326" i="9" s="1"/>
  <c r="AH326" i="8"/>
  <c r="AH327" i="9" s="1"/>
  <c r="AI326" i="8"/>
  <c r="AI327" i="9" s="1"/>
  <c r="AH327" i="8"/>
  <c r="AH328" i="9" s="1"/>
  <c r="AI327" i="8"/>
  <c r="AI328" i="9" s="1"/>
  <c r="AH328" i="8"/>
  <c r="AI328" i="8"/>
  <c r="AI329" i="9" s="1"/>
  <c r="AH329" i="8"/>
  <c r="AH330" i="9" s="1"/>
  <c r="AI329" i="8"/>
  <c r="AI330" i="9" s="1"/>
  <c r="AH330" i="8"/>
  <c r="AH331" i="9" s="1"/>
  <c r="AI330" i="8"/>
  <c r="AI331" i="9" s="1"/>
  <c r="AH331" i="8"/>
  <c r="AH332" i="9" s="1"/>
  <c r="AI331" i="8"/>
  <c r="AI332" i="9" s="1"/>
  <c r="AH332" i="8"/>
  <c r="AH333" i="9" s="1"/>
  <c r="AI332" i="8"/>
  <c r="AH333" i="8"/>
  <c r="AH334" i="9" s="1"/>
  <c r="AI333" i="8"/>
  <c r="AI334" i="9" s="1"/>
  <c r="AH334" i="8"/>
  <c r="AH335" i="9" s="1"/>
  <c r="AI334" i="8"/>
  <c r="AI335" i="9" s="1"/>
  <c r="AH335" i="8"/>
  <c r="AH336" i="9" s="1"/>
  <c r="AI335" i="8"/>
  <c r="AI336" i="9" s="1"/>
  <c r="AH336" i="8"/>
  <c r="AI336" i="8"/>
  <c r="AH337" i="8"/>
  <c r="AH338" i="9" s="1"/>
  <c r="AI337" i="8"/>
  <c r="AI338" i="9" s="1"/>
  <c r="AH338" i="8"/>
  <c r="AH339" i="9" s="1"/>
  <c r="AI338" i="8"/>
  <c r="AI339" i="9" s="1"/>
  <c r="AH339" i="8"/>
  <c r="AH340" i="9" s="1"/>
  <c r="AI339" i="8"/>
  <c r="AI340" i="9" s="1"/>
  <c r="AH340" i="8"/>
  <c r="AH341" i="9" s="1"/>
  <c r="AI340" i="8"/>
  <c r="AI341" i="9" s="1"/>
  <c r="AH341" i="8"/>
  <c r="AI341" i="8"/>
  <c r="AI342" i="9" s="1"/>
  <c r="AH342" i="8"/>
  <c r="AH343" i="9" s="1"/>
  <c r="AI342" i="8"/>
  <c r="AI343" i="9" s="1"/>
  <c r="AH343" i="8"/>
  <c r="AH344" i="9" s="1"/>
  <c r="AI343" i="8"/>
  <c r="AI344" i="9" s="1"/>
  <c r="AH344" i="8"/>
  <c r="AH345" i="9" s="1"/>
  <c r="AI344" i="8"/>
  <c r="AH345" i="8"/>
  <c r="AH346" i="9" s="1"/>
  <c r="AI345" i="8"/>
  <c r="AI346" i="9" s="1"/>
  <c r="AH346" i="8"/>
  <c r="AH347" i="9" s="1"/>
  <c r="AI346" i="8"/>
  <c r="AI347" i="9" s="1"/>
  <c r="AH347" i="8"/>
  <c r="AH348" i="9" s="1"/>
  <c r="AI347" i="8"/>
  <c r="AI348" i="9" s="1"/>
  <c r="AH348" i="8"/>
  <c r="AI348" i="8"/>
  <c r="AI349" i="9" s="1"/>
  <c r="AH349" i="8"/>
  <c r="AH350" i="9" s="1"/>
  <c r="AI349" i="8"/>
  <c r="AI350" i="9" s="1"/>
  <c r="AH350" i="8"/>
  <c r="AH351" i="9" s="1"/>
  <c r="AI350" i="8"/>
  <c r="AI351" i="9" s="1"/>
  <c r="AH351" i="8"/>
  <c r="AH352" i="9" s="1"/>
  <c r="AI351" i="8"/>
  <c r="AI352" i="9" s="1"/>
  <c r="AH352" i="8"/>
  <c r="AI352" i="8"/>
  <c r="AI353" i="9" s="1"/>
  <c r="AH353" i="8"/>
  <c r="AH354" i="9" s="1"/>
  <c r="AI353" i="8"/>
  <c r="AI354" i="9" s="1"/>
  <c r="AH354" i="8"/>
  <c r="AH355" i="9" s="1"/>
  <c r="AI354" i="8"/>
  <c r="AI355" i="9" s="1"/>
  <c r="AH355" i="8"/>
  <c r="AH356" i="9" s="1"/>
  <c r="AI355" i="8"/>
  <c r="AI356" i="9" s="1"/>
  <c r="AH356" i="8"/>
  <c r="AH357" i="9" s="1"/>
  <c r="AI356" i="8"/>
  <c r="AI357" i="9" s="1"/>
  <c r="AH357" i="8"/>
  <c r="AI357" i="8"/>
  <c r="AI358" i="9" s="1"/>
  <c r="AH358" i="8"/>
  <c r="AI358" i="8"/>
  <c r="AI359" i="9" s="1"/>
  <c r="AH359" i="8"/>
  <c r="AH360" i="9" s="1"/>
  <c r="AI359" i="8"/>
  <c r="AI360" i="9" s="1"/>
  <c r="AH360" i="8"/>
  <c r="AH361" i="9" s="1"/>
  <c r="AI360" i="8"/>
  <c r="AI361" i="9" s="1"/>
  <c r="AH361" i="8"/>
  <c r="AH362" i="9" s="1"/>
  <c r="AI361" i="8"/>
  <c r="AI362" i="9" s="1"/>
  <c r="AH362" i="8"/>
  <c r="AH363" i="9" s="1"/>
  <c r="AI362" i="8"/>
  <c r="AI363" i="9" s="1"/>
  <c r="AH363" i="8"/>
  <c r="AH364" i="9" s="1"/>
  <c r="AI363" i="8"/>
  <c r="AH364" i="8"/>
  <c r="AH365" i="9" s="1"/>
  <c r="AI364" i="8"/>
  <c r="AI365" i="9" s="1"/>
  <c r="AH365" i="8"/>
  <c r="AI365" i="8"/>
  <c r="AI366" i="9" s="1"/>
  <c r="AH366" i="8"/>
  <c r="AH367" i="9" s="1"/>
  <c r="AI366" i="8"/>
  <c r="AI367" i="9" s="1"/>
  <c r="AH367" i="8"/>
  <c r="AH368" i="9" s="1"/>
  <c r="AI367" i="8"/>
  <c r="AI368" i="9" s="1"/>
  <c r="AH368" i="8"/>
  <c r="AH369" i="9" s="1"/>
  <c r="AI368" i="8"/>
  <c r="AI369" i="9" s="1"/>
  <c r="AH369" i="8"/>
  <c r="AH370" i="9" s="1"/>
  <c r="AI369" i="8"/>
  <c r="AI370" i="9" s="1"/>
  <c r="AH370" i="8"/>
  <c r="AH371" i="9" s="1"/>
  <c r="AI370" i="8"/>
  <c r="AI371" i="9" s="1"/>
  <c r="AH371" i="8"/>
  <c r="AH372" i="9" s="1"/>
  <c r="AI371" i="8"/>
  <c r="AI372" i="9" s="1"/>
  <c r="AH372" i="8"/>
  <c r="AH373" i="9" s="1"/>
  <c r="AI372" i="8"/>
  <c r="AI373" i="9" s="1"/>
  <c r="AH373" i="8"/>
  <c r="AH374" i="9" s="1"/>
  <c r="AI373" i="8"/>
  <c r="AI374" i="9" s="1"/>
  <c r="AH374" i="8"/>
  <c r="AH375" i="9" s="1"/>
  <c r="AI374" i="8"/>
  <c r="AI375" i="9" s="1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A367" i="9" s="1"/>
  <c r="B366" i="8"/>
  <c r="B367" i="9" s="1"/>
  <c r="C366" i="8"/>
  <c r="C368" i="21" s="1"/>
  <c r="D366" i="8"/>
  <c r="E366" i="8"/>
  <c r="E367" i="9" s="1"/>
  <c r="F366" i="8"/>
  <c r="F367" i="9" s="1"/>
  <c r="G366" i="8"/>
  <c r="G367" i="9" s="1"/>
  <c r="H366" i="8"/>
  <c r="H367" i="9" s="1"/>
  <c r="I366" i="8"/>
  <c r="I367" i="9" s="1"/>
  <c r="J366" i="8"/>
  <c r="J367" i="9" s="1"/>
  <c r="K366" i="8"/>
  <c r="K367" i="9" s="1"/>
  <c r="L366" i="8"/>
  <c r="M366" i="8"/>
  <c r="M367" i="9" s="1"/>
  <c r="N366" i="8"/>
  <c r="N368" i="10" s="1"/>
  <c r="O366" i="8"/>
  <c r="O368" i="10" s="1"/>
  <c r="P366" i="8"/>
  <c r="P368" i="21" s="1"/>
  <c r="Q366" i="8"/>
  <c r="Q367" i="9" s="1"/>
  <c r="R366" i="8"/>
  <c r="R367" i="9" s="1"/>
  <c r="S366" i="8"/>
  <c r="S368" i="21" s="1"/>
  <c r="T366" i="8"/>
  <c r="U366" i="8"/>
  <c r="U367" i="9" s="1"/>
  <c r="V366" i="8"/>
  <c r="V368" i="10" s="1"/>
  <c r="W366" i="8"/>
  <c r="W367" i="9" s="1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F367" i="9" s="1"/>
  <c r="AG366" i="8"/>
  <c r="AG367" i="9" s="1"/>
  <c r="A367" i="8"/>
  <c r="A369" i="11" s="1"/>
  <c r="B367" i="8"/>
  <c r="B369" i="21" s="1"/>
  <c r="C367" i="8"/>
  <c r="D367" i="8"/>
  <c r="D369" i="11" s="1"/>
  <c r="E367" i="8"/>
  <c r="E368" i="9" s="1"/>
  <c r="F367" i="8"/>
  <c r="F368" i="9" s="1"/>
  <c r="G367" i="8"/>
  <c r="G368" i="9" s="1"/>
  <c r="H367" i="8"/>
  <c r="H368" i="9" s="1"/>
  <c r="I367" i="8"/>
  <c r="I368" i="9" s="1"/>
  <c r="J367" i="8"/>
  <c r="J369" i="21" s="1"/>
  <c r="K367" i="8"/>
  <c r="L367" i="8"/>
  <c r="L368" i="9" s="1"/>
  <c r="M367" i="8"/>
  <c r="M369" i="11" s="1"/>
  <c r="N367" i="8"/>
  <c r="N369" i="11" s="1"/>
  <c r="O367" i="8"/>
  <c r="O369" i="21" s="1"/>
  <c r="P367" i="8"/>
  <c r="P368" i="9" s="1"/>
  <c r="Q367" i="8"/>
  <c r="Q368" i="9" s="1"/>
  <c r="R367" i="8"/>
  <c r="R369" i="21" s="1"/>
  <c r="S367" i="8"/>
  <c r="T367" i="8"/>
  <c r="T369" i="11" s="1"/>
  <c r="U367" i="8"/>
  <c r="U368" i="9" s="1"/>
  <c r="V367" i="8"/>
  <c r="V368" i="9" s="1"/>
  <c r="W367" i="8"/>
  <c r="W368" i="9" s="1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C368" i="9" s="1"/>
  <c r="AD367" i="8"/>
  <c r="AD368" i="9" s="1"/>
  <c r="AE367" i="8"/>
  <c r="AE368" i="9" s="1"/>
  <c r="AF367" i="8"/>
  <c r="AF368" i="9" s="1"/>
  <c r="AG367" i="8"/>
  <c r="AG368" i="9" s="1"/>
  <c r="A368" i="8"/>
  <c r="B368" i="8"/>
  <c r="C368" i="8"/>
  <c r="D368" i="8"/>
  <c r="E368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369" i="8"/>
  <c r="B369" i="8"/>
  <c r="C369" i="8"/>
  <c r="D369" i="8"/>
  <c r="E369" i="8"/>
  <c r="F369" i="8"/>
  <c r="G369" i="8"/>
  <c r="H369" i="8"/>
  <c r="I369" i="8"/>
  <c r="J369" i="8"/>
  <c r="K369" i="8"/>
  <c r="L369" i="8"/>
  <c r="L370" i="9" s="1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370" i="8"/>
  <c r="B370" i="8"/>
  <c r="C370" i="8"/>
  <c r="D370" i="8"/>
  <c r="E370" i="8"/>
  <c r="F370" i="8"/>
  <c r="G370" i="8"/>
  <c r="H370" i="8"/>
  <c r="I370" i="8"/>
  <c r="J370" i="8"/>
  <c r="K370" i="8"/>
  <c r="K371" i="9" s="1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371" i="8"/>
  <c r="B371" i="8"/>
  <c r="C371" i="8"/>
  <c r="D371" i="8"/>
  <c r="E371" i="8"/>
  <c r="F371" i="8"/>
  <c r="G371" i="8"/>
  <c r="H371" i="8"/>
  <c r="I371" i="8"/>
  <c r="J371" i="8"/>
  <c r="J372" i="9" s="1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372" i="8"/>
  <c r="A373" i="9" s="1"/>
  <c r="B372" i="8"/>
  <c r="C372" i="8"/>
  <c r="D372" i="8"/>
  <c r="E372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D373" i="9" s="1"/>
  <c r="AE372" i="8"/>
  <c r="AF372" i="8"/>
  <c r="AG372" i="8"/>
  <c r="AG373" i="9" s="1"/>
  <c r="A373" i="8"/>
  <c r="B373" i="8"/>
  <c r="C373" i="8"/>
  <c r="D373" i="8"/>
  <c r="E373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374" i="8"/>
  <c r="B374" i="8"/>
  <c r="C374" i="8"/>
  <c r="D374" i="8"/>
  <c r="E374" i="8"/>
  <c r="F374" i="8"/>
  <c r="G374" i="8"/>
  <c r="H374" i="8"/>
  <c r="I374" i="8"/>
  <c r="J374" i="8"/>
  <c r="K374" i="8"/>
  <c r="L374" i="8"/>
  <c r="M374" i="8"/>
  <c r="N374" i="8"/>
  <c r="O374" i="8"/>
  <c r="O375" i="9" s="1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1" i="8"/>
  <c r="AH2" i="9" s="1"/>
  <c r="AI1" i="8"/>
  <c r="AI2" i="9" s="1"/>
  <c r="AQ3" i="2"/>
  <c r="AR3" i="2"/>
  <c r="C46" i="24" l="1"/>
  <c r="D46" i="24" s="1"/>
  <c r="D45" i="24"/>
  <c r="AI365" i="21"/>
  <c r="AI364" i="9"/>
  <c r="AH285" i="21"/>
  <c r="AH284" i="9"/>
  <c r="AH269" i="11"/>
  <c r="AH268" i="9"/>
  <c r="AH225" i="10"/>
  <c r="AH224" i="9"/>
  <c r="AH217" i="10"/>
  <c r="AH216" i="9"/>
  <c r="AH157" i="21"/>
  <c r="AH156" i="9"/>
  <c r="AH125" i="21"/>
  <c r="AH124" i="9"/>
  <c r="AH117" i="10"/>
  <c r="AH116" i="9"/>
  <c r="AH105" i="10"/>
  <c r="AH104" i="9"/>
  <c r="AH97" i="10"/>
  <c r="AH96" i="9"/>
  <c r="AH93" i="21"/>
  <c r="AH92" i="9"/>
  <c r="AH81" i="10"/>
  <c r="AH80" i="9"/>
  <c r="AH65" i="10"/>
  <c r="AH64" i="9"/>
  <c r="AH61" i="21"/>
  <c r="AH60" i="9"/>
  <c r="AH49" i="10"/>
  <c r="AH48" i="9"/>
  <c r="AH41" i="10"/>
  <c r="AH40" i="9"/>
  <c r="AH37" i="10"/>
  <c r="AH36" i="9"/>
  <c r="AH33" i="10"/>
  <c r="AH32" i="9"/>
  <c r="AH29" i="21"/>
  <c r="AH28" i="9"/>
  <c r="AH17" i="10"/>
  <c r="AH16" i="9"/>
  <c r="AI157" i="10"/>
  <c r="AI156" i="9"/>
  <c r="AI149" i="10"/>
  <c r="AI148" i="9"/>
  <c r="AI117" i="10"/>
  <c r="AI116" i="9"/>
  <c r="AI37" i="10"/>
  <c r="AI36" i="9"/>
  <c r="AI13" i="10"/>
  <c r="AI12" i="9"/>
  <c r="AI288" i="10"/>
  <c r="AI287" i="9"/>
  <c r="AI136" i="10"/>
  <c r="AI135" i="9"/>
  <c r="AI120" i="10"/>
  <c r="AI119" i="9"/>
  <c r="AI80" i="10"/>
  <c r="AI79" i="9"/>
  <c r="AI72" i="10"/>
  <c r="AI71" i="9"/>
  <c r="AI64" i="10"/>
  <c r="AI63" i="9"/>
  <c r="AI48" i="10"/>
  <c r="AI47" i="9"/>
  <c r="AI44" i="10"/>
  <c r="AI43" i="9"/>
  <c r="AI40" i="10"/>
  <c r="AI39" i="9"/>
  <c r="AI16" i="10"/>
  <c r="AI15" i="9"/>
  <c r="AI153" i="10"/>
  <c r="AI152" i="9"/>
  <c r="AI61" i="10"/>
  <c r="AI60" i="9"/>
  <c r="AH360" i="10"/>
  <c r="AH359" i="9"/>
  <c r="AH288" i="21"/>
  <c r="AH287" i="9"/>
  <c r="AH256" i="21"/>
  <c r="AH255" i="9"/>
  <c r="AH248" i="11"/>
  <c r="AH247" i="9"/>
  <c r="AH224" i="11"/>
  <c r="AH223" i="9"/>
  <c r="AH220" i="10"/>
  <c r="AH219" i="9"/>
  <c r="AH188" i="10"/>
  <c r="AH187" i="9"/>
  <c r="AH160" i="21"/>
  <c r="AH159" i="9"/>
  <c r="AH148" i="10"/>
  <c r="AH147" i="9"/>
  <c r="AH96" i="21"/>
  <c r="AH95" i="9"/>
  <c r="AH68" i="10"/>
  <c r="AH67" i="9"/>
  <c r="AH40" i="10"/>
  <c r="AH39" i="9"/>
  <c r="AH32" i="21"/>
  <c r="AH31" i="9"/>
  <c r="AH20" i="10"/>
  <c r="AH19" i="9"/>
  <c r="AH12" i="10"/>
  <c r="AH11" i="9"/>
  <c r="AI161" i="10"/>
  <c r="AI160" i="9"/>
  <c r="AI77" i="10"/>
  <c r="AI76" i="9"/>
  <c r="AI69" i="10"/>
  <c r="AI68" i="9"/>
  <c r="AI53" i="10"/>
  <c r="AI52" i="9"/>
  <c r="AI45" i="10"/>
  <c r="AI44" i="9"/>
  <c r="AI33" i="10"/>
  <c r="AI32" i="9"/>
  <c r="AI21" i="10"/>
  <c r="AI20" i="9"/>
  <c r="AI159" i="11"/>
  <c r="AI158" i="9"/>
  <c r="AI151" i="10"/>
  <c r="AI150" i="9"/>
  <c r="AI127" i="11"/>
  <c r="AI126" i="9"/>
  <c r="AI107" i="10"/>
  <c r="AI106" i="9"/>
  <c r="AI95" i="11"/>
  <c r="AI94" i="9"/>
  <c r="AI87" i="10"/>
  <c r="AI86" i="9"/>
  <c r="AI75" i="10"/>
  <c r="AI74" i="9"/>
  <c r="AI71" i="10"/>
  <c r="AI70" i="9"/>
  <c r="AI67" i="10"/>
  <c r="AI66" i="9"/>
  <c r="AI63" i="11"/>
  <c r="AI62" i="9"/>
  <c r="AI59" i="10"/>
  <c r="AI58" i="9"/>
  <c r="AI55" i="10"/>
  <c r="AI54" i="9"/>
  <c r="AI43" i="10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5" i="10"/>
  <c r="AH314" i="9"/>
  <c r="AH299" i="11"/>
  <c r="AH298" i="9"/>
  <c r="AH291" i="10"/>
  <c r="AH290" i="9"/>
  <c r="AH275" i="11"/>
  <c r="AH274" i="9"/>
  <c r="AH267" i="10"/>
  <c r="AH266" i="9"/>
  <c r="AH239" i="21"/>
  <c r="AH238" i="9"/>
  <c r="AH231" i="10"/>
  <c r="AH230" i="9"/>
  <c r="AH179" i="10"/>
  <c r="AH178" i="9"/>
  <c r="AH167" i="10"/>
  <c r="AH166" i="9"/>
  <c r="AH87" i="10"/>
  <c r="AH86" i="9"/>
  <c r="AH75" i="10"/>
  <c r="AH74" i="9"/>
  <c r="AH67" i="10"/>
  <c r="AH66" i="9"/>
  <c r="AH59" i="10"/>
  <c r="AH58" i="9"/>
  <c r="AH51" i="10"/>
  <c r="AH50" i="9"/>
  <c r="AH43" i="10"/>
  <c r="AH42" i="9"/>
  <c r="AH35" i="10"/>
  <c r="AH34" i="9"/>
  <c r="AI346" i="10"/>
  <c r="AI345" i="9"/>
  <c r="AI338" i="10"/>
  <c r="AI337" i="9"/>
  <c r="AI334" i="10"/>
  <c r="AI333" i="9"/>
  <c r="AI322" i="10"/>
  <c r="AI321" i="9"/>
  <c r="AI154" i="10"/>
  <c r="AI153" i="9"/>
  <c r="AI146" i="10"/>
  <c r="AI145" i="9"/>
  <c r="AI122" i="10"/>
  <c r="AI121" i="9"/>
  <c r="AI106" i="10"/>
  <c r="AI105" i="9"/>
  <c r="AI98" i="10"/>
  <c r="AI97" i="9"/>
  <c r="AI94" i="10"/>
  <c r="AI93" i="9"/>
  <c r="AI58" i="10"/>
  <c r="AI57" i="9"/>
  <c r="AI54" i="10"/>
  <c r="AI53" i="9"/>
  <c r="AI50" i="10"/>
  <c r="AI49" i="9"/>
  <c r="AI42" i="10"/>
  <c r="AI41" i="9"/>
  <c r="AI34" i="10"/>
  <c r="AI33" i="9"/>
  <c r="AI10" i="10"/>
  <c r="AI9" i="9"/>
  <c r="AH354" i="11"/>
  <c r="AH353" i="9"/>
  <c r="AH350" i="10"/>
  <c r="AH349" i="9"/>
  <c r="AH338" i="11"/>
  <c r="AH337" i="9"/>
  <c r="AH330" i="11"/>
  <c r="AH329" i="9"/>
  <c r="AH322" i="11"/>
  <c r="AH321" i="9"/>
  <c r="AH318" i="10"/>
  <c r="AH317" i="9"/>
  <c r="AH314" i="11"/>
  <c r="AH313" i="9"/>
  <c r="AH302" i="10"/>
  <c r="AH301" i="9"/>
  <c r="AH282" i="10"/>
  <c r="AH281" i="9"/>
  <c r="AH266" i="11"/>
  <c r="AH265" i="9"/>
  <c r="AH242" i="11"/>
  <c r="AH241" i="9"/>
  <c r="AH222" i="10"/>
  <c r="AH221" i="9"/>
  <c r="AH214" i="10"/>
  <c r="AH213" i="9"/>
  <c r="AH170" i="10"/>
  <c r="AH169" i="9"/>
  <c r="AH154" i="10"/>
  <c r="AH153" i="9"/>
  <c r="AH78" i="10"/>
  <c r="AH77" i="9"/>
  <c r="AH70" i="10"/>
  <c r="AH69" i="9"/>
  <c r="AH62" i="10"/>
  <c r="AH61" i="9"/>
  <c r="AH46" i="10"/>
  <c r="AH45" i="9"/>
  <c r="AH38" i="10"/>
  <c r="AH37" i="9"/>
  <c r="AH10" i="10"/>
  <c r="AH9" i="9"/>
  <c r="AH1" i="9" s="1"/>
  <c r="S367" i="9"/>
  <c r="D40" i="24"/>
  <c r="C41" i="24"/>
  <c r="D41" i="24" s="1"/>
  <c r="A368" i="10"/>
  <c r="D35" i="24"/>
  <c r="C36" i="24"/>
  <c r="D36" i="24" s="1"/>
  <c r="D30" i="24"/>
  <c r="C31" i="24"/>
  <c r="D31" i="24" s="1"/>
  <c r="O367" i="9"/>
  <c r="F369" i="11"/>
  <c r="B375" i="9"/>
  <c r="B376" i="10"/>
  <c r="B376" i="21"/>
  <c r="B376" i="11"/>
  <c r="D373" i="9"/>
  <c r="D374" i="10"/>
  <c r="D374" i="11"/>
  <c r="D374" i="21"/>
  <c r="F371" i="9"/>
  <c r="F372" i="10"/>
  <c r="F372" i="21"/>
  <c r="F372" i="11"/>
  <c r="AH371" i="21"/>
  <c r="AH371" i="11"/>
  <c r="I375" i="9"/>
  <c r="I376" i="10"/>
  <c r="I376" i="21"/>
  <c r="I376" i="11"/>
  <c r="AA373" i="9"/>
  <c r="AA374" i="10"/>
  <c r="AA374" i="11"/>
  <c r="AA374" i="21"/>
  <c r="L372" i="9"/>
  <c r="L373" i="10"/>
  <c r="L373" i="21"/>
  <c r="L373" i="11"/>
  <c r="V370" i="9"/>
  <c r="V371" i="10"/>
  <c r="V371" i="21"/>
  <c r="V371" i="11"/>
  <c r="AI370" i="21"/>
  <c r="AI370" i="11"/>
  <c r="X375" i="9"/>
  <c r="X376" i="21"/>
  <c r="X376" i="10"/>
  <c r="X376" i="11"/>
  <c r="Q374" i="9"/>
  <c r="Q375" i="10"/>
  <c r="Q375" i="11"/>
  <c r="Q375" i="21"/>
  <c r="Z373" i="9"/>
  <c r="Z374" i="10"/>
  <c r="Z374" i="21"/>
  <c r="Z374" i="11"/>
  <c r="C372" i="9"/>
  <c r="C373" i="10"/>
  <c r="C373" i="21"/>
  <c r="C373" i="11"/>
  <c r="E370" i="9"/>
  <c r="E371" i="10"/>
  <c r="E371" i="21"/>
  <c r="E371" i="11"/>
  <c r="N369" i="9"/>
  <c r="N370" i="10"/>
  <c r="N370" i="21"/>
  <c r="N370" i="11"/>
  <c r="W375" i="9"/>
  <c r="W376" i="10"/>
  <c r="W376" i="21"/>
  <c r="W376" i="11"/>
  <c r="P374" i="9"/>
  <c r="P375" i="10"/>
  <c r="P375" i="21"/>
  <c r="P375" i="11"/>
  <c r="Q373" i="9"/>
  <c r="Q374" i="10"/>
  <c r="Q374" i="21"/>
  <c r="Q374" i="11"/>
  <c r="Z372" i="9"/>
  <c r="Z373" i="10"/>
  <c r="Z373" i="21"/>
  <c r="Z373" i="11"/>
  <c r="AA371" i="9"/>
  <c r="AA372" i="10"/>
  <c r="AA372" i="21"/>
  <c r="AA372" i="11"/>
  <c r="T370" i="9"/>
  <c r="T371" i="10"/>
  <c r="T371" i="11"/>
  <c r="T371" i="21"/>
  <c r="E370" i="10"/>
  <c r="E370" i="21"/>
  <c r="E370" i="11"/>
  <c r="AD369" i="21"/>
  <c r="M368" i="9"/>
  <c r="AB375" i="9"/>
  <c r="AB376" i="10"/>
  <c r="AB376" i="21"/>
  <c r="AB376" i="11"/>
  <c r="T375" i="9"/>
  <c r="T376" i="10"/>
  <c r="T376" i="11"/>
  <c r="T376" i="21"/>
  <c r="L375" i="9"/>
  <c r="L376" i="10"/>
  <c r="L376" i="21"/>
  <c r="L376" i="11"/>
  <c r="D375" i="9"/>
  <c r="D376" i="10"/>
  <c r="D376" i="11"/>
  <c r="D376" i="21"/>
  <c r="AC374" i="9"/>
  <c r="AC375" i="10"/>
  <c r="AC375" i="21"/>
  <c r="AC375" i="11"/>
  <c r="U374" i="9"/>
  <c r="U375" i="10"/>
  <c r="U375" i="21"/>
  <c r="U375" i="11"/>
  <c r="M374" i="9"/>
  <c r="M375" i="10"/>
  <c r="M375" i="11"/>
  <c r="M375" i="21"/>
  <c r="E374" i="9"/>
  <c r="E375" i="10"/>
  <c r="E375" i="21"/>
  <c r="E375" i="11"/>
  <c r="AD374" i="10"/>
  <c r="AD374" i="21"/>
  <c r="AD374" i="11"/>
  <c r="V373" i="9"/>
  <c r="V374" i="10"/>
  <c r="V374" i="21"/>
  <c r="V374" i="11"/>
  <c r="N373" i="9"/>
  <c r="N374" i="10"/>
  <c r="N374" i="21"/>
  <c r="N374" i="11"/>
  <c r="F373" i="9"/>
  <c r="F374" i="10"/>
  <c r="F374" i="21"/>
  <c r="F374" i="11"/>
  <c r="AE372" i="9"/>
  <c r="AE373" i="10"/>
  <c r="AE373" i="21"/>
  <c r="AE373" i="11"/>
  <c r="W372" i="9"/>
  <c r="W373" i="10"/>
  <c r="W373" i="21"/>
  <c r="W373" i="11"/>
  <c r="O372" i="9"/>
  <c r="O373" i="10"/>
  <c r="O373" i="21"/>
  <c r="O373" i="11"/>
  <c r="G372" i="9"/>
  <c r="G373" i="10"/>
  <c r="G373" i="21"/>
  <c r="G373" i="11"/>
  <c r="AF371" i="9"/>
  <c r="AF372" i="10"/>
  <c r="AF372" i="21"/>
  <c r="AF372" i="11"/>
  <c r="X371" i="9"/>
  <c r="X372" i="10"/>
  <c r="X372" i="21"/>
  <c r="X372" i="11"/>
  <c r="P371" i="9"/>
  <c r="P372" i="10"/>
  <c r="P372" i="21"/>
  <c r="P372" i="11"/>
  <c r="H371" i="9"/>
  <c r="H372" i="10"/>
  <c r="H372" i="21"/>
  <c r="H372" i="11"/>
  <c r="AG370" i="9"/>
  <c r="AG371" i="10"/>
  <c r="AG371" i="21"/>
  <c r="AG371" i="11"/>
  <c r="Y370" i="9"/>
  <c r="Y371" i="10"/>
  <c r="Y371" i="21"/>
  <c r="Y371" i="11"/>
  <c r="Q370" i="9"/>
  <c r="Q371" i="10"/>
  <c r="Q371" i="11"/>
  <c r="Q371" i="21"/>
  <c r="I370" i="9"/>
  <c r="I371" i="10"/>
  <c r="I371" i="21"/>
  <c r="I371" i="11"/>
  <c r="A370" i="9"/>
  <c r="A371" i="10"/>
  <c r="A371" i="21"/>
  <c r="A371" i="11"/>
  <c r="Z369" i="9"/>
  <c r="Z370" i="10"/>
  <c r="Z370" i="21"/>
  <c r="Z370" i="11"/>
  <c r="R369" i="9"/>
  <c r="R370" i="10"/>
  <c r="R370" i="21"/>
  <c r="R370" i="11"/>
  <c r="J369" i="9"/>
  <c r="J370" i="10"/>
  <c r="J370" i="21"/>
  <c r="J370" i="11"/>
  <c r="B369" i="9"/>
  <c r="B370" i="10"/>
  <c r="B370" i="21"/>
  <c r="B370" i="11"/>
  <c r="AH376" i="21"/>
  <c r="AH376" i="11"/>
  <c r="AH372" i="21"/>
  <c r="AH372" i="11"/>
  <c r="Y375" i="9"/>
  <c r="Y376" i="10"/>
  <c r="Y376" i="21"/>
  <c r="Y376" i="11"/>
  <c r="R374" i="9"/>
  <c r="R375" i="10"/>
  <c r="R375" i="21"/>
  <c r="R375" i="11"/>
  <c r="K373" i="9"/>
  <c r="K374" i="10"/>
  <c r="K374" i="21"/>
  <c r="K374" i="11"/>
  <c r="E371" i="9"/>
  <c r="E372" i="10"/>
  <c r="E372" i="21"/>
  <c r="E372" i="11"/>
  <c r="AE369" i="9"/>
  <c r="AE370" i="10"/>
  <c r="AE370" i="11"/>
  <c r="AE370" i="21"/>
  <c r="P375" i="9"/>
  <c r="P376" i="21"/>
  <c r="P376" i="10"/>
  <c r="P376" i="11"/>
  <c r="A374" i="9"/>
  <c r="A375" i="10"/>
  <c r="A375" i="21"/>
  <c r="A375" i="11"/>
  <c r="AA372" i="9"/>
  <c r="AA373" i="10"/>
  <c r="AA373" i="11"/>
  <c r="AA373" i="21"/>
  <c r="L371" i="9"/>
  <c r="L372" i="10"/>
  <c r="L372" i="21"/>
  <c r="L372" i="11"/>
  <c r="M370" i="9"/>
  <c r="M371" i="10"/>
  <c r="M371" i="21"/>
  <c r="M371" i="11"/>
  <c r="G375" i="9"/>
  <c r="G376" i="10"/>
  <c r="G376" i="11"/>
  <c r="G376" i="21"/>
  <c r="H374" i="9"/>
  <c r="H375" i="10"/>
  <c r="H375" i="11"/>
  <c r="H375" i="21"/>
  <c r="Y373" i="9"/>
  <c r="Y374" i="10"/>
  <c r="Y374" i="21"/>
  <c r="Y374" i="11"/>
  <c r="B372" i="9"/>
  <c r="B373" i="10"/>
  <c r="B373" i="21"/>
  <c r="B373" i="11"/>
  <c r="K372" i="10"/>
  <c r="K372" i="21"/>
  <c r="K372" i="11"/>
  <c r="L371" i="10"/>
  <c r="L371" i="11"/>
  <c r="L371" i="21"/>
  <c r="AA375" i="9"/>
  <c r="AA376" i="10"/>
  <c r="AA376" i="21"/>
  <c r="AA376" i="11"/>
  <c r="S375" i="9"/>
  <c r="S376" i="10"/>
  <c r="S376" i="21"/>
  <c r="S376" i="11"/>
  <c r="K375" i="9"/>
  <c r="K376" i="10"/>
  <c r="K376" i="11"/>
  <c r="K376" i="21"/>
  <c r="C375" i="9"/>
  <c r="C376" i="10"/>
  <c r="C376" i="21"/>
  <c r="C376" i="11"/>
  <c r="AB374" i="9"/>
  <c r="AB375" i="10"/>
  <c r="AB375" i="21"/>
  <c r="AB375" i="11"/>
  <c r="T374" i="9"/>
  <c r="T375" i="10"/>
  <c r="T375" i="21"/>
  <c r="T375" i="11"/>
  <c r="L374" i="9"/>
  <c r="L375" i="10"/>
  <c r="L375" i="21"/>
  <c r="L375" i="11"/>
  <c r="D374" i="9"/>
  <c r="D375" i="10"/>
  <c r="D375" i="21"/>
  <c r="D375" i="11"/>
  <c r="AC373" i="9"/>
  <c r="AC374" i="10"/>
  <c r="AC374" i="11"/>
  <c r="AC374" i="21"/>
  <c r="U373" i="9"/>
  <c r="U374" i="10"/>
  <c r="U374" i="21"/>
  <c r="U374" i="11"/>
  <c r="M373" i="9"/>
  <c r="M374" i="10"/>
  <c r="M374" i="21"/>
  <c r="M374" i="11"/>
  <c r="E373" i="9"/>
  <c r="E374" i="10"/>
  <c r="E374" i="21"/>
  <c r="E374" i="11"/>
  <c r="AD372" i="9"/>
  <c r="AD373" i="10"/>
  <c r="AD373" i="21"/>
  <c r="AD373" i="11"/>
  <c r="V372" i="9"/>
  <c r="V373" i="10"/>
  <c r="V373" i="21"/>
  <c r="V373" i="11"/>
  <c r="N372" i="9"/>
  <c r="N373" i="10"/>
  <c r="N373" i="11"/>
  <c r="N373" i="21"/>
  <c r="F372" i="9"/>
  <c r="F373" i="10"/>
  <c r="F373" i="11"/>
  <c r="F373" i="21"/>
  <c r="AE371" i="9"/>
  <c r="AE372" i="10"/>
  <c r="AE372" i="21"/>
  <c r="AE372" i="11"/>
  <c r="W371" i="9"/>
  <c r="W372" i="10"/>
  <c r="W372" i="21"/>
  <c r="W372" i="11"/>
  <c r="O371" i="9"/>
  <c r="O372" i="10"/>
  <c r="O372" i="21"/>
  <c r="O372" i="11"/>
  <c r="G371" i="9"/>
  <c r="G372" i="10"/>
  <c r="G372" i="21"/>
  <c r="G372" i="11"/>
  <c r="AF370" i="9"/>
  <c r="AF371" i="10"/>
  <c r="AF371" i="21"/>
  <c r="AF371" i="11"/>
  <c r="X370" i="9"/>
  <c r="X371" i="10"/>
  <c r="X371" i="21"/>
  <c r="X371" i="11"/>
  <c r="P370" i="9"/>
  <c r="P371" i="10"/>
  <c r="P371" i="21"/>
  <c r="P371" i="11"/>
  <c r="H370" i="9"/>
  <c r="H371" i="10"/>
  <c r="H371" i="21"/>
  <c r="H371" i="11"/>
  <c r="AG369" i="9"/>
  <c r="AG370" i="10"/>
  <c r="AG370" i="21"/>
  <c r="AG370" i="11"/>
  <c r="Y369" i="9"/>
  <c r="Y370" i="10"/>
  <c r="Y370" i="21"/>
  <c r="Y370" i="11"/>
  <c r="Q369" i="9"/>
  <c r="Q370" i="10"/>
  <c r="Q370" i="21"/>
  <c r="Q370" i="11"/>
  <c r="I369" i="9"/>
  <c r="I370" i="10"/>
  <c r="I370" i="21"/>
  <c r="I370" i="11"/>
  <c r="A369" i="9"/>
  <c r="A370" i="10"/>
  <c r="A370" i="21"/>
  <c r="A370" i="11"/>
  <c r="AI375" i="21"/>
  <c r="AI375" i="11"/>
  <c r="AI371" i="21"/>
  <c r="AI371" i="11"/>
  <c r="AA374" i="9"/>
  <c r="AA375" i="10"/>
  <c r="AA375" i="21"/>
  <c r="AA375" i="11"/>
  <c r="U372" i="9"/>
  <c r="U373" i="10"/>
  <c r="U373" i="21"/>
  <c r="U373" i="11"/>
  <c r="W370" i="9"/>
  <c r="W371" i="10"/>
  <c r="W371" i="21"/>
  <c r="W371" i="11"/>
  <c r="A375" i="9"/>
  <c r="A376" i="10"/>
  <c r="A376" i="21"/>
  <c r="A376" i="11"/>
  <c r="S373" i="9"/>
  <c r="S374" i="10"/>
  <c r="S374" i="21"/>
  <c r="S374" i="11"/>
  <c r="AC371" i="9"/>
  <c r="AC372" i="10"/>
  <c r="AC372" i="21"/>
  <c r="AC372" i="11"/>
  <c r="O369" i="9"/>
  <c r="O370" i="10"/>
  <c r="O370" i="11"/>
  <c r="O370" i="21"/>
  <c r="K374" i="9"/>
  <c r="K375" i="10"/>
  <c r="K375" i="21"/>
  <c r="K375" i="11"/>
  <c r="AC372" i="9"/>
  <c r="AC373" i="10"/>
  <c r="AC373" i="21"/>
  <c r="AC373" i="11"/>
  <c r="AD371" i="9"/>
  <c r="AD372" i="10"/>
  <c r="AD372" i="21"/>
  <c r="AD372" i="11"/>
  <c r="AF369" i="9"/>
  <c r="AF370" i="10"/>
  <c r="AF370" i="21"/>
  <c r="AF370" i="11"/>
  <c r="AH375" i="21"/>
  <c r="AH375" i="11"/>
  <c r="Q375" i="9"/>
  <c r="Q376" i="10"/>
  <c r="Q376" i="21"/>
  <c r="Q376" i="11"/>
  <c r="C373" i="9"/>
  <c r="C374" i="10"/>
  <c r="C374" i="11"/>
  <c r="C374" i="21"/>
  <c r="U371" i="9"/>
  <c r="U372" i="10"/>
  <c r="U372" i="21"/>
  <c r="U372" i="11"/>
  <c r="F370" i="9"/>
  <c r="F371" i="10"/>
  <c r="F371" i="21"/>
  <c r="F371" i="11"/>
  <c r="G369" i="9"/>
  <c r="G370" i="10"/>
  <c r="G370" i="21"/>
  <c r="G370" i="11"/>
  <c r="AH374" i="21"/>
  <c r="AH374" i="11"/>
  <c r="AH370" i="21"/>
  <c r="AH370" i="11"/>
  <c r="R375" i="9"/>
  <c r="R376" i="10"/>
  <c r="R376" i="21"/>
  <c r="R376" i="11"/>
  <c r="AB373" i="9"/>
  <c r="AB374" i="10"/>
  <c r="AB374" i="11"/>
  <c r="AB374" i="21"/>
  <c r="E372" i="9"/>
  <c r="E373" i="10"/>
  <c r="E373" i="21"/>
  <c r="E373" i="11"/>
  <c r="AE370" i="9"/>
  <c r="AE371" i="10"/>
  <c r="AE371" i="21"/>
  <c r="AE371" i="11"/>
  <c r="X369" i="9"/>
  <c r="X370" i="10"/>
  <c r="X370" i="21"/>
  <c r="X370" i="11"/>
  <c r="B374" i="9"/>
  <c r="B375" i="10"/>
  <c r="B375" i="21"/>
  <c r="B375" i="11"/>
  <c r="T372" i="9"/>
  <c r="T373" i="10"/>
  <c r="T373" i="21"/>
  <c r="T373" i="11"/>
  <c r="AD370" i="9"/>
  <c r="AD371" i="10"/>
  <c r="AD371" i="21"/>
  <c r="AD371" i="11"/>
  <c r="W369" i="9"/>
  <c r="W370" i="10"/>
  <c r="W370" i="21"/>
  <c r="W370" i="11"/>
  <c r="H375" i="9"/>
  <c r="H376" i="10"/>
  <c r="H376" i="21"/>
  <c r="H376" i="11"/>
  <c r="I374" i="9"/>
  <c r="I375" i="10"/>
  <c r="I375" i="21"/>
  <c r="I375" i="11"/>
  <c r="J373" i="9"/>
  <c r="J374" i="10"/>
  <c r="J374" i="11"/>
  <c r="J374" i="21"/>
  <c r="S372" i="9"/>
  <c r="S373" i="10"/>
  <c r="S373" i="21"/>
  <c r="S373" i="11"/>
  <c r="T371" i="9"/>
  <c r="T372" i="21"/>
  <c r="T372" i="10"/>
  <c r="T372" i="11"/>
  <c r="U370" i="9"/>
  <c r="U371" i="10"/>
  <c r="U371" i="11"/>
  <c r="U371" i="21"/>
  <c r="X369" i="11"/>
  <c r="AE375" i="9"/>
  <c r="AE376" i="10"/>
  <c r="AE376" i="11"/>
  <c r="AE376" i="21"/>
  <c r="O376" i="10"/>
  <c r="O376" i="21"/>
  <c r="O376" i="11"/>
  <c r="X374" i="9"/>
  <c r="X375" i="10"/>
  <c r="X375" i="21"/>
  <c r="X375" i="11"/>
  <c r="A374" i="10"/>
  <c r="A374" i="21"/>
  <c r="A374" i="11"/>
  <c r="C371" i="9"/>
  <c r="C372" i="10"/>
  <c r="C372" i="21"/>
  <c r="C372" i="11"/>
  <c r="D371" i="10"/>
  <c r="D371" i="21"/>
  <c r="D371" i="11"/>
  <c r="U369" i="9"/>
  <c r="U370" i="10"/>
  <c r="U370" i="21"/>
  <c r="U370" i="11"/>
  <c r="AI373" i="21"/>
  <c r="AI373" i="11"/>
  <c r="J375" i="9"/>
  <c r="J376" i="10"/>
  <c r="J376" i="11"/>
  <c r="J376" i="21"/>
  <c r="S374" i="9"/>
  <c r="S375" i="10"/>
  <c r="S375" i="21"/>
  <c r="S375" i="11"/>
  <c r="T373" i="9"/>
  <c r="T374" i="10"/>
  <c r="T374" i="21"/>
  <c r="T374" i="11"/>
  <c r="M372" i="9"/>
  <c r="M373" i="10"/>
  <c r="M373" i="11"/>
  <c r="M373" i="21"/>
  <c r="N371" i="9"/>
  <c r="N372" i="10"/>
  <c r="N372" i="21"/>
  <c r="N372" i="11"/>
  <c r="O370" i="9"/>
  <c r="O371" i="10"/>
  <c r="O371" i="21"/>
  <c r="O371" i="11"/>
  <c r="H369" i="9"/>
  <c r="H370" i="10"/>
  <c r="H370" i="21"/>
  <c r="H370" i="11"/>
  <c r="Z374" i="9"/>
  <c r="Z375" i="10"/>
  <c r="Z375" i="21"/>
  <c r="Z375" i="11"/>
  <c r="AB372" i="9"/>
  <c r="AB373" i="10"/>
  <c r="AB373" i="21"/>
  <c r="AB373" i="11"/>
  <c r="M371" i="9"/>
  <c r="M372" i="10"/>
  <c r="M372" i="21"/>
  <c r="M372" i="11"/>
  <c r="N370" i="9"/>
  <c r="N371" i="10"/>
  <c r="N371" i="21"/>
  <c r="N371" i="11"/>
  <c r="AI374" i="11"/>
  <c r="AI374" i="21"/>
  <c r="AG374" i="9"/>
  <c r="AG375" i="10"/>
  <c r="AG375" i="21"/>
  <c r="AG375" i="11"/>
  <c r="B373" i="9"/>
  <c r="B374" i="10"/>
  <c r="B374" i="11"/>
  <c r="B374" i="21"/>
  <c r="AB371" i="9"/>
  <c r="AB372" i="21"/>
  <c r="AB372" i="10"/>
  <c r="AB372" i="11"/>
  <c r="AC370" i="9"/>
  <c r="AC371" i="10"/>
  <c r="AC371" i="21"/>
  <c r="AC371" i="11"/>
  <c r="AD369" i="9"/>
  <c r="AD370" i="10"/>
  <c r="AD370" i="21"/>
  <c r="AD370" i="11"/>
  <c r="F369" i="9"/>
  <c r="F370" i="10"/>
  <c r="F370" i="21"/>
  <c r="F370" i="11"/>
  <c r="AF374" i="9"/>
  <c r="AF375" i="10"/>
  <c r="AF375" i="21"/>
  <c r="AF375" i="11"/>
  <c r="AG374" i="10"/>
  <c r="AG374" i="21"/>
  <c r="AG374" i="11"/>
  <c r="I373" i="9"/>
  <c r="I374" i="10"/>
  <c r="I374" i="21"/>
  <c r="I374" i="11"/>
  <c r="R372" i="9"/>
  <c r="R373" i="10"/>
  <c r="R373" i="21"/>
  <c r="R373" i="11"/>
  <c r="S371" i="9"/>
  <c r="S372" i="10"/>
  <c r="S372" i="21"/>
  <c r="S372" i="11"/>
  <c r="AB370" i="9"/>
  <c r="AB371" i="10"/>
  <c r="AB371" i="21"/>
  <c r="AB371" i="11"/>
  <c r="AC369" i="9"/>
  <c r="AC370" i="10"/>
  <c r="AC370" i="21"/>
  <c r="AC370" i="11"/>
  <c r="M369" i="9"/>
  <c r="M370" i="10"/>
  <c r="M370" i="21"/>
  <c r="M370" i="11"/>
  <c r="V369" i="11"/>
  <c r="D370" i="9"/>
  <c r="AD375" i="9"/>
  <c r="AD376" i="10"/>
  <c r="AD376" i="11"/>
  <c r="AD376" i="21"/>
  <c r="V375" i="9"/>
  <c r="V376" i="10"/>
  <c r="V376" i="21"/>
  <c r="V376" i="11"/>
  <c r="N375" i="9"/>
  <c r="N376" i="10"/>
  <c r="N376" i="11"/>
  <c r="N376" i="21"/>
  <c r="F375" i="9"/>
  <c r="F376" i="10"/>
  <c r="F376" i="21"/>
  <c r="F376" i="11"/>
  <c r="AE374" i="9"/>
  <c r="AE375" i="10"/>
  <c r="AE375" i="21"/>
  <c r="AE375" i="11"/>
  <c r="W374" i="9"/>
  <c r="W375" i="10"/>
  <c r="W375" i="21"/>
  <c r="W375" i="11"/>
  <c r="O374" i="9"/>
  <c r="O375" i="10"/>
  <c r="O375" i="21"/>
  <c r="O375" i="11"/>
  <c r="G374" i="9"/>
  <c r="G375" i="10"/>
  <c r="G375" i="11"/>
  <c r="G375" i="21"/>
  <c r="AF373" i="9"/>
  <c r="AF374" i="10"/>
  <c r="AF374" i="21"/>
  <c r="AF374" i="11"/>
  <c r="X373" i="9"/>
  <c r="X374" i="10"/>
  <c r="X374" i="21"/>
  <c r="X374" i="11"/>
  <c r="P373" i="9"/>
  <c r="P374" i="10"/>
  <c r="P374" i="21"/>
  <c r="P374" i="11"/>
  <c r="H373" i="9"/>
  <c r="H374" i="10"/>
  <c r="H374" i="21"/>
  <c r="H374" i="11"/>
  <c r="AG372" i="9"/>
  <c r="AG373" i="10"/>
  <c r="AG373" i="21"/>
  <c r="AG373" i="11"/>
  <c r="Y372" i="9"/>
  <c r="Y373" i="10"/>
  <c r="Y373" i="21"/>
  <c r="Y373" i="11"/>
  <c r="Q372" i="9"/>
  <c r="Q373" i="10"/>
  <c r="Q373" i="21"/>
  <c r="Q373" i="11"/>
  <c r="I372" i="9"/>
  <c r="I373" i="10"/>
  <c r="I373" i="21"/>
  <c r="I373" i="11"/>
  <c r="A372" i="9"/>
  <c r="A373" i="10"/>
  <c r="A373" i="21"/>
  <c r="A373" i="11"/>
  <c r="Z371" i="9"/>
  <c r="Z372" i="10"/>
  <c r="Z372" i="21"/>
  <c r="Z372" i="11"/>
  <c r="R371" i="9"/>
  <c r="R372" i="10"/>
  <c r="R372" i="21"/>
  <c r="R372" i="11"/>
  <c r="J371" i="9"/>
  <c r="J372" i="10"/>
  <c r="J372" i="21"/>
  <c r="J372" i="11"/>
  <c r="B371" i="9"/>
  <c r="B372" i="10"/>
  <c r="B372" i="21"/>
  <c r="B372" i="11"/>
  <c r="AA370" i="9"/>
  <c r="AA371" i="10"/>
  <c r="AA371" i="21"/>
  <c r="AA371" i="11"/>
  <c r="S370" i="9"/>
  <c r="S371" i="10"/>
  <c r="S371" i="21"/>
  <c r="S371" i="11"/>
  <c r="K370" i="9"/>
  <c r="K371" i="10"/>
  <c r="K371" i="21"/>
  <c r="K371" i="11"/>
  <c r="C370" i="9"/>
  <c r="C371" i="10"/>
  <c r="C371" i="21"/>
  <c r="C371" i="11"/>
  <c r="AB369" i="9"/>
  <c r="AB370" i="10"/>
  <c r="AB370" i="21"/>
  <c r="AB370" i="11"/>
  <c r="T369" i="9"/>
  <c r="T370" i="10"/>
  <c r="T370" i="21"/>
  <c r="T370" i="11"/>
  <c r="L369" i="9"/>
  <c r="L370" i="10"/>
  <c r="L370" i="21"/>
  <c r="L370" i="11"/>
  <c r="D369" i="9"/>
  <c r="D370" i="10"/>
  <c r="D370" i="21"/>
  <c r="D370" i="11"/>
  <c r="AH373" i="21"/>
  <c r="AH373" i="11"/>
  <c r="Z375" i="9"/>
  <c r="Z376" i="10"/>
  <c r="Z376" i="21"/>
  <c r="Z376" i="11"/>
  <c r="C374" i="9"/>
  <c r="C375" i="10"/>
  <c r="C375" i="21"/>
  <c r="C375" i="11"/>
  <c r="L373" i="9"/>
  <c r="L374" i="10"/>
  <c r="L374" i="21"/>
  <c r="L374" i="11"/>
  <c r="V371" i="9"/>
  <c r="V372" i="10"/>
  <c r="V372" i="21"/>
  <c r="V372" i="11"/>
  <c r="G370" i="9"/>
  <c r="G371" i="10"/>
  <c r="G371" i="21"/>
  <c r="G371" i="11"/>
  <c r="P369" i="9"/>
  <c r="P370" i="10"/>
  <c r="P370" i="21"/>
  <c r="P370" i="11"/>
  <c r="AG375" i="9"/>
  <c r="AG376" i="10"/>
  <c r="AG376" i="21"/>
  <c r="AG376" i="11"/>
  <c r="J374" i="9"/>
  <c r="J375" i="10"/>
  <c r="J375" i="21"/>
  <c r="J375" i="11"/>
  <c r="D372" i="9"/>
  <c r="D373" i="10"/>
  <c r="D373" i="21"/>
  <c r="D373" i="11"/>
  <c r="AF375" i="9"/>
  <c r="AF376" i="10"/>
  <c r="AF376" i="21"/>
  <c r="AF376" i="11"/>
  <c r="Y374" i="9"/>
  <c r="Y375" i="10"/>
  <c r="Y375" i="11"/>
  <c r="Y375" i="21"/>
  <c r="R373" i="9"/>
  <c r="R374" i="10"/>
  <c r="R374" i="11"/>
  <c r="R374" i="21"/>
  <c r="K372" i="9"/>
  <c r="K373" i="10"/>
  <c r="K373" i="21"/>
  <c r="K373" i="11"/>
  <c r="D371" i="9"/>
  <c r="D372" i="10"/>
  <c r="D372" i="21"/>
  <c r="D372" i="11"/>
  <c r="V369" i="9"/>
  <c r="V370" i="10"/>
  <c r="V370" i="21"/>
  <c r="V370" i="11"/>
  <c r="J373" i="10"/>
  <c r="J373" i="21"/>
  <c r="J373" i="11"/>
  <c r="E369" i="9"/>
  <c r="N368" i="9"/>
  <c r="AC375" i="9"/>
  <c r="AC376" i="10"/>
  <c r="AC376" i="11"/>
  <c r="AC376" i="21"/>
  <c r="U375" i="9"/>
  <c r="U376" i="10"/>
  <c r="U376" i="11"/>
  <c r="U376" i="21"/>
  <c r="M375" i="9"/>
  <c r="M376" i="10"/>
  <c r="M376" i="21"/>
  <c r="M376" i="11"/>
  <c r="E375" i="9"/>
  <c r="E376" i="10"/>
  <c r="E376" i="21"/>
  <c r="E376" i="11"/>
  <c r="AD374" i="9"/>
  <c r="AD375" i="21"/>
  <c r="AD375" i="10"/>
  <c r="AD375" i="11"/>
  <c r="V374" i="9"/>
  <c r="V375" i="10"/>
  <c r="V375" i="21"/>
  <c r="V375" i="11"/>
  <c r="N374" i="9"/>
  <c r="N375" i="10"/>
  <c r="N375" i="21"/>
  <c r="N375" i="11"/>
  <c r="F374" i="9"/>
  <c r="F375" i="21"/>
  <c r="F375" i="10"/>
  <c r="F375" i="11"/>
  <c r="AE373" i="9"/>
  <c r="AE374" i="21"/>
  <c r="AE374" i="10"/>
  <c r="AE374" i="11"/>
  <c r="W373" i="9"/>
  <c r="W374" i="21"/>
  <c r="W374" i="10"/>
  <c r="W374" i="11"/>
  <c r="O373" i="9"/>
  <c r="O374" i="10"/>
  <c r="O374" i="21"/>
  <c r="O374" i="11"/>
  <c r="G373" i="9"/>
  <c r="G374" i="21"/>
  <c r="G374" i="10"/>
  <c r="G374" i="11"/>
  <c r="AF372" i="9"/>
  <c r="AF373" i="21"/>
  <c r="AF373" i="10"/>
  <c r="AF373" i="11"/>
  <c r="X372" i="9"/>
  <c r="X373" i="10"/>
  <c r="X373" i="21"/>
  <c r="X373" i="11"/>
  <c r="P372" i="9"/>
  <c r="P373" i="10"/>
  <c r="P373" i="21"/>
  <c r="P373" i="11"/>
  <c r="H372" i="9"/>
  <c r="H373" i="21"/>
  <c r="H373" i="10"/>
  <c r="H373" i="11"/>
  <c r="AG371" i="9"/>
  <c r="AG372" i="10"/>
  <c r="AG372" i="21"/>
  <c r="AG372" i="11"/>
  <c r="Y371" i="9"/>
  <c r="Y372" i="10"/>
  <c r="Y372" i="11"/>
  <c r="Y372" i="21"/>
  <c r="Q371" i="9"/>
  <c r="Q372" i="10"/>
  <c r="Q372" i="21"/>
  <c r="Q372" i="11"/>
  <c r="I371" i="9"/>
  <c r="I372" i="10"/>
  <c r="I372" i="21"/>
  <c r="I372" i="11"/>
  <c r="A371" i="9"/>
  <c r="A372" i="10"/>
  <c r="A372" i="21"/>
  <c r="A372" i="11"/>
  <c r="Z370" i="9"/>
  <c r="Z371" i="10"/>
  <c r="Z371" i="21"/>
  <c r="Z371" i="11"/>
  <c r="R370" i="9"/>
  <c r="R371" i="10"/>
  <c r="R371" i="21"/>
  <c r="R371" i="11"/>
  <c r="J370" i="9"/>
  <c r="J371" i="21"/>
  <c r="J371" i="10"/>
  <c r="J371" i="11"/>
  <c r="B370" i="9"/>
  <c r="B371" i="21"/>
  <c r="B371" i="10"/>
  <c r="B371" i="11"/>
  <c r="AA369" i="9"/>
  <c r="AA370" i="21"/>
  <c r="AA370" i="10"/>
  <c r="AA370" i="11"/>
  <c r="S369" i="9"/>
  <c r="S370" i="10"/>
  <c r="S370" i="21"/>
  <c r="S370" i="11"/>
  <c r="K369" i="9"/>
  <c r="K370" i="21"/>
  <c r="K370" i="10"/>
  <c r="K370" i="11"/>
  <c r="C369" i="9"/>
  <c r="C370" i="10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D15" i="24"/>
  <c r="C16" i="24"/>
  <c r="D16" i="24" s="1"/>
  <c r="C6" i="24"/>
  <c r="D6" i="24" s="1"/>
  <c r="D5" i="24"/>
  <c r="L369" i="11"/>
  <c r="E368" i="11"/>
  <c r="H368" i="11"/>
  <c r="G369" i="21"/>
  <c r="V367" i="9"/>
  <c r="W369" i="21"/>
  <c r="O368" i="9"/>
  <c r="N256" i="2"/>
  <c r="N248" i="2"/>
  <c r="G368" i="10"/>
  <c r="W368" i="10"/>
  <c r="AF368" i="10"/>
  <c r="F368" i="10"/>
  <c r="AD368" i="10"/>
  <c r="Q368" i="10"/>
  <c r="AH251" i="21"/>
  <c r="AI114" i="10"/>
  <c r="I368" i="11"/>
  <c r="AF369" i="11"/>
  <c r="AI250" i="10"/>
  <c r="AI191" i="21"/>
  <c r="AH114" i="10"/>
  <c r="N370" i="2"/>
  <c r="N346" i="2"/>
  <c r="N338" i="2"/>
  <c r="N314" i="2"/>
  <c r="N298" i="2"/>
  <c r="N290" i="2"/>
  <c r="N274" i="2"/>
  <c r="N258" i="2"/>
  <c r="N250" i="2"/>
  <c r="A368" i="9"/>
  <c r="AI283" i="10"/>
  <c r="AH191" i="10"/>
  <c r="AH128" i="21"/>
  <c r="AI88" i="10"/>
  <c r="N369" i="2"/>
  <c r="N353" i="2"/>
  <c r="H369" i="11"/>
  <c r="Y368" i="10"/>
  <c r="AH305" i="21"/>
  <c r="AH90" i="10"/>
  <c r="C367" i="9"/>
  <c r="AI304" i="10"/>
  <c r="AI91" i="10"/>
  <c r="J368" i="10"/>
  <c r="AG368" i="11"/>
  <c r="AH263" i="11"/>
  <c r="N372" i="2"/>
  <c r="N364" i="2"/>
  <c r="N348" i="2"/>
  <c r="N340" i="2"/>
  <c r="N332" i="2"/>
  <c r="N316" i="2"/>
  <c r="N308" i="2"/>
  <c r="B368" i="10"/>
  <c r="AH311" i="11"/>
  <c r="AH252" i="10"/>
  <c r="AI115" i="10"/>
  <c r="AI3" i="11"/>
  <c r="A31" i="14" s="1"/>
  <c r="AH3" i="11"/>
  <c r="A30" i="14" s="1"/>
  <c r="N257" i="2"/>
  <c r="N356" i="2"/>
  <c r="N354" i="2"/>
  <c r="N330" i="2"/>
  <c r="N322" i="2"/>
  <c r="N361" i="2"/>
  <c r="N265" i="2"/>
  <c r="N362" i="2"/>
  <c r="N266" i="2"/>
  <c r="N264" i="2"/>
  <c r="N300" i="2"/>
  <c r="N276" i="2"/>
  <c r="N268" i="2"/>
  <c r="N260" i="2"/>
  <c r="P369" i="11"/>
  <c r="N360" i="2"/>
  <c r="N336" i="2"/>
  <c r="N312" i="2"/>
  <c r="N321" i="2"/>
  <c r="N368" i="2"/>
  <c r="N275" i="2"/>
  <c r="N347" i="2"/>
  <c r="N345" i="2"/>
  <c r="N323" i="2"/>
  <c r="N320" i="2"/>
  <c r="N305" i="2"/>
  <c r="N288" i="2"/>
  <c r="N273" i="2"/>
  <c r="N280" i="2"/>
  <c r="N251" i="2"/>
  <c r="N344" i="2"/>
  <c r="N337" i="2"/>
  <c r="N329" i="2"/>
  <c r="N252" i="2"/>
  <c r="N365" i="2"/>
  <c r="N357" i="2"/>
  <c r="N349" i="2"/>
  <c r="N341" i="2"/>
  <c r="N333" i="2"/>
  <c r="N317" i="2"/>
  <c r="N301" i="2"/>
  <c r="N277" i="2"/>
  <c r="N269" i="2"/>
  <c r="N261" i="2"/>
  <c r="N253" i="2"/>
  <c r="N374" i="2"/>
  <c r="M368" i="11"/>
  <c r="U368" i="11"/>
  <c r="AB369" i="11"/>
  <c r="AC367" i="9"/>
  <c r="N376" i="2"/>
  <c r="T368" i="9"/>
  <c r="N367" i="2"/>
  <c r="N359" i="2"/>
  <c r="N351" i="2"/>
  <c r="N335" i="2"/>
  <c r="N311" i="2"/>
  <c r="N295" i="2"/>
  <c r="N271" i="2"/>
  <c r="N263" i="2"/>
  <c r="N255" i="2"/>
  <c r="N366" i="2"/>
  <c r="N358" i="2"/>
  <c r="N350" i="2"/>
  <c r="N342" i="2"/>
  <c r="N326" i="2"/>
  <c r="N302" i="2"/>
  <c r="N286" i="2"/>
  <c r="N278" i="2"/>
  <c r="N270" i="2"/>
  <c r="N254" i="2"/>
  <c r="N328" i="2"/>
  <c r="N313" i="2"/>
  <c r="N318" i="2"/>
  <c r="N319" i="2"/>
  <c r="N287" i="2"/>
  <c r="N285" i="2"/>
  <c r="N272" i="2"/>
  <c r="N375" i="2"/>
  <c r="N373" i="2"/>
  <c r="N377" i="2"/>
  <c r="N307" i="2"/>
  <c r="N306" i="2"/>
  <c r="N304" i="2"/>
  <c r="N297" i="2"/>
  <c r="N363" i="2"/>
  <c r="N309" i="2"/>
  <c r="N325" i="2"/>
  <c r="N334" i="2"/>
  <c r="N310" i="2"/>
  <c r="N327" i="2"/>
  <c r="N247" i="2"/>
  <c r="N343" i="2"/>
  <c r="N355" i="2"/>
  <c r="N289" i="2"/>
  <c r="N352" i="2"/>
  <c r="N324" i="2"/>
  <c r="N262" i="2"/>
  <c r="N279" i="2"/>
  <c r="N296" i="2"/>
  <c r="N282" i="2"/>
  <c r="N281" i="2"/>
  <c r="N284" i="2"/>
  <c r="N283" i="2"/>
  <c r="N293" i="2"/>
  <c r="N291" i="2"/>
  <c r="N303" i="2"/>
  <c r="N294" i="2"/>
  <c r="N292" i="2"/>
  <c r="N246" i="2"/>
  <c r="N245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10"/>
  <c r="AI359" i="21"/>
  <c r="AI351" i="11"/>
  <c r="AI351" i="21"/>
  <c r="AI351" i="10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I111" i="11"/>
  <c r="AI111" i="21"/>
  <c r="AI79" i="11"/>
  <c r="AI79" i="21"/>
  <c r="AI364" i="11"/>
  <c r="AI364" i="21"/>
  <c r="AI356" i="11"/>
  <c r="AI356" i="21"/>
  <c r="AI348" i="11"/>
  <c r="AI348" i="10"/>
  <c r="AI348" i="21"/>
  <c r="AI340" i="11"/>
  <c r="AI340" i="21"/>
  <c r="AI332" i="11"/>
  <c r="AI332" i="10"/>
  <c r="AI332" i="21"/>
  <c r="AI324" i="11"/>
  <c r="AI324" i="10"/>
  <c r="AI324" i="21"/>
  <c r="AI316" i="11"/>
  <c r="AI316" i="21"/>
  <c r="AI308" i="11"/>
  <c r="AI308" i="21"/>
  <c r="AI300" i="11"/>
  <c r="AI300" i="21"/>
  <c r="AI292" i="11"/>
  <c r="AI292" i="21"/>
  <c r="AI284" i="11"/>
  <c r="AI284" i="10"/>
  <c r="AI284" i="21"/>
  <c r="AI276" i="11"/>
  <c r="AI276" i="21"/>
  <c r="AI268" i="11"/>
  <c r="AI268" i="10"/>
  <c r="AI268" i="21"/>
  <c r="AI260" i="11"/>
  <c r="AI260" i="21"/>
  <c r="AI252" i="11"/>
  <c r="AI252" i="10"/>
  <c r="AI252" i="21"/>
  <c r="AI244" i="11"/>
  <c r="AI244" i="10"/>
  <c r="AI244" i="21"/>
  <c r="AI236" i="11"/>
  <c r="AI236" i="10"/>
  <c r="AI236" i="21"/>
  <c r="AI228" i="11"/>
  <c r="AI228" i="21"/>
  <c r="AI228" i="10"/>
  <c r="AI220" i="11"/>
  <c r="AI220" i="10"/>
  <c r="AI220" i="21"/>
  <c r="AI212" i="11"/>
  <c r="AI212" i="10"/>
  <c r="AI212" i="21"/>
  <c r="AI204" i="21"/>
  <c r="AI204" i="11"/>
  <c r="AI204" i="10"/>
  <c r="AI196" i="21"/>
  <c r="AI196" i="11"/>
  <c r="AI196" i="10"/>
  <c r="AI188" i="11"/>
  <c r="AI188" i="21"/>
  <c r="AI188" i="10"/>
  <c r="AI180" i="21"/>
  <c r="AI180" i="11"/>
  <c r="AI172" i="21"/>
  <c r="AI172" i="11"/>
  <c r="AI172" i="10"/>
  <c r="AI164" i="21"/>
  <c r="AI164" i="10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20" i="10"/>
  <c r="AI63" i="10"/>
  <c r="AI79" i="10"/>
  <c r="AI95" i="21"/>
  <c r="AI303" i="11"/>
  <c r="AI303" i="10"/>
  <c r="AI303" i="21"/>
  <c r="AI175" i="11"/>
  <c r="AI175" i="21"/>
  <c r="AI119" i="11"/>
  <c r="AI119" i="21"/>
  <c r="AI127" i="21"/>
  <c r="AA368" i="21"/>
  <c r="AI369" i="11"/>
  <c r="AI369" i="21"/>
  <c r="AI361" i="21"/>
  <c r="AI361" i="10"/>
  <c r="AI361" i="11"/>
  <c r="AI353" i="21"/>
  <c r="AI353" i="11"/>
  <c r="AI345" i="21"/>
  <c r="AI345" i="10"/>
  <c r="AI345" i="11"/>
  <c r="AI337" i="11"/>
  <c r="AI337" i="21"/>
  <c r="AI337" i="10"/>
  <c r="AI329" i="11"/>
  <c r="AI329" i="21"/>
  <c r="AI329" i="10"/>
  <c r="AI321" i="11"/>
  <c r="AI321" i="21"/>
  <c r="AI313" i="11"/>
  <c r="AI313" i="21"/>
  <c r="AI305" i="11"/>
  <c r="AI305" i="21"/>
  <c r="AI305" i="10"/>
  <c r="AI297" i="11"/>
  <c r="AI297" i="21"/>
  <c r="AI289" i="11"/>
  <c r="AI289" i="21"/>
  <c r="AI289" i="10"/>
  <c r="AI281" i="11"/>
  <c r="AI281" i="21"/>
  <c r="AI273" i="11"/>
  <c r="AI273" i="21"/>
  <c r="AI273" i="10"/>
  <c r="AI265" i="11"/>
  <c r="AI265" i="21"/>
  <c r="AI265" i="10"/>
  <c r="AI257" i="11"/>
  <c r="AI257" i="21"/>
  <c r="AI249" i="11"/>
  <c r="AI249" i="21"/>
  <c r="AI241" i="11"/>
  <c r="AI241" i="21"/>
  <c r="AI241" i="10"/>
  <c r="AI233" i="11"/>
  <c r="AI233" i="21"/>
  <c r="AI225" i="11"/>
  <c r="AI225" i="21"/>
  <c r="AI225" i="10"/>
  <c r="AI217" i="11"/>
  <c r="AI217" i="21"/>
  <c r="AI217" i="10"/>
  <c r="AI209" i="11"/>
  <c r="AI209" i="21"/>
  <c r="AI209" i="10"/>
  <c r="AI201" i="11"/>
  <c r="AI201" i="21"/>
  <c r="AI201" i="10"/>
  <c r="AI193" i="11"/>
  <c r="AI193" i="21"/>
  <c r="AI193" i="10"/>
  <c r="AI185" i="11"/>
  <c r="AI185" i="21"/>
  <c r="AI185" i="10"/>
  <c r="AI177" i="11"/>
  <c r="AI177" i="21"/>
  <c r="AI169" i="11"/>
  <c r="AI169" i="21"/>
  <c r="AI169" i="10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41" i="10"/>
  <c r="AI49" i="10"/>
  <c r="AI60" i="10"/>
  <c r="AI97" i="10"/>
  <c r="AI292" i="10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8" i="10"/>
  <c r="AI350" i="11"/>
  <c r="AI350" i="21"/>
  <c r="AI342" i="11"/>
  <c r="AI342" i="21"/>
  <c r="AI334" i="11"/>
  <c r="AI334" i="21"/>
  <c r="AI326" i="11"/>
  <c r="AI326" i="21"/>
  <c r="AI318" i="11"/>
  <c r="AI318" i="21"/>
  <c r="AI318" i="10"/>
  <c r="AI310" i="11"/>
  <c r="AI310" i="21"/>
  <c r="AI302" i="11"/>
  <c r="AI302" i="21"/>
  <c r="AI302" i="10"/>
  <c r="AI294" i="11"/>
  <c r="AI294" i="21"/>
  <c r="AI286" i="11"/>
  <c r="AI286" i="10"/>
  <c r="AI286" i="21"/>
  <c r="AI278" i="11"/>
  <c r="AI278" i="21"/>
  <c r="AI270" i="11"/>
  <c r="AI270" i="21"/>
  <c r="AI262" i="11"/>
  <c r="AI262" i="21"/>
  <c r="AI262" i="10"/>
  <c r="AI254" i="11"/>
  <c r="AI254" i="21"/>
  <c r="AI246" i="11"/>
  <c r="AI246" i="21"/>
  <c r="AI238" i="11"/>
  <c r="AI238" i="10"/>
  <c r="AI238" i="21"/>
  <c r="AI230" i="11"/>
  <c r="AI230" i="21"/>
  <c r="AI230" i="10"/>
  <c r="AI222" i="11"/>
  <c r="AI222" i="10"/>
  <c r="AI222" i="21"/>
  <c r="AI214" i="11"/>
  <c r="AI214" i="10"/>
  <c r="AI214" i="21"/>
  <c r="AI206" i="11"/>
  <c r="AI206" i="21"/>
  <c r="AI198" i="11"/>
  <c r="AI198" i="21"/>
  <c r="AI198" i="10"/>
  <c r="AI190" i="11"/>
  <c r="AI190" i="21"/>
  <c r="AI190" i="10"/>
  <c r="AI182" i="11"/>
  <c r="AI182" i="21"/>
  <c r="AI174" i="11"/>
  <c r="AI174" i="21"/>
  <c r="AI174" i="10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68" i="10"/>
  <c r="AI76" i="10"/>
  <c r="AI92" i="10"/>
  <c r="AI121" i="10"/>
  <c r="AI150" i="10"/>
  <c r="AI158" i="10"/>
  <c r="AI350" i="10"/>
  <c r="AI31" i="21"/>
  <c r="AI335" i="11"/>
  <c r="AI335" i="21"/>
  <c r="AI335" i="10"/>
  <c r="AI295" i="11"/>
  <c r="AI295" i="21"/>
  <c r="AI239" i="11"/>
  <c r="AI239" i="21"/>
  <c r="AI239" i="10"/>
  <c r="AI47" i="11"/>
  <c r="AI47" i="21"/>
  <c r="AI15" i="11"/>
  <c r="AI15" i="21"/>
  <c r="B368" i="9"/>
  <c r="R368" i="9"/>
  <c r="AI363" i="11"/>
  <c r="AI363" i="21"/>
  <c r="AI355" i="11"/>
  <c r="AI355" i="10"/>
  <c r="AI355" i="21"/>
  <c r="AI347" i="11"/>
  <c r="AI347" i="21"/>
  <c r="AI347" i="10"/>
  <c r="AI339" i="11"/>
  <c r="AI339" i="21"/>
  <c r="AI339" i="10"/>
  <c r="AI331" i="11"/>
  <c r="AI331" i="21"/>
  <c r="AI331" i="10"/>
  <c r="AI323" i="11"/>
  <c r="AI323" i="21"/>
  <c r="AI323" i="10"/>
  <c r="AI315" i="11"/>
  <c r="AI315" i="10"/>
  <c r="AI315" i="21"/>
  <c r="AI307" i="11"/>
  <c r="AI307" i="21"/>
  <c r="AI299" i="11"/>
  <c r="AI299" i="21"/>
  <c r="AI291" i="11"/>
  <c r="AI291" i="10"/>
  <c r="AI291" i="21"/>
  <c r="AI283" i="11"/>
  <c r="AI283" i="21"/>
  <c r="AI275" i="11"/>
  <c r="AI275" i="21"/>
  <c r="AI267" i="11"/>
  <c r="AI267" i="10"/>
  <c r="AI267" i="21"/>
  <c r="AI259" i="11"/>
  <c r="AI259" i="21"/>
  <c r="AI251" i="11"/>
  <c r="AI251" i="21"/>
  <c r="AI251" i="10"/>
  <c r="AI243" i="11"/>
  <c r="AI243" i="21"/>
  <c r="AI243" i="10"/>
  <c r="AI235" i="11"/>
  <c r="AI235" i="21"/>
  <c r="AI235" i="10"/>
  <c r="AI227" i="11"/>
  <c r="AI227" i="21"/>
  <c r="AI219" i="11"/>
  <c r="AI219" i="21"/>
  <c r="AI219" i="10"/>
  <c r="AI211" i="11"/>
  <c r="AI211" i="21"/>
  <c r="AI211" i="10"/>
  <c r="AI203" i="11"/>
  <c r="AI203" i="21"/>
  <c r="AI203" i="10"/>
  <c r="AI195" i="11"/>
  <c r="AI195" i="21"/>
  <c r="AI195" i="10"/>
  <c r="AI187" i="11"/>
  <c r="AI187" i="10"/>
  <c r="AI187" i="21"/>
  <c r="AI179" i="11"/>
  <c r="AI179" i="10"/>
  <c r="AI179" i="21"/>
  <c r="AI171" i="11"/>
  <c r="AI171" i="21"/>
  <c r="AI171" i="10"/>
  <c r="AI163" i="11"/>
  <c r="AI163" i="21"/>
  <c r="AI163" i="10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8" i="10"/>
  <c r="AI46" i="10"/>
  <c r="AH61" i="10"/>
  <c r="AI108" i="10"/>
  <c r="AI316" i="10"/>
  <c r="AI356" i="10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10"/>
  <c r="AI352" i="21"/>
  <c r="AI344" i="11"/>
  <c r="AI344" i="10"/>
  <c r="AI344" i="21"/>
  <c r="AI336" i="11"/>
  <c r="AI336" i="10"/>
  <c r="AI336" i="21"/>
  <c r="AI328" i="11"/>
  <c r="AI328" i="10"/>
  <c r="AI328" i="21"/>
  <c r="AI320" i="11"/>
  <c r="AI320" i="10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10"/>
  <c r="AI272" i="21"/>
  <c r="AI264" i="11"/>
  <c r="AI264" i="21"/>
  <c r="AI256" i="11"/>
  <c r="AI256" i="21"/>
  <c r="AI248" i="11"/>
  <c r="AI248" i="21"/>
  <c r="AI240" i="11"/>
  <c r="AI240" i="10"/>
  <c r="AI240" i="21"/>
  <c r="AI232" i="11"/>
  <c r="AI232" i="21"/>
  <c r="AI224" i="11"/>
  <c r="AI224" i="10"/>
  <c r="AI224" i="21"/>
  <c r="AI216" i="11"/>
  <c r="AI216" i="10"/>
  <c r="AI216" i="21"/>
  <c r="AI208" i="11"/>
  <c r="AI208" i="21"/>
  <c r="AI208" i="10"/>
  <c r="AI200" i="21"/>
  <c r="AI200" i="11"/>
  <c r="AI200" i="10"/>
  <c r="AI192" i="21"/>
  <c r="AI192" i="11"/>
  <c r="AI192" i="10"/>
  <c r="AI184" i="21"/>
  <c r="AI184" i="11"/>
  <c r="AI184" i="10"/>
  <c r="AI176" i="11"/>
  <c r="AI176" i="21"/>
  <c r="AI168" i="21"/>
  <c r="AI168" i="11"/>
  <c r="AI168" i="10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17" i="10"/>
  <c r="AI27" i="10"/>
  <c r="AI35" i="10"/>
  <c r="AI65" i="10"/>
  <c r="AI73" i="10"/>
  <c r="AI81" i="10"/>
  <c r="AI89" i="10"/>
  <c r="AH93" i="10"/>
  <c r="AI118" i="10"/>
  <c r="AI147" i="10"/>
  <c r="AI155" i="10"/>
  <c r="AI159" i="10"/>
  <c r="AI257" i="10"/>
  <c r="AI360" i="10"/>
  <c r="AI311" i="11"/>
  <c r="AI311" i="21"/>
  <c r="AI167" i="11"/>
  <c r="AI167" i="21"/>
  <c r="AI167" i="10"/>
  <c r="AI135" i="11"/>
  <c r="AI135" i="21"/>
  <c r="AI55" i="11"/>
  <c r="AI55" i="21"/>
  <c r="AI39" i="11"/>
  <c r="AI39" i="21"/>
  <c r="K368" i="21"/>
  <c r="AI357" i="21"/>
  <c r="AI357" i="11"/>
  <c r="AI357" i="10"/>
  <c r="AI349" i="21"/>
  <c r="AI349" i="10"/>
  <c r="AI349" i="11"/>
  <c r="AI341" i="11"/>
  <c r="AI341" i="21"/>
  <c r="AI333" i="11"/>
  <c r="AI333" i="21"/>
  <c r="AI333" i="10"/>
  <c r="AI325" i="11"/>
  <c r="AI325" i="21"/>
  <c r="AI325" i="10"/>
  <c r="AI317" i="11"/>
  <c r="AI317" i="21"/>
  <c r="AI317" i="10"/>
  <c r="AI309" i="11"/>
  <c r="AI309" i="21"/>
  <c r="AI301" i="11"/>
  <c r="AI301" i="21"/>
  <c r="AI293" i="11"/>
  <c r="AI293" i="21"/>
  <c r="AI293" i="10"/>
  <c r="AI285" i="11"/>
  <c r="AI285" i="21"/>
  <c r="AI285" i="10"/>
  <c r="AI277" i="11"/>
  <c r="AI277" i="21"/>
  <c r="AI269" i="11"/>
  <c r="AI269" i="21"/>
  <c r="AI261" i="11"/>
  <c r="AI261" i="21"/>
  <c r="AI253" i="11"/>
  <c r="AI253" i="21"/>
  <c r="AI253" i="10"/>
  <c r="AI245" i="11"/>
  <c r="AI245" i="21"/>
  <c r="AI245" i="10"/>
  <c r="AI237" i="11"/>
  <c r="AI237" i="21"/>
  <c r="AI229" i="11"/>
  <c r="AI229" i="21"/>
  <c r="AI229" i="10"/>
  <c r="AI221" i="11"/>
  <c r="AI221" i="21"/>
  <c r="AI221" i="10"/>
  <c r="AI213" i="11"/>
  <c r="AI213" i="21"/>
  <c r="AI213" i="10"/>
  <c r="AI205" i="11"/>
  <c r="AI205" i="21"/>
  <c r="AI205" i="10"/>
  <c r="AI197" i="11"/>
  <c r="AI197" i="21"/>
  <c r="AI197" i="10"/>
  <c r="AI189" i="11"/>
  <c r="AI189" i="21"/>
  <c r="AI189" i="10"/>
  <c r="AI181" i="11"/>
  <c r="AI181" i="21"/>
  <c r="AI173" i="11"/>
  <c r="AI173" i="21"/>
  <c r="AI173" i="10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39" i="10"/>
  <c r="AI47" i="10"/>
  <c r="AI51" i="10"/>
  <c r="AI93" i="10"/>
  <c r="AI105" i="10"/>
  <c r="AI264" i="10"/>
  <c r="AI326" i="10"/>
  <c r="AI223" i="11"/>
  <c r="AI223" i="21"/>
  <c r="AI223" i="10"/>
  <c r="AI199" i="11"/>
  <c r="AI199" i="21"/>
  <c r="AI199" i="10"/>
  <c r="AI191" i="11"/>
  <c r="AI191" i="10"/>
  <c r="AI151" i="11"/>
  <c r="AI151" i="21"/>
  <c r="AI87" i="11"/>
  <c r="AI87" i="21"/>
  <c r="AI71" i="11"/>
  <c r="AI71" i="21"/>
  <c r="AI362" i="11"/>
  <c r="AI362" i="21"/>
  <c r="AI362" i="10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306" i="10"/>
  <c r="AI298" i="11"/>
  <c r="AI298" i="21"/>
  <c r="AI290" i="11"/>
  <c r="AI290" i="21"/>
  <c r="AI290" i="10"/>
  <c r="AI282" i="11"/>
  <c r="AI282" i="10"/>
  <c r="AI282" i="21"/>
  <c r="AI274" i="11"/>
  <c r="AI274" i="21"/>
  <c r="AI266" i="11"/>
  <c r="AI266" i="21"/>
  <c r="AI258" i="11"/>
  <c r="AI258" i="21"/>
  <c r="AI258" i="10"/>
  <c r="AI250" i="11"/>
  <c r="AI250" i="21"/>
  <c r="AH245" i="11"/>
  <c r="AH245" i="10"/>
  <c r="AI242" i="11"/>
  <c r="AI242" i="10"/>
  <c r="AI242" i="21"/>
  <c r="AI234" i="11"/>
  <c r="AI234" i="21"/>
  <c r="AI234" i="10"/>
  <c r="AI226" i="11"/>
  <c r="AI226" i="10"/>
  <c r="AI226" i="21"/>
  <c r="AI218" i="11"/>
  <c r="AI218" i="10"/>
  <c r="AI218" i="21"/>
  <c r="AI210" i="11"/>
  <c r="AI210" i="21"/>
  <c r="AI210" i="10"/>
  <c r="AI202" i="11"/>
  <c r="AI202" i="21"/>
  <c r="AI202" i="10"/>
  <c r="AI194" i="11"/>
  <c r="AI194" i="21"/>
  <c r="AI194" i="10"/>
  <c r="AI186" i="11"/>
  <c r="AI186" i="21"/>
  <c r="AI186" i="10"/>
  <c r="AI178" i="11"/>
  <c r="AI178" i="21"/>
  <c r="AI170" i="11"/>
  <c r="AI170" i="21"/>
  <c r="AI170" i="10"/>
  <c r="AI162" i="11"/>
  <c r="AI162" i="21"/>
  <c r="AI162" i="10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2" i="10"/>
  <c r="AI18" i="10"/>
  <c r="AI32" i="10"/>
  <c r="AI36" i="10"/>
  <c r="AI62" i="10"/>
  <c r="AI66" i="10"/>
  <c r="AI70" i="10"/>
  <c r="AI74" i="10"/>
  <c r="AI78" i="10"/>
  <c r="AI82" i="10"/>
  <c r="AI90" i="10"/>
  <c r="AI119" i="10"/>
  <c r="AI123" i="10"/>
  <c r="AI148" i="10"/>
  <c r="AI152" i="10"/>
  <c r="AI156" i="10"/>
  <c r="AI160" i="10"/>
  <c r="AI269" i="10"/>
  <c r="AI330" i="10"/>
  <c r="AI159" i="2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Q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I1" i="9" l="1"/>
  <c r="AB3" i="2"/>
  <c r="P3" i="2"/>
  <c r="Q3" i="2"/>
  <c r="R3" i="2"/>
  <c r="T3" i="2"/>
  <c r="T1" i="2" s="1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AL1" i="2"/>
  <c r="AJ1" i="2"/>
  <c r="AB1" i="2"/>
  <c r="V1" i="2"/>
  <c r="P1" i="2"/>
  <c r="AH1" i="2"/>
  <c r="AF1" i="2"/>
  <c r="AD1" i="2"/>
  <c r="AA1" i="2"/>
  <c r="Z1" i="2"/>
  <c r="Y1" i="2"/>
  <c r="R1" i="2"/>
  <c r="X1" i="2"/>
  <c r="B1" i="2"/>
  <c r="F30" i="14" s="1"/>
  <c r="AI2" i="21" l="1"/>
  <c r="AH2" i="21"/>
  <c r="D30" i="14" s="1"/>
  <c r="F29" i="14"/>
  <c r="F28" i="14"/>
  <c r="F22" i="14"/>
  <c r="F27" i="14"/>
  <c r="F26" i="14"/>
  <c r="F23" i="14"/>
  <c r="F25" i="14"/>
  <c r="F24" i="14"/>
  <c r="F17" i="14"/>
  <c r="F21" i="14"/>
  <c r="F20" i="14"/>
  <c r="F19" i="14"/>
  <c r="F18" i="14"/>
  <c r="F16" i="14"/>
  <c r="AC2" i="21"/>
  <c r="D25" i="14" s="1"/>
  <c r="U2" i="21"/>
  <c r="D17" i="14" s="1"/>
  <c r="M2" i="21"/>
  <c r="D1" i="21"/>
  <c r="S2" i="21"/>
  <c r="D15" i="14" s="1"/>
  <c r="AB2" i="21"/>
  <c r="D24" i="14" s="1"/>
  <c r="T2" i="21"/>
  <c r="D16" i="14" s="1"/>
  <c r="L2" i="21"/>
  <c r="D8" i="14" s="1"/>
  <c r="Z2" i="21"/>
  <c r="D22" i="14" s="1"/>
  <c r="R2" i="21"/>
  <c r="D14" i="14" s="1"/>
  <c r="J2" i="21"/>
  <c r="D6" i="14" s="1"/>
  <c r="AA2" i="21"/>
  <c r="D23" i="14" s="1"/>
  <c r="Y2" i="21"/>
  <c r="D21" i="14" s="1"/>
  <c r="Q2" i="21"/>
  <c r="D13" i="14" s="1"/>
  <c r="I2" i="21"/>
  <c r="D5" i="14" s="1"/>
  <c r="K2" i="21"/>
  <c r="X2" i="21"/>
  <c r="D20" i="14" s="1"/>
  <c r="P2" i="21"/>
  <c r="D12" i="14" s="1"/>
  <c r="H2" i="21"/>
  <c r="D4" i="14" s="1"/>
  <c r="W2" i="21"/>
  <c r="D19" i="14" s="1"/>
  <c r="O2" i="21"/>
  <c r="D11" i="14" s="1"/>
  <c r="G2" i="21"/>
  <c r="D3" i="14" s="1"/>
  <c r="AD2" i="21"/>
  <c r="D26" i="14" s="1"/>
  <c r="V2" i="21"/>
  <c r="D18" i="14" s="1"/>
  <c r="N2" i="21"/>
  <c r="D10" i="14" s="1"/>
  <c r="F14" i="14"/>
  <c r="F13" i="14"/>
  <c r="F15" i="14"/>
  <c r="F7" i="14"/>
  <c r="F3" i="14"/>
  <c r="F8" i="14"/>
  <c r="F6" i="14"/>
  <c r="F11" i="14"/>
  <c r="F9" i="14"/>
  <c r="F5" i="14"/>
  <c r="F12" i="14"/>
  <c r="F10" i="14"/>
  <c r="F4" i="14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D9" i="14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AE367" i="10"/>
  <c r="AE367" i="21"/>
  <c r="N158" i="2"/>
  <c r="N142" i="2"/>
  <c r="N126" i="2"/>
  <c r="N118" i="2"/>
  <c r="N110" i="2"/>
  <c r="N94" i="2"/>
  <c r="N86" i="2"/>
  <c r="N78" i="2"/>
  <c r="N62" i="2"/>
  <c r="N54" i="2"/>
  <c r="F2" i="14"/>
  <c r="N222" i="2"/>
  <c r="N214" i="2"/>
  <c r="N190" i="2"/>
  <c r="N182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189" i="2"/>
  <c r="N47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156" i="2"/>
  <c r="N132" i="2"/>
  <c r="N124" i="2"/>
  <c r="N52" i="2"/>
  <c r="N20" i="2"/>
  <c r="N42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109" i="2"/>
  <c r="N203" i="2"/>
  <c r="N187" i="2"/>
  <c r="N112" i="2"/>
  <c r="N64" i="2"/>
  <c r="N58" i="2"/>
  <c r="N12" i="2"/>
  <c r="N41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242" i="2"/>
  <c r="N234" i="2"/>
  <c r="N226" i="2"/>
  <c r="N218" i="2"/>
  <c r="N210" i="2"/>
  <c r="N186" i="2"/>
  <c r="N178" i="2"/>
  <c r="N170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AF305" i="11"/>
  <c r="AF292" i="9"/>
  <c r="AF293" i="10"/>
  <c r="AF284" i="9"/>
  <c r="AF285" i="10"/>
  <c r="AF131" i="9"/>
  <c r="AF132" i="11"/>
  <c r="N133" i="2"/>
  <c r="N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135" i="2"/>
  <c r="N131" i="2"/>
  <c r="N228" i="2"/>
  <c r="N183" i="2"/>
  <c r="N167" i="2"/>
  <c r="N20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8" i="2"/>
  <c r="N7" i="2"/>
  <c r="N5" i="2"/>
  <c r="N31" i="2"/>
  <c r="N17" i="2"/>
  <c r="AI1" i="2"/>
  <c r="N9" i="2"/>
  <c r="O1" i="2"/>
  <c r="W1" i="2"/>
  <c r="AE1" i="2"/>
  <c r="AM1" i="2"/>
  <c r="AI2" i="10" l="1"/>
  <c r="AH2" i="10"/>
  <c r="C30" i="14" s="1"/>
  <c r="P1" i="9"/>
  <c r="Z1" i="9"/>
  <c r="AE2" i="21"/>
  <c r="D27" i="14" s="1"/>
  <c r="AE2" i="10"/>
  <c r="C27" i="14" s="1"/>
  <c r="I1" i="9"/>
  <c r="J2" i="10"/>
  <c r="C6" i="14" s="1"/>
  <c r="AA1" i="9"/>
  <c r="U2" i="10"/>
  <c r="C17" i="14" s="1"/>
  <c r="W2" i="10"/>
  <c r="C19" i="14" s="1"/>
  <c r="AF2" i="10"/>
  <c r="C28" i="14" s="1"/>
  <c r="AG1" i="9"/>
  <c r="P2" i="10"/>
  <c r="C12" i="14" s="1"/>
  <c r="AA2" i="10"/>
  <c r="C23" i="14" s="1"/>
  <c r="AB2" i="10"/>
  <c r="C24" i="14" s="1"/>
  <c r="U1" i="9"/>
  <c r="V1" i="9"/>
  <c r="G1" i="9"/>
  <c r="R1" i="9"/>
  <c r="K1" i="9"/>
  <c r="AG2" i="21"/>
  <c r="D29" i="14" s="1"/>
  <c r="Q2" i="10"/>
  <c r="C13" i="14" s="1"/>
  <c r="D1" i="10"/>
  <c r="V2" i="10"/>
  <c r="C18" i="14" s="1"/>
  <c r="G2" i="10"/>
  <c r="C3" i="14" s="1"/>
  <c r="Q1" i="9"/>
  <c r="R2" i="10"/>
  <c r="C14" i="14" s="1"/>
  <c r="K2" i="10"/>
  <c r="L2" i="10"/>
  <c r="C8" i="14" s="1"/>
  <c r="AC2" i="10"/>
  <c r="C25" i="14" s="1"/>
  <c r="F1" i="9"/>
  <c r="X2" i="10"/>
  <c r="C20" i="14" s="1"/>
  <c r="L1" i="9"/>
  <c r="D1" i="11"/>
  <c r="AC1" i="9"/>
  <c r="F2" i="10"/>
  <c r="C2" i="14" s="1"/>
  <c r="AD1" i="9"/>
  <c r="O1" i="9"/>
  <c r="X1" i="9"/>
  <c r="Y2" i="10"/>
  <c r="C21" i="14" s="1"/>
  <c r="S1" i="9"/>
  <c r="M2" i="10"/>
  <c r="C9" i="14" s="1"/>
  <c r="AD2" i="10"/>
  <c r="C26" i="14" s="1"/>
  <c r="O2" i="10"/>
  <c r="C11" i="14" s="1"/>
  <c r="AB1" i="9"/>
  <c r="H2" i="10"/>
  <c r="C4" i="14" s="1"/>
  <c r="Y1" i="9"/>
  <c r="Z2" i="10"/>
  <c r="C22" i="14" s="1"/>
  <c r="S2" i="10"/>
  <c r="C15" i="14" s="1"/>
  <c r="T2" i="10"/>
  <c r="C16" i="14" s="1"/>
  <c r="M1" i="9"/>
  <c r="N1" i="9"/>
  <c r="AF2" i="21"/>
  <c r="D28" i="14" s="1"/>
  <c r="AE1" i="9"/>
  <c r="AG2" i="10"/>
  <c r="C29" i="14" s="1"/>
  <c r="H1" i="9"/>
  <c r="I2" i="10"/>
  <c r="C5" i="14" s="1"/>
  <c r="J1" i="9"/>
  <c r="T1" i="9"/>
  <c r="N2" i="10"/>
  <c r="C10" i="14" s="1"/>
  <c r="W1" i="9"/>
  <c r="AF1" i="9"/>
  <c r="F2" i="21"/>
  <c r="D2" i="14" s="1"/>
  <c r="AI2" i="11"/>
  <c r="AH2" i="11"/>
  <c r="B30" i="14" s="1"/>
  <c r="O2" i="11"/>
  <c r="B11" i="14" s="1"/>
  <c r="AG2" i="11"/>
  <c r="R2" i="11"/>
  <c r="B14" i="14" s="1"/>
  <c r="P2" i="11"/>
  <c r="B12" i="14" s="1"/>
  <c r="AB2" i="11"/>
  <c r="B24" i="14" s="1"/>
  <c r="V2" i="11"/>
  <c r="B18" i="14" s="1"/>
  <c r="G2" i="11"/>
  <c r="B3" i="14" s="1"/>
  <c r="Q2" i="11"/>
  <c r="B13" i="14" s="1"/>
  <c r="K2" i="11"/>
  <c r="AA2" i="11"/>
  <c r="B23" i="14" s="1"/>
  <c r="L2" i="11"/>
  <c r="B8" i="14" s="1"/>
  <c r="AC2" i="11"/>
  <c r="B25" i="14" s="1"/>
  <c r="F2" i="11"/>
  <c r="U2" i="11"/>
  <c r="B17" i="14" s="1"/>
  <c r="AE2" i="11"/>
  <c r="AF2" i="11"/>
  <c r="X2" i="11"/>
  <c r="B20" i="14" s="1"/>
  <c r="AD2" i="11"/>
  <c r="B26" i="14" s="1"/>
  <c r="Y2" i="11"/>
  <c r="B21" i="14" s="1"/>
  <c r="Z2" i="11"/>
  <c r="B22" i="14" s="1"/>
  <c r="S2" i="11"/>
  <c r="B15" i="14" s="1"/>
  <c r="M2" i="11"/>
  <c r="B9" i="14" s="1"/>
  <c r="H2" i="11"/>
  <c r="B4" i="14" s="1"/>
  <c r="T2" i="11"/>
  <c r="B16" i="14" s="1"/>
  <c r="N2" i="11"/>
  <c r="B10" i="14" s="1"/>
  <c r="I2" i="11"/>
  <c r="B5" i="14" s="1"/>
  <c r="J2" i="11"/>
  <c r="B6" i="14" s="1"/>
  <c r="W2" i="11"/>
  <c r="B19" i="14" s="1"/>
  <c r="E30" i="14" l="1"/>
  <c r="G30" i="14" s="1"/>
  <c r="E24" i="14"/>
  <c r="G24" i="14" s="1"/>
  <c r="B27" i="14"/>
  <c r="E27" i="14" s="1"/>
  <c r="G27" i="14" s="1"/>
  <c r="E26" i="14"/>
  <c r="G26" i="14" s="1"/>
  <c r="E25" i="14"/>
  <c r="G25" i="14" s="1"/>
  <c r="E23" i="14"/>
  <c r="G23" i="14" s="1"/>
  <c r="B28" i="14"/>
  <c r="E28" i="14" s="1"/>
  <c r="G28" i="14" s="1"/>
  <c r="B29" i="14"/>
  <c r="E29" i="14" s="1"/>
  <c r="G29" i="14" s="1"/>
  <c r="E22" i="14"/>
  <c r="G22" i="14" s="1"/>
  <c r="B2" i="14"/>
  <c r="E2" i="14" s="1"/>
  <c r="G2" i="14" s="1"/>
  <c r="E18" i="14"/>
  <c r="G18" i="14" s="1"/>
  <c r="E19" i="14"/>
  <c r="G19" i="14" s="1"/>
  <c r="E21" i="14"/>
  <c r="G21" i="14" s="1"/>
  <c r="E20" i="14"/>
  <c r="G20" i="14" s="1"/>
  <c r="E16" i="14"/>
  <c r="G16" i="14" s="1"/>
  <c r="E17" i="14"/>
  <c r="G17" i="14" s="1"/>
  <c r="E14" i="14"/>
  <c r="G14" i="14" s="1"/>
  <c r="E15" i="14"/>
  <c r="G15" i="14" s="1"/>
  <c r="E13" i="14"/>
  <c r="G13" i="14" s="1"/>
  <c r="E10" i="14"/>
  <c r="G10" i="14" s="1"/>
  <c r="E12" i="14"/>
  <c r="G12" i="14" s="1"/>
  <c r="E9" i="14"/>
  <c r="G9" i="14" s="1"/>
  <c r="E8" i="14"/>
  <c r="G8" i="14" s="1"/>
  <c r="G7" i="14"/>
  <c r="E6" i="14"/>
  <c r="G6" i="14" s="1"/>
  <c r="E5" i="14"/>
  <c r="G5" i="14" s="1"/>
  <c r="E4" i="14"/>
  <c r="G4" i="14" s="1"/>
  <c r="E11" i="14"/>
  <c r="G11" i="14" s="1"/>
  <c r="E3" i="14"/>
  <c r="G3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<sst xmlns="http://schemas.openxmlformats.org/spreadsheetml/2006/main" count="3579" uniqueCount="1402">
  <si>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</si>
  <si>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</si>
  <si>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</si>
  <si>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</si>
  <si>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</si>
  <si>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</si>
  <si>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</si>
  <si>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</si>
  <si>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</si>
  <si>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</si>
  <si>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</si>
  <si>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</si>
  <si>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</si>
  <si>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</si>
  <si>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</si>
  <si>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</si>
  <si>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</si>
  <si>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</si>
  <si>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</si>
  <si>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</si>
  <si>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</si>
  <si>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</si>
  <si>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</si>
  <si>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</si>
  <si>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</si>
  <si>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</si>
  <si>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</si>
  <si>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</si>
  <si>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</si>
  <si>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</si>
  <si>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</si>
  <si>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</si>
  <si>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</si>
  <si>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</si>
  <si>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</si>
  <si>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</si>
  <si>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</si>
  <si>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</si>
  <si>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</si>
  <si>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</si>
  <si>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</si>
  <si>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</si>
  <si>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</si>
  <si>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</si>
  <si>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Bombero Galarza y Necochea</t>
  </si>
  <si>
    <t>Hospital, Limite del Partido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</si>
  <si>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</si>
  <si>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</si>
  <si>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</si>
  <si>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</si>
  <si>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</si>
  <si>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</si>
  <si>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</si>
  <si>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</si>
  <si>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HUMAITA Y NECOCHEA</t>
  </si>
  <si>
    <t>REPORTA IMAGENES 20/08/2021</t>
  </si>
  <si>
    <t>NECOCHEA Y CURUPAITY</t>
  </si>
  <si>
    <t>SE DA DE ALTA 25/08/2021</t>
  </si>
  <si>
    <t>AGUSTIN RAMIREZ</t>
  </si>
  <si>
    <t>Malambo y Tranquera</t>
  </si>
  <si>
    <t>Zona Escolar, Flujo Vehicular</t>
  </si>
  <si>
    <t>BELGRANO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</si>
  <si>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</si>
  <si>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</si>
  <si>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</si>
  <si>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</si>
  <si>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</si>
  <si>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</si>
  <si>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</si>
  <si>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</si>
  <si>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</si>
  <si>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</si>
  <si>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</si>
  <si>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</si>
  <si>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</si>
  <si>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</si>
  <si>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</si>
  <si>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</si>
  <si>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</si>
  <si>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</si>
  <si>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</si>
  <si>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</si>
  <si>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</si>
  <si>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</si>
  <si>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</si>
  <si>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</si>
  <si>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</si>
  <si>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</si>
  <si>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</si>
  <si>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ALTA: 16/06/2020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</si>
  <si>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</si>
  <si>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</si>
  <si>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</si>
  <si>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</si>
  <si>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</si>
  <si>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</si>
  <si>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</si>
  <si>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</si>
  <si>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</si>
  <si>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</si>
  <si>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</si>
  <si>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</si>
  <si>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</si>
  <si>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</si>
  <si>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</si>
  <si>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</si>
  <si>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</si>
  <si>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</si>
  <si>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</si>
  <si>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</si>
  <si>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</si>
  <si>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</si>
  <si>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</si>
  <si>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</si>
  <si>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</si>
  <si>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</si>
  <si>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</si>
  <si>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</si>
  <si>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</si>
  <si>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</si>
  <si>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</si>
  <si>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</si>
  <si>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</si>
  <si>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</si>
  <si>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</si>
  <si>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</si>
  <si>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</si>
  <si>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</si>
  <si>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</si>
  <si>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</si>
  <si>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</si>
  <si>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</si>
  <si>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Monteagudo y Mitre</t>
  </si>
  <si>
    <t>Zona Comercial, Zona Bancaria, Peatonal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</si>
  <si>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</si>
  <si>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</si>
  <si>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</si>
  <si>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</si>
  <si>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</si>
  <si>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</si>
  <si>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</si>
  <si>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</si>
  <si>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</si>
  <si>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</si>
  <si>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</si>
  <si>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</si>
  <si>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</si>
  <si>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</si>
  <si>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</si>
  <si>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</si>
  <si>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</si>
  <si>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</si>
  <si>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</si>
  <si>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</si>
  <si>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</si>
  <si>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</si>
  <si>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</si>
  <si>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</si>
  <si>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</si>
  <si>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</si>
  <si>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</si>
  <si>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</si>
  <si>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</si>
  <si>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</si>
  <si>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</si>
  <si>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</si>
  <si>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</si>
  <si>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</si>
  <si>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</si>
  <si>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</si>
  <si>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</si>
  <si>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</si>
  <si>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</si>
  <si>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</si>
  <si>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</si>
  <si>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</si>
  <si>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</si>
  <si>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</si>
  <si>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</si>
  <si>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</si>
  <si>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</si>
  <si>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</si>
  <si>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</si>
  <si>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</si>
  <si>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</si>
  <si>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</si>
  <si>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</si>
  <si>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</si>
  <si>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</si>
  <si>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</si>
  <si>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</si>
  <si>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</si>
  <si>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</si>
  <si>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</si>
  <si>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</si>
  <si>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</si>
  <si>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</si>
  <si>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</si>
  <si>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</si>
  <si>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</si>
  <si>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</si>
  <si>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</si>
  <si>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</si>
  <si>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</si>
  <si>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</si>
  <si>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</si>
  <si>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</si>
  <si>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</si>
  <si>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</si>
  <si>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</si>
  <si>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</si>
  <si>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</si>
  <si>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</si>
  <si>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</si>
  <si>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</si>
  <si>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</si>
  <si>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</si>
  <si>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</si>
  <si>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</si>
  <si>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</si>
  <si>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</si>
  <si>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</si>
  <si>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</si>
  <si>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</si>
  <si>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</si>
  <si>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</si>
  <si>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</si>
  <si>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</si>
  <si>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</si>
  <si>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</si>
  <si>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</si>
  <si>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</si>
  <si>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</si>
  <si>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</si>
  <si>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</si>
  <si>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</si>
  <si>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</si>
  <si>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</si>
  <si>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</si>
  <si>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</si>
  <si>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</si>
  <si>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</si>
  <si>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</si>
  <si>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</si>
  <si>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</si>
  <si>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</si>
  <si>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</si>
  <si>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</si>
  <si>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</si>
  <si>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</si>
  <si>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</si>
  <si>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</si>
  <si>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</si>
  <si>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</si>
  <si>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</si>
  <si>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</si>
  <si>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</si>
  <si>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</si>
  <si>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</si>
  <si>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</si>
  <si>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CARIBONI Y LA ANCIANIDAD</t>
  </si>
  <si>
    <t>10/08/2020 QUEDA EN FUNCIONAMIENTO</t>
  </si>
  <si>
    <t>DJO01</t>
  </si>
  <si>
    <t>Monteverde y Donato Alvarez</t>
  </si>
  <si>
    <t>DON JOSE</t>
  </si>
  <si>
    <t>DONATO ALVAREZ Y EL APERO</t>
  </si>
  <si>
    <t>SE DA DE ALTA 02/09/2021</t>
  </si>
  <si>
    <t>SE DA DE ALTA 02/08/2021</t>
  </si>
  <si>
    <t>EL PARQUE</t>
  </si>
  <si>
    <t>1282 Y GRIERSON</t>
  </si>
  <si>
    <t>DE ALTA 27/07/2021</t>
  </si>
  <si>
    <t>1282 Y MASSE</t>
  </si>
  <si>
    <t>1282 Y RP 36</t>
  </si>
  <si>
    <t>ALTA 31/8/2021</t>
  </si>
  <si>
    <t>1282 Y MORENO</t>
  </si>
  <si>
    <t>SE DA DE ALTA 03/09/2021</t>
  </si>
  <si>
    <t>LA ESMERALDA</t>
  </si>
  <si>
    <t>AV. NOVAK Y SERRANO</t>
  </si>
  <si>
    <t>10/07/2020 COMIENZA A REPORTAR IMAGEN</t>
  </si>
  <si>
    <t>ESM 08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</si>
  <si>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</si>
  <si>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</si>
  <si>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</si>
  <si>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</si>
  <si>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</si>
  <si>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</si>
  <si>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</si>
  <si>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</si>
  <si>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</si>
  <si>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</si>
  <si>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</si>
  <si>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</si>
  <si>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</si>
  <si>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</si>
  <si>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</si>
  <si>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</si>
  <si>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</si>
  <si>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</si>
  <si>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</si>
  <si>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</si>
  <si>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</si>
  <si>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</si>
  <si>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</si>
  <si>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</si>
  <si>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</si>
  <si>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</si>
  <si>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</si>
  <si>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</si>
  <si>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</si>
  <si>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</si>
  <si>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</si>
  <si>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</si>
  <si>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</si>
  <si>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</si>
  <si>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</si>
  <si>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</si>
  <si>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LOS CHARRUAS Y BLANDENGUES</t>
  </si>
  <si>
    <t>ALTA EN SISTEMA 08/05/2020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</si>
  <si>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</si>
  <si>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</si>
  <si>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</si>
  <si>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</si>
  <si>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</si>
  <si>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</si>
  <si>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</si>
  <si>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</si>
  <si>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</si>
  <si>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</si>
  <si>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</si>
  <si>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</si>
  <si>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</si>
  <si>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</si>
  <si>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</si>
  <si>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</si>
  <si>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</si>
  <si>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</si>
  <si>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</si>
  <si>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</si>
  <si>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</si>
  <si>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</si>
  <si>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</si>
  <si>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</si>
  <si>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</si>
  <si>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</si>
  <si>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</si>
  <si>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</si>
  <si>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EL GAUCHO Y EL ZONDA</t>
  </si>
  <si>
    <t>SE DA DE ALTA 01/09/2021</t>
  </si>
  <si>
    <t>SE DA DE ALTA 01/09/202</t>
  </si>
  <si>
    <t>EL GAUCHO Y MARTIN FIERRO</t>
  </si>
  <si>
    <t>SE DA DE ALTA 14/09/2021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</si>
  <si>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</si>
  <si>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</si>
  <si>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</si>
  <si>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</si>
  <si>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</si>
  <si>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</si>
  <si>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</si>
  <si>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</si>
  <si>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</si>
  <si>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</si>
  <si>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</si>
  <si>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</si>
  <si>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</si>
  <si>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</si>
  <si>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</si>
  <si>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</si>
  <si>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</si>
  <si>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</si>
  <si>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</si>
  <si>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</si>
  <si>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</si>
  <si>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</si>
  <si>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</si>
  <si>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</si>
  <si>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</si>
  <si>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</si>
  <si>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</si>
  <si>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</si>
  <si>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</si>
  <si>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</si>
  <si>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</si>
  <si>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</si>
  <si>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</si>
  <si>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</si>
  <si>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</si>
  <si>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</si>
  <si>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</si>
  <si>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</si>
  <si>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</si>
  <si>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</si>
  <si>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</si>
  <si>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</si>
  <si>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</si>
  <si>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</si>
  <si>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LAS AMERICAS E/ BRAILLE Y ALVARADO</t>
  </si>
  <si>
    <t>EN FUNCIONAMIENTO 16/07/2021</t>
  </si>
  <si>
    <t>LRO14</t>
  </si>
  <si>
    <t>YRIGOYEN Y STORNI</t>
  </si>
  <si>
    <t>LUJ 02</t>
  </si>
  <si>
    <t>DIAG. LOS TILOS Y 527</t>
  </si>
  <si>
    <t>ALTA 28/06/2019</t>
  </si>
  <si>
    <t>LUJAN</t>
  </si>
  <si>
    <t>LUJ03</t>
  </si>
  <si>
    <t>LOS PINOS Y LOS TILOS</t>
  </si>
  <si>
    <t>SE DA DE ALTA 27/08/2021</t>
  </si>
  <si>
    <t>MARTIN FIERRO</t>
  </si>
  <si>
    <t>Belgrano y Sgto. Cabral</t>
  </si>
  <si>
    <t>.</t>
  </si>
  <si>
    <t>MFI02</t>
  </si>
  <si>
    <t>Calchaqui y Balcarce</t>
  </si>
  <si>
    <t>SAN EMILIO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</si>
  <si>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</si>
  <si>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</si>
  <si>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</si>
  <si>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</si>
  <si>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</si>
  <si>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</si>
  <si>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</si>
  <si>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</si>
  <si>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</si>
  <si>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</si>
  <si>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</si>
  <si>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</si>
  <si>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</si>
  <si>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</si>
  <si>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</si>
  <si>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</si>
  <si>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</si>
  <si>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</si>
  <si>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</si>
  <si>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</si>
  <si>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</si>
  <si>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</si>
  <si>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</si>
  <si>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</si>
  <si>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</si>
  <si>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</si>
  <si>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</si>
  <si>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</si>
  <si>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</si>
  <si>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</si>
  <si>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</si>
  <si>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</si>
  <si>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</si>
  <si>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</si>
  <si>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</si>
  <si>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</si>
  <si>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</si>
  <si>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</si>
  <si>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</si>
  <si>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</si>
  <si>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</si>
  <si>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</si>
  <si>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</si>
  <si>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</si>
  <si>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</si>
  <si>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</si>
  <si>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</si>
  <si>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</si>
  <si>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</si>
  <si>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</si>
  <si>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</si>
  <si>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</si>
  <si>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</si>
  <si>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</si>
  <si>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</si>
  <si>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</si>
  <si>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</si>
  <si>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DARDO ROCHA Y GABRIELA MISTRAL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</si>
  <si>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</si>
  <si>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</si>
  <si>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</si>
  <si>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</si>
  <si>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</si>
  <si>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</si>
  <si>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</si>
  <si>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</si>
  <si>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</si>
  <si>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</si>
  <si>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</si>
  <si>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</si>
  <si>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</si>
  <si>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</si>
  <si>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</si>
  <si>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</si>
  <si>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</si>
  <si>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</si>
  <si>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</si>
  <si>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</si>
  <si>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</si>
  <si>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</si>
  <si>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</si>
  <si>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</si>
  <si>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</si>
  <si>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</si>
  <si>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</si>
  <si>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</si>
  <si>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</si>
  <si>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</si>
  <si>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</si>
  <si>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</si>
  <si>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</si>
  <si>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</si>
  <si>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</si>
  <si>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</si>
  <si>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</si>
  <si>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</si>
  <si>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</si>
  <si>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</si>
  <si>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</si>
  <si>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</si>
  <si>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</si>
  <si>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</si>
  <si>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</si>
  <si>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</si>
  <si>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</si>
  <si>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</si>
  <si>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</si>
  <si>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</si>
  <si>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</si>
  <si>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</si>
  <si>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</si>
  <si>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</si>
  <si>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</si>
  <si>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</si>
  <si>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</si>
  <si>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</si>
  <si>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</si>
  <si>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</si>
  <si>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</si>
  <si>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</si>
  <si>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</si>
  <si>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</si>
  <si>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</si>
  <si>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</si>
  <si>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</si>
  <si>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</si>
  <si>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</si>
  <si>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</si>
  <si>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</si>
  <si>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</si>
  <si>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</si>
  <si>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</si>
  <si>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</si>
  <si>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</si>
  <si>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</si>
  <si>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</si>
  <si>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</si>
  <si>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</si>
  <si>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</si>
  <si>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</si>
  <si>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</si>
  <si>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</si>
  <si>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</si>
  <si>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</si>
  <si>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</si>
  <si>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</si>
  <si>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</si>
  <si>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</si>
  <si>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</si>
  <si>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</si>
  <si>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</si>
  <si>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</si>
  <si>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</si>
  <si>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</si>
  <si>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</si>
  <si>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</si>
  <si>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</si>
  <si>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</si>
  <si>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</si>
  <si>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</si>
  <si>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</si>
  <si>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</si>
  <si>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</si>
  <si>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</si>
  <si>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</si>
  <si>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</si>
  <si>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</si>
  <si>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</si>
  <si>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</si>
  <si>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</si>
  <si>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</si>
  <si>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</si>
  <si>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</si>
  <si>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</si>
  <si>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</si>
  <si>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</si>
  <si>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</si>
  <si>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</si>
  <si>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</si>
  <si>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</si>
  <si>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</si>
  <si>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</si>
  <si>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</si>
  <si>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</si>
  <si>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</si>
  <si>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</si>
  <si>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</si>
  <si>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</si>
  <si>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</si>
  <si>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</si>
  <si>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</si>
  <si>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</si>
  <si>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</si>
  <si>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</si>
  <si>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</si>
  <si>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</si>
  <si>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</si>
  <si>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</si>
  <si>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</si>
  <si>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</si>
  <si>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</si>
  <si>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</si>
  <si>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</si>
  <si>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</si>
  <si>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</si>
  <si>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SARRATEA Y LOS TREBOLES</t>
  </si>
  <si>
    <t>SANTA ROSA</t>
  </si>
  <si>
    <t>CAFFERATA Y BONN</t>
  </si>
  <si>
    <t>Novak y Bonn</t>
  </si>
  <si>
    <t>Zona de recreaciÃ³n, Posible via de escape, Flujo vehicular</t>
  </si>
  <si>
    <t>NOVAK Y BELGICA</t>
  </si>
  <si>
    <t>SRO 08</t>
  </si>
  <si>
    <t>NOVAK E/ DESSY Y BELGICA (POLIDEPORTIVO LA PATRIADA)</t>
  </si>
  <si>
    <t>BUCAREST E/ ALEMANIA Y CAFFERATA</t>
  </si>
  <si>
    <t>ALTA EN SISTEMA 27/05/2020</t>
  </si>
  <si>
    <t>DINAMARCA Y MILAN</t>
  </si>
  <si>
    <t>ALTA 12/06/2020</t>
  </si>
  <si>
    <t>ANDORRA E/ BELGICA Y SAN MARINO</t>
  </si>
  <si>
    <t>REPORTA IMAGENES 28/10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</si>
  <si>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</si>
  <si>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</si>
  <si>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</si>
  <si>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</si>
  <si>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</si>
  <si>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</si>
  <si>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Belgica y Andorra</t>
  </si>
  <si>
    <t>Flujo Vehicular, Posible via de escape</t>
  </si>
  <si>
    <t>MILAN Y MALLORCA</t>
  </si>
  <si>
    <t>DADA DE ALTA 18/09/2020</t>
  </si>
  <si>
    <t>SRO12</t>
  </si>
  <si>
    <t>YUGOSLAVIA Y PAYSANDU</t>
  </si>
  <si>
    <t>BRUSELAS E/ GRECIA Y CHECOSLOVAQUIA</t>
  </si>
  <si>
    <t>SRO15</t>
  </si>
  <si>
    <t>NOVAK Y TIRANA (614)</t>
  </si>
  <si>
    <t>SE DA DE ALTA 20/08/2021</t>
  </si>
  <si>
    <t>GRAN CANARIA Y BUDAPEST</t>
  </si>
  <si>
    <t>SE DA DE ALTA 01/11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</si>
  <si>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</si>
  <si>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</si>
  <si>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</si>
  <si>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</si>
  <si>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</si>
  <si>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</si>
  <si>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</si>
  <si>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</si>
  <si>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</si>
  <si>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</si>
  <si>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</si>
  <si>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</si>
  <si>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</si>
  <si>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</si>
  <si>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</si>
  <si>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</si>
  <si>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</si>
  <si>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</si>
  <si>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</si>
  <si>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</si>
  <si>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</si>
  <si>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</si>
  <si>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</si>
  <si>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</si>
  <si>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</si>
  <si>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</si>
  <si>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</si>
  <si>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</si>
  <si>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</si>
  <si>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</si>
  <si>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</si>
  <si>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</si>
  <si>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</si>
  <si>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</si>
  <si>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</si>
  <si>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</si>
  <si>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</si>
  <si>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</si>
  <si>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</si>
  <si>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</si>
  <si>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SE DA DE ALTA 15/09/2021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</si>
  <si>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</si>
  <si>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</si>
  <si>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</si>
  <si>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</si>
  <si>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</si>
  <si>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</si>
  <si>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</si>
  <si>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</si>
  <si>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</si>
  <si>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</si>
  <si>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</si>
  <si>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</si>
  <si>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</si>
  <si>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</si>
  <si>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</si>
  <si>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</si>
  <si>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</si>
  <si>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</si>
  <si>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LAVALLE Y FONROUGE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</si>
  <si>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</si>
  <si>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</si>
  <si>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</si>
  <si>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</si>
  <si>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</si>
  <si>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</si>
  <si>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</si>
  <si>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</si>
  <si>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</si>
  <si>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</si>
  <si>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</si>
  <si>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</si>
  <si>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</si>
  <si>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</si>
  <si>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</si>
  <si>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</si>
  <si>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</si>
  <si>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</si>
  <si>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</si>
  <si>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</si>
  <si>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</si>
  <si>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</si>
  <si>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</si>
  <si>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Belgrano y Quintana</t>
  </si>
  <si>
    <t>VAT11</t>
  </si>
  <si>
    <t>Mainini y Montevideo</t>
  </si>
  <si>
    <t>FLORIDA Y MONTEVIDEO</t>
  </si>
  <si>
    <t>ZONA CORREDOR ESCOLAR, FLUJO VEHICULAR, ZONA COMERCIAL.</t>
  </si>
  <si>
    <t>INSTALADA:EN FUNCIONAMIENTO:28/06/18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</si>
  <si>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</si>
  <si>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</si>
  <si>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</si>
  <si>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</si>
  <si>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</si>
  <si>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</si>
  <si>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</si>
  <si>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</si>
  <si>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</si>
  <si>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</si>
  <si>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</si>
  <si>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</si>
  <si>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</si>
  <si>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</si>
  <si>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</si>
  <si>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</si>
  <si>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</si>
  <si>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</si>
  <si>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</si>
  <si>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</si>
  <si>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</si>
  <si>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</si>
  <si>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</si>
  <si>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</si>
  <si>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</si>
  <si>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</si>
  <si>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</si>
  <si>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</si>
  <si>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</si>
  <si>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</si>
  <si>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</si>
  <si>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</si>
  <si>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</si>
  <si>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</si>
  <si>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</si>
  <si>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</si>
  <si>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</si>
  <si>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</si>
  <si>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</si>
  <si>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</si>
  <si>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REPORTA IMAGEN 23/07/2021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</si>
  <si>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</si>
  <si>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</si>
  <si>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</si>
  <si>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</si>
  <si>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</si>
  <si>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</si>
  <si>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</si>
  <si>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</si>
  <si>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</si>
  <si>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</si>
  <si>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</si>
  <si>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</si>
  <si>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EN FUNCIONAMIENTO 15/07/2021ESCUELADEJA DE REPORTAR IMAGENES POR UN ACCIDENTE TRANSITO 06/09/21SIENDO EL 16/09/21 11:50HS VUELVE A REPORTAR IMAGENES</t>
  </si>
  <si>
    <t>EN FUNCIONAMIENTO 15/07/2021AVENIDADEJA DE REPORTAR IMAGENES POR UN ACCIDENTE TRANSITO 06/09/21SIENDO EL 16/09/21 11:50HS VUELVE A REPORTAR IMAGENES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</si>
  <si>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</si>
  <si>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</si>
  <si>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</si>
  <si>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</si>
  <si>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</si>
  <si>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</si>
  <si>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</si>
  <si>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</si>
  <si>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</si>
  <si>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</si>
  <si>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</si>
  <si>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</si>
  <si>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</si>
  <si>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</si>
  <si>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</si>
  <si>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</si>
  <si>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</si>
  <si>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</si>
  <si>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</si>
  <si>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</si>
  <si>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</si>
  <si>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</si>
  <si>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</si>
  <si>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</si>
  <si>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</si>
  <si>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</si>
  <si>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</si>
  <si>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</si>
  <si>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</si>
  <si>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</si>
  <si>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</si>
  <si>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</si>
  <si>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</si>
  <si>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</si>
  <si>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</si>
  <si>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</si>
  <si>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</si>
  <si>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</si>
  <si>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</si>
  <si>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</si>
  <si>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</si>
  <si>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</si>
  <si>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</si>
  <si>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</si>
  <si>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</si>
  <si>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</si>
  <si>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</si>
  <si>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</si>
  <si>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</si>
  <si>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</si>
  <si>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</si>
  <si>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</si>
  <si>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</si>
  <si>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</si>
  <si>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</si>
  <si>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</si>
  <si>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</si>
  <si>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</si>
  <si>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</si>
  <si>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</si>
  <si>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</si>
  <si>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</si>
  <si>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</si>
  <si>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</si>
  <si>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</si>
  <si>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</si>
  <si>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</si>
  <si>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</si>
  <si>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</si>
  <si>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</si>
  <si>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</si>
  <si>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</si>
  <si>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</si>
  <si>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</si>
  <si>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</si>
  <si>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</si>
  <si>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</si>
  <si>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</si>
  <si>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</si>
  <si>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</si>
  <si>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</si>
  <si>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</si>
  <si>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</si>
  <si>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</si>
  <si>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</si>
  <si>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</si>
  <si>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</si>
  <si>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</si>
  <si>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</si>
  <si>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</si>
  <si>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</si>
  <si>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</si>
  <si>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</si>
  <si>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</si>
  <si>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</si>
  <si>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</si>
  <si>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</si>
  <si>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</si>
  <si>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</si>
  <si>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</si>
  <si>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</si>
  <si>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</si>
  <si>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</si>
  <si>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</si>
  <si>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</si>
  <si>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</si>
  <si>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</si>
  <si>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</si>
  <si>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</si>
  <si>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</si>
  <si>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</si>
  <si>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</si>
  <si>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</si>
  <si>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</si>
  <si>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</si>
  <si>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</si>
  <si>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</si>
  <si>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</si>
  <si>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</si>
  <si>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</si>
  <si>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</si>
  <si>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</si>
  <si>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</si>
  <si>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</si>
  <si>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</si>
  <si>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</si>
  <si>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</si>
  <si>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</si>
  <si>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</si>
  <si>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</si>
  <si>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</si>
  <si>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</si>
  <si>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</si>
  <si>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</si>
  <si>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</si>
  <si>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</si>
  <si>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</si>
  <si>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</si>
  <si>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</si>
  <si>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</si>
  <si>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</si>
  <si>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</si>
  <si>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</si>
  <si>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</si>
  <si>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</si>
  <si>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</si>
  <si>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</si>
  <si>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</si>
  <si>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</si>
  <si>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</si>
  <si>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</si>
  <si>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</si>
  <si>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</si>
  <si>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</si>
  <si>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</si>
  <si>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</si>
  <si>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</si>
  <si>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</si>
  <si>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</si>
  <si>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</si>
  <si>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</si>
  <si>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</si>
  <si>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</si>
  <si>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</si>
  <si>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</si>
  <si>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</si>
  <si>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</si>
  <si>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</si>
  <si>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</si>
  <si>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</si>
  <si>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</si>
  <si>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</si>
  <si>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</si>
  <si>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</si>
  <si>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</si>
  <si>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</si>
  <si>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</si>
  <si>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</si>
  <si>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</si>
  <si>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</si>
  <si>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</si>
  <si>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</si>
  <si>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</si>
  <si>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</si>
  <si>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</si>
  <si>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</si>
  <si>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</si>
  <si>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</si>
  <si>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</si>
  <si>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</si>
  <si>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</si>
  <si>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</si>
  <si>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</si>
  <si>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</si>
  <si>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</si>
  <si>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</si>
  <si>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</si>
  <si>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</si>
  <si>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</si>
  <si>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</si>
  <si>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</si>
  <si>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</si>
  <si>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</si>
  <si>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</si>
  <si>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</si>
  <si>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</si>
  <si>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</si>
  <si>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</si>
  <si>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</si>
  <si>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</si>
  <si>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</si>
  <si>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</si>
  <si>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</si>
  <si>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</si>
  <si>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</si>
  <si>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</si>
  <si>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</si>
  <si>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</si>
  <si>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</si>
  <si>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</si>
  <si>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</si>
  <si>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</si>
  <si>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</si>
  <si>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</si>
  <si>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</si>
  <si>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</si>
  <si>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</si>
  <si>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</si>
  <si>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</si>
  <si>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</si>
  <si>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</si>
  <si>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</si>
  <si>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</si>
  <si>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</si>
  <si>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</si>
  <si>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</si>
  <si>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</si>
  <si>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</si>
  <si>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</si>
  <si>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</si>
  <si>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</si>
  <si>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</si>
  <si>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</si>
  <si>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</si>
  <si>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</si>
  <si>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</si>
  <si>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</si>
  <si>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</si>
  <si>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</si>
  <si>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</si>
  <si>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</si>
  <si>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</si>
  <si>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</si>
  <si>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</si>
  <si>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</si>
  <si>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</si>
  <si>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</si>
  <si>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</si>
  <si>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</si>
  <si>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</si>
  <si>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</si>
  <si>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</si>
  <si>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</si>
  <si>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</si>
  <si>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</si>
  <si>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</si>
  <si>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</si>
  <si>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</si>
  <si>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</si>
  <si>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</si>
  <si>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</si>
  <si>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</si>
  <si>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</si>
  <si>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</si>
  <si>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</si>
  <si>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</si>
  <si>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</si>
  <si>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</si>
  <si>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</si>
  <si>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</si>
  <si>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</si>
  <si>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</si>
  <si>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</si>
  <si>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</si>
  <si>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</si>
  <si>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</si>
  <si>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</si>
  <si>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</si>
  <si>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</si>
  <si>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</si>
  <si>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</si>
  <si>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</si>
  <si>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</si>
  <si>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</si>
  <si>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</si>
  <si>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</si>
  <si>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</si>
  <si>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</si>
  <si>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</si>
  <si>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</si>
  <si>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</si>
  <si>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</si>
  <si>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</si>
  <si>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</si>
  <si>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</si>
  <si>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</si>
  <si>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</si>
  <si>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</si>
  <si>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</si>
  <si>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</si>
  <si>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</si>
  <si>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</si>
  <si>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</si>
  <si>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</si>
  <si>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</si>
  <si>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</si>
  <si>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</si>
  <si>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</si>
  <si>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</si>
  <si>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</si>
  <si>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</si>
  <si>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</si>
  <si>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</si>
  <si>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</si>
  <si>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</si>
  <si>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</si>
  <si>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</si>
  <si>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</si>
  <si>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</si>
  <si>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</si>
  <si>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</si>
  <si>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</si>
  <si>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</si>
  <si>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</si>
  <si>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</si>
  <si>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</si>
  <si>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</si>
  <si>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</si>
  <si>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</si>
  <si>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</si>
  <si>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</si>
  <si>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</si>
  <si>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</si>
  <si>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</si>
  <si>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</si>
  <si>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</si>
  <si>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</si>
  <si>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</si>
  <si>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</si>
  <si>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</si>
  <si>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</si>
  <si>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</si>
  <si>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</si>
  <si>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</si>
  <si>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</si>
  <si>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</si>
  <si>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</si>
  <si>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</si>
  <si>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</si>
  <si>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</si>
  <si>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</si>
  <si>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</si>
  <si>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</si>
  <si>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</si>
  <si>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</si>
  <si>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</si>
  <si>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</si>
  <si>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</si>
  <si>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</si>
  <si>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</si>
  <si>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</si>
  <si>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</si>
  <si>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</si>
  <si>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</si>
  <si>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</si>
  <si>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</si>
  <si>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</si>
  <si>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</si>
  <si>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</si>
  <si>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</si>
  <si>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</si>
  <si>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</si>
  <si>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</si>
  <si>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</si>
  <si>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</si>
  <si>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</si>
  <si>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</si>
  <si>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</si>
  <si>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</si>
  <si>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</si>
  <si>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</si>
  <si>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</si>
  <si>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</si>
  <si>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</si>
  <si>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</si>
  <si>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</si>
  <si>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</si>
  <si>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</si>
  <si>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</si>
  <si>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</si>
  <si>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</si>
  <si>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</si>
  <si>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</si>
  <si>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</si>
  <si>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</si>
  <si>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</si>
  <si>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</si>
  <si>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</si>
  <si>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</si>
  <si>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</si>
  <si>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</si>
  <si>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</si>
  <si>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</si>
  <si>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</si>
  <si>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</si>
  <si>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Se llega por ping y por web (DAHUA)</t>
  </si>
  <si>
    <t>APAGADO</t>
  </si>
  <si>
    <t>Se llega por ping y por web</t>
  </si>
  <si>
    <t xml:space="preserve">se llega por ping y por web (No Video Display) </t>
  </si>
  <si>
    <t xml:space="preserve">Se llega por ping y por web </t>
  </si>
  <si>
    <t>Se llega por ping y por web pide login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</si>
  <si>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</si>
  <si>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</si>
  <si>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</si>
  <si>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</si>
  <si>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</si>
  <si>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</si>
  <si>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</si>
  <si>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</si>
  <si>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</si>
  <si>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</si>
  <si>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Bocuzzi e/EspaÃ±a y San Martin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</si>
  <si>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</si>
  <si>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</si>
  <si>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</si>
  <si>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</si>
  <si>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</si>
  <si>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</si>
  <si>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</si>
  <si>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</si>
  <si>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</si>
  <si>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</si>
  <si>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ESPAÃ‘A E/MITRE Y BOCUZZI</t>
  </si>
  <si>
    <t>San Martin y GÃ¼emes</t>
  </si>
  <si>
    <t>San Martin y Pte.PerÃ³n</t>
  </si>
  <si>
    <t>Monteagudo y Pte. PerÃ³n</t>
  </si>
  <si>
    <t>Pte.PerÃ³n e/Pringles y Brown</t>
  </si>
  <si>
    <t>Sallares y EspaÃ±a</t>
  </si>
  <si>
    <t>Mitre y EspaÃ±a</t>
  </si>
  <si>
    <t>San Juan y EspaÃ±a</t>
  </si>
  <si>
    <t>Aristobulo del Valle y EspaÃ±a</t>
  </si>
  <si>
    <t>CEN59</t>
  </si>
  <si>
    <t>CEN62</t>
  </si>
  <si>
    <t>ESPAÃ‘A Y ALEM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</si>
  <si>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</si>
  <si>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</si>
  <si>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</si>
  <si>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</si>
  <si>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</si>
  <si>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</si>
  <si>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</si>
  <si>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</si>
  <si>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</si>
  <si>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</si>
  <si>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</si>
  <si>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</si>
  <si>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</si>
  <si>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</si>
  <si>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</si>
  <si>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</si>
  <si>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</si>
  <si>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</si>
  <si>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</si>
  <si>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</si>
  <si>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</si>
  <si>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</si>
  <si>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</si>
  <si>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MaipÃº y Posadas</t>
  </si>
  <si>
    <t>LPR 01</t>
  </si>
  <si>
    <t>LRO 05</t>
  </si>
  <si>
    <t>LRO 09</t>
  </si>
  <si>
    <t>Las AmÃ©ricas y Braile</t>
  </si>
  <si>
    <t>LRO 10</t>
  </si>
  <si>
    <t>LRO 12 (fija 1)</t>
  </si>
  <si>
    <t>LRO 13 (fija 2)</t>
  </si>
  <si>
    <t>LRO01</t>
  </si>
  <si>
    <t>LUJ 01</t>
  </si>
  <si>
    <t>Ã‘andu y Los Pinos</t>
  </si>
  <si>
    <t>MAR 02 (FIJA1)</t>
  </si>
  <si>
    <t>LUJAN Y PATAGONES</t>
  </si>
  <si>
    <t>LAS MARGARITAS</t>
  </si>
  <si>
    <t>MAR 03(FIJA 2)</t>
  </si>
  <si>
    <t>Eva PerÃ³n y Cabildo</t>
  </si>
  <si>
    <t>CHAÃ‘AR Y SAN NICOLAS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</si>
  <si>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</si>
  <si>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</si>
  <si>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</si>
  <si>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</si>
  <si>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</si>
  <si>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</si>
  <si>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</si>
  <si>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</si>
  <si>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</si>
  <si>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</si>
  <si>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</si>
  <si>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</si>
  <si>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</si>
  <si>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</si>
  <si>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</si>
  <si>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</si>
  <si>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</si>
  <si>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</si>
  <si>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</si>
  <si>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</si>
  <si>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</si>
  <si>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</si>
  <si>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</si>
  <si>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</si>
  <si>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</si>
  <si>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</si>
  <si>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</si>
  <si>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</si>
  <si>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</si>
  <si>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</si>
  <si>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</si>
  <si>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</si>
  <si>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</si>
  <si>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</si>
  <si>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</si>
  <si>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</si>
  <si>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</si>
  <si>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</si>
  <si>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</si>
  <si>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</si>
  <si>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</si>
  <si>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</si>
  <si>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</si>
  <si>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</si>
  <si>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</si>
  <si>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</si>
  <si>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</si>
  <si>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</si>
  <si>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</si>
  <si>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</si>
  <si>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</si>
  <si>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</si>
  <si>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</si>
  <si>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</si>
  <si>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</si>
  <si>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</si>
  <si>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</si>
  <si>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</si>
  <si>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</si>
  <si>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</si>
  <si>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</si>
  <si>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</si>
  <si>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</si>
  <si>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</si>
  <si>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</si>
  <si>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</si>
  <si>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</si>
  <si>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</si>
  <si>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</si>
  <si>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</si>
  <si>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</si>
  <si>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CHAÃ‘AR Y URUGUAY</t>
  </si>
  <si>
    <t>VAT 21 (fija 1)</t>
  </si>
  <si>
    <t>VAT 22 (fija 2)</t>
  </si>
  <si>
    <t>Montevideo y El ChaÃ±ar</t>
  </si>
  <si>
    <t>Eva PerÃ³n y 12 de Octubre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</si>
  <si>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</si>
  <si>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</si>
  <si>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</si>
  <si>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</si>
  <si>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</si>
  <si>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</si>
  <si>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</si>
  <si>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</si>
  <si>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</si>
  <si>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</si>
  <si>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RÃ­o Carapachay y OroÃ±o</t>
  </si>
  <si>
    <t>VMO 03 (fija 1)</t>
  </si>
  <si>
    <t>EVA PERON E/ OROÃ‘O Y 734 A</t>
  </si>
  <si>
    <t>VMO 04 (fija 2)</t>
  </si>
  <si>
    <t>VMO 05</t>
  </si>
  <si>
    <t>OROÃ‘O Y EVA PERON</t>
  </si>
  <si>
    <t>Eva Peron y MonseÃ±or de las Casas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</si>
  <si>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</si>
  <si>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</si>
  <si>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</si>
  <si>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</si>
  <si>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</si>
  <si>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</si>
  <si>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</si>
  <si>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</si>
  <si>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</si>
  <si>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</si>
  <si>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</si>
  <si>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</si>
  <si>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</si>
  <si>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</si>
  <si>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Se llega por pimg y por web</t>
  </si>
  <si>
    <t>Se llega por ping y por web (login)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</si>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</sst>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</fills>
  <borders count="30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0" fontId="0" fillId="0" borderId="14" xfId="0" applyBorder="1"/>
    <xf numFmtId="0" fontId="0" fillId="0" borderId="17" xfId="0" applyBorder="1"/>
    <xf numFmtId="0" fontId="0" fillId="0" borderId="20" xfId="0" applyBorder="1"/>
    <xf numFmtId="10" fontId="0" fillId="0" borderId="0" xfId="1" applyNumberFormat="1" applyFont="1" applyAlignment="1">
      <alignment horizontal="center"/>
    </xf>
    <xf numFmtId="10" fontId="0" fillId="0" borderId="15" xfId="1" applyNumberFormat="1" applyFont="1" applyBorder="1" applyAlignment="1">
      <alignment horizontal="center"/>
    </xf>
    <xf numFmtId="10" fontId="0" fillId="0" borderId="18" xfId="1" applyNumberFormat="1" applyFon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0" xfId="0" applyAlignment="1">
      <alignment horizontal="left" indent="3"/>
    </xf>
    <xf numFmtId="0" fontId="0" fillId="0" borderId="15" xfId="0" applyBorder="1" applyAlignment="1">
      <alignment horizontal="left" indent="3"/>
    </xf>
    <xf numFmtId="0" fontId="0" fillId="0" borderId="18" xfId="0" applyBorder="1" applyAlignment="1">
      <alignment horizontal="left" indent="3"/>
    </xf>
    <xf numFmtId="0" fontId="0" fillId="0" borderId="21" xfId="0" applyBorder="1" applyAlignment="1">
      <alignment horizontal="left" indent="3"/>
    </xf>
    <xf numFmtId="0" fontId="0" fillId="0" borderId="24" xfId="0" applyBorder="1" applyAlignment="1">
      <alignment horizontal="left"/>
    </xf>
    <xf numFmtId="0" fontId="0" fillId="0" borderId="25" xfId="0" applyBorder="1"/>
    <xf numFmtId="3" fontId="0" fillId="0" borderId="25" xfId="0" applyNumberFormat="1" applyBorder="1"/>
    <xf numFmtId="0" fontId="0" fillId="0" borderId="26" xfId="0" applyBorder="1"/>
    <xf numFmtId="0" fontId="0" fillId="0" borderId="27" xfId="0" applyBorder="1" applyAlignment="1">
      <alignment horizontal="left"/>
    </xf>
    <xf numFmtId="0" fontId="0" fillId="0" borderId="0" xfId="0" applyBorder="1"/>
    <xf numFmtId="3" fontId="0" fillId="0" borderId="0" xfId="0" applyNumberFormat="1" applyBorder="1"/>
    <xf numFmtId="0" fontId="0" fillId="0" borderId="28" xfId="0" applyBorder="1"/>
    <xf numFmtId="0" fontId="0" fillId="0" borderId="6" xfId="0" applyBorder="1"/>
    <xf numFmtId="0" fontId="0" fillId="0" borderId="13" xfId="0" applyBorder="1"/>
    <xf numFmtId="0" fontId="0" fillId="0" borderId="7" xfId="0" applyBorder="1"/>
    <xf numFmtId="0" fontId="0" fillId="4" borderId="0" xfId="0" applyFill="1"/>
    <xf numFmtId="0" fontId="0" fillId="4" borderId="0" xfId="0" applyFill="1" applyAlignment="1">
      <alignment horizontal="right"/>
    </xf>
    <xf numFmtId="49" fontId="0" fillId="0" borderId="14" xfId="0" applyNumberFormat="1" applyBorder="1" applyAlignment="1">
      <alignment horizontal="left"/>
    </xf>
    <xf numFmtId="0" fontId="0" fillId="0" borderId="15" xfId="0" applyBorder="1"/>
    <xf numFmtId="3" fontId="0" fillId="0" borderId="15" xfId="0" applyNumberFormat="1" applyBorder="1"/>
    <xf numFmtId="0" fontId="0" fillId="4" borderId="16" xfId="0" applyFill="1" applyBorder="1"/>
    <xf numFmtId="0" fontId="0" fillId="0" borderId="17" xfId="0" applyBorder="1" applyAlignment="1">
      <alignment horizontal="left"/>
    </xf>
    <xf numFmtId="0" fontId="0" fillId="0" borderId="18" xfId="0" applyBorder="1"/>
    <xf numFmtId="3" fontId="0" fillId="0" borderId="18" xfId="0" applyNumberFormat="1" applyBorder="1"/>
    <xf numFmtId="0" fontId="0" fillId="4" borderId="19" xfId="0" applyFill="1" applyBorder="1"/>
    <xf numFmtId="0" fontId="0" fillId="0" borderId="20" xfId="0" applyBorder="1" applyAlignment="1">
      <alignment horizontal="left"/>
    </xf>
    <xf numFmtId="0" fontId="0" fillId="0" borderId="21" xfId="0" applyBorder="1"/>
    <xf numFmtId="3" fontId="0" fillId="0" borderId="21" xfId="0" applyNumberFormat="1" applyBorder="1"/>
    <xf numFmtId="0" fontId="0" fillId="4" borderId="22" xfId="0" applyFill="1" applyBorder="1"/>
    <xf numFmtId="0" fontId="0" fillId="0" borderId="0" xfId="0" applyBorder="1" applyAlignment="1">
      <alignment horizontal="left"/>
    </xf>
    <xf numFmtId="16" fontId="0" fillId="0" borderId="0" xfId="0" applyNumberFormat="1" applyBorder="1" applyAlignment="1">
      <alignment vertical="center" textRotation="90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0" borderId="0" xfId="0" applyAlignment="1">
      <alignment wrapText="1"/>
    </xf>
    <xf numFmtId="0" fontId="0" fillId="0" borderId="1" xfId="0" applyBorder="1" applyAlignment="1">
      <alignment horizontal="left"/>
    </xf>
    <xf numFmtId="0" fontId="0" fillId="0" borderId="29" xfId="0" applyBorder="1"/>
    <xf numFmtId="3" fontId="0" fillId="0" borderId="29" xfId="0" applyNumberFormat="1" applyBorder="1"/>
    <xf numFmtId="0" fontId="0" fillId="4" borderId="2" xfId="0" applyFill="1" applyBorder="1"/>
    <xf numFmtId="0" fontId="0" fillId="0" borderId="4" xfId="0" applyBorder="1" applyAlignment="1">
      <alignment horizontal="left"/>
    </xf>
    <xf numFmtId="0" fontId="0" fillId="4" borderId="5" xfId="0" applyFill="1" applyBorder="1"/>
    <xf numFmtId="0" fontId="0" fillId="0" borderId="5" xfId="0" applyBorder="1"/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3" xfId="0" applyNumberFormat="1" applyBorder="1" applyAlignment="1">
      <alignment horizontal="center" vertical="center" textRotation="90"/>
    </xf>
    <xf numFmtId="16" fontId="0" fillId="0" borderId="16" xfId="0" applyNumberFormat="1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22" xfId="0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854"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25</c:v>
                </c:pt>
                <c:pt idx="5">
                  <c:v>24</c:v>
                </c:pt>
                <c:pt idx="6">
                  <c:v>66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41</c:v>
                </c:pt>
                <c:pt idx="2">
                  <c:v>31</c:v>
                </c:pt>
                <c:pt idx="3">
                  <c:v>34</c:v>
                </c:pt>
                <c:pt idx="4">
                  <c:v>30</c:v>
                </c:pt>
                <c:pt idx="5">
                  <c:v>32</c:v>
                </c:pt>
                <c:pt idx="6">
                  <c:v>72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25</c:v>
                </c:pt>
                <c:pt idx="5">
                  <c:v>24</c:v>
                </c:pt>
                <c:pt idx="6">
                  <c:v>66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41</c:v>
                </c:pt>
                <c:pt idx="2">
                  <c:v>31</c:v>
                </c:pt>
                <c:pt idx="3">
                  <c:v>34</c:v>
                </c:pt>
                <c:pt idx="4">
                  <c:v>30</c:v>
                </c:pt>
                <c:pt idx="5">
                  <c:v>32</c:v>
                </c:pt>
                <c:pt idx="6">
                  <c:v>72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9.6938775510204078E-2</c:v>
                </c:pt>
                <c:pt idx="1">
                  <c:v>0.10459183673469388</c:v>
                </c:pt>
                <c:pt idx="2">
                  <c:v>7.9081632653061229E-2</c:v>
                </c:pt>
                <c:pt idx="3">
                  <c:v>8.673469387755102E-2</c:v>
                </c:pt>
                <c:pt idx="4">
                  <c:v>7.6530612244897961E-2</c:v>
                </c:pt>
                <c:pt idx="5">
                  <c:v>8.1632653061224483E-2</c:v>
                </c:pt>
                <c:pt idx="6">
                  <c:v>0.18367346938775511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25</c:v>
                </c:pt>
                <c:pt idx="5">
                  <c:v>24</c:v>
                </c:pt>
                <c:pt idx="6">
                  <c:v>66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25</c:v>
                </c:pt>
                <c:pt idx="5">
                  <c:v>24</c:v>
                </c:pt>
                <c:pt idx="6">
                  <c:v>66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41</c:v>
                </c:pt>
                <c:pt idx="2">
                  <c:v>31</c:v>
                </c:pt>
                <c:pt idx="3">
                  <c:v>34</c:v>
                </c:pt>
                <c:pt idx="4">
                  <c:v>30</c:v>
                </c:pt>
                <c:pt idx="5">
                  <c:v>32</c:v>
                </c:pt>
                <c:pt idx="6">
                  <c:v>72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25</c:v>
                </c:pt>
                <c:pt idx="5">
                  <c:v>24</c:v>
                </c:pt>
                <c:pt idx="6">
                  <c:v>66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41</c:v>
                </c:pt>
                <c:pt idx="2">
                  <c:v>31</c:v>
                </c:pt>
                <c:pt idx="3">
                  <c:v>34</c:v>
                </c:pt>
                <c:pt idx="4">
                  <c:v>30</c:v>
                </c:pt>
                <c:pt idx="5">
                  <c:v>32</c:v>
                </c:pt>
                <c:pt idx="6">
                  <c:v>72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9.6938775510204078E-2</c:v>
                </c:pt>
                <c:pt idx="1">
                  <c:v>0.10459183673469388</c:v>
                </c:pt>
                <c:pt idx="2">
                  <c:v>7.9081632653061229E-2</c:v>
                </c:pt>
                <c:pt idx="3">
                  <c:v>8.673469387755102E-2</c:v>
                </c:pt>
                <c:pt idx="4">
                  <c:v>7.6530612244897961E-2</c:v>
                </c:pt>
                <c:pt idx="5">
                  <c:v>8.1632653061224483E-2</c:v>
                </c:pt>
                <c:pt idx="6">
                  <c:v>0.18367346938775511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S676"/>
  <sheetViews>
    <sheetView tabSelected="1" zoomScale="84" zoomScaleNormal="84" workbookViewId="0">
      <pane xSplit="14" ySplit="4" topLeftCell="U210" activePane="bottomRight" state="frozen"/>
      <selection pane="topRight" activeCell="M1" sqref="M1"/>
      <selection pane="bottomLeft" activeCell="A5" sqref="A5"/>
      <selection pane="bottomRight" activeCell="U225" sqref="U225"/>
    </sheetView>
  </sheetViews>
  <sheetFormatPr baseColWidth="10" defaultRowHeight="15" x14ac:dyDescent="0.25"/>
  <cols>
    <col min="1" max="1" width="26.7109375" bestFit="1" customWidth="1"/>
    <col min="2" max="2" width="32.85546875" style="45" customWidth="1"/>
    <col min="3" max="3" width="16.28515625" style="52" customWidth="1"/>
    <col min="4" max="4" width="42.5703125" customWidth="1"/>
    <col min="5" max="5" width="15.7109375" style="23" customWidth="1"/>
    <col min="6" max="6" width="17.42578125" style="24" customWidth="1"/>
    <col min="7" max="10" width="6.28515625" style="24" hidden="1" customWidth="1"/>
    <col min="11" max="11" width="13.7109375" style="24" customWidth="1"/>
    <col min="12" max="12" width="14.7109375" customWidth="1"/>
    <col min="13" max="13" width="6.7109375" customWidth="1"/>
    <col min="14" max="14" width="11.5703125" style="5"/>
    <col min="15" max="23" width="8.7109375" style="22" customWidth="1"/>
    <col min="24" max="44" width="14.140625" style="22" bestFit="1" customWidth="1"/>
    <col min="45" max="45" width="14.140625" bestFit="1" customWidth="1"/>
  </cols>
  <sheetData>
    <row r="1" spans="1:45" s="5" customFormat="1" ht="27.75" customHeight="1" thickTop="1" x14ac:dyDescent="0.25">
      <c r="A1" s="1" t="s">
        <v>0</v>
      </c>
      <c r="B1" s="42">
        <f>COUNTA(B5:B527)</f>
        <v>392</v>
      </c>
      <c r="C1" s="100"/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0.10026385224274406</v>
      </c>
      <c r="P1" s="4">
        <f t="shared" si="0"/>
        <v>0.10817941952506596</v>
      </c>
      <c r="Q1" s="4">
        <f t="shared" si="0"/>
        <v>8.1794195250659632E-2</v>
      </c>
      <c r="R1" s="4">
        <f t="shared" si="0"/>
        <v>8.9709762532981532E-2</v>
      </c>
      <c r="S1" s="4"/>
      <c r="T1" s="4">
        <f>(T3)/(T2+T3)</f>
        <v>0.13720316622691292</v>
      </c>
      <c r="U1" s="4">
        <f t="shared" si="0"/>
        <v>0.19261213720316622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>(AC3)/(AC2+AC3)</f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si="0"/>
        <v>0</v>
      </c>
      <c r="AP1" s="4">
        <f t="shared" si="0"/>
        <v>0</v>
      </c>
      <c r="AQ1" s="4">
        <f t="shared" ref="AQ1:AR1" si="1">(AQ3)/(AQ2+AQ3)</f>
        <v>0</v>
      </c>
      <c r="AR1" s="4">
        <f t="shared" si="1"/>
        <v>0</v>
      </c>
      <c r="AS1" s="4">
        <f t="shared" ref="AS1" si="2">(AS3)/(AS2+AS3)</f>
        <v>0</v>
      </c>
    </row>
    <row r="2" spans="1:45" s="11" customFormat="1" x14ac:dyDescent="0.25">
      <c r="A2" s="6"/>
      <c r="B2" s="43"/>
      <c r="C2" s="101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46"/>
      <c r="O2" s="10">
        <f t="shared" ref="O2:AH2" si="3">COUNTIF(O5:O379, "")</f>
        <v>341</v>
      </c>
      <c r="P2" s="10">
        <f t="shared" si="3"/>
        <v>338</v>
      </c>
      <c r="Q2" s="10">
        <f t="shared" si="3"/>
        <v>348</v>
      </c>
      <c r="R2" s="10">
        <f t="shared" si="3"/>
        <v>345</v>
      </c>
      <c r="S2" s="10"/>
      <c r="T2" s="10">
        <f t="shared" si="3"/>
        <v>327</v>
      </c>
      <c r="U2" s="10">
        <f t="shared" si="3"/>
        <v>306</v>
      </c>
      <c r="V2" s="10">
        <f t="shared" si="3"/>
        <v>375</v>
      </c>
      <c r="W2" s="10">
        <f t="shared" si="3"/>
        <v>375</v>
      </c>
      <c r="X2" s="10">
        <f t="shared" si="3"/>
        <v>375</v>
      </c>
      <c r="Y2" s="10">
        <f t="shared" si="3"/>
        <v>375</v>
      </c>
      <c r="Z2" s="10">
        <f t="shared" si="3"/>
        <v>375</v>
      </c>
      <c r="AA2" s="10">
        <f t="shared" si="3"/>
        <v>375</v>
      </c>
      <c r="AB2" s="10">
        <f t="shared" si="3"/>
        <v>375</v>
      </c>
      <c r="AC2" s="10">
        <f t="shared" si="3"/>
        <v>375</v>
      </c>
      <c r="AD2" s="10">
        <f t="shared" si="3"/>
        <v>375</v>
      </c>
      <c r="AE2" s="10">
        <f t="shared" si="3"/>
        <v>375</v>
      </c>
      <c r="AF2" s="10">
        <f t="shared" si="3"/>
        <v>375</v>
      </c>
      <c r="AG2" s="10">
        <f t="shared" si="3"/>
        <v>375</v>
      </c>
      <c r="AH2" s="10">
        <f t="shared" si="3"/>
        <v>375</v>
      </c>
      <c r="AI2" s="10">
        <f>COUNTIF(AI5:AI379, "")</f>
        <v>375</v>
      </c>
      <c r="AJ2" s="10">
        <f>COUNTIF(AJ5:AJ379, "")</f>
        <v>375</v>
      </c>
      <c r="AK2" s="10">
        <f>COUNTIF(AK5:AK379, "")</f>
        <v>375</v>
      </c>
      <c r="AL2" s="10">
        <f>COUNTIF(AL5:AL379, "")</f>
        <v>375</v>
      </c>
      <c r="AM2" s="10">
        <f t="shared" ref="AM2:AQ2" si="4">COUNTIF(AM5:AM379, "")</f>
        <v>375</v>
      </c>
      <c r="AN2" s="10">
        <f t="shared" si="4"/>
        <v>375</v>
      </c>
      <c r="AO2" s="10">
        <f t="shared" si="4"/>
        <v>375</v>
      </c>
      <c r="AP2" s="10">
        <f t="shared" si="4"/>
        <v>375</v>
      </c>
      <c r="AQ2" s="10">
        <f t="shared" si="4"/>
        <v>375</v>
      </c>
      <c r="AR2" s="10">
        <f>COUNTIF(AR5:AR379, "")</f>
        <v>375</v>
      </c>
      <c r="AS2" s="10">
        <f>COUNTIF(AS5:AS379, "")</f>
        <v>375</v>
      </c>
    </row>
    <row r="3" spans="1:45" s="11" customFormat="1" ht="15.75" thickBot="1" x14ac:dyDescent="0.3">
      <c r="A3" s="12"/>
      <c r="B3" s="44"/>
      <c r="C3" s="101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47"/>
      <c r="O3" s="14">
        <f>COUNTIF(O4:O447, "apagado")</f>
        <v>38</v>
      </c>
      <c r="P3" s="14">
        <f t="shared" ref="P3:AP3" si="5">COUNTIF(P4:P447, "apagado")</f>
        <v>41</v>
      </c>
      <c r="Q3" s="14">
        <f t="shared" si="5"/>
        <v>31</v>
      </c>
      <c r="R3" s="14">
        <f t="shared" si="5"/>
        <v>34</v>
      </c>
      <c r="S3" s="14"/>
      <c r="T3" s="14">
        <f t="shared" si="5"/>
        <v>52</v>
      </c>
      <c r="U3" s="14">
        <f t="shared" si="5"/>
        <v>73</v>
      </c>
      <c r="V3" s="14">
        <f t="shared" si="5"/>
        <v>0</v>
      </c>
      <c r="W3" s="14">
        <f t="shared" si="5"/>
        <v>0</v>
      </c>
      <c r="X3" s="14">
        <f t="shared" si="5"/>
        <v>0</v>
      </c>
      <c r="Y3" s="14">
        <f t="shared" si="5"/>
        <v>0</v>
      </c>
      <c r="Z3" s="14">
        <f t="shared" si="5"/>
        <v>0</v>
      </c>
      <c r="AA3" s="14">
        <f t="shared" si="5"/>
        <v>0</v>
      </c>
      <c r="AB3" s="14">
        <f t="shared" si="5"/>
        <v>0</v>
      </c>
      <c r="AC3" s="14">
        <f t="shared" si="5"/>
        <v>0</v>
      </c>
      <c r="AD3" s="14">
        <f t="shared" si="5"/>
        <v>0</v>
      </c>
      <c r="AE3" s="14">
        <f t="shared" si="5"/>
        <v>0</v>
      </c>
      <c r="AF3" s="14">
        <f t="shared" si="5"/>
        <v>0</v>
      </c>
      <c r="AG3" s="14">
        <f t="shared" si="5"/>
        <v>0</v>
      </c>
      <c r="AH3" s="14">
        <f t="shared" si="5"/>
        <v>0</v>
      </c>
      <c r="AI3" s="14">
        <f t="shared" si="5"/>
        <v>0</v>
      </c>
      <c r="AJ3" s="14">
        <f t="shared" si="5"/>
        <v>0</v>
      </c>
      <c r="AK3" s="14">
        <f t="shared" si="5"/>
        <v>0</v>
      </c>
      <c r="AL3" s="14">
        <f t="shared" si="5"/>
        <v>0</v>
      </c>
      <c r="AM3" s="14">
        <f t="shared" si="5"/>
        <v>0</v>
      </c>
      <c r="AN3" s="14">
        <f t="shared" si="5"/>
        <v>0</v>
      </c>
      <c r="AO3" s="14">
        <f t="shared" si="5"/>
        <v>0</v>
      </c>
      <c r="AP3" s="14">
        <f t="shared" si="5"/>
        <v>0</v>
      </c>
      <c r="AQ3" s="14">
        <f t="shared" ref="AQ3:AR3" si="6">COUNTIF(AQ4:AQ447, "apagado")</f>
        <v>0</v>
      </c>
      <c r="AR3" s="14">
        <f t="shared" si="6"/>
        <v>0</v>
      </c>
      <c r="AS3" s="14">
        <f t="shared" ref="AS3" si="7">COUNTIF(AS4:AS447, "apagado")</f>
        <v>0</v>
      </c>
    </row>
    <row r="4" spans="1:45" s="11" customFormat="1" ht="32.25" thickTop="1" thickBot="1" x14ac:dyDescent="0.35">
      <c r="A4" t="s">
        <v>7</v>
      </c>
      <c r="B4" s="45" t="s">
        <v>8</v>
      </c>
      <c r="C4" s="102" t="s">
        <v>1390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44774</v>
      </c>
      <c r="P4" s="15">
        <v>44775</v>
      </c>
      <c r="Q4" s="15">
        <v>44776</v>
      </c>
      <c r="R4" s="15">
        <v>44777</v>
      </c>
      <c r="S4" s="15">
        <v>44778</v>
      </c>
      <c r="T4" s="15">
        <v>44779</v>
      </c>
      <c r="U4" s="15">
        <v>44780</v>
      </c>
      <c r="V4" s="15">
        <v>44781</v>
      </c>
      <c r="W4" s="15">
        <v>44782</v>
      </c>
      <c r="X4" s="15">
        <v>44783</v>
      </c>
      <c r="Y4" s="15">
        <v>44784</v>
      </c>
      <c r="Z4" s="15">
        <v>44785</v>
      </c>
      <c r="AA4" s="15">
        <v>44786</v>
      </c>
      <c r="AB4" s="15">
        <v>44787</v>
      </c>
      <c r="AC4" s="15">
        <v>44788</v>
      </c>
      <c r="AD4" s="15">
        <v>44789</v>
      </c>
      <c r="AE4" s="15">
        <v>44790</v>
      </c>
      <c r="AF4" s="15">
        <v>44791</v>
      </c>
      <c r="AG4" s="15">
        <v>44792</v>
      </c>
      <c r="AH4" s="15">
        <v>44793</v>
      </c>
      <c r="AI4" s="15">
        <v>44794</v>
      </c>
      <c r="AJ4" s="15">
        <v>44795</v>
      </c>
      <c r="AK4" s="15">
        <v>44796</v>
      </c>
      <c r="AL4" s="15">
        <v>44797</v>
      </c>
      <c r="AM4" s="15">
        <v>44798</v>
      </c>
      <c r="AN4" s="15">
        <v>44799</v>
      </c>
      <c r="AO4" s="15">
        <v>44800</v>
      </c>
      <c r="AP4" s="15">
        <v>44801</v>
      </c>
      <c r="AQ4" s="15">
        <v>44802</v>
      </c>
      <c r="AR4" s="15">
        <v>44803</v>
      </c>
      <c r="AS4" s="15">
        <v>44804</v>
      </c>
    </row>
    <row r="5" spans="1:45" ht="16.5" thickTop="1" thickBot="1" x14ac:dyDescent="0.3">
      <c r="A5" s="51" t="s">
        <v>34</v>
      </c>
      <c r="B5" s="51" t="s">
        <v>1214</v>
      </c>
      <c r="C5" s="51" t="s">
        <v>1391</v>
      </c>
      <c r="D5" s="51" t="s">
        <v>44</v>
      </c>
      <c r="E5" s="51" t="s">
        <v>24</v>
      </c>
      <c r="F5" s="51" t="s">
        <v>1383</v>
      </c>
      <c r="G5" s="51" t="s">
        <v>45</v>
      </c>
      <c r="H5" s="51"/>
      <c r="I5" s="16">
        <v>-347726570000</v>
      </c>
      <c r="J5" s="16">
        <v>-582730620000</v>
      </c>
      <c r="K5" s="51" t="s">
        <v>830</v>
      </c>
      <c r="L5" s="17">
        <f>COUNTIF(O5:AR5,"")</f>
        <v>28</v>
      </c>
      <c r="M5" s="17">
        <f t="shared" ref="M5:M68" si="8">COUNTIF(O5:AP5,"APAGADO")</f>
        <v>2</v>
      </c>
      <c r="N5" s="18">
        <f t="shared" ref="N5:N68" si="9">(L5)/(M5+L5)</f>
        <v>0.93333333333333335</v>
      </c>
      <c r="O5" s="29"/>
      <c r="P5" s="19"/>
      <c r="Q5" s="19"/>
      <c r="R5" s="19"/>
      <c r="S5" s="29"/>
      <c r="T5" s="29" t="s">
        <v>1209</v>
      </c>
      <c r="U5" s="19" t="s">
        <v>1209</v>
      </c>
      <c r="V5" s="19"/>
      <c r="W5" s="1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19"/>
      <c r="AL5" s="19"/>
      <c r="AM5" s="19"/>
      <c r="AN5" s="29"/>
      <c r="AO5" s="19"/>
      <c r="AP5" s="19"/>
      <c r="AQ5" s="29"/>
      <c r="AR5" s="29"/>
      <c r="AS5" s="29"/>
    </row>
    <row r="6" spans="1:45" ht="15.75" thickBot="1" x14ac:dyDescent="0.3">
      <c r="A6" s="51" t="s">
        <v>34</v>
      </c>
      <c r="B6" s="51" t="s">
        <v>1215</v>
      </c>
      <c r="C6" s="51" t="s">
        <v>1391</v>
      </c>
      <c r="D6" s="51" t="s">
        <v>46</v>
      </c>
      <c r="E6" s="51" t="s">
        <v>24</v>
      </c>
      <c r="F6" s="51" t="s">
        <v>1383</v>
      </c>
      <c r="G6" s="51" t="s">
        <v>47</v>
      </c>
      <c r="H6" s="51"/>
      <c r="I6" s="16">
        <v>-347705420000</v>
      </c>
      <c r="J6" s="16">
        <v>-582748000000</v>
      </c>
      <c r="K6" s="51" t="s">
        <v>831</v>
      </c>
      <c r="L6" s="53">
        <f t="shared" ref="L6:L69" si="10">COUNTIF(O6:AR6,"")</f>
        <v>28</v>
      </c>
      <c r="M6" s="17">
        <f t="shared" si="8"/>
        <v>2</v>
      </c>
      <c r="N6" s="18">
        <f t="shared" si="9"/>
        <v>0.93333333333333335</v>
      </c>
      <c r="O6" s="27"/>
      <c r="P6" s="8"/>
      <c r="Q6" s="8"/>
      <c r="R6" s="8"/>
      <c r="S6" s="27"/>
      <c r="T6" s="27" t="s">
        <v>1209</v>
      </c>
      <c r="U6" s="8" t="s">
        <v>1209</v>
      </c>
      <c r="V6" s="8"/>
      <c r="W6" s="8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8"/>
      <c r="AL6" s="8"/>
      <c r="AM6" s="8"/>
      <c r="AN6" s="27"/>
      <c r="AO6" s="8"/>
      <c r="AP6" s="8"/>
      <c r="AQ6" s="27"/>
      <c r="AR6" s="27"/>
      <c r="AS6" s="27"/>
    </row>
    <row r="7" spans="1:45" ht="15.75" thickBot="1" x14ac:dyDescent="0.3">
      <c r="A7" s="51" t="s">
        <v>34</v>
      </c>
      <c r="B7" s="51" t="s">
        <v>1216</v>
      </c>
      <c r="C7" s="51" t="s">
        <v>1391</v>
      </c>
      <c r="D7" s="51" t="s">
        <v>35</v>
      </c>
      <c r="E7" s="51" t="s">
        <v>24</v>
      </c>
      <c r="F7" s="51" t="s">
        <v>1384</v>
      </c>
      <c r="G7" s="51"/>
      <c r="H7" s="51" t="s">
        <v>37</v>
      </c>
      <c r="I7" s="16">
        <v>-347738090000</v>
      </c>
      <c r="J7" s="16">
        <v>-582721410000</v>
      </c>
      <c r="K7" s="51" t="s">
        <v>834</v>
      </c>
      <c r="L7" s="53">
        <f t="shared" si="10"/>
        <v>28</v>
      </c>
      <c r="M7" s="17">
        <f t="shared" si="8"/>
        <v>2</v>
      </c>
      <c r="N7" s="18">
        <f t="shared" si="9"/>
        <v>0.93333333333333335</v>
      </c>
      <c r="O7" s="27"/>
      <c r="P7" s="8"/>
      <c r="Q7" s="8"/>
      <c r="R7" s="8"/>
      <c r="S7" s="27"/>
      <c r="T7" s="27" t="s">
        <v>1209</v>
      </c>
      <c r="U7" s="8" t="s">
        <v>1209</v>
      </c>
      <c r="V7" s="8"/>
      <c r="W7" s="8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8"/>
      <c r="AL7" s="8"/>
      <c r="AM7" s="8"/>
      <c r="AN7" s="27"/>
      <c r="AO7" s="8"/>
      <c r="AP7" s="8"/>
      <c r="AQ7" s="27"/>
      <c r="AR7" s="27"/>
      <c r="AS7" s="27"/>
    </row>
    <row r="8" spans="1:45" ht="15.75" thickBot="1" x14ac:dyDescent="0.3">
      <c r="A8" s="51" t="s">
        <v>34</v>
      </c>
      <c r="B8" s="51" t="s">
        <v>1217</v>
      </c>
      <c r="C8" s="51" t="s">
        <v>1391</v>
      </c>
      <c r="D8" s="51" t="s">
        <v>54</v>
      </c>
      <c r="E8" s="51" t="s">
        <v>19</v>
      </c>
      <c r="F8" s="51" t="s">
        <v>36</v>
      </c>
      <c r="G8" s="51"/>
      <c r="H8" s="51" t="s">
        <v>55</v>
      </c>
      <c r="I8" s="16">
        <v>-347749440000</v>
      </c>
      <c r="J8" s="16">
        <v>-582711610000</v>
      </c>
      <c r="K8" s="51" t="s">
        <v>837</v>
      </c>
      <c r="L8" s="53">
        <f t="shared" si="10"/>
        <v>28</v>
      </c>
      <c r="M8" s="17">
        <f t="shared" si="8"/>
        <v>2</v>
      </c>
      <c r="N8" s="18">
        <f t="shared" si="9"/>
        <v>0.93333333333333335</v>
      </c>
      <c r="O8" s="27"/>
      <c r="P8" s="8"/>
      <c r="Q8" s="8"/>
      <c r="R8" s="8"/>
      <c r="S8" s="27"/>
      <c r="T8" s="27" t="s">
        <v>1209</v>
      </c>
      <c r="U8" s="8" t="s">
        <v>1209</v>
      </c>
      <c r="V8" s="8"/>
      <c r="W8" s="8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8"/>
      <c r="AL8" s="8"/>
      <c r="AM8" s="8"/>
      <c r="AN8" s="27"/>
      <c r="AO8" s="8"/>
      <c r="AP8" s="8"/>
      <c r="AQ8" s="27"/>
      <c r="AR8" s="27"/>
      <c r="AS8" s="27"/>
    </row>
    <row r="9" spans="1:45" ht="15.75" thickBot="1" x14ac:dyDescent="0.3">
      <c r="A9" s="51" t="s">
        <v>34</v>
      </c>
      <c r="B9" s="51" t="s">
        <v>1218</v>
      </c>
      <c r="C9" s="51" t="s">
        <v>1391</v>
      </c>
      <c r="D9" s="51" t="s">
        <v>56</v>
      </c>
      <c r="E9" s="51" t="s">
        <v>19</v>
      </c>
      <c r="F9" s="51" t="s">
        <v>36</v>
      </c>
      <c r="G9" s="51"/>
      <c r="H9" s="51" t="s">
        <v>57</v>
      </c>
      <c r="I9" s="16">
        <v>-347743740000</v>
      </c>
      <c r="J9" s="16">
        <v>-582715650000</v>
      </c>
      <c r="K9" s="51" t="s">
        <v>838</v>
      </c>
      <c r="L9" s="53">
        <f t="shared" si="10"/>
        <v>28</v>
      </c>
      <c r="M9" s="17">
        <f t="shared" si="8"/>
        <v>2</v>
      </c>
      <c r="N9" s="18">
        <f t="shared" si="9"/>
        <v>0.93333333333333335</v>
      </c>
      <c r="O9" s="27"/>
      <c r="P9" s="8"/>
      <c r="Q9" s="8"/>
      <c r="R9" s="8"/>
      <c r="S9" s="27"/>
      <c r="T9" s="27" t="s">
        <v>1209</v>
      </c>
      <c r="U9" s="8" t="s">
        <v>1209</v>
      </c>
      <c r="V9" s="8"/>
      <c r="W9" s="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8"/>
      <c r="AL9" s="8"/>
      <c r="AM9" s="8"/>
      <c r="AN9" s="27"/>
      <c r="AO9" s="8"/>
      <c r="AP9" s="8"/>
      <c r="AQ9" s="27"/>
      <c r="AR9" s="27"/>
      <c r="AS9" s="27"/>
    </row>
    <row r="10" spans="1:45" ht="15.75" thickBot="1" x14ac:dyDescent="0.3">
      <c r="A10" s="51" t="s">
        <v>34</v>
      </c>
      <c r="B10" s="51" t="s">
        <v>1219</v>
      </c>
      <c r="C10" s="51" t="s">
        <v>1391</v>
      </c>
      <c r="D10" s="51" t="s">
        <v>1220</v>
      </c>
      <c r="E10" s="51" t="s">
        <v>24</v>
      </c>
      <c r="F10" s="51" t="s">
        <v>25</v>
      </c>
      <c r="G10" s="51" t="s">
        <v>421</v>
      </c>
      <c r="H10" s="51"/>
      <c r="I10" s="16">
        <v>-347688500000</v>
      </c>
      <c r="J10" s="16">
        <v>-582717420000</v>
      </c>
      <c r="K10" s="51"/>
      <c r="L10" s="53">
        <f t="shared" si="10"/>
        <v>30</v>
      </c>
      <c r="M10" s="17">
        <f t="shared" si="8"/>
        <v>0</v>
      </c>
      <c r="N10" s="18">
        <f t="shared" si="9"/>
        <v>1</v>
      </c>
      <c r="O10" s="27"/>
      <c r="P10" s="8"/>
      <c r="Q10" s="8"/>
      <c r="R10" s="8"/>
      <c r="S10" s="27"/>
      <c r="T10" s="27"/>
      <c r="U10" s="8"/>
      <c r="V10" s="8"/>
      <c r="W10" s="8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8"/>
      <c r="AL10" s="8"/>
      <c r="AM10" s="8"/>
      <c r="AN10" s="27"/>
      <c r="AO10" s="8"/>
      <c r="AP10" s="8"/>
      <c r="AQ10" s="27"/>
      <c r="AR10" s="27"/>
      <c r="AS10" s="27"/>
    </row>
    <row r="11" spans="1:45" ht="15.75" thickBot="1" x14ac:dyDescent="0.3">
      <c r="A11" s="51" t="s">
        <v>34</v>
      </c>
      <c r="B11" s="51" t="s">
        <v>38</v>
      </c>
      <c r="C11" s="51" t="s">
        <v>1391</v>
      </c>
      <c r="D11" s="51" t="s">
        <v>39</v>
      </c>
      <c r="E11" s="51" t="s">
        <v>24</v>
      </c>
      <c r="F11" s="51" t="s">
        <v>36</v>
      </c>
      <c r="G11" s="51" t="s">
        <v>40</v>
      </c>
      <c r="H11" s="51"/>
      <c r="I11" s="16">
        <v>-347769580000</v>
      </c>
      <c r="J11" s="16">
        <v>-582650900000</v>
      </c>
      <c r="K11" s="51" t="s">
        <v>827</v>
      </c>
      <c r="L11" s="53">
        <f t="shared" si="10"/>
        <v>30</v>
      </c>
      <c r="M11" s="17">
        <f t="shared" si="8"/>
        <v>0</v>
      </c>
      <c r="N11" s="18">
        <f t="shared" si="9"/>
        <v>1</v>
      </c>
      <c r="O11" s="27"/>
      <c r="P11" s="8"/>
      <c r="Q11" s="8"/>
      <c r="R11" s="8"/>
      <c r="S11" s="27"/>
      <c r="T11" s="27"/>
      <c r="U11" s="8"/>
      <c r="V11" s="8"/>
      <c r="W11" s="8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8"/>
      <c r="AL11" s="8"/>
      <c r="AM11" s="8"/>
      <c r="AN11" s="27"/>
      <c r="AO11" s="8"/>
      <c r="AP11" s="8"/>
      <c r="AQ11" s="27"/>
      <c r="AR11" s="27"/>
      <c r="AS11" s="27"/>
    </row>
    <row r="12" spans="1:45" ht="15.75" thickBot="1" x14ac:dyDescent="0.3">
      <c r="A12" s="51" t="s">
        <v>34</v>
      </c>
      <c r="B12" s="51" t="s">
        <v>41</v>
      </c>
      <c r="C12" s="51" t="s">
        <v>1391</v>
      </c>
      <c r="D12" s="51" t="s">
        <v>42</v>
      </c>
      <c r="E12" s="51" t="s">
        <v>24</v>
      </c>
      <c r="F12" s="51" t="s">
        <v>1384</v>
      </c>
      <c r="G12" s="51" t="s">
        <v>43</v>
      </c>
      <c r="H12" s="51"/>
      <c r="I12" s="16">
        <v>-347718470000</v>
      </c>
      <c r="J12" s="16">
        <v>-582688560000</v>
      </c>
      <c r="K12" s="51" t="s">
        <v>829</v>
      </c>
      <c r="L12" s="53">
        <f t="shared" si="10"/>
        <v>30</v>
      </c>
      <c r="M12" s="17">
        <f t="shared" si="8"/>
        <v>0</v>
      </c>
      <c r="N12" s="18">
        <f t="shared" si="9"/>
        <v>1</v>
      </c>
      <c r="O12" s="27"/>
      <c r="P12" s="8"/>
      <c r="Q12" s="8"/>
      <c r="R12" s="8"/>
      <c r="S12" s="27"/>
      <c r="T12" s="27"/>
      <c r="U12" s="8"/>
      <c r="V12" s="8"/>
      <c r="W12" s="8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8"/>
      <c r="AL12" s="8"/>
      <c r="AM12" s="8"/>
      <c r="AN12" s="27"/>
      <c r="AO12" s="8"/>
      <c r="AP12" s="8"/>
      <c r="AQ12" s="27"/>
      <c r="AR12" s="27"/>
      <c r="AS12" s="27"/>
    </row>
    <row r="13" spans="1:45" ht="15.75" thickBot="1" x14ac:dyDescent="0.3">
      <c r="A13" s="51" t="s">
        <v>34</v>
      </c>
      <c r="B13" s="51" t="s">
        <v>48</v>
      </c>
      <c r="C13" s="51" t="s">
        <v>1391</v>
      </c>
      <c r="D13" s="51" t="s">
        <v>49</v>
      </c>
      <c r="E13" s="51" t="s">
        <v>24</v>
      </c>
      <c r="F13" s="51" t="s">
        <v>1384</v>
      </c>
      <c r="G13" s="51" t="s">
        <v>50</v>
      </c>
      <c r="H13" s="51"/>
      <c r="I13" s="16">
        <v>-347708370000</v>
      </c>
      <c r="J13" s="16">
        <v>-582698000000</v>
      </c>
      <c r="K13" s="51" t="s">
        <v>832</v>
      </c>
      <c r="L13" s="53">
        <f t="shared" si="10"/>
        <v>30</v>
      </c>
      <c r="M13" s="17">
        <f t="shared" si="8"/>
        <v>0</v>
      </c>
      <c r="N13" s="18">
        <f t="shared" si="9"/>
        <v>1</v>
      </c>
      <c r="O13" s="27"/>
      <c r="P13" s="8"/>
      <c r="Q13" s="8"/>
      <c r="R13" s="8"/>
      <c r="S13" s="27"/>
      <c r="T13" s="27"/>
      <c r="U13" s="8"/>
      <c r="V13" s="8"/>
      <c r="W13" s="8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8"/>
      <c r="AL13" s="8"/>
      <c r="AM13" s="8"/>
      <c r="AN13" s="27"/>
      <c r="AO13" s="8"/>
      <c r="AP13" s="8"/>
      <c r="AQ13" s="27"/>
      <c r="AR13" s="27"/>
      <c r="AS13" s="27"/>
    </row>
    <row r="14" spans="1:45" ht="15.75" thickBot="1" x14ac:dyDescent="0.3">
      <c r="A14" s="51" t="s">
        <v>34</v>
      </c>
      <c r="B14" s="51" t="s">
        <v>51</v>
      </c>
      <c r="C14" s="51" t="s">
        <v>1391</v>
      </c>
      <c r="D14" s="51" t="s">
        <v>52</v>
      </c>
      <c r="E14" s="51" t="s">
        <v>19</v>
      </c>
      <c r="F14" s="51" t="s">
        <v>1384</v>
      </c>
      <c r="G14" s="51"/>
      <c r="H14" s="51" t="s">
        <v>53</v>
      </c>
      <c r="I14" s="16">
        <v>-347737570000</v>
      </c>
      <c r="J14" s="16">
        <v>-582676650000</v>
      </c>
      <c r="K14" s="51" t="s">
        <v>836</v>
      </c>
      <c r="L14" s="53">
        <f t="shared" si="10"/>
        <v>30</v>
      </c>
      <c r="M14" s="17">
        <f t="shared" si="8"/>
        <v>0</v>
      </c>
      <c r="N14" s="18">
        <f t="shared" si="9"/>
        <v>1</v>
      </c>
      <c r="O14" s="27"/>
      <c r="P14" s="8"/>
      <c r="Q14" s="8"/>
      <c r="R14" s="8"/>
      <c r="S14" s="27"/>
      <c r="T14" s="27"/>
      <c r="U14" s="8"/>
      <c r="V14" s="8"/>
      <c r="W14" s="8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8"/>
      <c r="AL14" s="8"/>
      <c r="AM14" s="8"/>
      <c r="AN14" s="27"/>
      <c r="AO14" s="8"/>
      <c r="AP14" s="8"/>
      <c r="AQ14" s="27"/>
      <c r="AR14" s="27"/>
      <c r="AS14" s="27"/>
    </row>
    <row r="15" spans="1:45" ht="15.75" thickBot="1" x14ac:dyDescent="0.3">
      <c r="A15" s="51" t="s">
        <v>58</v>
      </c>
      <c r="B15" s="51" t="s">
        <v>1221</v>
      </c>
      <c r="C15" s="51" t="s">
        <v>1392</v>
      </c>
      <c r="D15" s="51" t="s">
        <v>59</v>
      </c>
      <c r="E15" s="51" t="s">
        <v>24</v>
      </c>
      <c r="F15" s="51" t="s">
        <v>1383</v>
      </c>
      <c r="G15" s="51" t="s">
        <v>60</v>
      </c>
      <c r="H15" s="51"/>
      <c r="I15" s="16">
        <v>-347979380000</v>
      </c>
      <c r="J15" s="16">
        <v>-583160950000</v>
      </c>
      <c r="K15" s="51" t="s">
        <v>839</v>
      </c>
      <c r="L15" s="53">
        <f t="shared" si="10"/>
        <v>28</v>
      </c>
      <c r="M15" s="17">
        <f t="shared" si="8"/>
        <v>2</v>
      </c>
      <c r="N15" s="18">
        <f t="shared" si="9"/>
        <v>0.93333333333333335</v>
      </c>
      <c r="O15" s="27"/>
      <c r="P15" s="8" t="s">
        <v>1209</v>
      </c>
      <c r="Q15" s="8"/>
      <c r="R15" s="8"/>
      <c r="S15" s="27"/>
      <c r="T15" s="27" t="s">
        <v>1209</v>
      </c>
      <c r="U15" s="8"/>
      <c r="V15" s="8"/>
      <c r="W15" s="8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8"/>
      <c r="AL15" s="8"/>
      <c r="AM15" s="8"/>
      <c r="AN15" s="27"/>
      <c r="AO15" s="8"/>
      <c r="AP15" s="8"/>
      <c r="AQ15" s="27"/>
      <c r="AR15" s="27"/>
      <c r="AS15" s="27"/>
    </row>
    <row r="16" spans="1:45" ht="15.75" thickBot="1" x14ac:dyDescent="0.3">
      <c r="A16" s="51" t="s">
        <v>61</v>
      </c>
      <c r="B16" s="51" t="s">
        <v>1222</v>
      </c>
      <c r="C16" s="51" t="s">
        <v>1391</v>
      </c>
      <c r="D16" s="51" t="s">
        <v>62</v>
      </c>
      <c r="E16" s="51" t="s">
        <v>19</v>
      </c>
      <c r="F16" s="51" t="s">
        <v>1383</v>
      </c>
      <c r="G16" s="51" t="s">
        <v>60</v>
      </c>
      <c r="H16" s="51" t="s">
        <v>63</v>
      </c>
      <c r="I16" s="16">
        <v>-347918370000</v>
      </c>
      <c r="J16" s="16">
        <v>-582786080000</v>
      </c>
      <c r="K16" s="51" t="s">
        <v>840</v>
      </c>
      <c r="L16" s="53">
        <f t="shared" si="10"/>
        <v>29</v>
      </c>
      <c r="M16" s="17">
        <f t="shared" si="8"/>
        <v>1</v>
      </c>
      <c r="N16" s="18">
        <f t="shared" si="9"/>
        <v>0.96666666666666667</v>
      </c>
      <c r="O16" s="27"/>
      <c r="P16" s="8" t="s">
        <v>1209</v>
      </c>
      <c r="Q16" s="8"/>
      <c r="R16" s="8"/>
      <c r="S16" s="27"/>
      <c r="T16" s="27"/>
      <c r="U16" s="8"/>
      <c r="V16" s="8"/>
      <c r="W16" s="8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8"/>
      <c r="AL16" s="8"/>
      <c r="AM16" s="8"/>
      <c r="AN16" s="27"/>
      <c r="AO16" s="8"/>
      <c r="AP16" s="8"/>
      <c r="AQ16" s="27"/>
      <c r="AR16" s="27"/>
      <c r="AS16" s="27"/>
    </row>
    <row r="17" spans="1:45" ht="15.75" thickBot="1" x14ac:dyDescent="0.3">
      <c r="A17" s="51" t="s">
        <v>72</v>
      </c>
      <c r="B17" s="51" t="s">
        <v>1223</v>
      </c>
      <c r="C17" s="51" t="s">
        <v>1391</v>
      </c>
      <c r="D17" s="51" t="s">
        <v>1224</v>
      </c>
      <c r="E17" s="51" t="s">
        <v>19</v>
      </c>
      <c r="F17" s="51" t="s">
        <v>36</v>
      </c>
      <c r="G17" s="51" t="s">
        <v>113</v>
      </c>
      <c r="H17" s="51" t="s">
        <v>114</v>
      </c>
      <c r="I17" s="16">
        <v>-348100680000</v>
      </c>
      <c r="J17" s="16">
        <v>-582769560000</v>
      </c>
      <c r="K17" s="51" t="s">
        <v>844</v>
      </c>
      <c r="L17" s="53">
        <f t="shared" si="10"/>
        <v>30</v>
      </c>
      <c r="M17" s="17">
        <f t="shared" si="8"/>
        <v>0</v>
      </c>
      <c r="N17" s="18">
        <f t="shared" si="9"/>
        <v>1</v>
      </c>
      <c r="O17" s="27"/>
      <c r="P17" s="8"/>
      <c r="Q17" s="8"/>
      <c r="R17" s="8"/>
      <c r="S17" s="27"/>
      <c r="T17" s="27"/>
      <c r="U17" s="8"/>
      <c r="V17" s="8"/>
      <c r="W17" s="8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8"/>
      <c r="AL17" s="8"/>
      <c r="AM17" s="8"/>
      <c r="AN17" s="27"/>
      <c r="AO17" s="8"/>
      <c r="AP17" s="8"/>
      <c r="AQ17" s="27"/>
      <c r="AR17" s="27"/>
      <c r="AS17" s="27"/>
    </row>
    <row r="18" spans="1:45" ht="15.75" thickBot="1" x14ac:dyDescent="0.3">
      <c r="A18" s="51" t="s">
        <v>72</v>
      </c>
      <c r="B18" s="51" t="s">
        <v>1225</v>
      </c>
      <c r="C18" s="51" t="s">
        <v>1391</v>
      </c>
      <c r="D18" s="51" t="s">
        <v>132</v>
      </c>
      <c r="E18" s="51" t="s">
        <v>24</v>
      </c>
      <c r="F18" s="51" t="s">
        <v>36</v>
      </c>
      <c r="G18" s="51" t="s">
        <v>133</v>
      </c>
      <c r="H18" s="51"/>
      <c r="I18" s="16">
        <v>-348088700000</v>
      </c>
      <c r="J18" s="16">
        <v>-582747030000</v>
      </c>
      <c r="K18" s="51" t="s">
        <v>851</v>
      </c>
      <c r="L18" s="53">
        <f t="shared" si="10"/>
        <v>30</v>
      </c>
      <c r="M18" s="17">
        <f t="shared" si="8"/>
        <v>0</v>
      </c>
      <c r="N18" s="18">
        <f t="shared" si="9"/>
        <v>1</v>
      </c>
      <c r="O18" s="27"/>
      <c r="P18" s="8"/>
      <c r="Q18" s="8"/>
      <c r="R18" s="8"/>
      <c r="S18" s="27"/>
      <c r="T18" s="27"/>
      <c r="U18" s="8"/>
      <c r="V18" s="8"/>
      <c r="W18" s="8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8"/>
      <c r="AL18" s="8"/>
      <c r="AM18" s="8"/>
      <c r="AN18" s="27"/>
      <c r="AO18" s="8"/>
      <c r="AP18" s="8"/>
      <c r="AQ18" s="27"/>
      <c r="AR18" s="27"/>
      <c r="AS18" s="27"/>
    </row>
    <row r="19" spans="1:45" ht="15.75" thickBot="1" x14ac:dyDescent="0.3">
      <c r="A19" s="51" t="s">
        <v>72</v>
      </c>
      <c r="B19" s="51" t="s">
        <v>1226</v>
      </c>
      <c r="C19" s="51" t="s">
        <v>1391</v>
      </c>
      <c r="D19" s="51" t="s">
        <v>134</v>
      </c>
      <c r="E19" s="51" t="s">
        <v>19</v>
      </c>
      <c r="F19" s="51" t="s">
        <v>36</v>
      </c>
      <c r="G19" s="51" t="s">
        <v>125</v>
      </c>
      <c r="H19" s="51"/>
      <c r="I19" s="16">
        <v>-348050030000</v>
      </c>
      <c r="J19" s="16">
        <v>-582802180000</v>
      </c>
      <c r="K19" s="51" t="s">
        <v>852</v>
      </c>
      <c r="L19" s="53">
        <f t="shared" si="10"/>
        <v>30</v>
      </c>
      <c r="M19" s="17">
        <f t="shared" si="8"/>
        <v>0</v>
      </c>
      <c r="N19" s="18">
        <f t="shared" si="9"/>
        <v>1</v>
      </c>
      <c r="O19" s="27"/>
      <c r="P19" s="8"/>
      <c r="Q19" s="8"/>
      <c r="R19" s="8"/>
      <c r="S19" s="27"/>
      <c r="T19" s="27"/>
      <c r="U19" s="8"/>
      <c r="V19" s="8"/>
      <c r="W19" s="8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8"/>
      <c r="AL19" s="8"/>
      <c r="AM19" s="8"/>
      <c r="AN19" s="27"/>
      <c r="AO19" s="8"/>
      <c r="AP19" s="8"/>
      <c r="AQ19" s="27"/>
      <c r="AR19" s="27"/>
      <c r="AS19" s="27"/>
    </row>
    <row r="20" spans="1:45" ht="15.75" thickBot="1" x14ac:dyDescent="0.3">
      <c r="A20" s="51" t="s">
        <v>72</v>
      </c>
      <c r="B20" s="51" t="s">
        <v>1227</v>
      </c>
      <c r="C20" s="51" t="s">
        <v>1391</v>
      </c>
      <c r="D20" s="51" t="s">
        <v>188</v>
      </c>
      <c r="E20" s="51" t="s">
        <v>24</v>
      </c>
      <c r="F20" s="51" t="s">
        <v>36</v>
      </c>
      <c r="G20" s="51" t="s">
        <v>119</v>
      </c>
      <c r="H20" s="51"/>
      <c r="I20" s="16">
        <v>-347974350000</v>
      </c>
      <c r="J20" s="16">
        <v>-582751320000</v>
      </c>
      <c r="K20" s="51" t="s">
        <v>876</v>
      </c>
      <c r="L20" s="53">
        <f t="shared" si="10"/>
        <v>30</v>
      </c>
      <c r="M20" s="17">
        <f t="shared" si="8"/>
        <v>0</v>
      </c>
      <c r="N20" s="18">
        <f t="shared" si="9"/>
        <v>1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8"/>
      <c r="AL20" s="8"/>
      <c r="AM20" s="8"/>
      <c r="AN20" s="27"/>
      <c r="AO20" s="8"/>
      <c r="AP20" s="8"/>
      <c r="AQ20" s="27"/>
      <c r="AR20" s="27"/>
      <c r="AS20" s="27"/>
    </row>
    <row r="21" spans="1:45" ht="15.75" thickBot="1" x14ac:dyDescent="0.3">
      <c r="A21" s="51" t="s">
        <v>72</v>
      </c>
      <c r="B21" s="51" t="s">
        <v>1228</v>
      </c>
      <c r="C21" s="51" t="s">
        <v>1391</v>
      </c>
      <c r="D21" s="51" t="s">
        <v>218</v>
      </c>
      <c r="E21" s="51" t="s">
        <v>24</v>
      </c>
      <c r="F21" s="51" t="s">
        <v>25</v>
      </c>
      <c r="G21" s="51" t="s">
        <v>219</v>
      </c>
      <c r="H21" s="51" t="s">
        <v>220</v>
      </c>
      <c r="I21" s="16">
        <v>-348070120000</v>
      </c>
      <c r="J21" s="16">
        <v>-582783830000</v>
      </c>
      <c r="K21" s="51" t="s">
        <v>889</v>
      </c>
      <c r="L21" s="53">
        <f t="shared" si="10"/>
        <v>30</v>
      </c>
      <c r="M21" s="17">
        <f t="shared" si="8"/>
        <v>0</v>
      </c>
      <c r="N21" s="18">
        <f t="shared" si="9"/>
        <v>1</v>
      </c>
      <c r="O21" s="27"/>
      <c r="P21" s="8"/>
      <c r="Q21" s="8"/>
      <c r="R21" s="8"/>
      <c r="S21" s="27"/>
      <c r="T21" s="27"/>
      <c r="U21" s="8"/>
      <c r="V21" s="8"/>
      <c r="W21" s="8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8"/>
      <c r="AL21" s="8"/>
      <c r="AM21" s="8"/>
      <c r="AN21" s="27"/>
      <c r="AO21" s="8"/>
      <c r="AP21" s="8"/>
      <c r="AQ21" s="27"/>
      <c r="AR21" s="27"/>
      <c r="AS21" s="27"/>
    </row>
    <row r="22" spans="1:45" ht="15.75" thickBot="1" x14ac:dyDescent="0.3">
      <c r="A22" s="51" t="s">
        <v>72</v>
      </c>
      <c r="B22" s="51" t="s">
        <v>1229</v>
      </c>
      <c r="C22" s="51" t="s">
        <v>1391</v>
      </c>
      <c r="D22" s="51" t="s">
        <v>64</v>
      </c>
      <c r="E22" s="51" t="s">
        <v>65</v>
      </c>
      <c r="F22" s="51" t="s">
        <v>36</v>
      </c>
      <c r="G22" s="51" t="s">
        <v>66</v>
      </c>
      <c r="H22" s="51"/>
      <c r="I22" s="16">
        <v>-347987830000</v>
      </c>
      <c r="J22" s="16">
        <v>-582840920000</v>
      </c>
      <c r="K22" s="51" t="s">
        <v>890</v>
      </c>
      <c r="L22" s="53">
        <f t="shared" si="10"/>
        <v>30</v>
      </c>
      <c r="M22" s="17">
        <f t="shared" si="8"/>
        <v>0</v>
      </c>
      <c r="N22" s="18">
        <f t="shared" si="9"/>
        <v>1</v>
      </c>
      <c r="O22" s="27"/>
      <c r="P22" s="8"/>
      <c r="Q22" s="8"/>
      <c r="R22" s="8"/>
      <c r="S22" s="27"/>
      <c r="T22" s="27"/>
      <c r="U22" s="8"/>
      <c r="V22" s="8"/>
      <c r="W22" s="8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8"/>
      <c r="AL22" s="8"/>
      <c r="AM22" s="8"/>
      <c r="AN22" s="27"/>
      <c r="AO22" s="8"/>
      <c r="AP22" s="8"/>
      <c r="AQ22" s="27"/>
      <c r="AR22" s="27"/>
      <c r="AS22" s="27"/>
    </row>
    <row r="23" spans="1:45" ht="15.75" thickBot="1" x14ac:dyDescent="0.3">
      <c r="A23" s="51" t="s">
        <v>72</v>
      </c>
      <c r="B23" s="51" t="s">
        <v>1230</v>
      </c>
      <c r="C23" s="51" t="s">
        <v>1391</v>
      </c>
      <c r="D23" s="51" t="s">
        <v>67</v>
      </c>
      <c r="E23" s="51" t="s">
        <v>24</v>
      </c>
      <c r="F23" s="51" t="s">
        <v>25</v>
      </c>
      <c r="G23" s="51"/>
      <c r="H23" s="51"/>
      <c r="I23" s="16">
        <v>-348013650000</v>
      </c>
      <c r="J23" s="16">
        <v>-582715700000</v>
      </c>
      <c r="K23" s="51" t="s">
        <v>892</v>
      </c>
      <c r="L23" s="53">
        <f t="shared" si="10"/>
        <v>30</v>
      </c>
      <c r="M23" s="17">
        <f t="shared" si="8"/>
        <v>0</v>
      </c>
      <c r="N23" s="18">
        <f t="shared" si="9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"/>
      <c r="AL23" s="8"/>
      <c r="AM23" s="8"/>
      <c r="AN23" s="27"/>
      <c r="AO23" s="8"/>
      <c r="AP23" s="8"/>
      <c r="AQ23" s="27"/>
      <c r="AR23" s="27"/>
      <c r="AS23" s="27"/>
    </row>
    <row r="24" spans="1:45" ht="15.75" thickBot="1" x14ac:dyDescent="0.3">
      <c r="A24" s="51" t="s">
        <v>72</v>
      </c>
      <c r="B24" s="51" t="s">
        <v>68</v>
      </c>
      <c r="C24" s="51" t="s">
        <v>1391</v>
      </c>
      <c r="D24" s="51" t="s">
        <v>69</v>
      </c>
      <c r="E24" s="51" t="s">
        <v>24</v>
      </c>
      <c r="F24" s="51" t="s">
        <v>25</v>
      </c>
      <c r="G24" s="51"/>
      <c r="H24" s="51"/>
      <c r="I24" s="16">
        <v>-348013470000</v>
      </c>
      <c r="J24" s="16">
        <v>-582698540000</v>
      </c>
      <c r="K24" s="51" t="s">
        <v>893</v>
      </c>
      <c r="L24" s="53">
        <f t="shared" si="10"/>
        <v>30</v>
      </c>
      <c r="M24" s="17">
        <f t="shared" si="8"/>
        <v>0</v>
      </c>
      <c r="N24" s="18">
        <f t="shared" si="9"/>
        <v>1</v>
      </c>
      <c r="O24" s="27"/>
      <c r="P24" s="8"/>
      <c r="Q24" s="8"/>
      <c r="R24" s="8"/>
      <c r="S24" s="27"/>
      <c r="T24" s="27"/>
      <c r="U24" s="8"/>
      <c r="V24" s="8"/>
      <c r="W24" s="8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8"/>
      <c r="AL24" s="8"/>
      <c r="AM24" s="8"/>
      <c r="AN24" s="27"/>
      <c r="AO24" s="8"/>
      <c r="AP24" s="8"/>
      <c r="AQ24" s="27"/>
      <c r="AR24" s="27"/>
      <c r="AS24" s="27"/>
    </row>
    <row r="25" spans="1:45" ht="15.75" thickBot="1" x14ac:dyDescent="0.3">
      <c r="A25" s="51" t="s">
        <v>72</v>
      </c>
      <c r="B25" s="51" t="s">
        <v>70</v>
      </c>
      <c r="C25" s="51" t="s">
        <v>1391</v>
      </c>
      <c r="D25" s="51" t="s">
        <v>71</v>
      </c>
      <c r="E25" s="51" t="s">
        <v>24</v>
      </c>
      <c r="F25" s="51" t="s">
        <v>25</v>
      </c>
      <c r="G25" s="51"/>
      <c r="H25" s="51"/>
      <c r="I25" s="16">
        <v>-348019110000</v>
      </c>
      <c r="J25" s="16">
        <v>-582819990000</v>
      </c>
      <c r="K25" s="51" t="s">
        <v>894</v>
      </c>
      <c r="L25" s="53">
        <f t="shared" si="10"/>
        <v>30</v>
      </c>
      <c r="M25" s="17">
        <f t="shared" si="8"/>
        <v>0</v>
      </c>
      <c r="N25" s="18">
        <f t="shared" si="9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"/>
      <c r="AL25" s="8"/>
      <c r="AM25" s="8"/>
      <c r="AN25" s="27"/>
      <c r="AO25" s="8"/>
      <c r="AP25" s="8"/>
      <c r="AQ25" s="27"/>
      <c r="AR25" s="27"/>
      <c r="AS25" s="27"/>
    </row>
    <row r="26" spans="1:45" ht="15.75" thickBot="1" x14ac:dyDescent="0.3">
      <c r="A26" s="51" t="s">
        <v>72</v>
      </c>
      <c r="B26" s="51" t="s">
        <v>73</v>
      </c>
      <c r="C26" s="51" t="s">
        <v>1391</v>
      </c>
      <c r="D26" s="51" t="s">
        <v>74</v>
      </c>
      <c r="E26" s="51" t="s">
        <v>19</v>
      </c>
      <c r="F26" s="51" t="s">
        <v>25</v>
      </c>
      <c r="G26" s="51" t="s">
        <v>75</v>
      </c>
      <c r="H26" s="51"/>
      <c r="I26" s="16">
        <v>-348073990000</v>
      </c>
      <c r="J26" s="16">
        <v>-582850080000</v>
      </c>
      <c r="K26" s="51" t="s">
        <v>895</v>
      </c>
      <c r="L26" s="53">
        <f t="shared" si="10"/>
        <v>29</v>
      </c>
      <c r="M26" s="17">
        <f t="shared" si="8"/>
        <v>1</v>
      </c>
      <c r="N26" s="18">
        <f t="shared" si="9"/>
        <v>0.96666666666666667</v>
      </c>
      <c r="O26" s="27"/>
      <c r="P26" s="8"/>
      <c r="Q26" s="8"/>
      <c r="R26" s="8"/>
      <c r="S26" s="27"/>
      <c r="T26" s="27" t="s">
        <v>1209</v>
      </c>
      <c r="U26" s="8"/>
      <c r="V26" s="8"/>
      <c r="W26" s="8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8"/>
      <c r="AL26" s="8"/>
      <c r="AM26" s="8"/>
      <c r="AN26" s="27"/>
      <c r="AO26" s="8"/>
      <c r="AP26" s="8"/>
      <c r="AQ26" s="27"/>
      <c r="AR26" s="27"/>
      <c r="AS26" s="27"/>
    </row>
    <row r="27" spans="1:45" ht="15.75" thickBot="1" x14ac:dyDescent="0.3">
      <c r="A27" s="51" t="s">
        <v>72</v>
      </c>
      <c r="B27" s="51" t="s">
        <v>76</v>
      </c>
      <c r="C27" s="51" t="s">
        <v>1391</v>
      </c>
      <c r="D27" s="51" t="s">
        <v>77</v>
      </c>
      <c r="E27" s="51" t="s">
        <v>19</v>
      </c>
      <c r="F27" s="51" t="s">
        <v>25</v>
      </c>
      <c r="G27" s="51"/>
      <c r="H27" s="51"/>
      <c r="I27" s="16">
        <v>-348007360000</v>
      </c>
      <c r="J27" s="16">
        <v>-582804240000</v>
      </c>
      <c r="K27" s="51" t="s">
        <v>896</v>
      </c>
      <c r="L27" s="53">
        <f t="shared" si="10"/>
        <v>30</v>
      </c>
      <c r="M27" s="17">
        <f t="shared" si="8"/>
        <v>0</v>
      </c>
      <c r="N27" s="18">
        <f t="shared" si="9"/>
        <v>1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"/>
      <c r="AL27" s="8"/>
      <c r="AM27" s="8"/>
      <c r="AN27" s="27"/>
      <c r="AO27" s="8"/>
      <c r="AP27" s="8"/>
      <c r="AQ27" s="27"/>
      <c r="AR27" s="27"/>
      <c r="AS27" s="27"/>
    </row>
    <row r="28" spans="1:45" ht="15.75" thickBot="1" x14ac:dyDescent="0.3">
      <c r="A28" s="51" t="s">
        <v>72</v>
      </c>
      <c r="B28" s="51" t="s">
        <v>78</v>
      </c>
      <c r="C28" s="51" t="s">
        <v>1391</v>
      </c>
      <c r="D28" s="51" t="s">
        <v>79</v>
      </c>
      <c r="E28" s="51" t="s">
        <v>19</v>
      </c>
      <c r="F28" s="51" t="s">
        <v>1383</v>
      </c>
      <c r="G28" s="51"/>
      <c r="H28" s="51" t="s">
        <v>80</v>
      </c>
      <c r="I28" s="16">
        <v>-348103030000</v>
      </c>
      <c r="J28" s="16">
        <v>-582835720000</v>
      </c>
      <c r="K28" s="51" t="s">
        <v>897</v>
      </c>
      <c r="L28" s="53">
        <f t="shared" si="10"/>
        <v>30</v>
      </c>
      <c r="M28" s="17">
        <f t="shared" si="8"/>
        <v>0</v>
      </c>
      <c r="N28" s="18">
        <f t="shared" si="9"/>
        <v>1</v>
      </c>
      <c r="O28" s="27"/>
      <c r="P28" s="8"/>
      <c r="Q28" s="8"/>
      <c r="R28" s="8"/>
      <c r="S28" s="27"/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"/>
      <c r="AL28" s="8"/>
      <c r="AM28" s="8"/>
      <c r="AN28" s="27"/>
      <c r="AO28" s="8"/>
      <c r="AP28" s="8"/>
      <c r="AQ28" s="27"/>
      <c r="AR28" s="27"/>
      <c r="AS28" s="27"/>
    </row>
    <row r="29" spans="1:45" ht="15.75" thickBot="1" x14ac:dyDescent="0.3">
      <c r="A29" s="51" t="s">
        <v>72</v>
      </c>
      <c r="B29" s="51" t="s">
        <v>83</v>
      </c>
      <c r="C29" s="51" t="s">
        <v>1391</v>
      </c>
      <c r="D29" s="51" t="s">
        <v>84</v>
      </c>
      <c r="E29" s="51" t="s">
        <v>19</v>
      </c>
      <c r="F29" s="51" t="s">
        <v>1384</v>
      </c>
      <c r="G29" s="51"/>
      <c r="H29" s="51" t="s">
        <v>85</v>
      </c>
      <c r="I29" s="16">
        <v>-347999170000</v>
      </c>
      <c r="J29" s="16">
        <v>-582863530000</v>
      </c>
      <c r="K29" s="51" t="s">
        <v>899</v>
      </c>
      <c r="L29" s="53">
        <f t="shared" si="10"/>
        <v>30</v>
      </c>
      <c r="M29" s="17">
        <f t="shared" si="8"/>
        <v>0</v>
      </c>
      <c r="N29" s="18">
        <f t="shared" si="9"/>
        <v>1</v>
      </c>
      <c r="O29" s="27"/>
      <c r="P29" s="8"/>
      <c r="Q29" s="8"/>
      <c r="R29" s="8"/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"/>
      <c r="AL29" s="8"/>
      <c r="AM29" s="8"/>
      <c r="AN29" s="27"/>
      <c r="AO29" s="8"/>
      <c r="AP29" s="8"/>
      <c r="AQ29" s="27"/>
      <c r="AR29" s="27"/>
      <c r="AS29" s="27"/>
    </row>
    <row r="30" spans="1:45" ht="15.75" thickBot="1" x14ac:dyDescent="0.3">
      <c r="A30" s="51" t="s">
        <v>72</v>
      </c>
      <c r="B30" s="51" t="s">
        <v>86</v>
      </c>
      <c r="C30" s="51" t="s">
        <v>1391</v>
      </c>
      <c r="D30" s="51" t="s">
        <v>87</v>
      </c>
      <c r="E30" s="51" t="s">
        <v>19</v>
      </c>
      <c r="F30" s="51" t="s">
        <v>25</v>
      </c>
      <c r="G30" s="51"/>
      <c r="H30" s="51" t="s">
        <v>88</v>
      </c>
      <c r="I30" s="16">
        <v>-348040550000</v>
      </c>
      <c r="J30" s="16">
        <v>-582819380000</v>
      </c>
      <c r="K30" s="51" t="s">
        <v>900</v>
      </c>
      <c r="L30" s="53">
        <f t="shared" si="10"/>
        <v>30</v>
      </c>
      <c r="M30" s="17">
        <f t="shared" si="8"/>
        <v>0</v>
      </c>
      <c r="N30" s="18">
        <f t="shared" si="9"/>
        <v>1</v>
      </c>
      <c r="O30" s="27"/>
      <c r="P30" s="8"/>
      <c r="Q30" s="8"/>
      <c r="R30" s="8"/>
      <c r="S30" s="27"/>
      <c r="T30" s="27"/>
      <c r="U30" s="8"/>
      <c r="V30" s="8"/>
      <c r="W30" s="8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8"/>
      <c r="AL30" s="8"/>
      <c r="AM30" s="8"/>
      <c r="AN30" s="27"/>
      <c r="AO30" s="8"/>
      <c r="AP30" s="8"/>
      <c r="AQ30" s="27"/>
      <c r="AR30" s="27"/>
      <c r="AS30" s="27"/>
    </row>
    <row r="31" spans="1:45" ht="15.75" thickBot="1" x14ac:dyDescent="0.3">
      <c r="A31" s="51" t="s">
        <v>72</v>
      </c>
      <c r="B31" s="51" t="s">
        <v>1231</v>
      </c>
      <c r="C31" s="51" t="s">
        <v>1391</v>
      </c>
      <c r="D31" s="51" t="s">
        <v>226</v>
      </c>
      <c r="E31" s="51" t="s">
        <v>65</v>
      </c>
      <c r="F31" s="51" t="s">
        <v>36</v>
      </c>
      <c r="G31" s="51"/>
      <c r="H31" s="51" t="s">
        <v>207</v>
      </c>
      <c r="I31" s="16">
        <v>-348107920000</v>
      </c>
      <c r="J31" s="16">
        <v>-582777490000</v>
      </c>
      <c r="K31" s="51" t="s">
        <v>1387</v>
      </c>
      <c r="L31" s="53">
        <f t="shared" si="10"/>
        <v>24</v>
      </c>
      <c r="M31" s="17">
        <f t="shared" si="8"/>
        <v>6</v>
      </c>
      <c r="N31" s="18">
        <f t="shared" si="9"/>
        <v>0.8</v>
      </c>
      <c r="O31" s="27" t="s">
        <v>1209</v>
      </c>
      <c r="P31" s="8" t="s">
        <v>1209</v>
      </c>
      <c r="Q31" s="8" t="s">
        <v>1209</v>
      </c>
      <c r="R31" s="8" t="s">
        <v>1209</v>
      </c>
      <c r="S31" s="27"/>
      <c r="T31" s="27" t="s">
        <v>1209</v>
      </c>
      <c r="U31" s="8" t="s">
        <v>1209</v>
      </c>
      <c r="V31" s="8"/>
      <c r="W31" s="8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8"/>
      <c r="AL31" s="8"/>
      <c r="AM31" s="8"/>
      <c r="AN31" s="27"/>
      <c r="AO31" s="8"/>
      <c r="AP31" s="8"/>
      <c r="AQ31" s="27"/>
      <c r="AR31" s="27"/>
      <c r="AS31" s="27"/>
    </row>
    <row r="32" spans="1:45" ht="15.75" thickBot="1" x14ac:dyDescent="0.3">
      <c r="A32" s="51" t="s">
        <v>72</v>
      </c>
      <c r="B32" s="51" t="s">
        <v>92</v>
      </c>
      <c r="C32" s="51" t="s">
        <v>1391</v>
      </c>
      <c r="D32" s="51" t="s">
        <v>93</v>
      </c>
      <c r="E32" s="51" t="s">
        <v>24</v>
      </c>
      <c r="F32" s="51" t="s">
        <v>36</v>
      </c>
      <c r="G32" s="51"/>
      <c r="H32" s="51" t="s">
        <v>94</v>
      </c>
      <c r="I32" s="16">
        <v>-348091950000</v>
      </c>
      <c r="J32" s="16">
        <v>-582800930000</v>
      </c>
      <c r="K32" s="51" t="s">
        <v>911</v>
      </c>
      <c r="L32" s="53">
        <f t="shared" si="10"/>
        <v>30</v>
      </c>
      <c r="M32" s="17">
        <f t="shared" si="8"/>
        <v>0</v>
      </c>
      <c r="N32" s="18">
        <f t="shared" si="9"/>
        <v>1</v>
      </c>
      <c r="O32" s="27"/>
      <c r="P32" s="8"/>
      <c r="Q32" s="8"/>
      <c r="R32" s="8"/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8"/>
      <c r="AL32" s="8"/>
      <c r="AM32" s="8"/>
      <c r="AN32" s="27"/>
      <c r="AO32" s="8"/>
      <c r="AP32" s="8"/>
      <c r="AQ32" s="27"/>
      <c r="AR32" s="27"/>
      <c r="AS32" s="27"/>
    </row>
    <row r="33" spans="1:45" ht="15.75" thickBot="1" x14ac:dyDescent="0.3">
      <c r="A33" s="51" t="s">
        <v>72</v>
      </c>
      <c r="B33" s="51" t="s">
        <v>95</v>
      </c>
      <c r="C33" s="51" t="s">
        <v>1391</v>
      </c>
      <c r="D33" s="51" t="s">
        <v>96</v>
      </c>
      <c r="E33" s="51" t="s">
        <v>24</v>
      </c>
      <c r="F33" s="51" t="s">
        <v>36</v>
      </c>
      <c r="G33" s="51"/>
      <c r="H33" s="51" t="s">
        <v>94</v>
      </c>
      <c r="I33" s="16">
        <v>-348103130000</v>
      </c>
      <c r="J33" s="16">
        <v>-582818230000</v>
      </c>
      <c r="K33" s="51" t="s">
        <v>912</v>
      </c>
      <c r="L33" s="53">
        <f t="shared" si="10"/>
        <v>30</v>
      </c>
      <c r="M33" s="17">
        <f t="shared" si="8"/>
        <v>0</v>
      </c>
      <c r="N33" s="18">
        <f t="shared" si="9"/>
        <v>1</v>
      </c>
      <c r="O33" s="27"/>
      <c r="P33" s="8"/>
      <c r="Q33" s="8"/>
      <c r="R33" s="8"/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"/>
      <c r="AL33" s="8"/>
      <c r="AM33" s="8"/>
      <c r="AN33" s="27"/>
      <c r="AO33" s="8"/>
      <c r="AP33" s="8"/>
      <c r="AQ33" s="27"/>
      <c r="AR33" s="27"/>
      <c r="AS33" s="27"/>
    </row>
    <row r="34" spans="1:45" ht="15.75" thickBot="1" x14ac:dyDescent="0.3">
      <c r="A34" s="51" t="s">
        <v>72</v>
      </c>
      <c r="B34" s="51" t="s">
        <v>97</v>
      </c>
      <c r="C34" s="51" t="s">
        <v>1391</v>
      </c>
      <c r="D34" s="51" t="s">
        <v>98</v>
      </c>
      <c r="E34" s="51" t="s">
        <v>24</v>
      </c>
      <c r="F34" s="51" t="s">
        <v>36</v>
      </c>
      <c r="G34" s="51"/>
      <c r="H34" s="51" t="s">
        <v>99</v>
      </c>
      <c r="I34" s="16">
        <v>-348102250000</v>
      </c>
      <c r="J34" s="16">
        <v>-582800780000</v>
      </c>
      <c r="K34" s="51" t="s">
        <v>913</v>
      </c>
      <c r="L34" s="53">
        <f t="shared" si="10"/>
        <v>23</v>
      </c>
      <c r="M34" s="17">
        <f t="shared" si="8"/>
        <v>7</v>
      </c>
      <c r="N34" s="18">
        <f t="shared" si="9"/>
        <v>0.76666666666666672</v>
      </c>
      <c r="O34" s="27" t="s">
        <v>1209</v>
      </c>
      <c r="P34" s="8" t="s">
        <v>1209</v>
      </c>
      <c r="Q34" s="8" t="s">
        <v>1209</v>
      </c>
      <c r="R34" s="8" t="s">
        <v>1209</v>
      </c>
      <c r="S34" s="27" t="s">
        <v>1209</v>
      </c>
      <c r="T34" s="27" t="s">
        <v>1209</v>
      </c>
      <c r="U34" s="8" t="s">
        <v>1209</v>
      </c>
      <c r="V34" s="8"/>
      <c r="W34" s="8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8"/>
      <c r="AL34" s="8"/>
      <c r="AM34" s="8"/>
      <c r="AN34" s="27"/>
      <c r="AO34" s="8"/>
      <c r="AP34" s="8"/>
      <c r="AQ34" s="27"/>
      <c r="AR34" s="27"/>
      <c r="AS34" s="27"/>
    </row>
    <row r="35" spans="1:45" ht="15.75" thickBot="1" x14ac:dyDescent="0.3">
      <c r="A35" s="51" t="s">
        <v>72</v>
      </c>
      <c r="B35" s="51" t="s">
        <v>1232</v>
      </c>
      <c r="C35" s="51" t="s">
        <v>1391</v>
      </c>
      <c r="D35" s="51" t="s">
        <v>1233</v>
      </c>
      <c r="E35" s="51" t="s">
        <v>24</v>
      </c>
      <c r="F35" s="51" t="s">
        <v>36</v>
      </c>
      <c r="G35" s="51"/>
      <c r="H35" s="51"/>
      <c r="I35" s="16">
        <v>-348029280000</v>
      </c>
      <c r="J35" s="16">
        <v>-582802660000</v>
      </c>
      <c r="K35" s="51"/>
      <c r="L35" s="53">
        <f t="shared" si="10"/>
        <v>30</v>
      </c>
      <c r="M35" s="17">
        <f t="shared" si="8"/>
        <v>0</v>
      </c>
      <c r="N35" s="18">
        <f t="shared" si="9"/>
        <v>1</v>
      </c>
      <c r="O35" s="27"/>
      <c r="P35" s="8"/>
      <c r="Q35" s="8"/>
      <c r="R35" s="8"/>
      <c r="S35" s="27"/>
      <c r="T35" s="27"/>
      <c r="U35" s="8"/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"/>
      <c r="AL35" s="8"/>
      <c r="AM35" s="8"/>
      <c r="AN35" s="27"/>
      <c r="AO35" s="8"/>
      <c r="AP35" s="8"/>
      <c r="AQ35" s="27"/>
      <c r="AR35" s="27"/>
      <c r="AS35" s="27"/>
    </row>
    <row r="36" spans="1:45" ht="15.75" thickBot="1" x14ac:dyDescent="0.3">
      <c r="A36" s="51" t="s">
        <v>72</v>
      </c>
      <c r="B36" s="51" t="s">
        <v>1234</v>
      </c>
      <c r="C36" s="51" t="s">
        <v>1391</v>
      </c>
      <c r="D36" s="51" t="s">
        <v>1235</v>
      </c>
      <c r="E36" s="51" t="s">
        <v>102</v>
      </c>
      <c r="F36" s="51" t="s">
        <v>36</v>
      </c>
      <c r="G36" s="51"/>
      <c r="H36" s="51"/>
      <c r="I36" s="16">
        <v>-348093870000</v>
      </c>
      <c r="J36" s="16">
        <v>-582762530000</v>
      </c>
      <c r="K36" s="51"/>
      <c r="L36" s="53">
        <f t="shared" si="10"/>
        <v>30</v>
      </c>
      <c r="M36" s="17">
        <f t="shared" si="8"/>
        <v>0</v>
      </c>
      <c r="N36" s="18">
        <f t="shared" si="9"/>
        <v>1</v>
      </c>
      <c r="O36" s="27"/>
      <c r="P36" s="8"/>
      <c r="Q36" s="8"/>
      <c r="R36" s="8"/>
      <c r="S36" s="27"/>
      <c r="T36" s="27"/>
      <c r="U36" s="8"/>
      <c r="V36" s="8"/>
      <c r="W36" s="8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8"/>
      <c r="AL36" s="8"/>
      <c r="AM36" s="8"/>
      <c r="AN36" s="27"/>
      <c r="AO36" s="8"/>
      <c r="AP36" s="8"/>
      <c r="AQ36" s="27"/>
      <c r="AR36" s="27"/>
      <c r="AS36" s="27"/>
    </row>
    <row r="37" spans="1:45" ht="15.75" thickBot="1" x14ac:dyDescent="0.3">
      <c r="A37" s="51" t="s">
        <v>72</v>
      </c>
      <c r="B37" s="51" t="s">
        <v>100</v>
      </c>
      <c r="C37" s="51" t="s">
        <v>1391</v>
      </c>
      <c r="D37" s="51" t="s">
        <v>101</v>
      </c>
      <c r="E37" s="51" t="s">
        <v>102</v>
      </c>
      <c r="F37" s="51" t="s">
        <v>36</v>
      </c>
      <c r="G37" s="51" t="s">
        <v>103</v>
      </c>
      <c r="H37" s="51"/>
      <c r="I37" s="16">
        <v>-348028100000</v>
      </c>
      <c r="J37" s="16">
        <v>-582782860000</v>
      </c>
      <c r="K37" s="51" t="s">
        <v>841</v>
      </c>
      <c r="L37" s="53">
        <f t="shared" si="10"/>
        <v>30</v>
      </c>
      <c r="M37" s="17">
        <f t="shared" si="8"/>
        <v>0</v>
      </c>
      <c r="N37" s="18">
        <f t="shared" si="9"/>
        <v>1</v>
      </c>
      <c r="O37" s="27"/>
      <c r="P37" s="8"/>
      <c r="Q37" s="8"/>
      <c r="R37" s="8"/>
      <c r="S37" s="27"/>
      <c r="T37" s="27"/>
      <c r="U37" s="8"/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  <c r="AS37" s="27"/>
    </row>
    <row r="38" spans="1:45" ht="15.75" thickBot="1" x14ac:dyDescent="0.3">
      <c r="A38" s="51" t="s">
        <v>72</v>
      </c>
      <c r="B38" s="51" t="s">
        <v>104</v>
      </c>
      <c r="C38" s="51" t="s">
        <v>1391</v>
      </c>
      <c r="D38" s="51" t="s">
        <v>105</v>
      </c>
      <c r="E38" s="51" t="s">
        <v>102</v>
      </c>
      <c r="F38" s="51" t="s">
        <v>36</v>
      </c>
      <c r="G38" s="51" t="s">
        <v>106</v>
      </c>
      <c r="H38" s="51"/>
      <c r="I38" s="16">
        <v>-348006070000</v>
      </c>
      <c r="J38" s="16">
        <v>-582784580000</v>
      </c>
      <c r="K38" s="51" t="s">
        <v>835</v>
      </c>
      <c r="L38" s="53">
        <f t="shared" si="10"/>
        <v>30</v>
      </c>
      <c r="M38" s="17">
        <f t="shared" si="8"/>
        <v>0</v>
      </c>
      <c r="N38" s="18">
        <f t="shared" si="9"/>
        <v>1</v>
      </c>
      <c r="O38" s="27"/>
      <c r="P38" s="8"/>
      <c r="Q38" s="8"/>
      <c r="R38" s="8"/>
      <c r="S38" s="27"/>
      <c r="T38" s="27"/>
      <c r="U38" s="8"/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"/>
      <c r="AL38" s="8"/>
      <c r="AM38" s="8"/>
      <c r="AN38" s="27"/>
      <c r="AO38" s="8"/>
      <c r="AP38" s="8"/>
      <c r="AQ38" s="27"/>
      <c r="AR38" s="27"/>
      <c r="AS38" s="27"/>
    </row>
    <row r="39" spans="1:45" ht="15.75" thickBot="1" x14ac:dyDescent="0.3">
      <c r="A39" s="51" t="s">
        <v>72</v>
      </c>
      <c r="B39" s="51" t="s">
        <v>107</v>
      </c>
      <c r="C39" s="51" t="s">
        <v>1391</v>
      </c>
      <c r="D39" s="51" t="s">
        <v>108</v>
      </c>
      <c r="E39" s="51" t="s">
        <v>24</v>
      </c>
      <c r="F39" s="51" t="s">
        <v>36</v>
      </c>
      <c r="G39" s="51" t="s">
        <v>103</v>
      </c>
      <c r="H39" s="51" t="s">
        <v>109</v>
      </c>
      <c r="I39" s="16">
        <v>-348080340000</v>
      </c>
      <c r="J39" s="16">
        <v>-582780930000</v>
      </c>
      <c r="K39" s="51" t="s">
        <v>842</v>
      </c>
      <c r="L39" s="53">
        <f t="shared" si="10"/>
        <v>30</v>
      </c>
      <c r="M39" s="17">
        <f t="shared" si="8"/>
        <v>0</v>
      </c>
      <c r="N39" s="18">
        <f t="shared" si="9"/>
        <v>1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"/>
      <c r="AL39" s="8"/>
      <c r="AM39" s="8"/>
      <c r="AN39" s="27"/>
      <c r="AO39" s="8"/>
      <c r="AP39" s="8"/>
      <c r="AQ39" s="27"/>
      <c r="AR39" s="27"/>
      <c r="AS39" s="27"/>
    </row>
    <row r="40" spans="1:45" ht="15.75" thickBot="1" x14ac:dyDescent="0.3">
      <c r="A40" s="51" t="s">
        <v>72</v>
      </c>
      <c r="B40" s="51" t="s">
        <v>110</v>
      </c>
      <c r="C40" s="51" t="s">
        <v>1391</v>
      </c>
      <c r="D40" s="51" t="s">
        <v>111</v>
      </c>
      <c r="E40" s="51" t="s">
        <v>24</v>
      </c>
      <c r="F40" s="51" t="s">
        <v>36</v>
      </c>
      <c r="G40" s="51" t="s">
        <v>112</v>
      </c>
      <c r="H40" s="51"/>
      <c r="I40" s="16">
        <v>-348049240000</v>
      </c>
      <c r="J40" s="16">
        <v>-582781680000</v>
      </c>
      <c r="K40" s="51" t="s">
        <v>843</v>
      </c>
      <c r="L40" s="53">
        <f t="shared" si="10"/>
        <v>30</v>
      </c>
      <c r="M40" s="17">
        <f t="shared" si="8"/>
        <v>0</v>
      </c>
      <c r="N40" s="18">
        <f t="shared" si="9"/>
        <v>1</v>
      </c>
      <c r="O40" s="27"/>
      <c r="P40" s="8"/>
      <c r="Q40" s="8"/>
      <c r="R40" s="8"/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"/>
      <c r="AL40" s="8"/>
      <c r="AM40" s="8"/>
      <c r="AN40" s="27"/>
      <c r="AO40" s="8"/>
      <c r="AP40" s="8"/>
      <c r="AQ40" s="27"/>
      <c r="AR40" s="27"/>
      <c r="AS40" s="27"/>
    </row>
    <row r="41" spans="1:45" ht="15.75" thickBot="1" x14ac:dyDescent="0.3">
      <c r="A41" s="51" t="s">
        <v>72</v>
      </c>
      <c r="B41" s="51" t="s">
        <v>115</v>
      </c>
      <c r="C41" s="51" t="s">
        <v>1391</v>
      </c>
      <c r="D41" s="51" t="s">
        <v>116</v>
      </c>
      <c r="E41" s="51" t="s">
        <v>102</v>
      </c>
      <c r="F41" s="51" t="s">
        <v>36</v>
      </c>
      <c r="G41" s="51" t="s">
        <v>117</v>
      </c>
      <c r="H41" s="51"/>
      <c r="I41" s="16">
        <v>-348057170000</v>
      </c>
      <c r="J41" s="16">
        <v>-582748750000</v>
      </c>
      <c r="K41" s="51" t="s">
        <v>845</v>
      </c>
      <c r="L41" s="53">
        <f t="shared" si="10"/>
        <v>30</v>
      </c>
      <c r="M41" s="17">
        <f t="shared" si="8"/>
        <v>0</v>
      </c>
      <c r="N41" s="18">
        <f t="shared" si="9"/>
        <v>1</v>
      </c>
      <c r="O41" s="27"/>
      <c r="P41" s="8"/>
      <c r="Q41" s="8"/>
      <c r="R41" s="8"/>
      <c r="S41" s="27"/>
      <c r="T41" s="27"/>
      <c r="U41" s="8"/>
      <c r="V41" s="8"/>
      <c r="W41" s="8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8"/>
      <c r="AL41" s="8"/>
      <c r="AM41" s="8"/>
      <c r="AN41" s="27"/>
      <c r="AO41" s="8"/>
      <c r="AP41" s="8"/>
      <c r="AQ41" s="27"/>
      <c r="AR41" s="27"/>
      <c r="AS41" s="27"/>
    </row>
    <row r="42" spans="1:45" ht="15.75" thickBot="1" x14ac:dyDescent="0.3">
      <c r="A42" s="51" t="s">
        <v>72</v>
      </c>
      <c r="B42" s="51" t="s">
        <v>118</v>
      </c>
      <c r="C42" s="51" t="s">
        <v>1391</v>
      </c>
      <c r="D42" s="51" t="s">
        <v>1236</v>
      </c>
      <c r="E42" s="51" t="s">
        <v>19</v>
      </c>
      <c r="F42" s="51" t="s">
        <v>36</v>
      </c>
      <c r="G42" s="51" t="s">
        <v>119</v>
      </c>
      <c r="H42" s="51" t="s">
        <v>120</v>
      </c>
      <c r="I42" s="16">
        <v>-347959820000</v>
      </c>
      <c r="J42" s="16">
        <v>-582787950000</v>
      </c>
      <c r="K42" s="51" t="s">
        <v>846</v>
      </c>
      <c r="L42" s="53">
        <f t="shared" si="10"/>
        <v>30</v>
      </c>
      <c r="M42" s="17">
        <f t="shared" si="8"/>
        <v>0</v>
      </c>
      <c r="N42" s="18">
        <f t="shared" si="9"/>
        <v>1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"/>
      <c r="AL42" s="8"/>
      <c r="AM42" s="8"/>
      <c r="AN42" s="27"/>
      <c r="AO42" s="8"/>
      <c r="AP42" s="8"/>
      <c r="AQ42" s="27"/>
      <c r="AR42" s="27"/>
      <c r="AS42" s="27"/>
    </row>
    <row r="43" spans="1:45" ht="15.75" thickBot="1" x14ac:dyDescent="0.3">
      <c r="A43" s="51" t="s">
        <v>72</v>
      </c>
      <c r="B43" s="51" t="s">
        <v>121</v>
      </c>
      <c r="C43" s="51" t="s">
        <v>1391</v>
      </c>
      <c r="D43" s="51" t="s">
        <v>1237</v>
      </c>
      <c r="E43" s="51" t="s">
        <v>24</v>
      </c>
      <c r="F43" s="51" t="s">
        <v>36</v>
      </c>
      <c r="G43" s="51" t="s">
        <v>122</v>
      </c>
      <c r="H43" s="51"/>
      <c r="I43" s="16">
        <v>-348108520000</v>
      </c>
      <c r="J43" s="16">
        <v>-582778140000</v>
      </c>
      <c r="K43" s="51" t="s">
        <v>847</v>
      </c>
      <c r="L43" s="53">
        <f t="shared" si="10"/>
        <v>30</v>
      </c>
      <c r="M43" s="17">
        <f t="shared" si="8"/>
        <v>0</v>
      </c>
      <c r="N43" s="18">
        <f t="shared" si="9"/>
        <v>1</v>
      </c>
      <c r="O43" s="27"/>
      <c r="P43" s="8"/>
      <c r="Q43" s="8"/>
      <c r="R43" s="8"/>
      <c r="S43" s="27"/>
      <c r="T43" s="27"/>
      <c r="U43" s="8"/>
      <c r="V43" s="8"/>
      <c r="W43" s="8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"/>
      <c r="AL43" s="8"/>
      <c r="AM43" s="8"/>
      <c r="AN43" s="27"/>
      <c r="AO43" s="8"/>
      <c r="AP43" s="8"/>
      <c r="AQ43" s="27"/>
      <c r="AR43" s="27"/>
      <c r="AS43" s="27"/>
    </row>
    <row r="44" spans="1:45" ht="15.75" thickBot="1" x14ac:dyDescent="0.3">
      <c r="A44" s="51" t="s">
        <v>72</v>
      </c>
      <c r="B44" s="51" t="s">
        <v>123</v>
      </c>
      <c r="C44" s="51" t="s">
        <v>1391</v>
      </c>
      <c r="D44" s="51" t="s">
        <v>124</v>
      </c>
      <c r="E44" s="51" t="s">
        <v>24</v>
      </c>
      <c r="F44" s="51" t="s">
        <v>36</v>
      </c>
      <c r="G44" s="51" t="s">
        <v>125</v>
      </c>
      <c r="H44" s="51"/>
      <c r="I44" s="16">
        <v>-348039640000</v>
      </c>
      <c r="J44" s="16">
        <v>-582803250000</v>
      </c>
      <c r="K44" s="51" t="s">
        <v>848</v>
      </c>
      <c r="L44" s="53">
        <f t="shared" si="10"/>
        <v>30</v>
      </c>
      <c r="M44" s="17">
        <f t="shared" si="8"/>
        <v>0</v>
      </c>
      <c r="N44" s="18">
        <f t="shared" si="9"/>
        <v>1</v>
      </c>
      <c r="O44" s="27"/>
      <c r="P44" s="8"/>
      <c r="Q44" s="8"/>
      <c r="R44" s="8"/>
      <c r="S44" s="27"/>
      <c r="T44" s="27"/>
      <c r="U44" s="8"/>
      <c r="V44" s="8"/>
      <c r="W44" s="8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  <c r="AS44" s="27"/>
    </row>
    <row r="45" spans="1:45" ht="15.75" thickBot="1" x14ac:dyDescent="0.3">
      <c r="A45" s="51" t="s">
        <v>72</v>
      </c>
      <c r="B45" s="51" t="s">
        <v>126</v>
      </c>
      <c r="C45" s="51" t="s">
        <v>1391</v>
      </c>
      <c r="D45" s="51" t="s">
        <v>1238</v>
      </c>
      <c r="E45" s="51" t="s">
        <v>24</v>
      </c>
      <c r="F45" s="51" t="s">
        <v>36</v>
      </c>
      <c r="G45" s="51" t="s">
        <v>127</v>
      </c>
      <c r="H45" s="51"/>
      <c r="I45" s="16">
        <v>-348107030000</v>
      </c>
      <c r="J45" s="16">
        <v>-582745850000</v>
      </c>
      <c r="K45" s="51" t="s">
        <v>849</v>
      </c>
      <c r="L45" s="53">
        <f t="shared" si="10"/>
        <v>30</v>
      </c>
      <c r="M45" s="17">
        <f t="shared" si="8"/>
        <v>0</v>
      </c>
      <c r="N45" s="18">
        <f t="shared" si="9"/>
        <v>1</v>
      </c>
      <c r="O45" s="27"/>
      <c r="P45" s="8"/>
      <c r="Q45" s="8"/>
      <c r="R45" s="8"/>
      <c r="S45" s="27"/>
      <c r="T45" s="27"/>
      <c r="U45" s="8"/>
      <c r="V45" s="8"/>
      <c r="W45" s="8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"/>
      <c r="AL45" s="8"/>
      <c r="AM45" s="8"/>
      <c r="AN45" s="27"/>
      <c r="AO45" s="8"/>
      <c r="AP45" s="8"/>
      <c r="AQ45" s="27"/>
      <c r="AR45" s="27"/>
      <c r="AS45" s="27"/>
    </row>
    <row r="46" spans="1:45" ht="15.75" thickBot="1" x14ac:dyDescent="0.3">
      <c r="A46" s="51" t="s">
        <v>72</v>
      </c>
      <c r="B46" s="51" t="s">
        <v>128</v>
      </c>
      <c r="C46" s="51" t="s">
        <v>1391</v>
      </c>
      <c r="D46" s="51" t="s">
        <v>129</v>
      </c>
      <c r="E46" s="51" t="s">
        <v>24</v>
      </c>
      <c r="F46" s="51" t="s">
        <v>36</v>
      </c>
      <c r="G46" s="51" t="s">
        <v>130</v>
      </c>
      <c r="H46" s="51" t="s">
        <v>131</v>
      </c>
      <c r="I46" s="16">
        <v>-348099320000</v>
      </c>
      <c r="J46" s="16">
        <v>-582745900000</v>
      </c>
      <c r="K46" s="51" t="s">
        <v>850</v>
      </c>
      <c r="L46" s="53">
        <f t="shared" si="10"/>
        <v>30</v>
      </c>
      <c r="M46" s="17">
        <f t="shared" si="8"/>
        <v>0</v>
      </c>
      <c r="N46" s="18">
        <f t="shared" si="9"/>
        <v>1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"/>
      <c r="AL46" s="8"/>
      <c r="AM46" s="8"/>
      <c r="AN46" s="27"/>
      <c r="AO46" s="8"/>
      <c r="AP46" s="8"/>
      <c r="AQ46" s="27"/>
      <c r="AR46" s="27"/>
      <c r="AS46" s="27"/>
    </row>
    <row r="47" spans="1:45" ht="15.75" thickBot="1" x14ac:dyDescent="0.3">
      <c r="A47" s="51" t="s">
        <v>72</v>
      </c>
      <c r="B47" s="51" t="s">
        <v>135</v>
      </c>
      <c r="C47" s="51" t="s">
        <v>1391</v>
      </c>
      <c r="D47" s="51" t="s">
        <v>1239</v>
      </c>
      <c r="E47" s="51" t="s">
        <v>24</v>
      </c>
      <c r="F47" s="51" t="s">
        <v>36</v>
      </c>
      <c r="G47" s="51" t="s">
        <v>136</v>
      </c>
      <c r="H47" s="51"/>
      <c r="I47" s="16">
        <v>-348105840000</v>
      </c>
      <c r="J47" s="16">
        <v>-582705460000</v>
      </c>
      <c r="K47" s="51" t="s">
        <v>853</v>
      </c>
      <c r="L47" s="53">
        <f t="shared" si="10"/>
        <v>30</v>
      </c>
      <c r="M47" s="17">
        <f t="shared" si="8"/>
        <v>0</v>
      </c>
      <c r="N47" s="18">
        <f t="shared" si="9"/>
        <v>1</v>
      </c>
      <c r="O47" s="27"/>
      <c r="P47" s="8"/>
      <c r="Q47" s="8"/>
      <c r="R47" s="8"/>
      <c r="S47" s="27"/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  <c r="AL47" s="8"/>
      <c r="AM47" s="8"/>
      <c r="AN47" s="27"/>
      <c r="AO47" s="8"/>
      <c r="AP47" s="8"/>
      <c r="AQ47" s="27"/>
      <c r="AR47" s="27"/>
      <c r="AS47" s="27"/>
    </row>
    <row r="48" spans="1:45" ht="15.75" thickBot="1" x14ac:dyDescent="0.3">
      <c r="A48" s="51" t="s">
        <v>72</v>
      </c>
      <c r="B48" s="51" t="s">
        <v>137</v>
      </c>
      <c r="C48" s="51" t="s">
        <v>1391</v>
      </c>
      <c r="D48" s="51" t="s">
        <v>138</v>
      </c>
      <c r="E48" s="51" t="s">
        <v>24</v>
      </c>
      <c r="F48" s="51" t="s">
        <v>36</v>
      </c>
      <c r="G48" s="51" t="s">
        <v>139</v>
      </c>
      <c r="H48" s="51"/>
      <c r="I48" s="16">
        <v>-348056730000</v>
      </c>
      <c r="J48" s="16">
        <v>-582731900000</v>
      </c>
      <c r="K48" s="51" t="s">
        <v>854</v>
      </c>
      <c r="L48" s="53">
        <f t="shared" si="10"/>
        <v>30</v>
      </c>
      <c r="M48" s="17">
        <f t="shared" si="8"/>
        <v>0</v>
      </c>
      <c r="N48" s="18">
        <f t="shared" si="9"/>
        <v>1</v>
      </c>
      <c r="O48" s="27"/>
      <c r="P48" s="8"/>
      <c r="Q48" s="8"/>
      <c r="R48" s="8"/>
      <c r="S48" s="27"/>
      <c r="T48" s="27"/>
      <c r="U48" s="8"/>
      <c r="V48" s="8"/>
      <c r="W48" s="8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8"/>
      <c r="AL48" s="8"/>
      <c r="AM48" s="8"/>
      <c r="AN48" s="27"/>
      <c r="AO48" s="8"/>
      <c r="AP48" s="8"/>
      <c r="AQ48" s="27"/>
      <c r="AR48" s="27"/>
      <c r="AS48" s="27"/>
    </row>
    <row r="49" spans="1:45" ht="15.75" thickBot="1" x14ac:dyDescent="0.3">
      <c r="A49" s="51" t="s">
        <v>72</v>
      </c>
      <c r="B49" s="51" t="s">
        <v>140</v>
      </c>
      <c r="C49" s="51" t="s">
        <v>1391</v>
      </c>
      <c r="D49" s="51" t="s">
        <v>141</v>
      </c>
      <c r="E49" s="51" t="s">
        <v>102</v>
      </c>
      <c r="F49" s="51" t="s">
        <v>36</v>
      </c>
      <c r="G49" s="51" t="s">
        <v>142</v>
      </c>
      <c r="H49" s="51" t="s">
        <v>143</v>
      </c>
      <c r="I49" s="16">
        <v>-348100860000</v>
      </c>
      <c r="J49" s="16">
        <v>-582782440000</v>
      </c>
      <c r="K49" s="51" t="s">
        <v>855</v>
      </c>
      <c r="L49" s="53">
        <f t="shared" si="10"/>
        <v>30</v>
      </c>
      <c r="M49" s="17">
        <f t="shared" si="8"/>
        <v>0</v>
      </c>
      <c r="N49" s="18">
        <f t="shared" si="9"/>
        <v>1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8"/>
      <c r="AL49" s="8"/>
      <c r="AM49" s="8"/>
      <c r="AN49" s="27"/>
      <c r="AO49" s="8"/>
      <c r="AP49" s="8"/>
      <c r="AQ49" s="27"/>
      <c r="AR49" s="27"/>
      <c r="AS49" s="27"/>
    </row>
    <row r="50" spans="1:45" ht="15.75" thickBot="1" x14ac:dyDescent="0.3">
      <c r="A50" s="51"/>
      <c r="B50" s="51" t="s">
        <v>144</v>
      </c>
      <c r="C50" s="51" t="s">
        <v>1391</v>
      </c>
      <c r="D50" s="51" t="s">
        <v>145</v>
      </c>
      <c r="E50" s="51" t="s">
        <v>24</v>
      </c>
      <c r="F50" s="51" t="s">
        <v>1384</v>
      </c>
      <c r="G50" s="51" t="s">
        <v>146</v>
      </c>
      <c r="H50" s="51" t="s">
        <v>147</v>
      </c>
      <c r="I50" s="16">
        <v>-348090820000</v>
      </c>
      <c r="J50" s="16">
        <v>-582779860000</v>
      </c>
      <c r="K50" s="51" t="s">
        <v>856</v>
      </c>
      <c r="L50" s="53">
        <f t="shared" si="10"/>
        <v>30</v>
      </c>
      <c r="M50" s="17">
        <f t="shared" si="8"/>
        <v>0</v>
      </c>
      <c r="N50" s="18">
        <f t="shared" si="9"/>
        <v>1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8"/>
      <c r="AL50" s="8"/>
      <c r="AM50" s="8"/>
      <c r="AN50" s="27"/>
      <c r="AO50" s="8"/>
      <c r="AP50" s="8"/>
      <c r="AQ50" s="27"/>
      <c r="AR50" s="27"/>
      <c r="AS50" s="27"/>
    </row>
    <row r="51" spans="1:45" ht="15.75" thickBot="1" x14ac:dyDescent="0.3">
      <c r="A51" s="51" t="s">
        <v>72</v>
      </c>
      <c r="B51" s="51" t="s">
        <v>148</v>
      </c>
      <c r="C51" s="51" t="s">
        <v>1391</v>
      </c>
      <c r="D51" s="51" t="s">
        <v>149</v>
      </c>
      <c r="E51" s="51" t="s">
        <v>102</v>
      </c>
      <c r="F51" s="51" t="s">
        <v>36</v>
      </c>
      <c r="G51" s="51" t="s">
        <v>150</v>
      </c>
      <c r="H51" s="51" t="s">
        <v>147</v>
      </c>
      <c r="I51" s="16">
        <v>-348083950000</v>
      </c>
      <c r="J51" s="16">
        <v>-582747030000</v>
      </c>
      <c r="K51" s="51" t="s">
        <v>857</v>
      </c>
      <c r="L51" s="53">
        <f t="shared" si="10"/>
        <v>30</v>
      </c>
      <c r="M51" s="17">
        <f t="shared" si="8"/>
        <v>0</v>
      </c>
      <c r="N51" s="18">
        <f t="shared" si="9"/>
        <v>1</v>
      </c>
      <c r="O51" s="27"/>
      <c r="P51" s="8"/>
      <c r="Q51" s="8"/>
      <c r="R51" s="8"/>
      <c r="S51" s="27"/>
      <c r="T51" s="27"/>
      <c r="U51" s="8"/>
      <c r="V51" s="8"/>
      <c r="W51" s="8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8"/>
      <c r="AL51" s="8"/>
      <c r="AM51" s="8"/>
      <c r="AN51" s="27"/>
      <c r="AO51" s="8"/>
      <c r="AP51" s="8"/>
      <c r="AQ51" s="27"/>
      <c r="AR51" s="27"/>
      <c r="AS51" s="27"/>
    </row>
    <row r="52" spans="1:45" ht="15.75" thickBot="1" x14ac:dyDescent="0.3">
      <c r="A52" s="51" t="s">
        <v>72</v>
      </c>
      <c r="B52" s="51" t="s">
        <v>151</v>
      </c>
      <c r="C52" s="51" t="s">
        <v>1391</v>
      </c>
      <c r="D52" s="51" t="s">
        <v>124</v>
      </c>
      <c r="E52" s="51" t="s">
        <v>102</v>
      </c>
      <c r="F52" s="51" t="s">
        <v>36</v>
      </c>
      <c r="G52" s="51" t="s">
        <v>117</v>
      </c>
      <c r="H52" s="51"/>
      <c r="I52" s="16">
        <v>-348039460000</v>
      </c>
      <c r="J52" s="16">
        <v>-582803360000</v>
      </c>
      <c r="K52" s="51" t="s">
        <v>858</v>
      </c>
      <c r="L52" s="53">
        <f t="shared" si="10"/>
        <v>30</v>
      </c>
      <c r="M52" s="17">
        <f t="shared" si="8"/>
        <v>0</v>
      </c>
      <c r="N52" s="18">
        <f t="shared" si="9"/>
        <v>1</v>
      </c>
      <c r="O52" s="27"/>
      <c r="P52" s="8"/>
      <c r="Q52" s="8"/>
      <c r="R52" s="8"/>
      <c r="S52" s="27"/>
      <c r="T52" s="27"/>
      <c r="U52" s="8"/>
      <c r="V52" s="8"/>
      <c r="W52" s="8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8"/>
      <c r="AL52" s="8"/>
      <c r="AM52" s="8"/>
      <c r="AN52" s="27"/>
      <c r="AO52" s="8"/>
      <c r="AP52" s="8"/>
      <c r="AQ52" s="27"/>
      <c r="AR52" s="27"/>
      <c r="AS52" s="27"/>
    </row>
    <row r="53" spans="1:45" ht="15.75" thickBot="1" x14ac:dyDescent="0.3">
      <c r="A53" s="51" t="s">
        <v>152</v>
      </c>
      <c r="B53" s="51" t="s">
        <v>153</v>
      </c>
      <c r="C53" s="51" t="s">
        <v>1391</v>
      </c>
      <c r="D53" s="51" t="s">
        <v>154</v>
      </c>
      <c r="E53" s="51" t="s">
        <v>24</v>
      </c>
      <c r="F53" s="51" t="s">
        <v>36</v>
      </c>
      <c r="G53" s="51" t="s">
        <v>155</v>
      </c>
      <c r="H53" s="51"/>
      <c r="I53" s="16">
        <v>-347986060000</v>
      </c>
      <c r="J53" s="16">
        <v>-582839810000</v>
      </c>
      <c r="K53" s="51" t="s">
        <v>859</v>
      </c>
      <c r="L53" s="53">
        <f t="shared" si="10"/>
        <v>30</v>
      </c>
      <c r="M53" s="17">
        <f t="shared" si="8"/>
        <v>0</v>
      </c>
      <c r="N53" s="18">
        <f t="shared" si="9"/>
        <v>1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8"/>
      <c r="AL53" s="8"/>
      <c r="AM53" s="8"/>
      <c r="AN53" s="27"/>
      <c r="AO53" s="8"/>
      <c r="AP53" s="8"/>
      <c r="AQ53" s="27"/>
      <c r="AR53" s="27"/>
      <c r="AS53" s="27"/>
    </row>
    <row r="54" spans="1:45" ht="15.75" thickBot="1" x14ac:dyDescent="0.3">
      <c r="A54" s="51" t="s">
        <v>72</v>
      </c>
      <c r="B54" s="51" t="s">
        <v>156</v>
      </c>
      <c r="C54" s="51" t="s">
        <v>1391</v>
      </c>
      <c r="D54" s="51" t="s">
        <v>157</v>
      </c>
      <c r="E54" s="51" t="s">
        <v>102</v>
      </c>
      <c r="F54" s="51" t="s">
        <v>25</v>
      </c>
      <c r="G54" s="51" t="s">
        <v>119</v>
      </c>
      <c r="H54" s="51"/>
      <c r="I54" s="16">
        <v>-348021710000</v>
      </c>
      <c r="J54" s="16">
        <v>-582868960000</v>
      </c>
      <c r="K54" s="51" t="s">
        <v>860</v>
      </c>
      <c r="L54" s="53">
        <f t="shared" si="10"/>
        <v>30</v>
      </c>
      <c r="M54" s="17">
        <f t="shared" si="8"/>
        <v>0</v>
      </c>
      <c r="N54" s="18">
        <f t="shared" si="9"/>
        <v>1</v>
      </c>
      <c r="O54" s="27"/>
      <c r="P54" s="8"/>
      <c r="Q54" s="8"/>
      <c r="R54" s="8"/>
      <c r="S54" s="27"/>
      <c r="T54" s="27"/>
      <c r="U54" s="8"/>
      <c r="V54" s="8"/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/>
      <c r="AQ54" s="27"/>
      <c r="AR54" s="27"/>
      <c r="AS54" s="27"/>
    </row>
    <row r="55" spans="1:45" ht="15.75" thickBot="1" x14ac:dyDescent="0.3">
      <c r="A55" s="51" t="s">
        <v>72</v>
      </c>
      <c r="B55" s="51" t="s">
        <v>158</v>
      </c>
      <c r="C55" s="51" t="s">
        <v>1391</v>
      </c>
      <c r="D55" s="51" t="s">
        <v>159</v>
      </c>
      <c r="E55" s="51" t="s">
        <v>24</v>
      </c>
      <c r="F55" s="51" t="s">
        <v>25</v>
      </c>
      <c r="G55" s="51" t="s">
        <v>160</v>
      </c>
      <c r="H55" s="51"/>
      <c r="I55" s="16">
        <v>-348040780000</v>
      </c>
      <c r="J55" s="16">
        <v>-582835220000</v>
      </c>
      <c r="K55" s="51" t="s">
        <v>861</v>
      </c>
      <c r="L55" s="53">
        <f t="shared" si="10"/>
        <v>30</v>
      </c>
      <c r="M55" s="17">
        <f t="shared" si="8"/>
        <v>0</v>
      </c>
      <c r="N55" s="18">
        <f t="shared" si="9"/>
        <v>1</v>
      </c>
      <c r="O55" s="27"/>
      <c r="P55" s="8"/>
      <c r="Q55" s="8"/>
      <c r="R55" s="8"/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8"/>
      <c r="AL55" s="8"/>
      <c r="AM55" s="8"/>
      <c r="AN55" s="27"/>
      <c r="AO55" s="8"/>
      <c r="AP55" s="8"/>
      <c r="AQ55" s="27"/>
      <c r="AR55" s="27"/>
      <c r="AS55" s="27"/>
    </row>
    <row r="56" spans="1:45" ht="15.75" thickBot="1" x14ac:dyDescent="0.3">
      <c r="A56" s="51" t="s">
        <v>72</v>
      </c>
      <c r="B56" s="51" t="s">
        <v>161</v>
      </c>
      <c r="C56" s="51" t="s">
        <v>1391</v>
      </c>
      <c r="D56" s="51" t="s">
        <v>162</v>
      </c>
      <c r="E56" s="51" t="s">
        <v>24</v>
      </c>
      <c r="F56" s="51" t="s">
        <v>36</v>
      </c>
      <c r="G56" s="51" t="s">
        <v>163</v>
      </c>
      <c r="H56" s="51"/>
      <c r="I56" s="16">
        <v>-348078180000</v>
      </c>
      <c r="J56" s="16">
        <v>-582747270000</v>
      </c>
      <c r="K56" s="51" t="s">
        <v>862</v>
      </c>
      <c r="L56" s="53">
        <f t="shared" si="10"/>
        <v>30</v>
      </c>
      <c r="M56" s="17">
        <f t="shared" si="8"/>
        <v>0</v>
      </c>
      <c r="N56" s="18">
        <f t="shared" si="9"/>
        <v>1</v>
      </c>
      <c r="O56" s="27"/>
      <c r="P56" s="8"/>
      <c r="Q56" s="8"/>
      <c r="R56" s="8"/>
      <c r="S56" s="27"/>
      <c r="T56" s="27"/>
      <c r="U56" s="8"/>
      <c r="V56" s="8"/>
      <c r="W56" s="8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8"/>
      <c r="AL56" s="8"/>
      <c r="AM56" s="8"/>
      <c r="AN56" s="27"/>
      <c r="AO56" s="8"/>
      <c r="AP56" s="8"/>
      <c r="AQ56" s="27"/>
      <c r="AR56" s="27"/>
      <c r="AS56" s="27"/>
    </row>
    <row r="57" spans="1:45" ht="15.75" thickBot="1" x14ac:dyDescent="0.3">
      <c r="A57" s="51" t="s">
        <v>72</v>
      </c>
      <c r="B57" s="51" t="s">
        <v>164</v>
      </c>
      <c r="C57" s="51" t="s">
        <v>1391</v>
      </c>
      <c r="D57" s="51" t="s">
        <v>1240</v>
      </c>
      <c r="E57" s="51" t="s">
        <v>24</v>
      </c>
      <c r="F57" s="51" t="s">
        <v>36</v>
      </c>
      <c r="G57" s="51" t="s">
        <v>165</v>
      </c>
      <c r="H57" s="51"/>
      <c r="I57" s="16">
        <v>-348079190000</v>
      </c>
      <c r="J57" s="16">
        <v>-582764410000</v>
      </c>
      <c r="K57" s="51" t="s">
        <v>863</v>
      </c>
      <c r="L57" s="53">
        <f t="shared" si="10"/>
        <v>30</v>
      </c>
      <c r="M57" s="17">
        <f t="shared" si="8"/>
        <v>0</v>
      </c>
      <c r="N57" s="18">
        <f t="shared" si="9"/>
        <v>1</v>
      </c>
      <c r="O57" s="27"/>
      <c r="P57" s="8"/>
      <c r="Q57" s="8"/>
      <c r="R57" s="8"/>
      <c r="S57" s="27"/>
      <c r="T57" s="27"/>
      <c r="U57" s="8"/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8"/>
      <c r="AL57" s="8"/>
      <c r="AM57" s="8"/>
      <c r="AN57" s="27"/>
      <c r="AO57" s="8"/>
      <c r="AP57" s="8"/>
      <c r="AQ57" s="27"/>
      <c r="AR57" s="27"/>
      <c r="AS57" s="27"/>
    </row>
    <row r="58" spans="1:45" ht="15.75" thickBot="1" x14ac:dyDescent="0.3">
      <c r="A58" s="51" t="s">
        <v>72</v>
      </c>
      <c r="B58" s="51" t="s">
        <v>166</v>
      </c>
      <c r="C58" s="51" t="s">
        <v>1391</v>
      </c>
      <c r="D58" s="51" t="s">
        <v>167</v>
      </c>
      <c r="E58" s="51" t="s">
        <v>24</v>
      </c>
      <c r="F58" s="51" t="s">
        <v>36</v>
      </c>
      <c r="G58" s="51" t="s">
        <v>60</v>
      </c>
      <c r="H58" s="51" t="s">
        <v>168</v>
      </c>
      <c r="I58" s="16">
        <v>-348027470000</v>
      </c>
      <c r="J58" s="16">
        <v>-582782920000</v>
      </c>
      <c r="K58" s="51" t="s">
        <v>864</v>
      </c>
      <c r="L58" s="53">
        <f t="shared" si="10"/>
        <v>30</v>
      </c>
      <c r="M58" s="17">
        <f t="shared" si="8"/>
        <v>0</v>
      </c>
      <c r="N58" s="18">
        <f t="shared" si="9"/>
        <v>1</v>
      </c>
      <c r="O58" s="27"/>
      <c r="P58" s="8"/>
      <c r="Q58" s="8"/>
      <c r="R58" s="8"/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8"/>
      <c r="AL58" s="8"/>
      <c r="AM58" s="8"/>
      <c r="AN58" s="27"/>
      <c r="AO58" s="8"/>
      <c r="AP58" s="8"/>
      <c r="AQ58" s="27"/>
      <c r="AR58" s="27"/>
      <c r="AS58" s="27"/>
    </row>
    <row r="59" spans="1:45" ht="15.75" thickBot="1" x14ac:dyDescent="0.3">
      <c r="A59" s="51" t="s">
        <v>72</v>
      </c>
      <c r="B59" s="51" t="s">
        <v>169</v>
      </c>
      <c r="C59" s="51" t="s">
        <v>1391</v>
      </c>
      <c r="D59" s="51" t="s">
        <v>1241</v>
      </c>
      <c r="E59" s="51" t="s">
        <v>24</v>
      </c>
      <c r="F59" s="51" t="s">
        <v>36</v>
      </c>
      <c r="G59" s="51" t="s">
        <v>170</v>
      </c>
      <c r="H59" s="51"/>
      <c r="I59" s="16">
        <v>-348089580000</v>
      </c>
      <c r="J59" s="16">
        <v>-582763340000</v>
      </c>
      <c r="K59" s="51" t="s">
        <v>865</v>
      </c>
      <c r="L59" s="53">
        <f t="shared" si="10"/>
        <v>30</v>
      </c>
      <c r="M59" s="17">
        <f t="shared" si="8"/>
        <v>0</v>
      </c>
      <c r="N59" s="18">
        <f t="shared" si="9"/>
        <v>1</v>
      </c>
      <c r="O59" s="27"/>
      <c r="P59" s="8"/>
      <c r="Q59" s="8"/>
      <c r="R59" s="8"/>
      <c r="S59" s="27"/>
      <c r="T59" s="27"/>
      <c r="U59" s="8"/>
      <c r="V59" s="8"/>
      <c r="W59" s="8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8"/>
      <c r="AL59" s="8"/>
      <c r="AM59" s="8"/>
      <c r="AN59" s="27"/>
      <c r="AO59" s="8"/>
      <c r="AP59" s="8"/>
      <c r="AQ59" s="27"/>
      <c r="AR59" s="27"/>
      <c r="AS59" s="27"/>
    </row>
    <row r="60" spans="1:45" ht="15.75" thickBot="1" x14ac:dyDescent="0.3">
      <c r="A60" s="51" t="s">
        <v>72</v>
      </c>
      <c r="B60" s="51" t="s">
        <v>171</v>
      </c>
      <c r="C60" s="51" t="s">
        <v>1391</v>
      </c>
      <c r="D60" s="51" t="s">
        <v>1242</v>
      </c>
      <c r="E60" s="51" t="s">
        <v>24</v>
      </c>
      <c r="F60" s="51" t="s">
        <v>36</v>
      </c>
      <c r="G60" s="51" t="s">
        <v>60</v>
      </c>
      <c r="H60" s="51"/>
      <c r="I60" s="16">
        <v>-348068620000</v>
      </c>
      <c r="J60" s="16">
        <v>-582765270000</v>
      </c>
      <c r="K60" s="51" t="s">
        <v>866</v>
      </c>
      <c r="L60" s="53">
        <f t="shared" si="10"/>
        <v>30</v>
      </c>
      <c r="M60" s="17">
        <f t="shared" si="8"/>
        <v>0</v>
      </c>
      <c r="N60" s="18">
        <f t="shared" si="9"/>
        <v>1</v>
      </c>
      <c r="O60" s="27"/>
      <c r="P60" s="8"/>
      <c r="Q60" s="8"/>
      <c r="R60" s="8"/>
      <c r="S60" s="27"/>
      <c r="T60" s="27"/>
      <c r="U60" s="8"/>
      <c r="V60" s="8"/>
      <c r="W60" s="8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  <c r="AS60" s="27"/>
    </row>
    <row r="61" spans="1:45" ht="15.75" thickBot="1" x14ac:dyDescent="0.3">
      <c r="A61" s="51" t="s">
        <v>72</v>
      </c>
      <c r="B61" s="51" t="s">
        <v>172</v>
      </c>
      <c r="C61" s="51" t="s">
        <v>1391</v>
      </c>
      <c r="D61" s="51" t="s">
        <v>173</v>
      </c>
      <c r="E61" s="51" t="s">
        <v>24</v>
      </c>
      <c r="F61" s="51" t="s">
        <v>36</v>
      </c>
      <c r="G61" s="51" t="s">
        <v>170</v>
      </c>
      <c r="H61" s="51"/>
      <c r="I61" s="16">
        <v>-348087820000</v>
      </c>
      <c r="J61" s="16">
        <v>-582729860000</v>
      </c>
      <c r="K61" s="51" t="s">
        <v>867</v>
      </c>
      <c r="L61" s="53">
        <f t="shared" si="10"/>
        <v>30</v>
      </c>
      <c r="M61" s="17">
        <f t="shared" si="8"/>
        <v>0</v>
      </c>
      <c r="N61" s="18">
        <f t="shared" si="9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8"/>
      <c r="AL61" s="8"/>
      <c r="AM61" s="8"/>
      <c r="AN61" s="27"/>
      <c r="AO61" s="8"/>
      <c r="AP61" s="8"/>
      <c r="AQ61" s="27"/>
      <c r="AR61" s="27"/>
      <c r="AS61" s="27"/>
    </row>
    <row r="62" spans="1:45" ht="15.75" thickBot="1" x14ac:dyDescent="0.3">
      <c r="A62" s="51" t="s">
        <v>72</v>
      </c>
      <c r="B62" s="51" t="s">
        <v>174</v>
      </c>
      <c r="C62" s="51" t="s">
        <v>1391</v>
      </c>
      <c r="D62" s="51" t="s">
        <v>175</v>
      </c>
      <c r="E62" s="51" t="s">
        <v>24</v>
      </c>
      <c r="F62" s="51" t="s">
        <v>36</v>
      </c>
      <c r="G62" s="51" t="s">
        <v>170</v>
      </c>
      <c r="H62" s="51"/>
      <c r="I62" s="16">
        <v>-348066860000</v>
      </c>
      <c r="J62" s="16">
        <v>-582731470000</v>
      </c>
      <c r="K62" s="51" t="s">
        <v>868</v>
      </c>
      <c r="L62" s="53">
        <f t="shared" si="10"/>
        <v>30</v>
      </c>
      <c r="M62" s="17">
        <f t="shared" si="8"/>
        <v>0</v>
      </c>
      <c r="N62" s="18">
        <f t="shared" si="9"/>
        <v>1</v>
      </c>
      <c r="O62" s="27"/>
      <c r="P62" s="8"/>
      <c r="Q62" s="8"/>
      <c r="R62" s="8"/>
      <c r="S62" s="27"/>
      <c r="T62" s="27"/>
      <c r="U62" s="8"/>
      <c r="V62" s="8"/>
      <c r="W62" s="8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8"/>
      <c r="AL62" s="8"/>
      <c r="AM62" s="8"/>
      <c r="AN62" s="27"/>
      <c r="AO62" s="8"/>
      <c r="AP62" s="8"/>
      <c r="AQ62" s="27"/>
      <c r="AR62" s="27"/>
      <c r="AS62" s="27"/>
    </row>
    <row r="63" spans="1:45" ht="15.75" thickBot="1" x14ac:dyDescent="0.3">
      <c r="A63" s="51" t="s">
        <v>72</v>
      </c>
      <c r="B63" s="51" t="s">
        <v>176</v>
      </c>
      <c r="C63" s="51" t="s">
        <v>1391</v>
      </c>
      <c r="D63" s="51" t="s">
        <v>177</v>
      </c>
      <c r="E63" s="51" t="s">
        <v>24</v>
      </c>
      <c r="F63" s="51" t="s">
        <v>36</v>
      </c>
      <c r="G63" s="51" t="s">
        <v>178</v>
      </c>
      <c r="H63" s="51"/>
      <c r="I63" s="16">
        <v>-348086060000</v>
      </c>
      <c r="J63" s="16">
        <v>-582700470000</v>
      </c>
      <c r="K63" s="51" t="s">
        <v>869</v>
      </c>
      <c r="L63" s="53">
        <f t="shared" si="10"/>
        <v>30</v>
      </c>
      <c r="M63" s="17">
        <f t="shared" si="8"/>
        <v>0</v>
      </c>
      <c r="N63" s="18">
        <f t="shared" si="9"/>
        <v>1</v>
      </c>
      <c r="O63" s="27"/>
      <c r="P63" s="8"/>
      <c r="Q63" s="8"/>
      <c r="R63" s="8"/>
      <c r="S63" s="27"/>
      <c r="T63" s="27"/>
      <c r="U63" s="8"/>
      <c r="V63" s="8"/>
      <c r="W63" s="8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/>
      <c r="AO63" s="8"/>
      <c r="AP63" s="8"/>
      <c r="AQ63" s="27"/>
      <c r="AR63" s="27"/>
      <c r="AS63" s="27"/>
    </row>
    <row r="64" spans="1:45" ht="15.75" thickBot="1" x14ac:dyDescent="0.3">
      <c r="A64" s="51" t="s">
        <v>72</v>
      </c>
      <c r="B64" s="51" t="s">
        <v>179</v>
      </c>
      <c r="C64" s="51" t="s">
        <v>1391</v>
      </c>
      <c r="D64" s="51" t="s">
        <v>180</v>
      </c>
      <c r="E64" s="51" t="s">
        <v>24</v>
      </c>
      <c r="F64" s="51" t="s">
        <v>36</v>
      </c>
      <c r="G64" s="51" t="s">
        <v>181</v>
      </c>
      <c r="H64" s="51"/>
      <c r="I64" s="16">
        <v>-348088130000</v>
      </c>
      <c r="J64" s="16">
        <v>-582738390000</v>
      </c>
      <c r="K64" s="51" t="s">
        <v>870</v>
      </c>
      <c r="L64" s="53">
        <f t="shared" si="10"/>
        <v>30</v>
      </c>
      <c r="M64" s="17">
        <f t="shared" si="8"/>
        <v>0</v>
      </c>
      <c r="N64" s="18">
        <f t="shared" si="9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8"/>
      <c r="AL64" s="8"/>
      <c r="AM64" s="8"/>
      <c r="AN64" s="27"/>
      <c r="AO64" s="8"/>
      <c r="AP64" s="8"/>
      <c r="AQ64" s="27"/>
      <c r="AR64" s="27"/>
      <c r="AS64" s="27"/>
    </row>
    <row r="65" spans="1:45" ht="15.75" thickBot="1" x14ac:dyDescent="0.3">
      <c r="A65" s="51" t="s">
        <v>72</v>
      </c>
      <c r="B65" s="51" t="s">
        <v>182</v>
      </c>
      <c r="C65" s="51" t="s">
        <v>1391</v>
      </c>
      <c r="D65" s="51" t="s">
        <v>1243</v>
      </c>
      <c r="E65" s="51" t="s">
        <v>24</v>
      </c>
      <c r="F65" s="51" t="s">
        <v>36</v>
      </c>
      <c r="G65" s="51" t="s">
        <v>60</v>
      </c>
      <c r="H65" s="51"/>
      <c r="I65" s="16">
        <v>-348058930000</v>
      </c>
      <c r="J65" s="16">
        <v>-582764630000</v>
      </c>
      <c r="K65" s="51" t="s">
        <v>871</v>
      </c>
      <c r="L65" s="53">
        <f t="shared" si="10"/>
        <v>30</v>
      </c>
      <c r="M65" s="17">
        <f t="shared" si="8"/>
        <v>0</v>
      </c>
      <c r="N65" s="18">
        <f t="shared" si="9"/>
        <v>1</v>
      </c>
      <c r="O65" s="27"/>
      <c r="P65" s="8"/>
      <c r="Q65" s="8"/>
      <c r="R65" s="8"/>
      <c r="S65" s="27"/>
      <c r="T65" s="27"/>
      <c r="U65" s="8"/>
      <c r="V65" s="8"/>
      <c r="W65" s="8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/>
      <c r="AO65" s="8"/>
      <c r="AP65" s="8"/>
      <c r="AQ65" s="27"/>
      <c r="AR65" s="27"/>
      <c r="AS65" s="27"/>
    </row>
    <row r="66" spans="1:45" ht="15.75" thickBot="1" x14ac:dyDescent="0.3">
      <c r="A66" s="51" t="s">
        <v>72</v>
      </c>
      <c r="B66" s="51" t="s">
        <v>183</v>
      </c>
      <c r="C66" s="51" t="s">
        <v>1391</v>
      </c>
      <c r="D66" s="51" t="s">
        <v>184</v>
      </c>
      <c r="E66" s="51" t="s">
        <v>24</v>
      </c>
      <c r="F66" s="51" t="s">
        <v>36</v>
      </c>
      <c r="G66" s="51" t="s">
        <v>103</v>
      </c>
      <c r="H66" s="51"/>
      <c r="I66" s="16">
        <v>-348107110000</v>
      </c>
      <c r="J66" s="16">
        <v>-582728250000</v>
      </c>
      <c r="K66" s="51" t="s">
        <v>872</v>
      </c>
      <c r="L66" s="53">
        <f t="shared" si="10"/>
        <v>30</v>
      </c>
      <c r="M66" s="17">
        <f t="shared" si="8"/>
        <v>0</v>
      </c>
      <c r="N66" s="18">
        <f t="shared" si="9"/>
        <v>1</v>
      </c>
      <c r="O66" s="27"/>
      <c r="P66" s="8"/>
      <c r="Q66" s="8"/>
      <c r="R66" s="8"/>
      <c r="S66" s="27"/>
      <c r="T66" s="27"/>
      <c r="U66" s="8"/>
      <c r="V66" s="8"/>
      <c r="W66" s="8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8"/>
      <c r="AL66" s="8"/>
      <c r="AM66" s="8"/>
      <c r="AN66" s="27"/>
      <c r="AO66" s="8"/>
      <c r="AP66" s="8"/>
      <c r="AQ66" s="27"/>
      <c r="AR66" s="27"/>
      <c r="AS66" s="27"/>
    </row>
    <row r="67" spans="1:45" ht="15.75" thickBot="1" x14ac:dyDescent="0.3">
      <c r="A67" s="51" t="s">
        <v>72</v>
      </c>
      <c r="B67" s="51" t="s">
        <v>185</v>
      </c>
      <c r="C67" s="51" t="s">
        <v>1391</v>
      </c>
      <c r="D67" s="51" t="s">
        <v>1397</v>
      </c>
      <c r="E67" s="51" t="s">
        <v>24</v>
      </c>
      <c r="F67" s="51" t="s">
        <v>36</v>
      </c>
      <c r="G67" s="51" t="s">
        <v>103</v>
      </c>
      <c r="H67" s="51"/>
      <c r="I67" s="16">
        <v>-348108080000</v>
      </c>
      <c r="J67" s="16">
        <v>-582762270000</v>
      </c>
      <c r="K67" s="51" t="s">
        <v>873</v>
      </c>
      <c r="L67" s="53">
        <f t="shared" si="10"/>
        <v>23</v>
      </c>
      <c r="M67" s="17">
        <f t="shared" si="8"/>
        <v>7</v>
      </c>
      <c r="N67" s="18">
        <f t="shared" si="9"/>
        <v>0.76666666666666672</v>
      </c>
      <c r="O67" s="27" t="s">
        <v>1209</v>
      </c>
      <c r="P67" s="8" t="s">
        <v>1209</v>
      </c>
      <c r="Q67" s="8" t="s">
        <v>1209</v>
      </c>
      <c r="R67" s="8" t="s">
        <v>1209</v>
      </c>
      <c r="S67" s="27" t="s">
        <v>1209</v>
      </c>
      <c r="T67" s="27" t="s">
        <v>1209</v>
      </c>
      <c r="U67" s="8" t="s">
        <v>1209</v>
      </c>
      <c r="V67" s="8"/>
      <c r="W67" s="8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8"/>
      <c r="AL67" s="8"/>
      <c r="AM67" s="8"/>
      <c r="AN67" s="27"/>
      <c r="AO67" s="8"/>
      <c r="AP67" s="8"/>
      <c r="AQ67" s="27"/>
      <c r="AR67" s="27"/>
      <c r="AS67" s="27"/>
    </row>
    <row r="68" spans="1:45" ht="15.75" thickBot="1" x14ac:dyDescent="0.3">
      <c r="A68" s="51" t="s">
        <v>72</v>
      </c>
      <c r="B68" s="51" t="s">
        <v>186</v>
      </c>
      <c r="C68" s="51" t="s">
        <v>1391</v>
      </c>
      <c r="D68" s="51" t="s">
        <v>1398</v>
      </c>
      <c r="E68" s="51" t="s">
        <v>24</v>
      </c>
      <c r="F68" s="51" t="s">
        <v>36</v>
      </c>
      <c r="G68" s="51" t="s">
        <v>146</v>
      </c>
      <c r="H68" s="51"/>
      <c r="I68" s="16">
        <v>-347995320000</v>
      </c>
      <c r="J68" s="16">
        <v>-582767420000</v>
      </c>
      <c r="K68" s="51" t="s">
        <v>874</v>
      </c>
      <c r="L68" s="53">
        <f t="shared" si="10"/>
        <v>30</v>
      </c>
      <c r="M68" s="17">
        <f t="shared" si="8"/>
        <v>0</v>
      </c>
      <c r="N68" s="18">
        <f t="shared" si="9"/>
        <v>1</v>
      </c>
      <c r="O68" s="27"/>
      <c r="P68" s="8"/>
      <c r="Q68" s="8"/>
      <c r="R68" s="8"/>
      <c r="S68" s="27"/>
      <c r="T68" s="27"/>
      <c r="U68" s="8"/>
      <c r="V68" s="8"/>
      <c r="W68" s="8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/>
      <c r="AO68" s="8"/>
      <c r="AP68" s="8"/>
      <c r="AQ68" s="27"/>
      <c r="AR68" s="27"/>
      <c r="AS68" s="27"/>
    </row>
    <row r="69" spans="1:45" ht="15.75" thickBot="1" x14ac:dyDescent="0.3">
      <c r="A69" s="51" t="s">
        <v>72</v>
      </c>
      <c r="B69" s="51" t="s">
        <v>187</v>
      </c>
      <c r="C69" s="51" t="s">
        <v>1391</v>
      </c>
      <c r="D69" s="51" t="s">
        <v>1399</v>
      </c>
      <c r="E69" s="51" t="s">
        <v>24</v>
      </c>
      <c r="F69" s="51" t="s">
        <v>36</v>
      </c>
      <c r="G69" s="51" t="s">
        <v>146</v>
      </c>
      <c r="H69" s="51"/>
      <c r="I69" s="16">
        <v>-348027390000</v>
      </c>
      <c r="J69" s="16">
        <v>-582766340000</v>
      </c>
      <c r="K69" s="51" t="s">
        <v>875</v>
      </c>
      <c r="L69" s="53">
        <f t="shared" si="10"/>
        <v>30</v>
      </c>
      <c r="M69" s="17">
        <f t="shared" ref="M69:M132" si="11">COUNTIF(O69:AP69,"APAGADO")</f>
        <v>0</v>
      </c>
      <c r="N69" s="18">
        <f t="shared" ref="N69:N132" si="12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8"/>
      <c r="AL69" s="8"/>
      <c r="AM69" s="8"/>
      <c r="AN69" s="27"/>
      <c r="AO69" s="8"/>
      <c r="AP69" s="8"/>
      <c r="AQ69" s="27"/>
      <c r="AR69" s="27"/>
      <c r="AS69" s="27"/>
    </row>
    <row r="70" spans="1:45" ht="15.75" thickBot="1" x14ac:dyDescent="0.3">
      <c r="A70" s="51" t="s">
        <v>72</v>
      </c>
      <c r="B70" s="51" t="s">
        <v>189</v>
      </c>
      <c r="C70" s="51" t="s">
        <v>1391</v>
      </c>
      <c r="D70" s="51" t="s">
        <v>190</v>
      </c>
      <c r="E70" s="51" t="s">
        <v>24</v>
      </c>
      <c r="F70" s="51" t="s">
        <v>36</v>
      </c>
      <c r="G70" s="51" t="s">
        <v>146</v>
      </c>
      <c r="H70" s="51"/>
      <c r="I70" s="16">
        <v>-348004490000</v>
      </c>
      <c r="J70" s="16">
        <v>-582742520000</v>
      </c>
      <c r="K70" s="51" t="s">
        <v>877</v>
      </c>
      <c r="L70" s="53">
        <f t="shared" ref="L70:L133" si="13">COUNTIF(O70:AR70,"")</f>
        <v>30</v>
      </c>
      <c r="M70" s="17">
        <f t="shared" si="11"/>
        <v>0</v>
      </c>
      <c r="N70" s="18">
        <f t="shared" si="12"/>
        <v>1</v>
      </c>
      <c r="O70" s="27"/>
      <c r="P70" s="8"/>
      <c r="Q70" s="8"/>
      <c r="R70" s="8"/>
      <c r="S70" s="27"/>
      <c r="T70" s="27"/>
      <c r="U70" s="8"/>
      <c r="V70" s="8"/>
      <c r="W70" s="8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8"/>
      <c r="AL70" s="8"/>
      <c r="AM70" s="8"/>
      <c r="AN70" s="27"/>
      <c r="AO70" s="8"/>
      <c r="AP70" s="8"/>
      <c r="AQ70" s="27"/>
      <c r="AR70" s="27"/>
      <c r="AS70" s="27"/>
    </row>
    <row r="71" spans="1:45" ht="15.75" thickBot="1" x14ac:dyDescent="0.3">
      <c r="A71" s="51" t="s">
        <v>72</v>
      </c>
      <c r="B71" s="51" t="s">
        <v>191</v>
      </c>
      <c r="C71" s="51" t="s">
        <v>1391</v>
      </c>
      <c r="D71" s="51" t="s">
        <v>192</v>
      </c>
      <c r="E71" s="51" t="s">
        <v>24</v>
      </c>
      <c r="F71" s="51" t="s">
        <v>36</v>
      </c>
      <c r="G71" s="51" t="s">
        <v>193</v>
      </c>
      <c r="H71" s="51"/>
      <c r="I71" s="16">
        <v>-348038310000</v>
      </c>
      <c r="J71" s="16">
        <v>-582781900000</v>
      </c>
      <c r="K71" s="51" t="s">
        <v>878</v>
      </c>
      <c r="L71" s="53">
        <f t="shared" si="13"/>
        <v>30</v>
      </c>
      <c r="M71" s="17">
        <f t="shared" si="11"/>
        <v>0</v>
      </c>
      <c r="N71" s="18">
        <f t="shared" si="12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8"/>
      <c r="AL71" s="8"/>
      <c r="AM71" s="8"/>
      <c r="AN71" s="27"/>
      <c r="AO71" s="8"/>
      <c r="AP71" s="8"/>
      <c r="AQ71" s="27"/>
      <c r="AR71" s="27"/>
      <c r="AS71" s="27"/>
    </row>
    <row r="72" spans="1:45" ht="15.75" thickBot="1" x14ac:dyDescent="0.3">
      <c r="A72" s="51" t="s">
        <v>72</v>
      </c>
      <c r="B72" s="51" t="s">
        <v>194</v>
      </c>
      <c r="C72" s="51" t="s">
        <v>1391</v>
      </c>
      <c r="D72" s="51" t="s">
        <v>195</v>
      </c>
      <c r="E72" s="51" t="s">
        <v>24</v>
      </c>
      <c r="F72" s="51" t="s">
        <v>36</v>
      </c>
      <c r="G72" s="51" t="s">
        <v>103</v>
      </c>
      <c r="H72" s="51"/>
      <c r="I72" s="16">
        <v>-348046950000</v>
      </c>
      <c r="J72" s="16">
        <v>-582749390000</v>
      </c>
      <c r="K72" s="51" t="s">
        <v>879</v>
      </c>
      <c r="L72" s="53">
        <f t="shared" si="13"/>
        <v>30</v>
      </c>
      <c r="M72" s="17">
        <f t="shared" si="11"/>
        <v>0</v>
      </c>
      <c r="N72" s="18">
        <f t="shared" si="12"/>
        <v>1</v>
      </c>
      <c r="O72" s="27"/>
      <c r="P72" s="8"/>
      <c r="Q72" s="8"/>
      <c r="R72" s="8"/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8"/>
      <c r="AL72" s="8"/>
      <c r="AM72" s="8"/>
      <c r="AN72" s="27"/>
      <c r="AO72" s="8"/>
      <c r="AP72" s="8"/>
      <c r="AQ72" s="27"/>
      <c r="AR72" s="27"/>
      <c r="AS72" s="27"/>
    </row>
    <row r="73" spans="1:45" ht="15.75" thickBot="1" x14ac:dyDescent="0.3">
      <c r="A73" s="51" t="s">
        <v>72</v>
      </c>
      <c r="B73" s="51" t="s">
        <v>196</v>
      </c>
      <c r="C73" s="51" t="s">
        <v>1391</v>
      </c>
      <c r="D73" s="51" t="s">
        <v>197</v>
      </c>
      <c r="E73" s="51" t="s">
        <v>24</v>
      </c>
      <c r="F73" s="51" t="s">
        <v>36</v>
      </c>
      <c r="G73" s="51" t="s">
        <v>198</v>
      </c>
      <c r="H73" s="51"/>
      <c r="I73" s="16">
        <v>-348045710000</v>
      </c>
      <c r="J73" s="16">
        <v>-582732760000</v>
      </c>
      <c r="K73" s="51" t="s">
        <v>880</v>
      </c>
      <c r="L73" s="53">
        <f t="shared" si="13"/>
        <v>30</v>
      </c>
      <c r="M73" s="17">
        <f t="shared" si="11"/>
        <v>0</v>
      </c>
      <c r="N73" s="18">
        <f t="shared" si="12"/>
        <v>1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8"/>
      <c r="AL73" s="8"/>
      <c r="AM73" s="8"/>
      <c r="AN73" s="27"/>
      <c r="AO73" s="8"/>
      <c r="AP73" s="8"/>
      <c r="AQ73" s="27"/>
      <c r="AR73" s="27"/>
      <c r="AS73" s="27"/>
    </row>
    <row r="74" spans="1:45" ht="15.75" thickBot="1" x14ac:dyDescent="0.3">
      <c r="A74" s="51" t="s">
        <v>72</v>
      </c>
      <c r="B74" s="51" t="s">
        <v>199</v>
      </c>
      <c r="C74" s="51" t="s">
        <v>1391</v>
      </c>
      <c r="D74" s="51" t="s">
        <v>200</v>
      </c>
      <c r="E74" s="51" t="s">
        <v>24</v>
      </c>
      <c r="F74" s="51" t="s">
        <v>36</v>
      </c>
      <c r="G74" s="51" t="s">
        <v>146</v>
      </c>
      <c r="H74" s="51"/>
      <c r="I74" s="16">
        <v>-348034610000</v>
      </c>
      <c r="J74" s="16">
        <v>-582706900000</v>
      </c>
      <c r="K74" s="51" t="s">
        <v>881</v>
      </c>
      <c r="L74" s="53">
        <f t="shared" si="13"/>
        <v>30</v>
      </c>
      <c r="M74" s="17">
        <f t="shared" si="11"/>
        <v>0</v>
      </c>
      <c r="N74" s="18">
        <f t="shared" si="12"/>
        <v>1</v>
      </c>
      <c r="O74" s="27"/>
      <c r="P74" s="8"/>
      <c r="Q74" s="8"/>
      <c r="R74" s="8"/>
      <c r="S74" s="27"/>
      <c r="T74" s="27"/>
      <c r="U74" s="8"/>
      <c r="V74" s="8"/>
      <c r="W74" s="8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8"/>
      <c r="AL74" s="8"/>
      <c r="AM74" s="8"/>
      <c r="AN74" s="27"/>
      <c r="AO74" s="8"/>
      <c r="AP74" s="8"/>
      <c r="AQ74" s="27"/>
      <c r="AR74" s="27"/>
      <c r="AS74" s="27"/>
    </row>
    <row r="75" spans="1:45" ht="15.75" thickBot="1" x14ac:dyDescent="0.3">
      <c r="A75" s="51" t="s">
        <v>72</v>
      </c>
      <c r="B75" s="51" t="s">
        <v>201</v>
      </c>
      <c r="C75" s="51" t="s">
        <v>1391</v>
      </c>
      <c r="D75" s="51" t="s">
        <v>202</v>
      </c>
      <c r="E75" s="51" t="s">
        <v>24</v>
      </c>
      <c r="F75" s="51" t="s">
        <v>36</v>
      </c>
      <c r="G75" s="51" t="s">
        <v>170</v>
      </c>
      <c r="H75" s="51" t="s">
        <v>203</v>
      </c>
      <c r="I75" s="16">
        <v>-348076770000</v>
      </c>
      <c r="J75" s="16">
        <v>-582730080000</v>
      </c>
      <c r="K75" s="51" t="s">
        <v>882</v>
      </c>
      <c r="L75" s="53">
        <f t="shared" si="13"/>
        <v>30</v>
      </c>
      <c r="M75" s="17">
        <f t="shared" si="11"/>
        <v>0</v>
      </c>
      <c r="N75" s="18">
        <f t="shared" si="12"/>
        <v>1</v>
      </c>
      <c r="O75" s="27"/>
      <c r="P75" s="8"/>
      <c r="Q75" s="8"/>
      <c r="R75" s="8"/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8"/>
      <c r="AL75" s="8"/>
      <c r="AM75" s="8"/>
      <c r="AN75" s="27"/>
      <c r="AO75" s="8"/>
      <c r="AP75" s="8"/>
      <c r="AQ75" s="27"/>
      <c r="AR75" s="27"/>
      <c r="AS75" s="27"/>
    </row>
    <row r="76" spans="1:45" ht="15.75" thickBot="1" x14ac:dyDescent="0.3">
      <c r="A76" s="51" t="s">
        <v>72</v>
      </c>
      <c r="B76" s="51" t="s">
        <v>204</v>
      </c>
      <c r="C76" s="51" t="s">
        <v>1391</v>
      </c>
      <c r="D76" s="51" t="s">
        <v>205</v>
      </c>
      <c r="E76" s="51" t="s">
        <v>24</v>
      </c>
      <c r="F76" s="51" t="s">
        <v>36</v>
      </c>
      <c r="G76" s="51" t="s">
        <v>170</v>
      </c>
      <c r="H76" s="51"/>
      <c r="I76" s="16">
        <v>-348087290000</v>
      </c>
      <c r="J76" s="16">
        <v>-582714950000</v>
      </c>
      <c r="K76" s="51" t="s">
        <v>883</v>
      </c>
      <c r="L76" s="53">
        <f t="shared" si="13"/>
        <v>30</v>
      </c>
      <c r="M76" s="17">
        <f t="shared" si="11"/>
        <v>0</v>
      </c>
      <c r="N76" s="18">
        <f t="shared" si="12"/>
        <v>1</v>
      </c>
      <c r="O76" s="27"/>
      <c r="P76" s="8"/>
      <c r="Q76" s="8"/>
      <c r="R76" s="8"/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8"/>
      <c r="AL76" s="8"/>
      <c r="AM76" s="8"/>
      <c r="AN76" s="27"/>
      <c r="AO76" s="8"/>
      <c r="AP76" s="8"/>
      <c r="AQ76" s="27"/>
      <c r="AR76" s="27"/>
      <c r="AS76" s="27"/>
    </row>
    <row r="77" spans="1:45" ht="15.75" thickBot="1" x14ac:dyDescent="0.3">
      <c r="A77" s="51" t="s">
        <v>72</v>
      </c>
      <c r="B77" s="51" t="s">
        <v>206</v>
      </c>
      <c r="C77" s="51" t="s">
        <v>1391</v>
      </c>
      <c r="D77" s="51" t="s">
        <v>79</v>
      </c>
      <c r="E77" s="51" t="s">
        <v>102</v>
      </c>
      <c r="F77" s="51" t="s">
        <v>36</v>
      </c>
      <c r="G77" s="51"/>
      <c r="H77" s="51" t="s">
        <v>207</v>
      </c>
      <c r="I77" s="16">
        <v>-348102990000</v>
      </c>
      <c r="J77" s="16">
        <v>-582835440000</v>
      </c>
      <c r="K77" s="51" t="s">
        <v>884</v>
      </c>
      <c r="L77" s="53">
        <f t="shared" si="13"/>
        <v>30</v>
      </c>
      <c r="M77" s="17">
        <f t="shared" si="11"/>
        <v>0</v>
      </c>
      <c r="N77" s="18">
        <f t="shared" si="12"/>
        <v>1</v>
      </c>
      <c r="O77" s="27"/>
      <c r="P77" s="8"/>
      <c r="Q77" s="8"/>
      <c r="R77" s="8"/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8"/>
      <c r="AL77" s="8"/>
      <c r="AM77" s="8"/>
      <c r="AN77" s="27"/>
      <c r="AO77" s="8"/>
      <c r="AP77" s="8"/>
      <c r="AQ77" s="27"/>
      <c r="AR77" s="27"/>
      <c r="AS77" s="27"/>
    </row>
    <row r="78" spans="1:45" ht="15.75" thickBot="1" x14ac:dyDescent="0.3">
      <c r="A78" s="51" t="s">
        <v>72</v>
      </c>
      <c r="B78" s="51" t="s">
        <v>208</v>
      </c>
      <c r="C78" s="51" t="s">
        <v>1391</v>
      </c>
      <c r="D78" s="51" t="s">
        <v>79</v>
      </c>
      <c r="E78" s="51" t="s">
        <v>102</v>
      </c>
      <c r="F78" s="51" t="s">
        <v>36</v>
      </c>
      <c r="G78" s="51"/>
      <c r="H78" s="51" t="s">
        <v>207</v>
      </c>
      <c r="I78" s="16">
        <v>-348102840000</v>
      </c>
      <c r="J78" s="16">
        <v>-582835020000</v>
      </c>
      <c r="K78" s="51" t="s">
        <v>885</v>
      </c>
      <c r="L78" s="53">
        <f t="shared" si="13"/>
        <v>30</v>
      </c>
      <c r="M78" s="17">
        <f t="shared" si="11"/>
        <v>0</v>
      </c>
      <c r="N78" s="18">
        <f t="shared" si="12"/>
        <v>1</v>
      </c>
      <c r="O78" s="27"/>
      <c r="P78" s="8"/>
      <c r="Q78" s="8"/>
      <c r="R78" s="8"/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8"/>
      <c r="AL78" s="8"/>
      <c r="AM78" s="8"/>
      <c r="AN78" s="27"/>
      <c r="AO78" s="8"/>
      <c r="AP78" s="8"/>
      <c r="AQ78" s="27"/>
      <c r="AR78" s="27"/>
      <c r="AS78" s="27"/>
    </row>
    <row r="79" spans="1:45" ht="15.75" thickBot="1" x14ac:dyDescent="0.3">
      <c r="A79" s="51" t="s">
        <v>72</v>
      </c>
      <c r="B79" s="51" t="s">
        <v>209</v>
      </c>
      <c r="C79" s="51" t="s">
        <v>1391</v>
      </c>
      <c r="D79" s="51" t="s">
        <v>210</v>
      </c>
      <c r="E79" s="51" t="s">
        <v>24</v>
      </c>
      <c r="F79" s="51" t="s">
        <v>36</v>
      </c>
      <c r="G79" s="51" t="s">
        <v>146</v>
      </c>
      <c r="H79" s="51"/>
      <c r="I79" s="16">
        <v>-348076280000</v>
      </c>
      <c r="J79" s="16">
        <v>-582715700000</v>
      </c>
      <c r="K79" s="51" t="s">
        <v>886</v>
      </c>
      <c r="L79" s="53">
        <f t="shared" si="13"/>
        <v>30</v>
      </c>
      <c r="M79" s="17">
        <f t="shared" si="11"/>
        <v>0</v>
      </c>
      <c r="N79" s="18">
        <f t="shared" si="12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8"/>
      <c r="AL79" s="8"/>
      <c r="AM79" s="8"/>
      <c r="AN79" s="27"/>
      <c r="AO79" s="8"/>
      <c r="AP79" s="8"/>
      <c r="AQ79" s="27"/>
      <c r="AR79" s="27"/>
      <c r="AS79" s="27"/>
    </row>
    <row r="80" spans="1:45" ht="15.75" thickBot="1" x14ac:dyDescent="0.3">
      <c r="A80" s="51" t="s">
        <v>72</v>
      </c>
      <c r="B80" s="51" t="s">
        <v>211</v>
      </c>
      <c r="C80" s="51" t="s">
        <v>1391</v>
      </c>
      <c r="D80" s="51" t="s">
        <v>212</v>
      </c>
      <c r="E80" s="51" t="s">
        <v>24</v>
      </c>
      <c r="F80" s="51" t="s">
        <v>25</v>
      </c>
      <c r="G80" s="51" t="s">
        <v>213</v>
      </c>
      <c r="H80" s="51" t="s">
        <v>214</v>
      </c>
      <c r="I80" s="16">
        <v>-348082910000</v>
      </c>
      <c r="J80" s="16">
        <v>-582832080000</v>
      </c>
      <c r="K80" s="51" t="s">
        <v>887</v>
      </c>
      <c r="L80" s="53">
        <f t="shared" si="13"/>
        <v>30</v>
      </c>
      <c r="M80" s="17">
        <f t="shared" si="11"/>
        <v>0</v>
      </c>
      <c r="N80" s="18">
        <f t="shared" si="12"/>
        <v>1</v>
      </c>
      <c r="O80" s="27"/>
      <c r="P80" s="8"/>
      <c r="Q80" s="8"/>
      <c r="R80" s="8"/>
      <c r="S80" s="27"/>
      <c r="T80" s="27"/>
      <c r="U80" s="8"/>
      <c r="V80" s="8"/>
      <c r="W80" s="8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8"/>
      <c r="AL80" s="8"/>
      <c r="AM80" s="8"/>
      <c r="AN80" s="27"/>
      <c r="AO80" s="8"/>
      <c r="AP80" s="8"/>
      <c r="AQ80" s="27"/>
      <c r="AR80" s="27"/>
      <c r="AS80" s="27"/>
    </row>
    <row r="81" spans="1:45" ht="15.75" thickBot="1" x14ac:dyDescent="0.3">
      <c r="A81" s="51" t="s">
        <v>72</v>
      </c>
      <c r="B81" s="51" t="s">
        <v>215</v>
      </c>
      <c r="C81" s="51" t="s">
        <v>1391</v>
      </c>
      <c r="D81" s="51" t="s">
        <v>216</v>
      </c>
      <c r="E81" s="51" t="s">
        <v>24</v>
      </c>
      <c r="F81" s="51" t="s">
        <v>25</v>
      </c>
      <c r="G81" s="51" t="s">
        <v>217</v>
      </c>
      <c r="H81" s="51"/>
      <c r="I81" s="16">
        <v>-347975480000</v>
      </c>
      <c r="J81" s="16">
        <v>-582789940000</v>
      </c>
      <c r="K81" s="51" t="s">
        <v>888</v>
      </c>
      <c r="L81" s="53">
        <f t="shared" si="13"/>
        <v>30</v>
      </c>
      <c r="M81" s="17">
        <f t="shared" si="11"/>
        <v>0</v>
      </c>
      <c r="N81" s="18">
        <f t="shared" si="12"/>
        <v>1</v>
      </c>
      <c r="O81" s="27"/>
      <c r="P81" s="8"/>
      <c r="Q81" s="8"/>
      <c r="R81" s="8"/>
      <c r="S81" s="27"/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8"/>
      <c r="AL81" s="8"/>
      <c r="AM81" s="8"/>
      <c r="AN81" s="27"/>
      <c r="AO81" s="8"/>
      <c r="AP81" s="8"/>
      <c r="AQ81" s="27"/>
      <c r="AR81" s="27"/>
      <c r="AS81" s="27"/>
    </row>
    <row r="82" spans="1:45" ht="15.75" thickBot="1" x14ac:dyDescent="0.3">
      <c r="A82" s="51" t="s">
        <v>72</v>
      </c>
      <c r="B82" s="51" t="s">
        <v>221</v>
      </c>
      <c r="C82" s="51" t="s">
        <v>1391</v>
      </c>
      <c r="D82" s="51" t="s">
        <v>222</v>
      </c>
      <c r="E82" s="51" t="s">
        <v>19</v>
      </c>
      <c r="F82" s="51" t="s">
        <v>25</v>
      </c>
      <c r="G82" s="51"/>
      <c r="H82" s="51" t="s">
        <v>223</v>
      </c>
      <c r="I82" s="16">
        <v>-348006380000</v>
      </c>
      <c r="J82" s="16">
        <v>-582785240000</v>
      </c>
      <c r="K82" s="51" t="s">
        <v>891</v>
      </c>
      <c r="L82" s="53">
        <f t="shared" si="13"/>
        <v>30</v>
      </c>
      <c r="M82" s="17">
        <f t="shared" si="11"/>
        <v>0</v>
      </c>
      <c r="N82" s="18">
        <f t="shared" si="12"/>
        <v>1</v>
      </c>
      <c r="O82" s="27"/>
      <c r="P82" s="8"/>
      <c r="Q82" s="8"/>
      <c r="R82" s="8"/>
      <c r="S82" s="27"/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8"/>
      <c r="AL82" s="8"/>
      <c r="AM82" s="8"/>
      <c r="AN82" s="27"/>
      <c r="AO82" s="8"/>
      <c r="AP82" s="8"/>
      <c r="AQ82" s="27"/>
      <c r="AR82" s="27"/>
      <c r="AS82" s="27"/>
    </row>
    <row r="83" spans="1:45" ht="15.75" thickBot="1" x14ac:dyDescent="0.3">
      <c r="A83" s="51" t="s">
        <v>72</v>
      </c>
      <c r="B83" s="51" t="s">
        <v>1244</v>
      </c>
      <c r="C83" s="51" t="s">
        <v>1391</v>
      </c>
      <c r="D83" s="51" t="s">
        <v>81</v>
      </c>
      <c r="E83" s="51" t="s">
        <v>19</v>
      </c>
      <c r="F83" s="51" t="s">
        <v>25</v>
      </c>
      <c r="G83" s="51"/>
      <c r="H83" s="51" t="s">
        <v>82</v>
      </c>
      <c r="I83" s="16">
        <v>-348039300000</v>
      </c>
      <c r="J83" s="16">
        <v>-582819780000</v>
      </c>
      <c r="K83" s="51" t="s">
        <v>898</v>
      </c>
      <c r="L83" s="53">
        <f t="shared" si="13"/>
        <v>30</v>
      </c>
      <c r="M83" s="17">
        <f t="shared" si="11"/>
        <v>0</v>
      </c>
      <c r="N83" s="18">
        <f t="shared" si="12"/>
        <v>1</v>
      </c>
      <c r="O83" s="27"/>
      <c r="P83" s="8"/>
      <c r="Q83" s="8"/>
      <c r="R83" s="8"/>
      <c r="S83" s="27"/>
      <c r="T83" s="27"/>
      <c r="U83" s="8"/>
      <c r="V83" s="8"/>
      <c r="W83" s="8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8"/>
      <c r="AL83" s="8"/>
      <c r="AM83" s="8"/>
      <c r="AN83" s="27"/>
      <c r="AO83" s="8"/>
      <c r="AP83" s="8"/>
      <c r="AQ83" s="27"/>
      <c r="AR83" s="27"/>
      <c r="AS83" s="27"/>
    </row>
    <row r="84" spans="1:45" ht="15.75" thickBot="1" x14ac:dyDescent="0.3">
      <c r="A84" s="51" t="s">
        <v>72</v>
      </c>
      <c r="B84" s="51" t="s">
        <v>1245</v>
      </c>
      <c r="C84" s="51" t="s">
        <v>1391</v>
      </c>
      <c r="D84" s="51" t="s">
        <v>1246</v>
      </c>
      <c r="E84" s="51" t="s">
        <v>19</v>
      </c>
      <c r="F84" s="51" t="s">
        <v>1384</v>
      </c>
      <c r="G84" s="51"/>
      <c r="H84" s="51" t="s">
        <v>89</v>
      </c>
      <c r="I84" s="16">
        <v>-348038200000</v>
      </c>
      <c r="J84" s="16">
        <v>-582766160000</v>
      </c>
      <c r="K84" s="51" t="s">
        <v>901</v>
      </c>
      <c r="L84" s="53">
        <f t="shared" si="13"/>
        <v>30</v>
      </c>
      <c r="M84" s="17">
        <f t="shared" si="11"/>
        <v>0</v>
      </c>
      <c r="N84" s="18">
        <f t="shared" si="12"/>
        <v>1</v>
      </c>
      <c r="O84" s="27"/>
      <c r="P84" s="8"/>
      <c r="Q84" s="8"/>
      <c r="R84" s="8"/>
      <c r="S84" s="27"/>
      <c r="T84" s="27"/>
      <c r="U84" s="8"/>
      <c r="V84" s="8"/>
      <c r="W84" s="8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8"/>
      <c r="AL84" s="8"/>
      <c r="AM84" s="8"/>
      <c r="AN84" s="27"/>
      <c r="AO84" s="8"/>
      <c r="AP84" s="8"/>
      <c r="AQ84" s="27"/>
      <c r="AR84" s="27"/>
      <c r="AS84" s="27"/>
    </row>
    <row r="85" spans="1:45" ht="15.75" thickBot="1" x14ac:dyDescent="0.3">
      <c r="A85" s="51" t="s">
        <v>72</v>
      </c>
      <c r="B85" s="51" t="s">
        <v>1247</v>
      </c>
      <c r="C85" s="51" t="s">
        <v>1391</v>
      </c>
      <c r="D85" s="51" t="s">
        <v>90</v>
      </c>
      <c r="E85" s="51" t="s">
        <v>19</v>
      </c>
      <c r="F85" s="51" t="s">
        <v>36</v>
      </c>
      <c r="G85" s="51"/>
      <c r="H85" s="51" t="s">
        <v>91</v>
      </c>
      <c r="I85" s="16">
        <v>-348017700000</v>
      </c>
      <c r="J85" s="16">
        <v>-582785020000</v>
      </c>
      <c r="K85" s="51" t="s">
        <v>902</v>
      </c>
      <c r="L85" s="53">
        <f t="shared" si="13"/>
        <v>30</v>
      </c>
      <c r="M85" s="17">
        <f t="shared" si="11"/>
        <v>0</v>
      </c>
      <c r="N85" s="18">
        <f t="shared" si="12"/>
        <v>1</v>
      </c>
      <c r="O85" s="27"/>
      <c r="P85" s="8"/>
      <c r="Q85" s="8"/>
      <c r="R85" s="8"/>
      <c r="S85" s="27"/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8"/>
      <c r="AL85" s="8"/>
      <c r="AM85" s="8"/>
      <c r="AN85" s="27"/>
      <c r="AO85" s="8"/>
      <c r="AP85" s="8"/>
      <c r="AQ85" s="27"/>
      <c r="AR85" s="27"/>
      <c r="AS85" s="27"/>
    </row>
    <row r="86" spans="1:45" ht="15.75" thickBot="1" x14ac:dyDescent="0.3">
      <c r="A86" s="51" t="s">
        <v>72</v>
      </c>
      <c r="B86" s="51" t="s">
        <v>224</v>
      </c>
      <c r="C86" s="51" t="s">
        <v>1391</v>
      </c>
      <c r="D86" s="51" t="s">
        <v>225</v>
      </c>
      <c r="E86" s="51" t="s">
        <v>65</v>
      </c>
      <c r="F86" s="51" t="s">
        <v>36</v>
      </c>
      <c r="G86" s="51"/>
      <c r="H86" s="51" t="s">
        <v>207</v>
      </c>
      <c r="I86" s="16">
        <v>-348100370000</v>
      </c>
      <c r="J86" s="16">
        <v>-582778830000</v>
      </c>
      <c r="K86" s="51" t="s">
        <v>903</v>
      </c>
      <c r="L86" s="53">
        <f t="shared" si="13"/>
        <v>30</v>
      </c>
      <c r="M86" s="17">
        <f t="shared" si="11"/>
        <v>0</v>
      </c>
      <c r="N86" s="18">
        <f t="shared" si="12"/>
        <v>1</v>
      </c>
      <c r="O86" s="27"/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8"/>
      <c r="AL86" s="8"/>
      <c r="AM86" s="8"/>
      <c r="AN86" s="27"/>
      <c r="AO86" s="8"/>
      <c r="AP86" s="8"/>
      <c r="AQ86" s="27"/>
      <c r="AR86" s="27"/>
      <c r="AS86" s="27"/>
    </row>
    <row r="87" spans="1:45" ht="15.75" thickBot="1" x14ac:dyDescent="0.3">
      <c r="A87" s="51" t="s">
        <v>72</v>
      </c>
      <c r="B87" s="51" t="s">
        <v>227</v>
      </c>
      <c r="C87" s="51" t="s">
        <v>1391</v>
      </c>
      <c r="D87" s="51" t="s">
        <v>226</v>
      </c>
      <c r="E87" s="51" t="s">
        <v>65</v>
      </c>
      <c r="F87" s="51" t="s">
        <v>36</v>
      </c>
      <c r="G87" s="51"/>
      <c r="H87" s="51" t="s">
        <v>207</v>
      </c>
      <c r="I87" s="16">
        <v>-348109620000</v>
      </c>
      <c r="J87" s="16">
        <v>-582777260000</v>
      </c>
      <c r="K87" s="51" t="s">
        <v>904</v>
      </c>
      <c r="L87" s="53">
        <f t="shared" si="13"/>
        <v>24</v>
      </c>
      <c r="M87" s="17">
        <f t="shared" si="11"/>
        <v>6</v>
      </c>
      <c r="N87" s="18">
        <f t="shared" si="12"/>
        <v>0.8</v>
      </c>
      <c r="O87" s="27" t="s">
        <v>1209</v>
      </c>
      <c r="P87" s="8" t="s">
        <v>1209</v>
      </c>
      <c r="Q87" s="8" t="s">
        <v>1209</v>
      </c>
      <c r="R87" s="8" t="s">
        <v>1209</v>
      </c>
      <c r="S87" s="27"/>
      <c r="T87" s="27" t="s">
        <v>1209</v>
      </c>
      <c r="U87" s="8" t="s">
        <v>1209</v>
      </c>
      <c r="V87" s="8"/>
      <c r="W87" s="8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8"/>
      <c r="AL87" s="8"/>
      <c r="AM87" s="8"/>
      <c r="AN87" s="27"/>
      <c r="AO87" s="8"/>
      <c r="AP87" s="8"/>
      <c r="AQ87" s="27"/>
      <c r="AR87" s="27"/>
      <c r="AS87" s="27"/>
    </row>
    <row r="88" spans="1:45" ht="15.75" thickBot="1" x14ac:dyDescent="0.3">
      <c r="A88" s="51" t="s">
        <v>72</v>
      </c>
      <c r="B88" s="51" t="s">
        <v>228</v>
      </c>
      <c r="C88" s="51" t="s">
        <v>1391</v>
      </c>
      <c r="D88" s="51" t="s">
        <v>229</v>
      </c>
      <c r="E88" s="51" t="s">
        <v>102</v>
      </c>
      <c r="F88" s="51" t="s">
        <v>36</v>
      </c>
      <c r="G88" s="51"/>
      <c r="H88" s="51" t="s">
        <v>230</v>
      </c>
      <c r="I88" s="16">
        <v>-348024610000</v>
      </c>
      <c r="J88" s="16">
        <v>-582715570000</v>
      </c>
      <c r="K88" s="51" t="s">
        <v>908</v>
      </c>
      <c r="L88" s="53">
        <f t="shared" si="13"/>
        <v>30</v>
      </c>
      <c r="M88" s="17">
        <f t="shared" si="11"/>
        <v>0</v>
      </c>
      <c r="N88" s="18">
        <f t="shared" si="12"/>
        <v>1</v>
      </c>
      <c r="O88" s="27"/>
      <c r="P88" s="8"/>
      <c r="Q88" s="8"/>
      <c r="R88" s="8"/>
      <c r="S88" s="27"/>
      <c r="T88" s="27"/>
      <c r="U88" s="8"/>
      <c r="V88" s="8"/>
      <c r="W88" s="8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  <c r="AS88" s="27"/>
    </row>
    <row r="89" spans="1:45" ht="15.75" thickBot="1" x14ac:dyDescent="0.3">
      <c r="A89" s="51" t="s">
        <v>72</v>
      </c>
      <c r="B89" s="51" t="s">
        <v>231</v>
      </c>
      <c r="C89" s="51" t="s">
        <v>1391</v>
      </c>
      <c r="D89" s="51" t="s">
        <v>229</v>
      </c>
      <c r="E89" s="51" t="s">
        <v>102</v>
      </c>
      <c r="F89" s="51" t="s">
        <v>36</v>
      </c>
      <c r="G89" s="51"/>
      <c r="H89" s="51" t="s">
        <v>230</v>
      </c>
      <c r="I89" s="16">
        <v>-348024610000</v>
      </c>
      <c r="J89" s="16">
        <v>-582715570000</v>
      </c>
      <c r="K89" s="51" t="s">
        <v>909</v>
      </c>
      <c r="L89" s="53">
        <f t="shared" si="13"/>
        <v>30</v>
      </c>
      <c r="M89" s="17">
        <f t="shared" si="11"/>
        <v>0</v>
      </c>
      <c r="N89" s="18">
        <f t="shared" si="12"/>
        <v>1</v>
      </c>
      <c r="O89" s="27"/>
      <c r="P89" s="8"/>
      <c r="Q89" s="8"/>
      <c r="R89" s="8"/>
      <c r="S89" s="27"/>
      <c r="T89" s="27"/>
      <c r="U89" s="8"/>
      <c r="V89" s="8"/>
      <c r="W89" s="8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8"/>
      <c r="AL89" s="8"/>
      <c r="AM89" s="8"/>
      <c r="AN89" s="27"/>
      <c r="AO89" s="8"/>
      <c r="AP89" s="8"/>
      <c r="AQ89" s="27"/>
      <c r="AR89" s="27"/>
      <c r="AS89" s="27"/>
    </row>
    <row r="90" spans="1:45" ht="15.75" thickBot="1" x14ac:dyDescent="0.3">
      <c r="A90" s="51" t="s">
        <v>72</v>
      </c>
      <c r="B90" s="51" t="s">
        <v>232</v>
      </c>
      <c r="C90" s="51" t="s">
        <v>1391</v>
      </c>
      <c r="D90" s="51" t="s">
        <v>233</v>
      </c>
      <c r="E90" s="51" t="s">
        <v>19</v>
      </c>
      <c r="F90" s="51" t="s">
        <v>36</v>
      </c>
      <c r="G90" s="51"/>
      <c r="H90" s="51" t="s">
        <v>234</v>
      </c>
      <c r="I90" s="16">
        <v>-348093230000</v>
      </c>
      <c r="J90" s="16">
        <v>-582817790000</v>
      </c>
      <c r="K90" s="51" t="s">
        <v>910</v>
      </c>
      <c r="L90" s="53">
        <f t="shared" si="13"/>
        <v>30</v>
      </c>
      <c r="M90" s="17">
        <f t="shared" si="11"/>
        <v>0</v>
      </c>
      <c r="N90" s="18">
        <f t="shared" si="12"/>
        <v>1</v>
      </c>
      <c r="O90" s="27"/>
      <c r="P90" s="8"/>
      <c r="Q90" s="8"/>
      <c r="R90" s="8"/>
      <c r="S90" s="27"/>
      <c r="T90" s="27"/>
      <c r="U90" s="8"/>
      <c r="V90" s="8"/>
      <c r="W90" s="8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8"/>
      <c r="AL90" s="8"/>
      <c r="AM90" s="8"/>
      <c r="AN90" s="27"/>
      <c r="AO90" s="8"/>
      <c r="AP90" s="8"/>
      <c r="AQ90" s="27"/>
      <c r="AR90" s="27"/>
      <c r="AS90" s="27"/>
    </row>
    <row r="91" spans="1:45" ht="13.9" customHeight="1" thickBot="1" x14ac:dyDescent="0.3">
      <c r="A91" s="51" t="s">
        <v>72</v>
      </c>
      <c r="B91" s="51" t="s">
        <v>235</v>
      </c>
      <c r="C91" s="51" t="s">
        <v>1391</v>
      </c>
      <c r="D91" s="51" t="s">
        <v>236</v>
      </c>
      <c r="E91" s="51" t="s">
        <v>19</v>
      </c>
      <c r="F91" s="51" t="s">
        <v>36</v>
      </c>
      <c r="G91" s="51"/>
      <c r="H91" s="51" t="s">
        <v>237</v>
      </c>
      <c r="I91" s="16">
        <v>-347987330000</v>
      </c>
      <c r="J91" s="16">
        <v>-582822490000</v>
      </c>
      <c r="K91" s="51" t="s">
        <v>914</v>
      </c>
      <c r="L91" s="53">
        <f t="shared" si="13"/>
        <v>30</v>
      </c>
      <c r="M91" s="17">
        <f t="shared" si="11"/>
        <v>0</v>
      </c>
      <c r="N91" s="18">
        <f t="shared" si="12"/>
        <v>1</v>
      </c>
      <c r="O91" s="27"/>
      <c r="P91" s="8"/>
      <c r="Q91" s="8"/>
      <c r="R91" s="8"/>
      <c r="S91" s="27"/>
      <c r="T91" s="27"/>
      <c r="U91" s="8"/>
      <c r="V91" s="8"/>
      <c r="W91" s="8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8"/>
      <c r="AL91" s="8"/>
      <c r="AM91" s="8"/>
      <c r="AN91" s="27"/>
      <c r="AO91" s="8"/>
      <c r="AP91" s="8"/>
      <c r="AQ91" s="27"/>
      <c r="AR91" s="27"/>
      <c r="AS91" s="27"/>
    </row>
    <row r="92" spans="1:45" ht="15.75" thickBot="1" x14ac:dyDescent="0.3">
      <c r="A92" s="51" t="s">
        <v>72</v>
      </c>
      <c r="B92" s="51" t="s">
        <v>238</v>
      </c>
      <c r="C92" s="51" t="s">
        <v>1391</v>
      </c>
      <c r="D92" s="51" t="s">
        <v>239</v>
      </c>
      <c r="E92" s="51" t="s">
        <v>24</v>
      </c>
      <c r="F92" s="51" t="s">
        <v>1383</v>
      </c>
      <c r="G92" s="51"/>
      <c r="H92" s="51"/>
      <c r="I92" s="16">
        <v>-348051750000</v>
      </c>
      <c r="J92" s="16">
        <v>-582833410000</v>
      </c>
      <c r="K92" s="51" t="s">
        <v>915</v>
      </c>
      <c r="L92" s="53">
        <f t="shared" si="13"/>
        <v>30</v>
      </c>
      <c r="M92" s="17">
        <f t="shared" si="11"/>
        <v>0</v>
      </c>
      <c r="N92" s="18">
        <f t="shared" si="12"/>
        <v>1</v>
      </c>
      <c r="O92" s="27"/>
      <c r="P92" s="8"/>
      <c r="Q92" s="8"/>
      <c r="R92" s="8"/>
      <c r="S92" s="27"/>
      <c r="T92" s="27"/>
      <c r="U92" s="8"/>
      <c r="V92" s="8"/>
      <c r="W92" s="8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8"/>
      <c r="AL92" s="8"/>
      <c r="AM92" s="8"/>
      <c r="AN92" s="27"/>
      <c r="AO92" s="8"/>
      <c r="AP92" s="8"/>
      <c r="AQ92" s="27"/>
      <c r="AR92" s="27"/>
      <c r="AS92" s="27"/>
    </row>
    <row r="93" spans="1:45" ht="15.75" thickBot="1" x14ac:dyDescent="0.3">
      <c r="A93" s="51" t="s">
        <v>240</v>
      </c>
      <c r="B93" s="51" t="s">
        <v>241</v>
      </c>
      <c r="C93" s="51" t="s">
        <v>1391</v>
      </c>
      <c r="D93" s="51" t="s">
        <v>242</v>
      </c>
      <c r="E93" s="51" t="s">
        <v>24</v>
      </c>
      <c r="F93" s="51" t="s">
        <v>25</v>
      </c>
      <c r="G93" s="51" t="s">
        <v>146</v>
      </c>
      <c r="H93" s="51"/>
      <c r="I93" s="16">
        <v>-348055400000</v>
      </c>
      <c r="J93" s="16">
        <v>-582972760000</v>
      </c>
      <c r="K93" s="51" t="s">
        <v>916</v>
      </c>
      <c r="L93" s="53">
        <f t="shared" si="13"/>
        <v>30</v>
      </c>
      <c r="M93" s="17">
        <f t="shared" si="11"/>
        <v>0</v>
      </c>
      <c r="N93" s="18">
        <f t="shared" si="12"/>
        <v>1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8"/>
      <c r="AL93" s="8"/>
      <c r="AM93" s="8"/>
      <c r="AN93" s="27"/>
      <c r="AO93" s="8"/>
      <c r="AP93" s="8"/>
      <c r="AQ93" s="27"/>
      <c r="AR93" s="27"/>
      <c r="AS93" s="27"/>
    </row>
    <row r="94" spans="1:45" ht="15.75" thickBot="1" x14ac:dyDescent="0.3">
      <c r="A94" s="51" t="s">
        <v>243</v>
      </c>
      <c r="B94" s="51" t="s">
        <v>244</v>
      </c>
      <c r="C94" s="51" t="s">
        <v>1391</v>
      </c>
      <c r="D94" s="51" t="s">
        <v>245</v>
      </c>
      <c r="E94" s="51" t="s">
        <v>24</v>
      </c>
      <c r="F94" s="51" t="s">
        <v>25</v>
      </c>
      <c r="G94" s="51" t="s">
        <v>170</v>
      </c>
      <c r="H94" s="51" t="s">
        <v>246</v>
      </c>
      <c r="I94" s="16">
        <v>-348032560000</v>
      </c>
      <c r="J94" s="16">
        <v>-582926760000</v>
      </c>
      <c r="K94" s="51" t="s">
        <v>917</v>
      </c>
      <c r="L94" s="53">
        <f t="shared" si="13"/>
        <v>30</v>
      </c>
      <c r="M94" s="17">
        <f t="shared" si="11"/>
        <v>0</v>
      </c>
      <c r="N94" s="18">
        <f t="shared" si="12"/>
        <v>1</v>
      </c>
      <c r="O94" s="27"/>
      <c r="P94" s="8"/>
      <c r="Q94" s="8"/>
      <c r="R94" s="8"/>
      <c r="S94" s="27"/>
      <c r="T94" s="27"/>
      <c r="U94" s="8"/>
      <c r="V94" s="8"/>
      <c r="W94" s="8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8"/>
      <c r="AL94" s="8"/>
      <c r="AM94" s="8"/>
      <c r="AN94" s="27"/>
      <c r="AO94" s="8"/>
      <c r="AP94" s="8"/>
      <c r="AQ94" s="27"/>
      <c r="AR94" s="27"/>
      <c r="AS94" s="27"/>
    </row>
    <row r="95" spans="1:45" ht="15.75" thickBot="1" x14ac:dyDescent="0.3">
      <c r="A95" s="51" t="s">
        <v>243</v>
      </c>
      <c r="B95" s="51" t="s">
        <v>247</v>
      </c>
      <c r="C95" s="51" t="s">
        <v>1391</v>
      </c>
      <c r="D95" s="51" t="s">
        <v>248</v>
      </c>
      <c r="E95" s="51" t="s">
        <v>19</v>
      </c>
      <c r="F95" s="51" t="s">
        <v>36</v>
      </c>
      <c r="G95" s="51"/>
      <c r="H95" s="51" t="s">
        <v>249</v>
      </c>
      <c r="I95" s="16">
        <v>-348083930000</v>
      </c>
      <c r="J95" s="16">
        <v>-582918310000</v>
      </c>
      <c r="K95" s="51" t="s">
        <v>918</v>
      </c>
      <c r="L95" s="53">
        <f t="shared" si="13"/>
        <v>30</v>
      </c>
      <c r="M95" s="17">
        <f t="shared" si="11"/>
        <v>0</v>
      </c>
      <c r="N95" s="18">
        <f t="shared" si="12"/>
        <v>1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8"/>
      <c r="AL95" s="8"/>
      <c r="AM95" s="8"/>
      <c r="AN95" s="27"/>
      <c r="AO95" s="8"/>
      <c r="AP95" s="8"/>
      <c r="AQ95" s="27"/>
      <c r="AR95" s="27"/>
      <c r="AS95" s="27"/>
    </row>
    <row r="96" spans="1:45" ht="15.75" thickBot="1" x14ac:dyDescent="0.3">
      <c r="A96" s="51" t="s">
        <v>243</v>
      </c>
      <c r="B96" s="51" t="s">
        <v>250</v>
      </c>
      <c r="C96" s="51" t="s">
        <v>1391</v>
      </c>
      <c r="D96" s="51" t="s">
        <v>251</v>
      </c>
      <c r="E96" s="51" t="s">
        <v>19</v>
      </c>
      <c r="F96" s="51" t="s">
        <v>36</v>
      </c>
      <c r="G96" s="51"/>
      <c r="H96" s="51" t="s">
        <v>252</v>
      </c>
      <c r="I96" s="16">
        <v>-348019100000</v>
      </c>
      <c r="J96" s="16">
        <v>-582901420000</v>
      </c>
      <c r="K96" s="51" t="s">
        <v>919</v>
      </c>
      <c r="L96" s="53">
        <f t="shared" si="13"/>
        <v>30</v>
      </c>
      <c r="M96" s="17">
        <f t="shared" si="11"/>
        <v>0</v>
      </c>
      <c r="N96" s="18">
        <f t="shared" si="12"/>
        <v>1</v>
      </c>
      <c r="O96" s="27"/>
      <c r="P96" s="8"/>
      <c r="Q96" s="8"/>
      <c r="R96" s="8"/>
      <c r="S96" s="27"/>
      <c r="T96" s="27"/>
      <c r="U96" s="8"/>
      <c r="V96" s="8"/>
      <c r="W96" s="8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8"/>
      <c r="AL96" s="8"/>
      <c r="AM96" s="8"/>
      <c r="AN96" s="27"/>
      <c r="AO96" s="8"/>
      <c r="AP96" s="8"/>
      <c r="AQ96" s="27"/>
      <c r="AR96" s="27"/>
      <c r="AS96" s="27"/>
    </row>
    <row r="97" spans="1:45" ht="15.75" thickBot="1" x14ac:dyDescent="0.3">
      <c r="A97" s="51" t="s">
        <v>256</v>
      </c>
      <c r="B97" s="51" t="s">
        <v>1248</v>
      </c>
      <c r="C97" s="51" t="s">
        <v>1392</v>
      </c>
      <c r="D97" s="51" t="s">
        <v>260</v>
      </c>
      <c r="E97" s="51" t="s">
        <v>19</v>
      </c>
      <c r="F97" s="51" t="s">
        <v>25</v>
      </c>
      <c r="G97" s="51"/>
      <c r="H97" s="51" t="s">
        <v>261</v>
      </c>
      <c r="I97" s="16">
        <v>-348376190000</v>
      </c>
      <c r="J97" s="16">
        <v>-582703080000</v>
      </c>
      <c r="K97" s="51" t="s">
        <v>922</v>
      </c>
      <c r="L97" s="53">
        <f t="shared" si="13"/>
        <v>29</v>
      </c>
      <c r="M97" s="17">
        <f t="shared" si="11"/>
        <v>1</v>
      </c>
      <c r="N97" s="18">
        <f t="shared" si="12"/>
        <v>0.96666666666666667</v>
      </c>
      <c r="O97" s="27"/>
      <c r="P97" s="8"/>
      <c r="Q97" s="8"/>
      <c r="R97" s="8"/>
      <c r="S97" s="27"/>
      <c r="T97" s="27"/>
      <c r="U97" s="8" t="s">
        <v>1209</v>
      </c>
      <c r="V97" s="8"/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8"/>
      <c r="AL97" s="8"/>
      <c r="AM97" s="8"/>
      <c r="AN97" s="27"/>
      <c r="AO97" s="8"/>
      <c r="AP97" s="8"/>
      <c r="AQ97" s="27"/>
      <c r="AR97" s="27"/>
      <c r="AS97" s="27"/>
    </row>
    <row r="98" spans="1:45" ht="15.75" thickBot="1" x14ac:dyDescent="0.3">
      <c r="A98" s="51" t="s">
        <v>253</v>
      </c>
      <c r="B98" s="51" t="s">
        <v>254</v>
      </c>
      <c r="C98" s="51" t="s">
        <v>1392</v>
      </c>
      <c r="D98" s="51" t="s">
        <v>255</v>
      </c>
      <c r="E98" s="51" t="s">
        <v>24</v>
      </c>
      <c r="F98" s="51" t="s">
        <v>25</v>
      </c>
      <c r="G98" s="51" t="s">
        <v>146</v>
      </c>
      <c r="H98" s="51"/>
      <c r="I98" s="16">
        <v>-348419680000</v>
      </c>
      <c r="J98" s="16">
        <v>-582787590000</v>
      </c>
      <c r="K98" s="51" t="s">
        <v>920</v>
      </c>
      <c r="L98" s="53">
        <f t="shared" si="13"/>
        <v>30</v>
      </c>
      <c r="M98" s="17">
        <f t="shared" si="11"/>
        <v>0</v>
      </c>
      <c r="N98" s="18">
        <f t="shared" si="12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8"/>
      <c r="AL98" s="8"/>
      <c r="AM98" s="8"/>
      <c r="AN98" s="27"/>
      <c r="AO98" s="8"/>
      <c r="AP98" s="8"/>
      <c r="AQ98" s="27"/>
      <c r="AR98" s="27"/>
      <c r="AS98" s="27"/>
    </row>
    <row r="99" spans="1:45" ht="15.75" thickBot="1" x14ac:dyDescent="0.3">
      <c r="A99" s="51" t="s">
        <v>256</v>
      </c>
      <c r="B99" s="51" t="s">
        <v>257</v>
      </c>
      <c r="C99" s="51" t="s">
        <v>1392</v>
      </c>
      <c r="D99" s="51" t="s">
        <v>258</v>
      </c>
      <c r="E99" s="51" t="s">
        <v>24</v>
      </c>
      <c r="F99" s="51" t="s">
        <v>25</v>
      </c>
      <c r="G99" s="51" t="s">
        <v>259</v>
      </c>
      <c r="H99" s="51"/>
      <c r="I99" s="16">
        <v>-348439980000</v>
      </c>
      <c r="J99" s="16">
        <v>-582786670000</v>
      </c>
      <c r="K99" s="51" t="s">
        <v>921</v>
      </c>
      <c r="L99" s="53">
        <f t="shared" si="13"/>
        <v>30</v>
      </c>
      <c r="M99" s="17">
        <f t="shared" si="11"/>
        <v>0</v>
      </c>
      <c r="N99" s="18">
        <f t="shared" si="12"/>
        <v>1</v>
      </c>
      <c r="O99" s="27"/>
      <c r="P99" s="8"/>
      <c r="Q99" s="8"/>
      <c r="R99" s="8"/>
      <c r="S99" s="27"/>
      <c r="T99" s="27"/>
      <c r="U99" s="8"/>
      <c r="V99" s="8"/>
      <c r="W99" s="8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8"/>
      <c r="AL99" s="8"/>
      <c r="AM99" s="8"/>
      <c r="AN99" s="27"/>
      <c r="AO99" s="8"/>
      <c r="AP99" s="8"/>
      <c r="AQ99" s="27"/>
      <c r="AR99" s="27"/>
      <c r="AS99" s="27"/>
    </row>
    <row r="100" spans="1:45" ht="15.75" thickBot="1" x14ac:dyDescent="0.3">
      <c r="A100" s="51" t="s">
        <v>264</v>
      </c>
      <c r="B100" s="51" t="s">
        <v>1249</v>
      </c>
      <c r="C100" s="51" t="s">
        <v>1391</v>
      </c>
      <c r="D100" s="51" t="s">
        <v>265</v>
      </c>
      <c r="E100" s="51" t="s">
        <v>102</v>
      </c>
      <c r="F100" s="51" t="s">
        <v>1384</v>
      </c>
      <c r="G100" s="51"/>
      <c r="H100" s="51" t="s">
        <v>266</v>
      </c>
      <c r="I100" s="16">
        <v>-347971580000</v>
      </c>
      <c r="J100" s="16">
        <v>-583070820000</v>
      </c>
      <c r="K100" s="51" t="s">
        <v>924</v>
      </c>
      <c r="L100" s="53">
        <f t="shared" si="13"/>
        <v>29</v>
      </c>
      <c r="M100" s="17">
        <f t="shared" si="11"/>
        <v>0</v>
      </c>
      <c r="N100" s="18">
        <f t="shared" si="12"/>
        <v>1</v>
      </c>
      <c r="O100" s="27"/>
      <c r="P100" s="8"/>
      <c r="Q100" s="8"/>
      <c r="R100" s="8"/>
      <c r="S100" s="27" t="s">
        <v>826</v>
      </c>
      <c r="T100" s="27"/>
      <c r="U100" s="8"/>
      <c r="V100" s="8"/>
      <c r="W100" s="8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8"/>
      <c r="AL100" s="8"/>
      <c r="AM100" s="8"/>
      <c r="AN100" s="27"/>
      <c r="AO100" s="8"/>
      <c r="AP100" s="8"/>
      <c r="AQ100" s="27"/>
      <c r="AR100" s="27"/>
      <c r="AS100" s="27"/>
    </row>
    <row r="101" spans="1:45" ht="15.75" thickBot="1" x14ac:dyDescent="0.3">
      <c r="A101" s="51" t="s">
        <v>264</v>
      </c>
      <c r="B101" s="51" t="s">
        <v>1250</v>
      </c>
      <c r="C101" s="51" t="s">
        <v>1391</v>
      </c>
      <c r="D101" s="51" t="s">
        <v>265</v>
      </c>
      <c r="E101" s="51" t="s">
        <v>102</v>
      </c>
      <c r="F101" s="51" t="s">
        <v>1384</v>
      </c>
      <c r="G101" s="51"/>
      <c r="H101" s="51" t="s">
        <v>267</v>
      </c>
      <c r="I101" s="16">
        <v>-347971580000</v>
      </c>
      <c r="J101" s="16">
        <v>-583070820000</v>
      </c>
      <c r="K101" s="51" t="s">
        <v>925</v>
      </c>
      <c r="L101" s="53">
        <f t="shared" si="13"/>
        <v>30</v>
      </c>
      <c r="M101" s="17">
        <f t="shared" si="11"/>
        <v>0</v>
      </c>
      <c r="N101" s="18">
        <f t="shared" si="12"/>
        <v>1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8"/>
      <c r="AL101" s="8"/>
      <c r="AM101" s="8"/>
      <c r="AN101" s="27"/>
      <c r="AO101" s="8"/>
      <c r="AP101" s="8"/>
      <c r="AQ101" s="27"/>
      <c r="AR101" s="27"/>
      <c r="AS101" s="27"/>
    </row>
    <row r="102" spans="1:45" ht="15.75" thickBot="1" x14ac:dyDescent="0.3">
      <c r="A102" s="51" t="s">
        <v>264</v>
      </c>
      <c r="B102" s="51" t="s">
        <v>1251</v>
      </c>
      <c r="C102" s="51" t="s">
        <v>1391</v>
      </c>
      <c r="D102" s="51" t="s">
        <v>1252</v>
      </c>
      <c r="E102" s="51" t="s">
        <v>102</v>
      </c>
      <c r="F102" s="51" t="s">
        <v>25</v>
      </c>
      <c r="G102" s="51"/>
      <c r="H102" s="51"/>
      <c r="I102" s="16">
        <v>-347949490000</v>
      </c>
      <c r="J102" s="16">
        <v>-583120180000</v>
      </c>
      <c r="K102" s="51"/>
      <c r="L102" s="53">
        <f t="shared" si="13"/>
        <v>30</v>
      </c>
      <c r="M102" s="17">
        <f t="shared" si="11"/>
        <v>0</v>
      </c>
      <c r="N102" s="18">
        <f t="shared" si="12"/>
        <v>1</v>
      </c>
      <c r="O102" s="27"/>
      <c r="P102" s="8"/>
      <c r="Q102" s="8"/>
      <c r="R102" s="8"/>
      <c r="S102" s="27"/>
      <c r="T102" s="27"/>
      <c r="U102" s="8"/>
      <c r="V102" s="8"/>
      <c r="W102" s="8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8"/>
      <c r="AL102" s="8"/>
      <c r="AM102" s="8"/>
      <c r="AN102" s="27"/>
      <c r="AO102" s="8"/>
      <c r="AP102" s="8"/>
      <c r="AQ102" s="27"/>
      <c r="AR102" s="27"/>
      <c r="AS102" s="27"/>
    </row>
    <row r="103" spans="1:45" ht="15.75" thickBot="1" x14ac:dyDescent="0.3">
      <c r="A103" s="51" t="s">
        <v>264</v>
      </c>
      <c r="B103" s="51" t="s">
        <v>1253</v>
      </c>
      <c r="C103" s="51" t="s">
        <v>1391</v>
      </c>
      <c r="D103" s="51" t="s">
        <v>1252</v>
      </c>
      <c r="E103" s="51" t="s">
        <v>102</v>
      </c>
      <c r="F103" s="51" t="s">
        <v>25</v>
      </c>
      <c r="G103" s="51"/>
      <c r="H103" s="51"/>
      <c r="I103" s="16">
        <v>-347949410000</v>
      </c>
      <c r="J103" s="16">
        <v>-583120820000</v>
      </c>
      <c r="K103" s="51"/>
      <c r="L103" s="53">
        <f t="shared" si="13"/>
        <v>30</v>
      </c>
      <c r="M103" s="17">
        <f t="shared" si="11"/>
        <v>0</v>
      </c>
      <c r="N103" s="18">
        <f t="shared" si="12"/>
        <v>1</v>
      </c>
      <c r="O103" s="27"/>
      <c r="P103" s="8"/>
      <c r="Q103" s="8"/>
      <c r="R103" s="8"/>
      <c r="S103" s="27"/>
      <c r="T103" s="27"/>
      <c r="U103" s="8"/>
      <c r="V103" s="8"/>
      <c r="W103" s="8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8"/>
      <c r="AL103" s="8"/>
      <c r="AM103" s="8"/>
      <c r="AN103" s="27"/>
      <c r="AO103" s="8"/>
      <c r="AP103" s="8"/>
      <c r="AQ103" s="27"/>
      <c r="AR103" s="27"/>
      <c r="AS103" s="27"/>
    </row>
    <row r="104" spans="1:45" ht="15.75" thickBot="1" x14ac:dyDescent="0.3">
      <c r="A104" s="51" t="s">
        <v>264</v>
      </c>
      <c r="B104" s="51" t="s">
        <v>262</v>
      </c>
      <c r="C104" s="51" t="s">
        <v>1391</v>
      </c>
      <c r="D104" s="51" t="s">
        <v>263</v>
      </c>
      <c r="E104" s="51" t="s">
        <v>24</v>
      </c>
      <c r="F104" s="51" t="s">
        <v>20</v>
      </c>
      <c r="G104" s="51" t="s">
        <v>103</v>
      </c>
      <c r="H104" s="51"/>
      <c r="I104" s="16">
        <v>-347933300000</v>
      </c>
      <c r="J104" s="16">
        <v>-583098510000</v>
      </c>
      <c r="K104" s="51" t="s">
        <v>923</v>
      </c>
      <c r="L104" s="53">
        <f t="shared" si="13"/>
        <v>30</v>
      </c>
      <c r="M104" s="17">
        <f t="shared" si="11"/>
        <v>0</v>
      </c>
      <c r="N104" s="18">
        <f t="shared" si="12"/>
        <v>1</v>
      </c>
      <c r="O104" s="27"/>
      <c r="P104" s="8"/>
      <c r="Q104" s="8"/>
      <c r="R104" s="8"/>
      <c r="S104" s="27"/>
      <c r="T104" s="27"/>
      <c r="U104" s="8"/>
      <c r="V104" s="8"/>
      <c r="W104" s="8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8"/>
      <c r="AL104" s="8"/>
      <c r="AM104" s="8"/>
      <c r="AN104" s="27"/>
      <c r="AO104" s="8"/>
      <c r="AP104" s="8"/>
      <c r="AQ104" s="27"/>
      <c r="AR104" s="27"/>
      <c r="AS104" s="27"/>
    </row>
    <row r="105" spans="1:45" ht="16.149999999999999" customHeight="1" thickBot="1" x14ac:dyDescent="0.3">
      <c r="A105" s="51" t="s">
        <v>268</v>
      </c>
      <c r="B105" s="51" t="s">
        <v>1254</v>
      </c>
      <c r="C105" s="51" t="s">
        <v>1392</v>
      </c>
      <c r="D105" s="51" t="s">
        <v>269</v>
      </c>
      <c r="E105" s="51" t="s">
        <v>19</v>
      </c>
      <c r="F105" s="51" t="s">
        <v>36</v>
      </c>
      <c r="G105" s="51"/>
      <c r="H105" s="51" t="s">
        <v>270</v>
      </c>
      <c r="I105" s="16">
        <v>-348640160000</v>
      </c>
      <c r="J105" s="16">
        <v>-581864200000</v>
      </c>
      <c r="K105" s="51" t="s">
        <v>926</v>
      </c>
      <c r="L105" s="53">
        <f t="shared" si="13"/>
        <v>30</v>
      </c>
      <c r="M105" s="17">
        <f t="shared" si="11"/>
        <v>0</v>
      </c>
      <c r="N105" s="18">
        <f t="shared" si="12"/>
        <v>1</v>
      </c>
      <c r="O105" s="27"/>
      <c r="P105" s="8"/>
      <c r="Q105" s="8"/>
      <c r="R105" s="8"/>
      <c r="S105" s="27"/>
      <c r="T105" s="27"/>
      <c r="U105" s="8"/>
      <c r="V105" s="8"/>
      <c r="W105" s="8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8"/>
      <c r="AL105" s="8"/>
      <c r="AM105" s="8"/>
      <c r="AN105" s="27"/>
      <c r="AO105" s="8"/>
      <c r="AP105" s="8"/>
      <c r="AQ105" s="27"/>
      <c r="AR105" s="27"/>
      <c r="AS105" s="27"/>
    </row>
    <row r="106" spans="1:45" ht="15.75" thickBot="1" x14ac:dyDescent="0.3">
      <c r="A106" s="51" t="s">
        <v>268</v>
      </c>
      <c r="B106" s="51" t="s">
        <v>1255</v>
      </c>
      <c r="C106" s="51" t="s">
        <v>1392</v>
      </c>
      <c r="D106" s="51" t="s">
        <v>271</v>
      </c>
      <c r="E106" s="51" t="s">
        <v>19</v>
      </c>
      <c r="F106" s="51" t="s">
        <v>36</v>
      </c>
      <c r="G106" s="51"/>
      <c r="H106" s="51" t="s">
        <v>270</v>
      </c>
      <c r="I106" s="16">
        <v>-348649110000</v>
      </c>
      <c r="J106" s="16">
        <v>-581897790000</v>
      </c>
      <c r="K106" s="51" t="s">
        <v>927</v>
      </c>
      <c r="L106" s="53">
        <f t="shared" si="13"/>
        <v>30</v>
      </c>
      <c r="M106" s="17">
        <f t="shared" si="11"/>
        <v>0</v>
      </c>
      <c r="N106" s="18">
        <f t="shared" si="12"/>
        <v>1</v>
      </c>
      <c r="O106" s="27"/>
      <c r="P106" s="8"/>
      <c r="Q106" s="8"/>
      <c r="R106" s="8"/>
      <c r="S106" s="27"/>
      <c r="T106" s="27"/>
      <c r="U106" s="8"/>
      <c r="V106" s="8"/>
      <c r="W106" s="8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8"/>
      <c r="AL106" s="8"/>
      <c r="AM106" s="8"/>
      <c r="AN106" s="27"/>
      <c r="AO106" s="8"/>
      <c r="AP106" s="8"/>
      <c r="AQ106" s="27"/>
      <c r="AR106" s="27"/>
      <c r="AS106" s="27"/>
    </row>
    <row r="107" spans="1:45" ht="15.75" thickBot="1" x14ac:dyDescent="0.3">
      <c r="A107" s="51" t="s">
        <v>268</v>
      </c>
      <c r="B107" s="51" t="s">
        <v>1256</v>
      </c>
      <c r="C107" s="51" t="s">
        <v>1392</v>
      </c>
      <c r="D107" s="51" t="s">
        <v>272</v>
      </c>
      <c r="E107" s="51" t="s">
        <v>24</v>
      </c>
      <c r="F107" s="51" t="s">
        <v>36</v>
      </c>
      <c r="G107" s="51"/>
      <c r="H107" s="51" t="s">
        <v>273</v>
      </c>
      <c r="I107" s="16">
        <v>-348627750000</v>
      </c>
      <c r="J107" s="16">
        <v>-581816550000</v>
      </c>
      <c r="K107" s="51" t="s">
        <v>928</v>
      </c>
      <c r="L107" s="53">
        <f t="shared" si="13"/>
        <v>30</v>
      </c>
      <c r="M107" s="17">
        <f t="shared" si="11"/>
        <v>0</v>
      </c>
      <c r="N107" s="18">
        <f t="shared" si="12"/>
        <v>1</v>
      </c>
      <c r="O107" s="27"/>
      <c r="P107" s="8"/>
      <c r="Q107" s="8"/>
      <c r="R107" s="8"/>
      <c r="S107" s="27"/>
      <c r="T107" s="27"/>
      <c r="U107" s="8"/>
      <c r="V107" s="8"/>
      <c r="W107" s="8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8"/>
      <c r="AL107" s="8"/>
      <c r="AM107" s="8"/>
      <c r="AN107" s="27"/>
      <c r="AO107" s="8"/>
      <c r="AP107" s="8"/>
      <c r="AQ107" s="27"/>
      <c r="AR107" s="27"/>
      <c r="AS107" s="27"/>
    </row>
    <row r="108" spans="1:45" ht="15.75" thickBot="1" x14ac:dyDescent="0.3">
      <c r="A108" s="51" t="s">
        <v>268</v>
      </c>
      <c r="B108" s="51" t="s">
        <v>1257</v>
      </c>
      <c r="C108" s="51" t="s">
        <v>1392</v>
      </c>
      <c r="D108" s="51" t="s">
        <v>274</v>
      </c>
      <c r="E108" s="51" t="s">
        <v>19</v>
      </c>
      <c r="F108" s="51" t="s">
        <v>36</v>
      </c>
      <c r="G108" s="51"/>
      <c r="H108" s="51" t="s">
        <v>275</v>
      </c>
      <c r="I108" s="16">
        <v>-348644840000</v>
      </c>
      <c r="J108" s="16">
        <v>-581880940000</v>
      </c>
      <c r="K108" s="51" t="s">
        <v>929</v>
      </c>
      <c r="L108" s="53">
        <f t="shared" si="13"/>
        <v>30</v>
      </c>
      <c r="M108" s="17">
        <f t="shared" si="11"/>
        <v>0</v>
      </c>
      <c r="N108" s="18">
        <f t="shared" si="12"/>
        <v>1</v>
      </c>
      <c r="O108" s="27"/>
      <c r="P108" s="8"/>
      <c r="Q108" s="8"/>
      <c r="R108" s="8"/>
      <c r="S108" s="27"/>
      <c r="T108" s="27"/>
      <c r="U108" s="8"/>
      <c r="V108" s="8"/>
      <c r="W108" s="8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8"/>
      <c r="AL108" s="8"/>
      <c r="AM108" s="8"/>
      <c r="AN108" s="27"/>
      <c r="AO108" s="8"/>
      <c r="AP108" s="8"/>
      <c r="AQ108" s="27"/>
      <c r="AR108" s="27"/>
      <c r="AS108" s="27"/>
    </row>
    <row r="109" spans="1:45" ht="15.75" thickBot="1" x14ac:dyDescent="0.3">
      <c r="A109" s="51" t="s">
        <v>276</v>
      </c>
      <c r="B109" s="51" t="s">
        <v>279</v>
      </c>
      <c r="C109" s="51" t="s">
        <v>1392</v>
      </c>
      <c r="D109" s="51" t="s">
        <v>1258</v>
      </c>
      <c r="E109" s="51" t="s">
        <v>65</v>
      </c>
      <c r="F109" s="51" t="s">
        <v>25</v>
      </c>
      <c r="G109" s="51"/>
      <c r="H109" s="51" t="s">
        <v>280</v>
      </c>
      <c r="I109" s="16">
        <v>-348166000000</v>
      </c>
      <c r="J109" s="16">
        <v>-582800440000</v>
      </c>
      <c r="K109" s="51" t="s">
        <v>937</v>
      </c>
      <c r="L109" s="53">
        <f t="shared" si="13"/>
        <v>30</v>
      </c>
      <c r="M109" s="17">
        <f t="shared" si="11"/>
        <v>0</v>
      </c>
      <c r="N109" s="18">
        <f t="shared" si="12"/>
        <v>1</v>
      </c>
      <c r="O109" s="27"/>
      <c r="P109" s="8"/>
      <c r="Q109" s="8"/>
      <c r="R109" s="8"/>
      <c r="S109" s="27"/>
      <c r="T109" s="27"/>
      <c r="U109" s="8"/>
      <c r="V109" s="8"/>
      <c r="W109" s="8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8"/>
      <c r="AL109" s="8"/>
      <c r="AM109" s="8"/>
      <c r="AN109" s="27"/>
      <c r="AO109" s="8"/>
      <c r="AP109" s="8"/>
      <c r="AQ109" s="27"/>
      <c r="AR109" s="27"/>
      <c r="AS109" s="27"/>
    </row>
    <row r="110" spans="1:45" ht="15.75" thickBot="1" x14ac:dyDescent="0.3">
      <c r="A110" s="51" t="s">
        <v>276</v>
      </c>
      <c r="B110" s="51" t="s">
        <v>281</v>
      </c>
      <c r="C110" s="51" t="s">
        <v>1392</v>
      </c>
      <c r="D110" s="51" t="s">
        <v>282</v>
      </c>
      <c r="E110" s="51" t="s">
        <v>24</v>
      </c>
      <c r="F110" s="51" t="s">
        <v>25</v>
      </c>
      <c r="G110" s="51" t="s">
        <v>103</v>
      </c>
      <c r="H110" s="51"/>
      <c r="I110" s="16">
        <v>-348120060000</v>
      </c>
      <c r="J110" s="16">
        <v>-582823850000</v>
      </c>
      <c r="K110" s="51" t="s">
        <v>930</v>
      </c>
      <c r="L110" s="53">
        <f t="shared" si="13"/>
        <v>30</v>
      </c>
      <c r="M110" s="17">
        <f t="shared" si="11"/>
        <v>0</v>
      </c>
      <c r="N110" s="18">
        <f t="shared" si="12"/>
        <v>1</v>
      </c>
      <c r="O110" s="27"/>
      <c r="P110" s="8"/>
      <c r="Q110" s="8"/>
      <c r="R110" s="8"/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8"/>
      <c r="AL110" s="8"/>
      <c r="AM110" s="8"/>
      <c r="AN110" s="27"/>
      <c r="AO110" s="8"/>
      <c r="AP110" s="8"/>
      <c r="AQ110" s="27"/>
      <c r="AR110" s="27"/>
      <c r="AS110" s="27"/>
    </row>
    <row r="111" spans="1:45" ht="15.75" thickBot="1" x14ac:dyDescent="0.3">
      <c r="A111" s="51" t="s">
        <v>283</v>
      </c>
      <c r="B111" s="51" t="s">
        <v>284</v>
      </c>
      <c r="C111" s="51" t="s">
        <v>1392</v>
      </c>
      <c r="D111" s="51" t="s">
        <v>285</v>
      </c>
      <c r="E111" s="51" t="s">
        <v>24</v>
      </c>
      <c r="F111" s="51" t="s">
        <v>1384</v>
      </c>
      <c r="G111" s="51" t="s">
        <v>136</v>
      </c>
      <c r="H111" s="51"/>
      <c r="I111" s="16">
        <v>-348125000000</v>
      </c>
      <c r="J111" s="16">
        <v>-582916650000</v>
      </c>
      <c r="K111" s="51" t="s">
        <v>931</v>
      </c>
      <c r="L111" s="53">
        <f t="shared" si="13"/>
        <v>30</v>
      </c>
      <c r="M111" s="17">
        <f t="shared" si="11"/>
        <v>0</v>
      </c>
      <c r="N111" s="18">
        <f t="shared" si="12"/>
        <v>1</v>
      </c>
      <c r="O111" s="27"/>
      <c r="P111" s="8"/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8"/>
      <c r="AL111" s="8"/>
      <c r="AM111" s="8"/>
      <c r="AN111" s="27"/>
      <c r="AO111" s="8"/>
      <c r="AP111" s="8"/>
      <c r="AQ111" s="27"/>
      <c r="AR111" s="27"/>
      <c r="AS111" s="27"/>
    </row>
    <row r="112" spans="1:45" ht="15.75" thickBot="1" x14ac:dyDescent="0.3">
      <c r="A112" s="51" t="s">
        <v>286</v>
      </c>
      <c r="B112" s="51" t="s">
        <v>287</v>
      </c>
      <c r="C112" s="51" t="s">
        <v>1392</v>
      </c>
      <c r="D112" s="51" t="s">
        <v>288</v>
      </c>
      <c r="E112" s="51" t="s">
        <v>19</v>
      </c>
      <c r="F112" s="51" t="s">
        <v>1384</v>
      </c>
      <c r="G112" s="51" t="s">
        <v>289</v>
      </c>
      <c r="H112" s="51"/>
      <c r="I112" s="16">
        <v>-348215020000</v>
      </c>
      <c r="J112" s="16">
        <v>-582844880000</v>
      </c>
      <c r="K112" s="51" t="s">
        <v>932</v>
      </c>
      <c r="L112" s="53">
        <f t="shared" si="13"/>
        <v>30</v>
      </c>
      <c r="M112" s="17">
        <f t="shared" si="11"/>
        <v>0</v>
      </c>
      <c r="N112" s="18">
        <f t="shared" si="12"/>
        <v>1</v>
      </c>
      <c r="O112" s="27"/>
      <c r="P112" s="8"/>
      <c r="Q112" s="8"/>
      <c r="R112" s="8"/>
      <c r="S112" s="27"/>
      <c r="T112" s="27"/>
      <c r="U112" s="8"/>
      <c r="V112" s="8"/>
      <c r="W112" s="8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8"/>
      <c r="AL112" s="8"/>
      <c r="AM112" s="8"/>
      <c r="AN112" s="27"/>
      <c r="AO112" s="8"/>
      <c r="AP112" s="8"/>
      <c r="AQ112" s="27"/>
      <c r="AR112" s="27"/>
      <c r="AS112" s="27"/>
    </row>
    <row r="113" spans="1:45" ht="15.75" thickBot="1" x14ac:dyDescent="0.3">
      <c r="A113" s="51" t="s">
        <v>276</v>
      </c>
      <c r="B113" s="51" t="s">
        <v>290</v>
      </c>
      <c r="C113" s="51" t="s">
        <v>1392</v>
      </c>
      <c r="D113" s="51" t="s">
        <v>291</v>
      </c>
      <c r="E113" s="51" t="s">
        <v>24</v>
      </c>
      <c r="F113" s="51" t="s">
        <v>1383</v>
      </c>
      <c r="G113" s="51" t="s">
        <v>146</v>
      </c>
      <c r="H113" s="51"/>
      <c r="I113" s="16">
        <v>-348128700000</v>
      </c>
      <c r="J113" s="16">
        <v>-582840370000</v>
      </c>
      <c r="K113" s="51" t="s">
        <v>933</v>
      </c>
      <c r="L113" s="53">
        <f t="shared" si="13"/>
        <v>30</v>
      </c>
      <c r="M113" s="17">
        <f t="shared" si="11"/>
        <v>0</v>
      </c>
      <c r="N113" s="18">
        <f t="shared" si="12"/>
        <v>1</v>
      </c>
      <c r="O113" s="27"/>
      <c r="P113" s="8"/>
      <c r="Q113" s="8"/>
      <c r="R113" s="8"/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8"/>
      <c r="AL113" s="8"/>
      <c r="AM113" s="8"/>
      <c r="AN113" s="27"/>
      <c r="AO113" s="8"/>
      <c r="AP113" s="8"/>
      <c r="AQ113" s="27"/>
      <c r="AR113" s="27"/>
      <c r="AS113" s="27"/>
    </row>
    <row r="114" spans="1:45" ht="15.75" thickBot="1" x14ac:dyDescent="0.3">
      <c r="A114" s="51" t="s">
        <v>276</v>
      </c>
      <c r="B114" s="51" t="s">
        <v>292</v>
      </c>
      <c r="C114" s="51" t="s">
        <v>1392</v>
      </c>
      <c r="D114" s="51" t="s">
        <v>293</v>
      </c>
      <c r="E114" s="51" t="s">
        <v>24</v>
      </c>
      <c r="F114" s="51" t="s">
        <v>1383</v>
      </c>
      <c r="G114" s="51" t="s">
        <v>294</v>
      </c>
      <c r="H114" s="51"/>
      <c r="I114" s="16">
        <v>-348143510000</v>
      </c>
      <c r="J114" s="16">
        <v>-582840870000</v>
      </c>
      <c r="K114" s="51" t="s">
        <v>934</v>
      </c>
      <c r="L114" s="53">
        <f t="shared" si="13"/>
        <v>30</v>
      </c>
      <c r="M114" s="17">
        <f t="shared" si="11"/>
        <v>0</v>
      </c>
      <c r="N114" s="18">
        <f t="shared" si="12"/>
        <v>1</v>
      </c>
      <c r="O114" s="27"/>
      <c r="P114" s="8"/>
      <c r="Q114" s="8"/>
      <c r="R114" s="8"/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8"/>
      <c r="AL114" s="8"/>
      <c r="AM114" s="8"/>
      <c r="AN114" s="27"/>
      <c r="AO114" s="8"/>
      <c r="AP114" s="8"/>
      <c r="AQ114" s="27"/>
      <c r="AR114" s="27"/>
      <c r="AS114" s="27"/>
    </row>
    <row r="115" spans="1:45" ht="15.75" thickBot="1" x14ac:dyDescent="0.3">
      <c r="A115" s="51" t="s">
        <v>276</v>
      </c>
      <c r="B115" s="51" t="s">
        <v>295</v>
      </c>
      <c r="C115" s="51" t="s">
        <v>1392</v>
      </c>
      <c r="D115" s="51" t="s">
        <v>296</v>
      </c>
      <c r="E115" s="51" t="s">
        <v>24</v>
      </c>
      <c r="F115" s="51" t="s">
        <v>25</v>
      </c>
      <c r="G115" s="51" t="s">
        <v>297</v>
      </c>
      <c r="H115" s="51"/>
      <c r="I115" s="16">
        <v>-348122180000</v>
      </c>
      <c r="J115" s="16">
        <v>-582880340000</v>
      </c>
      <c r="K115" s="51" t="s">
        <v>935</v>
      </c>
      <c r="L115" s="53">
        <f t="shared" si="13"/>
        <v>30</v>
      </c>
      <c r="M115" s="17">
        <f t="shared" si="11"/>
        <v>0</v>
      </c>
      <c r="N115" s="18">
        <f t="shared" si="12"/>
        <v>1</v>
      </c>
      <c r="O115" s="27"/>
      <c r="P115" s="8"/>
      <c r="Q115" s="8"/>
      <c r="R115" s="8"/>
      <c r="S115" s="27"/>
      <c r="T115" s="27"/>
      <c r="U115" s="8"/>
      <c r="V115" s="8"/>
      <c r="W115" s="8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8"/>
      <c r="AL115" s="8"/>
      <c r="AM115" s="8"/>
      <c r="AN115" s="27"/>
      <c r="AO115" s="8"/>
      <c r="AP115" s="8"/>
      <c r="AQ115" s="27"/>
      <c r="AR115" s="27"/>
      <c r="AS115" s="27"/>
    </row>
    <row r="116" spans="1:45" ht="15.75" thickBot="1" x14ac:dyDescent="0.3">
      <c r="A116" s="51" t="s">
        <v>276</v>
      </c>
      <c r="B116" s="51" t="s">
        <v>1259</v>
      </c>
      <c r="C116" s="51" t="s">
        <v>1392</v>
      </c>
      <c r="D116" s="51" t="s">
        <v>277</v>
      </c>
      <c r="E116" s="51" t="s">
        <v>19</v>
      </c>
      <c r="F116" s="51" t="s">
        <v>1384</v>
      </c>
      <c r="G116" s="51"/>
      <c r="H116" s="51" t="s">
        <v>278</v>
      </c>
      <c r="I116" s="16">
        <v>-348185740000</v>
      </c>
      <c r="J116" s="16">
        <v>-582866380000</v>
      </c>
      <c r="K116" s="51" t="s">
        <v>936</v>
      </c>
      <c r="L116" s="53">
        <f t="shared" si="13"/>
        <v>30</v>
      </c>
      <c r="M116" s="17">
        <f t="shared" si="11"/>
        <v>0</v>
      </c>
      <c r="N116" s="18">
        <f t="shared" si="12"/>
        <v>1</v>
      </c>
      <c r="O116" s="27"/>
      <c r="P116" s="8"/>
      <c r="Q116" s="8"/>
      <c r="R116" s="8"/>
      <c r="S116" s="27"/>
      <c r="T116" s="27"/>
      <c r="U116" s="8"/>
      <c r="V116" s="8"/>
      <c r="W116" s="8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8"/>
      <c r="AL116" s="8"/>
      <c r="AM116" s="8"/>
      <c r="AN116" s="27"/>
      <c r="AO116" s="8"/>
      <c r="AP116" s="8"/>
      <c r="AQ116" s="27"/>
      <c r="AR116" s="27"/>
      <c r="AS116" s="27"/>
    </row>
    <row r="117" spans="1:45" ht="15.75" thickBot="1" x14ac:dyDescent="0.3">
      <c r="A117" s="51" t="s">
        <v>276</v>
      </c>
      <c r="B117" s="51" t="s">
        <v>298</v>
      </c>
      <c r="C117" s="51" t="s">
        <v>1392</v>
      </c>
      <c r="D117" s="51" t="s">
        <v>299</v>
      </c>
      <c r="E117" s="51" t="s">
        <v>102</v>
      </c>
      <c r="F117" s="51" t="s">
        <v>36</v>
      </c>
      <c r="G117" s="51"/>
      <c r="H117" s="51" t="s">
        <v>300</v>
      </c>
      <c r="I117" s="16">
        <v>-348119540000</v>
      </c>
      <c r="J117" s="16">
        <v>-582824360000</v>
      </c>
      <c r="K117" s="51" t="s">
        <v>938</v>
      </c>
      <c r="L117" s="53">
        <f t="shared" si="13"/>
        <v>30</v>
      </c>
      <c r="M117" s="17">
        <f t="shared" si="11"/>
        <v>0</v>
      </c>
      <c r="N117" s="18">
        <f t="shared" si="12"/>
        <v>1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8"/>
      <c r="AL117" s="8"/>
      <c r="AM117" s="8"/>
      <c r="AN117" s="27"/>
      <c r="AO117" s="8"/>
      <c r="AP117" s="8"/>
      <c r="AQ117" s="27"/>
      <c r="AR117" s="27"/>
      <c r="AS117" s="27"/>
    </row>
    <row r="118" spans="1:45" ht="15.75" thickBot="1" x14ac:dyDescent="0.3">
      <c r="A118" s="51" t="s">
        <v>276</v>
      </c>
      <c r="B118" s="51" t="s">
        <v>301</v>
      </c>
      <c r="C118" s="51" t="s">
        <v>1392</v>
      </c>
      <c r="D118" s="51" t="s">
        <v>299</v>
      </c>
      <c r="E118" s="51" t="s">
        <v>102</v>
      </c>
      <c r="F118" s="51" t="s">
        <v>36</v>
      </c>
      <c r="G118" s="51"/>
      <c r="H118" s="51" t="s">
        <v>302</v>
      </c>
      <c r="I118" s="16">
        <v>-348119550000</v>
      </c>
      <c r="J118" s="16">
        <v>-582824410000</v>
      </c>
      <c r="K118" s="51" t="s">
        <v>939</v>
      </c>
      <c r="L118" s="53">
        <f t="shared" si="13"/>
        <v>30</v>
      </c>
      <c r="M118" s="17">
        <f t="shared" si="11"/>
        <v>0</v>
      </c>
      <c r="N118" s="18">
        <f t="shared" si="12"/>
        <v>1</v>
      </c>
      <c r="O118" s="27"/>
      <c r="P118" s="8"/>
      <c r="Q118" s="8"/>
      <c r="R118" s="8"/>
      <c r="S118" s="27"/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8"/>
      <c r="AL118" s="8"/>
      <c r="AM118" s="8"/>
      <c r="AN118" s="27"/>
      <c r="AO118" s="8"/>
      <c r="AP118" s="8"/>
      <c r="AQ118" s="27"/>
      <c r="AR118" s="27"/>
      <c r="AS118" s="27"/>
    </row>
    <row r="119" spans="1:45" ht="15.75" thickBot="1" x14ac:dyDescent="0.3">
      <c r="A119" s="51" t="s">
        <v>276</v>
      </c>
      <c r="B119" s="51" t="s">
        <v>303</v>
      </c>
      <c r="C119" s="51" t="s">
        <v>1392</v>
      </c>
      <c r="D119" s="51" t="s">
        <v>304</v>
      </c>
      <c r="E119" s="51" t="s">
        <v>102</v>
      </c>
      <c r="F119" s="51" t="s">
        <v>36</v>
      </c>
      <c r="G119" s="51"/>
      <c r="H119" s="51" t="s">
        <v>230</v>
      </c>
      <c r="I119" s="16">
        <v>-348203540000</v>
      </c>
      <c r="J119" s="16">
        <v>-582852520000</v>
      </c>
      <c r="K119" s="51" t="s">
        <v>906</v>
      </c>
      <c r="L119" s="53">
        <f t="shared" si="13"/>
        <v>30</v>
      </c>
      <c r="M119" s="17">
        <f t="shared" si="11"/>
        <v>0</v>
      </c>
      <c r="N119" s="18">
        <f t="shared" si="12"/>
        <v>1</v>
      </c>
      <c r="O119" s="27"/>
      <c r="P119" s="8"/>
      <c r="Q119" s="8"/>
      <c r="R119" s="8"/>
      <c r="S119" s="27"/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8"/>
      <c r="AL119" s="8"/>
      <c r="AM119" s="8"/>
      <c r="AN119" s="27"/>
      <c r="AO119" s="8"/>
      <c r="AP119" s="8"/>
      <c r="AQ119" s="27"/>
      <c r="AR119" s="27"/>
      <c r="AS119" s="27"/>
    </row>
    <row r="120" spans="1:45" ht="15.75" thickBot="1" x14ac:dyDescent="0.3">
      <c r="A120" s="51" t="s">
        <v>276</v>
      </c>
      <c r="B120" s="51" t="s">
        <v>305</v>
      </c>
      <c r="C120" s="51" t="s">
        <v>1392</v>
      </c>
      <c r="D120" s="51" t="s">
        <v>304</v>
      </c>
      <c r="E120" s="51" t="s">
        <v>102</v>
      </c>
      <c r="F120" s="51" t="s">
        <v>36</v>
      </c>
      <c r="G120" s="51"/>
      <c r="H120" s="51" t="s">
        <v>230</v>
      </c>
      <c r="I120" s="16">
        <v>-348203540000</v>
      </c>
      <c r="J120" s="16">
        <v>-582852520000</v>
      </c>
      <c r="K120" s="51" t="s">
        <v>907</v>
      </c>
      <c r="L120" s="53">
        <f t="shared" si="13"/>
        <v>30</v>
      </c>
      <c r="M120" s="17">
        <f t="shared" si="11"/>
        <v>0</v>
      </c>
      <c r="N120" s="18">
        <f t="shared" si="12"/>
        <v>1</v>
      </c>
      <c r="O120" s="27"/>
      <c r="P120" s="8"/>
      <c r="Q120" s="8"/>
      <c r="R120" s="8"/>
      <c r="S120" s="27"/>
      <c r="T120" s="27"/>
      <c r="U120" s="8"/>
      <c r="V120" s="8"/>
      <c r="W120" s="8"/>
      <c r="X120" s="5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8"/>
      <c r="AL120" s="8"/>
      <c r="AM120" s="8"/>
      <c r="AN120" s="27"/>
      <c r="AO120" s="8"/>
      <c r="AP120" s="8"/>
      <c r="AQ120" s="27"/>
      <c r="AR120" s="27"/>
      <c r="AS120" s="27"/>
    </row>
    <row r="121" spans="1:45" ht="15.75" thickBot="1" x14ac:dyDescent="0.3">
      <c r="A121" s="51" t="s">
        <v>306</v>
      </c>
      <c r="B121" s="51" t="s">
        <v>1260</v>
      </c>
      <c r="C121" s="51" t="s">
        <v>1392</v>
      </c>
      <c r="D121" s="51" t="s">
        <v>307</v>
      </c>
      <c r="E121" s="51" t="s">
        <v>19</v>
      </c>
      <c r="F121" s="51" t="s">
        <v>36</v>
      </c>
      <c r="G121" s="51"/>
      <c r="H121" s="51" t="s">
        <v>270</v>
      </c>
      <c r="I121" s="16">
        <v>-348663680000</v>
      </c>
      <c r="J121" s="16">
        <v>-581917520000</v>
      </c>
      <c r="K121" s="51" t="s">
        <v>941</v>
      </c>
      <c r="L121" s="53">
        <f t="shared" si="13"/>
        <v>30</v>
      </c>
      <c r="M121" s="17">
        <f t="shared" si="11"/>
        <v>0</v>
      </c>
      <c r="N121" s="18">
        <f t="shared" si="12"/>
        <v>1</v>
      </c>
      <c r="O121" s="27"/>
      <c r="P121" s="8"/>
      <c r="Q121" s="8"/>
      <c r="R121" s="8"/>
      <c r="S121" s="27"/>
      <c r="T121" s="27"/>
      <c r="U121" s="8"/>
      <c r="V121" s="8"/>
      <c r="W121" s="8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8"/>
      <c r="AL121" s="8"/>
      <c r="AM121" s="8"/>
      <c r="AN121" s="27"/>
      <c r="AO121" s="8"/>
      <c r="AP121" s="8"/>
      <c r="AQ121" s="27"/>
      <c r="AR121" s="27"/>
      <c r="AS121" s="27"/>
    </row>
    <row r="122" spans="1:45" ht="15.75" thickBot="1" x14ac:dyDescent="0.3">
      <c r="A122" s="51" t="s">
        <v>306</v>
      </c>
      <c r="B122" s="51" t="s">
        <v>1261</v>
      </c>
      <c r="C122" s="51" t="s">
        <v>1392</v>
      </c>
      <c r="D122" s="51" t="s">
        <v>308</v>
      </c>
      <c r="E122" s="51" t="s">
        <v>19</v>
      </c>
      <c r="F122" s="51" t="s">
        <v>36</v>
      </c>
      <c r="G122" s="51"/>
      <c r="H122" s="51" t="s">
        <v>270</v>
      </c>
      <c r="I122" s="16">
        <v>-348677360000</v>
      </c>
      <c r="J122" s="16">
        <v>-581899690000</v>
      </c>
      <c r="K122" s="51" t="s">
        <v>942</v>
      </c>
      <c r="L122" s="53">
        <f t="shared" si="13"/>
        <v>30</v>
      </c>
      <c r="M122" s="17">
        <f t="shared" si="11"/>
        <v>0</v>
      </c>
      <c r="N122" s="18">
        <f t="shared" si="12"/>
        <v>1</v>
      </c>
      <c r="O122" s="27"/>
      <c r="P122" s="8"/>
      <c r="Q122" s="8"/>
      <c r="R122" s="8"/>
      <c r="S122" s="27"/>
      <c r="T122" s="27"/>
      <c r="U122" s="8"/>
      <c r="V122" s="8"/>
      <c r="W122" s="8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8"/>
      <c r="AL122" s="8"/>
      <c r="AM122" s="8"/>
      <c r="AN122" s="27"/>
      <c r="AO122" s="8"/>
      <c r="AP122" s="8"/>
      <c r="AQ122" s="27"/>
      <c r="AR122" s="27"/>
      <c r="AS122" s="27"/>
    </row>
    <row r="123" spans="1:45" ht="15.75" thickBot="1" x14ac:dyDescent="0.3">
      <c r="A123" s="51" t="s">
        <v>309</v>
      </c>
      <c r="B123" s="51" t="s">
        <v>1262</v>
      </c>
      <c r="C123" s="51" t="s">
        <v>1392</v>
      </c>
      <c r="D123" s="51" t="s">
        <v>310</v>
      </c>
      <c r="E123" s="51"/>
      <c r="F123" s="51" t="s">
        <v>36</v>
      </c>
      <c r="G123" s="51"/>
      <c r="H123" s="51" t="s">
        <v>311</v>
      </c>
      <c r="I123" s="16">
        <v>-348252070000</v>
      </c>
      <c r="J123" s="16">
        <v>-582467880000</v>
      </c>
      <c r="K123" s="51" t="s">
        <v>943</v>
      </c>
      <c r="L123" s="53">
        <f t="shared" si="13"/>
        <v>30</v>
      </c>
      <c r="M123" s="17">
        <f t="shared" si="11"/>
        <v>0</v>
      </c>
      <c r="N123" s="18">
        <f t="shared" si="12"/>
        <v>1</v>
      </c>
      <c r="O123" s="27"/>
      <c r="P123" s="8"/>
      <c r="Q123" s="8"/>
      <c r="R123" s="8"/>
      <c r="S123" s="27"/>
      <c r="T123" s="27"/>
      <c r="U123" s="8"/>
      <c r="V123" s="8"/>
      <c r="W123" s="8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8"/>
      <c r="AL123" s="8"/>
      <c r="AM123" s="8"/>
      <c r="AN123" s="27"/>
      <c r="AO123" s="8"/>
      <c r="AP123" s="8"/>
      <c r="AQ123" s="27"/>
      <c r="AR123" s="27"/>
      <c r="AS123" s="27"/>
    </row>
    <row r="124" spans="1:45" ht="15.75" thickBot="1" x14ac:dyDescent="0.3">
      <c r="A124" s="51" t="s">
        <v>312</v>
      </c>
      <c r="B124" s="51" t="s">
        <v>313</v>
      </c>
      <c r="C124" s="51" t="s">
        <v>1391</v>
      </c>
      <c r="D124" s="51" t="s">
        <v>314</v>
      </c>
      <c r="E124" s="51" t="s">
        <v>19</v>
      </c>
      <c r="F124" s="51" t="s">
        <v>25</v>
      </c>
      <c r="G124" s="51"/>
      <c r="H124" s="51" t="s">
        <v>315</v>
      </c>
      <c r="I124" s="16">
        <v>-348066790000</v>
      </c>
      <c r="J124" s="16">
        <v>-583015690000</v>
      </c>
      <c r="K124" s="51" t="s">
        <v>950</v>
      </c>
      <c r="L124" s="53">
        <f t="shared" si="13"/>
        <v>30</v>
      </c>
      <c r="M124" s="17">
        <f t="shared" si="11"/>
        <v>0</v>
      </c>
      <c r="N124" s="18">
        <f t="shared" si="12"/>
        <v>1</v>
      </c>
      <c r="O124" s="27"/>
      <c r="P124" s="8"/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8"/>
      <c r="AL124" s="8"/>
      <c r="AM124" s="8"/>
      <c r="AN124" s="27"/>
      <c r="AO124" s="8"/>
      <c r="AP124" s="8"/>
      <c r="AQ124" s="27"/>
      <c r="AR124" s="27"/>
      <c r="AS124" s="27"/>
    </row>
    <row r="125" spans="1:45" ht="15.75" thickBot="1" x14ac:dyDescent="0.3">
      <c r="A125" s="51" t="s">
        <v>312</v>
      </c>
      <c r="B125" s="51" t="s">
        <v>320</v>
      </c>
      <c r="C125" s="51" t="s">
        <v>1391</v>
      </c>
      <c r="D125" s="51" t="s">
        <v>321</v>
      </c>
      <c r="E125" s="51" t="s">
        <v>19</v>
      </c>
      <c r="F125" s="51" t="s">
        <v>25</v>
      </c>
      <c r="G125" s="51"/>
      <c r="H125" s="51" t="s">
        <v>322</v>
      </c>
      <c r="I125" s="16">
        <v>-348075900000</v>
      </c>
      <c r="J125" s="16">
        <v>-582968630000</v>
      </c>
      <c r="K125" s="51" t="s">
        <v>952</v>
      </c>
      <c r="L125" s="53">
        <f t="shared" si="13"/>
        <v>30</v>
      </c>
      <c r="M125" s="17">
        <f t="shared" si="11"/>
        <v>0</v>
      </c>
      <c r="N125" s="18">
        <f t="shared" si="12"/>
        <v>1</v>
      </c>
      <c r="O125" s="27"/>
      <c r="P125" s="8"/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8"/>
      <c r="AL125" s="8"/>
      <c r="AM125" s="8"/>
      <c r="AN125" s="27"/>
      <c r="AO125" s="8"/>
      <c r="AP125" s="8"/>
      <c r="AQ125" s="27"/>
      <c r="AR125" s="27"/>
      <c r="AS125" s="27"/>
    </row>
    <row r="126" spans="1:45" ht="15.75" thickBot="1" x14ac:dyDescent="0.3">
      <c r="A126" s="51" t="s">
        <v>312</v>
      </c>
      <c r="B126" s="51" t="s">
        <v>323</v>
      </c>
      <c r="C126" s="51" t="s">
        <v>1391</v>
      </c>
      <c r="D126" s="51" t="s">
        <v>324</v>
      </c>
      <c r="E126" s="51" t="s">
        <v>102</v>
      </c>
      <c r="F126" s="51" t="s">
        <v>1384</v>
      </c>
      <c r="G126" s="51"/>
      <c r="H126" s="51" t="s">
        <v>273</v>
      </c>
      <c r="I126" s="16">
        <v>-348034360000</v>
      </c>
      <c r="J126" s="16">
        <v>-583009630000</v>
      </c>
      <c r="K126" s="51" t="s">
        <v>954</v>
      </c>
      <c r="L126" s="53">
        <f t="shared" si="13"/>
        <v>30</v>
      </c>
      <c r="M126" s="17">
        <f t="shared" si="11"/>
        <v>0</v>
      </c>
      <c r="N126" s="18">
        <f t="shared" si="12"/>
        <v>1</v>
      </c>
      <c r="O126" s="27"/>
      <c r="P126" s="8"/>
      <c r="Q126" s="8"/>
      <c r="R126" s="8"/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8"/>
      <c r="AL126" s="8"/>
      <c r="AM126" s="8"/>
      <c r="AN126" s="27"/>
      <c r="AO126" s="8"/>
      <c r="AP126" s="8"/>
      <c r="AQ126" s="27"/>
      <c r="AR126" s="27"/>
      <c r="AS126" s="27"/>
    </row>
    <row r="127" spans="1:45" ht="15.75" thickBot="1" x14ac:dyDescent="0.3">
      <c r="A127" s="51" t="s">
        <v>312</v>
      </c>
      <c r="B127" s="51" t="s">
        <v>325</v>
      </c>
      <c r="C127" s="51" t="s">
        <v>1391</v>
      </c>
      <c r="D127" s="51" t="s">
        <v>324</v>
      </c>
      <c r="E127" s="51" t="s">
        <v>102</v>
      </c>
      <c r="F127" s="51" t="s">
        <v>1384</v>
      </c>
      <c r="G127" s="51"/>
      <c r="H127" s="51" t="s">
        <v>273</v>
      </c>
      <c r="I127" s="16">
        <v>-348034540000</v>
      </c>
      <c r="J127" s="16">
        <v>-583010170000</v>
      </c>
      <c r="K127" s="51" t="s">
        <v>955</v>
      </c>
      <c r="L127" s="53">
        <f t="shared" si="13"/>
        <v>30</v>
      </c>
      <c r="M127" s="17">
        <f t="shared" si="11"/>
        <v>0</v>
      </c>
      <c r="N127" s="18">
        <f t="shared" si="12"/>
        <v>1</v>
      </c>
      <c r="O127" s="27"/>
      <c r="P127" s="8"/>
      <c r="Q127" s="8"/>
      <c r="R127" s="8"/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8"/>
      <c r="AL127" s="8"/>
      <c r="AM127" s="8"/>
      <c r="AN127" s="27"/>
      <c r="AO127" s="8"/>
      <c r="AP127" s="8"/>
      <c r="AQ127" s="27"/>
      <c r="AR127" s="27"/>
      <c r="AS127" s="27"/>
    </row>
    <row r="128" spans="1:45" ht="15.75" thickBot="1" x14ac:dyDescent="0.3">
      <c r="A128" s="51" t="s">
        <v>312</v>
      </c>
      <c r="B128" s="51" t="s">
        <v>1263</v>
      </c>
      <c r="C128" s="51" t="s">
        <v>1391</v>
      </c>
      <c r="D128" s="51" t="s">
        <v>346</v>
      </c>
      <c r="E128" s="51" t="s">
        <v>102</v>
      </c>
      <c r="F128" s="51" t="s">
        <v>1384</v>
      </c>
      <c r="G128" s="51"/>
      <c r="H128" s="51" t="s">
        <v>347</v>
      </c>
      <c r="I128" s="16">
        <v>-348053300000</v>
      </c>
      <c r="J128" s="16">
        <v>-583014930000</v>
      </c>
      <c r="K128" s="51" t="s">
        <v>956</v>
      </c>
      <c r="L128" s="53">
        <f t="shared" si="13"/>
        <v>24</v>
      </c>
      <c r="M128" s="17">
        <f t="shared" si="11"/>
        <v>6</v>
      </c>
      <c r="N128" s="18">
        <f t="shared" si="12"/>
        <v>0.8</v>
      </c>
      <c r="O128" s="27" t="s">
        <v>1209</v>
      </c>
      <c r="P128" s="8" t="s">
        <v>1209</v>
      </c>
      <c r="Q128" s="8" t="s">
        <v>1209</v>
      </c>
      <c r="R128" s="8" t="s">
        <v>1209</v>
      </c>
      <c r="S128" s="27" t="s">
        <v>1209</v>
      </c>
      <c r="T128" s="27" t="s">
        <v>1209</v>
      </c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8"/>
      <c r="AL128" s="8"/>
      <c r="AM128" s="8"/>
      <c r="AN128" s="27"/>
      <c r="AO128" s="8"/>
      <c r="AP128" s="8"/>
      <c r="AQ128" s="27"/>
      <c r="AR128" s="27"/>
      <c r="AS128" s="27"/>
    </row>
    <row r="129" spans="1:45" ht="15.75" thickBot="1" x14ac:dyDescent="0.3">
      <c r="A129" s="51" t="s">
        <v>312</v>
      </c>
      <c r="B129" s="51" t="s">
        <v>1264</v>
      </c>
      <c r="C129" s="51" t="s">
        <v>1391</v>
      </c>
      <c r="D129" s="51" t="s">
        <v>346</v>
      </c>
      <c r="E129" s="51" t="s">
        <v>102</v>
      </c>
      <c r="F129" s="51" t="s">
        <v>1384</v>
      </c>
      <c r="G129" s="51"/>
      <c r="H129" s="51" t="s">
        <v>348</v>
      </c>
      <c r="I129" s="16">
        <v>-348053300000</v>
      </c>
      <c r="J129" s="16">
        <v>-583014930000</v>
      </c>
      <c r="K129" s="51" t="s">
        <v>957</v>
      </c>
      <c r="L129" s="53">
        <f t="shared" si="13"/>
        <v>25</v>
      </c>
      <c r="M129" s="17">
        <f t="shared" si="11"/>
        <v>5</v>
      </c>
      <c r="N129" s="18">
        <f t="shared" si="12"/>
        <v>0.83333333333333337</v>
      </c>
      <c r="O129" s="27" t="s">
        <v>1209</v>
      </c>
      <c r="P129" s="8" t="s">
        <v>1209</v>
      </c>
      <c r="Q129" s="8" t="s">
        <v>1209</v>
      </c>
      <c r="R129" s="8" t="s">
        <v>1209</v>
      </c>
      <c r="S129" s="27" t="s">
        <v>1209</v>
      </c>
      <c r="T129" s="27"/>
      <c r="U129" s="8"/>
      <c r="V129" s="8"/>
      <c r="W129" s="8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8"/>
      <c r="AL129" s="8"/>
      <c r="AM129" s="8"/>
      <c r="AN129" s="27"/>
      <c r="AO129" s="8"/>
      <c r="AP129" s="8"/>
      <c r="AQ129" s="27"/>
      <c r="AR129" s="27"/>
      <c r="AS129" s="27"/>
    </row>
    <row r="130" spans="1:45" ht="15.75" thickBot="1" x14ac:dyDescent="0.3">
      <c r="A130" s="51" t="s">
        <v>312</v>
      </c>
      <c r="B130" s="51" t="s">
        <v>1265</v>
      </c>
      <c r="C130" s="51" t="s">
        <v>1391</v>
      </c>
      <c r="D130" s="51" t="s">
        <v>349</v>
      </c>
      <c r="E130" s="51" t="s">
        <v>102</v>
      </c>
      <c r="F130" s="51" t="s">
        <v>1384</v>
      </c>
      <c r="G130" s="51"/>
      <c r="H130" s="51" t="s">
        <v>350</v>
      </c>
      <c r="I130" s="16">
        <v>-348051560000</v>
      </c>
      <c r="J130" s="16">
        <v>-583023560000</v>
      </c>
      <c r="K130" s="51" t="s">
        <v>958</v>
      </c>
      <c r="L130" s="53">
        <f t="shared" si="13"/>
        <v>30</v>
      </c>
      <c r="M130" s="17">
        <f t="shared" si="11"/>
        <v>0</v>
      </c>
      <c r="N130" s="18">
        <f t="shared" si="12"/>
        <v>1</v>
      </c>
      <c r="O130" s="27"/>
      <c r="P130" s="8"/>
      <c r="Q130" s="8"/>
      <c r="R130" s="8"/>
      <c r="S130" s="27"/>
      <c r="T130" s="27"/>
      <c r="U130" s="8"/>
      <c r="V130" s="8"/>
      <c r="W130" s="8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8"/>
      <c r="AL130" s="8"/>
      <c r="AM130" s="8"/>
      <c r="AN130" s="27"/>
      <c r="AO130" s="8"/>
      <c r="AP130" s="8"/>
      <c r="AQ130" s="27"/>
      <c r="AR130" s="27"/>
      <c r="AS130" s="27"/>
    </row>
    <row r="131" spans="1:45" ht="15.75" thickBot="1" x14ac:dyDescent="0.3">
      <c r="A131" s="51" t="s">
        <v>312</v>
      </c>
      <c r="B131" s="51" t="s">
        <v>1266</v>
      </c>
      <c r="C131" s="51" t="s">
        <v>1391</v>
      </c>
      <c r="D131" s="51" t="s">
        <v>349</v>
      </c>
      <c r="E131" s="51" t="s">
        <v>102</v>
      </c>
      <c r="F131" s="51" t="s">
        <v>1384</v>
      </c>
      <c r="G131" s="51"/>
      <c r="H131" s="51" t="s">
        <v>350</v>
      </c>
      <c r="I131" s="16">
        <v>-348051560000</v>
      </c>
      <c r="J131" s="16">
        <v>-583023560000</v>
      </c>
      <c r="K131" s="51" t="s">
        <v>959</v>
      </c>
      <c r="L131" s="53">
        <f t="shared" si="13"/>
        <v>30</v>
      </c>
      <c r="M131" s="17">
        <f t="shared" si="11"/>
        <v>0</v>
      </c>
      <c r="N131" s="18">
        <f t="shared" si="12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8"/>
      <c r="AL131" s="8"/>
      <c r="AM131" s="8"/>
      <c r="AN131" s="27"/>
      <c r="AO131" s="8"/>
      <c r="AP131" s="8"/>
      <c r="AQ131" s="27"/>
      <c r="AR131" s="27"/>
      <c r="AS131" s="27"/>
    </row>
    <row r="132" spans="1:45" ht="15.75" thickBot="1" x14ac:dyDescent="0.3">
      <c r="A132" s="51" t="s">
        <v>326</v>
      </c>
      <c r="B132" s="51" t="s">
        <v>327</v>
      </c>
      <c r="C132" s="51" t="s">
        <v>1391</v>
      </c>
      <c r="D132" s="51" t="s">
        <v>328</v>
      </c>
      <c r="E132" s="51" t="s">
        <v>19</v>
      </c>
      <c r="F132" s="51" t="s">
        <v>25</v>
      </c>
      <c r="G132" s="51" t="s">
        <v>329</v>
      </c>
      <c r="H132" s="51"/>
      <c r="I132" s="16">
        <v>-348074000000</v>
      </c>
      <c r="J132" s="16">
        <v>-583095340000</v>
      </c>
      <c r="K132" s="51" t="s">
        <v>944</v>
      </c>
      <c r="L132" s="53">
        <f t="shared" si="13"/>
        <v>30</v>
      </c>
      <c r="M132" s="17">
        <f t="shared" si="11"/>
        <v>0</v>
      </c>
      <c r="N132" s="18">
        <f t="shared" si="12"/>
        <v>1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8"/>
      <c r="AL132" s="8"/>
      <c r="AM132" s="8"/>
      <c r="AN132" s="27"/>
      <c r="AO132" s="8"/>
      <c r="AP132" s="8"/>
      <c r="AQ132" s="27"/>
      <c r="AR132" s="27"/>
      <c r="AS132" s="27"/>
    </row>
    <row r="133" spans="1:45" ht="15.75" thickBot="1" x14ac:dyDescent="0.3">
      <c r="A133" s="51" t="s">
        <v>243</v>
      </c>
      <c r="B133" s="51" t="s">
        <v>330</v>
      </c>
      <c r="C133" s="51" t="s">
        <v>1391</v>
      </c>
      <c r="D133" s="51" t="s">
        <v>331</v>
      </c>
      <c r="E133" s="51" t="s">
        <v>24</v>
      </c>
      <c r="F133" s="51" t="s">
        <v>25</v>
      </c>
      <c r="G133" s="51" t="s">
        <v>332</v>
      </c>
      <c r="H133" s="51"/>
      <c r="I133" s="16">
        <v>-348084650000</v>
      </c>
      <c r="J133" s="16">
        <v>-582948520000</v>
      </c>
      <c r="K133" s="51" t="s">
        <v>945</v>
      </c>
      <c r="L133" s="53">
        <f t="shared" si="13"/>
        <v>30</v>
      </c>
      <c r="M133" s="17">
        <f t="shared" ref="M133:M196" si="14">COUNTIF(O133:AP133,"APAGADO")</f>
        <v>0</v>
      </c>
      <c r="N133" s="18">
        <f t="shared" ref="N133:N196" si="15">(L133)/(M133+L133)</f>
        <v>1</v>
      </c>
      <c r="O133" s="27"/>
      <c r="P133" s="8"/>
      <c r="Q133" s="8"/>
      <c r="R133" s="8"/>
      <c r="S133" s="27"/>
      <c r="T133" s="27"/>
      <c r="U133" s="8"/>
      <c r="V133" s="8"/>
      <c r="W133" s="8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8"/>
      <c r="AL133" s="8"/>
      <c r="AM133" s="8"/>
      <c r="AN133" s="27"/>
      <c r="AO133" s="8"/>
      <c r="AP133" s="8"/>
      <c r="AQ133" s="27"/>
      <c r="AR133" s="27"/>
      <c r="AS133" s="27"/>
    </row>
    <row r="134" spans="1:45" ht="15.75" thickBot="1" x14ac:dyDescent="0.3">
      <c r="A134" s="51" t="s">
        <v>312</v>
      </c>
      <c r="B134" s="51" t="s">
        <v>333</v>
      </c>
      <c r="C134" s="51" t="s">
        <v>1391</v>
      </c>
      <c r="D134" s="51" t="s">
        <v>334</v>
      </c>
      <c r="E134" s="51" t="s">
        <v>24</v>
      </c>
      <c r="F134" s="51" t="s">
        <v>25</v>
      </c>
      <c r="G134" s="51" t="s">
        <v>335</v>
      </c>
      <c r="H134" s="51"/>
      <c r="I134" s="16">
        <v>-348022280000</v>
      </c>
      <c r="J134" s="16">
        <v>-583005700000</v>
      </c>
      <c r="K134" s="51" t="s">
        <v>946</v>
      </c>
      <c r="L134" s="53">
        <f t="shared" ref="L134:L197" si="16">COUNTIF(O134:AR134,"")</f>
        <v>23</v>
      </c>
      <c r="M134" s="17">
        <f t="shared" si="14"/>
        <v>7</v>
      </c>
      <c r="N134" s="18">
        <f t="shared" si="15"/>
        <v>0.76666666666666672</v>
      </c>
      <c r="O134" s="27" t="s">
        <v>1209</v>
      </c>
      <c r="P134" s="8" t="s">
        <v>1209</v>
      </c>
      <c r="Q134" s="8" t="s">
        <v>1209</v>
      </c>
      <c r="R134" s="8" t="s">
        <v>1209</v>
      </c>
      <c r="S134" s="27" t="s">
        <v>1209</v>
      </c>
      <c r="T134" s="27" t="s">
        <v>1209</v>
      </c>
      <c r="U134" s="8" t="s">
        <v>1209</v>
      </c>
      <c r="V134" s="8"/>
      <c r="W134" s="8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8"/>
      <c r="AL134" s="8"/>
      <c r="AM134" s="8"/>
      <c r="AN134" s="27"/>
      <c r="AO134" s="8"/>
      <c r="AP134" s="8"/>
      <c r="AQ134" s="27"/>
      <c r="AR134" s="27"/>
      <c r="AS134" s="27"/>
    </row>
    <row r="135" spans="1:45" ht="15.75" thickBot="1" x14ac:dyDescent="0.3">
      <c r="A135" s="51" t="s">
        <v>312</v>
      </c>
      <c r="B135" s="51" t="s">
        <v>336</v>
      </c>
      <c r="C135" s="51" t="s">
        <v>1391</v>
      </c>
      <c r="D135" s="51" t="s">
        <v>337</v>
      </c>
      <c r="E135" s="51" t="s">
        <v>24</v>
      </c>
      <c r="F135" s="51" t="s">
        <v>25</v>
      </c>
      <c r="G135" s="51" t="s">
        <v>338</v>
      </c>
      <c r="H135" s="51"/>
      <c r="I135" s="16">
        <v>-348079900000</v>
      </c>
      <c r="J135" s="16">
        <v>-583023830000</v>
      </c>
      <c r="K135" s="51" t="s">
        <v>947</v>
      </c>
      <c r="L135" s="53">
        <f t="shared" si="16"/>
        <v>30</v>
      </c>
      <c r="M135" s="17">
        <f t="shared" si="14"/>
        <v>0</v>
      </c>
      <c r="N135" s="18">
        <f t="shared" si="15"/>
        <v>1</v>
      </c>
      <c r="O135" s="27"/>
      <c r="P135" s="8"/>
      <c r="Q135" s="8"/>
      <c r="R135" s="8"/>
      <c r="S135" s="27"/>
      <c r="T135" s="27"/>
      <c r="U135" s="8"/>
      <c r="V135" s="8"/>
      <c r="W135" s="8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8"/>
      <c r="AL135" s="8"/>
      <c r="AM135" s="8"/>
      <c r="AN135" s="27"/>
      <c r="AO135" s="8"/>
      <c r="AP135" s="8"/>
      <c r="AQ135" s="27"/>
      <c r="AR135" s="27"/>
      <c r="AS135" s="27"/>
    </row>
    <row r="136" spans="1:45" ht="15.75" thickBot="1" x14ac:dyDescent="0.3">
      <c r="A136" s="51" t="s">
        <v>312</v>
      </c>
      <c r="B136" s="51" t="s">
        <v>339</v>
      </c>
      <c r="C136" s="51" t="s">
        <v>1391</v>
      </c>
      <c r="D136" s="51" t="s">
        <v>340</v>
      </c>
      <c r="E136" s="51" t="s">
        <v>24</v>
      </c>
      <c r="F136" s="51" t="s">
        <v>25</v>
      </c>
      <c r="G136" s="51" t="s">
        <v>329</v>
      </c>
      <c r="H136" s="51"/>
      <c r="I136" s="16">
        <v>-348085620000</v>
      </c>
      <c r="J136" s="16">
        <v>-582997660000</v>
      </c>
      <c r="K136" s="51" t="s">
        <v>948</v>
      </c>
      <c r="L136" s="53">
        <f t="shared" si="16"/>
        <v>30</v>
      </c>
      <c r="M136" s="17">
        <f t="shared" si="14"/>
        <v>0</v>
      </c>
      <c r="N136" s="18">
        <f t="shared" si="15"/>
        <v>1</v>
      </c>
      <c r="O136" s="27"/>
      <c r="P136" s="8"/>
      <c r="Q136" s="8"/>
      <c r="R136" s="8"/>
      <c r="S136" s="27"/>
      <c r="T136" s="27"/>
      <c r="U136" s="8"/>
      <c r="V136" s="8"/>
      <c r="W136" s="8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8"/>
      <c r="AL136" s="8"/>
      <c r="AM136" s="8"/>
      <c r="AN136" s="27"/>
      <c r="AO136" s="8"/>
      <c r="AP136" s="8"/>
      <c r="AQ136" s="27"/>
      <c r="AR136" s="27"/>
      <c r="AS136" s="27"/>
    </row>
    <row r="137" spans="1:45" ht="15.75" thickBot="1" x14ac:dyDescent="0.3">
      <c r="A137" s="51" t="s">
        <v>312</v>
      </c>
      <c r="B137" s="51" t="s">
        <v>341</v>
      </c>
      <c r="C137" s="51" t="s">
        <v>1391</v>
      </c>
      <c r="D137" s="51" t="s">
        <v>342</v>
      </c>
      <c r="E137" s="51" t="s">
        <v>19</v>
      </c>
      <c r="F137" s="51" t="s">
        <v>25</v>
      </c>
      <c r="G137" s="51" t="s">
        <v>343</v>
      </c>
      <c r="H137" s="51"/>
      <c r="I137" s="16">
        <v>-348070910000</v>
      </c>
      <c r="J137" s="16">
        <v>-583063750000</v>
      </c>
      <c r="K137" s="51" t="s">
        <v>949</v>
      </c>
      <c r="L137" s="53">
        <f t="shared" si="16"/>
        <v>30</v>
      </c>
      <c r="M137" s="17">
        <f t="shared" si="14"/>
        <v>0</v>
      </c>
      <c r="N137" s="18">
        <f t="shared" si="15"/>
        <v>1</v>
      </c>
      <c r="O137" s="27"/>
      <c r="P137" s="8"/>
      <c r="Q137" s="8"/>
      <c r="R137" s="8"/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8"/>
      <c r="AL137" s="8"/>
      <c r="AM137" s="8"/>
      <c r="AN137" s="27"/>
      <c r="AO137" s="8"/>
      <c r="AP137" s="8"/>
      <c r="AQ137" s="27"/>
      <c r="AR137" s="27"/>
      <c r="AS137" s="27"/>
    </row>
    <row r="138" spans="1:45" ht="15.75" thickBot="1" x14ac:dyDescent="0.3">
      <c r="A138" s="51" t="s">
        <v>312</v>
      </c>
      <c r="B138" s="51" t="s">
        <v>1267</v>
      </c>
      <c r="C138" s="51" t="s">
        <v>1391</v>
      </c>
      <c r="D138" s="51" t="s">
        <v>316</v>
      </c>
      <c r="E138" s="51" t="s">
        <v>19</v>
      </c>
      <c r="F138" s="51" t="s">
        <v>25</v>
      </c>
      <c r="G138" s="51"/>
      <c r="H138" s="51" t="s">
        <v>317</v>
      </c>
      <c r="I138" s="16">
        <v>-348074220000</v>
      </c>
      <c r="J138" s="16">
        <v>-582975280000</v>
      </c>
      <c r="K138" s="51" t="s">
        <v>951</v>
      </c>
      <c r="L138" s="53">
        <f t="shared" si="16"/>
        <v>30</v>
      </c>
      <c r="M138" s="17">
        <f t="shared" si="14"/>
        <v>0</v>
      </c>
      <c r="N138" s="18">
        <f t="shared" si="15"/>
        <v>1</v>
      </c>
      <c r="O138" s="27"/>
      <c r="P138" s="8"/>
      <c r="Q138" s="8"/>
      <c r="R138" s="8"/>
      <c r="S138" s="27"/>
      <c r="T138" s="27"/>
      <c r="U138" s="8"/>
      <c r="V138" s="8"/>
      <c r="W138" s="8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8"/>
      <c r="AL138" s="8"/>
      <c r="AM138" s="8"/>
      <c r="AN138" s="27"/>
      <c r="AO138" s="8"/>
      <c r="AP138" s="8"/>
      <c r="AQ138" s="27"/>
      <c r="AR138" s="27"/>
      <c r="AS138" s="27"/>
    </row>
    <row r="139" spans="1:45" ht="15.75" thickBot="1" x14ac:dyDescent="0.3">
      <c r="A139" s="51" t="s">
        <v>312</v>
      </c>
      <c r="B139" s="51" t="s">
        <v>1268</v>
      </c>
      <c r="C139" s="51" t="s">
        <v>1391</v>
      </c>
      <c r="D139" s="51" t="s">
        <v>318</v>
      </c>
      <c r="E139" s="51" t="s">
        <v>19</v>
      </c>
      <c r="F139" s="51" t="s">
        <v>25</v>
      </c>
      <c r="G139" s="51"/>
      <c r="H139" s="51" t="s">
        <v>319</v>
      </c>
      <c r="I139" s="16">
        <v>-348076100000</v>
      </c>
      <c r="J139" s="16">
        <v>-582957320000</v>
      </c>
      <c r="K139" s="51" t="s">
        <v>938</v>
      </c>
      <c r="L139" s="53">
        <f t="shared" si="16"/>
        <v>30</v>
      </c>
      <c r="M139" s="17">
        <f t="shared" si="14"/>
        <v>0</v>
      </c>
      <c r="N139" s="18">
        <f t="shared" si="15"/>
        <v>1</v>
      </c>
      <c r="O139" s="27"/>
      <c r="P139" s="8"/>
      <c r="Q139" s="8"/>
      <c r="R139" s="8"/>
      <c r="S139" s="27"/>
      <c r="T139" s="27"/>
      <c r="U139" s="8"/>
      <c r="V139" s="8"/>
      <c r="W139" s="8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8"/>
      <c r="AL139" s="8"/>
      <c r="AM139" s="8"/>
      <c r="AN139" s="27"/>
      <c r="AO139" s="8"/>
      <c r="AP139" s="8"/>
      <c r="AQ139" s="27"/>
      <c r="AR139" s="27"/>
      <c r="AS139" s="27"/>
    </row>
    <row r="140" spans="1:45" ht="15.75" thickBot="1" x14ac:dyDescent="0.3">
      <c r="A140" s="51" t="s">
        <v>312</v>
      </c>
      <c r="B140" s="51" t="s">
        <v>344</v>
      </c>
      <c r="C140" s="51" t="s">
        <v>1391</v>
      </c>
      <c r="D140" s="51" t="s">
        <v>345</v>
      </c>
      <c r="E140" s="51" t="s">
        <v>19</v>
      </c>
      <c r="F140" s="51" t="s">
        <v>36</v>
      </c>
      <c r="G140" s="51"/>
      <c r="H140" s="51" t="s">
        <v>249</v>
      </c>
      <c r="I140" s="16">
        <v>-348083080000</v>
      </c>
      <c r="J140" s="16">
        <v>-582951030000</v>
      </c>
      <c r="K140" s="51" t="s">
        <v>953</v>
      </c>
      <c r="L140" s="53">
        <f t="shared" si="16"/>
        <v>30</v>
      </c>
      <c r="M140" s="17">
        <f t="shared" si="14"/>
        <v>0</v>
      </c>
      <c r="N140" s="18">
        <f t="shared" si="15"/>
        <v>1</v>
      </c>
      <c r="O140" s="27"/>
      <c r="P140" s="8"/>
      <c r="Q140" s="8"/>
      <c r="R140" s="8"/>
      <c r="S140" s="27"/>
      <c r="T140" s="27"/>
      <c r="U140" s="8"/>
      <c r="V140" s="8"/>
      <c r="W140" s="8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8"/>
      <c r="AL140" s="8"/>
      <c r="AM140" s="8"/>
      <c r="AN140" s="27"/>
      <c r="AO140" s="8"/>
      <c r="AP140" s="8"/>
      <c r="AQ140" s="27"/>
      <c r="AR140" s="27"/>
      <c r="AS140" s="27"/>
    </row>
    <row r="141" spans="1:45" ht="15.75" thickBot="1" x14ac:dyDescent="0.3">
      <c r="A141" s="51" t="s">
        <v>152</v>
      </c>
      <c r="B141" s="51" t="s">
        <v>351</v>
      </c>
      <c r="C141" s="51" t="s">
        <v>1391</v>
      </c>
      <c r="D141" s="51" t="s">
        <v>352</v>
      </c>
      <c r="E141" s="51" t="s">
        <v>19</v>
      </c>
      <c r="F141" s="51" t="s">
        <v>1384</v>
      </c>
      <c r="G141" s="51"/>
      <c r="H141" s="51" t="s">
        <v>353</v>
      </c>
      <c r="I141" s="16">
        <v>-347976230000</v>
      </c>
      <c r="J141" s="16">
        <v>-582821290000</v>
      </c>
      <c r="K141" s="51" t="s">
        <v>960</v>
      </c>
      <c r="L141" s="53">
        <f t="shared" si="16"/>
        <v>30</v>
      </c>
      <c r="M141" s="17">
        <f t="shared" si="14"/>
        <v>0</v>
      </c>
      <c r="N141" s="18">
        <f t="shared" si="15"/>
        <v>1</v>
      </c>
      <c r="O141" s="27"/>
      <c r="P141" s="8"/>
      <c r="Q141" s="8"/>
      <c r="R141" s="8"/>
      <c r="S141" s="27"/>
      <c r="T141" s="27"/>
      <c r="U141" s="8"/>
      <c r="V141" s="8"/>
      <c r="W141" s="8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8"/>
      <c r="AL141" s="8"/>
      <c r="AM141" s="8"/>
      <c r="AN141" s="27"/>
      <c r="AO141" s="8"/>
      <c r="AP141" s="8"/>
      <c r="AQ141" s="27"/>
      <c r="AR141" s="27"/>
      <c r="AS141" s="27"/>
    </row>
    <row r="142" spans="1:45" ht="15.75" thickBot="1" x14ac:dyDescent="0.3">
      <c r="A142" s="51" t="s">
        <v>152</v>
      </c>
      <c r="B142" s="51" t="s">
        <v>354</v>
      </c>
      <c r="C142" s="51" t="s">
        <v>1391</v>
      </c>
      <c r="D142" s="51" t="s">
        <v>355</v>
      </c>
      <c r="E142" s="51" t="s">
        <v>19</v>
      </c>
      <c r="F142" s="51" t="s">
        <v>1384</v>
      </c>
      <c r="G142" s="51"/>
      <c r="H142" s="51" t="s">
        <v>353</v>
      </c>
      <c r="I142" s="16">
        <v>-347960180000</v>
      </c>
      <c r="J142" s="16">
        <v>-582861620000</v>
      </c>
      <c r="K142" s="51" t="s">
        <v>961</v>
      </c>
      <c r="L142" s="53">
        <f t="shared" si="16"/>
        <v>30</v>
      </c>
      <c r="M142" s="17">
        <f t="shared" si="14"/>
        <v>0</v>
      </c>
      <c r="N142" s="18">
        <f t="shared" si="15"/>
        <v>1</v>
      </c>
      <c r="O142" s="27"/>
      <c r="P142" s="8"/>
      <c r="Q142" s="8"/>
      <c r="R142" s="8"/>
      <c r="S142" s="27"/>
      <c r="T142" s="27"/>
      <c r="U142" s="8"/>
      <c r="V142" s="8"/>
      <c r="W142" s="8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8"/>
      <c r="AL142" s="8"/>
      <c r="AM142" s="8"/>
      <c r="AN142" s="27"/>
      <c r="AO142" s="8"/>
      <c r="AP142" s="8"/>
      <c r="AQ142" s="27"/>
      <c r="AR142" s="27"/>
      <c r="AS142" s="27"/>
    </row>
    <row r="143" spans="1:45" ht="15.75" thickBot="1" x14ac:dyDescent="0.3">
      <c r="A143" s="51" t="s">
        <v>152</v>
      </c>
      <c r="B143" s="51" t="s">
        <v>356</v>
      </c>
      <c r="C143" s="51" t="s">
        <v>1391</v>
      </c>
      <c r="D143" s="51" t="s">
        <v>357</v>
      </c>
      <c r="E143" s="51" t="s">
        <v>19</v>
      </c>
      <c r="F143" s="51" t="s">
        <v>1384</v>
      </c>
      <c r="G143" s="51"/>
      <c r="H143" s="51" t="s">
        <v>353</v>
      </c>
      <c r="I143" s="16">
        <v>-347947670000</v>
      </c>
      <c r="J143" s="16">
        <v>-582871810000</v>
      </c>
      <c r="K143" s="51" t="s">
        <v>962</v>
      </c>
      <c r="L143" s="53">
        <f t="shared" si="16"/>
        <v>30</v>
      </c>
      <c r="M143" s="17">
        <f t="shared" si="14"/>
        <v>0</v>
      </c>
      <c r="N143" s="18">
        <f t="shared" si="15"/>
        <v>1</v>
      </c>
      <c r="O143" s="27"/>
      <c r="P143" s="8"/>
      <c r="Q143" s="8"/>
      <c r="R143" s="8"/>
      <c r="S143" s="27"/>
      <c r="T143" s="27"/>
      <c r="U143" s="8"/>
      <c r="V143" s="8"/>
      <c r="W143" s="8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8"/>
      <c r="AL143" s="8"/>
      <c r="AM143" s="8"/>
      <c r="AN143" s="27"/>
      <c r="AO143" s="8"/>
      <c r="AP143" s="8"/>
      <c r="AQ143" s="27"/>
      <c r="AR143" s="27"/>
      <c r="AS143" s="27"/>
    </row>
    <row r="144" spans="1:45" ht="15.75" thickBot="1" x14ac:dyDescent="0.3">
      <c r="A144" s="51" t="s">
        <v>243</v>
      </c>
      <c r="B144" s="51" t="s">
        <v>1269</v>
      </c>
      <c r="C144" s="51" t="s">
        <v>1391</v>
      </c>
      <c r="D144" s="51" t="s">
        <v>1270</v>
      </c>
      <c r="E144" s="51" t="s">
        <v>24</v>
      </c>
      <c r="F144" s="51" t="s">
        <v>25</v>
      </c>
      <c r="G144" s="51" t="s">
        <v>332</v>
      </c>
      <c r="H144" s="51"/>
      <c r="I144" s="16">
        <v>-348070980000</v>
      </c>
      <c r="J144" s="16">
        <v>-582892260000</v>
      </c>
      <c r="K144" s="51" t="s">
        <v>963</v>
      </c>
      <c r="L144" s="53">
        <f t="shared" si="16"/>
        <v>30</v>
      </c>
      <c r="M144" s="17">
        <f t="shared" si="14"/>
        <v>0</v>
      </c>
      <c r="N144" s="18">
        <f t="shared" si="15"/>
        <v>1</v>
      </c>
      <c r="O144" s="27"/>
      <c r="P144" s="8"/>
      <c r="Q144" s="8"/>
      <c r="R144" s="8"/>
      <c r="S144" s="27"/>
      <c r="T144" s="27"/>
      <c r="U144" s="8"/>
      <c r="V144" s="8"/>
      <c r="W144" s="8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8"/>
      <c r="AL144" s="8"/>
      <c r="AM144" s="8"/>
      <c r="AN144" s="27"/>
      <c r="AO144" s="8"/>
      <c r="AP144" s="8"/>
      <c r="AQ144" s="27"/>
      <c r="AR144" s="27"/>
      <c r="AS144" s="27"/>
    </row>
    <row r="145" spans="1:45" ht="15.75" thickBot="1" x14ac:dyDescent="0.3">
      <c r="A145" s="51" t="s">
        <v>243</v>
      </c>
      <c r="B145" s="51" t="s">
        <v>358</v>
      </c>
      <c r="C145" s="51" t="s">
        <v>1391</v>
      </c>
      <c r="D145" s="51" t="s">
        <v>359</v>
      </c>
      <c r="E145" s="51" t="s">
        <v>24</v>
      </c>
      <c r="F145" s="51" t="s">
        <v>25</v>
      </c>
      <c r="G145" s="51" t="s">
        <v>360</v>
      </c>
      <c r="H145" s="51" t="s">
        <v>361</v>
      </c>
      <c r="I145" s="16">
        <v>-348065100000</v>
      </c>
      <c r="J145" s="16">
        <v>-582865850000</v>
      </c>
      <c r="K145" s="51" t="s">
        <v>964</v>
      </c>
      <c r="L145" s="53">
        <f t="shared" si="16"/>
        <v>30</v>
      </c>
      <c r="M145" s="17">
        <f t="shared" si="14"/>
        <v>0</v>
      </c>
      <c r="N145" s="18">
        <f t="shared" si="15"/>
        <v>1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8"/>
      <c r="AL145" s="8"/>
      <c r="AM145" s="8"/>
      <c r="AN145" s="27"/>
      <c r="AO145" s="8"/>
      <c r="AP145" s="8"/>
      <c r="AQ145" s="27"/>
      <c r="AR145" s="27"/>
      <c r="AS145" s="27"/>
    </row>
    <row r="146" spans="1:45" ht="15.75" thickBot="1" x14ac:dyDescent="0.3">
      <c r="A146" s="51" t="s">
        <v>362</v>
      </c>
      <c r="B146" s="51" t="s">
        <v>363</v>
      </c>
      <c r="C146" s="51" t="s">
        <v>1391</v>
      </c>
      <c r="D146" s="51" t="s">
        <v>364</v>
      </c>
      <c r="E146" s="51" t="s">
        <v>102</v>
      </c>
      <c r="F146" s="51" t="s">
        <v>36</v>
      </c>
      <c r="G146" s="51"/>
      <c r="H146" s="51" t="s">
        <v>230</v>
      </c>
      <c r="I146" s="16">
        <v>-348071440000</v>
      </c>
      <c r="J146" s="16">
        <v>-582892140000</v>
      </c>
      <c r="K146" s="51" t="s">
        <v>965</v>
      </c>
      <c r="L146" s="53">
        <f t="shared" si="16"/>
        <v>30</v>
      </c>
      <c r="M146" s="17">
        <f t="shared" si="14"/>
        <v>0</v>
      </c>
      <c r="N146" s="18">
        <f t="shared" si="15"/>
        <v>1</v>
      </c>
      <c r="O146" s="27"/>
      <c r="P146" s="8"/>
      <c r="Q146" s="8"/>
      <c r="R146" s="8"/>
      <c r="S146" s="27"/>
      <c r="T146" s="27"/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8"/>
      <c r="AL146" s="8"/>
      <c r="AM146" s="8"/>
      <c r="AN146" s="27"/>
      <c r="AO146" s="8"/>
      <c r="AP146" s="8"/>
      <c r="AQ146" s="27"/>
      <c r="AR146" s="27"/>
      <c r="AS146" s="27"/>
    </row>
    <row r="147" spans="1:45" ht="15.75" thickBot="1" x14ac:dyDescent="0.3">
      <c r="A147" s="51" t="s">
        <v>362</v>
      </c>
      <c r="B147" s="51" t="s">
        <v>365</v>
      </c>
      <c r="C147" s="51" t="s">
        <v>1391</v>
      </c>
      <c r="D147" s="51" t="s">
        <v>364</v>
      </c>
      <c r="E147" s="51" t="s">
        <v>65</v>
      </c>
      <c r="F147" s="51" t="s">
        <v>36</v>
      </c>
      <c r="G147" s="51"/>
      <c r="H147" s="51" t="s">
        <v>207</v>
      </c>
      <c r="I147" s="16">
        <v>-348070260000</v>
      </c>
      <c r="J147" s="16">
        <v>-582887990000</v>
      </c>
      <c r="K147" s="51" t="s">
        <v>940</v>
      </c>
      <c r="L147" s="53">
        <f t="shared" si="16"/>
        <v>30</v>
      </c>
      <c r="M147" s="17">
        <f t="shared" si="14"/>
        <v>0</v>
      </c>
      <c r="N147" s="18">
        <f t="shared" si="15"/>
        <v>1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8"/>
      <c r="AL147" s="8"/>
      <c r="AM147" s="8"/>
      <c r="AN147" s="27"/>
      <c r="AO147" s="8"/>
      <c r="AP147" s="8"/>
      <c r="AQ147" s="27"/>
      <c r="AR147" s="27"/>
      <c r="AS147" s="27"/>
    </row>
    <row r="148" spans="1:45" ht="15.75" thickBot="1" x14ac:dyDescent="0.3">
      <c r="A148" s="51" t="s">
        <v>366</v>
      </c>
      <c r="B148" s="51" t="s">
        <v>1271</v>
      </c>
      <c r="C148" s="51" t="s">
        <v>1392</v>
      </c>
      <c r="D148" s="51" t="s">
        <v>367</v>
      </c>
      <c r="E148" s="51" t="s">
        <v>19</v>
      </c>
      <c r="F148" s="51" t="s">
        <v>1383</v>
      </c>
      <c r="G148" s="51"/>
      <c r="H148" s="51" t="s">
        <v>230</v>
      </c>
      <c r="I148" s="16">
        <v>-348519500000</v>
      </c>
      <c r="J148" s="16">
        <v>-582783830000</v>
      </c>
      <c r="K148" s="51" t="s">
        <v>966</v>
      </c>
      <c r="L148" s="53">
        <f t="shared" si="16"/>
        <v>30</v>
      </c>
      <c r="M148" s="17">
        <f t="shared" si="14"/>
        <v>0</v>
      </c>
      <c r="N148" s="18">
        <f t="shared" si="15"/>
        <v>1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8"/>
      <c r="AL148" s="8"/>
      <c r="AM148" s="8"/>
      <c r="AN148" s="27"/>
      <c r="AO148" s="8"/>
      <c r="AP148" s="8"/>
      <c r="AQ148" s="27"/>
      <c r="AR148" s="27"/>
      <c r="AS148" s="27"/>
    </row>
    <row r="149" spans="1:45" ht="15.75" thickBot="1" x14ac:dyDescent="0.3">
      <c r="A149" s="51" t="s">
        <v>366</v>
      </c>
      <c r="B149" s="51" t="s">
        <v>368</v>
      </c>
      <c r="C149" s="51" t="s">
        <v>1392</v>
      </c>
      <c r="D149" s="51" t="s">
        <v>369</v>
      </c>
      <c r="E149" s="51" t="s">
        <v>102</v>
      </c>
      <c r="F149" s="51" t="s">
        <v>36</v>
      </c>
      <c r="G149" s="51"/>
      <c r="H149" s="51" t="s">
        <v>302</v>
      </c>
      <c r="I149" s="16">
        <v>-348525210000</v>
      </c>
      <c r="J149" s="16">
        <v>-582783180000</v>
      </c>
      <c r="K149" s="51" t="s">
        <v>967</v>
      </c>
      <c r="L149" s="53">
        <f t="shared" si="16"/>
        <v>30</v>
      </c>
      <c r="M149" s="17">
        <f t="shared" si="14"/>
        <v>0</v>
      </c>
      <c r="N149" s="18">
        <f t="shared" si="15"/>
        <v>1</v>
      </c>
      <c r="O149" s="27"/>
      <c r="P149" s="8"/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/>
      <c r="AP149" s="8"/>
      <c r="AQ149" s="27"/>
      <c r="AR149" s="27"/>
      <c r="AS149" s="27"/>
    </row>
    <row r="150" spans="1:45" ht="15.75" thickBot="1" x14ac:dyDescent="0.3">
      <c r="A150" s="51" t="s">
        <v>366</v>
      </c>
      <c r="B150" s="51" t="s">
        <v>370</v>
      </c>
      <c r="C150" s="51" t="s">
        <v>1392</v>
      </c>
      <c r="D150" s="51" t="s">
        <v>369</v>
      </c>
      <c r="E150" s="51" t="s">
        <v>102</v>
      </c>
      <c r="F150" s="51" t="s">
        <v>36</v>
      </c>
      <c r="G150" s="51"/>
      <c r="H150" s="51" t="s">
        <v>302</v>
      </c>
      <c r="I150" s="16">
        <v>-348525370000</v>
      </c>
      <c r="J150" s="16">
        <v>-582783380000</v>
      </c>
      <c r="K150" s="51" t="s">
        <v>968</v>
      </c>
      <c r="L150" s="53">
        <f t="shared" si="16"/>
        <v>30</v>
      </c>
      <c r="M150" s="17">
        <f t="shared" si="14"/>
        <v>0</v>
      </c>
      <c r="N150" s="18">
        <f t="shared" si="15"/>
        <v>1</v>
      </c>
      <c r="O150" s="27"/>
      <c r="P150" s="8"/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/>
      <c r="AP150" s="8"/>
      <c r="AQ150" s="27"/>
      <c r="AR150" s="27"/>
      <c r="AS150" s="27"/>
    </row>
    <row r="151" spans="1:45" ht="15.75" thickBot="1" x14ac:dyDescent="0.3">
      <c r="A151" s="51" t="s">
        <v>377</v>
      </c>
      <c r="B151" s="51" t="s">
        <v>1272</v>
      </c>
      <c r="C151" s="51" t="s">
        <v>1391</v>
      </c>
      <c r="D151" s="51" t="s">
        <v>383</v>
      </c>
      <c r="E151" s="51" t="s">
        <v>102</v>
      </c>
      <c r="F151" s="51" t="s">
        <v>36</v>
      </c>
      <c r="G151" s="51" t="s">
        <v>113</v>
      </c>
      <c r="H151" s="51"/>
      <c r="I151" s="16">
        <v>-347779450000</v>
      </c>
      <c r="J151" s="16">
        <v>-582643280000</v>
      </c>
      <c r="K151" s="51" t="s">
        <v>973</v>
      </c>
      <c r="L151" s="53">
        <f t="shared" si="16"/>
        <v>30</v>
      </c>
      <c r="M151" s="17">
        <f t="shared" si="14"/>
        <v>0</v>
      </c>
      <c r="N151" s="18">
        <f t="shared" si="15"/>
        <v>1</v>
      </c>
      <c r="O151" s="27"/>
      <c r="P151" s="8"/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  <c r="AS151" s="27"/>
    </row>
    <row r="152" spans="1:45" ht="15.75" thickBot="1" x14ac:dyDescent="0.3">
      <c r="A152" s="51" t="s">
        <v>377</v>
      </c>
      <c r="B152" s="51" t="s">
        <v>1273</v>
      </c>
      <c r="C152" s="51" t="s">
        <v>1391</v>
      </c>
      <c r="D152" s="51" t="s">
        <v>1274</v>
      </c>
      <c r="E152" s="51" t="s">
        <v>24</v>
      </c>
      <c r="F152" s="51" t="s">
        <v>36</v>
      </c>
      <c r="G152" s="51" t="s">
        <v>170</v>
      </c>
      <c r="H152" s="51"/>
      <c r="I152" s="16">
        <v>-347811260000</v>
      </c>
      <c r="J152" s="16">
        <v>-582702510000</v>
      </c>
      <c r="K152" s="51" t="s">
        <v>977</v>
      </c>
      <c r="L152" s="53">
        <f t="shared" si="16"/>
        <v>30</v>
      </c>
      <c r="M152" s="17">
        <f t="shared" si="14"/>
        <v>0</v>
      </c>
      <c r="N152" s="18">
        <f t="shared" si="15"/>
        <v>1</v>
      </c>
      <c r="O152" s="27"/>
      <c r="P152" s="8"/>
      <c r="Q152" s="8"/>
      <c r="R152" s="8"/>
      <c r="S152" s="27"/>
      <c r="T152" s="27"/>
      <c r="U152" s="8"/>
      <c r="V152" s="8"/>
      <c r="W152" s="8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8"/>
      <c r="AL152" s="8"/>
      <c r="AM152" s="8"/>
      <c r="AN152" s="27"/>
      <c r="AO152" s="8"/>
      <c r="AP152" s="8"/>
      <c r="AQ152" s="27"/>
      <c r="AR152" s="27"/>
      <c r="AS152" s="27"/>
    </row>
    <row r="153" spans="1:45" ht="15.75" thickBot="1" x14ac:dyDescent="0.3">
      <c r="A153" s="51" t="s">
        <v>377</v>
      </c>
      <c r="B153" s="51" t="s">
        <v>1275</v>
      </c>
      <c r="C153" s="51" t="s">
        <v>1391</v>
      </c>
      <c r="D153" s="51" t="s">
        <v>391</v>
      </c>
      <c r="E153" s="51" t="s">
        <v>24</v>
      </c>
      <c r="F153" s="51" t="s">
        <v>36</v>
      </c>
      <c r="G153" s="51" t="s">
        <v>170</v>
      </c>
      <c r="H153" s="51"/>
      <c r="I153" s="16">
        <v>-347801920000</v>
      </c>
      <c r="J153" s="16">
        <v>-582637810000</v>
      </c>
      <c r="K153" s="51" t="s">
        <v>978</v>
      </c>
      <c r="L153" s="53">
        <f t="shared" si="16"/>
        <v>30</v>
      </c>
      <c r="M153" s="17">
        <f t="shared" si="14"/>
        <v>0</v>
      </c>
      <c r="N153" s="18">
        <f t="shared" si="15"/>
        <v>1</v>
      </c>
      <c r="O153" s="27"/>
      <c r="P153" s="8"/>
      <c r="Q153" s="8"/>
      <c r="R153" s="8"/>
      <c r="S153" s="27"/>
      <c r="T153" s="27"/>
      <c r="U153" s="8"/>
      <c r="V153" s="8"/>
      <c r="W153" s="8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8"/>
      <c r="AL153" s="8"/>
      <c r="AM153" s="8"/>
      <c r="AN153" s="27"/>
      <c r="AO153" s="8"/>
      <c r="AP153" s="8"/>
      <c r="AQ153" s="27"/>
      <c r="AR153" s="27"/>
      <c r="AS153" s="27"/>
    </row>
    <row r="154" spans="1:45" ht="15.75" thickBot="1" x14ac:dyDescent="0.3">
      <c r="A154" s="51" t="s">
        <v>377</v>
      </c>
      <c r="B154" s="51" t="s">
        <v>1276</v>
      </c>
      <c r="C154" s="51" t="s">
        <v>1391</v>
      </c>
      <c r="D154" s="51" t="s">
        <v>395</v>
      </c>
      <c r="E154" s="51" t="s">
        <v>102</v>
      </c>
      <c r="F154" s="51" t="s">
        <v>36</v>
      </c>
      <c r="G154" s="51"/>
      <c r="H154" s="51" t="s">
        <v>396</v>
      </c>
      <c r="I154" s="16">
        <v>-347808370000</v>
      </c>
      <c r="J154" s="16">
        <v>-582696060000</v>
      </c>
      <c r="K154" s="51" t="s">
        <v>980</v>
      </c>
      <c r="L154" s="53">
        <f t="shared" si="16"/>
        <v>30</v>
      </c>
      <c r="M154" s="17">
        <f t="shared" si="14"/>
        <v>0</v>
      </c>
      <c r="N154" s="18">
        <f t="shared" si="15"/>
        <v>1</v>
      </c>
      <c r="O154" s="27"/>
      <c r="P154" s="8"/>
      <c r="Q154" s="8"/>
      <c r="R154" s="8"/>
      <c r="S154" s="27"/>
      <c r="T154" s="27"/>
      <c r="U154" s="8"/>
      <c r="V154" s="8"/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8"/>
      <c r="AL154" s="8"/>
      <c r="AM154" s="8"/>
      <c r="AN154" s="27"/>
      <c r="AO154" s="8"/>
      <c r="AP154" s="8"/>
      <c r="AQ154" s="27"/>
      <c r="AR154" s="27"/>
      <c r="AS154" s="27"/>
    </row>
    <row r="155" spans="1:45" ht="15.75" thickBot="1" x14ac:dyDescent="0.3">
      <c r="A155" s="51" t="s">
        <v>377</v>
      </c>
      <c r="B155" s="51" t="s">
        <v>1277</v>
      </c>
      <c r="C155" s="51" t="s">
        <v>1391</v>
      </c>
      <c r="D155" s="51" t="s">
        <v>395</v>
      </c>
      <c r="E155" s="51" t="s">
        <v>102</v>
      </c>
      <c r="F155" s="51" t="s">
        <v>36</v>
      </c>
      <c r="G155" s="51"/>
      <c r="H155" s="51" t="s">
        <v>396</v>
      </c>
      <c r="I155" s="16">
        <v>-347808450000</v>
      </c>
      <c r="J155" s="16">
        <v>-582696230000</v>
      </c>
      <c r="K155" s="51" t="s">
        <v>981</v>
      </c>
      <c r="L155" s="53">
        <f t="shared" si="16"/>
        <v>30</v>
      </c>
      <c r="M155" s="17">
        <f t="shared" si="14"/>
        <v>0</v>
      </c>
      <c r="N155" s="18">
        <f t="shared" si="15"/>
        <v>1</v>
      </c>
      <c r="O155" s="27"/>
      <c r="P155" s="8"/>
      <c r="Q155" s="8"/>
      <c r="R155" s="8"/>
      <c r="S155" s="27"/>
      <c r="T155" s="27"/>
      <c r="U155" s="8"/>
      <c r="V155" s="8"/>
      <c r="W155" s="8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8"/>
      <c r="AL155" s="8"/>
      <c r="AM155" s="8"/>
      <c r="AN155" s="27"/>
      <c r="AO155" s="8"/>
      <c r="AP155" s="8"/>
      <c r="AQ155" s="27"/>
      <c r="AR155" s="27"/>
      <c r="AS155" s="27"/>
    </row>
    <row r="156" spans="1:45" ht="15.75" thickBot="1" x14ac:dyDescent="0.3">
      <c r="A156" s="51" t="s">
        <v>377</v>
      </c>
      <c r="B156" s="51" t="s">
        <v>1278</v>
      </c>
      <c r="C156" s="51" t="s">
        <v>1391</v>
      </c>
      <c r="D156" s="51" t="s">
        <v>372</v>
      </c>
      <c r="E156" s="51" t="s">
        <v>65</v>
      </c>
      <c r="F156" s="51" t="s">
        <v>1383</v>
      </c>
      <c r="G156" s="51" t="s">
        <v>170</v>
      </c>
      <c r="H156" s="51" t="s">
        <v>373</v>
      </c>
      <c r="I156" s="16">
        <v>-347838400000</v>
      </c>
      <c r="J156" s="16">
        <v>-582682780000</v>
      </c>
      <c r="K156" s="51" t="s">
        <v>969</v>
      </c>
      <c r="L156" s="53">
        <f t="shared" si="16"/>
        <v>23</v>
      </c>
      <c r="M156" s="17">
        <f t="shared" si="14"/>
        <v>7</v>
      </c>
      <c r="N156" s="18">
        <f t="shared" si="15"/>
        <v>0.76666666666666672</v>
      </c>
      <c r="O156" s="27" t="s">
        <v>1209</v>
      </c>
      <c r="P156" s="8" t="s">
        <v>1209</v>
      </c>
      <c r="Q156" s="8" t="s">
        <v>1209</v>
      </c>
      <c r="R156" s="8" t="s">
        <v>1209</v>
      </c>
      <c r="S156" s="27" t="s">
        <v>1209</v>
      </c>
      <c r="T156" s="27" t="s">
        <v>1209</v>
      </c>
      <c r="U156" s="8" t="s">
        <v>1209</v>
      </c>
      <c r="V156" s="8"/>
      <c r="W156" s="8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8"/>
      <c r="AL156" s="8"/>
      <c r="AM156" s="8"/>
      <c r="AN156" s="27"/>
      <c r="AO156" s="8"/>
      <c r="AP156" s="8"/>
      <c r="AQ156" s="27"/>
      <c r="AR156" s="27"/>
      <c r="AS156" s="27"/>
    </row>
    <row r="157" spans="1:45" ht="15.75" thickBot="1" x14ac:dyDescent="0.3">
      <c r="A157" s="51" t="s">
        <v>374</v>
      </c>
      <c r="B157" s="51" t="s">
        <v>375</v>
      </c>
      <c r="C157" s="51" t="s">
        <v>1391</v>
      </c>
      <c r="D157" s="51" t="s">
        <v>376</v>
      </c>
      <c r="E157" s="51" t="s">
        <v>24</v>
      </c>
      <c r="F157" s="51" t="s">
        <v>1383</v>
      </c>
      <c r="G157" s="51" t="s">
        <v>170</v>
      </c>
      <c r="H157" s="51"/>
      <c r="I157" s="16">
        <v>-347869330000</v>
      </c>
      <c r="J157" s="16">
        <v>-582738880000</v>
      </c>
      <c r="K157" s="51" t="s">
        <v>970</v>
      </c>
      <c r="L157" s="53">
        <f t="shared" si="16"/>
        <v>23</v>
      </c>
      <c r="M157" s="17">
        <f t="shared" si="14"/>
        <v>7</v>
      </c>
      <c r="N157" s="18">
        <f t="shared" si="15"/>
        <v>0.76666666666666672</v>
      </c>
      <c r="O157" s="27" t="s">
        <v>1209</v>
      </c>
      <c r="P157" s="8" t="s">
        <v>1209</v>
      </c>
      <c r="Q157" s="8" t="s">
        <v>1209</v>
      </c>
      <c r="R157" s="8" t="s">
        <v>1209</v>
      </c>
      <c r="S157" s="27" t="s">
        <v>1209</v>
      </c>
      <c r="T157" s="27" t="s">
        <v>1209</v>
      </c>
      <c r="U157" s="8" t="s">
        <v>1209</v>
      </c>
      <c r="V157" s="8"/>
      <c r="W157" s="8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8"/>
      <c r="AL157" s="8"/>
      <c r="AM157" s="8"/>
      <c r="AN157" s="27"/>
      <c r="AO157" s="8"/>
      <c r="AP157" s="8"/>
      <c r="AQ157" s="27"/>
      <c r="AR157" s="27"/>
      <c r="AS157" s="27"/>
    </row>
    <row r="158" spans="1:45" ht="15.75" thickBot="1" x14ac:dyDescent="0.3">
      <c r="A158" s="51" t="s">
        <v>377</v>
      </c>
      <c r="B158" s="51" t="s">
        <v>378</v>
      </c>
      <c r="C158" s="51" t="s">
        <v>1391</v>
      </c>
      <c r="D158" s="51" t="s">
        <v>379</v>
      </c>
      <c r="E158" s="51" t="s">
        <v>102</v>
      </c>
      <c r="F158" s="51" t="s">
        <v>36</v>
      </c>
      <c r="G158" s="51" t="s">
        <v>170</v>
      </c>
      <c r="H158" s="51"/>
      <c r="I158" s="16">
        <v>-347836020000</v>
      </c>
      <c r="J158" s="16">
        <v>-582678150000</v>
      </c>
      <c r="K158" s="51" t="s">
        <v>971</v>
      </c>
      <c r="L158" s="53">
        <f t="shared" si="16"/>
        <v>23</v>
      </c>
      <c r="M158" s="17">
        <f t="shared" si="14"/>
        <v>7</v>
      </c>
      <c r="N158" s="18">
        <f t="shared" si="15"/>
        <v>0.76666666666666672</v>
      </c>
      <c r="O158" s="27" t="s">
        <v>1209</v>
      </c>
      <c r="P158" s="8" t="s">
        <v>1209</v>
      </c>
      <c r="Q158" s="8" t="s">
        <v>1209</v>
      </c>
      <c r="R158" s="8" t="s">
        <v>1209</v>
      </c>
      <c r="S158" s="27" t="s">
        <v>1209</v>
      </c>
      <c r="T158" s="27" t="s">
        <v>1209</v>
      </c>
      <c r="U158" s="8" t="s">
        <v>1209</v>
      </c>
      <c r="V158" s="8"/>
      <c r="W158" s="8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8"/>
      <c r="AL158" s="8"/>
      <c r="AM158" s="8"/>
      <c r="AN158" s="27"/>
      <c r="AO158" s="8"/>
      <c r="AP158" s="8"/>
      <c r="AQ158" s="27"/>
      <c r="AR158" s="27"/>
      <c r="AS158" s="27"/>
    </row>
    <row r="159" spans="1:45" ht="15.75" thickBot="1" x14ac:dyDescent="0.3">
      <c r="A159" s="51" t="s">
        <v>377</v>
      </c>
      <c r="B159" s="51" t="s">
        <v>380</v>
      </c>
      <c r="C159" s="51" t="s">
        <v>1391</v>
      </c>
      <c r="D159" s="51" t="s">
        <v>381</v>
      </c>
      <c r="E159" s="51" t="s">
        <v>65</v>
      </c>
      <c r="F159" s="51" t="s">
        <v>36</v>
      </c>
      <c r="G159" s="51" t="s">
        <v>170</v>
      </c>
      <c r="H159" s="51" t="s">
        <v>382</v>
      </c>
      <c r="I159" s="16">
        <v>-347831840000</v>
      </c>
      <c r="J159" s="16">
        <v>-582670320000</v>
      </c>
      <c r="K159" s="51" t="s">
        <v>972</v>
      </c>
      <c r="L159" s="53">
        <f t="shared" si="16"/>
        <v>30</v>
      </c>
      <c r="M159" s="17">
        <f t="shared" si="14"/>
        <v>0</v>
      </c>
      <c r="N159" s="18">
        <f t="shared" si="15"/>
        <v>1</v>
      </c>
      <c r="O159" s="27"/>
      <c r="P159" s="8"/>
      <c r="Q159" s="8"/>
      <c r="R159" s="8"/>
      <c r="S159" s="27"/>
      <c r="T159" s="27"/>
      <c r="U159" s="8"/>
      <c r="V159" s="8"/>
      <c r="W159" s="8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8"/>
      <c r="AL159" s="8"/>
      <c r="AM159" s="8"/>
      <c r="AN159" s="27"/>
      <c r="AO159" s="8"/>
      <c r="AP159" s="8"/>
      <c r="AQ159" s="27"/>
      <c r="AR159" s="27"/>
      <c r="AS159" s="27"/>
    </row>
    <row r="160" spans="1:45" ht="15.75" thickBot="1" x14ac:dyDescent="0.3">
      <c r="A160" s="51" t="s">
        <v>374</v>
      </c>
      <c r="B160" s="51" t="s">
        <v>384</v>
      </c>
      <c r="C160" s="51" t="s">
        <v>1391</v>
      </c>
      <c r="D160" s="51" t="s">
        <v>385</v>
      </c>
      <c r="E160" s="51" t="s">
        <v>24</v>
      </c>
      <c r="F160" s="51" t="s">
        <v>36</v>
      </c>
      <c r="G160" s="51" t="s">
        <v>386</v>
      </c>
      <c r="H160" s="51"/>
      <c r="I160" s="16">
        <v>-347807820000</v>
      </c>
      <c r="J160" s="16">
        <v>-582625370000</v>
      </c>
      <c r="K160" s="51" t="s">
        <v>974</v>
      </c>
      <c r="L160" s="53">
        <f t="shared" si="16"/>
        <v>28</v>
      </c>
      <c r="M160" s="17">
        <f t="shared" si="14"/>
        <v>2</v>
      </c>
      <c r="N160" s="18">
        <f t="shared" si="15"/>
        <v>0.93333333333333335</v>
      </c>
      <c r="O160" s="27"/>
      <c r="P160" s="8"/>
      <c r="Q160" s="8"/>
      <c r="R160" s="8"/>
      <c r="S160" s="27"/>
      <c r="T160" s="27" t="s">
        <v>1209</v>
      </c>
      <c r="U160" s="8" t="s">
        <v>1209</v>
      </c>
      <c r="V160" s="8"/>
      <c r="W160" s="8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8"/>
      <c r="AL160" s="8"/>
      <c r="AM160" s="8"/>
      <c r="AN160" s="27"/>
      <c r="AO160" s="8"/>
      <c r="AP160" s="8"/>
      <c r="AQ160" s="27"/>
      <c r="AR160" s="27"/>
      <c r="AS160" s="27"/>
    </row>
    <row r="161" spans="1:45" ht="15.75" thickBot="1" x14ac:dyDescent="0.3">
      <c r="A161" s="51" t="s">
        <v>377</v>
      </c>
      <c r="B161" s="51" t="s">
        <v>387</v>
      </c>
      <c r="C161" s="51" t="s">
        <v>1391</v>
      </c>
      <c r="D161" s="51" t="s">
        <v>388</v>
      </c>
      <c r="E161" s="51" t="s">
        <v>24</v>
      </c>
      <c r="F161" s="51" t="s">
        <v>36</v>
      </c>
      <c r="G161" s="51" t="s">
        <v>170</v>
      </c>
      <c r="H161" s="51"/>
      <c r="I161" s="16">
        <v>-347816280000</v>
      </c>
      <c r="J161" s="16">
        <v>-582641460000</v>
      </c>
      <c r="K161" s="51" t="s">
        <v>975</v>
      </c>
      <c r="L161" s="53">
        <f t="shared" si="16"/>
        <v>30</v>
      </c>
      <c r="M161" s="17">
        <f t="shared" si="14"/>
        <v>0</v>
      </c>
      <c r="N161" s="18">
        <f t="shared" si="15"/>
        <v>1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8"/>
      <c r="AL161" s="8"/>
      <c r="AM161" s="8"/>
      <c r="AN161" s="27"/>
      <c r="AO161" s="8"/>
      <c r="AP161" s="8"/>
      <c r="AQ161" s="27"/>
      <c r="AR161" s="27"/>
      <c r="AS161" s="27"/>
    </row>
    <row r="162" spans="1:45" ht="15.75" thickBot="1" x14ac:dyDescent="0.3">
      <c r="A162" s="51" t="s">
        <v>377</v>
      </c>
      <c r="B162" s="51" t="s">
        <v>389</v>
      </c>
      <c r="C162" s="51" t="s">
        <v>1391</v>
      </c>
      <c r="D162" s="51" t="s">
        <v>390</v>
      </c>
      <c r="E162" s="51" t="s">
        <v>24</v>
      </c>
      <c r="F162" s="51" t="s">
        <v>36</v>
      </c>
      <c r="G162" s="51" t="s">
        <v>170</v>
      </c>
      <c r="H162" s="51"/>
      <c r="I162" s="16">
        <v>-347799500000</v>
      </c>
      <c r="J162" s="16">
        <v>-582656480000</v>
      </c>
      <c r="K162" s="51" t="s">
        <v>976</v>
      </c>
      <c r="L162" s="53">
        <f t="shared" si="16"/>
        <v>28</v>
      </c>
      <c r="M162" s="17">
        <f t="shared" si="14"/>
        <v>2</v>
      </c>
      <c r="N162" s="18">
        <f t="shared" si="15"/>
        <v>0.93333333333333335</v>
      </c>
      <c r="O162" s="27" t="s">
        <v>1209</v>
      </c>
      <c r="P162" s="8"/>
      <c r="Q162" s="8"/>
      <c r="R162" s="8"/>
      <c r="S162" s="27"/>
      <c r="T162" s="27" t="s">
        <v>1209</v>
      </c>
      <c r="U162" s="8"/>
      <c r="V162" s="8"/>
      <c r="W162" s="8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8"/>
      <c r="AL162" s="8"/>
      <c r="AM162" s="8"/>
      <c r="AN162" s="27"/>
      <c r="AO162" s="8"/>
      <c r="AP162" s="8"/>
      <c r="AQ162" s="27"/>
      <c r="AR162" s="27"/>
      <c r="AS162" s="27"/>
    </row>
    <row r="163" spans="1:45" ht="15.75" thickBot="1" x14ac:dyDescent="0.3">
      <c r="A163" s="51" t="s">
        <v>377</v>
      </c>
      <c r="B163" s="51" t="s">
        <v>392</v>
      </c>
      <c r="C163" s="51" t="s">
        <v>1391</v>
      </c>
      <c r="D163" s="51" t="s">
        <v>393</v>
      </c>
      <c r="E163" s="51" t="s">
        <v>24</v>
      </c>
      <c r="F163" s="51" t="s">
        <v>1383</v>
      </c>
      <c r="G163" s="51" t="s">
        <v>394</v>
      </c>
      <c r="H163" s="51"/>
      <c r="I163" s="16">
        <v>-347837870000</v>
      </c>
      <c r="J163" s="16">
        <v>-582681690000</v>
      </c>
      <c r="K163" s="51" t="s">
        <v>979</v>
      </c>
      <c r="L163" s="53">
        <f t="shared" si="16"/>
        <v>23</v>
      </c>
      <c r="M163" s="17">
        <f t="shared" si="14"/>
        <v>7</v>
      </c>
      <c r="N163" s="18">
        <f t="shared" si="15"/>
        <v>0.76666666666666672</v>
      </c>
      <c r="O163" s="27" t="s">
        <v>1209</v>
      </c>
      <c r="P163" s="8" t="s">
        <v>1209</v>
      </c>
      <c r="Q163" s="8" t="s">
        <v>1209</v>
      </c>
      <c r="R163" s="8" t="s">
        <v>1209</v>
      </c>
      <c r="S163" s="27" t="s">
        <v>1209</v>
      </c>
      <c r="T163" s="27" t="s">
        <v>1209</v>
      </c>
      <c r="U163" s="8" t="s">
        <v>1209</v>
      </c>
      <c r="V163" s="8"/>
      <c r="W163" s="8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8"/>
      <c r="AL163" s="8"/>
      <c r="AM163" s="8"/>
      <c r="AN163" s="27"/>
      <c r="AO163" s="8"/>
      <c r="AP163" s="8"/>
      <c r="AQ163" s="27"/>
      <c r="AR163" s="27"/>
      <c r="AS163" s="27"/>
    </row>
    <row r="164" spans="1:45" ht="15.75" thickBot="1" x14ac:dyDescent="0.3">
      <c r="A164" s="51" t="s">
        <v>377</v>
      </c>
      <c r="B164" s="51" t="s">
        <v>397</v>
      </c>
      <c r="C164" s="51" t="s">
        <v>1391</v>
      </c>
      <c r="D164" s="51" t="s">
        <v>398</v>
      </c>
      <c r="E164" s="51" t="s">
        <v>19</v>
      </c>
      <c r="F164" s="51" t="s">
        <v>36</v>
      </c>
      <c r="G164" s="51"/>
      <c r="H164" s="51" t="s">
        <v>230</v>
      </c>
      <c r="I164" s="16">
        <v>-347812080000</v>
      </c>
      <c r="J164" s="16">
        <v>-582633880000</v>
      </c>
      <c r="K164" s="51" t="s">
        <v>982</v>
      </c>
      <c r="L164" s="53">
        <f t="shared" si="16"/>
        <v>30</v>
      </c>
      <c r="M164" s="17">
        <f t="shared" si="14"/>
        <v>0</v>
      </c>
      <c r="N164" s="18">
        <f t="shared" si="15"/>
        <v>1</v>
      </c>
      <c r="O164" s="27"/>
      <c r="P164" s="8"/>
      <c r="Q164" s="8"/>
      <c r="R164" s="8"/>
      <c r="S164" s="27"/>
      <c r="T164" s="27"/>
      <c r="U164" s="8"/>
      <c r="V164" s="8"/>
      <c r="W164" s="8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8"/>
      <c r="AL164" s="8"/>
      <c r="AM164" s="8"/>
      <c r="AN164" s="27"/>
      <c r="AO164" s="8"/>
      <c r="AP164" s="8"/>
      <c r="AQ164" s="27"/>
      <c r="AR164" s="27"/>
      <c r="AS164" s="27"/>
    </row>
    <row r="165" spans="1:45" ht="15.75" thickBot="1" x14ac:dyDescent="0.3">
      <c r="A165" s="51" t="s">
        <v>402</v>
      </c>
      <c r="B165" s="51" t="s">
        <v>1279</v>
      </c>
      <c r="C165" s="51" t="s">
        <v>1391</v>
      </c>
      <c r="D165" s="51" t="s">
        <v>1280</v>
      </c>
      <c r="E165" s="51" t="s">
        <v>24</v>
      </c>
      <c r="F165" s="51" t="s">
        <v>25</v>
      </c>
      <c r="G165" s="51" t="s">
        <v>146</v>
      </c>
      <c r="H165" s="51"/>
      <c r="I165" s="16">
        <v>-348097650000</v>
      </c>
      <c r="J165" s="16">
        <v>-583197750000</v>
      </c>
      <c r="K165" s="51" t="s">
        <v>983</v>
      </c>
      <c r="L165" s="53">
        <f t="shared" si="16"/>
        <v>30</v>
      </c>
      <c r="M165" s="17">
        <f t="shared" si="14"/>
        <v>0</v>
      </c>
      <c r="N165" s="18">
        <f t="shared" si="15"/>
        <v>1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8"/>
      <c r="AL165" s="8"/>
      <c r="AM165" s="8"/>
      <c r="AN165" s="27"/>
      <c r="AO165" s="8"/>
      <c r="AP165" s="8"/>
      <c r="AQ165" s="27"/>
      <c r="AR165" s="27"/>
      <c r="AS165" s="27"/>
    </row>
    <row r="166" spans="1:45" ht="15.75" thickBot="1" x14ac:dyDescent="0.3">
      <c r="A166" s="51" t="s">
        <v>326</v>
      </c>
      <c r="B166" s="51" t="s">
        <v>399</v>
      </c>
      <c r="C166" s="51" t="s">
        <v>1392</v>
      </c>
      <c r="D166" s="51" t="s">
        <v>400</v>
      </c>
      <c r="E166" s="51" t="s">
        <v>19</v>
      </c>
      <c r="F166" s="51" t="s">
        <v>36</v>
      </c>
      <c r="G166" s="51"/>
      <c r="H166" s="51" t="s">
        <v>401</v>
      </c>
      <c r="I166" s="16">
        <v>-348079950000</v>
      </c>
      <c r="J166" s="16">
        <v>-583078510000</v>
      </c>
      <c r="K166" s="51" t="s">
        <v>1396</v>
      </c>
      <c r="L166" s="53">
        <f t="shared" si="16"/>
        <v>23</v>
      </c>
      <c r="M166" s="17">
        <f t="shared" si="14"/>
        <v>7</v>
      </c>
      <c r="N166" s="18">
        <f t="shared" si="15"/>
        <v>0.76666666666666672</v>
      </c>
      <c r="O166" s="27" t="s">
        <v>1209</v>
      </c>
      <c r="P166" s="8" t="s">
        <v>1209</v>
      </c>
      <c r="Q166" s="8" t="s">
        <v>1209</v>
      </c>
      <c r="R166" s="8" t="s">
        <v>1209</v>
      </c>
      <c r="S166" s="27" t="s">
        <v>1209</v>
      </c>
      <c r="T166" s="27" t="s">
        <v>1209</v>
      </c>
      <c r="U166" s="8" t="s">
        <v>1209</v>
      </c>
      <c r="V166" s="8"/>
      <c r="W166" s="8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8"/>
      <c r="AL166" s="8"/>
      <c r="AM166" s="8"/>
      <c r="AN166" s="27"/>
      <c r="AO166" s="8"/>
      <c r="AP166" s="8"/>
      <c r="AQ166" s="27"/>
      <c r="AR166" s="27"/>
      <c r="AS166" s="27"/>
    </row>
    <row r="167" spans="1:45" ht="15.75" thickBot="1" x14ac:dyDescent="0.3">
      <c r="A167" s="51" t="s">
        <v>402</v>
      </c>
      <c r="B167" s="51" t="s">
        <v>403</v>
      </c>
      <c r="C167" s="51" t="s">
        <v>1392</v>
      </c>
      <c r="D167" s="51" t="s">
        <v>404</v>
      </c>
      <c r="E167" s="51" t="s">
        <v>19</v>
      </c>
      <c r="F167" s="51" t="s">
        <v>36</v>
      </c>
      <c r="G167" s="51"/>
      <c r="H167" s="51" t="s">
        <v>405</v>
      </c>
      <c r="I167" s="16">
        <v>-348065880000</v>
      </c>
      <c r="J167" s="16">
        <v>-583140610000</v>
      </c>
      <c r="K167" s="51" t="s">
        <v>984</v>
      </c>
      <c r="L167" s="53">
        <f t="shared" si="16"/>
        <v>30</v>
      </c>
      <c r="M167" s="17">
        <f t="shared" si="14"/>
        <v>0</v>
      </c>
      <c r="N167" s="18">
        <f t="shared" si="15"/>
        <v>1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8"/>
      <c r="AL167" s="8"/>
      <c r="AM167" s="8"/>
      <c r="AN167" s="27"/>
      <c r="AO167" s="8"/>
      <c r="AP167" s="8"/>
      <c r="AQ167" s="27"/>
      <c r="AR167" s="27"/>
      <c r="AS167" s="27"/>
    </row>
    <row r="168" spans="1:45" ht="15.75" thickBot="1" x14ac:dyDescent="0.3">
      <c r="A168" s="51" t="s">
        <v>16</v>
      </c>
      <c r="B168" s="99" t="s">
        <v>17</v>
      </c>
      <c r="C168" s="51" t="s">
        <v>1392</v>
      </c>
      <c r="D168" s="51" t="s">
        <v>18</v>
      </c>
      <c r="E168" s="51" t="s">
        <v>19</v>
      </c>
      <c r="F168" s="51" t="s">
        <v>1383</v>
      </c>
      <c r="G168" s="51" t="s">
        <v>21</v>
      </c>
      <c r="H168" s="51"/>
      <c r="I168" s="16">
        <v>-348296270000</v>
      </c>
      <c r="J168" s="16">
        <v>-582165860000</v>
      </c>
      <c r="K168" s="51" t="s">
        <v>985</v>
      </c>
      <c r="L168" s="53">
        <f t="shared" si="16"/>
        <v>29</v>
      </c>
      <c r="M168" s="17">
        <f t="shared" si="14"/>
        <v>1</v>
      </c>
      <c r="N168" s="18">
        <f t="shared" si="15"/>
        <v>0.96666666666666667</v>
      </c>
      <c r="O168" s="27"/>
      <c r="P168" s="8"/>
      <c r="Q168" s="8"/>
      <c r="R168" s="8"/>
      <c r="S168" s="27"/>
      <c r="T168" s="27"/>
      <c r="U168" s="8" t="s">
        <v>1209</v>
      </c>
      <c r="V168" s="8"/>
      <c r="W168" s="8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8"/>
      <c r="AL168" s="8"/>
      <c r="AM168" s="8"/>
      <c r="AN168" s="27"/>
      <c r="AO168" s="8"/>
      <c r="AP168" s="8"/>
      <c r="AQ168" s="27"/>
      <c r="AR168" s="27"/>
      <c r="AS168" s="27"/>
    </row>
    <row r="169" spans="1:45" ht="15.75" thickBot="1" x14ac:dyDescent="0.3">
      <c r="A169" s="51" t="s">
        <v>518</v>
      </c>
      <c r="B169" s="51" t="s">
        <v>1281</v>
      </c>
      <c r="C169" s="51" t="s">
        <v>1392</v>
      </c>
      <c r="D169" s="51" t="s">
        <v>1282</v>
      </c>
      <c r="E169" s="51" t="s">
        <v>102</v>
      </c>
      <c r="F169" s="51" t="s">
        <v>36</v>
      </c>
      <c r="G169" s="51"/>
      <c r="H169" s="51"/>
      <c r="I169" s="16">
        <v>-348252270000</v>
      </c>
      <c r="J169" s="16">
        <v>-582246060000</v>
      </c>
      <c r="K169" s="51"/>
      <c r="L169" s="53">
        <f t="shared" si="16"/>
        <v>29</v>
      </c>
      <c r="M169" s="17">
        <f t="shared" si="14"/>
        <v>1</v>
      </c>
      <c r="N169" s="18">
        <f t="shared" si="15"/>
        <v>0.96666666666666667</v>
      </c>
      <c r="O169" s="27"/>
      <c r="P169" s="8"/>
      <c r="Q169" s="8"/>
      <c r="R169" s="8"/>
      <c r="S169" s="27"/>
      <c r="T169" s="27"/>
      <c r="U169" s="8" t="s">
        <v>1209</v>
      </c>
      <c r="V169" s="8"/>
      <c r="W169" s="8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8"/>
      <c r="AL169" s="8"/>
      <c r="AM169" s="8"/>
      <c r="AN169" s="27"/>
      <c r="AO169" s="8"/>
      <c r="AP169" s="8"/>
      <c r="AQ169" s="27"/>
      <c r="AR169" s="27"/>
      <c r="AS169" s="27"/>
    </row>
    <row r="170" spans="1:45" ht="15.75" thickBot="1" x14ac:dyDescent="0.3">
      <c r="A170" s="51" t="s">
        <v>1283</v>
      </c>
      <c r="B170" s="51" t="s">
        <v>1284</v>
      </c>
      <c r="C170" s="51" t="s">
        <v>1392</v>
      </c>
      <c r="D170" s="51" t="s">
        <v>1282</v>
      </c>
      <c r="E170" s="51" t="s">
        <v>102</v>
      </c>
      <c r="F170" s="51" t="s">
        <v>36</v>
      </c>
      <c r="G170" s="51"/>
      <c r="H170" s="51"/>
      <c r="I170" s="16">
        <v>-348252890000</v>
      </c>
      <c r="J170" s="16">
        <v>-582246380000</v>
      </c>
      <c r="K170" s="51"/>
      <c r="L170" s="53">
        <f t="shared" si="16"/>
        <v>29</v>
      </c>
      <c r="M170" s="17">
        <f t="shared" si="14"/>
        <v>1</v>
      </c>
      <c r="N170" s="18">
        <f t="shared" si="15"/>
        <v>0.96666666666666667</v>
      </c>
      <c r="O170" s="27"/>
      <c r="P170" s="8"/>
      <c r="Q170" s="8"/>
      <c r="R170" s="8"/>
      <c r="S170" s="27"/>
      <c r="T170" s="27"/>
      <c r="U170" s="8" t="s">
        <v>1209</v>
      </c>
      <c r="V170" s="8"/>
      <c r="W170" s="8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8"/>
      <c r="AL170" s="8"/>
      <c r="AM170" s="8"/>
      <c r="AN170" s="27"/>
      <c r="AO170" s="8"/>
      <c r="AP170" s="8"/>
      <c r="AQ170" s="27"/>
      <c r="AR170" s="27"/>
      <c r="AS170" s="27"/>
    </row>
    <row r="171" spans="1:45" ht="15.75" thickBot="1" x14ac:dyDescent="0.3">
      <c r="A171" s="51" t="s">
        <v>22</v>
      </c>
      <c r="B171" s="99" t="s">
        <v>23</v>
      </c>
      <c r="C171" s="51" t="s">
        <v>1392</v>
      </c>
      <c r="D171" s="51" t="s">
        <v>1285</v>
      </c>
      <c r="E171" s="51" t="s">
        <v>24</v>
      </c>
      <c r="F171" s="51" t="s">
        <v>25</v>
      </c>
      <c r="G171" s="51" t="s">
        <v>26</v>
      </c>
      <c r="H171" s="51"/>
      <c r="I171" s="16">
        <v>-348239900000</v>
      </c>
      <c r="J171" s="16">
        <v>-582772350000</v>
      </c>
      <c r="K171" s="51" t="s">
        <v>986</v>
      </c>
      <c r="L171" s="53">
        <f t="shared" si="16"/>
        <v>30</v>
      </c>
      <c r="M171" s="17">
        <f t="shared" si="14"/>
        <v>0</v>
      </c>
      <c r="N171" s="18">
        <f t="shared" si="15"/>
        <v>1</v>
      </c>
      <c r="O171" s="27"/>
      <c r="P171" s="8"/>
      <c r="Q171" s="8"/>
      <c r="R171" s="8"/>
      <c r="S171" s="27"/>
      <c r="T171" s="27"/>
      <c r="U171" s="8"/>
      <c r="V171" s="8"/>
      <c r="W171" s="8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8"/>
      <c r="AL171" s="8"/>
      <c r="AM171" s="8"/>
      <c r="AN171" s="27"/>
      <c r="AO171" s="8"/>
      <c r="AP171" s="8"/>
      <c r="AQ171" s="27"/>
      <c r="AR171" s="27"/>
      <c r="AS171" s="27"/>
    </row>
    <row r="172" spans="1:45" ht="15.75" thickBot="1" x14ac:dyDescent="0.3">
      <c r="A172" s="51" t="s">
        <v>22</v>
      </c>
      <c r="B172" s="99" t="s">
        <v>27</v>
      </c>
      <c r="C172" s="51" t="s">
        <v>1392</v>
      </c>
      <c r="D172" s="51" t="s">
        <v>28</v>
      </c>
      <c r="E172" s="51" t="s">
        <v>24</v>
      </c>
      <c r="F172" s="51" t="s">
        <v>25</v>
      </c>
      <c r="G172" s="51"/>
      <c r="H172" s="51"/>
      <c r="I172" s="16">
        <v>-348218190000</v>
      </c>
      <c r="J172" s="16">
        <v>-582771380000</v>
      </c>
      <c r="K172" s="51" t="s">
        <v>935</v>
      </c>
      <c r="L172" s="53">
        <f t="shared" si="16"/>
        <v>30</v>
      </c>
      <c r="M172" s="17">
        <f t="shared" si="14"/>
        <v>0</v>
      </c>
      <c r="N172" s="18">
        <f t="shared" si="15"/>
        <v>1</v>
      </c>
      <c r="O172" s="27"/>
      <c r="P172" s="8"/>
      <c r="Q172" s="8"/>
      <c r="R172" s="8"/>
      <c r="S172" s="27"/>
      <c r="T172" s="27"/>
      <c r="U172" s="8"/>
      <c r="V172" s="8"/>
      <c r="W172" s="8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8"/>
      <c r="AL172" s="8"/>
      <c r="AM172" s="8"/>
      <c r="AN172" s="27"/>
      <c r="AO172" s="8"/>
      <c r="AP172" s="8"/>
      <c r="AQ172" s="27"/>
      <c r="AR172" s="27"/>
      <c r="AS172" s="27"/>
    </row>
    <row r="173" spans="1:45" ht="15.75" thickBot="1" x14ac:dyDescent="0.3">
      <c r="A173" s="51" t="s">
        <v>22</v>
      </c>
      <c r="B173" s="99" t="s">
        <v>29</v>
      </c>
      <c r="C173" s="51" t="s">
        <v>1392</v>
      </c>
      <c r="D173" s="51" t="s">
        <v>1286</v>
      </c>
      <c r="E173" s="51" t="s">
        <v>19</v>
      </c>
      <c r="F173" s="51" t="s">
        <v>1384</v>
      </c>
      <c r="G173" s="51"/>
      <c r="H173" s="51" t="s">
        <v>30</v>
      </c>
      <c r="I173" s="16">
        <v>-348230700000</v>
      </c>
      <c r="J173" s="16">
        <v>-582702540000</v>
      </c>
      <c r="K173" s="51" t="s">
        <v>987</v>
      </c>
      <c r="L173" s="53">
        <f t="shared" si="16"/>
        <v>30</v>
      </c>
      <c r="M173" s="17">
        <f t="shared" si="14"/>
        <v>0</v>
      </c>
      <c r="N173" s="18">
        <f t="shared" si="15"/>
        <v>1</v>
      </c>
      <c r="O173" s="27"/>
      <c r="P173" s="8"/>
      <c r="Q173" s="8"/>
      <c r="R173" s="8"/>
      <c r="S173" s="27"/>
      <c r="T173" s="27"/>
      <c r="U173" s="8"/>
      <c r="V173" s="8"/>
      <c r="W173" s="8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8"/>
      <c r="AL173" s="8"/>
      <c r="AM173" s="8"/>
      <c r="AN173" s="27"/>
      <c r="AO173" s="8"/>
      <c r="AP173" s="8"/>
      <c r="AQ173" s="27"/>
      <c r="AR173" s="27"/>
      <c r="AS173" s="27"/>
    </row>
    <row r="174" spans="1:45" ht="15.75" thickBot="1" x14ac:dyDescent="0.3">
      <c r="A174" s="51" t="s">
        <v>22</v>
      </c>
      <c r="B174" s="99" t="s">
        <v>31</v>
      </c>
      <c r="C174" s="51" t="s">
        <v>1392</v>
      </c>
      <c r="D174" s="51" t="s">
        <v>32</v>
      </c>
      <c r="E174" s="51" t="s">
        <v>19</v>
      </c>
      <c r="F174" s="51" t="s">
        <v>25</v>
      </c>
      <c r="G174" s="51"/>
      <c r="H174" s="51" t="s">
        <v>33</v>
      </c>
      <c r="I174" s="16">
        <v>-348252070000</v>
      </c>
      <c r="J174" s="16">
        <v>-582711820000</v>
      </c>
      <c r="K174" s="51" t="s">
        <v>988</v>
      </c>
      <c r="L174" s="53">
        <f t="shared" si="16"/>
        <v>30</v>
      </c>
      <c r="M174" s="17">
        <f t="shared" si="14"/>
        <v>0</v>
      </c>
      <c r="N174" s="18">
        <f t="shared" si="15"/>
        <v>1</v>
      </c>
      <c r="O174" s="27"/>
      <c r="P174" s="8"/>
      <c r="Q174" s="8"/>
      <c r="R174" s="8"/>
      <c r="S174" s="27"/>
      <c r="T174" s="27"/>
      <c r="U174" s="8"/>
      <c r="V174" s="8"/>
      <c r="W174" s="8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8"/>
      <c r="AL174" s="8"/>
      <c r="AM174" s="8"/>
      <c r="AN174" s="27"/>
      <c r="AO174" s="8"/>
      <c r="AP174" s="8"/>
      <c r="AQ174" s="27"/>
      <c r="AR174" s="27"/>
      <c r="AS174" s="27"/>
    </row>
    <row r="175" spans="1:45" ht="15.75" thickBot="1" x14ac:dyDescent="0.3">
      <c r="A175" s="51" t="s">
        <v>406</v>
      </c>
      <c r="B175" s="51" t="s">
        <v>1287</v>
      </c>
      <c r="C175" s="51" t="s">
        <v>1391</v>
      </c>
      <c r="D175" s="51" t="s">
        <v>407</v>
      </c>
      <c r="E175" s="51" t="s">
        <v>102</v>
      </c>
      <c r="F175" s="51" t="s">
        <v>36</v>
      </c>
      <c r="G175" s="51" t="s">
        <v>170</v>
      </c>
      <c r="H175" s="51" t="s">
        <v>408</v>
      </c>
      <c r="I175" s="16">
        <v>-347782860000</v>
      </c>
      <c r="J175" s="16">
        <v>-582672650000</v>
      </c>
      <c r="K175" s="51" t="s">
        <v>989</v>
      </c>
      <c r="L175" s="53">
        <f t="shared" si="16"/>
        <v>28</v>
      </c>
      <c r="M175" s="17">
        <f t="shared" si="14"/>
        <v>2</v>
      </c>
      <c r="N175" s="18">
        <f t="shared" si="15"/>
        <v>0.93333333333333335</v>
      </c>
      <c r="O175" s="27"/>
      <c r="P175" s="8"/>
      <c r="Q175" s="8"/>
      <c r="R175" s="8"/>
      <c r="S175" s="27"/>
      <c r="T175" s="27" t="s">
        <v>1209</v>
      </c>
      <c r="U175" s="8" t="s">
        <v>1209</v>
      </c>
      <c r="V175" s="8"/>
      <c r="W175" s="8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8"/>
      <c r="AL175" s="8"/>
      <c r="AM175" s="8"/>
      <c r="AN175" s="27"/>
      <c r="AO175" s="8"/>
      <c r="AP175" s="8"/>
      <c r="AQ175" s="27"/>
      <c r="AR175" s="27"/>
      <c r="AS175" s="27"/>
    </row>
    <row r="176" spans="1:45" ht="15.75" thickBot="1" x14ac:dyDescent="0.3">
      <c r="A176" s="51" t="s">
        <v>411</v>
      </c>
      <c r="B176" s="51" t="s">
        <v>1288</v>
      </c>
      <c r="C176" s="51" t="s">
        <v>1391</v>
      </c>
      <c r="D176" s="51" t="s">
        <v>412</v>
      </c>
      <c r="E176" s="51" t="s">
        <v>24</v>
      </c>
      <c r="F176" s="51" t="s">
        <v>36</v>
      </c>
      <c r="G176" s="51" t="s">
        <v>413</v>
      </c>
      <c r="H176" s="51"/>
      <c r="I176" s="16">
        <v>-347760150000</v>
      </c>
      <c r="J176" s="16">
        <v>-582715170000</v>
      </c>
      <c r="K176" s="51" t="s">
        <v>990</v>
      </c>
      <c r="L176" s="53">
        <f t="shared" si="16"/>
        <v>28</v>
      </c>
      <c r="M176" s="17">
        <f t="shared" si="14"/>
        <v>2</v>
      </c>
      <c r="N176" s="18">
        <f t="shared" si="15"/>
        <v>0.93333333333333335</v>
      </c>
      <c r="O176" s="27"/>
      <c r="P176" s="8"/>
      <c r="Q176" s="8"/>
      <c r="R176" s="8"/>
      <c r="S176" s="27"/>
      <c r="T176" s="27" t="s">
        <v>1209</v>
      </c>
      <c r="U176" s="8" t="s">
        <v>1209</v>
      </c>
      <c r="V176" s="8"/>
      <c r="W176" s="8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8"/>
      <c r="AL176" s="8"/>
      <c r="AM176" s="8"/>
      <c r="AN176" s="27"/>
      <c r="AO176" s="8"/>
      <c r="AP176" s="8"/>
      <c r="AQ176" s="27"/>
      <c r="AR176" s="27"/>
      <c r="AS176" s="27"/>
    </row>
    <row r="177" spans="1:45" ht="15.75" thickBot="1" x14ac:dyDescent="0.3">
      <c r="A177" s="51" t="s">
        <v>411</v>
      </c>
      <c r="B177" s="51" t="s">
        <v>1289</v>
      </c>
      <c r="C177" s="51" t="s">
        <v>1391</v>
      </c>
      <c r="D177" s="51" t="s">
        <v>417</v>
      </c>
      <c r="E177" s="51" t="s">
        <v>24</v>
      </c>
      <c r="F177" s="51" t="s">
        <v>1383</v>
      </c>
      <c r="G177" s="51" t="s">
        <v>418</v>
      </c>
      <c r="H177" s="51"/>
      <c r="I177" s="16">
        <v>-347771820000</v>
      </c>
      <c r="J177" s="16">
        <v>-582693640000</v>
      </c>
      <c r="K177" s="51" t="s">
        <v>992</v>
      </c>
      <c r="L177" s="53">
        <f t="shared" si="16"/>
        <v>28</v>
      </c>
      <c r="M177" s="17">
        <f t="shared" si="14"/>
        <v>2</v>
      </c>
      <c r="N177" s="18">
        <f t="shared" si="15"/>
        <v>0.93333333333333335</v>
      </c>
      <c r="O177" s="27"/>
      <c r="P177" s="8"/>
      <c r="Q177" s="8"/>
      <c r="R177" s="8"/>
      <c r="S177" s="27"/>
      <c r="T177" s="27" t="s">
        <v>1209</v>
      </c>
      <c r="U177" s="8" t="s">
        <v>1209</v>
      </c>
      <c r="V177" s="8"/>
      <c r="W177" s="8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8"/>
      <c r="AL177" s="8"/>
      <c r="AM177" s="8"/>
      <c r="AN177" s="27"/>
      <c r="AO177" s="8"/>
      <c r="AP177" s="8"/>
      <c r="AQ177" s="27"/>
      <c r="AR177" s="27"/>
      <c r="AS177" s="27"/>
    </row>
    <row r="178" spans="1:45" ht="15.75" thickBot="1" x14ac:dyDescent="0.3">
      <c r="A178" s="51" t="s">
        <v>377</v>
      </c>
      <c r="B178" s="51" t="s">
        <v>409</v>
      </c>
      <c r="C178" s="51" t="s">
        <v>1391</v>
      </c>
      <c r="D178" s="51" t="s">
        <v>410</v>
      </c>
      <c r="E178" s="51" t="s">
        <v>102</v>
      </c>
      <c r="F178" s="51" t="s">
        <v>36</v>
      </c>
      <c r="G178" s="51" t="s">
        <v>113</v>
      </c>
      <c r="H178" s="51"/>
      <c r="I178" s="16">
        <v>-347796720000</v>
      </c>
      <c r="J178" s="16">
        <v>-582627730000</v>
      </c>
      <c r="K178" s="51" t="s">
        <v>1388</v>
      </c>
      <c r="L178" s="53">
        <f t="shared" si="16"/>
        <v>30</v>
      </c>
      <c r="M178" s="17">
        <f t="shared" si="14"/>
        <v>0</v>
      </c>
      <c r="N178" s="18">
        <f t="shared" si="15"/>
        <v>1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8"/>
      <c r="AL178" s="8"/>
      <c r="AM178" s="8"/>
      <c r="AN178" s="27"/>
      <c r="AO178" s="8"/>
      <c r="AP178" s="8"/>
      <c r="AQ178" s="27"/>
      <c r="AR178" s="27"/>
      <c r="AS178" s="27"/>
    </row>
    <row r="179" spans="1:45" ht="15.75" thickBot="1" x14ac:dyDescent="0.3">
      <c r="A179" s="51" t="s">
        <v>406</v>
      </c>
      <c r="B179" s="51" t="s">
        <v>414</v>
      </c>
      <c r="C179" s="51" t="s">
        <v>1391</v>
      </c>
      <c r="D179" s="51" t="s">
        <v>415</v>
      </c>
      <c r="E179" s="51" t="s">
        <v>24</v>
      </c>
      <c r="F179" s="51" t="s">
        <v>1383</v>
      </c>
      <c r="G179" s="51" t="s">
        <v>416</v>
      </c>
      <c r="H179" s="51"/>
      <c r="I179" s="16">
        <v>-347796570000</v>
      </c>
      <c r="J179" s="16">
        <v>-582627950000</v>
      </c>
      <c r="K179" s="51" t="s">
        <v>991</v>
      </c>
      <c r="L179" s="53">
        <f t="shared" si="16"/>
        <v>30</v>
      </c>
      <c r="M179" s="17">
        <f t="shared" si="14"/>
        <v>0</v>
      </c>
      <c r="N179" s="18">
        <f t="shared" si="15"/>
        <v>1</v>
      </c>
      <c r="O179" s="27"/>
      <c r="P179" s="8"/>
      <c r="Q179" s="8"/>
      <c r="R179" s="8"/>
      <c r="S179" s="27"/>
      <c r="T179" s="27"/>
      <c r="U179" s="8"/>
      <c r="V179" s="8"/>
      <c r="W179" s="8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8"/>
      <c r="AL179" s="8"/>
      <c r="AM179" s="8"/>
      <c r="AN179" s="27"/>
      <c r="AO179" s="8"/>
      <c r="AP179" s="8"/>
      <c r="AQ179" s="27"/>
      <c r="AR179" s="27"/>
      <c r="AS179" s="27"/>
    </row>
    <row r="180" spans="1:45" ht="15.75" thickBot="1" x14ac:dyDescent="0.3">
      <c r="A180" s="51" t="s">
        <v>411</v>
      </c>
      <c r="B180" s="51" t="s">
        <v>419</v>
      </c>
      <c r="C180" s="51" t="s">
        <v>1391</v>
      </c>
      <c r="D180" s="51" t="s">
        <v>420</v>
      </c>
      <c r="E180" s="51" t="s">
        <v>19</v>
      </c>
      <c r="F180" s="51" t="s">
        <v>1383</v>
      </c>
      <c r="G180" s="51" t="s">
        <v>421</v>
      </c>
      <c r="H180" s="51"/>
      <c r="I180" s="16">
        <v>-347739010000</v>
      </c>
      <c r="J180" s="16">
        <v>-582753360000</v>
      </c>
      <c r="K180" s="51" t="s">
        <v>993</v>
      </c>
      <c r="L180" s="53">
        <f t="shared" si="16"/>
        <v>28</v>
      </c>
      <c r="M180" s="17">
        <f t="shared" si="14"/>
        <v>2</v>
      </c>
      <c r="N180" s="18">
        <f t="shared" si="15"/>
        <v>0.93333333333333335</v>
      </c>
      <c r="O180" s="27"/>
      <c r="P180" s="8"/>
      <c r="Q180" s="8"/>
      <c r="R180" s="8"/>
      <c r="S180" s="27"/>
      <c r="T180" s="27" t="s">
        <v>1209</v>
      </c>
      <c r="U180" s="8" t="s">
        <v>1209</v>
      </c>
      <c r="V180" s="8"/>
      <c r="W180" s="8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8"/>
      <c r="AL180" s="8"/>
      <c r="AM180" s="8"/>
      <c r="AN180" s="27"/>
      <c r="AO180" s="8"/>
      <c r="AP180" s="8"/>
      <c r="AQ180" s="27"/>
      <c r="AR180" s="27"/>
      <c r="AS180" s="27"/>
    </row>
    <row r="181" spans="1:45" ht="15.75" thickBot="1" x14ac:dyDescent="0.3">
      <c r="A181" s="51" t="s">
        <v>422</v>
      </c>
      <c r="B181" s="51" t="s">
        <v>423</v>
      </c>
      <c r="C181" s="51" t="s">
        <v>1391</v>
      </c>
      <c r="D181" s="51" t="s">
        <v>424</v>
      </c>
      <c r="E181" s="51" t="s">
        <v>102</v>
      </c>
      <c r="F181" s="51" t="s">
        <v>36</v>
      </c>
      <c r="G181" s="51"/>
      <c r="H181" s="51"/>
      <c r="I181" s="16">
        <v>-347901980000</v>
      </c>
      <c r="J181" s="16">
        <v>-582786030000</v>
      </c>
      <c r="K181" s="51" t="s">
        <v>994</v>
      </c>
      <c r="L181" s="53">
        <f t="shared" si="16"/>
        <v>30</v>
      </c>
      <c r="M181" s="17">
        <f t="shared" si="14"/>
        <v>0</v>
      </c>
      <c r="N181" s="18">
        <f t="shared" si="15"/>
        <v>1</v>
      </c>
      <c r="O181" s="27"/>
      <c r="P181" s="8"/>
      <c r="Q181" s="8"/>
      <c r="R181" s="8"/>
      <c r="S181" s="27"/>
      <c r="T181" s="27"/>
      <c r="U181" s="8"/>
      <c r="V181" s="8"/>
      <c r="W181" s="8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8"/>
      <c r="AL181" s="8"/>
      <c r="AM181" s="8"/>
      <c r="AN181" s="27"/>
      <c r="AO181" s="8"/>
      <c r="AP181" s="8"/>
      <c r="AQ181" s="27"/>
      <c r="AR181" s="27"/>
      <c r="AS181" s="27"/>
    </row>
    <row r="182" spans="1:45" ht="15.75" thickBot="1" x14ac:dyDescent="0.3">
      <c r="A182" s="51" t="s">
        <v>422</v>
      </c>
      <c r="B182" s="51" t="s">
        <v>425</v>
      </c>
      <c r="C182" s="51" t="s">
        <v>1391</v>
      </c>
      <c r="D182" s="51" t="s">
        <v>426</v>
      </c>
      <c r="E182" s="51" t="s">
        <v>24</v>
      </c>
      <c r="F182" s="51" t="s">
        <v>25</v>
      </c>
      <c r="G182" s="51" t="s">
        <v>427</v>
      </c>
      <c r="H182" s="51"/>
      <c r="I182" s="16">
        <v>-347941910000</v>
      </c>
      <c r="J182" s="16">
        <v>-582702320000</v>
      </c>
      <c r="K182" s="51" t="s">
        <v>995</v>
      </c>
      <c r="L182" s="53">
        <f t="shared" si="16"/>
        <v>30</v>
      </c>
      <c r="M182" s="17">
        <f t="shared" si="14"/>
        <v>0</v>
      </c>
      <c r="N182" s="18">
        <f t="shared" si="15"/>
        <v>1</v>
      </c>
      <c r="O182" s="27"/>
      <c r="P182" s="8"/>
      <c r="Q182" s="8"/>
      <c r="R182" s="8"/>
      <c r="S182" s="27"/>
      <c r="T182" s="27"/>
      <c r="U182" s="8"/>
      <c r="V182" s="8"/>
      <c r="W182" s="8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8"/>
      <c r="AL182" s="8"/>
      <c r="AM182" s="8"/>
      <c r="AN182" s="27"/>
      <c r="AO182" s="8"/>
      <c r="AP182" s="8"/>
      <c r="AQ182" s="27"/>
      <c r="AR182" s="27"/>
      <c r="AS182" s="27"/>
    </row>
    <row r="183" spans="1:45" ht="15.75" thickBot="1" x14ac:dyDescent="0.3">
      <c r="A183" s="51" t="s">
        <v>422</v>
      </c>
      <c r="B183" s="51" t="s">
        <v>428</v>
      </c>
      <c r="C183" s="51" t="s">
        <v>1391</v>
      </c>
      <c r="D183" s="51" t="s">
        <v>429</v>
      </c>
      <c r="E183" s="51" t="s">
        <v>24</v>
      </c>
      <c r="F183" s="51" t="s">
        <v>25</v>
      </c>
      <c r="G183" s="51" t="s">
        <v>335</v>
      </c>
      <c r="H183" s="51"/>
      <c r="I183" s="16">
        <v>-347965760000</v>
      </c>
      <c r="J183" s="16">
        <v>-582746550000</v>
      </c>
      <c r="K183" s="51" t="s">
        <v>996</v>
      </c>
      <c r="L183" s="53">
        <f t="shared" si="16"/>
        <v>30</v>
      </c>
      <c r="M183" s="17">
        <f t="shared" si="14"/>
        <v>0</v>
      </c>
      <c r="N183" s="18">
        <f t="shared" si="15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8"/>
      <c r="AL183" s="8"/>
      <c r="AM183" s="8"/>
      <c r="AN183" s="27"/>
      <c r="AO183" s="8"/>
      <c r="AP183" s="8"/>
      <c r="AQ183" s="27"/>
      <c r="AR183" s="27"/>
      <c r="AS183" s="27"/>
    </row>
    <row r="184" spans="1:45" ht="15.75" thickBot="1" x14ac:dyDescent="0.3">
      <c r="A184" s="51" t="s">
        <v>422</v>
      </c>
      <c r="B184" s="51" t="s">
        <v>430</v>
      </c>
      <c r="C184" s="51" t="s">
        <v>1391</v>
      </c>
      <c r="D184" s="51" t="s">
        <v>431</v>
      </c>
      <c r="E184" s="51" t="s">
        <v>24</v>
      </c>
      <c r="F184" s="51" t="s">
        <v>25</v>
      </c>
      <c r="G184" s="51" t="s">
        <v>432</v>
      </c>
      <c r="H184" s="51"/>
      <c r="I184" s="16">
        <v>-347889160000</v>
      </c>
      <c r="J184" s="16">
        <v>-582775030000</v>
      </c>
      <c r="K184" s="51" t="s">
        <v>997</v>
      </c>
      <c r="L184" s="53">
        <f t="shared" si="16"/>
        <v>30</v>
      </c>
      <c r="M184" s="17">
        <f t="shared" si="14"/>
        <v>0</v>
      </c>
      <c r="N184" s="18">
        <f t="shared" si="15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8"/>
      <c r="AL184" s="8"/>
      <c r="AM184" s="8"/>
      <c r="AN184" s="27"/>
      <c r="AO184" s="8"/>
      <c r="AP184" s="8"/>
      <c r="AQ184" s="27"/>
      <c r="AR184" s="27"/>
      <c r="AS184" s="27"/>
    </row>
    <row r="185" spans="1:45" ht="15.75" thickBot="1" x14ac:dyDescent="0.3">
      <c r="A185" s="51" t="s">
        <v>433</v>
      </c>
      <c r="B185" s="51" t="s">
        <v>1290</v>
      </c>
      <c r="C185" s="51" t="s">
        <v>1391</v>
      </c>
      <c r="D185" s="51" t="s">
        <v>436</v>
      </c>
      <c r="E185" s="51" t="s">
        <v>24</v>
      </c>
      <c r="F185" s="51" t="s">
        <v>36</v>
      </c>
      <c r="G185" s="51" t="s">
        <v>437</v>
      </c>
      <c r="H185" s="51"/>
      <c r="I185" s="16">
        <v>-348072540000</v>
      </c>
      <c r="J185" s="16">
        <v>-582665870000</v>
      </c>
      <c r="K185" s="51" t="s">
        <v>998</v>
      </c>
      <c r="L185" s="53">
        <f t="shared" si="16"/>
        <v>30</v>
      </c>
      <c r="M185" s="17">
        <f t="shared" si="14"/>
        <v>0</v>
      </c>
      <c r="N185" s="18">
        <f t="shared" si="15"/>
        <v>1</v>
      </c>
      <c r="O185" s="27"/>
      <c r="P185" s="8"/>
      <c r="Q185" s="8"/>
      <c r="R185" s="8"/>
      <c r="S185" s="27"/>
      <c r="T185" s="27"/>
      <c r="U185" s="8"/>
      <c r="V185" s="8"/>
      <c r="W185" s="8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8"/>
      <c r="AL185" s="8"/>
      <c r="AM185" s="8"/>
      <c r="AN185" s="27"/>
      <c r="AO185" s="8"/>
      <c r="AP185" s="8"/>
      <c r="AQ185" s="27"/>
      <c r="AR185" s="27"/>
      <c r="AS185" s="27"/>
    </row>
    <row r="186" spans="1:45" ht="15.75" thickBot="1" x14ac:dyDescent="0.3">
      <c r="A186" s="51" t="s">
        <v>433</v>
      </c>
      <c r="B186" s="51" t="s">
        <v>434</v>
      </c>
      <c r="C186" s="51" t="s">
        <v>1391</v>
      </c>
      <c r="D186" s="51" t="s">
        <v>435</v>
      </c>
      <c r="E186" s="51" t="s">
        <v>19</v>
      </c>
      <c r="F186" s="51" t="s">
        <v>25</v>
      </c>
      <c r="G186" s="51"/>
      <c r="H186" s="20">
        <v>43768</v>
      </c>
      <c r="I186" s="16">
        <v>-348094380000</v>
      </c>
      <c r="J186" s="16">
        <v>-582624760000</v>
      </c>
      <c r="K186" s="51" t="s">
        <v>1004</v>
      </c>
      <c r="L186" s="53">
        <f t="shared" si="16"/>
        <v>30</v>
      </c>
      <c r="M186" s="17">
        <f t="shared" si="14"/>
        <v>0</v>
      </c>
      <c r="N186" s="18">
        <f t="shared" si="15"/>
        <v>1</v>
      </c>
      <c r="O186" s="27"/>
      <c r="P186" s="8"/>
      <c r="Q186" s="8"/>
      <c r="R186" s="8"/>
      <c r="S186" s="27"/>
      <c r="T186" s="27"/>
      <c r="U186" s="8"/>
      <c r="V186" s="8"/>
      <c r="W186" s="8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8"/>
      <c r="AL186" s="8"/>
      <c r="AM186" s="8"/>
      <c r="AN186" s="27"/>
      <c r="AO186" s="8"/>
      <c r="AP186" s="8"/>
      <c r="AQ186" s="27"/>
      <c r="AR186" s="27"/>
      <c r="AS186" s="27"/>
    </row>
    <row r="187" spans="1:45" ht="15.75" thickBot="1" x14ac:dyDescent="0.3">
      <c r="A187" s="51" t="s">
        <v>433</v>
      </c>
      <c r="B187" s="51" t="s">
        <v>438</v>
      </c>
      <c r="C187" s="51" t="s">
        <v>1391</v>
      </c>
      <c r="D187" s="51" t="s">
        <v>439</v>
      </c>
      <c r="E187" s="51" t="s">
        <v>24</v>
      </c>
      <c r="F187" s="51" t="s">
        <v>25</v>
      </c>
      <c r="G187" s="51" t="s">
        <v>146</v>
      </c>
      <c r="H187" s="51" t="s">
        <v>440</v>
      </c>
      <c r="I187" s="16">
        <v>-348093100000</v>
      </c>
      <c r="J187" s="16">
        <v>-582605600000</v>
      </c>
      <c r="K187" s="51" t="s">
        <v>999</v>
      </c>
      <c r="L187" s="53">
        <f t="shared" si="16"/>
        <v>30</v>
      </c>
      <c r="M187" s="17">
        <f t="shared" si="14"/>
        <v>0</v>
      </c>
      <c r="N187" s="18">
        <f t="shared" si="15"/>
        <v>1</v>
      </c>
      <c r="O187" s="27"/>
      <c r="P187" s="8"/>
      <c r="Q187" s="8"/>
      <c r="R187" s="8"/>
      <c r="S187" s="27"/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8"/>
      <c r="AL187" s="8"/>
      <c r="AM187" s="8"/>
      <c r="AN187" s="27"/>
      <c r="AO187" s="8"/>
      <c r="AP187" s="8"/>
      <c r="AQ187" s="27"/>
      <c r="AR187" s="27"/>
      <c r="AS187" s="27"/>
    </row>
    <row r="188" spans="1:45" ht="15.75" thickBot="1" x14ac:dyDescent="0.3">
      <c r="A188" s="51" t="s">
        <v>433</v>
      </c>
      <c r="B188" s="51" t="s">
        <v>441</v>
      </c>
      <c r="C188" s="51" t="s">
        <v>1391</v>
      </c>
      <c r="D188" s="51" t="s">
        <v>442</v>
      </c>
      <c r="E188" s="51" t="s">
        <v>24</v>
      </c>
      <c r="F188" s="51" t="s">
        <v>1384</v>
      </c>
      <c r="G188" s="51" t="s">
        <v>443</v>
      </c>
      <c r="H188" s="51" t="s">
        <v>444</v>
      </c>
      <c r="I188" s="16">
        <v>-348062580000</v>
      </c>
      <c r="J188" s="16">
        <v>-582667320000</v>
      </c>
      <c r="K188" s="51" t="s">
        <v>1000</v>
      </c>
      <c r="L188" s="53">
        <f t="shared" si="16"/>
        <v>30</v>
      </c>
      <c r="M188" s="17">
        <f t="shared" si="14"/>
        <v>0</v>
      </c>
      <c r="N188" s="18">
        <f t="shared" si="15"/>
        <v>1</v>
      </c>
      <c r="O188" s="27"/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8"/>
      <c r="AL188" s="8"/>
      <c r="AM188" s="8"/>
      <c r="AN188" s="27"/>
      <c r="AO188" s="8"/>
      <c r="AP188" s="8"/>
      <c r="AQ188" s="27"/>
      <c r="AR188" s="27"/>
      <c r="AS188" s="27"/>
    </row>
    <row r="189" spans="1:45" ht="15.75" thickBot="1" x14ac:dyDescent="0.3">
      <c r="A189" s="51" t="s">
        <v>433</v>
      </c>
      <c r="B189" s="51" t="s">
        <v>445</v>
      </c>
      <c r="C189" s="51" t="s">
        <v>1391</v>
      </c>
      <c r="D189" s="51" t="s">
        <v>446</v>
      </c>
      <c r="E189" s="51" t="s">
        <v>24</v>
      </c>
      <c r="F189" s="51" t="s">
        <v>25</v>
      </c>
      <c r="G189" s="51" t="s">
        <v>146</v>
      </c>
      <c r="H189" s="51"/>
      <c r="I189" s="16">
        <v>-348035500000</v>
      </c>
      <c r="J189" s="16">
        <v>-582648750000</v>
      </c>
      <c r="K189" s="51" t="s">
        <v>1001</v>
      </c>
      <c r="L189" s="53">
        <f t="shared" si="16"/>
        <v>30</v>
      </c>
      <c r="M189" s="17">
        <f t="shared" si="14"/>
        <v>0</v>
      </c>
      <c r="N189" s="18">
        <f t="shared" si="15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8"/>
      <c r="AL189" s="8"/>
      <c r="AM189" s="8"/>
      <c r="AN189" s="27"/>
      <c r="AO189" s="8"/>
      <c r="AP189" s="8"/>
      <c r="AQ189" s="27"/>
      <c r="AR189" s="27"/>
      <c r="AS189" s="27"/>
    </row>
    <row r="190" spans="1:45" ht="15.75" thickBot="1" x14ac:dyDescent="0.3">
      <c r="A190" s="51" t="s">
        <v>447</v>
      </c>
      <c r="B190" s="51" t="s">
        <v>448</v>
      </c>
      <c r="C190" s="51" t="s">
        <v>1391</v>
      </c>
      <c r="D190" s="51" t="s">
        <v>449</v>
      </c>
      <c r="E190" s="51" t="s">
        <v>24</v>
      </c>
      <c r="F190" s="51" t="s">
        <v>25</v>
      </c>
      <c r="G190" s="51" t="s">
        <v>443</v>
      </c>
      <c r="H190" s="51"/>
      <c r="I190" s="16">
        <v>-348026160000</v>
      </c>
      <c r="J190" s="16">
        <v>-582654650000</v>
      </c>
      <c r="K190" s="51" t="s">
        <v>1389</v>
      </c>
      <c r="L190" s="53">
        <f t="shared" si="16"/>
        <v>30</v>
      </c>
      <c r="M190" s="17">
        <f t="shared" si="14"/>
        <v>0</v>
      </c>
      <c r="N190" s="18">
        <f t="shared" si="15"/>
        <v>1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8"/>
      <c r="AL190" s="8"/>
      <c r="AM190" s="8"/>
      <c r="AN190" s="27"/>
      <c r="AO190" s="8"/>
      <c r="AP190" s="8"/>
      <c r="AQ190" s="27"/>
      <c r="AR190" s="27"/>
      <c r="AS190" s="27"/>
    </row>
    <row r="191" spans="1:45" ht="15.75" thickBot="1" x14ac:dyDescent="0.3">
      <c r="A191" s="51" t="s">
        <v>72</v>
      </c>
      <c r="B191" s="51" t="s">
        <v>450</v>
      </c>
      <c r="C191" s="51" t="s">
        <v>1391</v>
      </c>
      <c r="D191" s="51" t="s">
        <v>451</v>
      </c>
      <c r="E191" s="51" t="s">
        <v>24</v>
      </c>
      <c r="F191" s="51" t="s">
        <v>1383</v>
      </c>
      <c r="G191" s="51" t="s">
        <v>170</v>
      </c>
      <c r="H191" s="51"/>
      <c r="I191" s="16">
        <v>-348074170000</v>
      </c>
      <c r="J191" s="16">
        <v>-582683730000</v>
      </c>
      <c r="K191" s="51" t="s">
        <v>1002</v>
      </c>
      <c r="L191" s="53">
        <f t="shared" si="16"/>
        <v>28</v>
      </c>
      <c r="M191" s="17">
        <f t="shared" si="14"/>
        <v>2</v>
      </c>
      <c r="N191" s="18">
        <f t="shared" si="15"/>
        <v>0.93333333333333335</v>
      </c>
      <c r="O191" s="27" t="s">
        <v>1209</v>
      </c>
      <c r="P191" s="8" t="s">
        <v>1209</v>
      </c>
      <c r="Q191" s="8"/>
      <c r="R191" s="8"/>
      <c r="S191" s="27"/>
      <c r="T191" s="27"/>
      <c r="U191" s="8"/>
      <c r="V191" s="8"/>
      <c r="W191" s="8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8"/>
      <c r="AL191" s="8"/>
      <c r="AM191" s="8"/>
      <c r="AN191" s="27"/>
      <c r="AO191" s="8"/>
      <c r="AP191" s="8"/>
      <c r="AQ191" s="27"/>
      <c r="AR191" s="27"/>
      <c r="AS191" s="27"/>
    </row>
    <row r="192" spans="1:45" ht="15.75" thickBot="1" x14ac:dyDescent="0.3">
      <c r="A192" s="51" t="s">
        <v>433</v>
      </c>
      <c r="B192" s="51" t="s">
        <v>452</v>
      </c>
      <c r="C192" s="51" t="s">
        <v>1391</v>
      </c>
      <c r="D192" s="51" t="s">
        <v>453</v>
      </c>
      <c r="E192" s="51" t="s">
        <v>24</v>
      </c>
      <c r="F192" s="51" t="s">
        <v>1383</v>
      </c>
      <c r="G192" s="51" t="s">
        <v>454</v>
      </c>
      <c r="H192" s="51"/>
      <c r="I192" s="16">
        <v>-348107680000</v>
      </c>
      <c r="J192" s="16">
        <v>-582663690000</v>
      </c>
      <c r="K192" s="51" t="s">
        <v>1003</v>
      </c>
      <c r="L192" s="53">
        <f t="shared" si="16"/>
        <v>30</v>
      </c>
      <c r="M192" s="17">
        <f t="shared" si="14"/>
        <v>0</v>
      </c>
      <c r="N192" s="18">
        <f t="shared" si="15"/>
        <v>1</v>
      </c>
      <c r="O192" s="27"/>
      <c r="P192" s="8"/>
      <c r="Q192" s="8"/>
      <c r="R192" s="8"/>
      <c r="S192" s="27"/>
      <c r="T192" s="27"/>
      <c r="U192" s="8"/>
      <c r="V192" s="8"/>
      <c r="W192" s="8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8"/>
      <c r="AL192" s="8"/>
      <c r="AM192" s="8"/>
      <c r="AN192" s="27"/>
      <c r="AO192" s="8"/>
      <c r="AP192" s="8"/>
      <c r="AQ192" s="27"/>
      <c r="AR192" s="27"/>
      <c r="AS192" s="27"/>
    </row>
    <row r="193" spans="1:45" ht="15.75" thickBot="1" x14ac:dyDescent="0.3">
      <c r="A193" s="51" t="s">
        <v>433</v>
      </c>
      <c r="B193" s="51" t="s">
        <v>455</v>
      </c>
      <c r="C193" s="51" t="s">
        <v>1391</v>
      </c>
      <c r="D193" s="51" t="s">
        <v>456</v>
      </c>
      <c r="E193" s="51" t="s">
        <v>19</v>
      </c>
      <c r="F193" s="51" t="s">
        <v>36</v>
      </c>
      <c r="G193" s="51"/>
      <c r="H193" s="51" t="s">
        <v>457</v>
      </c>
      <c r="I193" s="16">
        <v>-348042930000</v>
      </c>
      <c r="J193" s="16">
        <v>-582667740000</v>
      </c>
      <c r="K193" s="51" t="s">
        <v>1005</v>
      </c>
      <c r="L193" s="53">
        <f t="shared" si="16"/>
        <v>30</v>
      </c>
      <c r="M193" s="17">
        <f t="shared" si="14"/>
        <v>0</v>
      </c>
      <c r="N193" s="18">
        <f t="shared" si="15"/>
        <v>1</v>
      </c>
      <c r="O193" s="27"/>
      <c r="P193" s="8"/>
      <c r="Q193" s="8"/>
      <c r="R193" s="8"/>
      <c r="S193" s="27"/>
      <c r="T193" s="27"/>
      <c r="U193" s="8"/>
      <c r="V193" s="8"/>
      <c r="W193" s="8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8"/>
      <c r="AL193" s="8"/>
      <c r="AM193" s="8"/>
      <c r="AN193" s="27"/>
      <c r="AO193" s="8"/>
      <c r="AP193" s="8"/>
      <c r="AQ193" s="27"/>
      <c r="AR193" s="27"/>
      <c r="AS193" s="27"/>
    </row>
    <row r="194" spans="1:45" ht="15.75" thickBot="1" x14ac:dyDescent="0.3">
      <c r="A194" s="51" t="s">
        <v>460</v>
      </c>
      <c r="B194" s="51" t="s">
        <v>458</v>
      </c>
      <c r="C194" s="51" t="s">
        <v>1392</v>
      </c>
      <c r="D194" s="51" t="s">
        <v>459</v>
      </c>
      <c r="E194" s="51" t="s">
        <v>19</v>
      </c>
      <c r="F194" s="51" t="s">
        <v>36</v>
      </c>
      <c r="G194" s="51"/>
      <c r="H194" s="51"/>
      <c r="I194" s="16">
        <v>-348481080000</v>
      </c>
      <c r="J194" s="16">
        <v>-582908230000</v>
      </c>
      <c r="K194" s="51" t="s">
        <v>1006</v>
      </c>
      <c r="L194" s="53">
        <f t="shared" si="16"/>
        <v>30</v>
      </c>
      <c r="M194" s="17">
        <f t="shared" si="14"/>
        <v>0</v>
      </c>
      <c r="N194" s="18">
        <f t="shared" si="15"/>
        <v>1</v>
      </c>
      <c r="O194" s="27"/>
      <c r="P194" s="8"/>
      <c r="Q194" s="8"/>
      <c r="R194" s="8"/>
      <c r="S194" s="27"/>
      <c r="T194" s="27"/>
      <c r="U194" s="8"/>
      <c r="V194" s="8"/>
      <c r="W194" s="8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8"/>
      <c r="AL194" s="8"/>
      <c r="AM194" s="8"/>
      <c r="AN194" s="27"/>
      <c r="AO194" s="8"/>
      <c r="AP194" s="8"/>
      <c r="AQ194" s="27"/>
      <c r="AR194" s="27"/>
      <c r="AS194" s="27"/>
    </row>
    <row r="195" spans="1:45" ht="15.75" thickBot="1" x14ac:dyDescent="0.3">
      <c r="A195" s="51" t="s">
        <v>460</v>
      </c>
      <c r="B195" s="51" t="s">
        <v>461</v>
      </c>
      <c r="C195" s="51" t="s">
        <v>1392</v>
      </c>
      <c r="D195" s="51" t="s">
        <v>462</v>
      </c>
      <c r="E195" s="51" t="s">
        <v>102</v>
      </c>
      <c r="F195" s="51" t="s">
        <v>36</v>
      </c>
      <c r="G195" s="51"/>
      <c r="H195" s="51" t="s">
        <v>463</v>
      </c>
      <c r="I195" s="16">
        <v>-348434280000</v>
      </c>
      <c r="J195" s="16">
        <v>-582840340000</v>
      </c>
      <c r="K195" s="51" t="s">
        <v>1007</v>
      </c>
      <c r="L195" s="53">
        <f t="shared" si="16"/>
        <v>30</v>
      </c>
      <c r="M195" s="17">
        <f t="shared" si="14"/>
        <v>0</v>
      </c>
      <c r="N195" s="18">
        <f t="shared" si="15"/>
        <v>1</v>
      </c>
      <c r="O195" s="27"/>
      <c r="P195" s="8"/>
      <c r="Q195" s="8"/>
      <c r="R195" s="8"/>
      <c r="S195" s="27"/>
      <c r="T195" s="27"/>
      <c r="U195" s="8"/>
      <c r="V195" s="8"/>
      <c r="W195" s="8"/>
      <c r="X195" s="27"/>
      <c r="Y195" s="57"/>
      <c r="Z195" s="5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8"/>
      <c r="AL195" s="8"/>
      <c r="AM195" s="8"/>
      <c r="AN195" s="27"/>
      <c r="AO195" s="8"/>
      <c r="AP195" s="8"/>
      <c r="AQ195" s="27"/>
      <c r="AR195" s="27"/>
      <c r="AS195" s="27"/>
    </row>
    <row r="196" spans="1:45" ht="15.75" thickBot="1" x14ac:dyDescent="0.3">
      <c r="A196" s="51" t="s">
        <v>460</v>
      </c>
      <c r="B196" s="51" t="s">
        <v>464</v>
      </c>
      <c r="C196" s="51" t="s">
        <v>1392</v>
      </c>
      <c r="D196" s="51" t="s">
        <v>462</v>
      </c>
      <c r="E196" s="51" t="s">
        <v>102</v>
      </c>
      <c r="F196" s="51" t="s">
        <v>36</v>
      </c>
      <c r="G196" s="51"/>
      <c r="H196" s="51" t="s">
        <v>463</v>
      </c>
      <c r="I196" s="16">
        <v>-348434120000</v>
      </c>
      <c r="J196" s="16">
        <v>-582840350000</v>
      </c>
      <c r="K196" s="51" t="s">
        <v>1008</v>
      </c>
      <c r="L196" s="53">
        <f t="shared" si="16"/>
        <v>30</v>
      </c>
      <c r="M196" s="17">
        <f t="shared" si="14"/>
        <v>0</v>
      </c>
      <c r="N196" s="18">
        <f t="shared" si="15"/>
        <v>1</v>
      </c>
      <c r="O196" s="27"/>
      <c r="P196" s="8"/>
      <c r="Q196" s="8"/>
      <c r="R196" s="8"/>
      <c r="S196" s="27"/>
      <c r="T196" s="27"/>
      <c r="U196" s="8"/>
      <c r="V196" s="8"/>
      <c r="W196" s="8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8"/>
      <c r="AL196" s="8"/>
      <c r="AM196" s="8"/>
      <c r="AN196" s="27"/>
      <c r="AO196" s="8"/>
      <c r="AP196" s="8"/>
      <c r="AQ196" s="27"/>
      <c r="AR196" s="27"/>
      <c r="AS196" s="27"/>
    </row>
    <row r="197" spans="1:45" ht="15.75" thickBot="1" x14ac:dyDescent="0.3">
      <c r="A197" s="51" t="s">
        <v>460</v>
      </c>
      <c r="B197" s="51" t="s">
        <v>465</v>
      </c>
      <c r="C197" s="51" t="s">
        <v>1392</v>
      </c>
      <c r="D197" s="51" t="s">
        <v>466</v>
      </c>
      <c r="E197" s="51" t="s">
        <v>102</v>
      </c>
      <c r="F197" s="51" t="s">
        <v>36</v>
      </c>
      <c r="G197" s="51"/>
      <c r="H197" s="51" t="s">
        <v>467</v>
      </c>
      <c r="I197" s="16">
        <v>-348403890000</v>
      </c>
      <c r="J197" s="16">
        <v>-582866050000</v>
      </c>
      <c r="K197" s="51" t="s">
        <v>1009</v>
      </c>
      <c r="L197" s="53">
        <f t="shared" si="16"/>
        <v>30</v>
      </c>
      <c r="M197" s="17">
        <f t="shared" ref="M197:M262" si="17">COUNTIF(O197:AP197,"APAGADO")</f>
        <v>0</v>
      </c>
      <c r="N197" s="18">
        <f t="shared" ref="N197:N262" si="18">(L197)/(M197+L197)</f>
        <v>1</v>
      </c>
      <c r="O197" s="27"/>
      <c r="P197" s="8"/>
      <c r="Q197" s="8"/>
      <c r="R197" s="8"/>
      <c r="S197" s="27"/>
      <c r="T197" s="27"/>
      <c r="U197" s="8"/>
      <c r="V197" s="8"/>
      <c r="W197" s="8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8"/>
      <c r="AL197" s="8"/>
      <c r="AM197" s="8"/>
      <c r="AN197" s="27"/>
      <c r="AO197" s="8"/>
      <c r="AP197" s="8"/>
      <c r="AQ197" s="27"/>
      <c r="AR197" s="27"/>
      <c r="AS197" s="27"/>
    </row>
    <row r="198" spans="1:45" ht="15.75" thickBot="1" x14ac:dyDescent="0.3">
      <c r="A198" s="51" t="s">
        <v>460</v>
      </c>
      <c r="B198" s="51" t="s">
        <v>468</v>
      </c>
      <c r="C198" s="51" t="s">
        <v>1392</v>
      </c>
      <c r="D198" s="51" t="s">
        <v>466</v>
      </c>
      <c r="E198" s="51" t="s">
        <v>102</v>
      </c>
      <c r="F198" s="51" t="s">
        <v>36</v>
      </c>
      <c r="G198" s="51"/>
      <c r="H198" s="51" t="s">
        <v>467</v>
      </c>
      <c r="I198" s="16">
        <v>-348403890000</v>
      </c>
      <c r="J198" s="16">
        <v>-582866050000</v>
      </c>
      <c r="K198" s="51" t="s">
        <v>1010</v>
      </c>
      <c r="L198" s="53">
        <f t="shared" ref="L198:L261" si="19">COUNTIF(O198:AR198,"")</f>
        <v>30</v>
      </c>
      <c r="M198" s="17">
        <f t="shared" si="17"/>
        <v>0</v>
      </c>
      <c r="N198" s="18">
        <f t="shared" si="18"/>
        <v>1</v>
      </c>
      <c r="O198" s="27"/>
      <c r="P198" s="8"/>
      <c r="Q198" s="8"/>
      <c r="R198" s="8"/>
      <c r="S198" s="27"/>
      <c r="T198" s="27"/>
      <c r="U198" s="8"/>
      <c r="V198" s="8"/>
      <c r="W198" s="8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8"/>
      <c r="AL198" s="8"/>
      <c r="AM198" s="8"/>
      <c r="AN198" s="27"/>
      <c r="AO198" s="8"/>
      <c r="AP198" s="8"/>
      <c r="AQ198" s="27"/>
      <c r="AR198" s="27"/>
      <c r="AS198" s="27"/>
    </row>
    <row r="199" spans="1:45" ht="15.75" thickBot="1" x14ac:dyDescent="0.3">
      <c r="A199" s="51" t="s">
        <v>58</v>
      </c>
      <c r="B199" s="51" t="s">
        <v>470</v>
      </c>
      <c r="C199" s="51" t="s">
        <v>1392</v>
      </c>
      <c r="D199" s="51" t="s">
        <v>471</v>
      </c>
      <c r="E199" s="51" t="s">
        <v>19</v>
      </c>
      <c r="F199" s="51" t="s">
        <v>36</v>
      </c>
      <c r="G199" s="51"/>
      <c r="H199" s="51" t="s">
        <v>472</v>
      </c>
      <c r="I199" s="16">
        <v>-347980180000</v>
      </c>
      <c r="J199" s="16">
        <v>-583162160000</v>
      </c>
      <c r="K199" s="51" t="s">
        <v>1013</v>
      </c>
      <c r="L199" s="53">
        <f t="shared" si="19"/>
        <v>28</v>
      </c>
      <c r="M199" s="17">
        <f t="shared" si="17"/>
        <v>2</v>
      </c>
      <c r="N199" s="18">
        <f t="shared" si="18"/>
        <v>0.93333333333333335</v>
      </c>
      <c r="O199" s="27"/>
      <c r="P199" s="8" t="s">
        <v>1209</v>
      </c>
      <c r="Q199" s="8"/>
      <c r="R199" s="8"/>
      <c r="S199" s="27"/>
      <c r="T199" s="27" t="s">
        <v>1209</v>
      </c>
      <c r="U199" s="8"/>
      <c r="V199" s="8"/>
      <c r="W199" s="8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8"/>
      <c r="AL199" s="8"/>
      <c r="AM199" s="8"/>
      <c r="AN199" s="27"/>
      <c r="AO199" s="8"/>
      <c r="AP199" s="8"/>
      <c r="AQ199" s="27"/>
      <c r="AR199" s="27"/>
      <c r="AS199" s="27"/>
    </row>
    <row r="200" spans="1:45" ht="15.75" thickBot="1" x14ac:dyDescent="0.3">
      <c r="A200" s="51" t="s">
        <v>58</v>
      </c>
      <c r="B200" s="51" t="s">
        <v>473</v>
      </c>
      <c r="C200" s="51" t="s">
        <v>1392</v>
      </c>
      <c r="D200" s="51" t="s">
        <v>471</v>
      </c>
      <c r="E200" s="51" t="s">
        <v>102</v>
      </c>
      <c r="F200" s="51" t="s">
        <v>36</v>
      </c>
      <c r="G200" s="51"/>
      <c r="H200" s="51" t="s">
        <v>472</v>
      </c>
      <c r="I200" s="16">
        <v>-347980200000</v>
      </c>
      <c r="J200" s="16">
        <v>-583162180000</v>
      </c>
      <c r="K200" s="51" t="s">
        <v>1014</v>
      </c>
      <c r="L200" s="53">
        <f t="shared" si="19"/>
        <v>28</v>
      </c>
      <c r="M200" s="17">
        <f t="shared" si="17"/>
        <v>2</v>
      </c>
      <c r="N200" s="18">
        <f t="shared" si="18"/>
        <v>0.93333333333333335</v>
      </c>
      <c r="O200" s="27"/>
      <c r="P200" s="8" t="s">
        <v>1209</v>
      </c>
      <c r="Q200" s="8"/>
      <c r="R200" s="8"/>
      <c r="S200" s="27"/>
      <c r="T200" s="27" t="s">
        <v>1209</v>
      </c>
      <c r="U200" s="8"/>
      <c r="V200" s="8"/>
      <c r="W200" s="8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8"/>
      <c r="AL200" s="8"/>
      <c r="AM200" s="8"/>
      <c r="AN200" s="27"/>
      <c r="AO200" s="8"/>
      <c r="AP200" s="8"/>
      <c r="AQ200" s="27"/>
      <c r="AR200" s="27"/>
      <c r="AS200" s="27"/>
    </row>
    <row r="201" spans="1:45" ht="15.75" thickBot="1" x14ac:dyDescent="0.3">
      <c r="A201" s="51" t="s">
        <v>268</v>
      </c>
      <c r="B201" s="51" t="s">
        <v>474</v>
      </c>
      <c r="C201" s="51" t="s">
        <v>1392</v>
      </c>
      <c r="D201" s="51" t="s">
        <v>475</v>
      </c>
      <c r="E201" s="51" t="s">
        <v>19</v>
      </c>
      <c r="F201" s="51" t="s">
        <v>36</v>
      </c>
      <c r="G201" s="51"/>
      <c r="H201" s="51" t="s">
        <v>476</v>
      </c>
      <c r="I201" s="16">
        <v>-348657160000</v>
      </c>
      <c r="J201" s="16">
        <v>-581910020000</v>
      </c>
      <c r="K201" s="51" t="s">
        <v>1015</v>
      </c>
      <c r="L201" s="53">
        <f t="shared" si="19"/>
        <v>30</v>
      </c>
      <c r="M201" s="17">
        <f t="shared" si="17"/>
        <v>0</v>
      </c>
      <c r="N201" s="18">
        <f t="shared" si="18"/>
        <v>1</v>
      </c>
      <c r="O201" s="27"/>
      <c r="P201" s="8"/>
      <c r="Q201" s="8"/>
      <c r="R201" s="8"/>
      <c r="S201" s="27"/>
      <c r="T201" s="27"/>
      <c r="U201" s="8"/>
      <c r="V201" s="8"/>
      <c r="W201" s="8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8"/>
      <c r="AL201" s="8"/>
      <c r="AM201" s="8"/>
      <c r="AN201" s="27"/>
      <c r="AO201" s="8"/>
      <c r="AP201" s="8"/>
      <c r="AQ201" s="27"/>
      <c r="AR201" s="27"/>
      <c r="AS201" s="27"/>
    </row>
    <row r="202" spans="1:45" ht="15.75" thickBot="1" x14ac:dyDescent="0.3">
      <c r="A202" s="51" t="s">
        <v>268</v>
      </c>
      <c r="B202" s="51" t="s">
        <v>477</v>
      </c>
      <c r="C202" s="51" t="s">
        <v>1392</v>
      </c>
      <c r="D202" s="51" t="s">
        <v>475</v>
      </c>
      <c r="E202" s="51" t="s">
        <v>102</v>
      </c>
      <c r="F202" s="51" t="s">
        <v>36</v>
      </c>
      <c r="G202" s="51"/>
      <c r="H202" s="51" t="s">
        <v>478</v>
      </c>
      <c r="I202" s="16">
        <v>-348657160000</v>
      </c>
      <c r="J202" s="16">
        <v>-581910020000</v>
      </c>
      <c r="K202" s="51" t="s">
        <v>1016</v>
      </c>
      <c r="L202" s="53">
        <f t="shared" si="19"/>
        <v>30</v>
      </c>
      <c r="M202" s="17">
        <f t="shared" si="17"/>
        <v>0</v>
      </c>
      <c r="N202" s="18">
        <f t="shared" si="18"/>
        <v>1</v>
      </c>
      <c r="O202" s="27"/>
      <c r="P202" s="8"/>
      <c r="Q202" s="8"/>
      <c r="R202" s="8"/>
      <c r="S202" s="27"/>
      <c r="T202" s="27"/>
      <c r="U202" s="8"/>
      <c r="V202" s="8"/>
      <c r="W202" s="8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8"/>
      <c r="AL202" s="8"/>
      <c r="AM202" s="8"/>
      <c r="AN202" s="27"/>
      <c r="AO202" s="8"/>
      <c r="AP202" s="8"/>
      <c r="AQ202" s="27"/>
      <c r="AR202" s="27"/>
      <c r="AS202" s="27"/>
    </row>
    <row r="203" spans="1:45" ht="15.75" thickBot="1" x14ac:dyDescent="0.3">
      <c r="A203" s="51" t="s">
        <v>306</v>
      </c>
      <c r="B203" s="51" t="s">
        <v>479</v>
      </c>
      <c r="C203" s="51" t="s">
        <v>1392</v>
      </c>
      <c r="D203" s="51" t="s">
        <v>480</v>
      </c>
      <c r="E203" s="51" t="s">
        <v>19</v>
      </c>
      <c r="F203" s="51" t="s">
        <v>36</v>
      </c>
      <c r="G203" s="51"/>
      <c r="H203" s="51" t="s">
        <v>476</v>
      </c>
      <c r="I203" s="16">
        <v>-348711900000</v>
      </c>
      <c r="J203" s="16">
        <v>-581914850000</v>
      </c>
      <c r="K203" s="51" t="s">
        <v>1017</v>
      </c>
      <c r="L203" s="53">
        <f t="shared" si="19"/>
        <v>30</v>
      </c>
      <c r="M203" s="17">
        <f t="shared" si="17"/>
        <v>0</v>
      </c>
      <c r="N203" s="18">
        <f t="shared" si="18"/>
        <v>1</v>
      </c>
      <c r="O203" s="27"/>
      <c r="P203" s="8"/>
      <c r="Q203" s="8"/>
      <c r="R203" s="8"/>
      <c r="S203" s="27"/>
      <c r="T203" s="27"/>
      <c r="U203" s="8"/>
      <c r="V203" s="8"/>
      <c r="W203" s="8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8"/>
      <c r="AL203" s="8"/>
      <c r="AM203" s="8"/>
      <c r="AN203" s="27"/>
      <c r="AO203" s="8"/>
      <c r="AP203" s="8"/>
      <c r="AQ203" s="27"/>
      <c r="AR203" s="27"/>
      <c r="AS203" s="27"/>
    </row>
    <row r="204" spans="1:45" ht="15.75" thickBot="1" x14ac:dyDescent="0.3">
      <c r="A204" s="51" t="s">
        <v>306</v>
      </c>
      <c r="B204" s="51" t="s">
        <v>481</v>
      </c>
      <c r="C204" s="51" t="s">
        <v>1392</v>
      </c>
      <c r="D204" s="51" t="s">
        <v>480</v>
      </c>
      <c r="E204" s="51" t="s">
        <v>102</v>
      </c>
      <c r="F204" s="51" t="s">
        <v>36</v>
      </c>
      <c r="G204" s="51"/>
      <c r="H204" s="51" t="s">
        <v>478</v>
      </c>
      <c r="I204" s="16">
        <v>-348711900000</v>
      </c>
      <c r="J204" s="16">
        <v>-581914850000</v>
      </c>
      <c r="K204" s="51" t="s">
        <v>1018</v>
      </c>
      <c r="L204" s="53">
        <f t="shared" si="19"/>
        <v>30</v>
      </c>
      <c r="M204" s="17">
        <f t="shared" si="17"/>
        <v>0</v>
      </c>
      <c r="N204" s="18">
        <f t="shared" si="18"/>
        <v>1</v>
      </c>
      <c r="O204" s="27"/>
      <c r="P204" s="8"/>
      <c r="Q204" s="8"/>
      <c r="R204" s="8"/>
      <c r="S204" s="27"/>
      <c r="T204" s="27"/>
      <c r="U204" s="8"/>
      <c r="V204" s="8"/>
      <c r="W204" s="8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8"/>
      <c r="AL204" s="8"/>
      <c r="AM204" s="8"/>
      <c r="AN204" s="27"/>
      <c r="AO204" s="8"/>
      <c r="AP204" s="8"/>
      <c r="AQ204" s="27"/>
      <c r="AR204" s="27"/>
      <c r="AS204" s="27"/>
    </row>
    <row r="205" spans="1:45" ht="15.75" thickBot="1" x14ac:dyDescent="0.3">
      <c r="A205" s="51" t="s">
        <v>326</v>
      </c>
      <c r="B205" s="51" t="s">
        <v>1291</v>
      </c>
      <c r="C205" s="51" t="s">
        <v>1392</v>
      </c>
      <c r="D205" s="51" t="s">
        <v>482</v>
      </c>
      <c r="E205" s="51" t="s">
        <v>24</v>
      </c>
      <c r="F205" s="51" t="s">
        <v>36</v>
      </c>
      <c r="G205" s="51"/>
      <c r="H205" s="51" t="s">
        <v>273</v>
      </c>
      <c r="I205" s="16">
        <v>-348096600000</v>
      </c>
      <c r="J205" s="16">
        <v>-583016800000</v>
      </c>
      <c r="K205" s="51" t="s">
        <v>1028</v>
      </c>
      <c r="L205" s="53">
        <f t="shared" si="19"/>
        <v>30</v>
      </c>
      <c r="M205" s="17">
        <f t="shared" si="17"/>
        <v>0</v>
      </c>
      <c r="N205" s="18">
        <f t="shared" si="18"/>
        <v>1</v>
      </c>
      <c r="O205" s="27"/>
      <c r="P205" s="8"/>
      <c r="Q205" s="8"/>
      <c r="R205" s="8"/>
      <c r="S205" s="27"/>
      <c r="T205" s="27"/>
      <c r="U205" s="8"/>
      <c r="V205" s="8"/>
      <c r="W205" s="8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8"/>
      <c r="AL205" s="8"/>
      <c r="AM205" s="8"/>
      <c r="AN205" s="27"/>
      <c r="AO205" s="8"/>
      <c r="AP205" s="8"/>
      <c r="AQ205" s="27"/>
      <c r="AR205" s="27"/>
      <c r="AS205" s="27"/>
    </row>
    <row r="206" spans="1:45" ht="15.75" thickBot="1" x14ac:dyDescent="0.3">
      <c r="A206" s="51" t="s">
        <v>326</v>
      </c>
      <c r="B206" s="51" t="s">
        <v>483</v>
      </c>
      <c r="C206" s="51" t="s">
        <v>1392</v>
      </c>
      <c r="D206" s="51" t="s">
        <v>482</v>
      </c>
      <c r="E206" s="51" t="s">
        <v>102</v>
      </c>
      <c r="F206" s="51" t="s">
        <v>36</v>
      </c>
      <c r="G206" s="51"/>
      <c r="H206" s="51" t="s">
        <v>484</v>
      </c>
      <c r="I206" s="16">
        <v>-348095830000</v>
      </c>
      <c r="J206" s="16">
        <v>-583017120000</v>
      </c>
      <c r="K206" s="51" t="s">
        <v>1019</v>
      </c>
      <c r="L206" s="53">
        <f t="shared" si="19"/>
        <v>29</v>
      </c>
      <c r="M206" s="17">
        <f t="shared" si="17"/>
        <v>1</v>
      </c>
      <c r="N206" s="18">
        <f t="shared" si="18"/>
        <v>0.96666666666666667</v>
      </c>
      <c r="O206" s="27"/>
      <c r="P206" s="8"/>
      <c r="Q206" s="8"/>
      <c r="R206" s="8"/>
      <c r="S206" s="27"/>
      <c r="T206" s="27"/>
      <c r="U206" s="8" t="s">
        <v>1209</v>
      </c>
      <c r="V206" s="8"/>
      <c r="W206" s="8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8"/>
      <c r="AL206" s="8"/>
      <c r="AM206" s="8"/>
      <c r="AN206" s="27"/>
      <c r="AO206" s="8"/>
      <c r="AP206" s="8"/>
      <c r="AQ206" s="27"/>
      <c r="AR206" s="27"/>
      <c r="AS206" s="27"/>
    </row>
    <row r="207" spans="1:45" ht="15.75" thickBot="1" x14ac:dyDescent="0.3">
      <c r="A207" s="51" t="s">
        <v>402</v>
      </c>
      <c r="B207" s="51" t="s">
        <v>485</v>
      </c>
      <c r="C207" s="51" t="s">
        <v>1391</v>
      </c>
      <c r="D207" s="51" t="s">
        <v>486</v>
      </c>
      <c r="E207" s="51" t="s">
        <v>102</v>
      </c>
      <c r="F207" s="51" t="s">
        <v>36</v>
      </c>
      <c r="G207" s="51"/>
      <c r="H207" s="51" t="s">
        <v>487</v>
      </c>
      <c r="I207" s="16">
        <v>-348071780000</v>
      </c>
      <c r="J207" s="16">
        <v>-583115710000</v>
      </c>
      <c r="K207" s="51" t="s">
        <v>1020</v>
      </c>
      <c r="L207" s="53">
        <f t="shared" si="19"/>
        <v>30</v>
      </c>
      <c r="M207" s="17">
        <f t="shared" si="17"/>
        <v>0</v>
      </c>
      <c r="N207" s="18">
        <f t="shared" si="18"/>
        <v>1</v>
      </c>
      <c r="O207" s="27"/>
      <c r="P207" s="8"/>
      <c r="Q207" s="8"/>
      <c r="R207" s="8"/>
      <c r="S207" s="27"/>
      <c r="T207" s="27"/>
      <c r="U207" s="8"/>
      <c r="V207" s="8"/>
      <c r="W207" s="8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8"/>
      <c r="AL207" s="8"/>
      <c r="AM207" s="8"/>
      <c r="AN207" s="27"/>
      <c r="AO207" s="8"/>
      <c r="AP207" s="8"/>
      <c r="AQ207" s="27"/>
      <c r="AR207" s="27"/>
      <c r="AS207" s="27"/>
    </row>
    <row r="208" spans="1:45" ht="15.75" thickBot="1" x14ac:dyDescent="0.3">
      <c r="A208" s="51" t="s">
        <v>488</v>
      </c>
      <c r="B208" s="51" t="s">
        <v>489</v>
      </c>
      <c r="C208" s="51" t="s">
        <v>1392</v>
      </c>
      <c r="D208" s="51" t="s">
        <v>490</v>
      </c>
      <c r="E208" s="51" t="s">
        <v>19</v>
      </c>
      <c r="F208" s="51" t="s">
        <v>36</v>
      </c>
      <c r="G208" s="51"/>
      <c r="H208" s="51" t="s">
        <v>484</v>
      </c>
      <c r="I208" s="16">
        <v>-348476780000</v>
      </c>
      <c r="J208" s="16">
        <v>-582894530000</v>
      </c>
      <c r="K208" s="51" t="s">
        <v>1022</v>
      </c>
      <c r="L208" s="53">
        <f t="shared" si="19"/>
        <v>30</v>
      </c>
      <c r="M208" s="17">
        <f t="shared" si="17"/>
        <v>0</v>
      </c>
      <c r="N208" s="18">
        <f t="shared" si="18"/>
        <v>1</v>
      </c>
      <c r="O208" s="27"/>
      <c r="P208" s="8"/>
      <c r="Q208" s="8"/>
      <c r="R208" s="8"/>
      <c r="S208" s="27"/>
      <c r="T208" s="27"/>
      <c r="U208" s="8"/>
      <c r="V208" s="8"/>
      <c r="W208" s="8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8"/>
      <c r="AL208" s="8"/>
      <c r="AM208" s="8"/>
      <c r="AN208" s="27"/>
      <c r="AO208" s="8"/>
      <c r="AP208" s="8"/>
      <c r="AQ208" s="27"/>
      <c r="AR208" s="27"/>
      <c r="AS208" s="27"/>
    </row>
    <row r="209" spans="1:45" ht="15.75" thickBot="1" x14ac:dyDescent="0.3">
      <c r="A209" s="51" t="s">
        <v>488</v>
      </c>
      <c r="B209" s="51" t="s">
        <v>491</v>
      </c>
      <c r="C209" s="51" t="s">
        <v>1392</v>
      </c>
      <c r="D209" s="51" t="s">
        <v>490</v>
      </c>
      <c r="E209" s="51" t="s">
        <v>102</v>
      </c>
      <c r="F209" s="51" t="s">
        <v>36</v>
      </c>
      <c r="G209" s="51"/>
      <c r="H209" s="51" t="s">
        <v>484</v>
      </c>
      <c r="I209" s="16">
        <v>-348477280000</v>
      </c>
      <c r="J209" s="16">
        <v>-582894670000</v>
      </c>
      <c r="K209" s="51" t="s">
        <v>1023</v>
      </c>
      <c r="L209" s="53">
        <f t="shared" si="19"/>
        <v>30</v>
      </c>
      <c r="M209" s="17">
        <f t="shared" si="17"/>
        <v>0</v>
      </c>
      <c r="N209" s="18">
        <f t="shared" si="18"/>
        <v>1</v>
      </c>
      <c r="O209" s="27"/>
      <c r="P209" s="8"/>
      <c r="Q209" s="8"/>
      <c r="R209" s="8"/>
      <c r="S209" s="27"/>
      <c r="T209" s="27"/>
      <c r="U209" s="8"/>
      <c r="V209" s="8"/>
      <c r="W209" s="8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8"/>
      <c r="AL209" s="8"/>
      <c r="AM209" s="8"/>
      <c r="AN209" s="27"/>
      <c r="AO209" s="8"/>
      <c r="AP209" s="8"/>
      <c r="AQ209" s="27"/>
      <c r="AR209" s="27"/>
      <c r="AS209" s="27"/>
    </row>
    <row r="210" spans="1:45" ht="15.75" thickBot="1" x14ac:dyDescent="0.3">
      <c r="A210" s="51" t="s">
        <v>492</v>
      </c>
      <c r="B210" s="51" t="s">
        <v>1292</v>
      </c>
      <c r="C210" s="51" t="s">
        <v>1392</v>
      </c>
      <c r="D210" s="51" t="s">
        <v>493</v>
      </c>
      <c r="E210" s="51" t="s">
        <v>19</v>
      </c>
      <c r="F210" s="51" t="s">
        <v>36</v>
      </c>
      <c r="G210" s="51"/>
      <c r="H210" s="51" t="s">
        <v>484</v>
      </c>
      <c r="I210" s="16">
        <v>-348676700000</v>
      </c>
      <c r="J210" s="16">
        <v>-582754020000</v>
      </c>
      <c r="K210" s="51" t="s">
        <v>1029</v>
      </c>
      <c r="L210" s="53">
        <f t="shared" si="19"/>
        <v>23</v>
      </c>
      <c r="M210" s="17">
        <f t="shared" si="17"/>
        <v>7</v>
      </c>
      <c r="N210" s="18">
        <f t="shared" si="18"/>
        <v>0.76666666666666672</v>
      </c>
      <c r="O210" s="27" t="s">
        <v>1209</v>
      </c>
      <c r="P210" s="8" t="s">
        <v>1209</v>
      </c>
      <c r="Q210" s="8" t="s">
        <v>1209</v>
      </c>
      <c r="R210" s="8" t="s">
        <v>1209</v>
      </c>
      <c r="S210" s="27" t="s">
        <v>1209</v>
      </c>
      <c r="T210" s="27" t="s">
        <v>1209</v>
      </c>
      <c r="U210" s="8" t="s">
        <v>1209</v>
      </c>
      <c r="V210" s="8"/>
      <c r="W210" s="8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8"/>
      <c r="AL210" s="8"/>
      <c r="AM210" s="8"/>
      <c r="AN210" s="27"/>
      <c r="AO210" s="8"/>
      <c r="AP210" s="8"/>
      <c r="AQ210" s="27"/>
      <c r="AR210" s="27"/>
      <c r="AS210" s="27"/>
    </row>
    <row r="211" spans="1:45" ht="15.75" thickBot="1" x14ac:dyDescent="0.3">
      <c r="A211" s="51" t="s">
        <v>283</v>
      </c>
      <c r="B211" s="51" t="s">
        <v>494</v>
      </c>
      <c r="C211" s="51" t="s">
        <v>1392</v>
      </c>
      <c r="D211" s="51" t="s">
        <v>495</v>
      </c>
      <c r="E211" s="51" t="s">
        <v>19</v>
      </c>
      <c r="F211" s="51" t="s">
        <v>1384</v>
      </c>
      <c r="G211" s="51"/>
      <c r="H211" s="51" t="s">
        <v>496</v>
      </c>
      <c r="I211" s="16">
        <v>-348181990000</v>
      </c>
      <c r="J211" s="16">
        <v>-583002490000</v>
      </c>
      <c r="K211" s="51" t="s">
        <v>1024</v>
      </c>
      <c r="L211" s="53">
        <f t="shared" si="19"/>
        <v>30</v>
      </c>
      <c r="M211" s="17">
        <f t="shared" si="17"/>
        <v>0</v>
      </c>
      <c r="N211" s="18">
        <f t="shared" si="18"/>
        <v>1</v>
      </c>
      <c r="O211" s="27"/>
      <c r="P211" s="8"/>
      <c r="Q211" s="8"/>
      <c r="R211" s="8"/>
      <c r="S211" s="27"/>
      <c r="T211" s="27"/>
      <c r="U211" s="8"/>
      <c r="V211" s="8"/>
      <c r="W211" s="8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8"/>
      <c r="AL211" s="8"/>
      <c r="AM211" s="8"/>
      <c r="AN211" s="27"/>
      <c r="AO211" s="8"/>
      <c r="AP211" s="8"/>
      <c r="AQ211" s="27"/>
      <c r="AR211" s="27"/>
      <c r="AS211" s="27"/>
    </row>
    <row r="212" spans="1:45" ht="15.75" thickBot="1" x14ac:dyDescent="0.3">
      <c r="A212" s="51" t="s">
        <v>283</v>
      </c>
      <c r="B212" s="51" t="s">
        <v>497</v>
      </c>
      <c r="C212" s="51" t="s">
        <v>1392</v>
      </c>
      <c r="D212" s="51" t="s">
        <v>495</v>
      </c>
      <c r="E212" s="51" t="s">
        <v>102</v>
      </c>
      <c r="F212" s="51" t="s">
        <v>1384</v>
      </c>
      <c r="G212" s="51"/>
      <c r="H212" s="51" t="s">
        <v>496</v>
      </c>
      <c r="I212" s="16">
        <v>-348181940000</v>
      </c>
      <c r="J212" s="16">
        <v>-583002740000</v>
      </c>
      <c r="K212" s="51" t="s">
        <v>1025</v>
      </c>
      <c r="L212" s="53">
        <f t="shared" si="19"/>
        <v>30</v>
      </c>
      <c r="M212" s="17">
        <f t="shared" si="17"/>
        <v>0</v>
      </c>
      <c r="N212" s="18">
        <f t="shared" si="18"/>
        <v>1</v>
      </c>
      <c r="O212" s="27"/>
      <c r="P212" s="8"/>
      <c r="Q212" s="8"/>
      <c r="R212" s="8"/>
      <c r="S212" s="27"/>
      <c r="T212" s="27"/>
      <c r="U212" s="8"/>
      <c r="V212" s="8"/>
      <c r="W212" s="8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8"/>
      <c r="AL212" s="8"/>
      <c r="AM212" s="8"/>
      <c r="AN212" s="27"/>
      <c r="AO212" s="8"/>
      <c r="AP212" s="8"/>
      <c r="AQ212" s="27"/>
      <c r="AR212" s="27"/>
      <c r="AS212" s="27"/>
    </row>
    <row r="213" spans="1:45" ht="15.75" thickBot="1" x14ac:dyDescent="0.3">
      <c r="A213" s="51" t="s">
        <v>498</v>
      </c>
      <c r="B213" s="51" t="s">
        <v>499</v>
      </c>
      <c r="C213" s="51" t="s">
        <v>1392</v>
      </c>
      <c r="D213" s="51" t="s">
        <v>1293</v>
      </c>
      <c r="E213" s="51" t="s">
        <v>19</v>
      </c>
      <c r="F213" s="51" t="s">
        <v>36</v>
      </c>
      <c r="G213" s="51"/>
      <c r="H213" s="51" t="s">
        <v>311</v>
      </c>
      <c r="I213" s="16">
        <v>-348181790000</v>
      </c>
      <c r="J213" s="16">
        <v>-582067620000</v>
      </c>
      <c r="K213" s="51" t="s">
        <v>1030</v>
      </c>
      <c r="L213" s="53">
        <f t="shared" si="19"/>
        <v>26</v>
      </c>
      <c r="M213" s="17">
        <f t="shared" si="17"/>
        <v>4</v>
      </c>
      <c r="N213" s="18">
        <f t="shared" si="18"/>
        <v>0.8666666666666667</v>
      </c>
      <c r="O213" s="27"/>
      <c r="P213" s="8"/>
      <c r="Q213" s="8"/>
      <c r="R213" s="8" t="s">
        <v>1209</v>
      </c>
      <c r="S213" s="27" t="s">
        <v>1209</v>
      </c>
      <c r="T213" s="27" t="s">
        <v>1209</v>
      </c>
      <c r="U213" s="8" t="s">
        <v>1209</v>
      </c>
      <c r="V213" s="8"/>
      <c r="W213" s="8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8"/>
      <c r="AL213" s="8"/>
      <c r="AM213" s="8"/>
      <c r="AN213" s="27"/>
      <c r="AO213" s="8"/>
      <c r="AP213" s="8"/>
      <c r="AQ213" s="27"/>
      <c r="AR213" s="27"/>
      <c r="AS213" s="27"/>
    </row>
    <row r="214" spans="1:45" ht="15.75" thickBot="1" x14ac:dyDescent="0.3">
      <c r="A214" s="51" t="s">
        <v>498</v>
      </c>
      <c r="B214" s="51" t="s">
        <v>500</v>
      </c>
      <c r="C214" s="51" t="s">
        <v>1392</v>
      </c>
      <c r="D214" s="51" t="s">
        <v>1293</v>
      </c>
      <c r="E214" s="51" t="s">
        <v>102</v>
      </c>
      <c r="F214" s="51" t="s">
        <v>36</v>
      </c>
      <c r="G214" s="51"/>
      <c r="H214" s="20">
        <v>44421</v>
      </c>
      <c r="I214" s="16">
        <v>-348181180000</v>
      </c>
      <c r="J214" s="16">
        <v>-582066990000</v>
      </c>
      <c r="K214" s="51" t="s">
        <v>1031</v>
      </c>
      <c r="L214" s="53">
        <f t="shared" si="19"/>
        <v>26</v>
      </c>
      <c r="M214" s="17">
        <f t="shared" si="17"/>
        <v>4</v>
      </c>
      <c r="N214" s="18">
        <f t="shared" si="18"/>
        <v>0.8666666666666667</v>
      </c>
      <c r="O214" s="27"/>
      <c r="P214" s="8"/>
      <c r="Q214" s="8"/>
      <c r="R214" s="8" t="s">
        <v>1209</v>
      </c>
      <c r="S214" s="27" t="s">
        <v>1209</v>
      </c>
      <c r="T214" s="27" t="s">
        <v>1209</v>
      </c>
      <c r="U214" s="8" t="s">
        <v>1209</v>
      </c>
      <c r="V214" s="8"/>
      <c r="W214" s="8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8"/>
      <c r="AL214" s="8"/>
      <c r="AM214" s="8"/>
      <c r="AN214" s="27"/>
      <c r="AO214" s="8"/>
      <c r="AP214" s="8"/>
      <c r="AQ214" s="27"/>
      <c r="AR214" s="27"/>
      <c r="AS214" s="27"/>
    </row>
    <row r="215" spans="1:45" ht="15.75" thickBot="1" x14ac:dyDescent="0.3">
      <c r="A215" s="51" t="s">
        <v>488</v>
      </c>
      <c r="B215" s="51" t="s">
        <v>501</v>
      </c>
      <c r="C215" s="51" t="s">
        <v>1392</v>
      </c>
      <c r="D215" s="51" t="s">
        <v>502</v>
      </c>
      <c r="E215" s="51" t="s">
        <v>19</v>
      </c>
      <c r="F215" s="51" t="s">
        <v>36</v>
      </c>
      <c r="G215" s="51"/>
      <c r="H215" s="51" t="s">
        <v>484</v>
      </c>
      <c r="I215" s="16">
        <v>-348315930000</v>
      </c>
      <c r="J215" s="16">
        <v>-582907280000</v>
      </c>
      <c r="K215" s="51" t="s">
        <v>1027</v>
      </c>
      <c r="L215" s="53">
        <f t="shared" si="19"/>
        <v>23</v>
      </c>
      <c r="M215" s="17">
        <f t="shared" si="17"/>
        <v>7</v>
      </c>
      <c r="N215" s="18">
        <f t="shared" si="18"/>
        <v>0.76666666666666672</v>
      </c>
      <c r="O215" s="27" t="s">
        <v>1209</v>
      </c>
      <c r="P215" s="8" t="s">
        <v>1209</v>
      </c>
      <c r="Q215" s="8" t="s">
        <v>1209</v>
      </c>
      <c r="R215" s="8" t="s">
        <v>1209</v>
      </c>
      <c r="S215" s="27" t="s">
        <v>1209</v>
      </c>
      <c r="T215" s="27" t="s">
        <v>1209</v>
      </c>
      <c r="U215" s="8" t="s">
        <v>1209</v>
      </c>
      <c r="V215" s="8"/>
      <c r="W215" s="8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8"/>
      <c r="AL215" s="8"/>
      <c r="AM215" s="8"/>
      <c r="AN215" s="27"/>
      <c r="AO215" s="8"/>
      <c r="AP215" s="8"/>
      <c r="AQ215" s="27"/>
      <c r="AR215" s="27"/>
      <c r="AS215" s="27"/>
    </row>
    <row r="216" spans="1:45" ht="15.75" thickBot="1" x14ac:dyDescent="0.3">
      <c r="A216" s="51" t="s">
        <v>488</v>
      </c>
      <c r="B216" s="51" t="s">
        <v>503</v>
      </c>
      <c r="C216" s="51" t="s">
        <v>1392</v>
      </c>
      <c r="D216" s="51" t="s">
        <v>502</v>
      </c>
      <c r="E216" s="51" t="s">
        <v>102</v>
      </c>
      <c r="F216" s="51" t="s">
        <v>36</v>
      </c>
      <c r="G216" s="51"/>
      <c r="H216" s="51" t="s">
        <v>484</v>
      </c>
      <c r="I216" s="16">
        <v>-348315930000</v>
      </c>
      <c r="J216" s="16">
        <v>-582907280000</v>
      </c>
      <c r="K216" s="51" t="s">
        <v>1026</v>
      </c>
      <c r="L216" s="53">
        <f t="shared" si="19"/>
        <v>23</v>
      </c>
      <c r="M216" s="17">
        <f t="shared" si="17"/>
        <v>7</v>
      </c>
      <c r="N216" s="18">
        <f t="shared" si="18"/>
        <v>0.76666666666666672</v>
      </c>
      <c r="O216" s="27" t="s">
        <v>1209</v>
      </c>
      <c r="P216" s="8" t="s">
        <v>1209</v>
      </c>
      <c r="Q216" s="8" t="s">
        <v>1209</v>
      </c>
      <c r="R216" s="8" t="s">
        <v>1209</v>
      </c>
      <c r="S216" s="27" t="s">
        <v>1209</v>
      </c>
      <c r="T216" s="27" t="s">
        <v>1209</v>
      </c>
      <c r="U216" s="8" t="s">
        <v>1209</v>
      </c>
      <c r="V216" s="8"/>
      <c r="W216" s="8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8"/>
      <c r="AL216" s="8"/>
      <c r="AM216" s="8"/>
      <c r="AN216" s="27"/>
      <c r="AO216" s="8"/>
      <c r="AP216" s="8"/>
      <c r="AQ216" s="27"/>
      <c r="AR216" s="27"/>
      <c r="AS216" s="27"/>
    </row>
    <row r="217" spans="1:45" ht="15.75" thickBot="1" x14ac:dyDescent="0.3">
      <c r="A217" s="51" t="s">
        <v>264</v>
      </c>
      <c r="B217" s="51" t="s">
        <v>1294</v>
      </c>
      <c r="C217" s="51" t="s">
        <v>1391</v>
      </c>
      <c r="D217" s="51" t="s">
        <v>1295</v>
      </c>
      <c r="E217" s="51" t="s">
        <v>102</v>
      </c>
      <c r="F217" s="51" t="s">
        <v>36</v>
      </c>
      <c r="G217" s="51"/>
      <c r="H217" s="51"/>
      <c r="I217" s="16">
        <v>-347979210000</v>
      </c>
      <c r="J217" s="16">
        <v>-583159950000</v>
      </c>
      <c r="K217" s="51"/>
      <c r="L217" s="53">
        <f t="shared" si="19"/>
        <v>25</v>
      </c>
      <c r="M217" s="17">
        <f t="shared" si="17"/>
        <v>5</v>
      </c>
      <c r="N217" s="18">
        <f t="shared" si="18"/>
        <v>0.83333333333333337</v>
      </c>
      <c r="O217" s="27"/>
      <c r="P217" s="8" t="s">
        <v>1209</v>
      </c>
      <c r="Q217" s="8"/>
      <c r="R217" s="8" t="s">
        <v>1209</v>
      </c>
      <c r="S217" s="27" t="s">
        <v>1209</v>
      </c>
      <c r="T217" s="27" t="s">
        <v>1209</v>
      </c>
      <c r="U217" s="8" t="s">
        <v>1209</v>
      </c>
      <c r="V217" s="8"/>
      <c r="W217" s="8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8"/>
      <c r="AL217" s="8"/>
      <c r="AM217" s="8"/>
      <c r="AN217" s="27"/>
      <c r="AO217" s="8"/>
      <c r="AP217" s="8"/>
      <c r="AQ217" s="27"/>
      <c r="AR217" s="27"/>
      <c r="AS217" s="27"/>
    </row>
    <row r="218" spans="1:45" ht="15.75" thickBot="1" x14ac:dyDescent="0.3">
      <c r="A218" s="51" t="s">
        <v>268</v>
      </c>
      <c r="B218" s="51" t="s">
        <v>1296</v>
      </c>
      <c r="C218" s="51" t="s">
        <v>1392</v>
      </c>
      <c r="D218" s="51" t="s">
        <v>1297</v>
      </c>
      <c r="E218" s="51" t="s">
        <v>102</v>
      </c>
      <c r="F218" s="51" t="s">
        <v>36</v>
      </c>
      <c r="G218" s="51"/>
      <c r="H218" s="51"/>
      <c r="I218" s="16">
        <v>-348657730000</v>
      </c>
      <c r="J218" s="16">
        <v>-581910410000</v>
      </c>
      <c r="K218" s="51"/>
      <c r="L218" s="53">
        <f t="shared" si="19"/>
        <v>30</v>
      </c>
      <c r="M218" s="17">
        <f t="shared" si="17"/>
        <v>0</v>
      </c>
      <c r="N218" s="18">
        <f t="shared" si="18"/>
        <v>1</v>
      </c>
      <c r="O218" s="27"/>
      <c r="P218" s="8"/>
      <c r="Q218" s="8"/>
      <c r="R218" s="8"/>
      <c r="S218" s="27"/>
      <c r="T218" s="27"/>
      <c r="U218" s="8"/>
      <c r="V218" s="8"/>
      <c r="W218" s="8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8"/>
      <c r="AL218" s="8"/>
      <c r="AM218" s="8"/>
      <c r="AN218" s="27"/>
      <c r="AO218" s="8"/>
      <c r="AP218" s="8"/>
      <c r="AQ218" s="27"/>
      <c r="AR218" s="27"/>
      <c r="AS218" s="27"/>
    </row>
    <row r="219" spans="1:45" ht="15.75" thickBot="1" x14ac:dyDescent="0.3">
      <c r="A219" s="51" t="s">
        <v>306</v>
      </c>
      <c r="B219" s="51" t="s">
        <v>1298</v>
      </c>
      <c r="C219" s="51" t="s">
        <v>1392</v>
      </c>
      <c r="D219" s="51" t="s">
        <v>1299</v>
      </c>
      <c r="E219" s="51" t="s">
        <v>24</v>
      </c>
      <c r="F219" s="51" t="s">
        <v>36</v>
      </c>
      <c r="G219" s="51"/>
      <c r="H219" s="51"/>
      <c r="I219" s="16">
        <v>-348712220000</v>
      </c>
      <c r="J219" s="16">
        <v>-581914160000</v>
      </c>
      <c r="K219" s="51"/>
      <c r="L219" s="53">
        <f t="shared" si="19"/>
        <v>30</v>
      </c>
      <c r="M219" s="17">
        <f t="shared" si="17"/>
        <v>0</v>
      </c>
      <c r="N219" s="18">
        <f t="shared" si="18"/>
        <v>1</v>
      </c>
      <c r="O219" s="27"/>
      <c r="P219" s="8"/>
      <c r="Q219" s="8"/>
      <c r="R219" s="8"/>
      <c r="S219" s="27"/>
      <c r="T219" s="27"/>
      <c r="U219" s="8"/>
      <c r="V219" s="8"/>
      <c r="W219" s="8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8"/>
      <c r="AL219" s="8"/>
      <c r="AM219" s="8"/>
      <c r="AN219" s="27"/>
      <c r="AO219" s="8"/>
      <c r="AP219" s="8"/>
      <c r="AQ219" s="27"/>
      <c r="AR219" s="27"/>
      <c r="AS219" s="27"/>
    </row>
    <row r="220" spans="1:45" ht="15.75" thickBot="1" x14ac:dyDescent="0.3">
      <c r="A220" s="51" t="s">
        <v>402</v>
      </c>
      <c r="B220" s="51" t="s">
        <v>504</v>
      </c>
      <c r="C220" s="51" t="s">
        <v>1392</v>
      </c>
      <c r="D220" s="51" t="s">
        <v>486</v>
      </c>
      <c r="E220" s="51" t="s">
        <v>19</v>
      </c>
      <c r="F220" s="51" t="s">
        <v>36</v>
      </c>
      <c r="G220" s="51"/>
      <c r="H220" s="51" t="s">
        <v>484</v>
      </c>
      <c r="I220" s="16">
        <v>-348071730000</v>
      </c>
      <c r="J220" s="16">
        <v>-583116710000</v>
      </c>
      <c r="K220" s="51" t="s">
        <v>1021</v>
      </c>
      <c r="L220" s="53">
        <f t="shared" si="19"/>
        <v>30</v>
      </c>
      <c r="M220" s="17">
        <f t="shared" si="17"/>
        <v>0</v>
      </c>
      <c r="N220" s="18">
        <f t="shared" si="18"/>
        <v>1</v>
      </c>
      <c r="O220" s="27"/>
      <c r="P220" s="8"/>
      <c r="Q220" s="8"/>
      <c r="R220" s="8"/>
      <c r="S220" s="27"/>
      <c r="T220" s="27"/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8"/>
      <c r="AL220" s="8"/>
      <c r="AM220" s="8"/>
      <c r="AN220" s="27"/>
      <c r="AO220" s="8"/>
      <c r="AP220" s="8"/>
      <c r="AQ220" s="27"/>
      <c r="AR220" s="27"/>
      <c r="AS220" s="27"/>
    </row>
    <row r="221" spans="1:45" ht="15.75" thickBot="1" x14ac:dyDescent="0.3">
      <c r="A221" s="51" t="s">
        <v>402</v>
      </c>
      <c r="B221" s="51" t="s">
        <v>1300</v>
      </c>
      <c r="C221" s="51" t="s">
        <v>1392</v>
      </c>
      <c r="D221" s="51" t="s">
        <v>1301</v>
      </c>
      <c r="E221" s="51" t="s">
        <v>102</v>
      </c>
      <c r="F221" s="51" t="s">
        <v>36</v>
      </c>
      <c r="G221" s="51"/>
      <c r="H221" s="51"/>
      <c r="I221" s="16">
        <v>-348072210000</v>
      </c>
      <c r="J221" s="16">
        <v>-583116730000</v>
      </c>
      <c r="K221" s="51"/>
      <c r="L221" s="53">
        <f t="shared" si="19"/>
        <v>30</v>
      </c>
      <c r="M221" s="17">
        <f t="shared" si="17"/>
        <v>0</v>
      </c>
      <c r="N221" s="18">
        <f t="shared" si="18"/>
        <v>1</v>
      </c>
      <c r="O221" s="27"/>
      <c r="P221" s="8"/>
      <c r="Q221" s="8"/>
      <c r="R221" s="8"/>
      <c r="S221" s="27"/>
      <c r="T221" s="27"/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8"/>
      <c r="AL221" s="8"/>
      <c r="AM221" s="8"/>
      <c r="AN221" s="27"/>
      <c r="AO221" s="8"/>
      <c r="AP221" s="8"/>
      <c r="AQ221" s="27"/>
      <c r="AR221" s="27"/>
      <c r="AS221" s="27"/>
    </row>
    <row r="222" spans="1:45" ht="15.75" thickBot="1" x14ac:dyDescent="0.3">
      <c r="A222" s="51" t="s">
        <v>488</v>
      </c>
      <c r="B222" s="51" t="s">
        <v>1302</v>
      </c>
      <c r="C222" s="51" t="s">
        <v>1392</v>
      </c>
      <c r="D222" s="51" t="s">
        <v>490</v>
      </c>
      <c r="E222" s="51" t="s">
        <v>24</v>
      </c>
      <c r="F222" s="51" t="s">
        <v>36</v>
      </c>
      <c r="G222" s="51"/>
      <c r="H222" s="51"/>
      <c r="I222" s="16">
        <v>-348476550000</v>
      </c>
      <c r="J222" s="16">
        <v>-582894140000</v>
      </c>
      <c r="K222" s="51"/>
      <c r="L222" s="53">
        <f t="shared" si="19"/>
        <v>30</v>
      </c>
      <c r="M222" s="17">
        <f t="shared" si="17"/>
        <v>0</v>
      </c>
      <c r="N222" s="18">
        <f t="shared" si="18"/>
        <v>1</v>
      </c>
      <c r="O222" s="27"/>
      <c r="P222" s="8"/>
      <c r="Q222" s="8"/>
      <c r="R222" s="8"/>
      <c r="S222" s="27"/>
      <c r="T222" s="27"/>
      <c r="U222" s="8"/>
      <c r="V222" s="8"/>
      <c r="W222" s="8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8"/>
      <c r="AL222" s="8"/>
      <c r="AM222" s="8"/>
      <c r="AN222" s="27"/>
      <c r="AO222" s="8"/>
      <c r="AP222" s="8"/>
      <c r="AQ222" s="27"/>
      <c r="AR222" s="27"/>
      <c r="AS222" s="27"/>
    </row>
    <row r="223" spans="1:45" ht="15.75" thickBot="1" x14ac:dyDescent="0.3">
      <c r="A223" s="51" t="s">
        <v>283</v>
      </c>
      <c r="B223" s="51" t="s">
        <v>1303</v>
      </c>
      <c r="C223" s="51" t="s">
        <v>1392</v>
      </c>
      <c r="D223" s="51" t="s">
        <v>1304</v>
      </c>
      <c r="E223" s="51" t="s">
        <v>102</v>
      </c>
      <c r="F223" s="51" t="s">
        <v>36</v>
      </c>
      <c r="G223" s="51"/>
      <c r="H223" s="51"/>
      <c r="I223" s="16">
        <v>-348168430000</v>
      </c>
      <c r="J223" s="16">
        <v>-583013400000</v>
      </c>
      <c r="K223" s="51"/>
      <c r="L223" s="53">
        <f t="shared" si="19"/>
        <v>30</v>
      </c>
      <c r="M223" s="17">
        <f t="shared" si="17"/>
        <v>0</v>
      </c>
      <c r="N223" s="18">
        <f t="shared" si="18"/>
        <v>1</v>
      </c>
      <c r="O223" s="27"/>
      <c r="P223" s="8"/>
      <c r="Q223" s="8"/>
      <c r="R223" s="8"/>
      <c r="S223" s="27"/>
      <c r="T223" s="27"/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8"/>
      <c r="AL223" s="8"/>
      <c r="AM223" s="8"/>
      <c r="AN223" s="27"/>
      <c r="AO223" s="8"/>
      <c r="AP223" s="8"/>
      <c r="AQ223" s="27"/>
      <c r="AR223" s="27"/>
      <c r="AS223" s="27"/>
    </row>
    <row r="224" spans="1:45" ht="15.75" thickBot="1" x14ac:dyDescent="0.3">
      <c r="A224" s="51" t="s">
        <v>498</v>
      </c>
      <c r="B224" s="51" t="s">
        <v>1305</v>
      </c>
      <c r="C224" s="51" t="s">
        <v>1392</v>
      </c>
      <c r="D224" s="51" t="s">
        <v>1306</v>
      </c>
      <c r="E224" s="51" t="s">
        <v>24</v>
      </c>
      <c r="F224" s="51" t="s">
        <v>36</v>
      </c>
      <c r="G224" s="51"/>
      <c r="H224" s="51"/>
      <c r="I224" s="16">
        <v>-348183340000</v>
      </c>
      <c r="J224" s="16">
        <v>-582068070000</v>
      </c>
      <c r="K224" s="51"/>
      <c r="L224" s="53">
        <f t="shared" si="19"/>
        <v>26</v>
      </c>
      <c r="M224" s="17">
        <f t="shared" si="17"/>
        <v>4</v>
      </c>
      <c r="N224" s="18">
        <f t="shared" si="18"/>
        <v>0.8666666666666667</v>
      </c>
      <c r="O224" s="27"/>
      <c r="P224" s="8"/>
      <c r="Q224" s="8"/>
      <c r="R224" s="8" t="s">
        <v>1209</v>
      </c>
      <c r="S224" s="27" t="s">
        <v>1209</v>
      </c>
      <c r="T224" s="27" t="s">
        <v>1209</v>
      </c>
      <c r="U224" s="8" t="s">
        <v>1209</v>
      </c>
      <c r="V224" s="8"/>
      <c r="W224" s="8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8"/>
      <c r="AL224" s="8"/>
      <c r="AM224" s="8"/>
      <c r="AN224" s="27"/>
      <c r="AO224" s="8"/>
      <c r="AP224" s="8"/>
      <c r="AQ224" s="27"/>
      <c r="AR224" s="27"/>
      <c r="AS224" s="27"/>
    </row>
    <row r="225" spans="1:45" ht="15.75" thickBot="1" x14ac:dyDescent="0.3">
      <c r="A225" s="51" t="s">
        <v>488</v>
      </c>
      <c r="B225" s="51" t="s">
        <v>1307</v>
      </c>
      <c r="C225" s="51" t="s">
        <v>1392</v>
      </c>
      <c r="D225" s="51" t="s">
        <v>1308</v>
      </c>
      <c r="E225" s="51" t="s">
        <v>102</v>
      </c>
      <c r="F225" s="51" t="s">
        <v>36</v>
      </c>
      <c r="G225" s="51"/>
      <c r="H225" s="51"/>
      <c r="I225" s="16">
        <v>-348316590000</v>
      </c>
      <c r="J225" s="16">
        <v>-582907450000</v>
      </c>
      <c r="K225" s="51"/>
      <c r="L225" s="53">
        <f t="shared" si="19"/>
        <v>28</v>
      </c>
      <c r="M225" s="17">
        <f t="shared" si="17"/>
        <v>2</v>
      </c>
      <c r="N225" s="18">
        <f t="shared" si="18"/>
        <v>0.93333333333333335</v>
      </c>
      <c r="O225" s="27" t="s">
        <v>1209</v>
      </c>
      <c r="P225" s="8"/>
      <c r="Q225" s="8" t="s">
        <v>1209</v>
      </c>
      <c r="R225" s="8"/>
      <c r="S225" s="27"/>
      <c r="T225" s="27"/>
      <c r="U225" s="8"/>
      <c r="V225" s="8"/>
      <c r="W225" s="8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8"/>
      <c r="AL225" s="8"/>
      <c r="AM225" s="8"/>
      <c r="AN225" s="27"/>
      <c r="AO225" s="8"/>
      <c r="AP225" s="8"/>
      <c r="AQ225" s="27"/>
      <c r="AR225" s="27"/>
      <c r="AS225" s="27"/>
    </row>
    <row r="226" spans="1:45" ht="15.75" thickBot="1" x14ac:dyDescent="0.3">
      <c r="A226" s="51" t="s">
        <v>326</v>
      </c>
      <c r="B226" s="51" t="s">
        <v>1309</v>
      </c>
      <c r="C226" s="51" t="s">
        <v>1392</v>
      </c>
      <c r="D226" s="51" t="s">
        <v>1310</v>
      </c>
      <c r="E226" s="51" t="s">
        <v>102</v>
      </c>
      <c r="F226" s="51" t="s">
        <v>36</v>
      </c>
      <c r="G226" s="51"/>
      <c r="H226" s="51"/>
      <c r="I226" s="16">
        <v>-348096490000</v>
      </c>
      <c r="J226" s="16">
        <v>-583016470000</v>
      </c>
      <c r="K226" s="51"/>
      <c r="L226" s="53">
        <f t="shared" si="19"/>
        <v>30</v>
      </c>
      <c r="M226" s="17">
        <f t="shared" si="17"/>
        <v>0</v>
      </c>
      <c r="N226" s="18">
        <f t="shared" si="18"/>
        <v>1</v>
      </c>
      <c r="O226" s="27"/>
      <c r="P226" s="8"/>
      <c r="Q226" s="8"/>
      <c r="R226" s="8"/>
      <c r="S226" s="27"/>
      <c r="T226" s="27"/>
      <c r="U226" s="8"/>
      <c r="V226" s="8"/>
      <c r="W226" s="8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8"/>
      <c r="AL226" s="8"/>
      <c r="AM226" s="8"/>
      <c r="AN226" s="27"/>
      <c r="AO226" s="8"/>
      <c r="AP226" s="8"/>
      <c r="AQ226" s="27"/>
      <c r="AR226" s="27"/>
      <c r="AS226" s="27"/>
    </row>
    <row r="227" spans="1:45" ht="15.75" thickBot="1" x14ac:dyDescent="0.3">
      <c r="A227" s="51" t="s">
        <v>505</v>
      </c>
      <c r="B227" s="51" t="s">
        <v>506</v>
      </c>
      <c r="C227" s="51" t="s">
        <v>1392</v>
      </c>
      <c r="D227" s="51" t="s">
        <v>507</v>
      </c>
      <c r="E227" s="51" t="s">
        <v>19</v>
      </c>
      <c r="F227" s="51" t="s">
        <v>36</v>
      </c>
      <c r="G227" s="51"/>
      <c r="H227" s="51" t="s">
        <v>508</v>
      </c>
      <c r="I227" s="16">
        <v>-348307510000</v>
      </c>
      <c r="J227" s="16">
        <v>-582304880000</v>
      </c>
      <c r="K227" s="51" t="s">
        <v>1032</v>
      </c>
      <c r="L227" s="53">
        <f t="shared" si="19"/>
        <v>29</v>
      </c>
      <c r="M227" s="17">
        <f t="shared" si="17"/>
        <v>1</v>
      </c>
      <c r="N227" s="18">
        <f t="shared" si="18"/>
        <v>0.96666666666666667</v>
      </c>
      <c r="O227" s="27"/>
      <c r="P227" s="8"/>
      <c r="Q227" s="8"/>
      <c r="R227" s="8"/>
      <c r="S227" s="27"/>
      <c r="T227" s="27"/>
      <c r="U227" s="8" t="s">
        <v>1209</v>
      </c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8"/>
      <c r="AL227" s="8"/>
      <c r="AM227" s="8"/>
      <c r="AN227" s="27"/>
      <c r="AO227" s="8"/>
      <c r="AP227" s="8"/>
      <c r="AQ227" s="27"/>
      <c r="AR227" s="27"/>
      <c r="AS227" s="27"/>
    </row>
    <row r="228" spans="1:45" ht="15.75" thickBot="1" x14ac:dyDescent="0.3">
      <c r="A228" s="51" t="s">
        <v>505</v>
      </c>
      <c r="B228" s="51" t="s">
        <v>1311</v>
      </c>
      <c r="C228" s="51" t="s">
        <v>1392</v>
      </c>
      <c r="D228" s="51" t="s">
        <v>509</v>
      </c>
      <c r="E228" s="51" t="s">
        <v>19</v>
      </c>
      <c r="F228" s="51" t="s">
        <v>36</v>
      </c>
      <c r="G228" s="51"/>
      <c r="H228" s="51" t="s">
        <v>311</v>
      </c>
      <c r="I228" s="16">
        <v>-348296530000</v>
      </c>
      <c r="J228" s="16">
        <v>-582293330000</v>
      </c>
      <c r="K228" s="51" t="s">
        <v>1033</v>
      </c>
      <c r="L228" s="53">
        <f t="shared" si="19"/>
        <v>29</v>
      </c>
      <c r="M228" s="17">
        <f t="shared" si="17"/>
        <v>1</v>
      </c>
      <c r="N228" s="18">
        <f t="shared" si="18"/>
        <v>0.96666666666666667</v>
      </c>
      <c r="O228" s="27"/>
      <c r="P228" s="8"/>
      <c r="Q228" s="8"/>
      <c r="R228" s="8"/>
      <c r="S228" s="27"/>
      <c r="T228" s="27"/>
      <c r="U228" s="8" t="s">
        <v>1209</v>
      </c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8"/>
      <c r="AL228" s="8"/>
      <c r="AM228" s="8"/>
      <c r="AN228" s="27"/>
      <c r="AO228" s="8"/>
      <c r="AP228" s="8"/>
      <c r="AQ228" s="27"/>
      <c r="AR228" s="27"/>
      <c r="AS228" s="27"/>
    </row>
    <row r="229" spans="1:45" ht="15.75" thickBot="1" x14ac:dyDescent="0.3">
      <c r="A229" s="51" t="s">
        <v>505</v>
      </c>
      <c r="B229" s="51" t="s">
        <v>510</v>
      </c>
      <c r="C229" s="51" t="s">
        <v>1392</v>
      </c>
      <c r="D229" s="51" t="s">
        <v>511</v>
      </c>
      <c r="E229" s="51" t="s">
        <v>102</v>
      </c>
      <c r="F229" s="51" t="s">
        <v>36</v>
      </c>
      <c r="G229" s="51"/>
      <c r="H229" s="51" t="s">
        <v>512</v>
      </c>
      <c r="I229" s="16">
        <v>-348304210000</v>
      </c>
      <c r="J229" s="16">
        <v>-582269250000</v>
      </c>
      <c r="K229" s="51" t="s">
        <v>1034</v>
      </c>
      <c r="L229" s="53">
        <f t="shared" si="19"/>
        <v>29</v>
      </c>
      <c r="M229" s="17">
        <f t="shared" si="17"/>
        <v>1</v>
      </c>
      <c r="N229" s="18">
        <f t="shared" si="18"/>
        <v>0.96666666666666667</v>
      </c>
      <c r="O229" s="27"/>
      <c r="P229" s="8"/>
      <c r="Q229" s="8"/>
      <c r="R229" s="8"/>
      <c r="S229" s="27"/>
      <c r="T229" s="27"/>
      <c r="U229" s="8" t="s">
        <v>1209</v>
      </c>
      <c r="V229" s="8"/>
      <c r="W229" s="8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8"/>
      <c r="AL229" s="8"/>
      <c r="AM229" s="8"/>
      <c r="AN229" s="27"/>
      <c r="AO229" s="8"/>
      <c r="AP229" s="8"/>
      <c r="AQ229" s="27"/>
      <c r="AR229" s="27"/>
      <c r="AS229" s="27"/>
    </row>
    <row r="230" spans="1:45" ht="15.75" thickBot="1" x14ac:dyDescent="0.3">
      <c r="A230" s="51" t="s">
        <v>505</v>
      </c>
      <c r="B230" s="51" t="s">
        <v>513</v>
      </c>
      <c r="C230" s="51" t="s">
        <v>1392</v>
      </c>
      <c r="D230" s="51" t="s">
        <v>511</v>
      </c>
      <c r="E230" s="51" t="s">
        <v>102</v>
      </c>
      <c r="F230" s="51" t="s">
        <v>36</v>
      </c>
      <c r="G230" s="51"/>
      <c r="H230" s="51" t="s">
        <v>512</v>
      </c>
      <c r="I230" s="16">
        <v>-348304120000</v>
      </c>
      <c r="J230" s="16">
        <v>-582269240000</v>
      </c>
      <c r="K230" s="51" t="s">
        <v>1035</v>
      </c>
      <c r="L230" s="53">
        <f t="shared" si="19"/>
        <v>29</v>
      </c>
      <c r="M230" s="17">
        <f t="shared" si="17"/>
        <v>1</v>
      </c>
      <c r="N230" s="18">
        <f t="shared" si="18"/>
        <v>0.96666666666666667</v>
      </c>
      <c r="O230" s="27"/>
      <c r="P230" s="8"/>
      <c r="Q230" s="8"/>
      <c r="R230" s="8"/>
      <c r="S230" s="27"/>
      <c r="T230" s="27"/>
      <c r="U230" s="8" t="s">
        <v>1209</v>
      </c>
      <c r="V230" s="8"/>
      <c r="W230" s="8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8"/>
      <c r="AL230" s="8"/>
      <c r="AM230" s="8"/>
      <c r="AN230" s="27"/>
      <c r="AO230" s="8"/>
      <c r="AP230" s="8"/>
      <c r="AQ230" s="27"/>
      <c r="AR230" s="27"/>
      <c r="AS230" s="27"/>
    </row>
    <row r="231" spans="1:45" ht="15.75" thickBot="1" x14ac:dyDescent="0.3">
      <c r="A231" s="51" t="s">
        <v>505</v>
      </c>
      <c r="B231" s="51" t="s">
        <v>514</v>
      </c>
      <c r="C231" s="51" t="s">
        <v>1392</v>
      </c>
      <c r="D231" s="51" t="s">
        <v>515</v>
      </c>
      <c r="E231" s="51" t="s">
        <v>102</v>
      </c>
      <c r="F231" s="51" t="s">
        <v>36</v>
      </c>
      <c r="G231" s="51"/>
      <c r="H231" s="51" t="s">
        <v>230</v>
      </c>
      <c r="I231" s="16">
        <v>-348327470000</v>
      </c>
      <c r="J231" s="16">
        <v>-582277380000</v>
      </c>
      <c r="K231" s="51" t="s">
        <v>1036</v>
      </c>
      <c r="L231" s="53">
        <f t="shared" si="19"/>
        <v>29</v>
      </c>
      <c r="M231" s="17">
        <f t="shared" si="17"/>
        <v>1</v>
      </c>
      <c r="N231" s="18">
        <f t="shared" si="18"/>
        <v>0.96666666666666667</v>
      </c>
      <c r="O231" s="27"/>
      <c r="P231" s="8"/>
      <c r="Q231" s="8"/>
      <c r="R231" s="8"/>
      <c r="S231" s="27"/>
      <c r="T231" s="27"/>
      <c r="U231" s="8" t="s">
        <v>1209</v>
      </c>
      <c r="V231" s="8"/>
      <c r="W231" s="8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8"/>
      <c r="AL231" s="8"/>
      <c r="AM231" s="8"/>
      <c r="AN231" s="27"/>
      <c r="AO231" s="8"/>
      <c r="AP231" s="8"/>
      <c r="AQ231" s="27"/>
      <c r="AR231" s="27"/>
      <c r="AS231" s="27"/>
    </row>
    <row r="232" spans="1:45" ht="15.75" thickBot="1" x14ac:dyDescent="0.3">
      <c r="A232" s="51" t="s">
        <v>505</v>
      </c>
      <c r="B232" s="51" t="s">
        <v>516</v>
      </c>
      <c r="C232" s="51" t="s">
        <v>1392</v>
      </c>
      <c r="D232" s="51" t="s">
        <v>515</v>
      </c>
      <c r="E232" s="51" t="s">
        <v>65</v>
      </c>
      <c r="F232" s="51" t="s">
        <v>36</v>
      </c>
      <c r="G232" s="51"/>
      <c r="H232" s="51" t="s">
        <v>517</v>
      </c>
      <c r="I232" s="16">
        <v>-348327560000</v>
      </c>
      <c r="J232" s="16">
        <v>-582277570000</v>
      </c>
      <c r="K232" s="51" t="s">
        <v>1037</v>
      </c>
      <c r="L232" s="53">
        <f t="shared" si="19"/>
        <v>29</v>
      </c>
      <c r="M232" s="17">
        <f t="shared" si="17"/>
        <v>1</v>
      </c>
      <c r="N232" s="18">
        <f t="shared" si="18"/>
        <v>0.96666666666666667</v>
      </c>
      <c r="O232" s="27"/>
      <c r="P232" s="8"/>
      <c r="Q232" s="8"/>
      <c r="R232" s="8"/>
      <c r="S232" s="27"/>
      <c r="T232" s="27"/>
      <c r="U232" s="8" t="s">
        <v>1209</v>
      </c>
      <c r="V232" s="8"/>
      <c r="W232" s="8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8"/>
      <c r="AL232" s="8"/>
      <c r="AM232" s="8"/>
      <c r="AN232" s="27"/>
      <c r="AO232" s="8"/>
      <c r="AP232" s="8"/>
      <c r="AQ232" s="27"/>
      <c r="AR232" s="27"/>
      <c r="AS232" s="27"/>
    </row>
    <row r="233" spans="1:45" ht="15.75" thickBot="1" x14ac:dyDescent="0.3">
      <c r="A233" s="51" t="s">
        <v>518</v>
      </c>
      <c r="B233" s="51" t="s">
        <v>1312</v>
      </c>
      <c r="C233" s="51" t="s">
        <v>1392</v>
      </c>
      <c r="D233" s="51" t="s">
        <v>525</v>
      </c>
      <c r="E233" s="51" t="s">
        <v>19</v>
      </c>
      <c r="F233" s="51" t="s">
        <v>36</v>
      </c>
      <c r="G233" s="51"/>
      <c r="H233" s="51" t="s">
        <v>526</v>
      </c>
      <c r="I233" s="16">
        <v>-348255670000</v>
      </c>
      <c r="J233" s="16">
        <v>-582250020000</v>
      </c>
      <c r="K233" s="51" t="s">
        <v>1042</v>
      </c>
      <c r="L233" s="53">
        <f t="shared" si="19"/>
        <v>29</v>
      </c>
      <c r="M233" s="17">
        <f t="shared" si="17"/>
        <v>1</v>
      </c>
      <c r="N233" s="18">
        <f t="shared" si="18"/>
        <v>0.96666666666666667</v>
      </c>
      <c r="O233" s="27"/>
      <c r="P233" s="8"/>
      <c r="Q233" s="8"/>
      <c r="R233" s="8"/>
      <c r="S233" s="27"/>
      <c r="T233" s="27"/>
      <c r="U233" s="8" t="s">
        <v>1209</v>
      </c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8"/>
      <c r="AL233" s="8"/>
      <c r="AM233" s="8"/>
      <c r="AN233" s="27"/>
      <c r="AO233" s="8"/>
      <c r="AP233" s="8"/>
      <c r="AQ233" s="27"/>
      <c r="AR233" s="27"/>
      <c r="AS233" s="27"/>
    </row>
    <row r="234" spans="1:45" ht="15.75" thickBot="1" x14ac:dyDescent="0.3">
      <c r="A234" s="51" t="s">
        <v>518</v>
      </c>
      <c r="B234" s="51" t="s">
        <v>1313</v>
      </c>
      <c r="C234" s="51" t="s">
        <v>1392</v>
      </c>
      <c r="D234" s="51" t="s">
        <v>1314</v>
      </c>
      <c r="E234" s="51" t="s">
        <v>24</v>
      </c>
      <c r="F234" s="51" t="s">
        <v>36</v>
      </c>
      <c r="G234" s="51"/>
      <c r="H234" s="51"/>
      <c r="I234" s="16">
        <v>-348190320000</v>
      </c>
      <c r="J234" s="16">
        <v>-582337830000</v>
      </c>
      <c r="K234" s="51" t="s">
        <v>1196</v>
      </c>
      <c r="L234" s="53">
        <f t="shared" si="19"/>
        <v>29</v>
      </c>
      <c r="M234" s="17">
        <f t="shared" si="17"/>
        <v>1</v>
      </c>
      <c r="N234" s="18">
        <f t="shared" si="18"/>
        <v>0.96666666666666667</v>
      </c>
      <c r="O234" s="27"/>
      <c r="P234" s="8"/>
      <c r="Q234" s="8"/>
      <c r="R234" s="8"/>
      <c r="S234" s="27"/>
      <c r="T234" s="27"/>
      <c r="U234" s="8" t="s">
        <v>1209</v>
      </c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8"/>
      <c r="AL234" s="8"/>
      <c r="AM234" s="8"/>
      <c r="AN234" s="27"/>
      <c r="AO234" s="8"/>
      <c r="AP234" s="8"/>
      <c r="AQ234" s="27"/>
      <c r="AR234" s="27"/>
      <c r="AS234" s="27"/>
    </row>
    <row r="235" spans="1:45" ht="15.75" thickBot="1" x14ac:dyDescent="0.3">
      <c r="A235" s="51" t="s">
        <v>518</v>
      </c>
      <c r="B235" s="51" t="s">
        <v>1315</v>
      </c>
      <c r="C235" s="51" t="s">
        <v>1392</v>
      </c>
      <c r="D235" s="51" t="s">
        <v>1316</v>
      </c>
      <c r="E235" s="51" t="s">
        <v>24</v>
      </c>
      <c r="F235" s="51" t="s">
        <v>36</v>
      </c>
      <c r="G235" s="51"/>
      <c r="H235" s="51"/>
      <c r="I235" s="16">
        <v>-348206050000</v>
      </c>
      <c r="J235" s="16">
        <v>-582288540000</v>
      </c>
      <c r="K235" s="51" t="s">
        <v>1197</v>
      </c>
      <c r="L235" s="53">
        <f t="shared" si="19"/>
        <v>29</v>
      </c>
      <c r="M235" s="17">
        <f t="shared" si="17"/>
        <v>1</v>
      </c>
      <c r="N235" s="18">
        <f t="shared" si="18"/>
        <v>0.96666666666666667</v>
      </c>
      <c r="O235" s="27"/>
      <c r="P235" s="8"/>
      <c r="Q235" s="8"/>
      <c r="R235" s="8"/>
      <c r="S235" s="27"/>
      <c r="T235" s="27"/>
      <c r="U235" s="8" t="s">
        <v>1209</v>
      </c>
      <c r="V235" s="8"/>
      <c r="W235" s="8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8"/>
      <c r="AL235" s="8"/>
      <c r="AM235" s="8"/>
      <c r="AN235" s="27"/>
      <c r="AO235" s="8"/>
      <c r="AP235" s="8"/>
      <c r="AQ235" s="27"/>
      <c r="AR235" s="27"/>
      <c r="AS235" s="27"/>
    </row>
    <row r="236" spans="1:45" ht="15.75" thickBot="1" x14ac:dyDescent="0.3">
      <c r="A236" s="51" t="s">
        <v>518</v>
      </c>
      <c r="B236" s="51" t="s">
        <v>1317</v>
      </c>
      <c r="C236" s="51" t="s">
        <v>1392</v>
      </c>
      <c r="D236" s="51" t="s">
        <v>1318</v>
      </c>
      <c r="E236" s="51" t="s">
        <v>24</v>
      </c>
      <c r="F236" s="51" t="s">
        <v>36</v>
      </c>
      <c r="G236" s="51"/>
      <c r="H236" s="51"/>
      <c r="I236" s="16">
        <v>-348201650000</v>
      </c>
      <c r="J236" s="16">
        <v>-582306200000</v>
      </c>
      <c r="K236" s="51" t="s">
        <v>1198</v>
      </c>
      <c r="L236" s="53">
        <f t="shared" si="19"/>
        <v>29</v>
      </c>
      <c r="M236" s="17">
        <f t="shared" si="17"/>
        <v>1</v>
      </c>
      <c r="N236" s="18">
        <f t="shared" si="18"/>
        <v>0.96666666666666667</v>
      </c>
      <c r="O236" s="27"/>
      <c r="P236" s="8"/>
      <c r="Q236" s="8"/>
      <c r="R236" s="8"/>
      <c r="S236" s="27"/>
      <c r="T236" s="27"/>
      <c r="U236" s="8" t="s">
        <v>1209</v>
      </c>
      <c r="V236" s="8"/>
      <c r="W236" s="8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8"/>
      <c r="AL236" s="8"/>
      <c r="AM236" s="8"/>
      <c r="AN236" s="27"/>
      <c r="AO236" s="8"/>
      <c r="AP236" s="8"/>
      <c r="AQ236" s="27"/>
      <c r="AR236" s="27"/>
      <c r="AS236" s="27"/>
    </row>
    <row r="237" spans="1:45" ht="15.75" thickBot="1" x14ac:dyDescent="0.3">
      <c r="A237" s="51" t="s">
        <v>518</v>
      </c>
      <c r="B237" s="51" t="s">
        <v>1319</v>
      </c>
      <c r="C237" s="51" t="s">
        <v>1392</v>
      </c>
      <c r="D237" s="51" t="s">
        <v>1320</v>
      </c>
      <c r="E237" s="51" t="s">
        <v>24</v>
      </c>
      <c r="F237" s="51" t="s">
        <v>36</v>
      </c>
      <c r="G237" s="51"/>
      <c r="H237" s="51"/>
      <c r="I237" s="16">
        <v>-348196050000</v>
      </c>
      <c r="J237" s="16">
        <v>-582323090000</v>
      </c>
      <c r="K237" s="51" t="s">
        <v>1199</v>
      </c>
      <c r="L237" s="53">
        <f t="shared" si="19"/>
        <v>29</v>
      </c>
      <c r="M237" s="17">
        <f t="shared" si="17"/>
        <v>1</v>
      </c>
      <c r="N237" s="18">
        <f t="shared" si="18"/>
        <v>0.96666666666666667</v>
      </c>
      <c r="O237" s="27"/>
      <c r="P237" s="8"/>
      <c r="Q237" s="8"/>
      <c r="R237" s="8"/>
      <c r="S237" s="27"/>
      <c r="T237" s="27"/>
      <c r="U237" s="8" t="s">
        <v>1209</v>
      </c>
      <c r="V237" s="8"/>
      <c r="W237" s="8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8"/>
      <c r="AL237" s="8"/>
      <c r="AM237" s="8"/>
      <c r="AN237" s="27"/>
      <c r="AO237" s="8"/>
      <c r="AP237" s="8"/>
      <c r="AQ237" s="27"/>
      <c r="AR237" s="27"/>
      <c r="AS237" s="27"/>
    </row>
    <row r="238" spans="1:45" ht="15.75" thickBot="1" x14ac:dyDescent="0.3">
      <c r="A238" s="51" t="s">
        <v>518</v>
      </c>
      <c r="B238" s="51" t="s">
        <v>1321</v>
      </c>
      <c r="C238" s="51" t="s">
        <v>1392</v>
      </c>
      <c r="D238" s="51" t="s">
        <v>519</v>
      </c>
      <c r="E238" s="51" t="s">
        <v>19</v>
      </c>
      <c r="F238" s="51" t="s">
        <v>36</v>
      </c>
      <c r="G238" s="51"/>
      <c r="H238" s="51" t="s">
        <v>311</v>
      </c>
      <c r="I238" s="16">
        <v>-348284690000</v>
      </c>
      <c r="J238" s="16">
        <v>-582281770000</v>
      </c>
      <c r="K238" s="51" t="s">
        <v>1038</v>
      </c>
      <c r="L238" s="53">
        <f t="shared" si="19"/>
        <v>29</v>
      </c>
      <c r="M238" s="17">
        <f t="shared" si="17"/>
        <v>1</v>
      </c>
      <c r="N238" s="18">
        <f t="shared" si="18"/>
        <v>0.96666666666666667</v>
      </c>
      <c r="O238" s="27"/>
      <c r="P238" s="8"/>
      <c r="Q238" s="8"/>
      <c r="R238" s="8"/>
      <c r="S238" s="27"/>
      <c r="T238" s="27"/>
      <c r="U238" s="8" t="s">
        <v>1209</v>
      </c>
      <c r="V238" s="8"/>
      <c r="W238" s="8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  <c r="AS238" s="27"/>
    </row>
    <row r="239" spans="1:45" ht="15.75" thickBot="1" x14ac:dyDescent="0.3">
      <c r="A239" s="51" t="s">
        <v>518</v>
      </c>
      <c r="B239" s="51" t="s">
        <v>1322</v>
      </c>
      <c r="C239" s="51" t="s">
        <v>1392</v>
      </c>
      <c r="D239" s="51" t="s">
        <v>520</v>
      </c>
      <c r="E239" s="51" t="s">
        <v>19</v>
      </c>
      <c r="F239" s="51" t="s">
        <v>36</v>
      </c>
      <c r="G239" s="51"/>
      <c r="H239" s="51" t="s">
        <v>311</v>
      </c>
      <c r="I239" s="16">
        <v>-348266150000</v>
      </c>
      <c r="J239" s="16">
        <v>-582261560000</v>
      </c>
      <c r="K239" s="51" t="s">
        <v>1041</v>
      </c>
      <c r="L239" s="53">
        <f t="shared" si="19"/>
        <v>29</v>
      </c>
      <c r="M239" s="17">
        <f t="shared" si="17"/>
        <v>1</v>
      </c>
      <c r="N239" s="18">
        <f t="shared" si="18"/>
        <v>0.96666666666666667</v>
      </c>
      <c r="O239" s="27"/>
      <c r="P239" s="8"/>
      <c r="Q239" s="8"/>
      <c r="R239" s="8"/>
      <c r="S239" s="27"/>
      <c r="T239" s="27"/>
      <c r="U239" s="8" t="s">
        <v>1209</v>
      </c>
      <c r="V239" s="8"/>
      <c r="W239" s="8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/>
      <c r="AM239" s="8"/>
      <c r="AN239" s="27"/>
      <c r="AO239" s="8"/>
      <c r="AP239" s="8"/>
      <c r="AQ239" s="27"/>
      <c r="AR239" s="27"/>
      <c r="AS239" s="27"/>
    </row>
    <row r="240" spans="1:45" ht="15.75" thickBot="1" x14ac:dyDescent="0.3">
      <c r="A240" s="51" t="s">
        <v>518</v>
      </c>
      <c r="B240" s="51" t="s">
        <v>521</v>
      </c>
      <c r="C240" s="51" t="s">
        <v>1392</v>
      </c>
      <c r="D240" s="51" t="s">
        <v>522</v>
      </c>
      <c r="E240" s="51" t="s">
        <v>102</v>
      </c>
      <c r="F240" s="51" t="s">
        <v>36</v>
      </c>
      <c r="G240" s="51"/>
      <c r="H240" s="51" t="s">
        <v>512</v>
      </c>
      <c r="I240" s="16">
        <v>-348268070000</v>
      </c>
      <c r="J240" s="16">
        <v>-582275680000</v>
      </c>
      <c r="K240" s="51" t="s">
        <v>1039</v>
      </c>
      <c r="L240" s="53">
        <f t="shared" si="19"/>
        <v>29</v>
      </c>
      <c r="M240" s="17">
        <f t="shared" si="17"/>
        <v>1</v>
      </c>
      <c r="N240" s="18">
        <f t="shared" si="18"/>
        <v>0.96666666666666667</v>
      </c>
      <c r="O240" s="27"/>
      <c r="P240" s="8"/>
      <c r="Q240" s="8"/>
      <c r="R240" s="8"/>
      <c r="S240" s="27"/>
      <c r="T240" s="27"/>
      <c r="U240" s="8" t="s">
        <v>1209</v>
      </c>
      <c r="V240" s="8"/>
      <c r="W240" s="8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8"/>
      <c r="AL240" s="8"/>
      <c r="AM240" s="8"/>
      <c r="AN240" s="27"/>
      <c r="AO240" s="8"/>
      <c r="AP240" s="8"/>
      <c r="AQ240" s="27"/>
      <c r="AR240" s="27"/>
      <c r="AS240" s="27"/>
    </row>
    <row r="241" spans="1:45" ht="15.75" thickBot="1" x14ac:dyDescent="0.3">
      <c r="A241" s="51" t="s">
        <v>518</v>
      </c>
      <c r="B241" s="51" t="s">
        <v>523</v>
      </c>
      <c r="C241" s="51" t="s">
        <v>1392</v>
      </c>
      <c r="D241" s="51" t="s">
        <v>522</v>
      </c>
      <c r="E241" s="51" t="s">
        <v>102</v>
      </c>
      <c r="F241" s="51" t="s">
        <v>36</v>
      </c>
      <c r="G241" s="51"/>
      <c r="H241" s="51" t="s">
        <v>524</v>
      </c>
      <c r="I241" s="16">
        <v>-348268070000</v>
      </c>
      <c r="J241" s="16">
        <v>-582274610000</v>
      </c>
      <c r="K241" s="51" t="s">
        <v>1040</v>
      </c>
      <c r="L241" s="53">
        <f t="shared" si="19"/>
        <v>29</v>
      </c>
      <c r="M241" s="17">
        <f t="shared" si="17"/>
        <v>1</v>
      </c>
      <c r="N241" s="18">
        <f t="shared" si="18"/>
        <v>0.96666666666666667</v>
      </c>
      <c r="O241" s="27"/>
      <c r="P241" s="8"/>
      <c r="Q241" s="8"/>
      <c r="R241" s="8"/>
      <c r="S241" s="27"/>
      <c r="T241" s="27"/>
      <c r="U241" s="8" t="s">
        <v>1209</v>
      </c>
      <c r="V241" s="8"/>
      <c r="W241" s="8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8"/>
      <c r="AL241" s="8"/>
      <c r="AM241" s="8"/>
      <c r="AN241" s="27"/>
      <c r="AO241" s="8"/>
      <c r="AP241" s="8"/>
      <c r="AQ241" s="27"/>
      <c r="AR241" s="27"/>
      <c r="AS241" s="27"/>
    </row>
    <row r="242" spans="1:45" ht="15.75" thickBot="1" x14ac:dyDescent="0.3">
      <c r="A242" s="51" t="s">
        <v>1187</v>
      </c>
      <c r="B242" s="51" t="s">
        <v>1323</v>
      </c>
      <c r="C242" s="51" t="s">
        <v>1392</v>
      </c>
      <c r="D242" s="51" t="s">
        <v>1324</v>
      </c>
      <c r="E242" s="51" t="s">
        <v>1385</v>
      </c>
      <c r="F242" s="51" t="s">
        <v>36</v>
      </c>
      <c r="G242" s="51"/>
      <c r="H242" s="51"/>
      <c r="I242" s="16">
        <v>-348279690000</v>
      </c>
      <c r="J242" s="16">
        <v>-582447230000</v>
      </c>
      <c r="K242" s="51" t="s">
        <v>1189</v>
      </c>
      <c r="L242" s="53">
        <f t="shared" si="19"/>
        <v>29</v>
      </c>
      <c r="M242" s="17">
        <f t="shared" si="17"/>
        <v>1</v>
      </c>
      <c r="N242" s="18">
        <f t="shared" si="18"/>
        <v>0.96666666666666667</v>
      </c>
      <c r="O242" s="27"/>
      <c r="P242" s="8"/>
      <c r="Q242" s="8"/>
      <c r="R242" s="8"/>
      <c r="S242" s="27"/>
      <c r="T242" s="27"/>
      <c r="U242" s="8" t="s">
        <v>1209</v>
      </c>
      <c r="V242" s="8"/>
      <c r="W242" s="8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8"/>
      <c r="AL242" s="8"/>
      <c r="AM242" s="8"/>
      <c r="AN242" s="27"/>
      <c r="AO242" s="8"/>
      <c r="AP242" s="8"/>
      <c r="AQ242" s="27"/>
      <c r="AR242" s="27"/>
      <c r="AS242" s="27"/>
    </row>
    <row r="243" spans="1:45" ht="15.75" thickBot="1" x14ac:dyDescent="0.3">
      <c r="A243" s="51" t="s">
        <v>1187</v>
      </c>
      <c r="B243" s="51" t="s">
        <v>1186</v>
      </c>
      <c r="C243" s="51" t="s">
        <v>1392</v>
      </c>
      <c r="D243" s="51" t="s">
        <v>1324</v>
      </c>
      <c r="E243" s="51" t="s">
        <v>1386</v>
      </c>
      <c r="F243" s="51" t="s">
        <v>36</v>
      </c>
      <c r="G243" s="51"/>
      <c r="H243" s="51"/>
      <c r="I243" s="16">
        <v>-348279600000</v>
      </c>
      <c r="J243" s="16">
        <v>-582446800000</v>
      </c>
      <c r="K243" s="51" t="s">
        <v>1188</v>
      </c>
      <c r="L243" s="53">
        <f t="shared" si="19"/>
        <v>28</v>
      </c>
      <c r="M243" s="17">
        <f t="shared" si="17"/>
        <v>2</v>
      </c>
      <c r="N243" s="18">
        <f t="shared" si="18"/>
        <v>0.93333333333333335</v>
      </c>
      <c r="O243" s="27"/>
      <c r="P243" s="8"/>
      <c r="Q243" s="8"/>
      <c r="R243" s="8"/>
      <c r="S243" s="27"/>
      <c r="T243" s="27" t="s">
        <v>1209</v>
      </c>
      <c r="U243" s="8" t="s">
        <v>1209</v>
      </c>
      <c r="V243" s="8"/>
      <c r="W243" s="8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8"/>
      <c r="AL243" s="8"/>
      <c r="AM243" s="8"/>
      <c r="AN243" s="27"/>
      <c r="AO243" s="8"/>
      <c r="AP243" s="8"/>
      <c r="AQ243" s="27"/>
      <c r="AR243" s="27"/>
      <c r="AS243" s="27"/>
    </row>
    <row r="244" spans="1:45" ht="15.75" thickBot="1" x14ac:dyDescent="0.3">
      <c r="A244" s="51" t="s">
        <v>374</v>
      </c>
      <c r="B244" s="51" t="s">
        <v>1325</v>
      </c>
      <c r="C244" s="51" t="s">
        <v>1391</v>
      </c>
      <c r="D244" s="51" t="s">
        <v>469</v>
      </c>
      <c r="E244" s="51" t="s">
        <v>102</v>
      </c>
      <c r="F244" s="51" t="s">
        <v>36</v>
      </c>
      <c r="G244" s="51"/>
      <c r="H244" s="51" t="s">
        <v>230</v>
      </c>
      <c r="I244" s="16">
        <v>-347887260000</v>
      </c>
      <c r="J244" s="16">
        <v>-582696950000</v>
      </c>
      <c r="K244" s="51" t="s">
        <v>1011</v>
      </c>
      <c r="L244" s="53">
        <f t="shared" si="19"/>
        <v>23</v>
      </c>
      <c r="M244" s="17">
        <f t="shared" si="17"/>
        <v>7</v>
      </c>
      <c r="N244" s="18">
        <f t="shared" si="18"/>
        <v>0.76666666666666672</v>
      </c>
      <c r="O244" s="27" t="s">
        <v>1209</v>
      </c>
      <c r="P244" s="8" t="s">
        <v>1209</v>
      </c>
      <c r="Q244" s="8" t="s">
        <v>1209</v>
      </c>
      <c r="R244" s="8" t="s">
        <v>1209</v>
      </c>
      <c r="S244" s="27" t="s">
        <v>1209</v>
      </c>
      <c r="T244" s="27" t="s">
        <v>1209</v>
      </c>
      <c r="U244" s="8" t="s">
        <v>1209</v>
      </c>
      <c r="V244" s="8"/>
      <c r="W244" s="8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8"/>
      <c r="AL244" s="8"/>
      <c r="AM244" s="8"/>
      <c r="AN244" s="27"/>
      <c r="AO244" s="8"/>
      <c r="AP244" s="8"/>
      <c r="AQ244" s="27"/>
      <c r="AR244" s="27"/>
      <c r="AS244" s="27"/>
    </row>
    <row r="245" spans="1:45" ht="15.75" thickBot="1" x14ac:dyDescent="0.3">
      <c r="A245" s="51" t="s">
        <v>374</v>
      </c>
      <c r="B245" s="51" t="s">
        <v>1326</v>
      </c>
      <c r="C245" s="51" t="s">
        <v>1391</v>
      </c>
      <c r="D245" s="51" t="s">
        <v>469</v>
      </c>
      <c r="E245" s="51" t="s">
        <v>102</v>
      </c>
      <c r="F245" s="51" t="s">
        <v>36</v>
      </c>
      <c r="G245" s="51"/>
      <c r="H245" s="51" t="s">
        <v>230</v>
      </c>
      <c r="I245" s="16">
        <v>-347887260000</v>
      </c>
      <c r="J245" s="16">
        <v>-582696950000</v>
      </c>
      <c r="K245" s="51" t="s">
        <v>1012</v>
      </c>
      <c r="L245" s="53">
        <f t="shared" si="19"/>
        <v>23</v>
      </c>
      <c r="M245" s="17">
        <f t="shared" si="17"/>
        <v>7</v>
      </c>
      <c r="N245" s="18">
        <f t="shared" si="18"/>
        <v>0.76666666666666672</v>
      </c>
      <c r="O245" s="27" t="s">
        <v>1209</v>
      </c>
      <c r="P245" s="27" t="s">
        <v>1209</v>
      </c>
      <c r="Q245" s="27" t="s">
        <v>1209</v>
      </c>
      <c r="R245" s="27" t="s">
        <v>1209</v>
      </c>
      <c r="S245" s="27" t="s">
        <v>1209</v>
      </c>
      <c r="T245" s="27" t="s">
        <v>1209</v>
      </c>
      <c r="U245" s="27" t="s">
        <v>1209</v>
      </c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</row>
    <row r="246" spans="1:45" ht="15.75" thickBot="1" x14ac:dyDescent="0.3">
      <c r="A246" s="51" t="s">
        <v>374</v>
      </c>
      <c r="B246" s="51" t="s">
        <v>1327</v>
      </c>
      <c r="C246" s="51" t="s">
        <v>1391</v>
      </c>
      <c r="D246" s="51" t="s">
        <v>1328</v>
      </c>
      <c r="E246" s="51" t="s">
        <v>24</v>
      </c>
      <c r="F246" s="51" t="s">
        <v>36</v>
      </c>
      <c r="G246" s="51"/>
      <c r="H246" s="51"/>
      <c r="I246" s="16">
        <v>-347849700000</v>
      </c>
      <c r="J246" s="16">
        <v>-582656430000</v>
      </c>
      <c r="K246" s="51"/>
      <c r="L246" s="53">
        <f t="shared" si="19"/>
        <v>30</v>
      </c>
      <c r="M246" s="17">
        <f t="shared" si="17"/>
        <v>0</v>
      </c>
      <c r="N246" s="18">
        <f t="shared" si="18"/>
        <v>1</v>
      </c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</row>
    <row r="247" spans="1:45" ht="15.75" thickBot="1" x14ac:dyDescent="0.3">
      <c r="A247" s="51" t="s">
        <v>374</v>
      </c>
      <c r="B247" s="51" t="s">
        <v>1329</v>
      </c>
      <c r="C247" s="51" t="s">
        <v>1391</v>
      </c>
      <c r="D247" s="51" t="s">
        <v>1330</v>
      </c>
      <c r="E247" s="51" t="s">
        <v>24</v>
      </c>
      <c r="F247" s="51" t="s">
        <v>36</v>
      </c>
      <c r="G247" s="51"/>
      <c r="H247" s="51"/>
      <c r="I247" s="16">
        <v>-347858970000</v>
      </c>
      <c r="J247" s="16">
        <v>-582648960000</v>
      </c>
      <c r="K247" s="51"/>
      <c r="L247" s="53">
        <f t="shared" si="19"/>
        <v>30</v>
      </c>
      <c r="M247" s="17">
        <f t="shared" si="17"/>
        <v>0</v>
      </c>
      <c r="N247" s="18">
        <f t="shared" si="18"/>
        <v>1</v>
      </c>
      <c r="O247" s="27"/>
      <c r="P247" s="8"/>
      <c r="Q247" s="8"/>
      <c r="R247" s="8"/>
      <c r="S247" s="27"/>
      <c r="T247" s="27"/>
      <c r="U247" s="8"/>
      <c r="V247" s="8"/>
      <c r="W247" s="8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8"/>
      <c r="AL247" s="8"/>
      <c r="AM247" s="8"/>
      <c r="AN247" s="27"/>
      <c r="AO247" s="8"/>
      <c r="AP247" s="8"/>
      <c r="AQ247" s="27"/>
      <c r="AR247" s="27"/>
      <c r="AS247" s="27"/>
    </row>
    <row r="248" spans="1:45" ht="15.75" thickBot="1" x14ac:dyDescent="0.3">
      <c r="A248" s="51" t="s">
        <v>374</v>
      </c>
      <c r="B248" s="51" t="s">
        <v>527</v>
      </c>
      <c r="C248" s="51" t="s">
        <v>1391</v>
      </c>
      <c r="D248" s="51" t="s">
        <v>528</v>
      </c>
      <c r="E248" s="51" t="s">
        <v>24</v>
      </c>
      <c r="F248" s="51" t="s">
        <v>36</v>
      </c>
      <c r="G248" s="51" t="s">
        <v>529</v>
      </c>
      <c r="H248" s="51"/>
      <c r="I248" s="16">
        <v>-347820290000</v>
      </c>
      <c r="J248" s="16">
        <v>-582627140000</v>
      </c>
      <c r="K248" s="51" t="s">
        <v>1043</v>
      </c>
      <c r="L248" s="53">
        <f t="shared" si="19"/>
        <v>30</v>
      </c>
      <c r="M248" s="17">
        <f t="shared" si="17"/>
        <v>0</v>
      </c>
      <c r="N248" s="18">
        <f t="shared" si="18"/>
        <v>1</v>
      </c>
      <c r="O248" s="27"/>
      <c r="P248" s="8"/>
      <c r="Q248" s="8"/>
      <c r="R248" s="8"/>
      <c r="S248" s="27"/>
      <c r="T248" s="27"/>
      <c r="U248" s="8"/>
      <c r="V248" s="8"/>
      <c r="W248" s="8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8"/>
      <c r="AL248" s="8"/>
      <c r="AM248" s="8"/>
      <c r="AN248" s="27"/>
      <c r="AO248" s="8"/>
      <c r="AP248" s="8"/>
      <c r="AQ248" s="27"/>
      <c r="AR248" s="27"/>
      <c r="AS248" s="27"/>
    </row>
    <row r="249" spans="1:45" ht="15.75" thickBot="1" x14ac:dyDescent="0.3">
      <c r="A249" s="51" t="s">
        <v>530</v>
      </c>
      <c r="B249" s="51" t="s">
        <v>531</v>
      </c>
      <c r="C249" s="51" t="s">
        <v>1391</v>
      </c>
      <c r="D249" s="51" t="s">
        <v>532</v>
      </c>
      <c r="E249" s="51" t="s">
        <v>24</v>
      </c>
      <c r="F249" s="51" t="s">
        <v>36</v>
      </c>
      <c r="G249" s="51" t="s">
        <v>533</v>
      </c>
      <c r="H249" s="51"/>
      <c r="I249" s="16">
        <v>-347820510000</v>
      </c>
      <c r="J249" s="16">
        <v>-582792740000</v>
      </c>
      <c r="K249" s="51" t="s">
        <v>1044</v>
      </c>
      <c r="L249" s="53">
        <f t="shared" si="19"/>
        <v>30</v>
      </c>
      <c r="M249" s="17">
        <f t="shared" si="17"/>
        <v>0</v>
      </c>
      <c r="N249" s="18">
        <f t="shared" si="18"/>
        <v>1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8"/>
      <c r="AL249" s="8"/>
      <c r="AM249" s="8"/>
      <c r="AN249" s="27"/>
      <c r="AO249" s="8"/>
      <c r="AP249" s="8"/>
      <c r="AQ249" s="27"/>
      <c r="AR249" s="27"/>
      <c r="AS249" s="27"/>
    </row>
    <row r="250" spans="1:45" ht="15.75" thickBot="1" x14ac:dyDescent="0.3">
      <c r="A250" s="51" t="s">
        <v>530</v>
      </c>
      <c r="B250" s="51" t="s">
        <v>534</v>
      </c>
      <c r="C250" s="51" t="s">
        <v>1391</v>
      </c>
      <c r="D250" s="51" t="s">
        <v>535</v>
      </c>
      <c r="E250" s="51" t="s">
        <v>24</v>
      </c>
      <c r="F250" s="51" t="s">
        <v>36</v>
      </c>
      <c r="G250" s="51" t="s">
        <v>536</v>
      </c>
      <c r="H250" s="51"/>
      <c r="I250" s="16">
        <v>-347891490000</v>
      </c>
      <c r="J250" s="16">
        <v>-582788520000</v>
      </c>
      <c r="K250" s="51" t="s">
        <v>1045</v>
      </c>
      <c r="L250" s="53">
        <f t="shared" si="19"/>
        <v>30</v>
      </c>
      <c r="M250" s="17">
        <f t="shared" si="17"/>
        <v>0</v>
      </c>
      <c r="N250" s="18">
        <f t="shared" si="18"/>
        <v>1</v>
      </c>
      <c r="O250" s="27"/>
      <c r="P250" s="8"/>
      <c r="Q250" s="8"/>
      <c r="R250" s="8"/>
      <c r="S250" s="27"/>
      <c r="T250" s="27"/>
      <c r="U250" s="8"/>
      <c r="V250" s="8"/>
      <c r="W250" s="8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8"/>
      <c r="AL250" s="8"/>
      <c r="AM250" s="8"/>
      <c r="AN250" s="27"/>
      <c r="AO250" s="8"/>
      <c r="AP250" s="8"/>
      <c r="AQ250" s="27"/>
      <c r="AR250" s="27"/>
      <c r="AS250" s="27"/>
    </row>
    <row r="251" spans="1:45" ht="15.75" thickBot="1" x14ac:dyDescent="0.3">
      <c r="A251" s="51" t="s">
        <v>537</v>
      </c>
      <c r="B251" s="51" t="s">
        <v>538</v>
      </c>
      <c r="C251" s="51" t="s">
        <v>1391</v>
      </c>
      <c r="D251" s="51" t="s">
        <v>539</v>
      </c>
      <c r="E251" s="51" t="s">
        <v>24</v>
      </c>
      <c r="F251" s="51" t="s">
        <v>25</v>
      </c>
      <c r="G251" s="51" t="s">
        <v>259</v>
      </c>
      <c r="H251" s="51"/>
      <c r="I251" s="16">
        <v>-347858230000</v>
      </c>
      <c r="J251" s="16">
        <v>-582788230000</v>
      </c>
      <c r="K251" s="51" t="s">
        <v>1046</v>
      </c>
      <c r="L251" s="53">
        <f t="shared" si="19"/>
        <v>30</v>
      </c>
      <c r="M251" s="17">
        <f t="shared" si="17"/>
        <v>0</v>
      </c>
      <c r="N251" s="18">
        <f t="shared" si="18"/>
        <v>1</v>
      </c>
      <c r="O251" s="27"/>
      <c r="P251" s="8"/>
      <c r="Q251" s="8"/>
      <c r="R251" s="8"/>
      <c r="S251" s="27"/>
      <c r="T251" s="27"/>
      <c r="U251" s="8"/>
      <c r="V251" s="8"/>
      <c r="W251" s="8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8"/>
      <c r="AL251" s="8"/>
      <c r="AM251" s="8"/>
      <c r="AN251" s="27"/>
      <c r="AO251" s="8"/>
      <c r="AP251" s="8"/>
      <c r="AQ251" s="27"/>
      <c r="AR251" s="27"/>
      <c r="AS251" s="27"/>
    </row>
    <row r="252" spans="1:45" ht="15.75" thickBot="1" x14ac:dyDescent="0.3">
      <c r="A252" s="51" t="s">
        <v>411</v>
      </c>
      <c r="B252" s="51" t="s">
        <v>1331</v>
      </c>
      <c r="C252" s="51" t="s">
        <v>1391</v>
      </c>
      <c r="D252" s="51" t="s">
        <v>543</v>
      </c>
      <c r="E252" s="51" t="s">
        <v>24</v>
      </c>
      <c r="F252" s="51" t="s">
        <v>1383</v>
      </c>
      <c r="G252" s="51" t="s">
        <v>544</v>
      </c>
      <c r="H252" s="51"/>
      <c r="I252" s="16">
        <v>-347724810000</v>
      </c>
      <c r="J252" s="16">
        <v>-582779860000</v>
      </c>
      <c r="K252" s="51" t="s">
        <v>1050</v>
      </c>
      <c r="L252" s="53">
        <f t="shared" si="19"/>
        <v>28</v>
      </c>
      <c r="M252" s="17">
        <f t="shared" si="17"/>
        <v>2</v>
      </c>
      <c r="N252" s="18">
        <f t="shared" si="18"/>
        <v>0.93333333333333335</v>
      </c>
      <c r="O252" s="27"/>
      <c r="P252" s="8"/>
      <c r="Q252" s="8"/>
      <c r="R252" s="8"/>
      <c r="S252" s="27"/>
      <c r="T252" s="27" t="s">
        <v>1209</v>
      </c>
      <c r="U252" s="8" t="s">
        <v>1209</v>
      </c>
      <c r="V252" s="8"/>
      <c r="W252" s="8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8"/>
      <c r="AL252" s="8"/>
      <c r="AM252" s="8"/>
      <c r="AN252" s="27"/>
      <c r="AO252" s="8"/>
      <c r="AP252" s="8"/>
      <c r="AQ252" s="27"/>
      <c r="AR252" s="27"/>
      <c r="AS252" s="27"/>
    </row>
    <row r="253" spans="1:45" ht="15.75" thickBot="1" x14ac:dyDescent="0.3">
      <c r="A253" s="51" t="s">
        <v>411</v>
      </c>
      <c r="B253" s="51" t="s">
        <v>540</v>
      </c>
      <c r="C253" s="51" t="s">
        <v>1391</v>
      </c>
      <c r="D253" s="51" t="s">
        <v>541</v>
      </c>
      <c r="E253" s="51" t="s">
        <v>24</v>
      </c>
      <c r="F253" s="51" t="s">
        <v>36</v>
      </c>
      <c r="G253" s="51" t="s">
        <v>542</v>
      </c>
      <c r="H253" s="51"/>
      <c r="I253" s="16">
        <v>-347803150000</v>
      </c>
      <c r="J253" s="16">
        <v>-582792150000</v>
      </c>
      <c r="K253" s="51" t="s">
        <v>1049</v>
      </c>
      <c r="L253" s="53">
        <f t="shared" si="19"/>
        <v>30</v>
      </c>
      <c r="M253" s="17">
        <f t="shared" si="17"/>
        <v>0</v>
      </c>
      <c r="N253" s="18">
        <f t="shared" si="18"/>
        <v>1</v>
      </c>
      <c r="O253" s="27"/>
      <c r="P253" s="8"/>
      <c r="Q253" s="8"/>
      <c r="R253" s="8"/>
      <c r="S253" s="27"/>
      <c r="T253" s="27"/>
      <c r="U253" s="8"/>
      <c r="V253" s="8"/>
      <c r="W253" s="8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8"/>
      <c r="AL253" s="8"/>
      <c r="AM253" s="8"/>
      <c r="AN253" s="27"/>
      <c r="AO253" s="8"/>
      <c r="AP253" s="8"/>
      <c r="AQ253" s="27"/>
      <c r="AR253" s="27"/>
      <c r="AS253" s="27"/>
    </row>
    <row r="254" spans="1:45" ht="15.75" thickBot="1" x14ac:dyDescent="0.3">
      <c r="A254" s="51" t="s">
        <v>411</v>
      </c>
      <c r="B254" s="51" t="s">
        <v>545</v>
      </c>
      <c r="C254" s="51" t="s">
        <v>1391</v>
      </c>
      <c r="D254" s="51" t="s">
        <v>546</v>
      </c>
      <c r="E254" s="51" t="s">
        <v>102</v>
      </c>
      <c r="F254" s="51" t="s">
        <v>36</v>
      </c>
      <c r="G254" s="51"/>
      <c r="H254" s="51" t="s">
        <v>230</v>
      </c>
      <c r="I254" s="16">
        <v>-347758420000</v>
      </c>
      <c r="J254" s="16">
        <v>-582787380000</v>
      </c>
      <c r="K254" s="51" t="s">
        <v>1047</v>
      </c>
      <c r="L254" s="53">
        <f t="shared" si="19"/>
        <v>23</v>
      </c>
      <c r="M254" s="17">
        <f t="shared" si="17"/>
        <v>7</v>
      </c>
      <c r="N254" s="18">
        <f t="shared" si="18"/>
        <v>0.76666666666666672</v>
      </c>
      <c r="O254" s="27" t="s">
        <v>1209</v>
      </c>
      <c r="P254" s="8" t="s">
        <v>1209</v>
      </c>
      <c r="Q254" s="8" t="s">
        <v>1209</v>
      </c>
      <c r="R254" s="8" t="s">
        <v>1209</v>
      </c>
      <c r="S254" s="27" t="s">
        <v>1209</v>
      </c>
      <c r="T254" s="27" t="s">
        <v>1209</v>
      </c>
      <c r="U254" s="8" t="s">
        <v>1209</v>
      </c>
      <c r="V254" s="8"/>
      <c r="W254" s="8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8"/>
      <c r="AL254" s="8"/>
      <c r="AM254" s="8"/>
      <c r="AN254" s="27"/>
      <c r="AO254" s="8"/>
      <c r="AP254" s="8"/>
      <c r="AQ254" s="27"/>
      <c r="AR254" s="27"/>
      <c r="AS254" s="27"/>
    </row>
    <row r="255" spans="1:45" ht="15.75" thickBot="1" x14ac:dyDescent="0.3">
      <c r="A255" s="51" t="s">
        <v>411</v>
      </c>
      <c r="B255" s="51" t="s">
        <v>547</v>
      </c>
      <c r="C255" s="51" t="s">
        <v>1391</v>
      </c>
      <c r="D255" s="51" t="s">
        <v>546</v>
      </c>
      <c r="E255" s="51" t="s">
        <v>102</v>
      </c>
      <c r="F255" s="51" t="s">
        <v>36</v>
      </c>
      <c r="G255" s="51"/>
      <c r="H255" s="51" t="s">
        <v>230</v>
      </c>
      <c r="I255" s="16">
        <v>-347758300000</v>
      </c>
      <c r="J255" s="16">
        <v>-582787420000</v>
      </c>
      <c r="K255" s="51" t="s">
        <v>1048</v>
      </c>
      <c r="L255" s="53">
        <f t="shared" si="19"/>
        <v>23</v>
      </c>
      <c r="M255" s="17">
        <f t="shared" si="17"/>
        <v>7</v>
      </c>
      <c r="N255" s="18">
        <f t="shared" si="18"/>
        <v>0.76666666666666672</v>
      </c>
      <c r="O255" s="27" t="s">
        <v>1209</v>
      </c>
      <c r="P255" s="8" t="s">
        <v>1209</v>
      </c>
      <c r="Q255" s="8" t="s">
        <v>1209</v>
      </c>
      <c r="R255" s="8" t="s">
        <v>1209</v>
      </c>
      <c r="S255" s="27" t="s">
        <v>1209</v>
      </c>
      <c r="T255" s="27" t="s">
        <v>1209</v>
      </c>
      <c r="U255" s="8" t="s">
        <v>1209</v>
      </c>
      <c r="V255" s="8"/>
      <c r="W255" s="8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8"/>
      <c r="AL255" s="8"/>
      <c r="AM255" s="8"/>
      <c r="AN255" s="27"/>
      <c r="AO255" s="8"/>
      <c r="AP255" s="8"/>
      <c r="AQ255" s="27"/>
      <c r="AR255" s="27"/>
      <c r="AS255" s="27"/>
    </row>
    <row r="256" spans="1:45" ht="15.75" thickBot="1" x14ac:dyDescent="0.3">
      <c r="A256" s="51" t="s">
        <v>530</v>
      </c>
      <c r="B256" s="51" t="s">
        <v>548</v>
      </c>
      <c r="C256" s="51" t="s">
        <v>1391</v>
      </c>
      <c r="D256" s="51" t="s">
        <v>549</v>
      </c>
      <c r="E256" s="51" t="s">
        <v>24</v>
      </c>
      <c r="F256" s="51" t="s">
        <v>25</v>
      </c>
      <c r="G256" s="51" t="s">
        <v>125</v>
      </c>
      <c r="H256" s="51"/>
      <c r="I256" s="16">
        <v>-347861220000</v>
      </c>
      <c r="J256" s="16">
        <v>-582821170000</v>
      </c>
      <c r="K256" s="51" t="s">
        <v>1052</v>
      </c>
      <c r="L256" s="53">
        <f t="shared" si="19"/>
        <v>30</v>
      </c>
      <c r="M256" s="17">
        <f t="shared" si="17"/>
        <v>0</v>
      </c>
      <c r="N256" s="18">
        <f t="shared" si="18"/>
        <v>1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8"/>
      <c r="AL256" s="8"/>
      <c r="AM256" s="8"/>
      <c r="AN256" s="27"/>
      <c r="AO256" s="8"/>
      <c r="AP256" s="8"/>
      <c r="AQ256" s="27"/>
      <c r="AR256" s="27"/>
      <c r="AS256" s="27"/>
    </row>
    <row r="257" spans="1:45" ht="15.75" thickBot="1" x14ac:dyDescent="0.3">
      <c r="A257" s="51" t="s">
        <v>530</v>
      </c>
      <c r="B257" s="51" t="s">
        <v>550</v>
      </c>
      <c r="C257" s="51" t="s">
        <v>1391</v>
      </c>
      <c r="D257" s="51" t="s">
        <v>551</v>
      </c>
      <c r="E257" s="51" t="s">
        <v>19</v>
      </c>
      <c r="F257" s="51" t="s">
        <v>25</v>
      </c>
      <c r="G257" s="51"/>
      <c r="H257" s="51"/>
      <c r="I257" s="16">
        <v>-347918140000</v>
      </c>
      <c r="J257" s="16">
        <v>-582831130000</v>
      </c>
      <c r="K257" s="51" t="s">
        <v>1053</v>
      </c>
      <c r="L257" s="53">
        <f t="shared" si="19"/>
        <v>30</v>
      </c>
      <c r="M257" s="17">
        <f t="shared" si="17"/>
        <v>0</v>
      </c>
      <c r="N257" s="18">
        <f t="shared" si="18"/>
        <v>1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8"/>
      <c r="AL257" s="8"/>
      <c r="AM257" s="8"/>
      <c r="AN257" s="27"/>
      <c r="AO257" s="8"/>
      <c r="AP257" s="8"/>
      <c r="AQ257" s="27"/>
      <c r="AR257" s="27"/>
      <c r="AS257" s="27"/>
    </row>
    <row r="258" spans="1:45" ht="15.75" thickBot="1" x14ac:dyDescent="0.3">
      <c r="A258" s="51" t="s">
        <v>552</v>
      </c>
      <c r="B258" s="51" t="s">
        <v>553</v>
      </c>
      <c r="C258" s="51" t="s">
        <v>1391</v>
      </c>
      <c r="D258" s="51" t="s">
        <v>554</v>
      </c>
      <c r="E258" s="51" t="s">
        <v>24</v>
      </c>
      <c r="F258" s="51" t="s">
        <v>36</v>
      </c>
      <c r="G258" s="51"/>
      <c r="H258" s="51" t="s">
        <v>555</v>
      </c>
      <c r="I258" s="16">
        <v>-347813810000</v>
      </c>
      <c r="J258" s="16">
        <v>-582945970000</v>
      </c>
      <c r="K258" s="51" t="s">
        <v>1054</v>
      </c>
      <c r="L258" s="53">
        <f t="shared" si="19"/>
        <v>30</v>
      </c>
      <c r="M258" s="17">
        <f t="shared" si="17"/>
        <v>0</v>
      </c>
      <c r="N258" s="18">
        <f t="shared" si="18"/>
        <v>1</v>
      </c>
      <c r="O258" s="27"/>
      <c r="P258" s="8"/>
      <c r="Q258" s="8"/>
      <c r="R258" s="8"/>
      <c r="S258" s="27"/>
      <c r="T258" s="27"/>
      <c r="U258" s="8"/>
      <c r="V258" s="8"/>
      <c r="W258" s="8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8"/>
      <c r="AL258" s="8"/>
      <c r="AM258" s="8"/>
      <c r="AN258" s="27"/>
      <c r="AO258" s="8"/>
      <c r="AP258" s="8"/>
      <c r="AQ258" s="27"/>
      <c r="AR258" s="27"/>
      <c r="AS258" s="27"/>
    </row>
    <row r="259" spans="1:45" ht="15.75" thickBot="1" x14ac:dyDescent="0.3">
      <c r="A259" s="51" t="s">
        <v>552</v>
      </c>
      <c r="B259" s="51" t="s">
        <v>556</v>
      </c>
      <c r="C259" s="51" t="s">
        <v>1391</v>
      </c>
      <c r="D259" s="51" t="s">
        <v>554</v>
      </c>
      <c r="E259" s="51" t="s">
        <v>102</v>
      </c>
      <c r="F259" s="51" t="s">
        <v>36</v>
      </c>
      <c r="G259" s="51"/>
      <c r="H259" s="51" t="s">
        <v>557</v>
      </c>
      <c r="I259" s="16">
        <v>-347813820000</v>
      </c>
      <c r="J259" s="16">
        <v>-582946080000</v>
      </c>
      <c r="K259" s="51" t="s">
        <v>1055</v>
      </c>
      <c r="L259" s="53">
        <f t="shared" si="19"/>
        <v>30</v>
      </c>
      <c r="M259" s="17">
        <f t="shared" si="17"/>
        <v>0</v>
      </c>
      <c r="N259" s="18">
        <f t="shared" si="18"/>
        <v>1</v>
      </c>
      <c r="O259" s="27"/>
      <c r="P259" s="8"/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8"/>
      <c r="AL259" s="8"/>
      <c r="AM259" s="8"/>
      <c r="AN259" s="27"/>
      <c r="AO259" s="8"/>
      <c r="AP259" s="8"/>
      <c r="AQ259" s="27"/>
      <c r="AR259" s="27"/>
      <c r="AS259" s="27"/>
    </row>
    <row r="260" spans="1:45" ht="15.75" thickBot="1" x14ac:dyDescent="0.3">
      <c r="A260" s="51" t="s">
        <v>552</v>
      </c>
      <c r="B260" s="51" t="s">
        <v>558</v>
      </c>
      <c r="C260" s="51" t="s">
        <v>1391</v>
      </c>
      <c r="D260" s="51" t="s">
        <v>554</v>
      </c>
      <c r="E260" s="51" t="s">
        <v>102</v>
      </c>
      <c r="F260" s="51" t="s">
        <v>36</v>
      </c>
      <c r="G260" s="51"/>
      <c r="H260" s="51" t="s">
        <v>557</v>
      </c>
      <c r="I260" s="16">
        <v>-347813760000</v>
      </c>
      <c r="J260" s="16">
        <v>-582945930000</v>
      </c>
      <c r="K260" s="51" t="s">
        <v>1056</v>
      </c>
      <c r="L260" s="53">
        <f t="shared" si="19"/>
        <v>30</v>
      </c>
      <c r="M260" s="17">
        <f t="shared" si="17"/>
        <v>0</v>
      </c>
      <c r="N260" s="18">
        <f t="shared" si="18"/>
        <v>1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8"/>
      <c r="AL260" s="8"/>
      <c r="AM260" s="8"/>
      <c r="AN260" s="27"/>
      <c r="AO260" s="8"/>
      <c r="AP260" s="8"/>
      <c r="AQ260" s="27"/>
      <c r="AR260" s="27"/>
      <c r="AS260" s="27"/>
    </row>
    <row r="261" spans="1:45" ht="15.75" thickBot="1" x14ac:dyDescent="0.3">
      <c r="A261" s="51" t="s">
        <v>562</v>
      </c>
      <c r="B261" s="51" t="s">
        <v>1192</v>
      </c>
      <c r="C261" s="51" t="s">
        <v>1391</v>
      </c>
      <c r="D261" s="51" t="s">
        <v>1193</v>
      </c>
      <c r="E261" s="51" t="s">
        <v>24</v>
      </c>
      <c r="F261" s="51" t="s">
        <v>36</v>
      </c>
      <c r="G261" s="51"/>
      <c r="H261" s="51"/>
      <c r="I261" s="16">
        <v>-347796850000</v>
      </c>
      <c r="J261" s="16">
        <v>-582911410000</v>
      </c>
      <c r="K261" s="51" t="s">
        <v>1200</v>
      </c>
      <c r="L261" s="53">
        <f t="shared" si="19"/>
        <v>30</v>
      </c>
      <c r="M261" s="17">
        <f t="shared" si="17"/>
        <v>0</v>
      </c>
      <c r="N261" s="18">
        <f t="shared" si="18"/>
        <v>1</v>
      </c>
      <c r="O261" s="27"/>
      <c r="P261" s="8"/>
      <c r="Q261" s="8"/>
      <c r="R261" s="8"/>
      <c r="S261" s="27"/>
      <c r="T261" s="27"/>
      <c r="U261" s="8"/>
      <c r="V261" s="8"/>
      <c r="W261" s="8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  <c r="AS261" s="27"/>
    </row>
    <row r="262" spans="1:45" ht="15.75" thickBot="1" x14ac:dyDescent="0.3">
      <c r="A262" s="51" t="s">
        <v>552</v>
      </c>
      <c r="B262" s="51" t="s">
        <v>1194</v>
      </c>
      <c r="C262" s="51" t="s">
        <v>1391</v>
      </c>
      <c r="D262" s="51" t="s">
        <v>1195</v>
      </c>
      <c r="E262" s="51" t="s">
        <v>24</v>
      </c>
      <c r="F262" s="51" t="s">
        <v>36</v>
      </c>
      <c r="G262" s="51"/>
      <c r="H262" s="51"/>
      <c r="I262" s="16">
        <v>-347856950000</v>
      </c>
      <c r="J262" s="16">
        <v>-582934700000</v>
      </c>
      <c r="K262" s="51" t="s">
        <v>1201</v>
      </c>
      <c r="L262" s="53">
        <f t="shared" ref="L262:L325" si="20">COUNTIF(O262:AR262,"")</f>
        <v>29</v>
      </c>
      <c r="M262" s="17">
        <f t="shared" si="17"/>
        <v>1</v>
      </c>
      <c r="N262" s="18">
        <f t="shared" si="18"/>
        <v>0.96666666666666667</v>
      </c>
      <c r="O262" s="27"/>
      <c r="P262" s="8" t="s">
        <v>1209</v>
      </c>
      <c r="Q262" s="8"/>
      <c r="R262" s="8"/>
      <c r="S262" s="27"/>
      <c r="T262" s="27"/>
      <c r="U262" s="8"/>
      <c r="V262" s="8"/>
      <c r="W262" s="8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8"/>
      <c r="AL262" s="8"/>
      <c r="AM262" s="8"/>
      <c r="AN262" s="27"/>
      <c r="AO262" s="8"/>
      <c r="AP262" s="8"/>
      <c r="AQ262" s="27"/>
      <c r="AR262" s="27"/>
      <c r="AS262" s="27"/>
    </row>
    <row r="263" spans="1:45" ht="15.75" thickBot="1" x14ac:dyDescent="0.3">
      <c r="A263" s="51" t="s">
        <v>552</v>
      </c>
      <c r="B263" s="51" t="s">
        <v>1332</v>
      </c>
      <c r="C263" s="51" t="s">
        <v>1391</v>
      </c>
      <c r="D263" s="51" t="s">
        <v>1333</v>
      </c>
      <c r="E263" s="51" t="s">
        <v>24</v>
      </c>
      <c r="F263" s="51" t="s">
        <v>36</v>
      </c>
      <c r="G263" s="51"/>
      <c r="H263" s="51"/>
      <c r="I263" s="16">
        <v>-347828300000</v>
      </c>
      <c r="J263" s="16">
        <v>-582968120000</v>
      </c>
      <c r="K263" s="51"/>
      <c r="L263" s="53">
        <f t="shared" si="20"/>
        <v>30</v>
      </c>
      <c r="M263" s="17">
        <f t="shared" ref="M263:M326" si="21">COUNTIF(O263:AP263,"APAGADO")</f>
        <v>0</v>
      </c>
      <c r="N263" s="18">
        <f t="shared" ref="N263:N326" si="22">(L263)/(M263+L263)</f>
        <v>1</v>
      </c>
      <c r="O263" s="27"/>
      <c r="P263" s="8"/>
      <c r="Q263" s="8"/>
      <c r="R263" s="8"/>
      <c r="S263" s="27"/>
      <c r="T263" s="27"/>
      <c r="U263" s="8"/>
      <c r="V263" s="8"/>
      <c r="W263" s="8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8"/>
      <c r="AL263" s="8"/>
      <c r="AM263" s="8"/>
      <c r="AN263" s="27"/>
      <c r="AO263" s="8"/>
      <c r="AP263" s="8"/>
      <c r="AQ263" s="27"/>
      <c r="AR263" s="27"/>
      <c r="AS263" s="27"/>
    </row>
    <row r="264" spans="1:45" ht="15.75" thickBot="1" x14ac:dyDescent="0.3">
      <c r="A264" s="51" t="s">
        <v>552</v>
      </c>
      <c r="B264" s="51" t="s">
        <v>559</v>
      </c>
      <c r="C264" s="51" t="s">
        <v>1391</v>
      </c>
      <c r="D264" s="51" t="s">
        <v>560</v>
      </c>
      <c r="E264" s="51" t="s">
        <v>19</v>
      </c>
      <c r="F264" s="51" t="s">
        <v>25</v>
      </c>
      <c r="G264" s="51" t="s">
        <v>170</v>
      </c>
      <c r="H264" s="51" t="s">
        <v>561</v>
      </c>
      <c r="I264" s="16">
        <v>-347871630000</v>
      </c>
      <c r="J264" s="16">
        <v>-582901360000</v>
      </c>
      <c r="K264" s="51" t="s">
        <v>1051</v>
      </c>
      <c r="L264" s="53">
        <f t="shared" si="20"/>
        <v>30</v>
      </c>
      <c r="M264" s="17">
        <f t="shared" si="21"/>
        <v>0</v>
      </c>
      <c r="N264" s="18">
        <f t="shared" si="22"/>
        <v>1</v>
      </c>
      <c r="O264" s="27"/>
      <c r="P264" s="8"/>
      <c r="Q264" s="8"/>
      <c r="R264" s="8"/>
      <c r="S264" s="27"/>
      <c r="T264" s="27"/>
      <c r="U264" s="8"/>
      <c r="V264" s="8"/>
      <c r="W264" s="8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8"/>
      <c r="AL264" s="8"/>
      <c r="AM264" s="8"/>
      <c r="AN264" s="27"/>
      <c r="AO264" s="8"/>
      <c r="AP264" s="8"/>
      <c r="AQ264" s="27"/>
      <c r="AR264" s="27"/>
      <c r="AS264" s="27"/>
    </row>
    <row r="265" spans="1:45" ht="15.75" thickBot="1" x14ac:dyDescent="0.3">
      <c r="A265" s="51" t="s">
        <v>562</v>
      </c>
      <c r="B265" s="51" t="s">
        <v>563</v>
      </c>
      <c r="C265" s="51" t="s">
        <v>1391</v>
      </c>
      <c r="D265" s="51" t="s">
        <v>564</v>
      </c>
      <c r="E265" s="51" t="s">
        <v>102</v>
      </c>
      <c r="F265" s="51" t="s">
        <v>36</v>
      </c>
      <c r="G265" s="51"/>
      <c r="H265" s="51"/>
      <c r="I265" s="16">
        <v>-347797900000</v>
      </c>
      <c r="J265" s="16">
        <v>-582911520000</v>
      </c>
      <c r="K265" s="51" t="s">
        <v>1057</v>
      </c>
      <c r="L265" s="53">
        <f t="shared" si="20"/>
        <v>30</v>
      </c>
      <c r="M265" s="17">
        <f t="shared" si="21"/>
        <v>0</v>
      </c>
      <c r="N265" s="18">
        <f t="shared" si="22"/>
        <v>1</v>
      </c>
      <c r="O265" s="27"/>
      <c r="P265" s="8"/>
      <c r="Q265" s="8"/>
      <c r="R265" s="8"/>
      <c r="S265" s="27"/>
      <c r="T265" s="27"/>
      <c r="U265" s="8"/>
      <c r="V265" s="8"/>
      <c r="W265" s="8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8"/>
      <c r="AL265" s="8"/>
      <c r="AM265" s="8"/>
      <c r="AN265" s="27"/>
      <c r="AO265" s="8"/>
      <c r="AP265" s="8"/>
      <c r="AQ265" s="27"/>
      <c r="AR265" s="27"/>
      <c r="AS265" s="27"/>
    </row>
    <row r="266" spans="1:45" ht="15.75" thickBot="1" x14ac:dyDescent="0.3">
      <c r="A266" s="51" t="s">
        <v>562</v>
      </c>
      <c r="B266" s="51" t="s">
        <v>565</v>
      </c>
      <c r="C266" s="51" t="s">
        <v>1391</v>
      </c>
      <c r="D266" s="51" t="s">
        <v>564</v>
      </c>
      <c r="E266" s="51" t="s">
        <v>102</v>
      </c>
      <c r="F266" s="51" t="s">
        <v>36</v>
      </c>
      <c r="G266" s="51"/>
      <c r="H266" s="51"/>
      <c r="I266" s="16">
        <v>-347797200000</v>
      </c>
      <c r="J266" s="16">
        <v>-582912050000</v>
      </c>
      <c r="K266" s="51" t="s">
        <v>1058</v>
      </c>
      <c r="L266" s="53">
        <f t="shared" si="20"/>
        <v>30</v>
      </c>
      <c r="M266" s="17">
        <f t="shared" si="21"/>
        <v>0</v>
      </c>
      <c r="N266" s="18">
        <f t="shared" si="22"/>
        <v>1</v>
      </c>
      <c r="O266" s="27"/>
      <c r="P266" s="8"/>
      <c r="Q266" s="8"/>
      <c r="R266" s="8"/>
      <c r="S266" s="27"/>
      <c r="T266" s="27"/>
      <c r="U266" s="8"/>
      <c r="V266" s="8"/>
      <c r="W266" s="8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8"/>
      <c r="AL266" s="8"/>
      <c r="AM266" s="8"/>
      <c r="AN266" s="27"/>
      <c r="AO266" s="8"/>
      <c r="AP266" s="8"/>
      <c r="AQ266" s="27"/>
      <c r="AR266" s="27"/>
      <c r="AS266" s="27"/>
    </row>
    <row r="267" spans="1:45" ht="15.75" thickBot="1" x14ac:dyDescent="0.3">
      <c r="A267" s="51" t="s">
        <v>552</v>
      </c>
      <c r="B267" s="51" t="s">
        <v>566</v>
      </c>
      <c r="C267" s="51" t="s">
        <v>1391</v>
      </c>
      <c r="D267" s="51" t="s">
        <v>567</v>
      </c>
      <c r="E267" s="51" t="s">
        <v>102</v>
      </c>
      <c r="F267" s="51" t="s">
        <v>36</v>
      </c>
      <c r="G267" s="51" t="s">
        <v>568</v>
      </c>
      <c r="H267" s="51"/>
      <c r="I267" s="16">
        <v>-347831700000</v>
      </c>
      <c r="J267" s="16">
        <v>-582932590000</v>
      </c>
      <c r="K267" s="51" t="s">
        <v>1059</v>
      </c>
      <c r="L267" s="53">
        <f t="shared" si="20"/>
        <v>29</v>
      </c>
      <c r="M267" s="17">
        <f t="shared" si="21"/>
        <v>1</v>
      </c>
      <c r="N267" s="18">
        <f t="shared" si="22"/>
        <v>0.96666666666666667</v>
      </c>
      <c r="O267" s="27"/>
      <c r="P267" s="8" t="s">
        <v>1209</v>
      </c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8"/>
      <c r="AL267" s="8"/>
      <c r="AM267" s="8"/>
      <c r="AN267" s="27"/>
      <c r="AO267" s="8"/>
      <c r="AP267" s="8"/>
      <c r="AQ267" s="27"/>
      <c r="AR267" s="27"/>
      <c r="AS267" s="27"/>
    </row>
    <row r="268" spans="1:45" ht="15.75" thickBot="1" x14ac:dyDescent="0.3">
      <c r="A268" s="51" t="s">
        <v>552</v>
      </c>
      <c r="B268" s="51" t="s">
        <v>569</v>
      </c>
      <c r="C268" s="51" t="s">
        <v>1391</v>
      </c>
      <c r="D268" s="51" t="s">
        <v>567</v>
      </c>
      <c r="E268" s="51" t="s">
        <v>102</v>
      </c>
      <c r="F268" s="51" t="s">
        <v>36</v>
      </c>
      <c r="G268" s="51" t="s">
        <v>568</v>
      </c>
      <c r="H268" s="51"/>
      <c r="I268" s="16">
        <v>-347832580000</v>
      </c>
      <c r="J268" s="16">
        <v>-582932170000</v>
      </c>
      <c r="K268" s="51" t="s">
        <v>1060</v>
      </c>
      <c r="L268" s="53">
        <f t="shared" si="20"/>
        <v>29</v>
      </c>
      <c r="M268" s="17">
        <f t="shared" si="21"/>
        <v>1</v>
      </c>
      <c r="N268" s="18">
        <f t="shared" si="22"/>
        <v>0.96666666666666667</v>
      </c>
      <c r="O268" s="27"/>
      <c r="P268" s="8" t="s">
        <v>1209</v>
      </c>
      <c r="Q268" s="8"/>
      <c r="R268" s="8"/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8"/>
      <c r="AL268" s="8"/>
      <c r="AM268" s="8"/>
      <c r="AN268" s="27"/>
      <c r="AO268" s="8"/>
      <c r="AP268" s="8"/>
      <c r="AQ268" s="27"/>
      <c r="AR268" s="27"/>
      <c r="AS268" s="27"/>
    </row>
    <row r="269" spans="1:45" ht="15.75" thickBot="1" x14ac:dyDescent="0.3">
      <c r="A269" s="51" t="s">
        <v>552</v>
      </c>
      <c r="B269" s="51" t="s">
        <v>570</v>
      </c>
      <c r="C269" s="51" t="s">
        <v>1391</v>
      </c>
      <c r="D269" s="51" t="s">
        <v>571</v>
      </c>
      <c r="E269" s="51" t="s">
        <v>102</v>
      </c>
      <c r="F269" s="51" t="s">
        <v>36</v>
      </c>
      <c r="G269" s="51" t="s">
        <v>572</v>
      </c>
      <c r="H269" s="51"/>
      <c r="I269" s="16">
        <v>-347819280000</v>
      </c>
      <c r="J269" s="16">
        <v>-582932800000</v>
      </c>
      <c r="K269" s="51" t="s">
        <v>1061</v>
      </c>
      <c r="L269" s="53">
        <f t="shared" si="20"/>
        <v>29</v>
      </c>
      <c r="M269" s="17">
        <f t="shared" si="21"/>
        <v>1</v>
      </c>
      <c r="N269" s="18">
        <f t="shared" si="22"/>
        <v>0.96666666666666667</v>
      </c>
      <c r="O269" s="27"/>
      <c r="P269" s="8" t="s">
        <v>1209</v>
      </c>
      <c r="Q269" s="8"/>
      <c r="R269" s="8"/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8"/>
      <c r="AL269" s="8"/>
      <c r="AM269" s="8"/>
      <c r="AN269" s="27"/>
      <c r="AO269" s="8"/>
      <c r="AP269" s="8"/>
      <c r="AQ269" s="27"/>
      <c r="AR269" s="27"/>
      <c r="AS269" s="27"/>
    </row>
    <row r="270" spans="1:45" ht="15.75" thickBot="1" x14ac:dyDescent="0.3">
      <c r="A270" s="51" t="s">
        <v>552</v>
      </c>
      <c r="B270" s="51" t="s">
        <v>573</v>
      </c>
      <c r="C270" s="51" t="s">
        <v>1391</v>
      </c>
      <c r="D270" s="51" t="s">
        <v>571</v>
      </c>
      <c r="E270" s="51" t="s">
        <v>102</v>
      </c>
      <c r="F270" s="51" t="s">
        <v>36</v>
      </c>
      <c r="G270" s="51" t="s">
        <v>572</v>
      </c>
      <c r="H270" s="51"/>
      <c r="I270" s="16">
        <v>-347819190000</v>
      </c>
      <c r="J270" s="16">
        <v>-582932910000</v>
      </c>
      <c r="K270" s="51" t="s">
        <v>1062</v>
      </c>
      <c r="L270" s="53">
        <f t="shared" si="20"/>
        <v>29</v>
      </c>
      <c r="M270" s="17">
        <f t="shared" si="21"/>
        <v>1</v>
      </c>
      <c r="N270" s="18">
        <f t="shared" si="22"/>
        <v>0.96666666666666667</v>
      </c>
      <c r="O270" s="27"/>
      <c r="P270" s="8" t="s">
        <v>1209</v>
      </c>
      <c r="Q270" s="8"/>
      <c r="R270" s="8"/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8"/>
      <c r="AL270" s="8"/>
      <c r="AM270" s="8"/>
      <c r="AN270" s="27"/>
      <c r="AO270" s="8"/>
      <c r="AP270" s="8"/>
      <c r="AQ270" s="27"/>
      <c r="AR270" s="27"/>
      <c r="AS270" s="27"/>
    </row>
    <row r="271" spans="1:45" ht="15.75" thickBot="1" x14ac:dyDescent="0.3">
      <c r="A271" s="51" t="s">
        <v>283</v>
      </c>
      <c r="B271" s="51" t="s">
        <v>574</v>
      </c>
      <c r="C271" s="51" t="s">
        <v>1392</v>
      </c>
      <c r="D271" s="51" t="s">
        <v>575</v>
      </c>
      <c r="E271" s="51" t="s">
        <v>19</v>
      </c>
      <c r="F271" s="51" t="s">
        <v>25</v>
      </c>
      <c r="G271" s="51"/>
      <c r="H271" s="51" t="s">
        <v>576</v>
      </c>
      <c r="I271" s="16">
        <v>-348247270000</v>
      </c>
      <c r="J271" s="16">
        <v>-582923280000</v>
      </c>
      <c r="K271" s="51" t="s">
        <v>1065</v>
      </c>
      <c r="L271" s="53">
        <f t="shared" si="20"/>
        <v>30</v>
      </c>
      <c r="M271" s="17">
        <f t="shared" si="21"/>
        <v>0</v>
      </c>
      <c r="N271" s="18">
        <f t="shared" si="22"/>
        <v>1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8"/>
      <c r="AL271" s="8"/>
      <c r="AM271" s="8"/>
      <c r="AN271" s="27"/>
      <c r="AO271" s="8"/>
      <c r="AP271" s="8"/>
      <c r="AQ271" s="27"/>
      <c r="AR271" s="27"/>
      <c r="AS271" s="27"/>
    </row>
    <row r="272" spans="1:45" ht="15.75" thickBot="1" x14ac:dyDescent="0.3">
      <c r="A272" s="51" t="s">
        <v>283</v>
      </c>
      <c r="B272" s="51" t="s">
        <v>577</v>
      </c>
      <c r="C272" s="51" t="s">
        <v>1392</v>
      </c>
      <c r="D272" s="51" t="s">
        <v>578</v>
      </c>
      <c r="E272" s="51" t="s">
        <v>19</v>
      </c>
      <c r="F272" s="51" t="s">
        <v>25</v>
      </c>
      <c r="G272" s="51"/>
      <c r="H272" s="51" t="s">
        <v>576</v>
      </c>
      <c r="I272" s="16">
        <v>-348165060000</v>
      </c>
      <c r="J272" s="16">
        <v>-582994990000</v>
      </c>
      <c r="K272" s="51" t="s">
        <v>1067</v>
      </c>
      <c r="L272" s="53">
        <f t="shared" si="20"/>
        <v>30</v>
      </c>
      <c r="M272" s="17">
        <f t="shared" si="21"/>
        <v>0</v>
      </c>
      <c r="N272" s="18">
        <f t="shared" si="22"/>
        <v>1</v>
      </c>
      <c r="O272" s="27"/>
      <c r="P272" s="8"/>
      <c r="Q272" s="8"/>
      <c r="R272" s="8"/>
      <c r="S272" s="27"/>
      <c r="T272" s="27"/>
      <c r="U272" s="8"/>
      <c r="V272" s="8"/>
      <c r="W272" s="8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8"/>
      <c r="AL272" s="8"/>
      <c r="AM272" s="8"/>
      <c r="AN272" s="27"/>
      <c r="AO272" s="8"/>
      <c r="AP272" s="8"/>
      <c r="AQ272" s="27"/>
      <c r="AR272" s="27"/>
      <c r="AS272" s="27"/>
    </row>
    <row r="273" spans="1:45" ht="15.75" thickBot="1" x14ac:dyDescent="0.3">
      <c r="A273" s="51" t="s">
        <v>283</v>
      </c>
      <c r="B273" s="51" t="s">
        <v>1334</v>
      </c>
      <c r="C273" s="51" t="s">
        <v>1392</v>
      </c>
      <c r="D273" s="51" t="s">
        <v>1335</v>
      </c>
      <c r="E273" s="51" t="s">
        <v>102</v>
      </c>
      <c r="F273" s="51" t="s">
        <v>25</v>
      </c>
      <c r="G273" s="51"/>
      <c r="H273" s="51"/>
      <c r="I273" s="16">
        <v>-348199160000</v>
      </c>
      <c r="J273" s="16">
        <v>-582945670000</v>
      </c>
      <c r="K273" s="51"/>
      <c r="L273" s="53">
        <f t="shared" si="20"/>
        <v>30</v>
      </c>
      <c r="M273" s="17">
        <f t="shared" si="21"/>
        <v>0</v>
      </c>
      <c r="N273" s="18">
        <f t="shared" si="22"/>
        <v>1</v>
      </c>
      <c r="O273" s="27"/>
      <c r="P273" s="8"/>
      <c r="Q273" s="8"/>
      <c r="R273" s="8"/>
      <c r="S273" s="27"/>
      <c r="T273" s="27"/>
      <c r="U273" s="8"/>
      <c r="V273" s="8"/>
      <c r="W273" s="8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  <c r="AS273" s="27"/>
    </row>
    <row r="274" spans="1:45" ht="15.75" thickBot="1" x14ac:dyDescent="0.3">
      <c r="A274" s="51" t="s">
        <v>283</v>
      </c>
      <c r="B274" s="51" t="s">
        <v>1336</v>
      </c>
      <c r="C274" s="51" t="s">
        <v>1392</v>
      </c>
      <c r="D274" s="51" t="s">
        <v>1335</v>
      </c>
      <c r="E274" s="51" t="s">
        <v>102</v>
      </c>
      <c r="F274" s="51" t="s">
        <v>25</v>
      </c>
      <c r="G274" s="51"/>
      <c r="H274" s="51"/>
      <c r="I274" s="16">
        <v>-348199430000</v>
      </c>
      <c r="J274" s="16">
        <v>-582947380000</v>
      </c>
      <c r="K274" s="51"/>
      <c r="L274" s="53">
        <f t="shared" si="20"/>
        <v>30</v>
      </c>
      <c r="M274" s="17">
        <f t="shared" si="21"/>
        <v>0</v>
      </c>
      <c r="N274" s="18">
        <f t="shared" si="22"/>
        <v>1</v>
      </c>
      <c r="O274" s="27"/>
      <c r="P274" s="8"/>
      <c r="Q274" s="8"/>
      <c r="R274" s="8"/>
      <c r="S274" s="27"/>
      <c r="T274" s="27"/>
      <c r="U274" s="8"/>
      <c r="V274" s="8"/>
      <c r="W274" s="8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  <c r="AS274" s="27"/>
    </row>
    <row r="275" spans="1:45" ht="15.75" thickBot="1" x14ac:dyDescent="0.3">
      <c r="A275" s="51" t="s">
        <v>283</v>
      </c>
      <c r="B275" s="51" t="s">
        <v>579</v>
      </c>
      <c r="C275" s="51" t="s">
        <v>1392</v>
      </c>
      <c r="D275" s="51" t="s">
        <v>580</v>
      </c>
      <c r="E275" s="51" t="s">
        <v>24</v>
      </c>
      <c r="F275" s="51" t="s">
        <v>25</v>
      </c>
      <c r="G275" s="51" t="s">
        <v>150</v>
      </c>
      <c r="H275" s="51"/>
      <c r="I275" s="16">
        <v>-348184850000</v>
      </c>
      <c r="J275" s="16">
        <v>-583019920000</v>
      </c>
      <c r="K275" s="51" t="s">
        <v>1063</v>
      </c>
      <c r="L275" s="53">
        <f t="shared" si="20"/>
        <v>30</v>
      </c>
      <c r="M275" s="17">
        <f t="shared" si="21"/>
        <v>0</v>
      </c>
      <c r="N275" s="18">
        <f t="shared" si="22"/>
        <v>1</v>
      </c>
      <c r="O275" s="27"/>
      <c r="P275" s="8"/>
      <c r="Q275" s="8"/>
      <c r="R275" s="8"/>
      <c r="S275" s="27"/>
      <c r="T275" s="27"/>
      <c r="U275" s="8"/>
      <c r="V275" s="8"/>
      <c r="W275" s="8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8"/>
      <c r="AL275" s="8"/>
      <c r="AM275" s="8"/>
      <c r="AN275" s="27"/>
      <c r="AO275" s="8"/>
      <c r="AP275" s="8"/>
      <c r="AQ275" s="27"/>
      <c r="AR275" s="27"/>
      <c r="AS275" s="27"/>
    </row>
    <row r="276" spans="1:45" ht="15.75" thickBot="1" x14ac:dyDescent="0.3">
      <c r="A276" s="51" t="s">
        <v>283</v>
      </c>
      <c r="B276" s="51" t="s">
        <v>581</v>
      </c>
      <c r="C276" s="51" t="s">
        <v>1392</v>
      </c>
      <c r="D276" s="51" t="s">
        <v>582</v>
      </c>
      <c r="E276" s="51" t="s">
        <v>24</v>
      </c>
      <c r="F276" s="51" t="s">
        <v>25</v>
      </c>
      <c r="G276" s="51" t="s">
        <v>170</v>
      </c>
      <c r="H276" s="51" t="s">
        <v>583</v>
      </c>
      <c r="I276" s="16">
        <v>-348155560000</v>
      </c>
      <c r="J276" s="16">
        <v>-582959460000</v>
      </c>
      <c r="K276" s="51" t="s">
        <v>1064</v>
      </c>
      <c r="L276" s="53">
        <f t="shared" si="20"/>
        <v>30</v>
      </c>
      <c r="M276" s="17">
        <f t="shared" si="21"/>
        <v>0</v>
      </c>
      <c r="N276" s="18">
        <f t="shared" si="22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8"/>
      <c r="AL276" s="8"/>
      <c r="AM276" s="8"/>
      <c r="AN276" s="27"/>
      <c r="AO276" s="8"/>
      <c r="AP276" s="8"/>
      <c r="AQ276" s="27"/>
      <c r="AR276" s="27"/>
      <c r="AS276" s="27"/>
    </row>
    <row r="277" spans="1:45" ht="15.75" thickBot="1" x14ac:dyDescent="0.3">
      <c r="A277" s="51" t="s">
        <v>283</v>
      </c>
      <c r="B277" s="51" t="s">
        <v>584</v>
      </c>
      <c r="C277" s="51" t="s">
        <v>1392</v>
      </c>
      <c r="D277" s="51" t="s">
        <v>585</v>
      </c>
      <c r="E277" s="51" t="s">
        <v>102</v>
      </c>
      <c r="F277" s="51" t="s">
        <v>36</v>
      </c>
      <c r="G277" s="51"/>
      <c r="H277" s="51" t="s">
        <v>472</v>
      </c>
      <c r="I277" s="16">
        <v>-348174000000</v>
      </c>
      <c r="J277" s="16">
        <v>-582945240000</v>
      </c>
      <c r="K277" s="51" t="s">
        <v>1068</v>
      </c>
      <c r="L277" s="53">
        <f t="shared" si="20"/>
        <v>30</v>
      </c>
      <c r="M277" s="17">
        <f t="shared" si="21"/>
        <v>0</v>
      </c>
      <c r="N277" s="18">
        <f t="shared" si="22"/>
        <v>1</v>
      </c>
      <c r="O277" s="27"/>
      <c r="P277" s="8"/>
      <c r="Q277" s="8"/>
      <c r="R277" s="8"/>
      <c r="S277" s="27"/>
      <c r="T277" s="27"/>
      <c r="U277" s="8"/>
      <c r="V277" s="8"/>
      <c r="W277" s="8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8"/>
      <c r="AL277" s="8"/>
      <c r="AM277" s="8"/>
      <c r="AN277" s="27"/>
      <c r="AO277" s="8"/>
      <c r="AP277" s="8"/>
      <c r="AQ277" s="27"/>
      <c r="AR277" s="27"/>
      <c r="AS277" s="27"/>
    </row>
    <row r="278" spans="1:45" ht="15.75" thickBot="1" x14ac:dyDescent="0.3">
      <c r="A278" s="51" t="s">
        <v>283</v>
      </c>
      <c r="B278" s="51" t="s">
        <v>586</v>
      </c>
      <c r="C278" s="51" t="s">
        <v>1392</v>
      </c>
      <c r="D278" s="51" t="s">
        <v>585</v>
      </c>
      <c r="E278" s="51" t="s">
        <v>102</v>
      </c>
      <c r="F278" s="51" t="s">
        <v>36</v>
      </c>
      <c r="G278" s="51"/>
      <c r="H278" s="51" t="s">
        <v>472</v>
      </c>
      <c r="I278" s="16">
        <v>-348174220000</v>
      </c>
      <c r="J278" s="16">
        <v>-582945170000</v>
      </c>
      <c r="K278" s="51" t="s">
        <v>1069</v>
      </c>
      <c r="L278" s="53">
        <f t="shared" si="20"/>
        <v>30</v>
      </c>
      <c r="M278" s="17">
        <f t="shared" si="21"/>
        <v>0</v>
      </c>
      <c r="N278" s="18">
        <f t="shared" si="22"/>
        <v>1</v>
      </c>
      <c r="O278" s="27"/>
      <c r="P278" s="8"/>
      <c r="Q278" s="8"/>
      <c r="R278" s="8"/>
      <c r="S278" s="27"/>
      <c r="T278" s="27"/>
      <c r="U278" s="8"/>
      <c r="V278" s="8"/>
      <c r="W278" s="8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8"/>
      <c r="AL278" s="8"/>
      <c r="AM278" s="8"/>
      <c r="AN278" s="27"/>
      <c r="AO278" s="8"/>
      <c r="AP278" s="8"/>
      <c r="AQ278" s="27"/>
      <c r="AR278" s="27"/>
      <c r="AS278" s="27"/>
    </row>
    <row r="279" spans="1:45" ht="15.75" thickBot="1" x14ac:dyDescent="0.3">
      <c r="A279" s="51" t="s">
        <v>283</v>
      </c>
      <c r="B279" s="51" t="s">
        <v>587</v>
      </c>
      <c r="C279" s="51" t="s">
        <v>1392</v>
      </c>
      <c r="D279" s="51" t="s">
        <v>588</v>
      </c>
      <c r="E279" s="51" t="s">
        <v>102</v>
      </c>
      <c r="F279" s="51" t="s">
        <v>36</v>
      </c>
      <c r="G279" s="51"/>
      <c r="H279" s="51" t="s">
        <v>266</v>
      </c>
      <c r="I279" s="16">
        <v>-348145600000</v>
      </c>
      <c r="J279" s="16">
        <v>-582924490000</v>
      </c>
      <c r="K279" s="51" t="s">
        <v>1070</v>
      </c>
      <c r="L279" s="53">
        <f t="shared" si="20"/>
        <v>30</v>
      </c>
      <c r="M279" s="17">
        <f t="shared" si="21"/>
        <v>0</v>
      </c>
      <c r="N279" s="18">
        <f t="shared" si="22"/>
        <v>1</v>
      </c>
      <c r="O279" s="27"/>
      <c r="P279" s="8"/>
      <c r="Q279" s="8"/>
      <c r="R279" s="8"/>
      <c r="S279" s="27"/>
      <c r="T279" s="27"/>
      <c r="U279" s="8"/>
      <c r="V279" s="8"/>
      <c r="W279" s="8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8"/>
      <c r="AL279" s="8"/>
      <c r="AM279" s="8"/>
      <c r="AN279" s="27"/>
      <c r="AO279" s="8"/>
      <c r="AP279" s="8"/>
      <c r="AQ279" s="27"/>
      <c r="AR279" s="27"/>
      <c r="AS279" s="27"/>
    </row>
    <row r="280" spans="1:45" ht="15.75" thickBot="1" x14ac:dyDescent="0.3">
      <c r="A280" s="51" t="s">
        <v>283</v>
      </c>
      <c r="B280" s="51" t="s">
        <v>589</v>
      </c>
      <c r="C280" s="51" t="s">
        <v>1392</v>
      </c>
      <c r="D280" s="51" t="s">
        <v>588</v>
      </c>
      <c r="E280" s="51" t="s">
        <v>102</v>
      </c>
      <c r="F280" s="51" t="s">
        <v>36</v>
      </c>
      <c r="G280" s="51"/>
      <c r="H280" s="51" t="s">
        <v>266</v>
      </c>
      <c r="I280" s="16">
        <v>-348145600000</v>
      </c>
      <c r="J280" s="16">
        <v>-582924490000</v>
      </c>
      <c r="K280" s="51" t="s">
        <v>1071</v>
      </c>
      <c r="L280" s="53">
        <f t="shared" si="20"/>
        <v>30</v>
      </c>
      <c r="M280" s="17">
        <f t="shared" si="21"/>
        <v>0</v>
      </c>
      <c r="N280" s="18">
        <f t="shared" si="22"/>
        <v>1</v>
      </c>
      <c r="O280" s="27"/>
      <c r="P280" s="8"/>
      <c r="Q280" s="8"/>
      <c r="R280" s="8"/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8"/>
      <c r="AL280" s="8"/>
      <c r="AM280" s="8"/>
      <c r="AN280" s="27"/>
      <c r="AO280" s="8"/>
      <c r="AP280" s="8"/>
      <c r="AQ280" s="27"/>
      <c r="AR280" s="27"/>
      <c r="AS280" s="27"/>
    </row>
    <row r="281" spans="1:45" ht="15.75" thickBot="1" x14ac:dyDescent="0.3">
      <c r="A281" s="51" t="s">
        <v>590</v>
      </c>
      <c r="B281" s="51" t="s">
        <v>591</v>
      </c>
      <c r="C281" s="51" t="s">
        <v>1392</v>
      </c>
      <c r="D281" s="51" t="s">
        <v>592</v>
      </c>
      <c r="E281" s="51" t="s">
        <v>24</v>
      </c>
      <c r="F281" s="51" t="s">
        <v>25</v>
      </c>
      <c r="G281" s="51" t="s">
        <v>593</v>
      </c>
      <c r="H281" s="51" t="s">
        <v>594</v>
      </c>
      <c r="I281" s="16">
        <v>-348007570000</v>
      </c>
      <c r="J281" s="16">
        <v>-582391960000</v>
      </c>
      <c r="K281" s="51" t="s">
        <v>1072</v>
      </c>
      <c r="L281" s="53">
        <f t="shared" si="20"/>
        <v>30</v>
      </c>
      <c r="M281" s="17">
        <f t="shared" si="21"/>
        <v>0</v>
      </c>
      <c r="N281" s="18">
        <f t="shared" si="22"/>
        <v>1</v>
      </c>
      <c r="O281" s="27"/>
      <c r="P281" s="8"/>
      <c r="Q281" s="8"/>
      <c r="R281" s="8"/>
      <c r="S281" s="27"/>
      <c r="T281" s="27"/>
      <c r="U281" s="8"/>
      <c r="V281" s="8"/>
      <c r="W281" s="8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8"/>
      <c r="AL281" s="8"/>
      <c r="AM281" s="8"/>
      <c r="AN281" s="27"/>
      <c r="AO281" s="8"/>
      <c r="AP281" s="8"/>
      <c r="AQ281" s="27"/>
      <c r="AR281" s="27"/>
      <c r="AS281" s="27"/>
    </row>
    <row r="282" spans="1:45" ht="15.75" thickBot="1" x14ac:dyDescent="0.3">
      <c r="A282" s="51" t="s">
        <v>597</v>
      </c>
      <c r="B282" s="51" t="s">
        <v>595</v>
      </c>
      <c r="C282" s="51" t="s">
        <v>1392</v>
      </c>
      <c r="D282" s="51" t="s">
        <v>596</v>
      </c>
      <c r="E282" s="51" t="s">
        <v>24</v>
      </c>
      <c r="F282" s="51" t="s">
        <v>25</v>
      </c>
      <c r="G282" s="51"/>
      <c r="H282" s="51"/>
      <c r="I282" s="16">
        <v>-348178990000</v>
      </c>
      <c r="J282" s="16">
        <v>-582605300000</v>
      </c>
      <c r="K282" s="51" t="s">
        <v>1075</v>
      </c>
      <c r="L282" s="53">
        <f t="shared" si="20"/>
        <v>30</v>
      </c>
      <c r="M282" s="17">
        <f t="shared" si="21"/>
        <v>0</v>
      </c>
      <c r="N282" s="18">
        <f t="shared" si="22"/>
        <v>1</v>
      </c>
      <c r="O282" s="27"/>
      <c r="P282" s="8"/>
      <c r="Q282" s="8"/>
      <c r="R282" s="8"/>
      <c r="S282" s="27"/>
      <c r="T282" s="27"/>
      <c r="U282" s="8"/>
      <c r="V282" s="8"/>
      <c r="W282" s="8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8"/>
      <c r="AL282" s="8"/>
      <c r="AM282" s="8"/>
      <c r="AN282" s="27"/>
      <c r="AO282" s="8"/>
      <c r="AP282" s="8"/>
      <c r="AQ282" s="27"/>
      <c r="AR282" s="27"/>
      <c r="AS282" s="27"/>
    </row>
    <row r="283" spans="1:45" ht="15.75" thickBot="1" x14ac:dyDescent="0.3">
      <c r="A283" s="51" t="s">
        <v>597</v>
      </c>
      <c r="B283" s="51" t="s">
        <v>598</v>
      </c>
      <c r="C283" s="51" t="s">
        <v>1392</v>
      </c>
      <c r="D283" s="51" t="s">
        <v>599</v>
      </c>
      <c r="E283" s="51" t="s">
        <v>65</v>
      </c>
      <c r="F283" s="51" t="s">
        <v>25</v>
      </c>
      <c r="G283" s="51" t="s">
        <v>600</v>
      </c>
      <c r="H283" s="51" t="s">
        <v>601</v>
      </c>
      <c r="I283" s="16">
        <v>-348119330000</v>
      </c>
      <c r="J283" s="16">
        <v>-582583640000</v>
      </c>
      <c r="K283" s="51" t="s">
        <v>1076</v>
      </c>
      <c r="L283" s="53">
        <f t="shared" si="20"/>
        <v>30</v>
      </c>
      <c r="M283" s="17">
        <f t="shared" si="21"/>
        <v>0</v>
      </c>
      <c r="N283" s="18">
        <f t="shared" si="22"/>
        <v>1</v>
      </c>
      <c r="O283" s="27"/>
      <c r="P283" s="8"/>
      <c r="Q283" s="8"/>
      <c r="R283" s="8"/>
      <c r="S283" s="27"/>
      <c r="T283" s="27"/>
      <c r="U283" s="8"/>
      <c r="V283" s="8"/>
      <c r="W283" s="8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8"/>
      <c r="AL283" s="8"/>
      <c r="AM283" s="8"/>
      <c r="AN283" s="27"/>
      <c r="AO283" s="8"/>
      <c r="AP283" s="8"/>
      <c r="AQ283" s="27"/>
      <c r="AR283" s="27"/>
      <c r="AS283" s="27"/>
    </row>
    <row r="284" spans="1:45" ht="15.75" thickBot="1" x14ac:dyDescent="0.3">
      <c r="A284" s="51" t="s">
        <v>597</v>
      </c>
      <c r="B284" s="51" t="s">
        <v>602</v>
      </c>
      <c r="C284" s="51" t="s">
        <v>1392</v>
      </c>
      <c r="D284" s="51" t="s">
        <v>603</v>
      </c>
      <c r="E284" s="51" t="s">
        <v>19</v>
      </c>
      <c r="F284" s="51" t="s">
        <v>36</v>
      </c>
      <c r="G284" s="51"/>
      <c r="H284" s="51" t="s">
        <v>311</v>
      </c>
      <c r="I284" s="16">
        <v>-348167840000</v>
      </c>
      <c r="J284" s="16">
        <v>-582534370000</v>
      </c>
      <c r="K284" s="51" t="s">
        <v>1078</v>
      </c>
      <c r="L284" s="53">
        <f t="shared" si="20"/>
        <v>30</v>
      </c>
      <c r="M284" s="17">
        <f t="shared" si="21"/>
        <v>0</v>
      </c>
      <c r="N284" s="18">
        <f t="shared" si="22"/>
        <v>1</v>
      </c>
      <c r="O284" s="27"/>
      <c r="P284" s="8"/>
      <c r="Q284" s="8"/>
      <c r="R284" s="8"/>
      <c r="S284" s="27"/>
      <c r="T284" s="27"/>
      <c r="U284" s="8"/>
      <c r="V284" s="8"/>
      <c r="W284" s="8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8"/>
      <c r="AL284" s="8"/>
      <c r="AM284" s="8"/>
      <c r="AN284" s="27"/>
      <c r="AO284" s="8"/>
      <c r="AP284" s="8"/>
      <c r="AQ284" s="27"/>
      <c r="AR284" s="27"/>
      <c r="AS284" s="27"/>
    </row>
    <row r="285" spans="1:45" ht="15.75" thickBot="1" x14ac:dyDescent="0.3">
      <c r="A285" s="51" t="s">
        <v>597</v>
      </c>
      <c r="B285" s="51" t="s">
        <v>604</v>
      </c>
      <c r="C285" s="51" t="s">
        <v>1392</v>
      </c>
      <c r="D285" s="51" t="s">
        <v>605</v>
      </c>
      <c r="E285" s="51" t="s">
        <v>19</v>
      </c>
      <c r="F285" s="51" t="s">
        <v>36</v>
      </c>
      <c r="G285" s="51"/>
      <c r="H285" s="51" t="s">
        <v>311</v>
      </c>
      <c r="I285" s="16">
        <v>-348194100000</v>
      </c>
      <c r="J285" s="16">
        <v>-582514340000</v>
      </c>
      <c r="K285" s="51" t="s">
        <v>1079</v>
      </c>
      <c r="L285" s="53">
        <f t="shared" si="20"/>
        <v>30</v>
      </c>
      <c r="M285" s="17">
        <f t="shared" si="21"/>
        <v>0</v>
      </c>
      <c r="N285" s="18">
        <f t="shared" si="22"/>
        <v>1</v>
      </c>
      <c r="O285" s="27"/>
      <c r="P285" s="8"/>
      <c r="Q285" s="8"/>
      <c r="R285" s="8"/>
      <c r="S285" s="27"/>
      <c r="T285" s="27"/>
      <c r="U285" s="8"/>
      <c r="V285" s="8"/>
      <c r="W285" s="8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8"/>
      <c r="AL285" s="8"/>
      <c r="AM285" s="8"/>
      <c r="AN285" s="27"/>
      <c r="AO285" s="8"/>
      <c r="AP285" s="8"/>
      <c r="AQ285" s="27"/>
      <c r="AR285" s="27"/>
      <c r="AS285" s="27"/>
    </row>
    <row r="286" spans="1:45" ht="15.75" thickBot="1" x14ac:dyDescent="0.3">
      <c r="A286" s="51" t="s">
        <v>597</v>
      </c>
      <c r="B286" s="51" t="s">
        <v>606</v>
      </c>
      <c r="C286" s="51" t="s">
        <v>1392</v>
      </c>
      <c r="D286" s="51" t="s">
        <v>607</v>
      </c>
      <c r="E286" s="51" t="s">
        <v>19</v>
      </c>
      <c r="F286" s="51" t="s">
        <v>25</v>
      </c>
      <c r="G286" s="51" t="s">
        <v>170</v>
      </c>
      <c r="H286" s="51"/>
      <c r="I286" s="16">
        <v>-348119410000</v>
      </c>
      <c r="J286" s="16">
        <v>-582582760000</v>
      </c>
      <c r="K286" s="51" t="s">
        <v>1073</v>
      </c>
      <c r="L286" s="53">
        <f t="shared" si="20"/>
        <v>30</v>
      </c>
      <c r="M286" s="17">
        <f t="shared" si="21"/>
        <v>0</v>
      </c>
      <c r="N286" s="18">
        <f t="shared" si="22"/>
        <v>1</v>
      </c>
      <c r="O286" s="27"/>
      <c r="P286" s="8"/>
      <c r="Q286" s="8"/>
      <c r="R286" s="8"/>
      <c r="S286" s="27"/>
      <c r="T286" s="27"/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8"/>
      <c r="AL286" s="8"/>
      <c r="AM286" s="8"/>
      <c r="AN286" s="27"/>
      <c r="AO286" s="8"/>
      <c r="AP286" s="8"/>
      <c r="AQ286" s="27"/>
      <c r="AR286" s="27"/>
      <c r="AS286" s="27"/>
    </row>
    <row r="287" spans="1:45" ht="15.75" thickBot="1" x14ac:dyDescent="0.3">
      <c r="A287" s="51" t="s">
        <v>597</v>
      </c>
      <c r="B287" s="51" t="s">
        <v>608</v>
      </c>
      <c r="C287" s="51" t="s">
        <v>1392</v>
      </c>
      <c r="D287" s="51" t="s">
        <v>609</v>
      </c>
      <c r="E287" s="51" t="s">
        <v>24</v>
      </c>
      <c r="F287" s="51" t="s">
        <v>25</v>
      </c>
      <c r="G287" s="51" t="s">
        <v>170</v>
      </c>
      <c r="H287" s="51"/>
      <c r="I287" s="16">
        <v>-348150360000</v>
      </c>
      <c r="J287" s="16">
        <v>-582549730000</v>
      </c>
      <c r="K287" s="51" t="s">
        <v>1074</v>
      </c>
      <c r="L287" s="53">
        <f t="shared" si="20"/>
        <v>30</v>
      </c>
      <c r="M287" s="17">
        <f t="shared" si="21"/>
        <v>0</v>
      </c>
      <c r="N287" s="18">
        <f t="shared" si="22"/>
        <v>1</v>
      </c>
      <c r="O287" s="27"/>
      <c r="P287" s="8"/>
      <c r="Q287" s="8"/>
      <c r="R287" s="8"/>
      <c r="S287" s="27"/>
      <c r="T287" s="27"/>
      <c r="U287" s="8"/>
      <c r="V287" s="8"/>
      <c r="W287" s="8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8"/>
      <c r="AL287" s="8"/>
      <c r="AM287" s="8"/>
      <c r="AN287" s="27"/>
      <c r="AO287" s="8"/>
      <c r="AP287" s="8"/>
      <c r="AQ287" s="27"/>
      <c r="AR287" s="27"/>
      <c r="AS287" s="27"/>
    </row>
    <row r="288" spans="1:45" ht="15.75" thickBot="1" x14ac:dyDescent="0.3">
      <c r="A288" s="51" t="s">
        <v>597</v>
      </c>
      <c r="B288" s="51" t="s">
        <v>610</v>
      </c>
      <c r="C288" s="51" t="s">
        <v>1392</v>
      </c>
      <c r="D288" s="51" t="s">
        <v>611</v>
      </c>
      <c r="E288" s="51" t="s">
        <v>19</v>
      </c>
      <c r="F288" s="51" t="s">
        <v>1384</v>
      </c>
      <c r="G288" s="51"/>
      <c r="H288" s="51" t="s">
        <v>612</v>
      </c>
      <c r="I288" s="16">
        <v>-348150250000</v>
      </c>
      <c r="J288" s="16">
        <v>-582640890000</v>
      </c>
      <c r="K288" s="51" t="s">
        <v>1077</v>
      </c>
      <c r="L288" s="53">
        <f t="shared" si="20"/>
        <v>30</v>
      </c>
      <c r="M288" s="17">
        <f t="shared" si="21"/>
        <v>0</v>
      </c>
      <c r="N288" s="18">
        <f t="shared" si="22"/>
        <v>1</v>
      </c>
      <c r="O288" s="27"/>
      <c r="P288" s="8"/>
      <c r="Q288" s="8"/>
      <c r="R288" s="8"/>
      <c r="S288" s="27"/>
      <c r="T288" s="27"/>
      <c r="U288" s="8"/>
      <c r="V288" s="8"/>
      <c r="W288" s="8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8"/>
      <c r="AL288" s="8"/>
      <c r="AM288" s="8"/>
      <c r="AN288" s="27"/>
      <c r="AO288" s="8"/>
      <c r="AP288" s="8"/>
      <c r="AQ288" s="27"/>
      <c r="AR288" s="27"/>
      <c r="AS288" s="27"/>
    </row>
    <row r="289" spans="1:45" ht="16.899999999999999" customHeight="1" thickBot="1" x14ac:dyDescent="0.3">
      <c r="A289" s="51" t="s">
        <v>240</v>
      </c>
      <c r="B289" s="51" t="s">
        <v>1337</v>
      </c>
      <c r="C289" s="51" t="s">
        <v>1391</v>
      </c>
      <c r="D289" s="51" t="s">
        <v>617</v>
      </c>
      <c r="E289" s="51" t="s">
        <v>102</v>
      </c>
      <c r="F289" s="51" t="s">
        <v>36</v>
      </c>
      <c r="G289" s="51"/>
      <c r="H289" s="51" t="s">
        <v>252</v>
      </c>
      <c r="I289" s="16">
        <v>-348013110000</v>
      </c>
      <c r="J289" s="16">
        <v>-582936040000</v>
      </c>
      <c r="K289" s="51" t="s">
        <v>1082</v>
      </c>
      <c r="L289" s="53">
        <f t="shared" si="20"/>
        <v>28</v>
      </c>
      <c r="M289" s="17">
        <f t="shared" si="21"/>
        <v>2</v>
      </c>
      <c r="N289" s="18">
        <f t="shared" si="22"/>
        <v>0.93333333333333335</v>
      </c>
      <c r="O289" s="27" t="s">
        <v>1209</v>
      </c>
      <c r="P289" s="8" t="s">
        <v>1209</v>
      </c>
      <c r="Q289" s="8"/>
      <c r="R289" s="8"/>
      <c r="S289" s="27"/>
      <c r="T289" s="27"/>
      <c r="U289" s="8"/>
      <c r="V289" s="8"/>
      <c r="W289" s="8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8"/>
      <c r="AL289" s="8"/>
      <c r="AM289" s="8"/>
      <c r="AN289" s="27"/>
      <c r="AO289" s="8"/>
      <c r="AP289" s="8"/>
      <c r="AQ289" s="27"/>
      <c r="AR289" s="27"/>
      <c r="AS289" s="27"/>
    </row>
    <row r="290" spans="1:45" ht="15.75" thickBot="1" x14ac:dyDescent="0.3">
      <c r="A290" s="51" t="s">
        <v>240</v>
      </c>
      <c r="B290" s="51" t="s">
        <v>1338</v>
      </c>
      <c r="C290" s="51" t="s">
        <v>1391</v>
      </c>
      <c r="D290" s="51" t="s">
        <v>617</v>
      </c>
      <c r="E290" s="51" t="s">
        <v>102</v>
      </c>
      <c r="F290" s="51" t="s">
        <v>36</v>
      </c>
      <c r="G290" s="51"/>
      <c r="H290" s="51" t="s">
        <v>615</v>
      </c>
      <c r="I290" s="16">
        <v>-348013110000</v>
      </c>
      <c r="J290" s="16">
        <v>-582936040000</v>
      </c>
      <c r="K290" s="51" t="s">
        <v>1083</v>
      </c>
      <c r="L290" s="53">
        <f t="shared" si="20"/>
        <v>28</v>
      </c>
      <c r="M290" s="17">
        <f t="shared" si="21"/>
        <v>2</v>
      </c>
      <c r="N290" s="18">
        <f t="shared" si="22"/>
        <v>0.93333333333333335</v>
      </c>
      <c r="O290" s="27" t="s">
        <v>1209</v>
      </c>
      <c r="P290" s="8" t="s">
        <v>1209</v>
      </c>
      <c r="Q290" s="8"/>
      <c r="R290" s="8"/>
      <c r="S290" s="27"/>
      <c r="T290" s="27"/>
      <c r="U290" s="8"/>
      <c r="V290" s="8"/>
      <c r="W290" s="8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8"/>
      <c r="AL290" s="8"/>
      <c r="AM290" s="8"/>
      <c r="AN290" s="27"/>
      <c r="AO290" s="8"/>
      <c r="AP290" s="8"/>
      <c r="AQ290" s="27"/>
      <c r="AR290" s="27"/>
      <c r="AS290" s="27"/>
    </row>
    <row r="291" spans="1:45" ht="15.75" thickBot="1" x14ac:dyDescent="0.3">
      <c r="A291" s="51" t="s">
        <v>240</v>
      </c>
      <c r="B291" s="51" t="s">
        <v>613</v>
      </c>
      <c r="C291" s="51" t="s">
        <v>1391</v>
      </c>
      <c r="D291" s="51" t="s">
        <v>614</v>
      </c>
      <c r="E291" s="51" t="s">
        <v>102</v>
      </c>
      <c r="F291" s="51" t="s">
        <v>36</v>
      </c>
      <c r="G291" s="51"/>
      <c r="H291" s="51" t="s">
        <v>615</v>
      </c>
      <c r="I291" s="16">
        <v>-348003780000</v>
      </c>
      <c r="J291" s="16">
        <v>-582918660000</v>
      </c>
      <c r="K291" s="51" t="s">
        <v>1080</v>
      </c>
      <c r="L291" s="53">
        <f t="shared" si="20"/>
        <v>28</v>
      </c>
      <c r="M291" s="17">
        <f t="shared" si="21"/>
        <v>2</v>
      </c>
      <c r="N291" s="18">
        <f t="shared" si="22"/>
        <v>0.93333333333333335</v>
      </c>
      <c r="O291" s="27" t="s">
        <v>1209</v>
      </c>
      <c r="P291" s="8" t="s">
        <v>1209</v>
      </c>
      <c r="Q291" s="8"/>
      <c r="R291" s="8"/>
      <c r="S291" s="27"/>
      <c r="T291" s="27"/>
      <c r="U291" s="8"/>
      <c r="V291" s="8"/>
      <c r="W291" s="8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8"/>
      <c r="AL291" s="8"/>
      <c r="AM291" s="8"/>
      <c r="AN291" s="27"/>
      <c r="AO291" s="8"/>
      <c r="AP291" s="8"/>
      <c r="AQ291" s="27"/>
      <c r="AR291" s="27"/>
      <c r="AS291" s="27"/>
    </row>
    <row r="292" spans="1:45" ht="15.75" thickBot="1" x14ac:dyDescent="0.3">
      <c r="A292" s="51" t="s">
        <v>240</v>
      </c>
      <c r="B292" s="51" t="s">
        <v>616</v>
      </c>
      <c r="C292" s="51" t="s">
        <v>1391</v>
      </c>
      <c r="D292" s="51" t="s">
        <v>614</v>
      </c>
      <c r="E292" s="51" t="s">
        <v>102</v>
      </c>
      <c r="F292" s="51" t="s">
        <v>36</v>
      </c>
      <c r="G292" s="51"/>
      <c r="H292" s="51" t="s">
        <v>615</v>
      </c>
      <c r="I292" s="16">
        <v>-348003590000</v>
      </c>
      <c r="J292" s="16">
        <v>-582918370000</v>
      </c>
      <c r="K292" s="51" t="s">
        <v>1081</v>
      </c>
      <c r="L292" s="53">
        <f t="shared" si="20"/>
        <v>28</v>
      </c>
      <c r="M292" s="17">
        <f t="shared" si="21"/>
        <v>2</v>
      </c>
      <c r="N292" s="18">
        <f t="shared" si="22"/>
        <v>0.93333333333333335</v>
      </c>
      <c r="O292" s="27" t="s">
        <v>1209</v>
      </c>
      <c r="P292" s="8" t="s">
        <v>1209</v>
      </c>
      <c r="Q292" s="8"/>
      <c r="R292" s="8"/>
      <c r="S292" s="27"/>
      <c r="T292" s="27"/>
      <c r="U292" s="8"/>
      <c r="V292" s="8"/>
      <c r="W292" s="8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8"/>
      <c r="AL292" s="8"/>
      <c r="AM292" s="8"/>
      <c r="AN292" s="27"/>
      <c r="AO292" s="8"/>
      <c r="AP292" s="8"/>
      <c r="AQ292" s="27"/>
      <c r="AR292" s="27"/>
      <c r="AS292" s="27"/>
    </row>
    <row r="293" spans="1:45" ht="15.75" thickBot="1" x14ac:dyDescent="0.3">
      <c r="A293" s="51" t="s">
        <v>618</v>
      </c>
      <c r="B293" s="51" t="s">
        <v>1339</v>
      </c>
      <c r="C293" s="51" t="s">
        <v>1392</v>
      </c>
      <c r="D293" s="51" t="s">
        <v>637</v>
      </c>
      <c r="E293" s="51" t="s">
        <v>24</v>
      </c>
      <c r="F293" s="51" t="s">
        <v>25</v>
      </c>
      <c r="G293" s="51" t="s">
        <v>638</v>
      </c>
      <c r="H293" s="51"/>
      <c r="I293" s="16">
        <v>-348208590000</v>
      </c>
      <c r="J293" s="16">
        <v>-582810870000</v>
      </c>
      <c r="K293" s="51" t="s">
        <v>1089</v>
      </c>
      <c r="L293" s="53">
        <f t="shared" si="20"/>
        <v>30</v>
      </c>
      <c r="M293" s="17">
        <f t="shared" si="21"/>
        <v>0</v>
      </c>
      <c r="N293" s="18">
        <f t="shared" si="22"/>
        <v>1</v>
      </c>
      <c r="O293" s="27"/>
      <c r="P293" s="8"/>
      <c r="Q293" s="8"/>
      <c r="R293" s="8"/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8"/>
      <c r="AL293" s="8"/>
      <c r="AM293" s="8"/>
      <c r="AN293" s="27"/>
      <c r="AO293" s="8"/>
      <c r="AP293" s="8"/>
      <c r="AQ293" s="27"/>
      <c r="AR293" s="27"/>
      <c r="AS293" s="27"/>
    </row>
    <row r="294" spans="1:45" ht="15.75" thickBot="1" x14ac:dyDescent="0.3">
      <c r="A294" s="51" t="s">
        <v>618</v>
      </c>
      <c r="B294" s="51" t="s">
        <v>623</v>
      </c>
      <c r="C294" s="51" t="s">
        <v>1392</v>
      </c>
      <c r="D294" s="51" t="s">
        <v>624</v>
      </c>
      <c r="E294" s="51" t="s">
        <v>24</v>
      </c>
      <c r="F294" s="51" t="s">
        <v>36</v>
      </c>
      <c r="G294" s="51"/>
      <c r="H294" s="51"/>
      <c r="I294" s="16">
        <v>-348233110000</v>
      </c>
      <c r="J294" s="16">
        <v>-582829730000</v>
      </c>
      <c r="K294" s="51" t="s">
        <v>1093</v>
      </c>
      <c r="L294" s="53">
        <f t="shared" si="20"/>
        <v>30</v>
      </c>
      <c r="M294" s="17">
        <f t="shared" si="21"/>
        <v>0</v>
      </c>
      <c r="N294" s="18">
        <f t="shared" si="22"/>
        <v>1</v>
      </c>
      <c r="O294" s="27"/>
      <c r="P294" s="8"/>
      <c r="Q294" s="8"/>
      <c r="R294" s="8"/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8"/>
      <c r="AL294" s="8"/>
      <c r="AM294" s="8"/>
      <c r="AN294" s="27"/>
      <c r="AO294" s="8"/>
      <c r="AP294" s="8"/>
      <c r="AQ294" s="27"/>
      <c r="AR294" s="27"/>
      <c r="AS294" s="27"/>
    </row>
    <row r="295" spans="1:45" ht="15.75" thickBot="1" x14ac:dyDescent="0.3">
      <c r="A295" s="51" t="s">
        <v>618</v>
      </c>
      <c r="B295" s="51" t="s">
        <v>1340</v>
      </c>
      <c r="C295" s="51" t="s">
        <v>1392</v>
      </c>
      <c r="D295" s="51" t="s">
        <v>639</v>
      </c>
      <c r="E295" s="51" t="s">
        <v>19</v>
      </c>
      <c r="F295" s="51" t="s">
        <v>25</v>
      </c>
      <c r="G295" s="51"/>
      <c r="H295" s="51" t="s">
        <v>640</v>
      </c>
      <c r="I295" s="16">
        <v>-348280830000</v>
      </c>
      <c r="J295" s="16">
        <v>-582861650000</v>
      </c>
      <c r="K295" s="51" t="s">
        <v>1084</v>
      </c>
      <c r="L295" s="53">
        <f t="shared" si="20"/>
        <v>30</v>
      </c>
      <c r="M295" s="17">
        <f t="shared" si="21"/>
        <v>0</v>
      </c>
      <c r="N295" s="18">
        <f t="shared" si="22"/>
        <v>1</v>
      </c>
      <c r="O295" s="27"/>
      <c r="P295" s="8"/>
      <c r="Q295" s="8"/>
      <c r="R295" s="8"/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8"/>
      <c r="AL295" s="8"/>
      <c r="AM295" s="8"/>
      <c r="AN295" s="27"/>
      <c r="AO295" s="8"/>
      <c r="AP295" s="8"/>
      <c r="AQ295" s="27"/>
      <c r="AR295" s="27"/>
      <c r="AS295" s="27"/>
    </row>
    <row r="296" spans="1:45" ht="15.75" thickBot="1" x14ac:dyDescent="0.3">
      <c r="A296" s="51" t="s">
        <v>488</v>
      </c>
      <c r="B296" s="51" t="s">
        <v>1341</v>
      </c>
      <c r="C296" s="51" t="s">
        <v>1392</v>
      </c>
      <c r="D296" s="51" t="s">
        <v>643</v>
      </c>
      <c r="E296" s="51" t="s">
        <v>102</v>
      </c>
      <c r="F296" s="51" t="s">
        <v>20</v>
      </c>
      <c r="G296" s="51"/>
      <c r="H296" s="51" t="s">
        <v>252</v>
      </c>
      <c r="I296" s="16">
        <v>-348335600000</v>
      </c>
      <c r="J296" s="16">
        <v>-582946050000</v>
      </c>
      <c r="K296" s="51" t="s">
        <v>1095</v>
      </c>
      <c r="L296" s="53">
        <f t="shared" si="20"/>
        <v>30</v>
      </c>
      <c r="M296" s="17">
        <f t="shared" si="21"/>
        <v>0</v>
      </c>
      <c r="N296" s="18">
        <f t="shared" si="22"/>
        <v>1</v>
      </c>
      <c r="O296" s="27"/>
      <c r="P296" s="8"/>
      <c r="Q296" s="8"/>
      <c r="R296" s="8"/>
      <c r="S296" s="27"/>
      <c r="T296" s="27"/>
      <c r="U296" s="8"/>
      <c r="V296" s="8"/>
      <c r="W296" s="8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8"/>
      <c r="AL296" s="8"/>
      <c r="AM296" s="8"/>
      <c r="AN296" s="27"/>
      <c r="AO296" s="8"/>
      <c r="AP296" s="8"/>
      <c r="AQ296" s="27"/>
      <c r="AR296" s="27"/>
      <c r="AS296" s="27"/>
    </row>
    <row r="297" spans="1:45" ht="15.75" thickBot="1" x14ac:dyDescent="0.3">
      <c r="A297" s="51" t="s">
        <v>488</v>
      </c>
      <c r="B297" s="51" t="s">
        <v>1342</v>
      </c>
      <c r="C297" s="51" t="s">
        <v>1392</v>
      </c>
      <c r="D297" s="51" t="s">
        <v>643</v>
      </c>
      <c r="E297" s="51" t="s">
        <v>102</v>
      </c>
      <c r="F297" s="51" t="s">
        <v>20</v>
      </c>
      <c r="G297" s="51"/>
      <c r="H297" s="51" t="s">
        <v>252</v>
      </c>
      <c r="I297" s="16">
        <v>-348335740000</v>
      </c>
      <c r="J297" s="16">
        <v>-582946270000</v>
      </c>
      <c r="K297" s="51" t="s">
        <v>1096</v>
      </c>
      <c r="L297" s="53">
        <f t="shared" si="20"/>
        <v>30</v>
      </c>
      <c r="M297" s="17">
        <f t="shared" si="21"/>
        <v>0</v>
      </c>
      <c r="N297" s="18">
        <f t="shared" si="22"/>
        <v>1</v>
      </c>
      <c r="O297" s="27"/>
      <c r="P297" s="8"/>
      <c r="Q297" s="8"/>
      <c r="R297" s="8"/>
      <c r="S297" s="27"/>
      <c r="T297" s="27"/>
      <c r="U297" s="8"/>
      <c r="V297" s="8"/>
      <c r="W297" s="8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8"/>
      <c r="AL297" s="8"/>
      <c r="AM297" s="8"/>
      <c r="AN297" s="27"/>
      <c r="AO297" s="8"/>
      <c r="AP297" s="8"/>
      <c r="AQ297" s="27"/>
      <c r="AR297" s="27"/>
      <c r="AS297" s="27"/>
    </row>
    <row r="298" spans="1:45" ht="15.75" thickBot="1" x14ac:dyDescent="0.3">
      <c r="A298" s="51" t="s">
        <v>618</v>
      </c>
      <c r="B298" s="51" t="s">
        <v>1343</v>
      </c>
      <c r="C298" s="51" t="s">
        <v>1392</v>
      </c>
      <c r="D298" s="51" t="s">
        <v>647</v>
      </c>
      <c r="E298" s="51" t="s">
        <v>102</v>
      </c>
      <c r="F298" s="51" t="s">
        <v>36</v>
      </c>
      <c r="G298" s="51" t="s">
        <v>572</v>
      </c>
      <c r="H298" s="51" t="s">
        <v>648</v>
      </c>
      <c r="I298" s="16">
        <v>-348258430000</v>
      </c>
      <c r="J298" s="16">
        <v>-582890260000</v>
      </c>
      <c r="K298" s="51" t="s">
        <v>1100</v>
      </c>
      <c r="L298" s="53">
        <f t="shared" si="20"/>
        <v>30</v>
      </c>
      <c r="M298" s="17">
        <f t="shared" si="21"/>
        <v>0</v>
      </c>
      <c r="N298" s="18">
        <f t="shared" si="22"/>
        <v>1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8"/>
      <c r="AL298" s="8"/>
      <c r="AM298" s="8"/>
      <c r="AN298" s="27"/>
      <c r="AO298" s="8"/>
      <c r="AP298" s="8"/>
      <c r="AQ298" s="27"/>
      <c r="AR298" s="27"/>
      <c r="AS298" s="27"/>
    </row>
    <row r="299" spans="1:45" ht="15.75" thickBot="1" x14ac:dyDescent="0.3">
      <c r="A299" s="51" t="s">
        <v>618</v>
      </c>
      <c r="B299" s="51" t="s">
        <v>1344</v>
      </c>
      <c r="C299" s="51" t="s">
        <v>1392</v>
      </c>
      <c r="D299" s="51" t="s">
        <v>647</v>
      </c>
      <c r="E299" s="51" t="s">
        <v>102</v>
      </c>
      <c r="F299" s="51" t="s">
        <v>36</v>
      </c>
      <c r="G299" s="51" t="s">
        <v>572</v>
      </c>
      <c r="H299" s="51" t="s">
        <v>648</v>
      </c>
      <c r="I299" s="16">
        <v>-348258430000</v>
      </c>
      <c r="J299" s="16">
        <v>-582889510000</v>
      </c>
      <c r="K299" s="51" t="s">
        <v>1101</v>
      </c>
      <c r="L299" s="53">
        <f t="shared" si="20"/>
        <v>30</v>
      </c>
      <c r="M299" s="17">
        <f t="shared" si="21"/>
        <v>0</v>
      </c>
      <c r="N299" s="18">
        <f t="shared" si="22"/>
        <v>1</v>
      </c>
      <c r="O299" s="27"/>
      <c r="P299" s="8"/>
      <c r="Q299" s="8"/>
      <c r="R299" s="8"/>
      <c r="S299" s="27"/>
      <c r="T299" s="27"/>
      <c r="U299" s="8"/>
      <c r="V299" s="8"/>
      <c r="W299" s="8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8"/>
      <c r="AL299" s="8"/>
      <c r="AM299" s="8"/>
      <c r="AN299" s="27"/>
      <c r="AO299" s="8"/>
      <c r="AP299" s="8"/>
      <c r="AQ299" s="27"/>
      <c r="AR299" s="27"/>
      <c r="AS299" s="27"/>
    </row>
    <row r="300" spans="1:45" ht="15.75" thickBot="1" x14ac:dyDescent="0.3">
      <c r="A300" s="51" t="s">
        <v>618</v>
      </c>
      <c r="B300" s="51" t="s">
        <v>631</v>
      </c>
      <c r="C300" s="51" t="s">
        <v>1392</v>
      </c>
      <c r="D300" s="51" t="s">
        <v>1345</v>
      </c>
      <c r="E300" s="51" t="s">
        <v>24</v>
      </c>
      <c r="F300" s="51" t="s">
        <v>25</v>
      </c>
      <c r="G300" s="51" t="s">
        <v>332</v>
      </c>
      <c r="H300" s="51"/>
      <c r="I300" s="16">
        <v>-348304140000</v>
      </c>
      <c r="J300" s="16">
        <v>-582906680000</v>
      </c>
      <c r="K300" s="51" t="s">
        <v>1086</v>
      </c>
      <c r="L300" s="53">
        <f t="shared" si="20"/>
        <v>30</v>
      </c>
      <c r="M300" s="17">
        <f t="shared" si="21"/>
        <v>0</v>
      </c>
      <c r="N300" s="18">
        <f t="shared" si="22"/>
        <v>1</v>
      </c>
      <c r="O300" s="27"/>
      <c r="P300" s="8"/>
      <c r="Q300" s="8"/>
      <c r="R300" s="8"/>
      <c r="S300" s="27"/>
      <c r="T300" s="27"/>
      <c r="U300" s="8"/>
      <c r="V300" s="8"/>
      <c r="W300" s="8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8"/>
      <c r="AL300" s="8"/>
      <c r="AM300" s="8"/>
      <c r="AN300" s="27"/>
      <c r="AO300" s="8"/>
      <c r="AP300" s="8"/>
      <c r="AQ300" s="27"/>
      <c r="AR300" s="27"/>
      <c r="AS300" s="27"/>
    </row>
    <row r="301" spans="1:45" ht="15.75" thickBot="1" x14ac:dyDescent="0.3">
      <c r="A301" s="51" t="s">
        <v>488</v>
      </c>
      <c r="B301" s="51" t="s">
        <v>632</v>
      </c>
      <c r="C301" s="51" t="s">
        <v>1392</v>
      </c>
      <c r="D301" s="51" t="s">
        <v>633</v>
      </c>
      <c r="E301" s="51" t="s">
        <v>24</v>
      </c>
      <c r="F301" s="51" t="s">
        <v>25</v>
      </c>
      <c r="G301" s="51" t="s">
        <v>146</v>
      </c>
      <c r="H301" s="51"/>
      <c r="I301" s="16">
        <v>-348364740000</v>
      </c>
      <c r="J301" s="16">
        <v>-583002200000</v>
      </c>
      <c r="K301" s="51" t="s">
        <v>1087</v>
      </c>
      <c r="L301" s="53">
        <f t="shared" si="20"/>
        <v>30</v>
      </c>
      <c r="M301" s="17">
        <f t="shared" si="21"/>
        <v>0</v>
      </c>
      <c r="N301" s="18">
        <f t="shared" si="22"/>
        <v>1</v>
      </c>
      <c r="O301" s="27"/>
      <c r="P301" s="8"/>
      <c r="Q301" s="8"/>
      <c r="R301" s="8"/>
      <c r="S301" s="27"/>
      <c r="T301" s="27"/>
      <c r="U301" s="8"/>
      <c r="V301" s="8"/>
      <c r="W301" s="8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8"/>
      <c r="AL301" s="8"/>
      <c r="AM301" s="8"/>
      <c r="AN301" s="27"/>
      <c r="AO301" s="8"/>
      <c r="AP301" s="8"/>
      <c r="AQ301" s="27"/>
      <c r="AR301" s="27"/>
      <c r="AS301" s="27"/>
    </row>
    <row r="302" spans="1:45" ht="15.75" thickBot="1" x14ac:dyDescent="0.3">
      <c r="A302" s="51" t="s">
        <v>618</v>
      </c>
      <c r="B302" s="51" t="s">
        <v>634</v>
      </c>
      <c r="C302" s="51" t="s">
        <v>1392</v>
      </c>
      <c r="D302" s="51" t="s">
        <v>635</v>
      </c>
      <c r="E302" s="51" t="s">
        <v>24</v>
      </c>
      <c r="F302" s="51" t="s">
        <v>25</v>
      </c>
      <c r="G302" s="51" t="s">
        <v>636</v>
      </c>
      <c r="H302" s="51"/>
      <c r="I302" s="16">
        <v>-348289220000</v>
      </c>
      <c r="J302" s="16">
        <v>-582776430000</v>
      </c>
      <c r="K302" s="51" t="s">
        <v>1088</v>
      </c>
      <c r="L302" s="53">
        <f t="shared" si="20"/>
        <v>28</v>
      </c>
      <c r="M302" s="17">
        <f t="shared" si="21"/>
        <v>2</v>
      </c>
      <c r="N302" s="18">
        <f t="shared" si="22"/>
        <v>0.93333333333333335</v>
      </c>
      <c r="O302" s="27" t="s">
        <v>1209</v>
      </c>
      <c r="P302" s="8" t="s">
        <v>1209</v>
      </c>
      <c r="Q302" s="8"/>
      <c r="R302" s="8"/>
      <c r="S302" s="27"/>
      <c r="T302" s="27"/>
      <c r="U302" s="8"/>
      <c r="V302" s="8"/>
      <c r="W302" s="8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8"/>
      <c r="AL302" s="8"/>
      <c r="AM302" s="8"/>
      <c r="AN302" s="27"/>
      <c r="AO302" s="8"/>
      <c r="AP302" s="8"/>
      <c r="AQ302" s="27"/>
      <c r="AR302" s="27"/>
      <c r="AS302" s="27"/>
    </row>
    <row r="303" spans="1:45" ht="15.75" thickBot="1" x14ac:dyDescent="0.3">
      <c r="A303" s="51" t="s">
        <v>618</v>
      </c>
      <c r="B303" s="51" t="s">
        <v>1346</v>
      </c>
      <c r="C303" s="51" t="s">
        <v>1392</v>
      </c>
      <c r="D303" s="51" t="s">
        <v>619</v>
      </c>
      <c r="E303" s="51" t="s">
        <v>19</v>
      </c>
      <c r="F303" s="51" t="s">
        <v>25</v>
      </c>
      <c r="G303" s="51"/>
      <c r="H303" s="51" t="s">
        <v>576</v>
      </c>
      <c r="I303" s="16">
        <v>-348253350000</v>
      </c>
      <c r="J303" s="16">
        <v>-582845700000</v>
      </c>
      <c r="K303" s="51" t="s">
        <v>1090</v>
      </c>
      <c r="L303" s="53">
        <f t="shared" si="20"/>
        <v>30</v>
      </c>
      <c r="M303" s="17">
        <f t="shared" si="21"/>
        <v>0</v>
      </c>
      <c r="N303" s="18">
        <f t="shared" si="22"/>
        <v>1</v>
      </c>
      <c r="O303" s="27"/>
      <c r="P303" s="8"/>
      <c r="Q303" s="8"/>
      <c r="R303" s="8"/>
      <c r="S303" s="27"/>
      <c r="T303" s="27"/>
      <c r="U303" s="8"/>
      <c r="V303" s="8"/>
      <c r="W303" s="8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8"/>
      <c r="AL303" s="8"/>
      <c r="AM303" s="8"/>
      <c r="AN303" s="27"/>
      <c r="AO303" s="8"/>
      <c r="AP303" s="8"/>
      <c r="AQ303" s="27"/>
      <c r="AR303" s="27"/>
      <c r="AS303" s="27"/>
    </row>
    <row r="304" spans="1:45" ht="15.75" thickBot="1" x14ac:dyDescent="0.3">
      <c r="A304" s="51" t="s">
        <v>618</v>
      </c>
      <c r="B304" s="51" t="s">
        <v>1347</v>
      </c>
      <c r="C304" s="51" t="s">
        <v>1392</v>
      </c>
      <c r="D304" s="51" t="s">
        <v>620</v>
      </c>
      <c r="E304" s="51" t="s">
        <v>24</v>
      </c>
      <c r="F304" s="51" t="s">
        <v>36</v>
      </c>
      <c r="G304" s="51" t="s">
        <v>621</v>
      </c>
      <c r="H304" s="51"/>
      <c r="I304" s="16">
        <v>-348241790000</v>
      </c>
      <c r="J304" s="16">
        <v>-582823410000</v>
      </c>
      <c r="K304" s="51" t="s">
        <v>1091</v>
      </c>
      <c r="L304" s="53">
        <f t="shared" si="20"/>
        <v>30</v>
      </c>
      <c r="M304" s="17">
        <f t="shared" si="21"/>
        <v>0</v>
      </c>
      <c r="N304" s="18">
        <f t="shared" si="22"/>
        <v>1</v>
      </c>
      <c r="O304" s="27"/>
      <c r="P304" s="8"/>
      <c r="Q304" s="8"/>
      <c r="R304" s="8"/>
      <c r="S304" s="27"/>
      <c r="T304" s="27"/>
      <c r="U304" s="8"/>
      <c r="V304" s="8"/>
      <c r="W304" s="8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8"/>
      <c r="AL304" s="8"/>
      <c r="AM304" s="8"/>
      <c r="AN304" s="27"/>
      <c r="AO304" s="8"/>
      <c r="AP304" s="8"/>
      <c r="AQ304" s="27"/>
      <c r="AR304" s="27"/>
      <c r="AS304" s="27"/>
    </row>
    <row r="305" spans="1:45" ht="15.75" thickBot="1" x14ac:dyDescent="0.3">
      <c r="A305" s="51" t="s">
        <v>618</v>
      </c>
      <c r="B305" s="51" t="s">
        <v>1348</v>
      </c>
      <c r="C305" s="51" t="s">
        <v>1392</v>
      </c>
      <c r="D305" s="51" t="s">
        <v>622</v>
      </c>
      <c r="E305" s="51" t="s">
        <v>24</v>
      </c>
      <c r="F305" s="51" t="s">
        <v>36</v>
      </c>
      <c r="G305" s="51" t="s">
        <v>621</v>
      </c>
      <c r="H305" s="51"/>
      <c r="I305" s="16">
        <v>-348222800000</v>
      </c>
      <c r="J305" s="16">
        <v>-582835650000</v>
      </c>
      <c r="K305" s="51" t="s">
        <v>1092</v>
      </c>
      <c r="L305" s="53">
        <f t="shared" si="20"/>
        <v>30</v>
      </c>
      <c r="M305" s="17">
        <f t="shared" si="21"/>
        <v>0</v>
      </c>
      <c r="N305" s="18">
        <f t="shared" si="22"/>
        <v>1</v>
      </c>
      <c r="O305" s="27"/>
      <c r="P305" s="8"/>
      <c r="Q305" s="8"/>
      <c r="R305" s="8"/>
      <c r="S305" s="27"/>
      <c r="T305" s="27"/>
      <c r="U305" s="8"/>
      <c r="V305" s="8"/>
      <c r="W305" s="8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8"/>
      <c r="AL305" s="8"/>
      <c r="AM305" s="8"/>
      <c r="AN305" s="27"/>
      <c r="AO305" s="8"/>
      <c r="AP305" s="8"/>
      <c r="AQ305" s="27"/>
      <c r="AR305" s="27"/>
      <c r="AS305" s="27"/>
    </row>
    <row r="306" spans="1:45" ht="15.75" thickBot="1" x14ac:dyDescent="0.3">
      <c r="A306" s="51" t="s">
        <v>618</v>
      </c>
      <c r="B306" s="51" t="s">
        <v>1349</v>
      </c>
      <c r="C306" s="51" t="s">
        <v>1392</v>
      </c>
      <c r="D306" s="51" t="s">
        <v>625</v>
      </c>
      <c r="E306" s="51" t="s">
        <v>19</v>
      </c>
      <c r="F306" s="51" t="s">
        <v>25</v>
      </c>
      <c r="G306" s="51"/>
      <c r="H306" s="51" t="s">
        <v>626</v>
      </c>
      <c r="I306" s="16">
        <v>-348290430000</v>
      </c>
      <c r="J306" s="16">
        <v>-582797810000</v>
      </c>
      <c r="K306" s="51" t="s">
        <v>1066</v>
      </c>
      <c r="L306" s="53">
        <f t="shared" si="20"/>
        <v>30</v>
      </c>
      <c r="M306" s="17">
        <f t="shared" si="21"/>
        <v>0</v>
      </c>
      <c r="N306" s="18">
        <f t="shared" si="22"/>
        <v>1</v>
      </c>
      <c r="O306" s="27"/>
      <c r="P306" s="8"/>
      <c r="Q306" s="8"/>
      <c r="R306" s="8"/>
      <c r="S306" s="27"/>
      <c r="T306" s="27"/>
      <c r="U306" s="8"/>
      <c r="V306" s="8"/>
      <c r="W306" s="8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8"/>
      <c r="AL306" s="8"/>
      <c r="AM306" s="8"/>
      <c r="AN306" s="27"/>
      <c r="AO306" s="8"/>
      <c r="AP306" s="8"/>
      <c r="AQ306" s="27"/>
      <c r="AR306" s="27"/>
      <c r="AS306" s="27"/>
    </row>
    <row r="307" spans="1:45" ht="15.75" thickBot="1" x14ac:dyDescent="0.3">
      <c r="A307" s="51" t="s">
        <v>618</v>
      </c>
      <c r="B307" s="51" t="s">
        <v>1350</v>
      </c>
      <c r="C307" s="51" t="s">
        <v>1392</v>
      </c>
      <c r="D307" s="51" t="s">
        <v>627</v>
      </c>
      <c r="E307" s="51" t="s">
        <v>19</v>
      </c>
      <c r="F307" s="51" t="s">
        <v>25</v>
      </c>
      <c r="G307" s="51"/>
      <c r="H307" s="51" t="s">
        <v>628</v>
      </c>
      <c r="I307" s="16">
        <v>-348289520000</v>
      </c>
      <c r="J307" s="16">
        <v>-582878780000</v>
      </c>
      <c r="K307" s="51" t="s">
        <v>1094</v>
      </c>
      <c r="L307" s="53">
        <f t="shared" si="20"/>
        <v>30</v>
      </c>
      <c r="M307" s="17">
        <f t="shared" si="21"/>
        <v>0</v>
      </c>
      <c r="N307" s="18">
        <f t="shared" si="22"/>
        <v>1</v>
      </c>
      <c r="O307" s="27"/>
      <c r="P307" s="8"/>
      <c r="Q307" s="8"/>
      <c r="R307" s="8"/>
      <c r="S307" s="27"/>
      <c r="T307" s="27"/>
      <c r="U307" s="8"/>
      <c r="V307" s="8"/>
      <c r="W307" s="8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8"/>
      <c r="AL307" s="8"/>
      <c r="AM307" s="8"/>
      <c r="AN307" s="27"/>
      <c r="AO307" s="8"/>
      <c r="AP307" s="8"/>
      <c r="AQ307" s="27"/>
      <c r="AR307" s="27"/>
      <c r="AS307" s="27"/>
    </row>
    <row r="308" spans="1:45" ht="15.75" thickBot="1" x14ac:dyDescent="0.3">
      <c r="A308" s="51" t="s">
        <v>618</v>
      </c>
      <c r="B308" s="51" t="s">
        <v>641</v>
      </c>
      <c r="C308" s="51" t="s">
        <v>1392</v>
      </c>
      <c r="D308" s="51" t="s">
        <v>642</v>
      </c>
      <c r="E308" s="51" t="s">
        <v>19</v>
      </c>
      <c r="F308" s="51" t="s">
        <v>25</v>
      </c>
      <c r="G308" s="51"/>
      <c r="H308" s="51" t="s">
        <v>640</v>
      </c>
      <c r="I308" s="16">
        <v>-348340000000</v>
      </c>
      <c r="J308" s="16">
        <v>-582878750000</v>
      </c>
      <c r="K308" s="51" t="s">
        <v>1085</v>
      </c>
      <c r="L308" s="53">
        <f t="shared" si="20"/>
        <v>30</v>
      </c>
      <c r="M308" s="17">
        <f t="shared" si="21"/>
        <v>0</v>
      </c>
      <c r="N308" s="18">
        <f t="shared" si="22"/>
        <v>1</v>
      </c>
      <c r="O308" s="27"/>
      <c r="P308" s="8"/>
      <c r="Q308" s="8"/>
      <c r="R308" s="8"/>
      <c r="S308" s="27"/>
      <c r="T308" s="27"/>
      <c r="U308" s="8"/>
      <c r="V308" s="8"/>
      <c r="W308" s="8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8"/>
      <c r="AL308" s="8"/>
      <c r="AM308" s="8"/>
      <c r="AN308" s="27"/>
      <c r="AO308" s="8"/>
      <c r="AP308" s="8"/>
      <c r="AQ308" s="27"/>
      <c r="AR308" s="27"/>
      <c r="AS308" s="27"/>
    </row>
    <row r="309" spans="1:45" ht="15.75" thickBot="1" x14ac:dyDescent="0.3">
      <c r="A309" s="51" t="s">
        <v>618</v>
      </c>
      <c r="B309" s="51" t="s">
        <v>644</v>
      </c>
      <c r="C309" s="51" t="s">
        <v>1392</v>
      </c>
      <c r="D309" s="51" t="s">
        <v>645</v>
      </c>
      <c r="E309" s="51" t="s">
        <v>19</v>
      </c>
      <c r="F309" s="51" t="s">
        <v>36</v>
      </c>
      <c r="G309" s="51"/>
      <c r="H309" s="51" t="s">
        <v>646</v>
      </c>
      <c r="I309" s="16">
        <v>-348275750000</v>
      </c>
      <c r="J309" s="16">
        <v>-582788330000</v>
      </c>
      <c r="K309" s="51" t="s">
        <v>1097</v>
      </c>
      <c r="L309" s="53">
        <f t="shared" si="20"/>
        <v>30</v>
      </c>
      <c r="M309" s="17">
        <f t="shared" si="21"/>
        <v>0</v>
      </c>
      <c r="N309" s="18">
        <f t="shared" si="22"/>
        <v>1</v>
      </c>
      <c r="O309" s="27"/>
      <c r="P309" s="8"/>
      <c r="Q309" s="8"/>
      <c r="R309" s="8"/>
      <c r="S309" s="27"/>
      <c r="T309" s="27"/>
      <c r="U309" s="8"/>
      <c r="V309" s="8"/>
      <c r="W309" s="8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8"/>
      <c r="AL309" s="8"/>
      <c r="AM309" s="8"/>
      <c r="AN309" s="27"/>
      <c r="AO309" s="8"/>
      <c r="AP309" s="8"/>
      <c r="AQ309" s="27"/>
      <c r="AR309" s="27"/>
      <c r="AS309" s="27"/>
    </row>
    <row r="310" spans="1:45" ht="15.75" thickBot="1" x14ac:dyDescent="0.3">
      <c r="A310" s="51" t="s">
        <v>618</v>
      </c>
      <c r="B310" s="51" t="s">
        <v>1351</v>
      </c>
      <c r="C310" s="51" t="s">
        <v>1392</v>
      </c>
      <c r="D310" s="51" t="s">
        <v>629</v>
      </c>
      <c r="E310" s="51" t="s">
        <v>102</v>
      </c>
      <c r="F310" s="51" t="s">
        <v>36</v>
      </c>
      <c r="G310" s="51"/>
      <c r="H310" s="51" t="s">
        <v>630</v>
      </c>
      <c r="I310" s="16">
        <v>-348214110000</v>
      </c>
      <c r="J310" s="16">
        <v>-582806410000</v>
      </c>
      <c r="K310" s="51" t="s">
        <v>1098</v>
      </c>
      <c r="L310" s="53">
        <f t="shared" si="20"/>
        <v>30</v>
      </c>
      <c r="M310" s="17">
        <f t="shared" si="21"/>
        <v>0</v>
      </c>
      <c r="N310" s="18">
        <f t="shared" si="22"/>
        <v>1</v>
      </c>
      <c r="O310" s="27"/>
      <c r="P310" s="8"/>
      <c r="Q310" s="8"/>
      <c r="R310" s="8"/>
      <c r="S310" s="27"/>
      <c r="T310" s="27"/>
      <c r="U310" s="8"/>
      <c r="V310" s="8"/>
      <c r="W310" s="8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8"/>
      <c r="AL310" s="8"/>
      <c r="AM310" s="8"/>
      <c r="AN310" s="27"/>
      <c r="AO310" s="8"/>
      <c r="AP310" s="8"/>
      <c r="AQ310" s="27"/>
      <c r="AR310" s="27"/>
      <c r="AS310" s="27"/>
    </row>
    <row r="311" spans="1:45" ht="15.75" thickBot="1" x14ac:dyDescent="0.3">
      <c r="A311" s="51" t="s">
        <v>618</v>
      </c>
      <c r="B311" s="51" t="s">
        <v>1352</v>
      </c>
      <c r="C311" s="51" t="s">
        <v>1392</v>
      </c>
      <c r="D311" s="51" t="s">
        <v>629</v>
      </c>
      <c r="E311" s="51" t="s">
        <v>102</v>
      </c>
      <c r="F311" s="51" t="s">
        <v>36</v>
      </c>
      <c r="G311" s="51"/>
      <c r="H311" s="51" t="s">
        <v>630</v>
      </c>
      <c r="I311" s="16">
        <v>-348214480000</v>
      </c>
      <c r="J311" s="16">
        <v>-582806290000</v>
      </c>
      <c r="K311" s="51" t="s">
        <v>1099</v>
      </c>
      <c r="L311" s="53">
        <f t="shared" si="20"/>
        <v>30</v>
      </c>
      <c r="M311" s="17">
        <f t="shared" si="21"/>
        <v>0</v>
      </c>
      <c r="N311" s="18">
        <f t="shared" si="22"/>
        <v>1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8"/>
      <c r="AL311" s="8"/>
      <c r="AM311" s="8"/>
      <c r="AN311" s="27"/>
      <c r="AO311" s="8"/>
      <c r="AP311" s="8"/>
      <c r="AQ311" s="27"/>
      <c r="AR311" s="27"/>
      <c r="AS311" s="27"/>
    </row>
    <row r="312" spans="1:45" ht="15.75" thickBot="1" x14ac:dyDescent="0.3">
      <c r="A312" s="51" t="s">
        <v>498</v>
      </c>
      <c r="B312" s="51" t="s">
        <v>649</v>
      </c>
      <c r="C312" s="51" t="s">
        <v>1392</v>
      </c>
      <c r="D312" s="51" t="s">
        <v>650</v>
      </c>
      <c r="E312" s="51" t="s">
        <v>102</v>
      </c>
      <c r="F312" s="51" t="s">
        <v>36</v>
      </c>
      <c r="G312" s="51"/>
      <c r="H312" s="51" t="s">
        <v>615</v>
      </c>
      <c r="I312" s="16">
        <v>-348182670000</v>
      </c>
      <c r="J312" s="16">
        <v>-582049970000</v>
      </c>
      <c r="K312" s="51" t="s">
        <v>1102</v>
      </c>
      <c r="L312" s="53">
        <f t="shared" si="20"/>
        <v>29</v>
      </c>
      <c r="M312" s="17">
        <f t="shared" si="21"/>
        <v>1</v>
      </c>
      <c r="N312" s="18">
        <f t="shared" si="22"/>
        <v>0.96666666666666667</v>
      </c>
      <c r="O312" s="27"/>
      <c r="P312" s="8"/>
      <c r="Q312" s="8"/>
      <c r="R312" s="8"/>
      <c r="S312" s="27"/>
      <c r="T312" s="27"/>
      <c r="U312" s="8" t="s">
        <v>1209</v>
      </c>
      <c r="V312" s="8"/>
      <c r="W312" s="8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8"/>
      <c r="AL312" s="8"/>
      <c r="AM312" s="8"/>
      <c r="AN312" s="27"/>
      <c r="AO312" s="8"/>
      <c r="AP312" s="8"/>
      <c r="AQ312" s="27"/>
      <c r="AR312" s="27"/>
      <c r="AS312" s="27"/>
    </row>
    <row r="313" spans="1:45" ht="15.75" thickBot="1" x14ac:dyDescent="0.3">
      <c r="A313" s="51" t="s">
        <v>498</v>
      </c>
      <c r="B313" s="51" t="s">
        <v>651</v>
      </c>
      <c r="C313" s="51" t="s">
        <v>1392</v>
      </c>
      <c r="D313" s="51" t="s">
        <v>650</v>
      </c>
      <c r="E313" s="51" t="s">
        <v>102</v>
      </c>
      <c r="F313" s="51" t="s">
        <v>36</v>
      </c>
      <c r="G313" s="51"/>
      <c r="H313" s="51" t="s">
        <v>615</v>
      </c>
      <c r="I313" s="16">
        <v>-348182670000</v>
      </c>
      <c r="J313" s="16">
        <v>-582049970000</v>
      </c>
      <c r="K313" s="51" t="s">
        <v>1103</v>
      </c>
      <c r="L313" s="53">
        <f t="shared" si="20"/>
        <v>29</v>
      </c>
      <c r="M313" s="17">
        <f t="shared" si="21"/>
        <v>1</v>
      </c>
      <c r="N313" s="18">
        <f t="shared" si="22"/>
        <v>0.96666666666666667</v>
      </c>
      <c r="O313" s="27"/>
      <c r="P313" s="8"/>
      <c r="Q313" s="8"/>
      <c r="R313" s="8"/>
      <c r="S313" s="27"/>
      <c r="T313" s="27"/>
      <c r="U313" s="8" t="s">
        <v>1209</v>
      </c>
      <c r="V313" s="8"/>
      <c r="W313" s="8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8"/>
      <c r="AL313" s="8"/>
      <c r="AM313" s="8"/>
      <c r="AN313" s="27"/>
      <c r="AO313" s="8"/>
      <c r="AP313" s="8"/>
      <c r="AQ313" s="27"/>
      <c r="AR313" s="27"/>
      <c r="AS313" s="27"/>
    </row>
    <row r="314" spans="1:45" ht="15.75" thickBot="1" x14ac:dyDescent="0.3">
      <c r="A314" s="51" t="s">
        <v>374</v>
      </c>
      <c r="B314" s="51" t="s">
        <v>1353</v>
      </c>
      <c r="C314" s="51" t="s">
        <v>1391</v>
      </c>
      <c r="D314" s="51" t="s">
        <v>674</v>
      </c>
      <c r="E314" s="51" t="s">
        <v>24</v>
      </c>
      <c r="F314" s="51" t="s">
        <v>1384</v>
      </c>
      <c r="G314" s="51" t="s">
        <v>146</v>
      </c>
      <c r="H314" s="51"/>
      <c r="I314" s="16">
        <v>-347867610000</v>
      </c>
      <c r="J314" s="16">
        <v>-582563190000</v>
      </c>
      <c r="K314" s="51" t="s">
        <v>1112</v>
      </c>
      <c r="L314" s="53">
        <f t="shared" si="20"/>
        <v>30</v>
      </c>
      <c r="M314" s="17">
        <f t="shared" si="21"/>
        <v>0</v>
      </c>
      <c r="N314" s="18">
        <f t="shared" si="22"/>
        <v>1</v>
      </c>
      <c r="O314" s="27"/>
      <c r="P314" s="8"/>
      <c r="Q314" s="8"/>
      <c r="R314" s="8"/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8"/>
      <c r="AL314" s="8"/>
      <c r="AM314" s="8"/>
      <c r="AN314" s="27"/>
      <c r="AO314" s="8"/>
      <c r="AP314" s="8"/>
      <c r="AQ314" s="27"/>
      <c r="AR314" s="27"/>
      <c r="AS314" s="27"/>
    </row>
    <row r="315" spans="1:45" ht="15.75" thickBot="1" x14ac:dyDescent="0.3">
      <c r="A315" s="51" t="s">
        <v>652</v>
      </c>
      <c r="B315" s="51" t="s">
        <v>653</v>
      </c>
      <c r="C315" s="51" t="s">
        <v>1391</v>
      </c>
      <c r="D315" s="51" t="s">
        <v>654</v>
      </c>
      <c r="E315" s="51" t="s">
        <v>24</v>
      </c>
      <c r="F315" s="51" t="s">
        <v>1384</v>
      </c>
      <c r="G315" s="51" t="s">
        <v>655</v>
      </c>
      <c r="H315" s="51"/>
      <c r="I315" s="16">
        <v>-347888010000</v>
      </c>
      <c r="J315" s="16">
        <v>-582597900000</v>
      </c>
      <c r="K315" s="51" t="s">
        <v>1104</v>
      </c>
      <c r="L315" s="53">
        <f t="shared" si="20"/>
        <v>30</v>
      </c>
      <c r="M315" s="17">
        <f t="shared" si="21"/>
        <v>0</v>
      </c>
      <c r="N315" s="18">
        <f t="shared" si="22"/>
        <v>1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8"/>
      <c r="AL315" s="8"/>
      <c r="AM315" s="8"/>
      <c r="AN315" s="27"/>
      <c r="AO315" s="8"/>
      <c r="AP315" s="8"/>
      <c r="AQ315" s="27"/>
      <c r="AR315" s="27"/>
      <c r="AS315" s="27"/>
    </row>
    <row r="316" spans="1:45" ht="15.75" thickBot="1" x14ac:dyDescent="0.3">
      <c r="A316" s="51" t="s">
        <v>652</v>
      </c>
      <c r="B316" s="51" t="s">
        <v>656</v>
      </c>
      <c r="C316" s="51" t="s">
        <v>1391</v>
      </c>
      <c r="D316" s="51" t="s">
        <v>657</v>
      </c>
      <c r="E316" s="51" t="s">
        <v>24</v>
      </c>
      <c r="F316" s="51" t="s">
        <v>36</v>
      </c>
      <c r="G316" s="51" t="s">
        <v>335</v>
      </c>
      <c r="H316" s="51"/>
      <c r="I316" s="16">
        <v>-347926510000</v>
      </c>
      <c r="J316" s="16">
        <v>-582499030000</v>
      </c>
      <c r="K316" s="51" t="s">
        <v>1105</v>
      </c>
      <c r="L316" s="53">
        <f t="shared" si="20"/>
        <v>30</v>
      </c>
      <c r="M316" s="17">
        <f t="shared" si="21"/>
        <v>0</v>
      </c>
      <c r="N316" s="18">
        <f t="shared" si="22"/>
        <v>1</v>
      </c>
      <c r="O316" s="27"/>
      <c r="P316" s="8"/>
      <c r="Q316" s="8"/>
      <c r="R316" s="8"/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8"/>
      <c r="AL316" s="8"/>
      <c r="AM316" s="8"/>
      <c r="AN316" s="27"/>
      <c r="AO316" s="8"/>
      <c r="AP316" s="8"/>
      <c r="AQ316" s="27"/>
      <c r="AR316" s="27"/>
      <c r="AS316" s="27"/>
    </row>
    <row r="317" spans="1:45" ht="15.75" thickBot="1" x14ac:dyDescent="0.3">
      <c r="A317" s="51" t="s">
        <v>658</v>
      </c>
      <c r="B317" s="51" t="s">
        <v>659</v>
      </c>
      <c r="C317" s="51" t="s">
        <v>1391</v>
      </c>
      <c r="D317" s="51" t="s">
        <v>660</v>
      </c>
      <c r="E317" s="51" t="s">
        <v>24</v>
      </c>
      <c r="F317" s="51" t="s">
        <v>36</v>
      </c>
      <c r="G317" s="51" t="s">
        <v>335</v>
      </c>
      <c r="H317" s="51"/>
      <c r="I317" s="16">
        <v>-347955320000</v>
      </c>
      <c r="J317" s="16">
        <v>-582553260000</v>
      </c>
      <c r="K317" s="51" t="s">
        <v>1106</v>
      </c>
      <c r="L317" s="53">
        <f t="shared" si="20"/>
        <v>30</v>
      </c>
      <c r="M317" s="17">
        <f t="shared" si="21"/>
        <v>0</v>
      </c>
      <c r="N317" s="18">
        <f t="shared" si="22"/>
        <v>1</v>
      </c>
      <c r="O317" s="27"/>
      <c r="P317" s="8"/>
      <c r="Q317" s="8"/>
      <c r="R317" s="8"/>
      <c r="S317" s="27"/>
      <c r="T317" s="27"/>
      <c r="U317" s="8"/>
      <c r="V317" s="8"/>
      <c r="W317" s="8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8"/>
      <c r="AL317" s="8"/>
      <c r="AM317" s="8"/>
      <c r="AN317" s="27"/>
      <c r="AO317" s="8"/>
      <c r="AP317" s="8"/>
      <c r="AQ317" s="27"/>
      <c r="AR317" s="27"/>
      <c r="AS317" s="27"/>
    </row>
    <row r="318" spans="1:45" ht="15.75" thickBot="1" x14ac:dyDescent="0.3">
      <c r="A318" s="51" t="s">
        <v>652</v>
      </c>
      <c r="B318" s="51" t="s">
        <v>661</v>
      </c>
      <c r="C318" s="51" t="s">
        <v>1391</v>
      </c>
      <c r="D318" s="51" t="s">
        <v>662</v>
      </c>
      <c r="E318" s="51" t="s">
        <v>19</v>
      </c>
      <c r="F318" s="51" t="s">
        <v>36</v>
      </c>
      <c r="G318" s="51" t="s">
        <v>663</v>
      </c>
      <c r="H318" s="51" t="s">
        <v>664</v>
      </c>
      <c r="I318" s="16">
        <v>-347933300000</v>
      </c>
      <c r="J318" s="16">
        <v>-582534600000</v>
      </c>
      <c r="K318" s="51" t="s">
        <v>1107</v>
      </c>
      <c r="L318" s="53">
        <f t="shared" si="20"/>
        <v>30</v>
      </c>
      <c r="M318" s="17">
        <f t="shared" si="21"/>
        <v>0</v>
      </c>
      <c r="N318" s="18">
        <f t="shared" si="22"/>
        <v>1</v>
      </c>
      <c r="O318" s="27"/>
      <c r="P318" s="8"/>
      <c r="Q318" s="8"/>
      <c r="R318" s="8"/>
      <c r="S318" s="27"/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8"/>
      <c r="AL318" s="8"/>
      <c r="AM318" s="8"/>
      <c r="AN318" s="27"/>
      <c r="AO318" s="8"/>
      <c r="AP318" s="8"/>
      <c r="AQ318" s="27"/>
      <c r="AR318" s="27"/>
      <c r="AS318" s="27"/>
    </row>
    <row r="319" spans="1:45" ht="15.75" thickBot="1" x14ac:dyDescent="0.3">
      <c r="A319" s="51" t="s">
        <v>652</v>
      </c>
      <c r="B319" s="51" t="s">
        <v>665</v>
      </c>
      <c r="C319" s="51" t="s">
        <v>1391</v>
      </c>
      <c r="D319" s="51" t="s">
        <v>666</v>
      </c>
      <c r="E319" s="51" t="s">
        <v>24</v>
      </c>
      <c r="F319" s="51" t="s">
        <v>36</v>
      </c>
      <c r="G319" s="51" t="s">
        <v>335</v>
      </c>
      <c r="H319" s="51"/>
      <c r="I319" s="16">
        <v>-347941580000</v>
      </c>
      <c r="J319" s="16">
        <v>-582528380000</v>
      </c>
      <c r="K319" s="51" t="s">
        <v>1108</v>
      </c>
      <c r="L319" s="53">
        <f t="shared" si="20"/>
        <v>30</v>
      </c>
      <c r="M319" s="17">
        <f t="shared" si="21"/>
        <v>0</v>
      </c>
      <c r="N319" s="18">
        <f t="shared" si="22"/>
        <v>1</v>
      </c>
      <c r="O319" s="27"/>
      <c r="P319" s="8"/>
      <c r="Q319" s="8"/>
      <c r="R319" s="8"/>
      <c r="S319" s="27"/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8"/>
      <c r="AL319" s="8"/>
      <c r="AM319" s="8"/>
      <c r="AN319" s="27"/>
      <c r="AO319" s="8"/>
      <c r="AP319" s="8"/>
      <c r="AQ319" s="27"/>
      <c r="AR319" s="27"/>
      <c r="AS319" s="27"/>
    </row>
    <row r="320" spans="1:45" ht="15.75" thickBot="1" x14ac:dyDescent="0.3">
      <c r="A320" s="51" t="s">
        <v>652</v>
      </c>
      <c r="B320" s="51" t="s">
        <v>667</v>
      </c>
      <c r="C320" s="51" t="s">
        <v>1391</v>
      </c>
      <c r="D320" s="51" t="s">
        <v>668</v>
      </c>
      <c r="E320" s="51" t="s">
        <v>19</v>
      </c>
      <c r="F320" s="51" t="s">
        <v>36</v>
      </c>
      <c r="G320" s="51" t="s">
        <v>663</v>
      </c>
      <c r="H320" s="51" t="s">
        <v>669</v>
      </c>
      <c r="I320" s="16">
        <v>-347928980000</v>
      </c>
      <c r="J320" s="16">
        <v>-582523980000</v>
      </c>
      <c r="K320" s="51" t="s">
        <v>1109</v>
      </c>
      <c r="L320" s="53">
        <f t="shared" si="20"/>
        <v>30</v>
      </c>
      <c r="M320" s="17">
        <f t="shared" si="21"/>
        <v>0</v>
      </c>
      <c r="N320" s="18">
        <f t="shared" si="22"/>
        <v>1</v>
      </c>
      <c r="O320" s="27"/>
      <c r="P320" s="8"/>
      <c r="Q320" s="8"/>
      <c r="R320" s="8"/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8"/>
      <c r="AL320" s="8"/>
      <c r="AM320" s="8"/>
      <c r="AN320" s="27"/>
      <c r="AO320" s="8"/>
      <c r="AP320" s="8"/>
      <c r="AQ320" s="27"/>
      <c r="AR320" s="27"/>
      <c r="AS320" s="27"/>
    </row>
    <row r="321" spans="1:45" ht="15.75" thickBot="1" x14ac:dyDescent="0.3">
      <c r="A321" s="51" t="s">
        <v>652</v>
      </c>
      <c r="B321" s="51" t="s">
        <v>670</v>
      </c>
      <c r="C321" s="51" t="s">
        <v>1391</v>
      </c>
      <c r="D321" s="51" t="s">
        <v>671</v>
      </c>
      <c r="E321" s="51" t="s">
        <v>24</v>
      </c>
      <c r="F321" s="51" t="s">
        <v>36</v>
      </c>
      <c r="G321" s="51" t="s">
        <v>335</v>
      </c>
      <c r="H321" s="51"/>
      <c r="I321" s="16">
        <v>-347936470000</v>
      </c>
      <c r="J321" s="16">
        <v>-582518290000</v>
      </c>
      <c r="K321" s="51" t="s">
        <v>1110</v>
      </c>
      <c r="L321" s="53">
        <f t="shared" si="20"/>
        <v>30</v>
      </c>
      <c r="M321" s="17">
        <f t="shared" si="21"/>
        <v>0</v>
      </c>
      <c r="N321" s="18">
        <f t="shared" si="22"/>
        <v>1</v>
      </c>
      <c r="O321" s="27"/>
      <c r="P321" s="8"/>
      <c r="Q321" s="8"/>
      <c r="R321" s="8"/>
      <c r="S321" s="27"/>
      <c r="T321" s="27"/>
      <c r="U321" s="8"/>
      <c r="V321" s="8"/>
      <c r="W321" s="8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8"/>
      <c r="AL321" s="8"/>
      <c r="AM321" s="8"/>
      <c r="AN321" s="27"/>
      <c r="AO321" s="8"/>
      <c r="AP321" s="8"/>
      <c r="AQ321" s="27"/>
      <c r="AR321" s="27"/>
      <c r="AS321" s="27"/>
    </row>
    <row r="322" spans="1:45" ht="15.75" thickBot="1" x14ac:dyDescent="0.3">
      <c r="A322" s="51" t="s">
        <v>652</v>
      </c>
      <c r="B322" s="51" t="s">
        <v>672</v>
      </c>
      <c r="C322" s="51" t="s">
        <v>1391</v>
      </c>
      <c r="D322" s="51" t="s">
        <v>673</v>
      </c>
      <c r="E322" s="51" t="s">
        <v>24</v>
      </c>
      <c r="F322" s="51" t="s">
        <v>1384</v>
      </c>
      <c r="G322" s="51" t="s">
        <v>663</v>
      </c>
      <c r="H322" s="51"/>
      <c r="I322" s="16">
        <v>-347917260000</v>
      </c>
      <c r="J322" s="16">
        <v>-582524730000</v>
      </c>
      <c r="K322" s="51" t="s">
        <v>1111</v>
      </c>
      <c r="L322" s="53">
        <f t="shared" si="20"/>
        <v>30</v>
      </c>
      <c r="M322" s="17">
        <f t="shared" si="21"/>
        <v>0</v>
      </c>
      <c r="N322" s="18">
        <f t="shared" si="22"/>
        <v>1</v>
      </c>
      <c r="O322" s="27"/>
      <c r="P322" s="8"/>
      <c r="Q322" s="8"/>
      <c r="R322" s="8"/>
      <c r="S322" s="27"/>
      <c r="T322" s="27"/>
      <c r="U322" s="8"/>
      <c r="V322" s="8"/>
      <c r="W322" s="8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8"/>
      <c r="AL322" s="8"/>
      <c r="AM322" s="8"/>
      <c r="AN322" s="27"/>
      <c r="AO322" s="8"/>
      <c r="AP322" s="8"/>
      <c r="AQ322" s="27"/>
      <c r="AR322" s="27"/>
      <c r="AS322" s="27"/>
    </row>
    <row r="323" spans="1:45" ht="15.75" thickBot="1" x14ac:dyDescent="0.3">
      <c r="A323" s="51" t="s">
        <v>326</v>
      </c>
      <c r="B323" s="51" t="s">
        <v>675</v>
      </c>
      <c r="C323" s="51" t="s">
        <v>1392</v>
      </c>
      <c r="D323" s="51" t="s">
        <v>676</v>
      </c>
      <c r="E323" s="51" t="s">
        <v>24</v>
      </c>
      <c r="F323" s="51" t="s">
        <v>25</v>
      </c>
      <c r="G323" s="51" t="s">
        <v>677</v>
      </c>
      <c r="H323" s="51"/>
      <c r="I323" s="16">
        <v>-348145260000</v>
      </c>
      <c r="J323" s="16">
        <v>-583009670000</v>
      </c>
      <c r="K323" s="51" t="s">
        <v>1113</v>
      </c>
      <c r="L323" s="53">
        <f t="shared" si="20"/>
        <v>30</v>
      </c>
      <c r="M323" s="17">
        <f t="shared" si="21"/>
        <v>0</v>
      </c>
      <c r="N323" s="18">
        <f t="shared" si="22"/>
        <v>1</v>
      </c>
      <c r="O323" s="27"/>
      <c r="P323" s="8"/>
      <c r="Q323" s="8"/>
      <c r="R323" s="8"/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8"/>
      <c r="AL323" s="8"/>
      <c r="AM323" s="8"/>
      <c r="AN323" s="27"/>
      <c r="AO323" s="8"/>
      <c r="AP323" s="8"/>
      <c r="AQ323" s="27"/>
      <c r="AR323" s="27"/>
      <c r="AS323" s="27"/>
    </row>
    <row r="324" spans="1:45" ht="15.75" thickBot="1" x14ac:dyDescent="0.3">
      <c r="A324" s="51" t="s">
        <v>326</v>
      </c>
      <c r="B324" s="51" t="s">
        <v>678</v>
      </c>
      <c r="C324" s="51" t="s">
        <v>1392</v>
      </c>
      <c r="D324" s="51" t="s">
        <v>679</v>
      </c>
      <c r="E324" s="51" t="s">
        <v>19</v>
      </c>
      <c r="F324" s="51" t="s">
        <v>25</v>
      </c>
      <c r="G324" s="51"/>
      <c r="H324" s="51" t="s">
        <v>33</v>
      </c>
      <c r="I324" s="16">
        <v>-348102780000</v>
      </c>
      <c r="J324" s="16">
        <v>-582968990000</v>
      </c>
      <c r="K324" s="51" t="s">
        <v>1114</v>
      </c>
      <c r="L324" s="53">
        <f t="shared" si="20"/>
        <v>30</v>
      </c>
      <c r="M324" s="17">
        <f t="shared" si="21"/>
        <v>0</v>
      </c>
      <c r="N324" s="18">
        <f t="shared" si="22"/>
        <v>1</v>
      </c>
      <c r="O324" s="27"/>
      <c r="P324" s="8"/>
      <c r="Q324" s="8"/>
      <c r="R324" s="8"/>
      <c r="S324" s="27"/>
      <c r="T324" s="27"/>
      <c r="U324" s="8"/>
      <c r="V324" s="8"/>
      <c r="W324" s="8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8"/>
      <c r="AL324" s="8"/>
      <c r="AM324" s="8"/>
      <c r="AN324" s="27"/>
      <c r="AO324" s="8"/>
      <c r="AP324" s="8"/>
      <c r="AQ324" s="27"/>
      <c r="AR324" s="27"/>
      <c r="AS324" s="27"/>
    </row>
    <row r="325" spans="1:45" ht="15.75" thickBot="1" x14ac:dyDescent="0.3">
      <c r="A325" s="51" t="s">
        <v>326</v>
      </c>
      <c r="B325" s="51" t="s">
        <v>1354</v>
      </c>
      <c r="C325" s="51" t="s">
        <v>1392</v>
      </c>
      <c r="D325" s="51" t="s">
        <v>688</v>
      </c>
      <c r="E325" s="51" t="s">
        <v>102</v>
      </c>
      <c r="F325" s="51" t="s">
        <v>1383</v>
      </c>
      <c r="G325" s="51"/>
      <c r="H325" s="51" t="s">
        <v>689</v>
      </c>
      <c r="I325" s="16">
        <v>-348105760000</v>
      </c>
      <c r="J325" s="16">
        <v>-583061370000</v>
      </c>
      <c r="K325" s="51" t="s">
        <v>1120</v>
      </c>
      <c r="L325" s="53">
        <f t="shared" si="20"/>
        <v>30</v>
      </c>
      <c r="M325" s="17">
        <f t="shared" si="21"/>
        <v>0</v>
      </c>
      <c r="N325" s="18">
        <f t="shared" si="22"/>
        <v>1</v>
      </c>
      <c r="O325" s="27"/>
      <c r="P325" s="8"/>
      <c r="Q325" s="8"/>
      <c r="R325" s="8"/>
      <c r="S325" s="27"/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8"/>
      <c r="AL325" s="8"/>
      <c r="AM325" s="8"/>
      <c r="AN325" s="27"/>
      <c r="AO325" s="8"/>
      <c r="AP325" s="8"/>
      <c r="AQ325" s="27"/>
      <c r="AR325" s="27"/>
      <c r="AS325" s="27"/>
    </row>
    <row r="326" spans="1:45" ht="15.75" thickBot="1" x14ac:dyDescent="0.3">
      <c r="A326" s="51" t="s">
        <v>326</v>
      </c>
      <c r="B326" s="51" t="s">
        <v>1355</v>
      </c>
      <c r="C326" s="51" t="s">
        <v>1392</v>
      </c>
      <c r="D326" s="51" t="s">
        <v>688</v>
      </c>
      <c r="E326" s="51" t="s">
        <v>102</v>
      </c>
      <c r="F326" s="51" t="s">
        <v>1383</v>
      </c>
      <c r="G326" s="51"/>
      <c r="H326" s="51" t="s">
        <v>689</v>
      </c>
      <c r="I326" s="16">
        <v>-348105760000</v>
      </c>
      <c r="J326" s="16">
        <v>-583061370000</v>
      </c>
      <c r="K326" s="51" t="s">
        <v>1121</v>
      </c>
      <c r="L326" s="53">
        <f t="shared" ref="L326:L379" si="23">COUNTIF(O326:AR326,"")</f>
        <v>30</v>
      </c>
      <c r="M326" s="17">
        <f t="shared" si="21"/>
        <v>0</v>
      </c>
      <c r="N326" s="18">
        <f t="shared" si="22"/>
        <v>1</v>
      </c>
      <c r="O326" s="27"/>
      <c r="P326" s="8"/>
      <c r="Q326" s="8"/>
      <c r="R326" s="8"/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8"/>
      <c r="AL326" s="8"/>
      <c r="AM326" s="8"/>
      <c r="AN326" s="27"/>
      <c r="AO326" s="8"/>
      <c r="AP326" s="8"/>
      <c r="AQ326" s="27"/>
      <c r="AR326" s="27"/>
      <c r="AS326" s="27"/>
    </row>
    <row r="327" spans="1:45" ht="15.75" thickBot="1" x14ac:dyDescent="0.3">
      <c r="A327" s="51" t="s">
        <v>326</v>
      </c>
      <c r="B327" s="51" t="s">
        <v>680</v>
      </c>
      <c r="C327" s="51" t="s">
        <v>1392</v>
      </c>
      <c r="D327" s="51" t="s">
        <v>681</v>
      </c>
      <c r="E327" s="51" t="s">
        <v>102</v>
      </c>
      <c r="F327" s="51" t="s">
        <v>20</v>
      </c>
      <c r="G327" s="51"/>
      <c r="H327" s="51" t="s">
        <v>252</v>
      </c>
      <c r="I327" s="16">
        <v>-348125630000</v>
      </c>
      <c r="J327" s="16">
        <v>-582971310000</v>
      </c>
      <c r="K327" s="51" t="s">
        <v>1115</v>
      </c>
      <c r="L327" s="53">
        <f t="shared" si="23"/>
        <v>23</v>
      </c>
      <c r="M327" s="17">
        <f t="shared" ref="M327:M372" si="24">COUNTIF(O327:AP327,"APAGADO")</f>
        <v>7</v>
      </c>
      <c r="N327" s="18">
        <f t="shared" ref="N327:N372" si="25">(L327)/(M327+L327)</f>
        <v>0.76666666666666672</v>
      </c>
      <c r="O327" s="27" t="s">
        <v>1209</v>
      </c>
      <c r="P327" s="8" t="s">
        <v>1209</v>
      </c>
      <c r="Q327" s="8" t="s">
        <v>1209</v>
      </c>
      <c r="R327" s="8" t="s">
        <v>1209</v>
      </c>
      <c r="S327" s="27" t="s">
        <v>1209</v>
      </c>
      <c r="T327" s="27" t="s">
        <v>1209</v>
      </c>
      <c r="U327" s="8" t="s">
        <v>1209</v>
      </c>
      <c r="V327" s="8"/>
      <c r="W327" s="8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8"/>
      <c r="AL327" s="8"/>
      <c r="AM327" s="8"/>
      <c r="AN327" s="27"/>
      <c r="AO327" s="8"/>
      <c r="AP327" s="8"/>
      <c r="AQ327" s="27"/>
      <c r="AR327" s="27"/>
      <c r="AS327" s="27"/>
    </row>
    <row r="328" spans="1:45" ht="15.75" thickBot="1" x14ac:dyDescent="0.3">
      <c r="A328" s="51" t="s">
        <v>326</v>
      </c>
      <c r="B328" s="51" t="s">
        <v>682</v>
      </c>
      <c r="C328" s="51" t="s">
        <v>1392</v>
      </c>
      <c r="D328" s="51" t="s">
        <v>681</v>
      </c>
      <c r="E328" s="51" t="s">
        <v>102</v>
      </c>
      <c r="F328" s="51" t="s">
        <v>20</v>
      </c>
      <c r="G328" s="51"/>
      <c r="H328" s="51" t="s">
        <v>252</v>
      </c>
      <c r="I328" s="16">
        <v>-348125630000</v>
      </c>
      <c r="J328" s="16">
        <v>-582971310000</v>
      </c>
      <c r="K328" s="51" t="s">
        <v>1116</v>
      </c>
      <c r="L328" s="53">
        <f t="shared" si="23"/>
        <v>23</v>
      </c>
      <c r="M328" s="17">
        <f t="shared" si="24"/>
        <v>7</v>
      </c>
      <c r="N328" s="18">
        <f t="shared" si="25"/>
        <v>0.76666666666666672</v>
      </c>
      <c r="O328" s="27" t="s">
        <v>1209</v>
      </c>
      <c r="P328" s="8" t="s">
        <v>1209</v>
      </c>
      <c r="Q328" s="8" t="s">
        <v>1209</v>
      </c>
      <c r="R328" s="8" t="s">
        <v>1209</v>
      </c>
      <c r="S328" s="27" t="s">
        <v>1209</v>
      </c>
      <c r="T328" s="27" t="s">
        <v>1209</v>
      </c>
      <c r="U328" s="8" t="s">
        <v>1209</v>
      </c>
      <c r="V328" s="8"/>
      <c r="W328" s="8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8"/>
      <c r="AL328" s="8"/>
      <c r="AM328" s="8"/>
      <c r="AN328" s="27"/>
      <c r="AO328" s="8"/>
      <c r="AP328" s="8"/>
      <c r="AQ328" s="27"/>
      <c r="AR328" s="27"/>
      <c r="AS328" s="27"/>
    </row>
    <row r="329" spans="1:45" ht="15.75" thickBot="1" x14ac:dyDescent="0.3">
      <c r="A329" s="51" t="s">
        <v>326</v>
      </c>
      <c r="B329" s="51" t="s">
        <v>683</v>
      </c>
      <c r="C329" s="51" t="s">
        <v>1392</v>
      </c>
      <c r="D329" s="51" t="s">
        <v>684</v>
      </c>
      <c r="E329" s="51" t="s">
        <v>102</v>
      </c>
      <c r="F329" s="51" t="s">
        <v>20</v>
      </c>
      <c r="G329" s="51"/>
      <c r="H329" s="51" t="s">
        <v>252</v>
      </c>
      <c r="I329" s="16">
        <v>-348125690000</v>
      </c>
      <c r="J329" s="16">
        <v>-582982090000</v>
      </c>
      <c r="K329" s="51" t="s">
        <v>1117</v>
      </c>
      <c r="L329" s="53">
        <f t="shared" si="23"/>
        <v>30</v>
      </c>
      <c r="M329" s="17">
        <f t="shared" si="24"/>
        <v>0</v>
      </c>
      <c r="N329" s="18">
        <f t="shared" si="25"/>
        <v>1</v>
      </c>
      <c r="O329" s="27"/>
      <c r="P329" s="8"/>
      <c r="Q329" s="8"/>
      <c r="R329" s="8"/>
      <c r="S329" s="27"/>
      <c r="T329" s="27"/>
      <c r="U329" s="8"/>
      <c r="V329" s="8"/>
      <c r="W329" s="8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8"/>
      <c r="AL329" s="8"/>
      <c r="AM329" s="8"/>
      <c r="AN329" s="27"/>
      <c r="AO329" s="8"/>
      <c r="AP329" s="8"/>
      <c r="AQ329" s="27"/>
      <c r="AR329" s="27"/>
      <c r="AS329" s="27"/>
    </row>
    <row r="330" spans="1:45" ht="15.75" thickBot="1" x14ac:dyDescent="0.3">
      <c r="A330" s="51" t="s">
        <v>326</v>
      </c>
      <c r="B330" s="51" t="s">
        <v>685</v>
      </c>
      <c r="C330" s="51" t="s">
        <v>1392</v>
      </c>
      <c r="D330" s="51" t="s">
        <v>684</v>
      </c>
      <c r="E330" s="51" t="s">
        <v>102</v>
      </c>
      <c r="F330" s="51" t="s">
        <v>20</v>
      </c>
      <c r="G330" s="51"/>
      <c r="H330" s="51" t="s">
        <v>252</v>
      </c>
      <c r="I330" s="16">
        <v>-348126020000</v>
      </c>
      <c r="J330" s="16">
        <v>-582981720000</v>
      </c>
      <c r="K330" s="51" t="s">
        <v>1118</v>
      </c>
      <c r="L330" s="53">
        <f t="shared" si="23"/>
        <v>30</v>
      </c>
      <c r="M330" s="17">
        <f t="shared" si="24"/>
        <v>0</v>
      </c>
      <c r="N330" s="18">
        <f t="shared" si="25"/>
        <v>1</v>
      </c>
      <c r="O330" s="27"/>
      <c r="P330" s="8"/>
      <c r="Q330" s="8"/>
      <c r="R330" s="8"/>
      <c r="S330" s="27"/>
      <c r="T330" s="27"/>
      <c r="U330" s="8"/>
      <c r="V330" s="8"/>
      <c r="W330" s="8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8"/>
      <c r="AL330" s="8"/>
      <c r="AM330" s="8"/>
      <c r="AN330" s="27"/>
      <c r="AO330" s="8"/>
      <c r="AP330" s="8"/>
      <c r="AQ330" s="27"/>
      <c r="AR330" s="27"/>
      <c r="AS330" s="27"/>
    </row>
    <row r="331" spans="1:45" ht="15.75" thickBot="1" x14ac:dyDescent="0.3">
      <c r="A331" s="51" t="s">
        <v>326</v>
      </c>
      <c r="B331" s="51" t="s">
        <v>686</v>
      </c>
      <c r="C331" s="51" t="s">
        <v>1392</v>
      </c>
      <c r="D331" s="51" t="s">
        <v>687</v>
      </c>
      <c r="E331" s="51" t="s">
        <v>19</v>
      </c>
      <c r="F331" s="51" t="s">
        <v>36</v>
      </c>
      <c r="G331" s="51"/>
      <c r="H331" s="51" t="s">
        <v>230</v>
      </c>
      <c r="I331" s="16">
        <v>-348088620000</v>
      </c>
      <c r="J331" s="16">
        <v>-583035370000</v>
      </c>
      <c r="K331" s="51" t="s">
        <v>1119</v>
      </c>
      <c r="L331" s="53">
        <f t="shared" si="23"/>
        <v>30</v>
      </c>
      <c r="M331" s="17">
        <f t="shared" si="24"/>
        <v>0</v>
      </c>
      <c r="N331" s="18">
        <f t="shared" si="25"/>
        <v>1</v>
      </c>
      <c r="O331" s="27"/>
      <c r="P331" s="8"/>
      <c r="Q331" s="8"/>
      <c r="R331" s="8"/>
      <c r="S331" s="27"/>
      <c r="T331" s="27"/>
      <c r="U331" s="8"/>
      <c r="V331" s="8"/>
      <c r="W331" s="8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8"/>
      <c r="AL331" s="8"/>
      <c r="AM331" s="8"/>
      <c r="AN331" s="27"/>
      <c r="AO331" s="8"/>
      <c r="AP331" s="8"/>
      <c r="AQ331" s="27"/>
      <c r="AR331" s="27"/>
      <c r="AS331" s="27"/>
    </row>
    <row r="332" spans="1:45" ht="15.75" thickBot="1" x14ac:dyDescent="0.3">
      <c r="A332" s="51" t="s">
        <v>326</v>
      </c>
      <c r="B332" s="51" t="s">
        <v>690</v>
      </c>
      <c r="C332" s="51" t="s">
        <v>1392</v>
      </c>
      <c r="D332" s="51" t="s">
        <v>691</v>
      </c>
      <c r="E332" s="51" t="s">
        <v>102</v>
      </c>
      <c r="F332" s="51" t="s">
        <v>1383</v>
      </c>
      <c r="G332" s="51"/>
      <c r="H332" s="51" t="s">
        <v>692</v>
      </c>
      <c r="I332" s="16">
        <v>-348100750000</v>
      </c>
      <c r="J332" s="16">
        <v>-583065270000</v>
      </c>
      <c r="K332" s="51" t="s">
        <v>1122</v>
      </c>
      <c r="L332" s="53">
        <f t="shared" si="23"/>
        <v>30</v>
      </c>
      <c r="M332" s="17">
        <f t="shared" si="24"/>
        <v>0</v>
      </c>
      <c r="N332" s="18">
        <f t="shared" si="25"/>
        <v>1</v>
      </c>
      <c r="O332" s="27"/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8"/>
      <c r="AL332" s="8"/>
      <c r="AM332" s="8"/>
      <c r="AN332" s="27"/>
      <c r="AO332" s="8"/>
      <c r="AP332" s="8"/>
      <c r="AQ332" s="27"/>
      <c r="AR332" s="27"/>
      <c r="AS332" s="27"/>
    </row>
    <row r="333" spans="1:45" ht="15.75" thickBot="1" x14ac:dyDescent="0.3">
      <c r="A333" s="51" t="s">
        <v>326</v>
      </c>
      <c r="B333" s="51" t="s">
        <v>693</v>
      </c>
      <c r="C333" s="51" t="s">
        <v>1392</v>
      </c>
      <c r="D333" s="51" t="s">
        <v>691</v>
      </c>
      <c r="E333" s="51" t="s">
        <v>102</v>
      </c>
      <c r="F333" s="51" t="s">
        <v>1383</v>
      </c>
      <c r="G333" s="51"/>
      <c r="H333" s="51" t="s">
        <v>692</v>
      </c>
      <c r="I333" s="16">
        <v>-348100750000</v>
      </c>
      <c r="J333" s="16">
        <v>-583065270000</v>
      </c>
      <c r="K333" s="51" t="s">
        <v>1123</v>
      </c>
      <c r="L333" s="53">
        <f t="shared" si="23"/>
        <v>30</v>
      </c>
      <c r="M333" s="17">
        <f t="shared" si="24"/>
        <v>0</v>
      </c>
      <c r="N333" s="18">
        <f t="shared" si="25"/>
        <v>1</v>
      </c>
      <c r="O333" s="27"/>
      <c r="P333" s="8"/>
      <c r="Q333" s="8"/>
      <c r="R333" s="8"/>
      <c r="S333" s="27"/>
      <c r="T333" s="27"/>
      <c r="U333" s="8"/>
      <c r="V333" s="8"/>
      <c r="W333" s="8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8"/>
      <c r="AL333" s="8"/>
      <c r="AM333" s="8"/>
      <c r="AN333" s="27"/>
      <c r="AO333" s="8"/>
      <c r="AP333" s="8"/>
      <c r="AQ333" s="27"/>
      <c r="AR333" s="27"/>
      <c r="AS333" s="27"/>
    </row>
    <row r="334" spans="1:45" ht="15.75" thickBot="1" x14ac:dyDescent="0.3">
      <c r="A334" s="51" t="s">
        <v>697</v>
      </c>
      <c r="B334" s="51" t="s">
        <v>1356</v>
      </c>
      <c r="C334" s="51" t="s">
        <v>1392</v>
      </c>
      <c r="D334" s="51" t="s">
        <v>732</v>
      </c>
      <c r="E334" s="51" t="s">
        <v>24</v>
      </c>
      <c r="F334" s="51" t="s">
        <v>36</v>
      </c>
      <c r="G334" s="51" t="s">
        <v>146</v>
      </c>
      <c r="H334" s="51"/>
      <c r="I334" s="16">
        <v>-348139270000</v>
      </c>
      <c r="J334" s="16">
        <v>-582743600000</v>
      </c>
      <c r="K334" s="51" t="s">
        <v>1133</v>
      </c>
      <c r="L334" s="53">
        <f t="shared" si="23"/>
        <v>30</v>
      </c>
      <c r="M334" s="17">
        <f t="shared" si="24"/>
        <v>0</v>
      </c>
      <c r="N334" s="18">
        <f t="shared" si="25"/>
        <v>1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8"/>
      <c r="AL334" s="8"/>
      <c r="AM334" s="8"/>
      <c r="AN334" s="27"/>
      <c r="AO334" s="8"/>
      <c r="AP334" s="8"/>
      <c r="AQ334" s="27"/>
      <c r="AR334" s="27"/>
      <c r="AS334" s="27"/>
    </row>
    <row r="335" spans="1:45" ht="15.75" thickBot="1" x14ac:dyDescent="0.3">
      <c r="A335" s="51" t="s">
        <v>703</v>
      </c>
      <c r="B335" s="51" t="s">
        <v>1357</v>
      </c>
      <c r="C335" s="51" t="s">
        <v>1392</v>
      </c>
      <c r="D335" s="51" t="s">
        <v>735</v>
      </c>
      <c r="E335" s="51" t="s">
        <v>19</v>
      </c>
      <c r="F335" s="51" t="s">
        <v>1383</v>
      </c>
      <c r="G335" s="51" t="s">
        <v>736</v>
      </c>
      <c r="H335" s="51" t="s">
        <v>737</v>
      </c>
      <c r="I335" s="16">
        <v>-348187470000</v>
      </c>
      <c r="J335" s="16">
        <v>-582709000000</v>
      </c>
      <c r="K335" s="51" t="s">
        <v>1137</v>
      </c>
      <c r="L335" s="53">
        <f t="shared" si="23"/>
        <v>27</v>
      </c>
      <c r="M335" s="17">
        <f t="shared" si="24"/>
        <v>3</v>
      </c>
      <c r="N335" s="18">
        <f t="shared" si="25"/>
        <v>0.9</v>
      </c>
      <c r="O335" s="27"/>
      <c r="P335" s="8"/>
      <c r="Q335" s="8"/>
      <c r="R335" s="8"/>
      <c r="S335" s="27" t="s">
        <v>1209</v>
      </c>
      <c r="T335" s="27" t="s">
        <v>1209</v>
      </c>
      <c r="U335" s="8" t="s">
        <v>1209</v>
      </c>
      <c r="V335" s="8"/>
      <c r="W335" s="8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8"/>
      <c r="AL335" s="8"/>
      <c r="AM335" s="8"/>
      <c r="AN335" s="27"/>
      <c r="AO335" s="8"/>
      <c r="AP335" s="8"/>
      <c r="AQ335" s="27"/>
      <c r="AR335" s="27"/>
      <c r="AS335" s="27"/>
    </row>
    <row r="336" spans="1:45" ht="15.75" thickBot="1" x14ac:dyDescent="0.3">
      <c r="A336" s="51" t="s">
        <v>703</v>
      </c>
      <c r="B336" s="51" t="s">
        <v>700</v>
      </c>
      <c r="C336" s="51" t="s">
        <v>1392</v>
      </c>
      <c r="D336" s="51" t="s">
        <v>701</v>
      </c>
      <c r="E336" s="51" t="s">
        <v>19</v>
      </c>
      <c r="F336" s="51" t="s">
        <v>1384</v>
      </c>
      <c r="G336" s="51" t="s">
        <v>702</v>
      </c>
      <c r="H336" s="51"/>
      <c r="I336" s="16">
        <v>-348129440000</v>
      </c>
      <c r="J336" s="16">
        <v>-582759900000</v>
      </c>
      <c r="K336" s="51" t="s">
        <v>1138</v>
      </c>
      <c r="L336" s="53">
        <f t="shared" si="23"/>
        <v>30</v>
      </c>
      <c r="M336" s="17">
        <f t="shared" si="24"/>
        <v>0</v>
      </c>
      <c r="N336" s="18">
        <f t="shared" si="25"/>
        <v>1</v>
      </c>
      <c r="O336" s="27"/>
      <c r="P336" s="8"/>
      <c r="Q336" s="8"/>
      <c r="R336" s="8"/>
      <c r="S336" s="27"/>
      <c r="T336" s="27"/>
      <c r="U336" s="8"/>
      <c r="V336" s="8"/>
      <c r="W336" s="8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8"/>
      <c r="AL336" s="8"/>
      <c r="AM336" s="8"/>
      <c r="AN336" s="27"/>
      <c r="AO336" s="8"/>
      <c r="AP336" s="8"/>
      <c r="AQ336" s="27"/>
      <c r="AR336" s="27"/>
      <c r="AS336" s="27"/>
    </row>
    <row r="337" spans="1:45" ht="15.75" thickBot="1" x14ac:dyDescent="0.3">
      <c r="A337" s="51" t="s">
        <v>703</v>
      </c>
      <c r="B337" s="51" t="s">
        <v>704</v>
      </c>
      <c r="C337" s="51" t="s">
        <v>1392</v>
      </c>
      <c r="D337" s="51" t="s">
        <v>705</v>
      </c>
      <c r="E337" s="51" t="s">
        <v>19</v>
      </c>
      <c r="F337" s="51" t="s">
        <v>1384</v>
      </c>
      <c r="G337" s="51"/>
      <c r="H337" s="51" t="s">
        <v>706</v>
      </c>
      <c r="I337" s="16">
        <v>-348174960000</v>
      </c>
      <c r="J337" s="16">
        <v>-582687670000</v>
      </c>
      <c r="K337" s="51" t="s">
        <v>1139</v>
      </c>
      <c r="L337" s="53">
        <f t="shared" si="23"/>
        <v>30</v>
      </c>
      <c r="M337" s="17">
        <f t="shared" si="24"/>
        <v>0</v>
      </c>
      <c r="N337" s="18">
        <f t="shared" si="25"/>
        <v>1</v>
      </c>
      <c r="O337" s="27"/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8"/>
      <c r="AL337" s="8"/>
      <c r="AM337" s="8"/>
      <c r="AN337" s="27"/>
      <c r="AO337" s="8"/>
      <c r="AP337" s="8"/>
      <c r="AQ337" s="27"/>
      <c r="AR337" s="27"/>
      <c r="AS337" s="27"/>
    </row>
    <row r="338" spans="1:45" ht="15.75" thickBot="1" x14ac:dyDescent="0.3">
      <c r="A338" s="51" t="s">
        <v>703</v>
      </c>
      <c r="B338" s="51" t="s">
        <v>707</v>
      </c>
      <c r="C338" s="51" t="s">
        <v>1392</v>
      </c>
      <c r="D338" s="51" t="s">
        <v>1358</v>
      </c>
      <c r="E338" s="51" t="s">
        <v>19</v>
      </c>
      <c r="F338" s="51" t="s">
        <v>1384</v>
      </c>
      <c r="G338" s="51"/>
      <c r="H338" s="51" t="s">
        <v>30</v>
      </c>
      <c r="I338" s="16">
        <v>-348206040000</v>
      </c>
      <c r="J338" s="16">
        <v>-582725050000</v>
      </c>
      <c r="K338" s="51" t="s">
        <v>1140</v>
      </c>
      <c r="L338" s="53">
        <f t="shared" si="23"/>
        <v>30</v>
      </c>
      <c r="M338" s="17">
        <f t="shared" si="24"/>
        <v>0</v>
      </c>
      <c r="N338" s="18">
        <f t="shared" si="25"/>
        <v>1</v>
      </c>
      <c r="O338" s="27"/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8"/>
      <c r="AL338" s="8"/>
      <c r="AM338" s="8"/>
      <c r="AN338" s="27"/>
      <c r="AO338" s="8"/>
      <c r="AP338" s="8"/>
      <c r="AQ338" s="27"/>
      <c r="AR338" s="27"/>
      <c r="AS338" s="27"/>
    </row>
    <row r="339" spans="1:45" ht="15.75" thickBot="1" x14ac:dyDescent="0.3">
      <c r="A339" s="51" t="s">
        <v>703</v>
      </c>
      <c r="B339" s="51" t="s">
        <v>710</v>
      </c>
      <c r="C339" s="51" t="s">
        <v>1392</v>
      </c>
      <c r="D339" s="51" t="s">
        <v>711</v>
      </c>
      <c r="E339" s="51" t="s">
        <v>65</v>
      </c>
      <c r="F339" s="51" t="s">
        <v>25</v>
      </c>
      <c r="G339" s="51"/>
      <c r="H339" s="51" t="s">
        <v>280</v>
      </c>
      <c r="I339" s="16">
        <v>-348227100000</v>
      </c>
      <c r="J339" s="16">
        <v>-582764200000</v>
      </c>
      <c r="K339" s="51" t="s">
        <v>1143</v>
      </c>
      <c r="L339" s="53">
        <f t="shared" si="23"/>
        <v>30</v>
      </c>
      <c r="M339" s="17">
        <f t="shared" si="24"/>
        <v>0</v>
      </c>
      <c r="N339" s="18">
        <f t="shared" si="25"/>
        <v>1</v>
      </c>
      <c r="O339" s="27"/>
      <c r="P339" s="8"/>
      <c r="Q339" s="8"/>
      <c r="R339" s="8"/>
      <c r="S339" s="27"/>
      <c r="T339" s="27"/>
      <c r="U339" s="8"/>
      <c r="V339" s="8"/>
      <c r="W339" s="8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8"/>
      <c r="AL339" s="8"/>
      <c r="AM339" s="8"/>
      <c r="AN339" s="27"/>
      <c r="AO339" s="8"/>
      <c r="AP339" s="8"/>
      <c r="AQ339" s="27"/>
      <c r="AR339" s="27"/>
      <c r="AS339" s="27"/>
    </row>
    <row r="340" spans="1:45" ht="15.75" thickBot="1" x14ac:dyDescent="0.3">
      <c r="A340" s="51" t="s">
        <v>697</v>
      </c>
      <c r="B340" s="51" t="s">
        <v>1359</v>
      </c>
      <c r="C340" s="51" t="s">
        <v>1392</v>
      </c>
      <c r="D340" s="51" t="s">
        <v>738</v>
      </c>
      <c r="E340" s="51" t="s">
        <v>102</v>
      </c>
      <c r="F340" s="51" t="s">
        <v>36</v>
      </c>
      <c r="G340" s="51"/>
      <c r="H340" s="51" t="s">
        <v>230</v>
      </c>
      <c r="I340" s="16">
        <v>-348138590000</v>
      </c>
      <c r="J340" s="16">
        <v>-582734640000</v>
      </c>
      <c r="K340" s="51" t="s">
        <v>1144</v>
      </c>
      <c r="L340" s="53">
        <f t="shared" si="23"/>
        <v>30</v>
      </c>
      <c r="M340" s="17">
        <f t="shared" si="24"/>
        <v>0</v>
      </c>
      <c r="N340" s="18">
        <f t="shared" si="25"/>
        <v>1</v>
      </c>
      <c r="O340" s="27"/>
      <c r="P340" s="8"/>
      <c r="Q340" s="8"/>
      <c r="R340" s="8"/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8"/>
      <c r="AL340" s="8"/>
      <c r="AM340" s="8"/>
      <c r="AN340" s="27"/>
      <c r="AO340" s="8"/>
      <c r="AP340" s="8"/>
      <c r="AQ340" s="27"/>
      <c r="AR340" s="27"/>
      <c r="AS340" s="27"/>
    </row>
    <row r="341" spans="1:45" ht="15.75" thickBot="1" x14ac:dyDescent="0.3">
      <c r="A341" s="51" t="s">
        <v>697</v>
      </c>
      <c r="B341" s="51" t="s">
        <v>1360</v>
      </c>
      <c r="C341" s="51" t="s">
        <v>1392</v>
      </c>
      <c r="D341" s="51" t="s">
        <v>738</v>
      </c>
      <c r="E341" s="51" t="s">
        <v>102</v>
      </c>
      <c r="F341" s="51" t="s">
        <v>36</v>
      </c>
      <c r="G341" s="51"/>
      <c r="H341" s="51" t="s">
        <v>230</v>
      </c>
      <c r="I341" s="16">
        <v>-348138540000</v>
      </c>
      <c r="J341" s="16">
        <v>-582734290000</v>
      </c>
      <c r="K341" s="51" t="s">
        <v>1145</v>
      </c>
      <c r="L341" s="53">
        <f t="shared" si="23"/>
        <v>30</v>
      </c>
      <c r="M341" s="17">
        <f t="shared" si="24"/>
        <v>0</v>
      </c>
      <c r="N341" s="18">
        <f t="shared" si="25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8"/>
      <c r="AL341" s="8"/>
      <c r="AM341" s="8"/>
      <c r="AN341" s="27"/>
      <c r="AO341" s="8"/>
      <c r="AP341" s="8"/>
      <c r="AQ341" s="27"/>
      <c r="AR341" s="27"/>
      <c r="AS341" s="27"/>
    </row>
    <row r="342" spans="1:45" ht="15.75" thickBot="1" x14ac:dyDescent="0.3">
      <c r="A342" s="51" t="s">
        <v>703</v>
      </c>
      <c r="B342" s="51" t="s">
        <v>712</v>
      </c>
      <c r="C342" s="51" t="s">
        <v>1392</v>
      </c>
      <c r="D342" s="51" t="s">
        <v>1361</v>
      </c>
      <c r="E342" s="51" t="s">
        <v>24</v>
      </c>
      <c r="F342" s="51" t="s">
        <v>36</v>
      </c>
      <c r="G342" s="51" t="s">
        <v>713</v>
      </c>
      <c r="H342" s="51"/>
      <c r="I342" s="16">
        <v>-348197840000</v>
      </c>
      <c r="J342" s="16">
        <v>-582731040000</v>
      </c>
      <c r="K342" s="51" t="s">
        <v>1124</v>
      </c>
      <c r="L342" s="53">
        <f t="shared" si="23"/>
        <v>30</v>
      </c>
      <c r="M342" s="17">
        <f t="shared" si="24"/>
        <v>0</v>
      </c>
      <c r="N342" s="18">
        <f t="shared" si="25"/>
        <v>1</v>
      </c>
      <c r="O342" s="27"/>
      <c r="P342" s="8"/>
      <c r="Q342" s="8"/>
      <c r="R342" s="8"/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8"/>
      <c r="AL342" s="8"/>
      <c r="AM342" s="8"/>
      <c r="AN342" s="27"/>
      <c r="AO342" s="8"/>
      <c r="AP342" s="8"/>
      <c r="AQ342" s="27"/>
      <c r="AR342" s="27"/>
      <c r="AS342" s="27"/>
    </row>
    <row r="343" spans="1:45" ht="15.75" thickBot="1" x14ac:dyDescent="0.3">
      <c r="A343" s="51" t="s">
        <v>697</v>
      </c>
      <c r="B343" s="51" t="s">
        <v>714</v>
      </c>
      <c r="C343" s="51" t="s">
        <v>1392</v>
      </c>
      <c r="D343" s="51" t="s">
        <v>1362</v>
      </c>
      <c r="E343" s="51" t="s">
        <v>24</v>
      </c>
      <c r="F343" s="51" t="s">
        <v>36</v>
      </c>
      <c r="G343" s="51" t="s">
        <v>170</v>
      </c>
      <c r="H343" s="51"/>
      <c r="I343" s="16">
        <v>-348187010000</v>
      </c>
      <c r="J343" s="16">
        <v>-582769880000</v>
      </c>
      <c r="K343" s="51" t="s">
        <v>1125</v>
      </c>
      <c r="L343" s="53">
        <f t="shared" si="23"/>
        <v>30</v>
      </c>
      <c r="M343" s="17">
        <f t="shared" si="24"/>
        <v>0</v>
      </c>
      <c r="N343" s="18">
        <f t="shared" si="25"/>
        <v>1</v>
      </c>
      <c r="O343" s="27"/>
      <c r="P343" s="8"/>
      <c r="Q343" s="8"/>
      <c r="R343" s="8"/>
      <c r="S343" s="27"/>
      <c r="T343" s="27"/>
      <c r="U343" s="8"/>
      <c r="V343" s="8"/>
      <c r="W343" s="8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8"/>
      <c r="AL343" s="8"/>
      <c r="AM343" s="8"/>
      <c r="AN343" s="27"/>
      <c r="AO343" s="8"/>
      <c r="AP343" s="8"/>
      <c r="AQ343" s="27"/>
      <c r="AR343" s="27"/>
      <c r="AS343" s="27"/>
    </row>
    <row r="344" spans="1:45" ht="15.75" thickBot="1" x14ac:dyDescent="0.3">
      <c r="A344" s="51" t="s">
        <v>697</v>
      </c>
      <c r="B344" s="51" t="s">
        <v>715</v>
      </c>
      <c r="C344" s="51" t="s">
        <v>1392</v>
      </c>
      <c r="D344" s="51" t="s">
        <v>716</v>
      </c>
      <c r="E344" s="51" t="s">
        <v>24</v>
      </c>
      <c r="F344" s="51" t="s">
        <v>36</v>
      </c>
      <c r="G344" s="51" t="s">
        <v>717</v>
      </c>
      <c r="H344" s="51"/>
      <c r="I344" s="16">
        <v>-348117420000</v>
      </c>
      <c r="J344" s="16">
        <v>-582744990000</v>
      </c>
      <c r="K344" s="51" t="s">
        <v>1126</v>
      </c>
      <c r="L344" s="53">
        <f t="shared" si="23"/>
        <v>30</v>
      </c>
      <c r="M344" s="17">
        <f t="shared" si="24"/>
        <v>0</v>
      </c>
      <c r="N344" s="18">
        <f t="shared" si="25"/>
        <v>1</v>
      </c>
      <c r="O344" s="27"/>
      <c r="P344" s="8"/>
      <c r="Q344" s="8"/>
      <c r="R344" s="8"/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8"/>
      <c r="AL344" s="8"/>
      <c r="AM344" s="8"/>
      <c r="AN344" s="27"/>
      <c r="AO344" s="8"/>
      <c r="AP344" s="8"/>
      <c r="AQ344" s="27"/>
      <c r="AR344" s="27"/>
      <c r="AS344" s="27"/>
    </row>
    <row r="345" spans="1:45" ht="15.75" thickBot="1" x14ac:dyDescent="0.3">
      <c r="A345" s="51" t="s">
        <v>697</v>
      </c>
      <c r="B345" s="51" t="s">
        <v>718</v>
      </c>
      <c r="C345" s="51" t="s">
        <v>1392</v>
      </c>
      <c r="D345" s="51" t="s">
        <v>719</v>
      </c>
      <c r="E345" s="51" t="s">
        <v>24</v>
      </c>
      <c r="F345" s="51" t="s">
        <v>36</v>
      </c>
      <c r="G345" s="51" t="s">
        <v>720</v>
      </c>
      <c r="H345" s="51"/>
      <c r="I345" s="16">
        <v>-348115920000</v>
      </c>
      <c r="J345" s="16">
        <v>-582697890000</v>
      </c>
      <c r="K345" s="51" t="s">
        <v>1127</v>
      </c>
      <c r="L345" s="53">
        <f t="shared" si="23"/>
        <v>30</v>
      </c>
      <c r="M345" s="17">
        <f t="shared" si="24"/>
        <v>0</v>
      </c>
      <c r="N345" s="18">
        <f t="shared" si="25"/>
        <v>1</v>
      </c>
      <c r="O345" s="27"/>
      <c r="P345" s="8"/>
      <c r="Q345" s="8"/>
      <c r="R345" s="8"/>
      <c r="S345" s="27"/>
      <c r="T345" s="27"/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8"/>
      <c r="AL345" s="8"/>
      <c r="AM345" s="8"/>
      <c r="AN345" s="27"/>
      <c r="AO345" s="8"/>
      <c r="AP345" s="8"/>
      <c r="AQ345" s="27"/>
      <c r="AR345" s="27"/>
      <c r="AS345" s="27"/>
    </row>
    <row r="346" spans="1:45" ht="15.75" thickBot="1" x14ac:dyDescent="0.3">
      <c r="A346" s="51" t="s">
        <v>697</v>
      </c>
      <c r="B346" s="51" t="s">
        <v>721</v>
      </c>
      <c r="C346" s="51" t="s">
        <v>1392</v>
      </c>
      <c r="D346" s="51" t="s">
        <v>722</v>
      </c>
      <c r="E346" s="51" t="s">
        <v>24</v>
      </c>
      <c r="F346" s="51" t="s">
        <v>25</v>
      </c>
      <c r="G346" s="51" t="s">
        <v>723</v>
      </c>
      <c r="H346" s="51"/>
      <c r="I346" s="16">
        <v>-348115310000</v>
      </c>
      <c r="J346" s="16">
        <v>-582685340000</v>
      </c>
      <c r="K346" s="51" t="s">
        <v>1128</v>
      </c>
      <c r="L346" s="53">
        <f t="shared" si="23"/>
        <v>30</v>
      </c>
      <c r="M346" s="17">
        <f t="shared" si="24"/>
        <v>0</v>
      </c>
      <c r="N346" s="18">
        <f t="shared" si="25"/>
        <v>1</v>
      </c>
      <c r="O346" s="27"/>
      <c r="P346" s="8"/>
      <c r="Q346" s="8"/>
      <c r="R346" s="8"/>
      <c r="S346" s="27"/>
      <c r="T346" s="27"/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8"/>
      <c r="AL346" s="8"/>
      <c r="AM346" s="8"/>
      <c r="AN346" s="27"/>
      <c r="AO346" s="8"/>
      <c r="AP346" s="8"/>
      <c r="AQ346" s="27"/>
      <c r="AR346" s="27"/>
      <c r="AS346" s="27"/>
    </row>
    <row r="347" spans="1:45" ht="15.75" thickBot="1" x14ac:dyDescent="0.3">
      <c r="A347" s="51" t="s">
        <v>697</v>
      </c>
      <c r="B347" s="51" t="s">
        <v>724</v>
      </c>
      <c r="C347" s="51" t="s">
        <v>1392</v>
      </c>
      <c r="D347" s="51" t="s">
        <v>1401</v>
      </c>
      <c r="E347" s="51" t="s">
        <v>24</v>
      </c>
      <c r="F347" s="51" t="s">
        <v>36</v>
      </c>
      <c r="G347" s="51" t="s">
        <v>60</v>
      </c>
      <c r="H347" s="51"/>
      <c r="I347" s="16">
        <v>-348150260000</v>
      </c>
      <c r="J347" s="16">
        <v>-582775060000</v>
      </c>
      <c r="K347" s="51" t="s">
        <v>1129</v>
      </c>
      <c r="L347" s="53">
        <f t="shared" si="23"/>
        <v>30</v>
      </c>
      <c r="M347" s="17">
        <f t="shared" si="24"/>
        <v>0</v>
      </c>
      <c r="N347" s="18">
        <f t="shared" si="25"/>
        <v>1</v>
      </c>
      <c r="O347" s="27"/>
      <c r="P347" s="8"/>
      <c r="Q347" s="8"/>
      <c r="R347" s="8"/>
      <c r="S347" s="27"/>
      <c r="T347" s="27"/>
      <c r="U347" s="8"/>
      <c r="V347" s="8"/>
      <c r="W347" s="8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8"/>
      <c r="AL347" s="8"/>
      <c r="AM347" s="8"/>
      <c r="AN347" s="27"/>
      <c r="AO347" s="8"/>
      <c r="AP347" s="8"/>
      <c r="AQ347" s="27"/>
      <c r="AR347" s="27"/>
      <c r="AS347" s="27"/>
    </row>
    <row r="348" spans="1:45" ht="15.75" thickBot="1" x14ac:dyDescent="0.3">
      <c r="A348" s="51" t="s">
        <v>697</v>
      </c>
      <c r="B348" s="51" t="s">
        <v>725</v>
      </c>
      <c r="C348" s="51" t="s">
        <v>1391</v>
      </c>
      <c r="D348" s="51" t="s">
        <v>1400</v>
      </c>
      <c r="E348" s="51"/>
      <c r="F348" s="51" t="s">
        <v>1384</v>
      </c>
      <c r="G348" s="51" t="s">
        <v>726</v>
      </c>
      <c r="H348" s="51"/>
      <c r="I348" s="16">
        <v>-348119360000</v>
      </c>
      <c r="J348" s="16">
        <v>-582777500000</v>
      </c>
      <c r="K348" s="51" t="s">
        <v>1130</v>
      </c>
      <c r="L348" s="53">
        <f t="shared" si="23"/>
        <v>25</v>
      </c>
      <c r="M348" s="17">
        <f t="shared" si="24"/>
        <v>5</v>
      </c>
      <c r="N348" s="18">
        <f t="shared" si="25"/>
        <v>0.83333333333333337</v>
      </c>
      <c r="O348" s="27" t="s">
        <v>1209</v>
      </c>
      <c r="P348" s="8"/>
      <c r="Q348" s="8" t="s">
        <v>1209</v>
      </c>
      <c r="R348" s="8" t="s">
        <v>1209</v>
      </c>
      <c r="S348" s="27"/>
      <c r="T348" s="27" t="s">
        <v>1209</v>
      </c>
      <c r="U348" s="8" t="s">
        <v>1209</v>
      </c>
      <c r="V348" s="8"/>
      <c r="W348" s="8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8"/>
      <c r="AL348" s="8"/>
      <c r="AM348" s="8"/>
      <c r="AN348" s="27"/>
      <c r="AO348" s="8"/>
      <c r="AP348" s="8"/>
      <c r="AQ348" s="27"/>
      <c r="AR348" s="27"/>
      <c r="AS348" s="27"/>
    </row>
    <row r="349" spans="1:45" ht="15.75" thickBot="1" x14ac:dyDescent="0.3">
      <c r="A349" s="51" t="s">
        <v>703</v>
      </c>
      <c r="B349" s="51" t="s">
        <v>727</v>
      </c>
      <c r="C349" s="51" t="s">
        <v>1392</v>
      </c>
      <c r="D349" s="51" t="s">
        <v>728</v>
      </c>
      <c r="E349" s="51" t="s">
        <v>24</v>
      </c>
      <c r="F349" s="51" t="s">
        <v>1383</v>
      </c>
      <c r="G349" s="51" t="s">
        <v>146</v>
      </c>
      <c r="H349" s="51"/>
      <c r="I349" s="16">
        <v>-348165160000</v>
      </c>
      <c r="J349" s="16">
        <v>-582725140000</v>
      </c>
      <c r="K349" s="51" t="s">
        <v>1131</v>
      </c>
      <c r="L349" s="53">
        <f t="shared" si="23"/>
        <v>30</v>
      </c>
      <c r="M349" s="17">
        <f t="shared" si="24"/>
        <v>0</v>
      </c>
      <c r="N349" s="18">
        <f t="shared" si="25"/>
        <v>1</v>
      </c>
      <c r="O349" s="27"/>
      <c r="P349" s="8"/>
      <c r="Q349" s="8"/>
      <c r="R349" s="8"/>
      <c r="S349" s="27"/>
      <c r="T349" s="27"/>
      <c r="U349" s="8"/>
      <c r="V349" s="8"/>
      <c r="W349" s="8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8"/>
      <c r="AL349" s="8"/>
      <c r="AM349" s="8"/>
      <c r="AN349" s="27"/>
      <c r="AO349" s="8"/>
      <c r="AP349" s="8"/>
      <c r="AQ349" s="27"/>
      <c r="AR349" s="27"/>
      <c r="AS349" s="27"/>
    </row>
    <row r="350" spans="1:45" ht="15.75" thickBot="1" x14ac:dyDescent="0.3">
      <c r="A350" s="51" t="s">
        <v>703</v>
      </c>
      <c r="B350" s="51" t="s">
        <v>729</v>
      </c>
      <c r="C350" s="51" t="s">
        <v>1392</v>
      </c>
      <c r="D350" s="51" t="s">
        <v>730</v>
      </c>
      <c r="E350" s="51" t="s">
        <v>24</v>
      </c>
      <c r="F350" s="51" t="s">
        <v>36</v>
      </c>
      <c r="G350" s="51" t="s">
        <v>146</v>
      </c>
      <c r="H350" s="51" t="s">
        <v>731</v>
      </c>
      <c r="I350" s="16">
        <v>-348159830000</v>
      </c>
      <c r="J350" s="16">
        <v>-582660100000</v>
      </c>
      <c r="K350" s="51" t="s">
        <v>1132</v>
      </c>
      <c r="L350" s="53">
        <f t="shared" si="23"/>
        <v>30</v>
      </c>
      <c r="M350" s="17">
        <f t="shared" si="24"/>
        <v>0</v>
      </c>
      <c r="N350" s="18">
        <f t="shared" si="25"/>
        <v>1</v>
      </c>
      <c r="O350" s="27"/>
      <c r="P350" s="8"/>
      <c r="Q350" s="8"/>
      <c r="R350" s="8"/>
      <c r="S350" s="27"/>
      <c r="T350" s="27"/>
      <c r="U350" s="8"/>
      <c r="V350" s="8"/>
      <c r="W350" s="8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8"/>
      <c r="AL350" s="8"/>
      <c r="AM350" s="8"/>
      <c r="AN350" s="27"/>
      <c r="AO350" s="8"/>
      <c r="AP350" s="8"/>
      <c r="AQ350" s="27"/>
      <c r="AR350" s="27"/>
      <c r="AS350" s="27"/>
    </row>
    <row r="351" spans="1:45" ht="15.75" thickBot="1" x14ac:dyDescent="0.3">
      <c r="A351" s="51" t="s">
        <v>703</v>
      </c>
      <c r="B351" s="51" t="s">
        <v>733</v>
      </c>
      <c r="C351" s="51" t="s">
        <v>1392</v>
      </c>
      <c r="D351" s="51" t="s">
        <v>734</v>
      </c>
      <c r="E351" s="51" t="s">
        <v>24</v>
      </c>
      <c r="F351" s="51" t="s">
        <v>36</v>
      </c>
      <c r="G351" s="51" t="s">
        <v>713</v>
      </c>
      <c r="H351" s="51"/>
      <c r="I351" s="16">
        <v>-348191940000</v>
      </c>
      <c r="J351" s="16">
        <v>-582720740000</v>
      </c>
      <c r="K351" s="51" t="s">
        <v>1134</v>
      </c>
      <c r="L351" s="53">
        <f t="shared" si="23"/>
        <v>30</v>
      </c>
      <c r="M351" s="17">
        <f t="shared" si="24"/>
        <v>0</v>
      </c>
      <c r="N351" s="18">
        <f t="shared" si="25"/>
        <v>1</v>
      </c>
      <c r="O351" s="27"/>
      <c r="P351" s="8"/>
      <c r="Q351" s="8"/>
      <c r="R351" s="8"/>
      <c r="S351" s="27"/>
      <c r="T351" s="27"/>
      <c r="U351" s="8"/>
      <c r="V351" s="8"/>
      <c r="W351" s="8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/>
      <c r="AR351" s="27"/>
      <c r="AS351" s="27"/>
    </row>
    <row r="352" spans="1:45" ht="15.75" thickBot="1" x14ac:dyDescent="0.3">
      <c r="A352" s="51" t="s">
        <v>703</v>
      </c>
      <c r="B352" s="51" t="s">
        <v>1363</v>
      </c>
      <c r="C352" s="51" t="s">
        <v>1392</v>
      </c>
      <c r="D352" s="51" t="s">
        <v>695</v>
      </c>
      <c r="E352" s="51" t="s">
        <v>19</v>
      </c>
      <c r="F352" s="51" t="s">
        <v>1384</v>
      </c>
      <c r="G352" s="51" t="s">
        <v>170</v>
      </c>
      <c r="H352" s="51" t="s">
        <v>696</v>
      </c>
      <c r="I352" s="16">
        <v>-348153800000</v>
      </c>
      <c r="J352" s="16">
        <v>-582706170000</v>
      </c>
      <c r="K352" s="51" t="s">
        <v>1135</v>
      </c>
      <c r="L352" s="53">
        <f t="shared" si="23"/>
        <v>30</v>
      </c>
      <c r="M352" s="17">
        <f t="shared" si="24"/>
        <v>0</v>
      </c>
      <c r="N352" s="18">
        <f t="shared" si="25"/>
        <v>1</v>
      </c>
      <c r="O352" s="27"/>
      <c r="P352" s="8"/>
      <c r="Q352" s="8"/>
      <c r="R352" s="8"/>
      <c r="S352" s="27"/>
      <c r="T352" s="27"/>
      <c r="U352" s="8"/>
      <c r="V352" s="8"/>
      <c r="W352" s="8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8"/>
      <c r="AL352" s="8"/>
      <c r="AM352" s="8"/>
      <c r="AN352" s="27"/>
      <c r="AO352" s="8"/>
      <c r="AP352" s="8"/>
      <c r="AQ352" s="27"/>
      <c r="AR352" s="27"/>
      <c r="AS352" s="27"/>
    </row>
    <row r="353" spans="1:45" ht="15.75" thickBot="1" x14ac:dyDescent="0.3">
      <c r="A353" s="51" t="s">
        <v>697</v>
      </c>
      <c r="B353" s="51" t="s">
        <v>1364</v>
      </c>
      <c r="C353" s="51" t="s">
        <v>1392</v>
      </c>
      <c r="D353" s="51" t="s">
        <v>698</v>
      </c>
      <c r="E353" s="51" t="s">
        <v>24</v>
      </c>
      <c r="F353" s="51" t="s">
        <v>1384</v>
      </c>
      <c r="G353" s="51" t="s">
        <v>170</v>
      </c>
      <c r="H353" s="51" t="s">
        <v>699</v>
      </c>
      <c r="I353" s="16">
        <v>-348171860000</v>
      </c>
      <c r="J353" s="16">
        <v>-582741990000</v>
      </c>
      <c r="K353" s="51" t="s">
        <v>1136</v>
      </c>
      <c r="L353" s="53">
        <f t="shared" si="23"/>
        <v>30</v>
      </c>
      <c r="M353" s="17">
        <f t="shared" si="24"/>
        <v>0</v>
      </c>
      <c r="N353" s="18">
        <f t="shared" si="25"/>
        <v>1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8"/>
      <c r="AL353" s="8"/>
      <c r="AM353" s="8"/>
      <c r="AN353" s="27"/>
      <c r="AO353" s="8"/>
      <c r="AP353" s="8"/>
      <c r="AQ353" s="27"/>
      <c r="AR353" s="27"/>
      <c r="AS353" s="27"/>
    </row>
    <row r="354" spans="1:45" ht="15.75" thickBot="1" x14ac:dyDescent="0.3">
      <c r="A354" s="51" t="s">
        <v>697</v>
      </c>
      <c r="B354" s="51" t="s">
        <v>1365</v>
      </c>
      <c r="C354" s="51" t="s">
        <v>1392</v>
      </c>
      <c r="D354" s="51" t="s">
        <v>708</v>
      </c>
      <c r="E354" s="51" t="s">
        <v>19</v>
      </c>
      <c r="F354" s="51" t="s">
        <v>1384</v>
      </c>
      <c r="G354" s="51"/>
      <c r="H354" s="51" t="s">
        <v>628</v>
      </c>
      <c r="I354" s="16">
        <v>-348117590000</v>
      </c>
      <c r="J354" s="16">
        <v>-582727020000</v>
      </c>
      <c r="K354" s="51" t="s">
        <v>1141</v>
      </c>
      <c r="L354" s="53">
        <f t="shared" si="23"/>
        <v>30</v>
      </c>
      <c r="M354" s="17">
        <f t="shared" si="24"/>
        <v>0</v>
      </c>
      <c r="N354" s="18">
        <f t="shared" si="25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8"/>
      <c r="AL354" s="8"/>
      <c r="AM354" s="8"/>
      <c r="AN354" s="27"/>
      <c r="AO354" s="8"/>
      <c r="AP354" s="8"/>
      <c r="AQ354" s="27"/>
      <c r="AR354" s="27"/>
      <c r="AS354" s="27"/>
    </row>
    <row r="355" spans="1:45" ht="15.75" thickBot="1" x14ac:dyDescent="0.3">
      <c r="A355" s="51" t="s">
        <v>697</v>
      </c>
      <c r="B355" s="51" t="s">
        <v>1366</v>
      </c>
      <c r="C355" s="51" t="s">
        <v>1392</v>
      </c>
      <c r="D355" s="51" t="s">
        <v>709</v>
      </c>
      <c r="E355" s="51" t="s">
        <v>19</v>
      </c>
      <c r="F355" s="51" t="s">
        <v>25</v>
      </c>
      <c r="G355" s="51"/>
      <c r="H355" s="51" t="s">
        <v>628</v>
      </c>
      <c r="I355" s="16">
        <v>-348138420000</v>
      </c>
      <c r="J355" s="16">
        <v>-582725540000</v>
      </c>
      <c r="K355" s="51" t="s">
        <v>1142</v>
      </c>
      <c r="L355" s="53">
        <f t="shared" si="23"/>
        <v>30</v>
      </c>
      <c r="M355" s="17">
        <f t="shared" si="24"/>
        <v>0</v>
      </c>
      <c r="N355" s="18">
        <f t="shared" si="25"/>
        <v>1</v>
      </c>
      <c r="O355" s="27"/>
      <c r="P355" s="8"/>
      <c r="Q355" s="8"/>
      <c r="R355" s="8"/>
      <c r="S355" s="27"/>
      <c r="T355" s="27"/>
      <c r="U355" s="8"/>
      <c r="V355" s="8"/>
      <c r="W355" s="8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8"/>
      <c r="AL355" s="8"/>
      <c r="AM355" s="8"/>
      <c r="AN355" s="27"/>
      <c r="AO355" s="8"/>
      <c r="AP355" s="8"/>
      <c r="AQ355" s="27"/>
      <c r="AR355" s="27"/>
      <c r="AS355" s="27"/>
    </row>
    <row r="356" spans="1:45" ht="15.75" thickBot="1" x14ac:dyDescent="0.3">
      <c r="A356" s="51" t="s">
        <v>697</v>
      </c>
      <c r="B356" s="51" t="s">
        <v>739</v>
      </c>
      <c r="C356" s="51" t="s">
        <v>1391</v>
      </c>
      <c r="D356" s="51" t="s">
        <v>740</v>
      </c>
      <c r="E356" s="51" t="s">
        <v>102</v>
      </c>
      <c r="F356" s="51" t="s">
        <v>36</v>
      </c>
      <c r="G356" s="51"/>
      <c r="H356" s="51" t="s">
        <v>275</v>
      </c>
      <c r="I356" s="16">
        <v>-348114320000</v>
      </c>
      <c r="J356" s="16">
        <v>-582778570000</v>
      </c>
      <c r="K356" s="51" t="s">
        <v>905</v>
      </c>
      <c r="L356" s="53">
        <f t="shared" si="23"/>
        <v>25</v>
      </c>
      <c r="M356" s="17">
        <f t="shared" si="24"/>
        <v>5</v>
      </c>
      <c r="N356" s="18">
        <f t="shared" si="25"/>
        <v>0.83333333333333337</v>
      </c>
      <c r="O356" s="27" t="s">
        <v>1209</v>
      </c>
      <c r="P356" s="8"/>
      <c r="Q356" s="8" t="s">
        <v>1209</v>
      </c>
      <c r="R356" s="8" t="s">
        <v>1209</v>
      </c>
      <c r="S356" s="27"/>
      <c r="T356" s="27" t="s">
        <v>1209</v>
      </c>
      <c r="U356" s="8" t="s">
        <v>1209</v>
      </c>
      <c r="V356" s="8"/>
      <c r="W356" s="8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8"/>
      <c r="AL356" s="8"/>
      <c r="AM356" s="8"/>
      <c r="AN356" s="27"/>
      <c r="AO356" s="8"/>
      <c r="AP356" s="8"/>
      <c r="AQ356" s="27"/>
      <c r="AR356" s="27"/>
      <c r="AS356" s="27"/>
    </row>
    <row r="357" spans="1:45" ht="15.75" thickBot="1" x14ac:dyDescent="0.3">
      <c r="A357" s="51" t="s">
        <v>697</v>
      </c>
      <c r="B357" s="51" t="s">
        <v>741</v>
      </c>
      <c r="C357" s="51" t="s">
        <v>1391</v>
      </c>
      <c r="D357" s="51" t="s">
        <v>740</v>
      </c>
      <c r="E357" s="51" t="s">
        <v>102</v>
      </c>
      <c r="F357" s="51" t="s">
        <v>36</v>
      </c>
      <c r="G357" s="51"/>
      <c r="H357" s="51" t="s">
        <v>275</v>
      </c>
      <c r="I357" s="16">
        <v>-348114300000</v>
      </c>
      <c r="J357" s="16">
        <v>-582778730000</v>
      </c>
      <c r="K357" s="51" t="s">
        <v>1146</v>
      </c>
      <c r="L357" s="53">
        <f t="shared" si="23"/>
        <v>25</v>
      </c>
      <c r="M357" s="17">
        <f t="shared" si="24"/>
        <v>5</v>
      </c>
      <c r="N357" s="18">
        <f t="shared" si="25"/>
        <v>0.83333333333333337</v>
      </c>
      <c r="O357" s="27" t="s">
        <v>1209</v>
      </c>
      <c r="P357" s="8"/>
      <c r="Q357" s="8" t="s">
        <v>1209</v>
      </c>
      <c r="R357" s="8" t="s">
        <v>1209</v>
      </c>
      <c r="S357" s="27"/>
      <c r="T357" s="27" t="s">
        <v>1209</v>
      </c>
      <c r="U357" s="8" t="s">
        <v>1209</v>
      </c>
      <c r="V357" s="8"/>
      <c r="W357" s="8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8"/>
      <c r="AL357" s="8"/>
      <c r="AM357" s="8"/>
      <c r="AN357" s="27"/>
      <c r="AO357" s="8"/>
      <c r="AP357" s="8"/>
      <c r="AQ357" s="27"/>
      <c r="AR357" s="27"/>
      <c r="AS357" s="27"/>
    </row>
    <row r="358" spans="1:45" ht="15.75" thickBot="1" x14ac:dyDescent="0.3">
      <c r="A358" s="51" t="s">
        <v>562</v>
      </c>
      <c r="B358" s="51" t="s">
        <v>1367</v>
      </c>
      <c r="C358" s="51" t="s">
        <v>1391</v>
      </c>
      <c r="D358" s="51" t="s">
        <v>747</v>
      </c>
      <c r="E358" s="51" t="s">
        <v>24</v>
      </c>
      <c r="F358" s="51" t="s">
        <v>36</v>
      </c>
      <c r="G358" s="51" t="s">
        <v>544</v>
      </c>
      <c r="H358" s="51"/>
      <c r="I358" s="16">
        <v>-347743850000</v>
      </c>
      <c r="J358" s="16">
        <v>-582816550000</v>
      </c>
      <c r="K358" s="51" t="s">
        <v>1149</v>
      </c>
      <c r="L358" s="53">
        <f t="shared" si="23"/>
        <v>30</v>
      </c>
      <c r="M358" s="17">
        <f t="shared" si="24"/>
        <v>0</v>
      </c>
      <c r="N358" s="18">
        <f t="shared" si="25"/>
        <v>1</v>
      </c>
      <c r="O358" s="27"/>
      <c r="P358" s="8"/>
      <c r="Q358" s="8"/>
      <c r="R358" s="8"/>
      <c r="S358" s="27"/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8"/>
      <c r="AL358" s="8"/>
      <c r="AM358" s="8"/>
      <c r="AN358" s="27"/>
      <c r="AO358" s="8"/>
      <c r="AP358" s="8"/>
      <c r="AQ358" s="27"/>
      <c r="AR358" s="27"/>
      <c r="AS358" s="27"/>
    </row>
    <row r="359" spans="1:45" ht="15.75" thickBot="1" x14ac:dyDescent="0.3">
      <c r="A359" s="51" t="s">
        <v>411</v>
      </c>
      <c r="B359" s="51" t="s">
        <v>1368</v>
      </c>
      <c r="C359" s="51" t="s">
        <v>1391</v>
      </c>
      <c r="D359" s="51" t="s">
        <v>748</v>
      </c>
      <c r="E359" s="51" t="s">
        <v>24</v>
      </c>
      <c r="F359" s="51" t="s">
        <v>36</v>
      </c>
      <c r="G359" s="51" t="s">
        <v>170</v>
      </c>
      <c r="H359" s="51"/>
      <c r="I359" s="16">
        <v>-347773100000</v>
      </c>
      <c r="J359" s="16">
        <v>-582804110000</v>
      </c>
      <c r="K359" s="51" t="s">
        <v>1150</v>
      </c>
      <c r="L359" s="53">
        <f t="shared" si="23"/>
        <v>30</v>
      </c>
      <c r="M359" s="17">
        <f t="shared" si="24"/>
        <v>0</v>
      </c>
      <c r="N359" s="18">
        <f t="shared" si="25"/>
        <v>1</v>
      </c>
      <c r="O359" s="27"/>
      <c r="P359" s="8"/>
      <c r="Q359" s="8"/>
      <c r="R359" s="8"/>
      <c r="S359" s="27"/>
      <c r="T359" s="27"/>
      <c r="U359" s="8"/>
      <c r="V359" s="8"/>
      <c r="W359" s="8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8"/>
      <c r="AL359" s="8"/>
      <c r="AM359" s="8"/>
      <c r="AN359" s="27"/>
      <c r="AO359" s="8"/>
      <c r="AP359" s="8"/>
      <c r="AQ359" s="27"/>
      <c r="AR359" s="27"/>
      <c r="AS359" s="27"/>
    </row>
    <row r="360" spans="1:45" ht="15.75" thickBot="1" x14ac:dyDescent="0.3">
      <c r="A360" s="51" t="s">
        <v>562</v>
      </c>
      <c r="B360" s="51" t="s">
        <v>742</v>
      </c>
      <c r="C360" s="51" t="s">
        <v>1391</v>
      </c>
      <c r="D360" s="51" t="s">
        <v>743</v>
      </c>
      <c r="E360" s="51" t="s">
        <v>24</v>
      </c>
      <c r="F360" s="51" t="s">
        <v>36</v>
      </c>
      <c r="G360" s="51" t="s">
        <v>744</v>
      </c>
      <c r="H360" s="51" t="s">
        <v>745</v>
      </c>
      <c r="I360" s="16">
        <v>-347781830000</v>
      </c>
      <c r="J360" s="16">
        <v>-582883670000</v>
      </c>
      <c r="K360" s="51" t="s">
        <v>1153</v>
      </c>
      <c r="L360" s="53">
        <f t="shared" si="23"/>
        <v>30</v>
      </c>
      <c r="M360" s="17">
        <f t="shared" si="24"/>
        <v>0</v>
      </c>
      <c r="N360" s="18">
        <f t="shared" si="25"/>
        <v>1</v>
      </c>
      <c r="O360" s="27"/>
      <c r="P360" s="8"/>
      <c r="Q360" s="8"/>
      <c r="R360" s="8"/>
      <c r="S360" s="27"/>
      <c r="T360" s="27"/>
      <c r="U360" s="8"/>
      <c r="V360" s="8"/>
      <c r="W360" s="8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8"/>
      <c r="AL360" s="8"/>
      <c r="AM360" s="8"/>
      <c r="AN360" s="27"/>
      <c r="AO360" s="8"/>
      <c r="AP360" s="8"/>
      <c r="AQ360" s="27"/>
      <c r="AR360" s="27"/>
      <c r="AS360" s="27"/>
    </row>
    <row r="361" spans="1:45" ht="15.75" thickBot="1" x14ac:dyDescent="0.3">
      <c r="A361" s="51" t="s">
        <v>562</v>
      </c>
      <c r="B361" s="51" t="s">
        <v>749</v>
      </c>
      <c r="C361" s="51" t="s">
        <v>1391</v>
      </c>
      <c r="D361" s="51" t="s">
        <v>750</v>
      </c>
      <c r="E361" s="51" t="s">
        <v>102</v>
      </c>
      <c r="F361" s="51" t="s">
        <v>36</v>
      </c>
      <c r="G361" s="51"/>
      <c r="H361" s="51" t="s">
        <v>230</v>
      </c>
      <c r="I361" s="16">
        <v>-347807260000</v>
      </c>
      <c r="J361" s="16">
        <v>-582820830000</v>
      </c>
      <c r="K361" s="51" t="s">
        <v>1147</v>
      </c>
      <c r="L361" s="53">
        <f t="shared" si="23"/>
        <v>24</v>
      </c>
      <c r="M361" s="17">
        <f t="shared" si="24"/>
        <v>6</v>
      </c>
      <c r="N361" s="18">
        <f t="shared" si="25"/>
        <v>0.8</v>
      </c>
      <c r="O361" s="27" t="s">
        <v>1209</v>
      </c>
      <c r="P361" s="8"/>
      <c r="Q361" s="8" t="s">
        <v>1209</v>
      </c>
      <c r="R361" s="8" t="s">
        <v>1209</v>
      </c>
      <c r="S361" s="27" t="s">
        <v>1209</v>
      </c>
      <c r="T361" s="27" t="s">
        <v>1209</v>
      </c>
      <c r="U361" s="8" t="s">
        <v>1209</v>
      </c>
      <c r="V361" s="8"/>
      <c r="W361" s="8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8"/>
      <c r="AL361" s="8"/>
      <c r="AM361" s="8"/>
      <c r="AN361" s="27"/>
      <c r="AO361" s="8"/>
      <c r="AP361" s="8"/>
      <c r="AQ361" s="27"/>
      <c r="AR361" s="27"/>
      <c r="AS361" s="27"/>
    </row>
    <row r="362" spans="1:45" ht="15.75" thickBot="1" x14ac:dyDescent="0.3">
      <c r="A362" s="51" t="s">
        <v>562</v>
      </c>
      <c r="B362" s="51" t="s">
        <v>751</v>
      </c>
      <c r="C362" s="51" t="s">
        <v>1391</v>
      </c>
      <c r="D362" s="51" t="s">
        <v>750</v>
      </c>
      <c r="E362" s="51" t="s">
        <v>102</v>
      </c>
      <c r="F362" s="51" t="s">
        <v>36</v>
      </c>
      <c r="G362" s="51"/>
      <c r="H362" s="51" t="s">
        <v>230</v>
      </c>
      <c r="I362" s="16">
        <v>-347807260000</v>
      </c>
      <c r="J362" s="16">
        <v>-582820830000</v>
      </c>
      <c r="K362" s="51" t="s">
        <v>1148</v>
      </c>
      <c r="L362" s="53">
        <f t="shared" si="23"/>
        <v>24</v>
      </c>
      <c r="M362" s="17">
        <f t="shared" si="24"/>
        <v>6</v>
      </c>
      <c r="N362" s="18">
        <f t="shared" si="25"/>
        <v>0.8</v>
      </c>
      <c r="O362" s="27" t="s">
        <v>1209</v>
      </c>
      <c r="P362" s="8"/>
      <c r="Q362" s="8" t="s">
        <v>1209</v>
      </c>
      <c r="R362" s="8" t="s">
        <v>1209</v>
      </c>
      <c r="S362" s="27" t="s">
        <v>1209</v>
      </c>
      <c r="T362" s="27" t="s">
        <v>1209</v>
      </c>
      <c r="U362" s="8" t="s">
        <v>1209</v>
      </c>
      <c r="V362" s="8"/>
      <c r="W362" s="8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8"/>
      <c r="AL362" s="8"/>
      <c r="AM362" s="8"/>
      <c r="AN362" s="27"/>
      <c r="AO362" s="8"/>
      <c r="AP362" s="8"/>
      <c r="AQ362" s="27"/>
      <c r="AR362" s="27"/>
      <c r="AS362" s="27"/>
    </row>
    <row r="363" spans="1:45" ht="15.75" thickBot="1" x14ac:dyDescent="0.3">
      <c r="A363" s="51" t="s">
        <v>562</v>
      </c>
      <c r="B363" s="51" t="s">
        <v>752</v>
      </c>
      <c r="C363" s="51" t="s">
        <v>1391</v>
      </c>
      <c r="D363" s="51" t="s">
        <v>753</v>
      </c>
      <c r="E363" s="51" t="s">
        <v>102</v>
      </c>
      <c r="F363" s="51" t="s">
        <v>36</v>
      </c>
      <c r="G363" s="51" t="s">
        <v>754</v>
      </c>
      <c r="H363" s="51" t="s">
        <v>745</v>
      </c>
      <c r="I363" s="16">
        <v>-347798010000</v>
      </c>
      <c r="J363" s="16">
        <v>-582870530000</v>
      </c>
      <c r="K363" s="51" t="s">
        <v>1151</v>
      </c>
      <c r="L363" s="53">
        <f t="shared" si="23"/>
        <v>30</v>
      </c>
      <c r="M363" s="17">
        <f t="shared" si="24"/>
        <v>0</v>
      </c>
      <c r="N363" s="18">
        <f t="shared" si="25"/>
        <v>1</v>
      </c>
      <c r="O363" s="27"/>
      <c r="P363" s="8"/>
      <c r="Q363" s="8"/>
      <c r="R363" s="8"/>
      <c r="S363" s="27"/>
      <c r="T363" s="27"/>
      <c r="U363" s="8"/>
      <c r="V363" s="8"/>
      <c r="W363" s="8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8"/>
      <c r="AL363" s="8"/>
      <c r="AM363" s="8"/>
      <c r="AN363" s="27"/>
      <c r="AO363" s="8"/>
      <c r="AP363" s="8"/>
      <c r="AQ363" s="27"/>
      <c r="AR363" s="27"/>
      <c r="AS363" s="27"/>
    </row>
    <row r="364" spans="1:45" ht="15.75" thickBot="1" x14ac:dyDescent="0.3">
      <c r="A364" s="51" t="s">
        <v>562</v>
      </c>
      <c r="B364" s="51" t="s">
        <v>755</v>
      </c>
      <c r="C364" s="51" t="s">
        <v>1391</v>
      </c>
      <c r="D364" s="51" t="s">
        <v>753</v>
      </c>
      <c r="E364" s="51" t="s">
        <v>102</v>
      </c>
      <c r="F364" s="51" t="s">
        <v>36</v>
      </c>
      <c r="G364" s="51" t="s">
        <v>754</v>
      </c>
      <c r="H364" s="51" t="s">
        <v>745</v>
      </c>
      <c r="I364" s="16">
        <v>-347797690000</v>
      </c>
      <c r="J364" s="16">
        <v>-582869910000</v>
      </c>
      <c r="K364" s="51" t="s">
        <v>1152</v>
      </c>
      <c r="L364" s="53">
        <f t="shared" si="23"/>
        <v>30</v>
      </c>
      <c r="M364" s="17">
        <f t="shared" si="24"/>
        <v>0</v>
      </c>
      <c r="N364" s="18">
        <f t="shared" si="25"/>
        <v>1</v>
      </c>
      <c r="O364" s="27"/>
      <c r="P364" s="8"/>
      <c r="Q364" s="8"/>
      <c r="R364" s="8"/>
      <c r="S364" s="27"/>
      <c r="T364" s="27"/>
      <c r="U364" s="8"/>
      <c r="V364" s="8"/>
      <c r="W364" s="8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8"/>
      <c r="AL364" s="8"/>
      <c r="AM364" s="8"/>
      <c r="AN364" s="27"/>
      <c r="AO364" s="8"/>
      <c r="AP364" s="8"/>
      <c r="AQ364" s="27"/>
      <c r="AR364" s="27"/>
      <c r="AS364" s="27"/>
    </row>
    <row r="365" spans="1:45" ht="15.75" thickBot="1" x14ac:dyDescent="0.3">
      <c r="A365" s="51" t="s">
        <v>562</v>
      </c>
      <c r="B365" s="51" t="s">
        <v>756</v>
      </c>
      <c r="C365" s="51" t="s">
        <v>1391</v>
      </c>
      <c r="D365" s="51" t="s">
        <v>757</v>
      </c>
      <c r="E365" s="51" t="s">
        <v>19</v>
      </c>
      <c r="F365" s="51" t="s">
        <v>36</v>
      </c>
      <c r="G365" s="51"/>
      <c r="H365" s="51" t="s">
        <v>237</v>
      </c>
      <c r="I365" s="16">
        <v>-347753360000</v>
      </c>
      <c r="J365" s="16">
        <v>-582834130000</v>
      </c>
      <c r="K365" s="51" t="s">
        <v>1154</v>
      </c>
      <c r="L365" s="53">
        <f t="shared" si="23"/>
        <v>30</v>
      </c>
      <c r="M365" s="17">
        <f t="shared" si="24"/>
        <v>0</v>
      </c>
      <c r="N365" s="18">
        <f t="shared" si="25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8"/>
      <c r="AL365" s="8"/>
      <c r="AM365" s="8"/>
      <c r="AN365" s="27"/>
      <c r="AO365" s="8"/>
      <c r="AP365" s="8"/>
      <c r="AQ365" s="27"/>
      <c r="AR365" s="27"/>
      <c r="AS365" s="27"/>
    </row>
    <row r="366" spans="1:45" ht="15.75" thickBot="1" x14ac:dyDescent="0.3">
      <c r="A366" s="51" t="s">
        <v>658</v>
      </c>
      <c r="B366" s="51" t="s">
        <v>758</v>
      </c>
      <c r="C366" s="51" t="s">
        <v>1391</v>
      </c>
      <c r="D366" s="51" t="s">
        <v>759</v>
      </c>
      <c r="E366" s="51" t="s">
        <v>24</v>
      </c>
      <c r="F366" s="51" t="s">
        <v>36</v>
      </c>
      <c r="G366" s="51" t="s">
        <v>335</v>
      </c>
      <c r="H366" s="51"/>
      <c r="I366" s="16">
        <v>-347957790000</v>
      </c>
      <c r="J366" s="16">
        <v>-582557990000</v>
      </c>
      <c r="K366" s="51" t="s">
        <v>1155</v>
      </c>
      <c r="L366" s="53">
        <f t="shared" si="23"/>
        <v>30</v>
      </c>
      <c r="M366" s="17">
        <f t="shared" si="24"/>
        <v>0</v>
      </c>
      <c r="N366" s="18">
        <f t="shared" si="25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8"/>
      <c r="AL366" s="8"/>
      <c r="AM366" s="8"/>
      <c r="AN366" s="27"/>
      <c r="AO366" s="8"/>
      <c r="AP366" s="8"/>
      <c r="AQ366" s="27"/>
      <c r="AR366" s="27"/>
      <c r="AS366" s="27"/>
    </row>
    <row r="367" spans="1:45" ht="15.75" thickBot="1" x14ac:dyDescent="0.3">
      <c r="A367" s="51" t="s">
        <v>658</v>
      </c>
      <c r="B367" s="51" t="s">
        <v>760</v>
      </c>
      <c r="C367" s="51" t="s">
        <v>1391</v>
      </c>
      <c r="D367" s="51" t="s">
        <v>761</v>
      </c>
      <c r="E367" s="51" t="s">
        <v>24</v>
      </c>
      <c r="F367" s="51" t="s">
        <v>25</v>
      </c>
      <c r="G367" s="51" t="s">
        <v>60</v>
      </c>
      <c r="H367" s="51" t="s">
        <v>762</v>
      </c>
      <c r="I367" s="16">
        <v>-347986250000</v>
      </c>
      <c r="J367" s="16">
        <v>-582551820000</v>
      </c>
      <c r="K367" s="51" t="s">
        <v>1156</v>
      </c>
      <c r="L367" s="53">
        <f t="shared" si="23"/>
        <v>30</v>
      </c>
      <c r="M367" s="17">
        <f t="shared" si="24"/>
        <v>0</v>
      </c>
      <c r="N367" s="18">
        <f t="shared" si="25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8"/>
      <c r="AL367" s="8"/>
      <c r="AM367" s="8"/>
      <c r="AN367" s="27"/>
      <c r="AO367" s="8"/>
      <c r="AP367" s="8"/>
      <c r="AQ367" s="27"/>
      <c r="AR367" s="27"/>
      <c r="AS367" s="27"/>
    </row>
    <row r="368" spans="1:45" ht="15.75" thickBot="1" x14ac:dyDescent="0.3">
      <c r="A368" s="51" t="s">
        <v>658</v>
      </c>
      <c r="B368" s="51" t="s">
        <v>763</v>
      </c>
      <c r="C368" s="51" t="s">
        <v>1391</v>
      </c>
      <c r="D368" s="51" t="s">
        <v>764</v>
      </c>
      <c r="E368" s="51" t="s">
        <v>24</v>
      </c>
      <c r="F368" s="51" t="s">
        <v>25</v>
      </c>
      <c r="G368" s="51" t="s">
        <v>146</v>
      </c>
      <c r="H368" s="51"/>
      <c r="I368" s="16">
        <v>-348016910000</v>
      </c>
      <c r="J368" s="16">
        <v>-582610020000</v>
      </c>
      <c r="K368" s="51" t="s">
        <v>1157</v>
      </c>
      <c r="L368" s="53">
        <f t="shared" si="23"/>
        <v>30</v>
      </c>
      <c r="M368" s="17">
        <f t="shared" si="24"/>
        <v>0</v>
      </c>
      <c r="N368" s="18">
        <f t="shared" si="25"/>
        <v>1</v>
      </c>
      <c r="O368" s="27"/>
      <c r="P368" s="8"/>
      <c r="Q368" s="8"/>
      <c r="R368" s="8"/>
      <c r="S368" s="27"/>
      <c r="T368" s="27"/>
      <c r="U368" s="8"/>
      <c r="V368" s="8"/>
      <c r="W368" s="8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8"/>
      <c r="AL368" s="8"/>
      <c r="AM368" s="8"/>
      <c r="AN368" s="27"/>
      <c r="AO368" s="8"/>
      <c r="AP368" s="8"/>
      <c r="AQ368" s="27"/>
      <c r="AR368" s="27"/>
      <c r="AS368" s="27"/>
    </row>
    <row r="369" spans="1:45" ht="15.75" thickBot="1" x14ac:dyDescent="0.3">
      <c r="A369" s="51" t="s">
        <v>658</v>
      </c>
      <c r="B369" s="51" t="s">
        <v>765</v>
      </c>
      <c r="C369" s="51" t="s">
        <v>1391</v>
      </c>
      <c r="D369" s="51" t="s">
        <v>766</v>
      </c>
      <c r="E369" s="51" t="s">
        <v>24</v>
      </c>
      <c r="F369" s="51" t="s">
        <v>1384</v>
      </c>
      <c r="G369" s="51" t="s">
        <v>60</v>
      </c>
      <c r="H369" s="51"/>
      <c r="I369" s="16">
        <v>-347937530000</v>
      </c>
      <c r="J369" s="16">
        <v>-582478490000</v>
      </c>
      <c r="K369" s="51" t="s">
        <v>1158</v>
      </c>
      <c r="L369" s="53">
        <f t="shared" si="23"/>
        <v>30</v>
      </c>
      <c r="M369" s="17">
        <f t="shared" si="24"/>
        <v>0</v>
      </c>
      <c r="N369" s="18">
        <f t="shared" si="25"/>
        <v>1</v>
      </c>
      <c r="O369" s="27"/>
      <c r="P369" s="8"/>
      <c r="Q369" s="8"/>
      <c r="R369" s="8"/>
      <c r="S369" s="27"/>
      <c r="T369" s="27"/>
      <c r="U369" s="8"/>
      <c r="V369" s="8"/>
      <c r="W369" s="8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8"/>
      <c r="AL369" s="8"/>
      <c r="AM369" s="8"/>
      <c r="AN369" s="27"/>
      <c r="AO369" s="8"/>
      <c r="AP369" s="8"/>
      <c r="AQ369" s="27"/>
      <c r="AR369" s="27"/>
      <c r="AS369" s="27"/>
    </row>
    <row r="370" spans="1:45" ht="15.75" thickBot="1" x14ac:dyDescent="0.3">
      <c r="A370" s="51" t="s">
        <v>652</v>
      </c>
      <c r="B370" s="51" t="s">
        <v>767</v>
      </c>
      <c r="C370" s="51" t="s">
        <v>1391</v>
      </c>
      <c r="D370" s="51" t="s">
        <v>768</v>
      </c>
      <c r="E370" s="51" t="s">
        <v>24</v>
      </c>
      <c r="F370" s="51" t="s">
        <v>25</v>
      </c>
      <c r="G370" s="51" t="s">
        <v>769</v>
      </c>
      <c r="H370" s="51"/>
      <c r="I370" s="16">
        <v>-347994440000</v>
      </c>
      <c r="J370" s="16">
        <v>-582627080000</v>
      </c>
      <c r="K370" s="51" t="s">
        <v>1159</v>
      </c>
      <c r="L370" s="53">
        <f t="shared" si="23"/>
        <v>28</v>
      </c>
      <c r="M370" s="17">
        <f t="shared" si="24"/>
        <v>2</v>
      </c>
      <c r="N370" s="18">
        <f t="shared" si="25"/>
        <v>0.93333333333333335</v>
      </c>
      <c r="O370" s="27"/>
      <c r="P370" s="8"/>
      <c r="Q370" s="8"/>
      <c r="R370" s="8"/>
      <c r="S370" s="27"/>
      <c r="T370" s="27" t="s">
        <v>1209</v>
      </c>
      <c r="U370" s="8" t="s">
        <v>1209</v>
      </c>
      <c r="V370" s="8"/>
      <c r="W370" s="8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</row>
    <row r="371" spans="1:45" ht="15.75" thickBot="1" x14ac:dyDescent="0.3">
      <c r="A371" s="51" t="s">
        <v>770</v>
      </c>
      <c r="B371" s="51" t="s">
        <v>771</v>
      </c>
      <c r="C371" s="51" t="s">
        <v>1392</v>
      </c>
      <c r="D371" s="51" t="s">
        <v>772</v>
      </c>
      <c r="E371" s="51" t="s">
        <v>19</v>
      </c>
      <c r="F371" s="51" t="s">
        <v>36</v>
      </c>
      <c r="G371" s="51"/>
      <c r="H371" s="51" t="s">
        <v>311</v>
      </c>
      <c r="I371" s="16">
        <v>-348374820000</v>
      </c>
      <c r="J371" s="16">
        <v>-582378510000</v>
      </c>
      <c r="K371" s="51" t="s">
        <v>1160</v>
      </c>
      <c r="L371" s="53">
        <f t="shared" si="23"/>
        <v>29</v>
      </c>
      <c r="M371" s="17">
        <f t="shared" si="24"/>
        <v>1</v>
      </c>
      <c r="N371" s="18">
        <f t="shared" si="25"/>
        <v>0.96666666666666667</v>
      </c>
      <c r="O371" s="27"/>
      <c r="P371" s="27"/>
      <c r="Q371" s="27"/>
      <c r="R371" s="27"/>
      <c r="S371" s="27"/>
      <c r="T371" s="27"/>
      <c r="U371" s="27" t="s">
        <v>1209</v>
      </c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</row>
    <row r="372" spans="1:45" ht="15.75" thickBot="1" x14ac:dyDescent="0.3">
      <c r="A372" s="51" t="s">
        <v>770</v>
      </c>
      <c r="B372" s="51" t="s">
        <v>773</v>
      </c>
      <c r="C372" s="51" t="s">
        <v>1392</v>
      </c>
      <c r="D372" s="51" t="s">
        <v>774</v>
      </c>
      <c r="E372" s="51" t="s">
        <v>19</v>
      </c>
      <c r="F372" s="51" t="s">
        <v>36</v>
      </c>
      <c r="G372" s="51"/>
      <c r="H372" s="51" t="s">
        <v>311</v>
      </c>
      <c r="I372" s="16">
        <v>-348349880000</v>
      </c>
      <c r="J372" s="16">
        <v>-582351700000</v>
      </c>
      <c r="K372" s="51" t="s">
        <v>1161</v>
      </c>
      <c r="L372" s="53">
        <f t="shared" si="23"/>
        <v>29</v>
      </c>
      <c r="M372" s="17">
        <f t="shared" si="24"/>
        <v>1</v>
      </c>
      <c r="N372" s="18">
        <f t="shared" si="25"/>
        <v>0.96666666666666667</v>
      </c>
      <c r="O372" s="27"/>
      <c r="P372" s="27"/>
      <c r="Q372" s="27"/>
      <c r="R372" s="27"/>
      <c r="S372" s="27"/>
      <c r="T372" s="27"/>
      <c r="U372" s="27" t="s">
        <v>1209</v>
      </c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</row>
    <row r="373" spans="1:45" s="51" customFormat="1" ht="15.75" thickBot="1" x14ac:dyDescent="0.3">
      <c r="A373" s="51" t="s">
        <v>770</v>
      </c>
      <c r="B373" s="51" t="s">
        <v>1369</v>
      </c>
      <c r="C373" s="51" t="s">
        <v>1392</v>
      </c>
      <c r="D373" s="51" t="s">
        <v>775</v>
      </c>
      <c r="E373" s="51" t="s">
        <v>102</v>
      </c>
      <c r="F373" s="51" t="s">
        <v>36</v>
      </c>
      <c r="H373" s="51" t="s">
        <v>230</v>
      </c>
      <c r="I373" s="16">
        <v>-348382350000</v>
      </c>
      <c r="J373" s="16">
        <v>-582372950000</v>
      </c>
      <c r="K373" s="51" t="s">
        <v>1162</v>
      </c>
      <c r="L373" s="53">
        <f t="shared" si="23"/>
        <v>29</v>
      </c>
      <c r="M373" s="53">
        <f t="shared" ref="M373:M379" si="26">COUNTIF(O373:AP373,"APAGADO")</f>
        <v>1</v>
      </c>
      <c r="N373" s="54">
        <f t="shared" ref="N373:N379" si="27">(L373)/(M373+L373)</f>
        <v>0.96666666666666667</v>
      </c>
      <c r="O373" s="27"/>
      <c r="P373" s="27"/>
      <c r="Q373" s="27"/>
      <c r="R373" s="27"/>
      <c r="S373" s="27"/>
      <c r="T373" s="27"/>
      <c r="U373" s="27" t="s">
        <v>1209</v>
      </c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  <c r="AS373" s="27"/>
    </row>
    <row r="374" spans="1:45" s="51" customFormat="1" ht="15.75" thickBot="1" x14ac:dyDescent="0.3">
      <c r="A374" s="51" t="s">
        <v>770</v>
      </c>
      <c r="B374" s="51" t="s">
        <v>1370</v>
      </c>
      <c r="C374" s="51" t="s">
        <v>1392</v>
      </c>
      <c r="D374" s="51" t="s">
        <v>775</v>
      </c>
      <c r="E374" s="51" t="s">
        <v>102</v>
      </c>
      <c r="F374" s="51" t="s">
        <v>36</v>
      </c>
      <c r="H374" s="51" t="s">
        <v>230</v>
      </c>
      <c r="I374" s="16">
        <v>-348382440000</v>
      </c>
      <c r="J374" s="16">
        <v>-582373030000</v>
      </c>
      <c r="K374" s="51" t="s">
        <v>1163</v>
      </c>
      <c r="L374" s="53">
        <f t="shared" si="23"/>
        <v>29</v>
      </c>
      <c r="M374" s="53">
        <f t="shared" si="26"/>
        <v>1</v>
      </c>
      <c r="N374" s="54">
        <f t="shared" si="27"/>
        <v>0.96666666666666667</v>
      </c>
      <c r="O374" s="27"/>
      <c r="P374" s="27"/>
      <c r="Q374" s="27"/>
      <c r="R374" s="27"/>
      <c r="S374" s="27"/>
      <c r="T374" s="27"/>
      <c r="U374" s="27" t="s">
        <v>1209</v>
      </c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  <c r="AS374" s="27"/>
    </row>
    <row r="375" spans="1:45" s="51" customFormat="1" ht="15.75" thickBot="1" x14ac:dyDescent="0.3">
      <c r="A375" s="51" t="s">
        <v>776</v>
      </c>
      <c r="B375" s="51" t="s">
        <v>1371</v>
      </c>
      <c r="C375" s="51" t="s">
        <v>1392</v>
      </c>
      <c r="D375" s="51" t="s">
        <v>777</v>
      </c>
      <c r="E375" s="51" t="s">
        <v>102</v>
      </c>
      <c r="F375" s="51" t="s">
        <v>36</v>
      </c>
      <c r="H375" s="51" t="s">
        <v>778</v>
      </c>
      <c r="I375" s="16">
        <v>-348173980000</v>
      </c>
      <c r="J375" s="16">
        <v>-582515460000</v>
      </c>
      <c r="K375" s="51" t="s">
        <v>1164</v>
      </c>
      <c r="L375" s="53">
        <f t="shared" si="23"/>
        <v>30</v>
      </c>
      <c r="M375" s="53">
        <f t="shared" si="26"/>
        <v>0</v>
      </c>
      <c r="N375" s="54">
        <f t="shared" si="27"/>
        <v>1</v>
      </c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  <c r="AS375" s="27"/>
    </row>
    <row r="376" spans="1:45" s="51" customFormat="1" ht="15.75" thickBot="1" x14ac:dyDescent="0.3">
      <c r="A376" s="51" t="s">
        <v>776</v>
      </c>
      <c r="B376" s="51" t="s">
        <v>1372</v>
      </c>
      <c r="C376" s="51" t="s">
        <v>1392</v>
      </c>
      <c r="D376" s="51" t="s">
        <v>779</v>
      </c>
      <c r="E376" s="51" t="s">
        <v>19</v>
      </c>
      <c r="F376" s="51" t="s">
        <v>36</v>
      </c>
      <c r="H376" s="51" t="s">
        <v>230</v>
      </c>
      <c r="I376" s="16">
        <v>-348108560000</v>
      </c>
      <c r="J376" s="16">
        <v>-582592810000</v>
      </c>
      <c r="K376" s="51" t="s">
        <v>1165</v>
      </c>
      <c r="L376" s="53">
        <f t="shared" si="23"/>
        <v>30</v>
      </c>
      <c r="M376" s="53">
        <f t="shared" si="26"/>
        <v>0</v>
      </c>
      <c r="N376" s="54">
        <f t="shared" si="27"/>
        <v>1</v>
      </c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  <c r="AS376" s="27"/>
    </row>
    <row r="377" spans="1:45" s="51" customFormat="1" ht="15.75" thickBot="1" x14ac:dyDescent="0.3">
      <c r="A377" s="51" t="s">
        <v>776</v>
      </c>
      <c r="B377" s="51" t="s">
        <v>780</v>
      </c>
      <c r="C377" s="51" t="s">
        <v>1392</v>
      </c>
      <c r="D377" s="51" t="s">
        <v>781</v>
      </c>
      <c r="E377" s="51" t="s">
        <v>102</v>
      </c>
      <c r="F377" s="51" t="s">
        <v>36</v>
      </c>
      <c r="H377" s="51" t="s">
        <v>782</v>
      </c>
      <c r="I377" s="16">
        <v>-348173990000</v>
      </c>
      <c r="J377" s="16">
        <v>-582515250000</v>
      </c>
      <c r="K377" s="51" t="s">
        <v>1166</v>
      </c>
      <c r="L377" s="53">
        <f t="shared" si="23"/>
        <v>30</v>
      </c>
      <c r="M377" s="53">
        <f t="shared" si="26"/>
        <v>0</v>
      </c>
      <c r="N377" s="54">
        <f t="shared" si="27"/>
        <v>1</v>
      </c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  <c r="AS377" s="27"/>
    </row>
    <row r="378" spans="1:45" s="51" customFormat="1" ht="15.75" thickBot="1" x14ac:dyDescent="0.3">
      <c r="A378" s="51" t="s">
        <v>776</v>
      </c>
      <c r="B378" s="51" t="s">
        <v>783</v>
      </c>
      <c r="C378" s="51" t="s">
        <v>1392</v>
      </c>
      <c r="D378" s="51" t="s">
        <v>784</v>
      </c>
      <c r="E378" s="51" t="s">
        <v>19</v>
      </c>
      <c r="F378" s="51" t="s">
        <v>36</v>
      </c>
      <c r="H378" s="51" t="s">
        <v>782</v>
      </c>
      <c r="I378" s="16">
        <v>-348116860000</v>
      </c>
      <c r="J378" s="16">
        <v>-582556310000</v>
      </c>
      <c r="K378" s="51" t="s">
        <v>1167</v>
      </c>
      <c r="L378" s="53">
        <f t="shared" si="23"/>
        <v>30</v>
      </c>
      <c r="M378" s="53">
        <f t="shared" si="26"/>
        <v>0</v>
      </c>
      <c r="N378" s="54">
        <f t="shared" si="27"/>
        <v>1</v>
      </c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  <c r="AP378" s="27"/>
      <c r="AQ378" s="27"/>
      <c r="AR378" s="27"/>
      <c r="AS378" s="27"/>
    </row>
    <row r="379" spans="1:45" s="51" customFormat="1" ht="15.75" thickBot="1" x14ac:dyDescent="0.3">
      <c r="A379" s="51" t="s">
        <v>776</v>
      </c>
      <c r="B379" s="51" t="s">
        <v>785</v>
      </c>
      <c r="C379" s="51" t="s">
        <v>1392</v>
      </c>
      <c r="D379" s="51" t="s">
        <v>786</v>
      </c>
      <c r="E379" s="51" t="s">
        <v>19</v>
      </c>
      <c r="F379" s="51" t="s">
        <v>36</v>
      </c>
      <c r="H379" s="51" t="s">
        <v>782</v>
      </c>
      <c r="I379" s="16">
        <v>-348113810000</v>
      </c>
      <c r="J379" s="16">
        <v>-582573240000</v>
      </c>
      <c r="K379" s="51" t="s">
        <v>1168</v>
      </c>
      <c r="L379" s="53">
        <f t="shared" si="23"/>
        <v>30</v>
      </c>
      <c r="M379" s="53">
        <f t="shared" si="26"/>
        <v>0</v>
      </c>
      <c r="N379" s="54">
        <f t="shared" si="27"/>
        <v>1</v>
      </c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  <c r="AS379" s="27"/>
    </row>
    <row r="380" spans="1:45" ht="15.75" thickBot="1" x14ac:dyDescent="0.3">
      <c r="A380" s="51" t="s">
        <v>253</v>
      </c>
      <c r="B380" s="51" t="s">
        <v>787</v>
      </c>
      <c r="C380" s="51" t="s">
        <v>1392</v>
      </c>
      <c r="D380" s="51" t="s">
        <v>1373</v>
      </c>
      <c r="E380" s="51" t="s">
        <v>24</v>
      </c>
      <c r="F380" s="51" t="s">
        <v>25</v>
      </c>
      <c r="G380" s="51" t="s">
        <v>638</v>
      </c>
      <c r="H380" s="51"/>
      <c r="I380" s="16">
        <v>-348336200000</v>
      </c>
      <c r="J380" s="16">
        <v>-582709260000</v>
      </c>
      <c r="K380" s="51" t="s">
        <v>1169</v>
      </c>
      <c r="L380" s="53">
        <f t="shared" ref="L380:L396" si="28">COUNTIF(O380:AR380,"")</f>
        <v>30</v>
      </c>
      <c r="M380" s="53">
        <f t="shared" ref="M380:M396" si="29">COUNTIF(O380:AP380,"APAGADO")</f>
        <v>0</v>
      </c>
      <c r="N380" s="54">
        <f t="shared" ref="N380:N396" si="30">(L380)/(M380+L380)</f>
        <v>1</v>
      </c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J380" s="27"/>
      <c r="AK380" s="27"/>
      <c r="AL380" s="27"/>
      <c r="AM380" s="27"/>
      <c r="AN380" s="27"/>
      <c r="AO380" s="27"/>
      <c r="AP380" s="27"/>
      <c r="AQ380" s="27"/>
      <c r="AR380" s="27"/>
      <c r="AS380" s="27"/>
    </row>
    <row r="381" spans="1:45" ht="15.75" thickBot="1" x14ac:dyDescent="0.3">
      <c r="A381" s="51" t="s">
        <v>253</v>
      </c>
      <c r="B381" s="51" t="s">
        <v>1374</v>
      </c>
      <c r="C381" s="51" t="s">
        <v>1392</v>
      </c>
      <c r="D381" s="51" t="s">
        <v>1375</v>
      </c>
      <c r="E381" s="51" t="s">
        <v>102</v>
      </c>
      <c r="F381" s="51" t="s">
        <v>36</v>
      </c>
      <c r="G381" s="51"/>
      <c r="H381" s="51" t="s">
        <v>791</v>
      </c>
      <c r="I381" s="16">
        <v>-348368690000</v>
      </c>
      <c r="J381" s="16">
        <v>-582780410000</v>
      </c>
      <c r="K381" s="51" t="s">
        <v>1170</v>
      </c>
      <c r="L381" s="53">
        <f t="shared" si="28"/>
        <v>30</v>
      </c>
      <c r="M381" s="53">
        <f t="shared" si="29"/>
        <v>0</v>
      </c>
      <c r="N381" s="54">
        <f t="shared" si="30"/>
        <v>1</v>
      </c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  <c r="AM381" s="27"/>
      <c r="AN381" s="27"/>
      <c r="AO381" s="27"/>
      <c r="AP381" s="27"/>
      <c r="AQ381" s="27"/>
      <c r="AR381" s="27"/>
      <c r="AS381" s="27"/>
    </row>
    <row r="382" spans="1:45" ht="15.75" thickBot="1" x14ac:dyDescent="0.3">
      <c r="A382" s="51" t="s">
        <v>253</v>
      </c>
      <c r="B382" s="51" t="s">
        <v>1376</v>
      </c>
      <c r="C382" s="51" t="s">
        <v>1392</v>
      </c>
      <c r="D382" s="51" t="s">
        <v>1375</v>
      </c>
      <c r="E382" s="51" t="s">
        <v>102</v>
      </c>
      <c r="F382" s="51" t="s">
        <v>36</v>
      </c>
      <c r="G382" s="51"/>
      <c r="H382" s="51" t="s">
        <v>792</v>
      </c>
      <c r="I382" s="16">
        <v>-348367000000</v>
      </c>
      <c r="J382" s="16">
        <v>-582781300000</v>
      </c>
      <c r="K382" s="51" t="s">
        <v>1171</v>
      </c>
      <c r="L382" s="53">
        <f t="shared" si="28"/>
        <v>30</v>
      </c>
      <c r="M382" s="53">
        <f t="shared" si="29"/>
        <v>0</v>
      </c>
      <c r="N382" s="54">
        <f t="shared" si="30"/>
        <v>1</v>
      </c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  <c r="AM382" s="27"/>
      <c r="AN382" s="27"/>
      <c r="AO382" s="27"/>
      <c r="AP382" s="27"/>
      <c r="AQ382" s="27"/>
      <c r="AR382" s="27"/>
      <c r="AS382" s="27"/>
    </row>
    <row r="383" spans="1:45" ht="15.75" thickBot="1" x14ac:dyDescent="0.3">
      <c r="A383" s="51" t="s">
        <v>253</v>
      </c>
      <c r="B383" s="51" t="s">
        <v>1377</v>
      </c>
      <c r="C383" s="51" t="s">
        <v>1392</v>
      </c>
      <c r="D383" s="51" t="s">
        <v>1378</v>
      </c>
      <c r="E383" s="51" t="s">
        <v>19</v>
      </c>
      <c r="F383" s="51" t="s">
        <v>36</v>
      </c>
      <c r="G383" s="51"/>
      <c r="H383" s="51" t="s">
        <v>793</v>
      </c>
      <c r="I383" s="16">
        <v>-348375310000</v>
      </c>
      <c r="J383" s="16">
        <v>-582782110000</v>
      </c>
      <c r="K383" s="51" t="s">
        <v>1172</v>
      </c>
      <c r="L383" s="53">
        <f t="shared" si="28"/>
        <v>30</v>
      </c>
      <c r="M383" s="53">
        <f t="shared" si="29"/>
        <v>0</v>
      </c>
      <c r="N383" s="54">
        <f t="shared" si="30"/>
        <v>1</v>
      </c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/>
      <c r="AN383" s="27"/>
      <c r="AO383" s="27"/>
      <c r="AP383" s="27"/>
      <c r="AQ383" s="27"/>
      <c r="AR383" s="27"/>
      <c r="AS383" s="27"/>
    </row>
    <row r="384" spans="1:45" ht="15.75" thickBot="1" x14ac:dyDescent="0.3">
      <c r="A384" s="51" t="s">
        <v>253</v>
      </c>
      <c r="B384" s="51" t="s">
        <v>788</v>
      </c>
      <c r="C384" s="51" t="s">
        <v>1392</v>
      </c>
      <c r="D384" s="51" t="s">
        <v>1379</v>
      </c>
      <c r="E384" s="51" t="s">
        <v>19</v>
      </c>
      <c r="F384" s="51" t="s">
        <v>36</v>
      </c>
      <c r="G384" s="51" t="s">
        <v>789</v>
      </c>
      <c r="H384" s="51" t="s">
        <v>790</v>
      </c>
      <c r="I384" s="16">
        <v>-348339360000</v>
      </c>
      <c r="J384" s="16">
        <v>-582778770000</v>
      </c>
      <c r="K384" s="51"/>
      <c r="L384" s="53">
        <f t="shared" si="28"/>
        <v>30</v>
      </c>
      <c r="M384" s="53">
        <f t="shared" si="29"/>
        <v>0</v>
      </c>
      <c r="N384" s="54">
        <f t="shared" si="30"/>
        <v>1</v>
      </c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  <c r="AM384" s="27"/>
      <c r="AN384" s="27"/>
      <c r="AO384" s="27"/>
      <c r="AP384" s="27"/>
      <c r="AQ384" s="27"/>
      <c r="AR384" s="27"/>
      <c r="AS384" s="27"/>
    </row>
    <row r="385" spans="1:45" ht="15.75" thickBot="1" x14ac:dyDescent="0.3">
      <c r="A385" s="51" t="s">
        <v>794</v>
      </c>
      <c r="B385" s="51" t="s">
        <v>1380</v>
      </c>
      <c r="C385" s="51" t="s">
        <v>1392</v>
      </c>
      <c r="D385" s="51" t="s">
        <v>796</v>
      </c>
      <c r="E385" s="51" t="s">
        <v>102</v>
      </c>
      <c r="F385" s="51" t="s">
        <v>36</v>
      </c>
      <c r="G385" s="51"/>
      <c r="H385" s="51" t="s">
        <v>797</v>
      </c>
      <c r="I385" s="16">
        <v>-348343990000</v>
      </c>
      <c r="J385" s="16">
        <v>-582802050000</v>
      </c>
      <c r="K385" s="51" t="s">
        <v>1174</v>
      </c>
      <c r="L385" s="53">
        <f t="shared" si="28"/>
        <v>23</v>
      </c>
      <c r="M385" s="53">
        <f t="shared" si="29"/>
        <v>7</v>
      </c>
      <c r="N385" s="54">
        <f t="shared" si="30"/>
        <v>0.76666666666666672</v>
      </c>
      <c r="O385" s="27" t="s">
        <v>1209</v>
      </c>
      <c r="P385" s="27" t="s">
        <v>1209</v>
      </c>
      <c r="Q385" s="27" t="s">
        <v>1209</v>
      </c>
      <c r="R385" s="27" t="s">
        <v>1209</v>
      </c>
      <c r="S385" s="27" t="s">
        <v>1209</v>
      </c>
      <c r="T385" s="27" t="s">
        <v>1209</v>
      </c>
      <c r="U385" s="27" t="s">
        <v>1209</v>
      </c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/>
      <c r="AL385" s="27"/>
      <c r="AM385" s="27"/>
      <c r="AN385" s="27"/>
      <c r="AO385" s="27"/>
      <c r="AP385" s="27"/>
      <c r="AQ385" s="27"/>
      <c r="AR385" s="27"/>
      <c r="AS385" s="27"/>
    </row>
    <row r="386" spans="1:45" ht="15.75" thickBot="1" x14ac:dyDescent="0.3">
      <c r="A386" s="51" t="s">
        <v>794</v>
      </c>
      <c r="B386" s="51" t="s">
        <v>1381</v>
      </c>
      <c r="C386" s="51" t="s">
        <v>1392</v>
      </c>
      <c r="D386" s="51" t="s">
        <v>798</v>
      </c>
      <c r="E386" s="51" t="s">
        <v>102</v>
      </c>
      <c r="F386" s="51" t="s">
        <v>36</v>
      </c>
      <c r="G386" s="51"/>
      <c r="H386" s="51" t="s">
        <v>797</v>
      </c>
      <c r="I386" s="16">
        <v>-348350290000</v>
      </c>
      <c r="J386" s="16">
        <v>-582814190000</v>
      </c>
      <c r="K386" s="51" t="s">
        <v>1175</v>
      </c>
      <c r="L386" s="53">
        <f t="shared" si="28"/>
        <v>23</v>
      </c>
      <c r="M386" s="53">
        <f t="shared" si="29"/>
        <v>7</v>
      </c>
      <c r="N386" s="54">
        <f t="shared" si="30"/>
        <v>0.76666666666666672</v>
      </c>
      <c r="O386" s="27" t="s">
        <v>1209</v>
      </c>
      <c r="P386" s="27" t="s">
        <v>1209</v>
      </c>
      <c r="Q386" s="27" t="s">
        <v>1209</v>
      </c>
      <c r="R386" s="27" t="s">
        <v>1209</v>
      </c>
      <c r="S386" s="27" t="s">
        <v>1209</v>
      </c>
      <c r="T386" s="27" t="s">
        <v>1209</v>
      </c>
      <c r="U386" s="27" t="s">
        <v>1209</v>
      </c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  <c r="AM386" s="27"/>
      <c r="AN386" s="27"/>
      <c r="AO386" s="27"/>
      <c r="AP386" s="27"/>
      <c r="AQ386" s="27"/>
      <c r="AR386" s="27"/>
      <c r="AS386" s="27"/>
    </row>
    <row r="387" spans="1:45" ht="15.75" thickBot="1" x14ac:dyDescent="0.3">
      <c r="A387" s="51" t="s">
        <v>794</v>
      </c>
      <c r="B387" s="51" t="s">
        <v>795</v>
      </c>
      <c r="C387" s="51" t="s">
        <v>1392</v>
      </c>
      <c r="D387" s="51" t="s">
        <v>796</v>
      </c>
      <c r="E387" s="51" t="s">
        <v>102</v>
      </c>
      <c r="F387" s="51" t="s">
        <v>36</v>
      </c>
      <c r="G387" s="51"/>
      <c r="H387" s="51" t="s">
        <v>797</v>
      </c>
      <c r="I387" s="16">
        <v>-348344030000</v>
      </c>
      <c r="J387" s="16">
        <v>-582802100000</v>
      </c>
      <c r="K387" s="51" t="s">
        <v>1173</v>
      </c>
      <c r="L387" s="53">
        <f t="shared" si="28"/>
        <v>23</v>
      </c>
      <c r="M387" s="53">
        <f t="shared" si="29"/>
        <v>7</v>
      </c>
      <c r="N387" s="54">
        <f t="shared" si="30"/>
        <v>0.76666666666666672</v>
      </c>
      <c r="O387" s="27" t="s">
        <v>1209</v>
      </c>
      <c r="P387" s="27" t="s">
        <v>1209</v>
      </c>
      <c r="Q387" s="27" t="s">
        <v>1209</v>
      </c>
      <c r="R387" s="27" t="s">
        <v>1209</v>
      </c>
      <c r="S387" s="27" t="s">
        <v>1209</v>
      </c>
      <c r="T387" s="27" t="s">
        <v>1209</v>
      </c>
      <c r="U387" s="27" t="s">
        <v>1209</v>
      </c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27"/>
      <c r="AK387" s="27"/>
      <c r="AL387" s="27"/>
      <c r="AM387" s="27"/>
      <c r="AN387" s="27"/>
      <c r="AO387" s="27"/>
      <c r="AP387" s="27"/>
      <c r="AQ387" s="27"/>
      <c r="AR387" s="27"/>
      <c r="AS387" s="27"/>
    </row>
    <row r="388" spans="1:45" ht="15.75" thickBot="1" x14ac:dyDescent="0.3">
      <c r="A388" s="51" t="s">
        <v>794</v>
      </c>
      <c r="B388" s="51" t="s">
        <v>799</v>
      </c>
      <c r="C388" s="51" t="s">
        <v>1392</v>
      </c>
      <c r="D388" s="51" t="s">
        <v>798</v>
      </c>
      <c r="E388" s="51" t="s">
        <v>102</v>
      </c>
      <c r="F388" s="51" t="s">
        <v>36</v>
      </c>
      <c r="G388" s="51"/>
      <c r="H388" s="51" t="s">
        <v>797</v>
      </c>
      <c r="I388" s="16">
        <v>-348350240000</v>
      </c>
      <c r="J388" s="16">
        <v>-582814080000</v>
      </c>
      <c r="K388" s="51" t="s">
        <v>1176</v>
      </c>
      <c r="L388" s="53">
        <f t="shared" si="28"/>
        <v>23</v>
      </c>
      <c r="M388" s="53">
        <f t="shared" si="29"/>
        <v>7</v>
      </c>
      <c r="N388" s="54">
        <f t="shared" si="30"/>
        <v>0.76666666666666672</v>
      </c>
      <c r="O388" s="27" t="s">
        <v>1209</v>
      </c>
      <c r="P388" s="27" t="s">
        <v>1209</v>
      </c>
      <c r="Q388" s="27" t="s">
        <v>1209</v>
      </c>
      <c r="R388" s="27" t="s">
        <v>1209</v>
      </c>
      <c r="S388" s="27" t="s">
        <v>1209</v>
      </c>
      <c r="T388" s="27" t="s">
        <v>1209</v>
      </c>
      <c r="U388" s="27" t="s">
        <v>1209</v>
      </c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/>
      <c r="AL388" s="27"/>
      <c r="AM388" s="27"/>
      <c r="AN388" s="27"/>
      <c r="AO388" s="27"/>
      <c r="AP388" s="27"/>
      <c r="AQ388" s="27"/>
      <c r="AR388" s="27"/>
      <c r="AS388" s="27"/>
    </row>
    <row r="389" spans="1:45" ht="15.75" thickBot="1" x14ac:dyDescent="0.3">
      <c r="A389" s="51" t="s">
        <v>800</v>
      </c>
      <c r="B389" s="51" t="s">
        <v>801</v>
      </c>
      <c r="C389" s="51" t="s">
        <v>1392</v>
      </c>
      <c r="D389" s="51" t="s">
        <v>802</v>
      </c>
      <c r="E389" s="51" t="s">
        <v>19</v>
      </c>
      <c r="F389" s="51" t="s">
        <v>36</v>
      </c>
      <c r="G389" s="51"/>
      <c r="H389" s="51" t="s">
        <v>311</v>
      </c>
      <c r="I389" s="16">
        <v>-348331020000</v>
      </c>
      <c r="J389" s="16">
        <v>-582411500000</v>
      </c>
      <c r="K389" s="51" t="s">
        <v>1177</v>
      </c>
      <c r="L389" s="53">
        <f t="shared" si="28"/>
        <v>30</v>
      </c>
      <c r="M389" s="53">
        <f t="shared" si="29"/>
        <v>0</v>
      </c>
      <c r="N389" s="54">
        <f t="shared" si="30"/>
        <v>1</v>
      </c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  <c r="AM389" s="27"/>
      <c r="AN389" s="27"/>
      <c r="AO389" s="27"/>
      <c r="AP389" s="27"/>
      <c r="AQ389" s="27"/>
      <c r="AR389" s="27"/>
      <c r="AS389" s="27"/>
    </row>
    <row r="390" spans="1:45" ht="15.75" thickBot="1" x14ac:dyDescent="0.3">
      <c r="A390" s="51" t="s">
        <v>803</v>
      </c>
      <c r="B390" s="51" t="s">
        <v>805</v>
      </c>
      <c r="C390" s="51" t="s">
        <v>1392</v>
      </c>
      <c r="D390" s="51" t="s">
        <v>806</v>
      </c>
      <c r="E390" s="51" t="s">
        <v>19</v>
      </c>
      <c r="F390" s="51" t="s">
        <v>25</v>
      </c>
      <c r="G390" s="51"/>
      <c r="H390" s="51" t="s">
        <v>807</v>
      </c>
      <c r="I390" s="16">
        <v>-348118850000</v>
      </c>
      <c r="J390" s="16">
        <v>-582790580000</v>
      </c>
      <c r="K390" s="51" t="s">
        <v>1179</v>
      </c>
      <c r="L390" s="53">
        <f t="shared" si="28"/>
        <v>30</v>
      </c>
      <c r="M390" s="53">
        <f t="shared" si="29"/>
        <v>0</v>
      </c>
      <c r="N390" s="54">
        <f t="shared" si="30"/>
        <v>1</v>
      </c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  <c r="AM390" s="27"/>
      <c r="AN390" s="27"/>
      <c r="AO390" s="27"/>
      <c r="AP390" s="27"/>
      <c r="AQ390" s="27"/>
      <c r="AR390" s="27"/>
      <c r="AS390" s="27"/>
    </row>
    <row r="391" spans="1:45" ht="15.75" thickBot="1" x14ac:dyDescent="0.3">
      <c r="A391" s="51" t="s">
        <v>803</v>
      </c>
      <c r="B391" s="51" t="s">
        <v>808</v>
      </c>
      <c r="C391" s="51" t="s">
        <v>1392</v>
      </c>
      <c r="D391" s="51" t="s">
        <v>809</v>
      </c>
      <c r="E391" s="51" t="s">
        <v>19</v>
      </c>
      <c r="F391" s="51" t="s">
        <v>25</v>
      </c>
      <c r="G391" s="51"/>
      <c r="H391" s="51" t="s">
        <v>33</v>
      </c>
      <c r="I391" s="16">
        <v>-348151300000</v>
      </c>
      <c r="J391" s="16">
        <v>-582798970000</v>
      </c>
      <c r="K391" s="51" t="s">
        <v>1180</v>
      </c>
      <c r="L391" s="53">
        <f t="shared" si="28"/>
        <v>30</v>
      </c>
      <c r="M391" s="53">
        <f t="shared" si="29"/>
        <v>0</v>
      </c>
      <c r="N391" s="54">
        <f t="shared" si="30"/>
        <v>1</v>
      </c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/>
      <c r="AN391" s="27"/>
      <c r="AO391" s="27"/>
      <c r="AP391" s="27"/>
      <c r="AQ391" s="27"/>
      <c r="AR391" s="27"/>
      <c r="AS391" s="27"/>
    </row>
    <row r="392" spans="1:45" ht="15.75" thickBot="1" x14ac:dyDescent="0.3">
      <c r="A392" s="51" t="s">
        <v>803</v>
      </c>
      <c r="B392" s="51" t="s">
        <v>1382</v>
      </c>
      <c r="C392" s="51" t="s">
        <v>1392</v>
      </c>
      <c r="D392" s="51" t="s">
        <v>804</v>
      </c>
      <c r="E392" s="51" t="s">
        <v>19</v>
      </c>
      <c r="F392" s="51" t="s">
        <v>25</v>
      </c>
      <c r="G392" s="51"/>
      <c r="H392" s="51" t="s">
        <v>626</v>
      </c>
      <c r="I392" s="16">
        <v>-348140350000</v>
      </c>
      <c r="J392" s="16">
        <v>-582788310000</v>
      </c>
      <c r="K392" s="51" t="s">
        <v>1178</v>
      </c>
      <c r="L392" s="53">
        <f t="shared" si="28"/>
        <v>30</v>
      </c>
      <c r="M392" s="53">
        <f t="shared" si="29"/>
        <v>0</v>
      </c>
      <c r="N392" s="54">
        <f t="shared" si="30"/>
        <v>1</v>
      </c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27"/>
      <c r="AK392" s="27"/>
      <c r="AL392" s="27"/>
      <c r="AM392" s="27"/>
      <c r="AN392" s="27"/>
      <c r="AO392" s="27"/>
      <c r="AP392" s="27"/>
      <c r="AQ392" s="27"/>
      <c r="AR392" s="27"/>
      <c r="AS392" s="27"/>
    </row>
    <row r="393" spans="1:45" ht="15.75" thickBot="1" x14ac:dyDescent="0.3">
      <c r="A393" s="51" t="s">
        <v>812</v>
      </c>
      <c r="B393" s="51" t="s">
        <v>810</v>
      </c>
      <c r="C393" s="51" t="s">
        <v>1392</v>
      </c>
      <c r="D393" s="51" t="s">
        <v>811</v>
      </c>
      <c r="E393" s="51" t="s">
        <v>24</v>
      </c>
      <c r="F393" s="51" t="s">
        <v>25</v>
      </c>
      <c r="G393" s="51"/>
      <c r="H393" s="51"/>
      <c r="I393" s="16">
        <v>-348017000000</v>
      </c>
      <c r="J393" s="16">
        <v>-582624610000</v>
      </c>
      <c r="K393" s="51" t="s">
        <v>1184</v>
      </c>
      <c r="L393" s="53">
        <f t="shared" si="28"/>
        <v>30</v>
      </c>
      <c r="M393" s="53">
        <f t="shared" si="29"/>
        <v>0</v>
      </c>
      <c r="N393" s="54">
        <f t="shared" si="30"/>
        <v>1</v>
      </c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27"/>
      <c r="AK393" s="27"/>
      <c r="AL393" s="27"/>
      <c r="AM393" s="27"/>
      <c r="AN393" s="27"/>
      <c r="AO393" s="27"/>
      <c r="AP393" s="27"/>
      <c r="AQ393" s="27"/>
      <c r="AR393" s="27"/>
      <c r="AS393" s="27"/>
    </row>
    <row r="394" spans="1:45" ht="15.75" thickBot="1" x14ac:dyDescent="0.3">
      <c r="A394" s="51" t="s">
        <v>812</v>
      </c>
      <c r="B394" s="51" t="s">
        <v>813</v>
      </c>
      <c r="C394" s="51" t="s">
        <v>1392</v>
      </c>
      <c r="D394" s="51" t="s">
        <v>814</v>
      </c>
      <c r="E394" s="51" t="s">
        <v>24</v>
      </c>
      <c r="F394" s="51" t="s">
        <v>25</v>
      </c>
      <c r="G394" s="51" t="s">
        <v>717</v>
      </c>
      <c r="H394" s="51"/>
      <c r="I394" s="16">
        <v>-348108520000</v>
      </c>
      <c r="J394" s="16">
        <v>-582564000000</v>
      </c>
      <c r="K394" s="51" t="s">
        <v>1181</v>
      </c>
      <c r="L394" s="53">
        <f t="shared" si="28"/>
        <v>30</v>
      </c>
      <c r="M394" s="53">
        <f t="shared" si="29"/>
        <v>0</v>
      </c>
      <c r="N394" s="54">
        <f t="shared" si="30"/>
        <v>1</v>
      </c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  <c r="AM394" s="27"/>
      <c r="AN394" s="27"/>
      <c r="AO394" s="27"/>
      <c r="AP394" s="27"/>
      <c r="AQ394" s="27"/>
      <c r="AR394" s="27"/>
      <c r="AS394" s="27"/>
    </row>
    <row r="395" spans="1:45" ht="15.75" thickBot="1" x14ac:dyDescent="0.3">
      <c r="A395" s="51" t="s">
        <v>433</v>
      </c>
      <c r="B395" s="51" t="s">
        <v>815</v>
      </c>
      <c r="C395" s="51" t="s">
        <v>1392</v>
      </c>
      <c r="D395" s="51" t="s">
        <v>816</v>
      </c>
      <c r="E395" s="51" t="s">
        <v>24</v>
      </c>
      <c r="F395" s="51" t="s">
        <v>25</v>
      </c>
      <c r="G395" s="51" t="s">
        <v>717</v>
      </c>
      <c r="H395" s="51"/>
      <c r="I395" s="16">
        <v>-348105440000</v>
      </c>
      <c r="J395" s="16">
        <v>-582580200000</v>
      </c>
      <c r="K395" s="51" t="s">
        <v>1182</v>
      </c>
      <c r="L395" s="53">
        <f t="shared" si="28"/>
        <v>30</v>
      </c>
      <c r="M395" s="53">
        <f t="shared" si="29"/>
        <v>0</v>
      </c>
      <c r="N395" s="54">
        <f t="shared" si="30"/>
        <v>1</v>
      </c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  <c r="AK395" s="27"/>
      <c r="AL395" s="27"/>
      <c r="AM395" s="27"/>
      <c r="AN395" s="27"/>
      <c r="AO395" s="27"/>
      <c r="AP395" s="27"/>
      <c r="AQ395" s="27"/>
      <c r="AR395" s="27"/>
      <c r="AS395" s="27"/>
    </row>
    <row r="396" spans="1:45" ht="15.75" thickBot="1" x14ac:dyDescent="0.3">
      <c r="A396" s="51" t="s">
        <v>812</v>
      </c>
      <c r="B396" s="51" t="s">
        <v>817</v>
      </c>
      <c r="C396" s="51" t="s">
        <v>1392</v>
      </c>
      <c r="D396" s="51" t="s">
        <v>818</v>
      </c>
      <c r="E396" s="51" t="s">
        <v>19</v>
      </c>
      <c r="F396" s="51" t="s">
        <v>25</v>
      </c>
      <c r="G396" s="51"/>
      <c r="H396" s="51" t="s">
        <v>819</v>
      </c>
      <c r="I396" s="16">
        <v>-348006770000</v>
      </c>
      <c r="J396" s="16">
        <v>-582652130000</v>
      </c>
      <c r="K396" s="51" t="s">
        <v>1183</v>
      </c>
      <c r="L396" s="53">
        <f t="shared" si="28"/>
        <v>30</v>
      </c>
      <c r="M396" s="53">
        <f t="shared" si="29"/>
        <v>0</v>
      </c>
      <c r="N396" s="54">
        <f t="shared" si="30"/>
        <v>1</v>
      </c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27"/>
      <c r="AK396" s="27"/>
      <c r="AL396" s="27"/>
      <c r="AM396" s="27"/>
      <c r="AN396" s="27"/>
      <c r="AO396" s="27"/>
      <c r="AP396" s="27"/>
      <c r="AQ396" s="27"/>
      <c r="AR396" s="27"/>
      <c r="AS396" s="27"/>
    </row>
    <row r="397" spans="1:45" x14ac:dyDescent="0.25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9"/>
      <c r="AL397" s="9"/>
      <c r="AM397" s="9"/>
      <c r="AN397" s="9"/>
      <c r="AO397" s="9"/>
      <c r="AP397" s="9"/>
      <c r="AQ397" s="28"/>
      <c r="AR397" s="28"/>
    </row>
    <row r="398" spans="1:45" x14ac:dyDescent="0.25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9"/>
      <c r="AL398" s="9"/>
      <c r="AM398" s="9"/>
      <c r="AN398" s="9"/>
      <c r="AO398" s="9"/>
      <c r="AP398" s="9"/>
      <c r="AQ398" s="28"/>
      <c r="AR398" s="28"/>
    </row>
    <row r="399" spans="1:45" x14ac:dyDescent="0.25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9"/>
      <c r="AL399" s="9"/>
      <c r="AM399" s="9"/>
      <c r="AN399" s="9"/>
      <c r="AO399" s="9"/>
      <c r="AP399" s="9"/>
      <c r="AQ399" s="28"/>
      <c r="AR399" s="28"/>
    </row>
    <row r="400" spans="1:45" x14ac:dyDescent="0.25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9"/>
      <c r="AL400" s="9"/>
      <c r="AM400" s="9"/>
      <c r="AN400" s="9"/>
      <c r="AO400" s="9"/>
      <c r="AP400" s="9"/>
      <c r="AQ400" s="28"/>
      <c r="AR400" s="28"/>
    </row>
    <row r="401" spans="5:44" x14ac:dyDescent="0.25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9"/>
      <c r="AL401" s="9"/>
      <c r="AM401" s="9"/>
      <c r="AN401" s="9"/>
      <c r="AO401" s="9"/>
      <c r="AP401" s="9"/>
      <c r="AQ401" s="28"/>
      <c r="AR401" s="28"/>
    </row>
    <row r="402" spans="5:44" x14ac:dyDescent="0.25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9"/>
      <c r="AL402" s="9"/>
      <c r="AM402" s="9"/>
      <c r="AN402" s="9"/>
      <c r="AO402" s="9"/>
      <c r="AP402" s="9"/>
      <c r="AQ402" s="28"/>
      <c r="AR402" s="28"/>
    </row>
    <row r="403" spans="5:44" x14ac:dyDescent="0.25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9"/>
      <c r="AL403" s="9"/>
      <c r="AM403" s="9"/>
      <c r="AN403" s="9"/>
      <c r="AO403" s="9"/>
      <c r="AP403" s="9"/>
      <c r="AQ403" s="28"/>
      <c r="AR403" s="28"/>
    </row>
    <row r="404" spans="5:44" x14ac:dyDescent="0.25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9"/>
      <c r="AL404" s="9"/>
      <c r="AM404" s="9"/>
      <c r="AN404" s="9"/>
      <c r="AO404" s="9"/>
      <c r="AP404" s="9"/>
      <c r="AQ404" s="28"/>
      <c r="AR404" s="28"/>
    </row>
    <row r="405" spans="5:44" x14ac:dyDescent="0.25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9"/>
      <c r="AL405" s="9"/>
      <c r="AM405" s="9"/>
      <c r="AN405" s="9"/>
      <c r="AO405" s="9"/>
      <c r="AP405" s="9"/>
      <c r="AQ405" s="28"/>
      <c r="AR405" s="28"/>
    </row>
    <row r="406" spans="5:44" x14ac:dyDescent="0.25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9"/>
      <c r="AL406" s="9"/>
      <c r="AM406" s="9"/>
      <c r="AN406" s="9"/>
      <c r="AO406" s="9"/>
      <c r="AP406" s="9"/>
      <c r="AQ406" s="28"/>
      <c r="AR406" s="28"/>
    </row>
    <row r="407" spans="5:44" x14ac:dyDescent="0.25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9"/>
      <c r="AL407" s="9"/>
      <c r="AM407" s="9"/>
      <c r="AN407" s="9"/>
      <c r="AO407" s="9"/>
      <c r="AP407" s="9"/>
      <c r="AQ407" s="28"/>
      <c r="AR407" s="28"/>
    </row>
    <row r="408" spans="5:44" x14ac:dyDescent="0.25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9"/>
      <c r="AL408" s="9"/>
      <c r="AM408" s="9"/>
      <c r="AN408" s="9"/>
      <c r="AO408" s="9"/>
      <c r="AP408" s="9"/>
      <c r="AQ408" s="28"/>
      <c r="AR408" s="28"/>
    </row>
    <row r="409" spans="5:44" x14ac:dyDescent="0.25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9"/>
      <c r="AL409" s="9"/>
      <c r="AM409" s="9"/>
      <c r="AN409" s="9"/>
      <c r="AO409" s="9"/>
      <c r="AP409" s="9"/>
      <c r="AQ409" s="28"/>
      <c r="AR409" s="28"/>
    </row>
    <row r="410" spans="5:44" x14ac:dyDescent="0.25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9"/>
      <c r="AL410" s="9"/>
      <c r="AM410" s="9"/>
      <c r="AN410" s="9"/>
      <c r="AO410" s="9"/>
      <c r="AP410" s="9"/>
      <c r="AQ410" s="28"/>
      <c r="AR410" s="28"/>
    </row>
    <row r="411" spans="5:44" x14ac:dyDescent="0.25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9"/>
      <c r="AL411" s="9"/>
      <c r="AM411" s="9"/>
      <c r="AN411" s="9"/>
      <c r="AO411" s="9"/>
      <c r="AP411" s="9"/>
      <c r="AQ411" s="28"/>
      <c r="AR411" s="28"/>
    </row>
    <row r="412" spans="5:44" x14ac:dyDescent="0.25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9"/>
      <c r="AL412" s="9"/>
      <c r="AM412" s="9"/>
      <c r="AN412" s="9"/>
      <c r="AO412" s="9"/>
      <c r="AP412" s="9"/>
      <c r="AQ412" s="28"/>
      <c r="AR412" s="28"/>
    </row>
    <row r="413" spans="5:44" x14ac:dyDescent="0.25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9"/>
      <c r="AL413" s="9"/>
      <c r="AM413" s="9"/>
      <c r="AN413" s="9"/>
      <c r="AO413" s="9"/>
      <c r="AP413" s="9"/>
      <c r="AQ413" s="28"/>
      <c r="AR413" s="28"/>
    </row>
    <row r="414" spans="5:44" x14ac:dyDescent="0.25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9"/>
      <c r="AL414" s="9"/>
      <c r="AM414" s="9"/>
      <c r="AN414" s="9"/>
      <c r="AO414" s="9"/>
      <c r="AP414" s="9"/>
      <c r="AQ414" s="28"/>
      <c r="AR414" s="28"/>
    </row>
    <row r="415" spans="5:44" x14ac:dyDescent="0.25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9"/>
      <c r="AL415" s="9"/>
      <c r="AM415" s="9"/>
      <c r="AN415" s="9"/>
      <c r="AO415" s="9"/>
      <c r="AP415" s="9"/>
      <c r="AQ415" s="28"/>
      <c r="AR415" s="28"/>
    </row>
    <row r="416" spans="5:44" x14ac:dyDescent="0.25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9"/>
      <c r="AL416" s="9"/>
      <c r="AM416" s="9"/>
      <c r="AN416" s="9"/>
      <c r="AO416" s="9"/>
      <c r="AP416" s="9"/>
      <c r="AQ416" s="28"/>
      <c r="AR416" s="28"/>
    </row>
    <row r="417" spans="5:44" x14ac:dyDescent="0.25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9"/>
      <c r="AL417" s="9"/>
      <c r="AM417" s="9"/>
      <c r="AN417" s="9"/>
      <c r="AO417" s="9"/>
      <c r="AP417" s="9"/>
      <c r="AQ417" s="28"/>
      <c r="AR417" s="28"/>
    </row>
    <row r="418" spans="5:44" x14ac:dyDescent="0.25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9"/>
      <c r="AL418" s="9"/>
      <c r="AM418" s="9"/>
      <c r="AN418" s="9"/>
      <c r="AO418" s="9"/>
      <c r="AP418" s="9"/>
      <c r="AQ418" s="28"/>
      <c r="AR418" s="28"/>
    </row>
    <row r="419" spans="5:44" x14ac:dyDescent="0.25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9"/>
      <c r="AL419" s="9"/>
      <c r="AM419" s="9"/>
      <c r="AN419" s="9"/>
      <c r="AO419" s="9"/>
      <c r="AP419" s="9"/>
      <c r="AQ419" s="28"/>
      <c r="AR419" s="28"/>
    </row>
    <row r="420" spans="5:44" x14ac:dyDescent="0.25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9"/>
      <c r="AL420" s="9"/>
      <c r="AM420" s="9"/>
      <c r="AN420" s="9"/>
      <c r="AO420" s="9"/>
      <c r="AP420" s="9"/>
      <c r="AQ420" s="28"/>
      <c r="AR420" s="28"/>
    </row>
    <row r="421" spans="5:44" x14ac:dyDescent="0.25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9"/>
      <c r="AL421" s="9"/>
      <c r="AM421" s="9"/>
      <c r="AN421" s="9"/>
      <c r="AO421" s="9"/>
      <c r="AP421" s="9"/>
      <c r="AQ421" s="28"/>
      <c r="AR421" s="28"/>
    </row>
    <row r="422" spans="5:44" x14ac:dyDescent="0.25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9"/>
      <c r="AL422" s="9"/>
      <c r="AM422" s="9"/>
      <c r="AN422" s="9"/>
      <c r="AO422" s="9"/>
      <c r="AP422" s="9"/>
      <c r="AQ422" s="28"/>
      <c r="AR422" s="28"/>
    </row>
    <row r="423" spans="5:44" x14ac:dyDescent="0.25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9"/>
      <c r="AL423" s="9"/>
      <c r="AM423" s="9"/>
      <c r="AN423" s="9"/>
      <c r="AO423" s="9"/>
      <c r="AP423" s="9"/>
      <c r="AQ423" s="28"/>
      <c r="AR423" s="28"/>
    </row>
    <row r="424" spans="5:44" x14ac:dyDescent="0.25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9"/>
      <c r="AL424" s="9"/>
      <c r="AM424" s="9"/>
      <c r="AN424" s="9"/>
      <c r="AO424" s="9"/>
      <c r="AP424" s="9"/>
      <c r="AQ424" s="28"/>
      <c r="AR424" s="28"/>
    </row>
    <row r="425" spans="5:44" x14ac:dyDescent="0.25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9"/>
      <c r="AL425" s="9"/>
      <c r="AM425" s="9"/>
      <c r="AN425" s="9"/>
      <c r="AO425" s="9"/>
      <c r="AP425" s="9"/>
      <c r="AQ425" s="28"/>
      <c r="AR425" s="28"/>
    </row>
    <row r="426" spans="5:44" x14ac:dyDescent="0.25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9"/>
      <c r="AL426" s="9"/>
      <c r="AM426" s="9"/>
      <c r="AN426" s="9"/>
      <c r="AO426" s="9"/>
      <c r="AP426" s="9"/>
      <c r="AQ426" s="28"/>
      <c r="AR426" s="28"/>
    </row>
    <row r="427" spans="5:44" x14ac:dyDescent="0.25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9"/>
      <c r="AL427" s="9"/>
      <c r="AM427" s="9"/>
      <c r="AN427" s="9"/>
      <c r="AO427" s="9"/>
      <c r="AP427" s="9"/>
      <c r="AQ427" s="28"/>
      <c r="AR427" s="28"/>
    </row>
    <row r="428" spans="5:44" x14ac:dyDescent="0.25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9"/>
      <c r="AL428" s="9"/>
      <c r="AM428" s="9"/>
      <c r="AN428" s="9"/>
      <c r="AO428" s="9"/>
      <c r="AP428" s="9"/>
      <c r="AQ428" s="28"/>
      <c r="AR428" s="28"/>
    </row>
    <row r="429" spans="5:44" x14ac:dyDescent="0.25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9"/>
      <c r="AL429" s="9"/>
      <c r="AM429" s="9"/>
      <c r="AN429" s="9"/>
      <c r="AO429" s="9"/>
      <c r="AP429" s="9"/>
      <c r="AQ429" s="28"/>
      <c r="AR429" s="28"/>
    </row>
    <row r="430" spans="5:44" x14ac:dyDescent="0.25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9"/>
      <c r="AL430" s="9"/>
      <c r="AM430" s="9"/>
      <c r="AN430" s="9"/>
      <c r="AO430" s="9"/>
      <c r="AP430" s="9"/>
      <c r="AQ430" s="28"/>
      <c r="AR430" s="28"/>
    </row>
    <row r="431" spans="5:44" x14ac:dyDescent="0.25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9"/>
      <c r="AL431" s="9"/>
      <c r="AM431" s="9"/>
      <c r="AN431" s="9"/>
      <c r="AO431" s="9"/>
      <c r="AP431" s="9"/>
      <c r="AQ431" s="28"/>
      <c r="AR431" s="28"/>
    </row>
    <row r="432" spans="5:44" x14ac:dyDescent="0.25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9"/>
      <c r="AL432" s="9"/>
      <c r="AM432" s="9"/>
      <c r="AN432" s="9"/>
      <c r="AO432" s="9"/>
      <c r="AP432" s="9"/>
      <c r="AQ432" s="28"/>
      <c r="AR432" s="28"/>
    </row>
    <row r="433" spans="5:44" x14ac:dyDescent="0.25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9"/>
      <c r="AL433" s="9"/>
      <c r="AM433" s="9"/>
      <c r="AN433" s="9"/>
      <c r="AO433" s="9"/>
      <c r="AP433" s="9"/>
      <c r="AQ433" s="28"/>
      <c r="AR433" s="28"/>
    </row>
    <row r="434" spans="5:44" x14ac:dyDescent="0.25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9"/>
      <c r="AL434" s="9"/>
      <c r="AM434" s="9"/>
      <c r="AN434" s="9"/>
      <c r="AO434" s="9"/>
      <c r="AP434" s="9"/>
      <c r="AQ434" s="28"/>
      <c r="AR434" s="28"/>
    </row>
    <row r="435" spans="5:44" x14ac:dyDescent="0.25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9"/>
      <c r="AL435" s="9"/>
      <c r="AM435" s="9"/>
      <c r="AN435" s="9"/>
      <c r="AO435" s="9"/>
      <c r="AP435" s="9"/>
      <c r="AQ435" s="28"/>
      <c r="AR435" s="28"/>
    </row>
    <row r="436" spans="5:44" x14ac:dyDescent="0.25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9"/>
      <c r="AL436" s="9"/>
      <c r="AM436" s="9"/>
      <c r="AN436" s="9"/>
      <c r="AO436" s="9"/>
      <c r="AP436" s="9"/>
      <c r="AQ436" s="28"/>
      <c r="AR436" s="28"/>
    </row>
    <row r="437" spans="5:44" x14ac:dyDescent="0.25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9"/>
      <c r="AL437" s="9"/>
      <c r="AM437" s="9"/>
      <c r="AN437" s="9"/>
      <c r="AO437" s="9"/>
      <c r="AP437" s="9"/>
      <c r="AQ437" s="28"/>
      <c r="AR437" s="28"/>
    </row>
    <row r="438" spans="5:44" x14ac:dyDescent="0.25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9"/>
      <c r="AL438" s="9"/>
      <c r="AM438" s="9"/>
      <c r="AN438" s="9"/>
      <c r="AO438" s="9"/>
      <c r="AP438" s="9"/>
      <c r="AQ438" s="28"/>
      <c r="AR438" s="28"/>
    </row>
    <row r="439" spans="5:44" x14ac:dyDescent="0.25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9"/>
      <c r="AL439" s="9"/>
      <c r="AM439" s="9"/>
      <c r="AN439" s="9"/>
      <c r="AO439" s="9"/>
      <c r="AP439" s="9"/>
      <c r="AQ439" s="28"/>
      <c r="AR439" s="28"/>
    </row>
    <row r="440" spans="5:44" x14ac:dyDescent="0.25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9"/>
      <c r="AL440" s="9"/>
      <c r="AM440" s="9"/>
      <c r="AN440" s="9"/>
      <c r="AO440" s="9"/>
      <c r="AP440" s="9"/>
      <c r="AQ440" s="28"/>
      <c r="AR440" s="28"/>
    </row>
    <row r="441" spans="5:44" x14ac:dyDescent="0.25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9"/>
      <c r="AL441" s="9"/>
      <c r="AM441" s="9"/>
      <c r="AN441" s="9"/>
      <c r="AO441" s="9"/>
      <c r="AP441" s="9"/>
      <c r="AQ441" s="28"/>
      <c r="AR441" s="28"/>
    </row>
    <row r="442" spans="5:44" x14ac:dyDescent="0.25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9"/>
      <c r="AL442" s="9"/>
      <c r="AM442" s="9"/>
      <c r="AN442" s="9"/>
      <c r="AO442" s="9"/>
      <c r="AP442" s="9"/>
      <c r="AQ442" s="28"/>
      <c r="AR442" s="28"/>
    </row>
    <row r="443" spans="5:44" x14ac:dyDescent="0.25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9"/>
      <c r="AL443" s="9"/>
      <c r="AM443" s="9"/>
      <c r="AN443" s="9"/>
      <c r="AO443" s="9"/>
      <c r="AP443" s="9"/>
      <c r="AQ443" s="28"/>
      <c r="AR443" s="28"/>
    </row>
    <row r="444" spans="5:44" x14ac:dyDescent="0.25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9"/>
      <c r="AL444" s="9"/>
      <c r="AM444" s="9"/>
      <c r="AN444" s="9"/>
      <c r="AO444" s="9"/>
      <c r="AP444" s="9"/>
      <c r="AQ444" s="28"/>
      <c r="AR444" s="28"/>
    </row>
    <row r="445" spans="5:44" x14ac:dyDescent="0.25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9"/>
      <c r="AL445" s="9"/>
      <c r="AM445" s="9"/>
      <c r="AN445" s="9"/>
      <c r="AO445" s="9"/>
      <c r="AP445" s="9"/>
      <c r="AQ445" s="28"/>
      <c r="AR445" s="28"/>
    </row>
    <row r="446" spans="5:44" x14ac:dyDescent="0.25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9"/>
      <c r="AL446" s="9"/>
      <c r="AM446" s="9"/>
      <c r="AN446" s="9"/>
      <c r="AO446" s="9"/>
      <c r="AP446" s="9"/>
      <c r="AQ446" s="28"/>
      <c r="AR446" s="28"/>
    </row>
    <row r="447" spans="5:44" x14ac:dyDescent="0.25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9"/>
      <c r="AL447" s="9"/>
      <c r="AM447" s="9"/>
      <c r="AN447" s="9"/>
      <c r="AO447" s="9"/>
      <c r="AP447" s="9"/>
      <c r="AQ447" s="28"/>
      <c r="AR447" s="28"/>
    </row>
    <row r="448" spans="5:44" x14ac:dyDescent="0.25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9"/>
      <c r="AL448" s="9"/>
      <c r="AM448" s="9"/>
      <c r="AN448" s="9"/>
      <c r="AO448" s="9"/>
      <c r="AP448" s="9"/>
      <c r="AQ448" s="28"/>
      <c r="AR448" s="28"/>
    </row>
    <row r="449" spans="5:44" x14ac:dyDescent="0.25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9"/>
      <c r="AL449" s="9"/>
      <c r="AM449" s="9"/>
      <c r="AN449" s="9"/>
      <c r="AO449" s="9"/>
      <c r="AP449" s="9"/>
      <c r="AQ449" s="28"/>
      <c r="AR449" s="28"/>
    </row>
    <row r="450" spans="5:44" x14ac:dyDescent="0.25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9"/>
      <c r="AL450" s="9"/>
      <c r="AM450" s="9"/>
      <c r="AN450" s="9"/>
      <c r="AO450" s="9"/>
      <c r="AP450" s="9"/>
      <c r="AQ450" s="28"/>
      <c r="AR450" s="28"/>
    </row>
    <row r="451" spans="5:44" x14ac:dyDescent="0.25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9"/>
      <c r="AL451" s="9"/>
      <c r="AM451" s="9"/>
      <c r="AN451" s="9"/>
      <c r="AO451" s="9"/>
      <c r="AP451" s="9"/>
      <c r="AQ451" s="28"/>
      <c r="AR451" s="28"/>
    </row>
    <row r="452" spans="5:44" x14ac:dyDescent="0.25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9"/>
      <c r="AL452" s="9"/>
      <c r="AM452" s="9"/>
      <c r="AN452" s="9"/>
      <c r="AO452" s="9"/>
      <c r="AP452" s="9"/>
      <c r="AQ452" s="28"/>
      <c r="AR452" s="28"/>
    </row>
    <row r="453" spans="5:44" x14ac:dyDescent="0.25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9"/>
      <c r="AL453" s="9"/>
      <c r="AM453" s="9"/>
      <c r="AN453" s="9"/>
      <c r="AO453" s="9"/>
      <c r="AP453" s="9"/>
      <c r="AQ453" s="28"/>
      <c r="AR453" s="28"/>
    </row>
    <row r="454" spans="5:44" x14ac:dyDescent="0.25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9"/>
      <c r="AL454" s="9"/>
      <c r="AM454" s="9"/>
      <c r="AN454" s="9"/>
      <c r="AO454" s="9"/>
      <c r="AP454" s="9"/>
      <c r="AQ454" s="28"/>
      <c r="AR454" s="28"/>
    </row>
    <row r="455" spans="5:44" x14ac:dyDescent="0.25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9"/>
      <c r="AL455" s="9"/>
      <c r="AM455" s="9"/>
      <c r="AN455" s="9"/>
      <c r="AO455" s="9"/>
      <c r="AP455" s="9"/>
      <c r="AQ455" s="28"/>
      <c r="AR455" s="28"/>
    </row>
    <row r="456" spans="5:44" x14ac:dyDescent="0.25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9"/>
      <c r="AL456" s="9"/>
      <c r="AM456" s="9"/>
      <c r="AN456" s="9"/>
      <c r="AO456" s="9"/>
      <c r="AP456" s="9"/>
      <c r="AQ456" s="28"/>
      <c r="AR456" s="28"/>
    </row>
    <row r="457" spans="5:44" x14ac:dyDescent="0.25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9"/>
      <c r="AL457" s="9"/>
      <c r="AM457" s="9"/>
      <c r="AN457" s="9"/>
      <c r="AO457" s="9"/>
      <c r="AP457" s="9"/>
      <c r="AQ457" s="28"/>
      <c r="AR457" s="28"/>
    </row>
    <row r="458" spans="5:44" x14ac:dyDescent="0.25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9"/>
      <c r="AL458" s="9"/>
      <c r="AM458" s="9"/>
      <c r="AN458" s="9"/>
      <c r="AO458" s="9"/>
      <c r="AP458" s="9"/>
      <c r="AQ458" s="28"/>
      <c r="AR458" s="28"/>
    </row>
    <row r="459" spans="5:44" x14ac:dyDescent="0.25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9"/>
      <c r="AL459" s="9"/>
      <c r="AM459" s="9"/>
      <c r="AN459" s="9"/>
      <c r="AO459" s="9"/>
      <c r="AP459" s="9"/>
      <c r="AQ459" s="28"/>
      <c r="AR459" s="28"/>
    </row>
    <row r="460" spans="5:44" x14ac:dyDescent="0.25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9"/>
      <c r="AL460" s="9"/>
      <c r="AM460" s="9"/>
      <c r="AN460" s="9"/>
      <c r="AO460" s="9"/>
      <c r="AP460" s="9"/>
      <c r="AQ460" s="28"/>
      <c r="AR460" s="28"/>
    </row>
    <row r="461" spans="5:44" x14ac:dyDescent="0.25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9"/>
      <c r="AL461" s="9"/>
      <c r="AM461" s="9"/>
      <c r="AN461" s="9"/>
      <c r="AO461" s="9"/>
      <c r="AP461" s="9"/>
      <c r="AQ461" s="28"/>
      <c r="AR461" s="28"/>
    </row>
    <row r="462" spans="5:44" x14ac:dyDescent="0.25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9"/>
      <c r="AL462" s="9"/>
      <c r="AM462" s="9"/>
      <c r="AN462" s="9"/>
      <c r="AO462" s="9"/>
      <c r="AP462" s="9"/>
      <c r="AQ462" s="28"/>
      <c r="AR462" s="28"/>
    </row>
    <row r="463" spans="5:44" x14ac:dyDescent="0.25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9"/>
      <c r="AL463" s="9"/>
      <c r="AM463" s="9"/>
      <c r="AN463" s="9"/>
      <c r="AO463" s="9"/>
      <c r="AP463" s="9"/>
      <c r="AQ463" s="28"/>
      <c r="AR463" s="28"/>
    </row>
    <row r="464" spans="5:44" x14ac:dyDescent="0.25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9"/>
      <c r="AL464" s="9"/>
      <c r="AM464" s="9"/>
      <c r="AN464" s="9"/>
      <c r="AO464" s="9"/>
      <c r="AP464" s="9"/>
      <c r="AQ464" s="28"/>
      <c r="AR464" s="28"/>
    </row>
    <row r="465" spans="5:44" x14ac:dyDescent="0.25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9"/>
      <c r="AL465" s="9"/>
      <c r="AM465" s="9"/>
      <c r="AN465" s="9"/>
      <c r="AO465" s="9"/>
      <c r="AP465" s="9"/>
      <c r="AQ465" s="28"/>
      <c r="AR465" s="28"/>
    </row>
    <row r="466" spans="5:44" x14ac:dyDescent="0.25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9"/>
      <c r="AL466" s="9"/>
      <c r="AM466" s="9"/>
      <c r="AN466" s="9"/>
      <c r="AO466" s="9"/>
      <c r="AP466" s="9"/>
      <c r="AQ466" s="28"/>
      <c r="AR466" s="28"/>
    </row>
    <row r="467" spans="5:44" x14ac:dyDescent="0.25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9"/>
      <c r="AL467" s="9"/>
      <c r="AM467" s="9"/>
      <c r="AN467" s="9"/>
      <c r="AO467" s="9"/>
      <c r="AP467" s="9"/>
      <c r="AQ467" s="28"/>
      <c r="AR467" s="28"/>
    </row>
    <row r="468" spans="5:44" x14ac:dyDescent="0.25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9"/>
      <c r="AL468" s="9"/>
      <c r="AM468" s="9"/>
      <c r="AN468" s="9"/>
      <c r="AO468" s="9"/>
      <c r="AP468" s="9"/>
      <c r="AQ468" s="28"/>
      <c r="AR468" s="28"/>
    </row>
    <row r="469" spans="5:44" x14ac:dyDescent="0.25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9"/>
      <c r="AL469" s="9"/>
      <c r="AM469" s="9"/>
      <c r="AN469" s="9"/>
      <c r="AO469" s="9"/>
      <c r="AP469" s="9"/>
      <c r="AQ469" s="28"/>
      <c r="AR469" s="28"/>
    </row>
    <row r="470" spans="5:44" x14ac:dyDescent="0.25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9"/>
      <c r="AL470" s="9"/>
      <c r="AM470" s="9"/>
      <c r="AN470" s="9"/>
      <c r="AO470" s="9"/>
      <c r="AP470" s="9"/>
      <c r="AQ470" s="28"/>
      <c r="AR470" s="28"/>
    </row>
    <row r="471" spans="5:44" x14ac:dyDescent="0.25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9"/>
      <c r="AL471" s="9"/>
      <c r="AM471" s="9"/>
      <c r="AN471" s="9"/>
      <c r="AO471" s="9"/>
      <c r="AP471" s="9"/>
      <c r="AQ471" s="28"/>
      <c r="AR471" s="28"/>
    </row>
    <row r="472" spans="5:44" x14ac:dyDescent="0.25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9"/>
      <c r="AL472" s="9"/>
      <c r="AM472" s="9"/>
      <c r="AN472" s="9"/>
      <c r="AO472" s="9"/>
      <c r="AP472" s="9"/>
      <c r="AQ472" s="28"/>
      <c r="AR472" s="28"/>
    </row>
    <row r="473" spans="5:44" x14ac:dyDescent="0.25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9"/>
      <c r="AL473" s="9"/>
      <c r="AM473" s="9"/>
      <c r="AN473" s="9"/>
      <c r="AO473" s="9"/>
      <c r="AP473" s="9"/>
      <c r="AQ473" s="28"/>
      <c r="AR473" s="28"/>
    </row>
    <row r="474" spans="5:44" x14ac:dyDescent="0.25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9"/>
      <c r="AL474" s="9"/>
      <c r="AM474" s="9"/>
      <c r="AN474" s="9"/>
      <c r="AO474" s="9"/>
      <c r="AP474" s="9"/>
      <c r="AQ474" s="28"/>
      <c r="AR474" s="28"/>
    </row>
    <row r="475" spans="5:44" x14ac:dyDescent="0.25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9"/>
      <c r="AL475" s="9"/>
      <c r="AM475" s="9"/>
      <c r="AN475" s="9"/>
      <c r="AO475" s="9"/>
      <c r="AP475" s="9"/>
      <c r="AQ475" s="28"/>
      <c r="AR475" s="28"/>
    </row>
    <row r="476" spans="5:44" x14ac:dyDescent="0.25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9"/>
      <c r="AL476" s="9"/>
      <c r="AM476" s="9"/>
      <c r="AN476" s="9"/>
      <c r="AO476" s="9"/>
      <c r="AP476" s="9"/>
      <c r="AQ476" s="28"/>
      <c r="AR476" s="28"/>
    </row>
    <row r="477" spans="5:44" x14ac:dyDescent="0.25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9"/>
      <c r="AL477" s="9"/>
      <c r="AM477" s="9"/>
      <c r="AN477" s="9"/>
      <c r="AO477" s="9"/>
      <c r="AP477" s="9"/>
      <c r="AQ477" s="28"/>
      <c r="AR477" s="28"/>
    </row>
    <row r="478" spans="5:44" x14ac:dyDescent="0.25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9"/>
      <c r="AL478" s="9"/>
      <c r="AM478" s="9"/>
      <c r="AN478" s="9"/>
      <c r="AO478" s="9"/>
      <c r="AP478" s="9"/>
      <c r="AQ478" s="28"/>
      <c r="AR478" s="28"/>
    </row>
    <row r="479" spans="5:44" x14ac:dyDescent="0.25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9"/>
      <c r="AL479" s="9"/>
      <c r="AM479" s="9"/>
      <c r="AN479" s="9"/>
      <c r="AO479" s="9"/>
      <c r="AP479" s="9"/>
      <c r="AQ479" s="28"/>
      <c r="AR479" s="28"/>
    </row>
    <row r="480" spans="5:44" x14ac:dyDescent="0.25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9"/>
      <c r="AL480" s="9"/>
      <c r="AM480" s="9"/>
      <c r="AN480" s="9"/>
      <c r="AO480" s="9"/>
      <c r="AP480" s="9"/>
      <c r="AQ480" s="28"/>
      <c r="AR480" s="28"/>
    </row>
    <row r="481" spans="5:44" x14ac:dyDescent="0.25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9"/>
      <c r="AL481" s="9"/>
      <c r="AM481" s="9"/>
      <c r="AN481" s="9"/>
      <c r="AO481" s="9"/>
      <c r="AP481" s="9"/>
      <c r="AQ481" s="28"/>
      <c r="AR481" s="28"/>
    </row>
    <row r="482" spans="5:44" x14ac:dyDescent="0.25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9"/>
      <c r="AL482" s="9"/>
      <c r="AM482" s="9"/>
      <c r="AN482" s="9"/>
      <c r="AO482" s="9"/>
      <c r="AP482" s="9"/>
      <c r="AQ482" s="28"/>
      <c r="AR482" s="28"/>
    </row>
    <row r="483" spans="5:44" x14ac:dyDescent="0.25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9"/>
      <c r="AL483" s="9"/>
      <c r="AM483" s="9"/>
      <c r="AN483" s="9"/>
      <c r="AO483" s="9"/>
      <c r="AP483" s="9"/>
      <c r="AQ483" s="28"/>
      <c r="AR483" s="28"/>
    </row>
    <row r="484" spans="5:44" x14ac:dyDescent="0.25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9"/>
      <c r="AL484" s="9"/>
      <c r="AM484" s="9"/>
      <c r="AN484" s="9"/>
      <c r="AO484" s="9"/>
      <c r="AP484" s="9"/>
      <c r="AQ484" s="28"/>
      <c r="AR484" s="28"/>
    </row>
    <row r="485" spans="5:44" x14ac:dyDescent="0.25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9"/>
      <c r="AL485" s="9"/>
      <c r="AM485" s="9"/>
      <c r="AN485" s="9"/>
      <c r="AO485" s="9"/>
      <c r="AP485" s="9"/>
      <c r="AQ485" s="28"/>
      <c r="AR485" s="28"/>
    </row>
    <row r="486" spans="5:44" x14ac:dyDescent="0.25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9"/>
      <c r="AL486" s="9"/>
      <c r="AM486" s="9"/>
      <c r="AN486" s="9"/>
      <c r="AO486" s="9"/>
      <c r="AP486" s="9"/>
      <c r="AQ486" s="28"/>
      <c r="AR486" s="28"/>
    </row>
    <row r="487" spans="5:44" x14ac:dyDescent="0.25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9"/>
      <c r="AL487" s="9"/>
      <c r="AM487" s="9"/>
      <c r="AN487" s="9"/>
      <c r="AO487" s="9"/>
      <c r="AP487" s="9"/>
      <c r="AQ487" s="28"/>
      <c r="AR487" s="28"/>
    </row>
    <row r="488" spans="5:44" x14ac:dyDescent="0.25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9"/>
      <c r="AL488" s="9"/>
      <c r="AM488" s="9"/>
      <c r="AN488" s="9"/>
      <c r="AO488" s="9"/>
      <c r="AP488" s="9"/>
      <c r="AQ488" s="28"/>
      <c r="AR488" s="28"/>
    </row>
    <row r="489" spans="5:44" x14ac:dyDescent="0.25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9"/>
      <c r="AL489" s="9"/>
      <c r="AM489" s="9"/>
      <c r="AN489" s="9"/>
      <c r="AO489" s="9"/>
      <c r="AP489" s="9"/>
      <c r="AQ489" s="28"/>
      <c r="AR489" s="28"/>
    </row>
    <row r="490" spans="5:44" x14ac:dyDescent="0.25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9"/>
      <c r="AL490" s="9"/>
      <c r="AM490" s="9"/>
      <c r="AN490" s="9"/>
      <c r="AO490" s="9"/>
      <c r="AP490" s="9"/>
      <c r="AQ490" s="28"/>
      <c r="AR490" s="28"/>
    </row>
    <row r="491" spans="5:44" x14ac:dyDescent="0.25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9"/>
      <c r="AL491" s="9"/>
      <c r="AM491" s="9"/>
      <c r="AN491" s="9"/>
      <c r="AO491" s="9"/>
      <c r="AP491" s="9"/>
      <c r="AQ491" s="28"/>
      <c r="AR491" s="28"/>
    </row>
    <row r="492" spans="5:44" x14ac:dyDescent="0.25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9"/>
      <c r="AL492" s="9"/>
      <c r="AM492" s="9"/>
      <c r="AN492" s="9"/>
      <c r="AO492" s="9"/>
      <c r="AP492" s="9"/>
      <c r="AQ492" s="28"/>
      <c r="AR492" s="28"/>
    </row>
    <row r="493" spans="5:44" x14ac:dyDescent="0.25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9"/>
      <c r="AL493" s="9"/>
      <c r="AM493" s="9"/>
      <c r="AN493" s="9"/>
      <c r="AO493" s="9"/>
      <c r="AP493" s="9"/>
      <c r="AQ493" s="28"/>
      <c r="AR493" s="28"/>
    </row>
    <row r="494" spans="5:44" x14ac:dyDescent="0.25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9"/>
      <c r="AL494" s="9"/>
      <c r="AM494" s="9"/>
      <c r="AN494" s="9"/>
      <c r="AO494" s="9"/>
      <c r="AP494" s="9"/>
      <c r="AQ494" s="28"/>
      <c r="AR494" s="28"/>
    </row>
    <row r="495" spans="5:44" x14ac:dyDescent="0.25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9"/>
      <c r="AL495" s="9"/>
      <c r="AM495" s="9"/>
      <c r="AN495" s="9"/>
      <c r="AO495" s="9"/>
      <c r="AP495" s="9"/>
      <c r="AQ495" s="28"/>
      <c r="AR495" s="28"/>
    </row>
    <row r="496" spans="5:44" x14ac:dyDescent="0.25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9"/>
      <c r="AL496" s="9"/>
      <c r="AM496" s="9"/>
      <c r="AN496" s="9"/>
      <c r="AO496" s="9"/>
      <c r="AP496" s="9"/>
      <c r="AQ496" s="28"/>
      <c r="AR496" s="28"/>
    </row>
    <row r="497" spans="5:44" x14ac:dyDescent="0.25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9"/>
      <c r="AL497" s="9"/>
      <c r="AM497" s="9"/>
      <c r="AN497" s="9"/>
      <c r="AO497" s="9"/>
      <c r="AP497" s="9"/>
      <c r="AQ497" s="28"/>
      <c r="AR497" s="28"/>
    </row>
    <row r="498" spans="5:44" x14ac:dyDescent="0.25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9"/>
      <c r="AL498" s="9"/>
      <c r="AM498" s="9"/>
      <c r="AN498" s="9"/>
      <c r="AO498" s="9"/>
      <c r="AP498" s="9"/>
      <c r="AQ498" s="28"/>
      <c r="AR498" s="28"/>
    </row>
    <row r="499" spans="5:44" x14ac:dyDescent="0.25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9"/>
      <c r="AL499" s="9"/>
      <c r="AM499" s="9"/>
      <c r="AN499" s="9"/>
      <c r="AO499" s="9"/>
      <c r="AP499" s="9"/>
      <c r="AQ499" s="28"/>
      <c r="AR499" s="28"/>
    </row>
    <row r="500" spans="5:44" x14ac:dyDescent="0.25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9"/>
      <c r="AL500" s="9"/>
      <c r="AM500" s="9"/>
      <c r="AN500" s="9"/>
      <c r="AO500" s="9"/>
      <c r="AP500" s="9"/>
      <c r="AQ500" s="28"/>
      <c r="AR500" s="28"/>
    </row>
    <row r="501" spans="5:44" x14ac:dyDescent="0.25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9"/>
      <c r="AL501" s="9"/>
      <c r="AM501" s="9"/>
      <c r="AN501" s="9"/>
      <c r="AO501" s="9"/>
      <c r="AP501" s="9"/>
      <c r="AQ501" s="28"/>
      <c r="AR501" s="28"/>
    </row>
    <row r="502" spans="5:44" x14ac:dyDescent="0.25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9"/>
      <c r="AL502" s="9"/>
      <c r="AM502" s="9"/>
      <c r="AN502" s="9"/>
      <c r="AO502" s="9"/>
      <c r="AP502" s="9"/>
      <c r="AQ502" s="28"/>
      <c r="AR502" s="28"/>
    </row>
    <row r="503" spans="5:44" x14ac:dyDescent="0.25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9"/>
      <c r="AL503" s="9"/>
      <c r="AM503" s="9"/>
      <c r="AN503" s="9"/>
      <c r="AO503" s="9"/>
      <c r="AP503" s="9"/>
      <c r="AQ503" s="28"/>
      <c r="AR503" s="28"/>
    </row>
    <row r="504" spans="5:44" x14ac:dyDescent="0.25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9"/>
      <c r="AL504" s="9"/>
      <c r="AM504" s="9"/>
      <c r="AN504" s="9"/>
      <c r="AO504" s="9"/>
      <c r="AP504" s="9"/>
      <c r="AQ504" s="28"/>
      <c r="AR504" s="28"/>
    </row>
    <row r="505" spans="5:44" x14ac:dyDescent="0.25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9"/>
      <c r="AL505" s="9"/>
      <c r="AM505" s="9"/>
      <c r="AN505" s="9"/>
      <c r="AO505" s="9"/>
      <c r="AP505" s="9"/>
      <c r="AQ505" s="28"/>
      <c r="AR505" s="28"/>
    </row>
    <row r="506" spans="5:44" x14ac:dyDescent="0.25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9"/>
      <c r="AL506" s="9"/>
      <c r="AM506" s="9"/>
      <c r="AN506" s="9"/>
      <c r="AO506" s="9"/>
      <c r="AP506" s="9"/>
      <c r="AQ506" s="28"/>
      <c r="AR506" s="28"/>
    </row>
    <row r="507" spans="5:44" x14ac:dyDescent="0.25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9"/>
      <c r="AL507" s="9"/>
      <c r="AM507" s="9"/>
      <c r="AN507" s="9"/>
      <c r="AO507" s="9"/>
      <c r="AP507" s="9"/>
      <c r="AQ507" s="28"/>
      <c r="AR507" s="28"/>
    </row>
    <row r="508" spans="5:44" x14ac:dyDescent="0.25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9"/>
      <c r="AL508" s="9"/>
      <c r="AM508" s="9"/>
      <c r="AN508" s="9"/>
      <c r="AO508" s="9"/>
      <c r="AP508" s="9"/>
      <c r="AQ508" s="28"/>
      <c r="AR508" s="28"/>
    </row>
    <row r="509" spans="5:44" x14ac:dyDescent="0.25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9"/>
      <c r="AL509" s="9"/>
      <c r="AM509" s="9"/>
      <c r="AN509" s="9"/>
      <c r="AO509" s="9"/>
      <c r="AP509" s="9"/>
      <c r="AQ509" s="28"/>
      <c r="AR509" s="28"/>
    </row>
    <row r="510" spans="5:44" x14ac:dyDescent="0.25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9"/>
      <c r="AL510" s="9"/>
      <c r="AM510" s="9"/>
      <c r="AN510" s="9"/>
      <c r="AO510" s="9"/>
      <c r="AP510" s="9"/>
      <c r="AQ510" s="28"/>
      <c r="AR510" s="28"/>
    </row>
    <row r="511" spans="5:44" x14ac:dyDescent="0.25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9"/>
      <c r="AL511" s="9"/>
      <c r="AM511" s="9"/>
      <c r="AN511" s="9"/>
      <c r="AO511" s="9"/>
      <c r="AP511" s="9"/>
      <c r="AQ511" s="28"/>
      <c r="AR511" s="28"/>
    </row>
    <row r="512" spans="5:44" x14ac:dyDescent="0.25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9"/>
      <c r="AL512" s="9"/>
      <c r="AM512" s="9"/>
      <c r="AN512" s="9"/>
      <c r="AO512" s="9"/>
      <c r="AP512" s="9"/>
      <c r="AQ512" s="28"/>
      <c r="AR512" s="28"/>
    </row>
    <row r="513" spans="5:44" x14ac:dyDescent="0.25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9"/>
      <c r="AL513" s="9"/>
      <c r="AM513" s="9"/>
      <c r="AN513" s="9"/>
      <c r="AO513" s="9"/>
      <c r="AP513" s="9"/>
      <c r="AQ513" s="28"/>
      <c r="AR513" s="28"/>
    </row>
    <row r="514" spans="5:44" x14ac:dyDescent="0.25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9"/>
      <c r="AL514" s="9"/>
      <c r="AM514" s="9"/>
      <c r="AN514" s="9"/>
      <c r="AO514" s="9"/>
      <c r="AP514" s="9"/>
      <c r="AQ514" s="28"/>
      <c r="AR514" s="28"/>
    </row>
    <row r="515" spans="5:44" x14ac:dyDescent="0.25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9"/>
      <c r="AL515" s="9"/>
      <c r="AM515" s="9"/>
      <c r="AN515" s="9"/>
      <c r="AO515" s="9"/>
      <c r="AP515" s="9"/>
      <c r="AQ515" s="28"/>
      <c r="AR515" s="28"/>
    </row>
    <row r="516" spans="5:44" x14ac:dyDescent="0.25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9"/>
      <c r="AL516" s="9"/>
      <c r="AM516" s="9"/>
      <c r="AN516" s="9"/>
      <c r="AO516" s="9"/>
      <c r="AP516" s="9"/>
      <c r="AQ516" s="28"/>
      <c r="AR516" s="28"/>
    </row>
    <row r="517" spans="5:44" x14ac:dyDescent="0.25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9"/>
      <c r="AL517" s="9"/>
      <c r="AM517" s="9"/>
      <c r="AN517" s="9"/>
      <c r="AO517" s="9"/>
      <c r="AP517" s="9"/>
      <c r="AQ517" s="28"/>
      <c r="AR517" s="28"/>
    </row>
    <row r="518" spans="5:44" x14ac:dyDescent="0.25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9"/>
      <c r="AL518" s="9"/>
      <c r="AM518" s="9"/>
      <c r="AN518" s="9"/>
      <c r="AO518" s="9"/>
      <c r="AP518" s="9"/>
      <c r="AQ518" s="28"/>
      <c r="AR518" s="28"/>
    </row>
    <row r="519" spans="5:44" x14ac:dyDescent="0.25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9"/>
      <c r="AL519" s="9"/>
      <c r="AM519" s="9"/>
      <c r="AN519" s="9"/>
      <c r="AO519" s="9"/>
      <c r="AP519" s="9"/>
      <c r="AQ519" s="28"/>
      <c r="AR519" s="28"/>
    </row>
    <row r="520" spans="5:44" x14ac:dyDescent="0.25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9"/>
      <c r="AL520" s="9"/>
      <c r="AM520" s="9"/>
      <c r="AN520" s="9"/>
      <c r="AO520" s="9"/>
      <c r="AP520" s="9"/>
      <c r="AQ520" s="28"/>
      <c r="AR520" s="28"/>
    </row>
    <row r="521" spans="5:44" x14ac:dyDescent="0.25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9"/>
      <c r="AL521" s="9"/>
      <c r="AM521" s="9"/>
      <c r="AN521" s="9"/>
      <c r="AO521" s="9"/>
      <c r="AP521" s="9"/>
      <c r="AQ521" s="28"/>
      <c r="AR521" s="28"/>
    </row>
    <row r="522" spans="5:44" x14ac:dyDescent="0.25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9"/>
      <c r="AL522" s="9"/>
      <c r="AM522" s="9"/>
      <c r="AN522" s="9"/>
      <c r="AO522" s="9"/>
      <c r="AP522" s="9"/>
      <c r="AQ522" s="28"/>
      <c r="AR522" s="28"/>
    </row>
    <row r="523" spans="5:44" x14ac:dyDescent="0.25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9"/>
      <c r="AL523" s="9"/>
      <c r="AM523" s="9"/>
      <c r="AN523" s="9"/>
      <c r="AO523" s="9"/>
      <c r="AP523" s="9"/>
      <c r="AQ523" s="28"/>
      <c r="AR523" s="28"/>
    </row>
    <row r="524" spans="5:44" x14ac:dyDescent="0.25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9"/>
      <c r="AL524" s="9"/>
      <c r="AM524" s="9"/>
      <c r="AN524" s="9"/>
      <c r="AO524" s="9"/>
      <c r="AP524" s="9"/>
      <c r="AQ524" s="28"/>
      <c r="AR524" s="28"/>
    </row>
    <row r="525" spans="5:44" x14ac:dyDescent="0.25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9"/>
      <c r="AL525" s="9"/>
      <c r="AM525" s="9"/>
      <c r="AN525" s="9"/>
      <c r="AO525" s="9"/>
      <c r="AP525" s="9"/>
      <c r="AQ525" s="28"/>
      <c r="AR525" s="28"/>
    </row>
    <row r="526" spans="5:44" x14ac:dyDescent="0.25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9"/>
      <c r="AL526" s="9"/>
      <c r="AM526" s="9"/>
      <c r="AN526" s="9"/>
      <c r="AO526" s="9"/>
      <c r="AP526" s="9"/>
      <c r="AQ526" s="28"/>
      <c r="AR526" s="28"/>
    </row>
    <row r="527" spans="5:44" x14ac:dyDescent="0.25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9"/>
      <c r="AL527" s="9"/>
      <c r="AM527" s="9"/>
      <c r="AN527" s="9"/>
      <c r="AO527" s="9"/>
      <c r="AP527" s="9"/>
      <c r="AQ527" s="28"/>
      <c r="AR527" s="28"/>
    </row>
    <row r="528" spans="5:44" x14ac:dyDescent="0.25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9"/>
      <c r="AL528" s="9"/>
      <c r="AM528" s="9"/>
      <c r="AN528" s="9"/>
      <c r="AO528" s="9"/>
      <c r="AP528" s="9"/>
      <c r="AQ528" s="28"/>
      <c r="AR528" s="28"/>
    </row>
    <row r="529" spans="5:44" x14ac:dyDescent="0.25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9"/>
      <c r="AL529" s="9"/>
      <c r="AM529" s="9"/>
      <c r="AN529" s="9"/>
      <c r="AO529" s="9"/>
      <c r="AP529" s="9"/>
      <c r="AQ529" s="28"/>
      <c r="AR529" s="28"/>
    </row>
    <row r="530" spans="5:44" x14ac:dyDescent="0.25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9"/>
      <c r="AL530" s="9"/>
      <c r="AM530" s="9"/>
      <c r="AN530" s="9"/>
      <c r="AO530" s="9"/>
      <c r="AP530" s="9"/>
      <c r="AQ530" s="28"/>
      <c r="AR530" s="28"/>
    </row>
    <row r="531" spans="5:44" x14ac:dyDescent="0.25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9"/>
      <c r="AL531" s="9"/>
      <c r="AM531" s="9"/>
      <c r="AN531" s="9"/>
      <c r="AO531" s="9"/>
      <c r="AP531" s="9"/>
      <c r="AQ531" s="28"/>
      <c r="AR531" s="28"/>
    </row>
    <row r="532" spans="5:44" x14ac:dyDescent="0.25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9"/>
      <c r="AL532" s="9"/>
      <c r="AM532" s="9"/>
      <c r="AN532" s="9"/>
      <c r="AO532" s="9"/>
      <c r="AP532" s="9"/>
      <c r="AQ532" s="28"/>
      <c r="AR532" s="28"/>
    </row>
    <row r="533" spans="5:44" x14ac:dyDescent="0.25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9"/>
      <c r="AL533" s="9"/>
      <c r="AM533" s="9"/>
      <c r="AN533" s="9"/>
      <c r="AO533" s="9"/>
      <c r="AP533" s="9"/>
      <c r="AQ533" s="28"/>
      <c r="AR533" s="28"/>
    </row>
    <row r="534" spans="5:44" x14ac:dyDescent="0.25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9"/>
      <c r="AL534" s="9"/>
      <c r="AM534" s="9"/>
      <c r="AN534" s="9"/>
      <c r="AO534" s="9"/>
      <c r="AP534" s="9"/>
      <c r="AQ534" s="28"/>
      <c r="AR534" s="28"/>
    </row>
    <row r="535" spans="5:44" x14ac:dyDescent="0.25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9"/>
      <c r="AL535" s="9"/>
      <c r="AM535" s="9"/>
      <c r="AN535" s="9"/>
      <c r="AO535" s="9"/>
      <c r="AP535" s="9"/>
      <c r="AQ535" s="28"/>
      <c r="AR535" s="28"/>
    </row>
    <row r="536" spans="5:44" x14ac:dyDescent="0.25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9"/>
      <c r="AL536" s="9"/>
      <c r="AM536" s="9"/>
      <c r="AN536" s="9"/>
      <c r="AO536" s="9"/>
      <c r="AP536" s="9"/>
      <c r="AQ536" s="28"/>
      <c r="AR536" s="28"/>
    </row>
    <row r="537" spans="5:44" x14ac:dyDescent="0.25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9"/>
      <c r="AL537" s="9"/>
      <c r="AM537" s="9"/>
      <c r="AN537" s="9"/>
      <c r="AO537" s="9"/>
      <c r="AP537" s="9"/>
      <c r="AQ537" s="28"/>
      <c r="AR537" s="28"/>
    </row>
    <row r="538" spans="5:44" x14ac:dyDescent="0.25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9"/>
      <c r="AL538" s="9"/>
      <c r="AM538" s="9"/>
      <c r="AN538" s="9"/>
      <c r="AO538" s="9"/>
      <c r="AP538" s="9"/>
      <c r="AQ538" s="28"/>
      <c r="AR538" s="28"/>
    </row>
    <row r="539" spans="5:44" x14ac:dyDescent="0.25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9"/>
      <c r="AL539" s="9"/>
      <c r="AM539" s="9"/>
      <c r="AN539" s="9"/>
      <c r="AO539" s="9"/>
      <c r="AP539" s="9"/>
      <c r="AQ539" s="28"/>
      <c r="AR539" s="28"/>
    </row>
    <row r="540" spans="5:44" x14ac:dyDescent="0.25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9"/>
      <c r="AL540" s="9"/>
      <c r="AM540" s="9"/>
      <c r="AN540" s="9"/>
      <c r="AO540" s="9"/>
      <c r="AP540" s="9"/>
      <c r="AQ540" s="28"/>
      <c r="AR540" s="28"/>
    </row>
    <row r="541" spans="5:44" x14ac:dyDescent="0.25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9"/>
      <c r="AL541" s="9"/>
      <c r="AM541" s="9"/>
      <c r="AN541" s="9"/>
      <c r="AO541" s="9"/>
      <c r="AP541" s="9"/>
      <c r="AQ541" s="28"/>
      <c r="AR541" s="28"/>
    </row>
    <row r="542" spans="5:44" x14ac:dyDescent="0.25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9"/>
      <c r="AL542" s="9"/>
      <c r="AM542" s="9"/>
      <c r="AN542" s="9"/>
      <c r="AO542" s="9"/>
      <c r="AP542" s="9"/>
      <c r="AQ542" s="28"/>
      <c r="AR542" s="28"/>
    </row>
    <row r="543" spans="5:44" x14ac:dyDescent="0.25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9"/>
      <c r="AL543" s="9"/>
      <c r="AM543" s="9"/>
      <c r="AN543" s="9"/>
      <c r="AO543" s="9"/>
      <c r="AP543" s="9"/>
      <c r="AQ543" s="28"/>
      <c r="AR543" s="28"/>
    </row>
    <row r="544" spans="5:44" x14ac:dyDescent="0.25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9"/>
      <c r="AL544" s="9"/>
      <c r="AM544" s="9"/>
      <c r="AN544" s="9"/>
      <c r="AO544" s="9"/>
      <c r="AP544" s="9"/>
      <c r="AQ544" s="28"/>
      <c r="AR544" s="28"/>
    </row>
    <row r="545" spans="5:44" x14ac:dyDescent="0.25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9"/>
      <c r="AL545" s="9"/>
      <c r="AM545" s="9"/>
      <c r="AN545" s="9"/>
      <c r="AO545" s="9"/>
      <c r="AP545" s="9"/>
      <c r="AQ545" s="28"/>
      <c r="AR545" s="28"/>
    </row>
    <row r="546" spans="5:44" x14ac:dyDescent="0.25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9"/>
      <c r="AL546" s="9"/>
      <c r="AM546" s="9"/>
      <c r="AN546" s="9"/>
      <c r="AO546" s="9"/>
      <c r="AP546" s="9"/>
      <c r="AQ546" s="28"/>
      <c r="AR546" s="28"/>
    </row>
    <row r="547" spans="5:44" x14ac:dyDescent="0.25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9"/>
      <c r="AL547" s="9"/>
      <c r="AM547" s="9"/>
      <c r="AN547" s="9"/>
      <c r="AO547" s="9"/>
      <c r="AP547" s="9"/>
      <c r="AQ547" s="28"/>
      <c r="AR547" s="28"/>
    </row>
    <row r="548" spans="5:44" x14ac:dyDescent="0.25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9"/>
      <c r="AL548" s="9"/>
      <c r="AM548" s="9"/>
      <c r="AN548" s="9"/>
      <c r="AO548" s="9"/>
      <c r="AP548" s="9"/>
      <c r="AQ548" s="28"/>
      <c r="AR548" s="28"/>
    </row>
    <row r="549" spans="5:44" x14ac:dyDescent="0.25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9"/>
      <c r="AL549" s="9"/>
      <c r="AM549" s="9"/>
      <c r="AN549" s="9"/>
      <c r="AO549" s="9"/>
      <c r="AP549" s="9"/>
      <c r="AQ549" s="28"/>
      <c r="AR549" s="28"/>
    </row>
    <row r="550" spans="5:44" x14ac:dyDescent="0.25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9"/>
      <c r="AL550" s="9"/>
      <c r="AM550" s="9"/>
      <c r="AN550" s="9"/>
      <c r="AO550" s="9"/>
      <c r="AP550" s="9"/>
      <c r="AQ550" s="28"/>
      <c r="AR550" s="28"/>
    </row>
    <row r="551" spans="5:44" x14ac:dyDescent="0.25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9"/>
      <c r="AL551" s="9"/>
      <c r="AM551" s="9"/>
      <c r="AN551" s="9"/>
      <c r="AO551" s="9"/>
      <c r="AP551" s="9"/>
      <c r="AQ551" s="28"/>
      <c r="AR551" s="28"/>
    </row>
    <row r="552" spans="5:44" x14ac:dyDescent="0.25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9"/>
      <c r="AL552" s="9"/>
      <c r="AM552" s="9"/>
      <c r="AN552" s="9"/>
      <c r="AO552" s="9"/>
      <c r="AP552" s="9"/>
      <c r="AQ552" s="28"/>
      <c r="AR552" s="28"/>
    </row>
    <row r="553" spans="5:44" x14ac:dyDescent="0.25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9"/>
      <c r="AL553" s="9"/>
      <c r="AM553" s="9"/>
      <c r="AN553" s="9"/>
      <c r="AO553" s="9"/>
      <c r="AP553" s="9"/>
      <c r="AQ553" s="28"/>
      <c r="AR553" s="28"/>
    </row>
    <row r="554" spans="5:44" x14ac:dyDescent="0.25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9"/>
      <c r="AL554" s="9"/>
      <c r="AM554" s="9"/>
      <c r="AN554" s="9"/>
      <c r="AO554" s="9"/>
      <c r="AP554" s="9"/>
      <c r="AQ554" s="28"/>
      <c r="AR554" s="28"/>
    </row>
    <row r="555" spans="5:44" x14ac:dyDescent="0.25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9"/>
      <c r="AL555" s="9"/>
      <c r="AM555" s="9"/>
      <c r="AN555" s="9"/>
      <c r="AO555" s="9"/>
      <c r="AP555" s="9"/>
      <c r="AQ555" s="28"/>
      <c r="AR555" s="28"/>
    </row>
    <row r="556" spans="5:44" x14ac:dyDescent="0.25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9"/>
      <c r="AL556" s="9"/>
      <c r="AM556" s="9"/>
      <c r="AN556" s="9"/>
      <c r="AO556" s="9"/>
      <c r="AP556" s="9"/>
      <c r="AQ556" s="28"/>
      <c r="AR556" s="28"/>
    </row>
    <row r="557" spans="5:44" x14ac:dyDescent="0.25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9"/>
      <c r="AL557" s="9"/>
      <c r="AM557" s="9"/>
      <c r="AN557" s="9"/>
      <c r="AO557" s="9"/>
      <c r="AP557" s="9"/>
      <c r="AQ557" s="28"/>
      <c r="AR557" s="28"/>
    </row>
    <row r="558" spans="5:44" x14ac:dyDescent="0.25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9"/>
      <c r="AL558" s="9"/>
      <c r="AM558" s="9"/>
      <c r="AN558" s="9"/>
      <c r="AO558" s="9"/>
      <c r="AP558" s="9"/>
      <c r="AQ558" s="28"/>
      <c r="AR558" s="28"/>
    </row>
    <row r="559" spans="5:44" x14ac:dyDescent="0.25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9"/>
      <c r="AL559" s="9"/>
      <c r="AM559" s="9"/>
      <c r="AN559" s="9"/>
      <c r="AO559" s="9"/>
      <c r="AP559" s="9"/>
      <c r="AQ559" s="28"/>
      <c r="AR559" s="28"/>
    </row>
    <row r="560" spans="5:44" x14ac:dyDescent="0.25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9"/>
      <c r="AL560" s="9"/>
      <c r="AM560" s="9"/>
      <c r="AN560" s="9"/>
      <c r="AO560" s="9"/>
      <c r="AP560" s="9"/>
      <c r="AQ560" s="28"/>
      <c r="AR560" s="28"/>
    </row>
    <row r="561" spans="5:44" x14ac:dyDescent="0.25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9"/>
      <c r="AL561" s="9"/>
      <c r="AM561" s="9"/>
      <c r="AN561" s="9"/>
      <c r="AO561" s="9"/>
      <c r="AP561" s="9"/>
      <c r="AQ561" s="28"/>
      <c r="AR561" s="28"/>
    </row>
    <row r="562" spans="5:44" x14ac:dyDescent="0.25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9"/>
      <c r="AL562" s="9"/>
      <c r="AM562" s="9"/>
      <c r="AN562" s="9"/>
      <c r="AO562" s="9"/>
      <c r="AP562" s="9"/>
      <c r="AQ562" s="28"/>
      <c r="AR562" s="28"/>
    </row>
    <row r="563" spans="5:44" x14ac:dyDescent="0.25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9"/>
      <c r="AL563" s="9"/>
      <c r="AM563" s="9"/>
      <c r="AN563" s="9"/>
      <c r="AO563" s="9"/>
      <c r="AP563" s="9"/>
      <c r="AQ563" s="28"/>
      <c r="AR563" s="28"/>
    </row>
    <row r="564" spans="5:44" x14ac:dyDescent="0.25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9"/>
      <c r="AL564" s="9"/>
      <c r="AM564" s="9"/>
      <c r="AN564" s="9"/>
      <c r="AO564" s="9"/>
      <c r="AP564" s="9"/>
      <c r="AQ564" s="28"/>
      <c r="AR564" s="28"/>
    </row>
    <row r="565" spans="5:44" x14ac:dyDescent="0.25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9"/>
      <c r="AL565" s="9"/>
      <c r="AM565" s="9"/>
      <c r="AN565" s="9"/>
      <c r="AO565" s="9"/>
      <c r="AP565" s="9"/>
      <c r="AQ565" s="28"/>
      <c r="AR565" s="28"/>
    </row>
    <row r="566" spans="5:44" x14ac:dyDescent="0.25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9"/>
      <c r="AL566" s="9"/>
      <c r="AM566" s="9"/>
      <c r="AN566" s="9"/>
      <c r="AO566" s="9"/>
      <c r="AP566" s="9"/>
      <c r="AQ566" s="28"/>
      <c r="AR566" s="28"/>
    </row>
    <row r="567" spans="5:44" x14ac:dyDescent="0.25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9"/>
      <c r="AL567" s="9"/>
      <c r="AM567" s="9"/>
      <c r="AN567" s="9"/>
      <c r="AO567" s="9"/>
      <c r="AP567" s="9"/>
      <c r="AQ567" s="28"/>
      <c r="AR567" s="28"/>
    </row>
    <row r="568" spans="5:44" x14ac:dyDescent="0.25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9"/>
      <c r="AL568" s="9"/>
      <c r="AM568" s="9"/>
      <c r="AN568" s="9"/>
      <c r="AO568" s="9"/>
      <c r="AP568" s="9"/>
      <c r="AQ568" s="28"/>
      <c r="AR568" s="28"/>
    </row>
    <row r="569" spans="5:44" x14ac:dyDescent="0.25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9"/>
      <c r="AL569" s="9"/>
      <c r="AM569" s="9"/>
      <c r="AN569" s="9"/>
      <c r="AO569" s="9"/>
      <c r="AP569" s="9"/>
      <c r="AQ569" s="28"/>
      <c r="AR569" s="28"/>
    </row>
    <row r="570" spans="5:44" x14ac:dyDescent="0.25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9"/>
      <c r="AL570" s="9"/>
      <c r="AM570" s="9"/>
      <c r="AN570" s="9"/>
      <c r="AO570" s="9"/>
      <c r="AP570" s="9"/>
      <c r="AQ570" s="28"/>
      <c r="AR570" s="28"/>
    </row>
    <row r="571" spans="5:44" x14ac:dyDescent="0.25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9"/>
      <c r="AL571" s="9"/>
      <c r="AM571" s="9"/>
      <c r="AN571" s="9"/>
      <c r="AO571" s="9"/>
      <c r="AP571" s="9"/>
      <c r="AQ571" s="28"/>
      <c r="AR571" s="28"/>
    </row>
    <row r="572" spans="5:44" x14ac:dyDescent="0.25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9"/>
      <c r="AL572" s="9"/>
      <c r="AM572" s="9"/>
      <c r="AN572" s="9"/>
      <c r="AO572" s="9"/>
      <c r="AP572" s="9"/>
      <c r="AQ572" s="28"/>
      <c r="AR572" s="28"/>
    </row>
    <row r="573" spans="5:44" x14ac:dyDescent="0.25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9"/>
      <c r="AL573" s="9"/>
      <c r="AM573" s="9"/>
      <c r="AN573" s="9"/>
      <c r="AO573" s="9"/>
      <c r="AP573" s="9"/>
      <c r="AQ573" s="28"/>
      <c r="AR573" s="28"/>
    </row>
    <row r="574" spans="5:44" x14ac:dyDescent="0.25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9"/>
      <c r="AL574" s="9"/>
      <c r="AM574" s="9"/>
      <c r="AN574" s="9"/>
      <c r="AO574" s="9"/>
      <c r="AP574" s="9"/>
      <c r="AQ574" s="28"/>
      <c r="AR574" s="28"/>
    </row>
    <row r="575" spans="5:44" x14ac:dyDescent="0.25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9"/>
      <c r="AL575" s="9"/>
      <c r="AM575" s="9"/>
      <c r="AN575" s="9"/>
      <c r="AO575" s="9"/>
      <c r="AP575" s="9"/>
      <c r="AQ575" s="28"/>
      <c r="AR575" s="28"/>
    </row>
    <row r="576" spans="5:44" x14ac:dyDescent="0.25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9"/>
      <c r="AL576" s="9"/>
      <c r="AM576" s="9"/>
      <c r="AN576" s="9"/>
      <c r="AO576" s="9"/>
      <c r="AP576" s="9"/>
      <c r="AQ576" s="28"/>
      <c r="AR576" s="28"/>
    </row>
    <row r="577" spans="5:44" x14ac:dyDescent="0.25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9"/>
      <c r="AL577" s="9"/>
      <c r="AM577" s="9"/>
      <c r="AN577" s="9"/>
      <c r="AO577" s="9"/>
      <c r="AP577" s="9"/>
      <c r="AQ577" s="28"/>
      <c r="AR577" s="28"/>
    </row>
    <row r="578" spans="5:44" x14ac:dyDescent="0.25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9"/>
      <c r="AL578" s="9"/>
      <c r="AM578" s="9"/>
      <c r="AN578" s="9"/>
      <c r="AO578" s="9"/>
      <c r="AP578" s="9"/>
      <c r="AQ578" s="28"/>
      <c r="AR578" s="28"/>
    </row>
    <row r="579" spans="5:44" x14ac:dyDescent="0.25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9"/>
      <c r="AL579" s="9"/>
      <c r="AM579" s="9"/>
      <c r="AN579" s="9"/>
      <c r="AO579" s="9"/>
      <c r="AP579" s="9"/>
      <c r="AQ579" s="28"/>
      <c r="AR579" s="28"/>
    </row>
    <row r="580" spans="5:44" x14ac:dyDescent="0.25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9"/>
      <c r="AL580" s="9"/>
      <c r="AM580" s="9"/>
      <c r="AN580" s="9"/>
      <c r="AO580" s="9"/>
      <c r="AP580" s="9"/>
      <c r="AQ580" s="28"/>
      <c r="AR580" s="28"/>
    </row>
    <row r="581" spans="5:44" x14ac:dyDescent="0.25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9"/>
      <c r="AL581" s="9"/>
      <c r="AM581" s="9"/>
      <c r="AN581" s="9"/>
      <c r="AO581" s="9"/>
      <c r="AP581" s="9"/>
      <c r="AQ581" s="28"/>
      <c r="AR581" s="28"/>
    </row>
    <row r="582" spans="5:44" x14ac:dyDescent="0.25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9"/>
      <c r="AL582" s="9"/>
      <c r="AM582" s="9"/>
      <c r="AN582" s="9"/>
      <c r="AO582" s="9"/>
      <c r="AP582" s="9"/>
      <c r="AQ582" s="28"/>
      <c r="AR582" s="28"/>
    </row>
    <row r="583" spans="5:44" x14ac:dyDescent="0.25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9"/>
      <c r="AL583" s="9"/>
      <c r="AM583" s="9"/>
      <c r="AN583" s="9"/>
      <c r="AO583" s="9"/>
      <c r="AP583" s="9"/>
      <c r="AQ583" s="28"/>
      <c r="AR583" s="28"/>
    </row>
    <row r="584" spans="5:44" x14ac:dyDescent="0.25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9"/>
      <c r="AL584" s="9"/>
      <c r="AM584" s="9"/>
      <c r="AN584" s="9"/>
      <c r="AO584" s="9"/>
      <c r="AP584" s="9"/>
      <c r="AQ584" s="28"/>
      <c r="AR584" s="28"/>
    </row>
    <row r="585" spans="5:44" x14ac:dyDescent="0.25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9"/>
      <c r="AL585" s="9"/>
      <c r="AM585" s="9"/>
      <c r="AN585" s="9"/>
      <c r="AO585" s="9"/>
      <c r="AP585" s="9"/>
      <c r="AQ585" s="28"/>
      <c r="AR585" s="28"/>
    </row>
    <row r="586" spans="5:44" x14ac:dyDescent="0.25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9"/>
      <c r="AL586" s="9"/>
      <c r="AM586" s="9"/>
      <c r="AN586" s="9"/>
      <c r="AO586" s="9"/>
      <c r="AP586" s="9"/>
      <c r="AQ586" s="28"/>
      <c r="AR586" s="28"/>
    </row>
    <row r="587" spans="5:44" x14ac:dyDescent="0.25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9"/>
      <c r="AL587" s="9"/>
      <c r="AM587" s="9"/>
      <c r="AN587" s="9"/>
      <c r="AO587" s="9"/>
      <c r="AP587" s="9"/>
      <c r="AQ587" s="28"/>
      <c r="AR587" s="28"/>
    </row>
    <row r="588" spans="5:44" x14ac:dyDescent="0.25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9"/>
      <c r="AL588" s="9"/>
      <c r="AM588" s="9"/>
      <c r="AN588" s="9"/>
      <c r="AO588" s="9"/>
      <c r="AP588" s="9"/>
      <c r="AQ588" s="28"/>
      <c r="AR588" s="28"/>
    </row>
    <row r="589" spans="5:44" x14ac:dyDescent="0.25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9"/>
      <c r="AL589" s="9"/>
      <c r="AM589" s="9"/>
      <c r="AN589" s="9"/>
      <c r="AO589" s="9"/>
      <c r="AP589" s="9"/>
      <c r="AQ589" s="28"/>
      <c r="AR589" s="28"/>
    </row>
    <row r="590" spans="5:44" x14ac:dyDescent="0.25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9"/>
      <c r="AL590" s="9"/>
      <c r="AM590" s="9"/>
      <c r="AN590" s="9"/>
      <c r="AO590" s="9"/>
      <c r="AP590" s="9"/>
      <c r="AQ590" s="28"/>
      <c r="AR590" s="28"/>
    </row>
    <row r="591" spans="5:44" x14ac:dyDescent="0.25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9"/>
      <c r="AL591" s="9"/>
      <c r="AM591" s="9"/>
      <c r="AN591" s="9"/>
      <c r="AO591" s="9"/>
      <c r="AP591" s="9"/>
      <c r="AQ591" s="28"/>
      <c r="AR591" s="28"/>
    </row>
    <row r="592" spans="5:44" x14ac:dyDescent="0.25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9"/>
      <c r="AL592" s="9"/>
      <c r="AM592" s="9"/>
      <c r="AN592" s="9"/>
      <c r="AO592" s="9"/>
      <c r="AP592" s="9"/>
      <c r="AQ592" s="28"/>
      <c r="AR592" s="28"/>
    </row>
    <row r="593" spans="5:44" x14ac:dyDescent="0.25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9"/>
      <c r="AL593" s="9"/>
      <c r="AM593" s="9"/>
      <c r="AN593" s="9"/>
      <c r="AO593" s="9"/>
      <c r="AP593" s="9"/>
      <c r="AQ593" s="28"/>
      <c r="AR593" s="28"/>
    </row>
    <row r="594" spans="5:44" x14ac:dyDescent="0.25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9"/>
      <c r="AL594" s="9"/>
      <c r="AM594" s="9"/>
      <c r="AN594" s="9"/>
      <c r="AO594" s="9"/>
      <c r="AP594" s="9"/>
      <c r="AQ594" s="28"/>
      <c r="AR594" s="28"/>
    </row>
    <row r="595" spans="5:44" x14ac:dyDescent="0.25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9"/>
      <c r="AL595" s="9"/>
      <c r="AM595" s="9"/>
      <c r="AN595" s="9"/>
      <c r="AO595" s="9"/>
      <c r="AP595" s="9"/>
      <c r="AQ595" s="28"/>
      <c r="AR595" s="28"/>
    </row>
    <row r="596" spans="5:44" x14ac:dyDescent="0.25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9"/>
      <c r="AL596" s="9"/>
      <c r="AM596" s="9"/>
      <c r="AN596" s="9"/>
      <c r="AO596" s="9"/>
      <c r="AP596" s="9"/>
      <c r="AQ596" s="28"/>
      <c r="AR596" s="28"/>
    </row>
    <row r="597" spans="5:44" x14ac:dyDescent="0.25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9"/>
      <c r="AL597" s="9"/>
      <c r="AM597" s="9"/>
      <c r="AN597" s="9"/>
      <c r="AO597" s="9"/>
      <c r="AP597" s="9"/>
      <c r="AQ597" s="28"/>
      <c r="AR597" s="28"/>
    </row>
    <row r="598" spans="5:44" x14ac:dyDescent="0.25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9"/>
      <c r="AL598" s="9"/>
      <c r="AM598" s="9"/>
      <c r="AN598" s="9"/>
      <c r="AO598" s="9"/>
      <c r="AP598" s="9"/>
      <c r="AQ598" s="28"/>
      <c r="AR598" s="28"/>
    </row>
    <row r="599" spans="5:44" x14ac:dyDescent="0.25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9"/>
      <c r="AL599" s="9"/>
      <c r="AM599" s="9"/>
      <c r="AN599" s="9"/>
      <c r="AO599" s="9"/>
      <c r="AP599" s="9"/>
      <c r="AQ599" s="28"/>
      <c r="AR599" s="28"/>
    </row>
    <row r="600" spans="5:44" x14ac:dyDescent="0.25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9"/>
      <c r="AL600" s="9"/>
      <c r="AM600" s="9"/>
      <c r="AN600" s="9"/>
      <c r="AO600" s="9"/>
      <c r="AP600" s="9"/>
      <c r="AQ600" s="28"/>
      <c r="AR600" s="28"/>
    </row>
    <row r="601" spans="5:44" x14ac:dyDescent="0.25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9"/>
      <c r="AL601" s="9"/>
      <c r="AM601" s="9"/>
      <c r="AN601" s="9"/>
      <c r="AO601" s="9"/>
      <c r="AP601" s="9"/>
      <c r="AQ601" s="28"/>
      <c r="AR601" s="28"/>
    </row>
    <row r="602" spans="5:44" x14ac:dyDescent="0.25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9"/>
      <c r="AL602" s="9"/>
      <c r="AM602" s="9"/>
      <c r="AN602" s="9"/>
      <c r="AO602" s="9"/>
      <c r="AP602" s="9"/>
      <c r="AQ602" s="28"/>
      <c r="AR602" s="28"/>
    </row>
    <row r="603" spans="5:44" x14ac:dyDescent="0.25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9"/>
      <c r="AL603" s="9"/>
      <c r="AM603" s="9"/>
      <c r="AN603" s="9"/>
      <c r="AO603" s="9"/>
      <c r="AP603" s="9"/>
      <c r="AQ603" s="28"/>
      <c r="AR603" s="28"/>
    </row>
    <row r="604" spans="5:44" x14ac:dyDescent="0.25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9"/>
      <c r="AL604" s="9"/>
      <c r="AM604" s="9"/>
      <c r="AN604" s="9"/>
      <c r="AO604" s="9"/>
      <c r="AP604" s="9"/>
      <c r="AQ604" s="28"/>
      <c r="AR604" s="28"/>
    </row>
    <row r="605" spans="5:44" x14ac:dyDescent="0.25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9"/>
      <c r="AL605" s="9"/>
      <c r="AM605" s="9"/>
      <c r="AN605" s="9"/>
      <c r="AO605" s="9"/>
      <c r="AP605" s="9"/>
      <c r="AQ605" s="28"/>
      <c r="AR605" s="28"/>
    </row>
    <row r="606" spans="5:44" x14ac:dyDescent="0.25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9"/>
      <c r="AL606" s="9"/>
      <c r="AM606" s="9"/>
      <c r="AN606" s="9"/>
      <c r="AO606" s="9"/>
      <c r="AP606" s="9"/>
      <c r="AQ606" s="28"/>
      <c r="AR606" s="28"/>
    </row>
    <row r="607" spans="5:44" x14ac:dyDescent="0.25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9"/>
      <c r="AL607" s="9"/>
      <c r="AM607" s="9"/>
      <c r="AN607" s="9"/>
      <c r="AO607" s="9"/>
      <c r="AP607" s="9"/>
      <c r="AQ607" s="28"/>
      <c r="AR607" s="28"/>
    </row>
    <row r="608" spans="5:44" x14ac:dyDescent="0.25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9"/>
      <c r="AL608" s="9"/>
      <c r="AM608" s="9"/>
      <c r="AN608" s="9"/>
      <c r="AO608" s="9"/>
      <c r="AP608" s="9"/>
      <c r="AQ608" s="28"/>
      <c r="AR608" s="28"/>
    </row>
    <row r="609" spans="5:44" x14ac:dyDescent="0.25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9"/>
      <c r="AL609" s="9"/>
      <c r="AM609" s="9"/>
      <c r="AN609" s="9"/>
      <c r="AO609" s="9"/>
      <c r="AP609" s="9"/>
      <c r="AQ609" s="28"/>
      <c r="AR609" s="28"/>
    </row>
    <row r="610" spans="5:44" x14ac:dyDescent="0.25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9"/>
      <c r="AL610" s="9"/>
      <c r="AM610" s="9"/>
      <c r="AN610" s="9"/>
      <c r="AO610" s="9"/>
      <c r="AP610" s="9"/>
      <c r="AQ610" s="28"/>
      <c r="AR610" s="28"/>
    </row>
    <row r="611" spans="5:44" x14ac:dyDescent="0.25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9"/>
      <c r="AL611" s="9"/>
      <c r="AM611" s="9"/>
      <c r="AN611" s="9"/>
      <c r="AO611" s="9"/>
      <c r="AP611" s="9"/>
      <c r="AQ611" s="28"/>
      <c r="AR611" s="28"/>
    </row>
    <row r="612" spans="5:44" x14ac:dyDescent="0.25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9"/>
      <c r="AL612" s="9"/>
      <c r="AM612" s="9"/>
      <c r="AN612" s="9"/>
      <c r="AO612" s="9"/>
      <c r="AP612" s="9"/>
      <c r="AQ612" s="28"/>
      <c r="AR612" s="28"/>
    </row>
    <row r="613" spans="5:44" x14ac:dyDescent="0.25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9"/>
      <c r="AL613" s="9"/>
      <c r="AM613" s="9"/>
      <c r="AN613" s="9"/>
      <c r="AO613" s="9"/>
      <c r="AP613" s="9"/>
      <c r="AQ613" s="28"/>
      <c r="AR613" s="28"/>
    </row>
    <row r="614" spans="5:44" x14ac:dyDescent="0.25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9"/>
      <c r="AL614" s="9"/>
      <c r="AM614" s="9"/>
      <c r="AN614" s="9"/>
      <c r="AO614" s="9"/>
      <c r="AP614" s="9"/>
      <c r="AQ614" s="28"/>
      <c r="AR614" s="28"/>
    </row>
    <row r="615" spans="5:44" x14ac:dyDescent="0.25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9"/>
      <c r="AL615" s="9"/>
      <c r="AM615" s="9"/>
      <c r="AN615" s="9"/>
      <c r="AO615" s="9"/>
      <c r="AP615" s="9"/>
      <c r="AQ615" s="28"/>
      <c r="AR615" s="28"/>
    </row>
    <row r="616" spans="5:44" x14ac:dyDescent="0.25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9"/>
      <c r="AL616" s="9"/>
      <c r="AM616" s="9"/>
      <c r="AN616" s="9"/>
      <c r="AO616" s="9"/>
      <c r="AP616" s="9"/>
      <c r="AQ616" s="28"/>
      <c r="AR616" s="28"/>
    </row>
    <row r="617" spans="5:44" x14ac:dyDescent="0.25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9"/>
      <c r="AL617" s="9"/>
      <c r="AM617" s="9"/>
      <c r="AN617" s="9"/>
      <c r="AO617" s="9"/>
      <c r="AP617" s="9"/>
      <c r="AQ617" s="28"/>
      <c r="AR617" s="28"/>
    </row>
    <row r="618" spans="5:44" x14ac:dyDescent="0.25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9"/>
      <c r="AL618" s="9"/>
      <c r="AM618" s="9"/>
      <c r="AN618" s="9"/>
      <c r="AO618" s="9"/>
      <c r="AP618" s="9"/>
      <c r="AQ618" s="28"/>
      <c r="AR618" s="28"/>
    </row>
    <row r="619" spans="5:44" x14ac:dyDescent="0.25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9"/>
      <c r="AL619" s="9"/>
      <c r="AM619" s="9"/>
      <c r="AN619" s="9"/>
      <c r="AO619" s="9"/>
      <c r="AP619" s="9"/>
      <c r="AQ619" s="28"/>
      <c r="AR619" s="28"/>
    </row>
    <row r="620" spans="5:44" x14ac:dyDescent="0.25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9"/>
      <c r="AL620" s="9"/>
      <c r="AM620" s="9"/>
      <c r="AN620" s="9"/>
      <c r="AO620" s="9"/>
      <c r="AP620" s="9"/>
      <c r="AQ620" s="28"/>
      <c r="AR620" s="28"/>
    </row>
    <row r="621" spans="5:44" x14ac:dyDescent="0.25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9"/>
      <c r="AL621" s="9"/>
      <c r="AM621" s="9"/>
      <c r="AN621" s="9"/>
      <c r="AO621" s="9"/>
      <c r="AP621" s="9"/>
      <c r="AQ621" s="28"/>
      <c r="AR621" s="28"/>
    </row>
    <row r="622" spans="5:44" x14ac:dyDescent="0.25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9"/>
      <c r="AL622" s="9"/>
      <c r="AM622" s="9"/>
      <c r="AN622" s="9"/>
      <c r="AO622" s="9"/>
      <c r="AP622" s="9"/>
      <c r="AQ622" s="28"/>
      <c r="AR622" s="28"/>
    </row>
    <row r="623" spans="5:44" x14ac:dyDescent="0.25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9"/>
      <c r="AL623" s="9"/>
      <c r="AM623" s="9"/>
      <c r="AN623" s="9"/>
      <c r="AO623" s="9"/>
      <c r="AP623" s="9"/>
      <c r="AQ623" s="28"/>
      <c r="AR623" s="28"/>
    </row>
    <row r="624" spans="5:44" x14ac:dyDescent="0.25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9"/>
      <c r="AL624" s="9"/>
      <c r="AM624" s="9"/>
      <c r="AN624" s="9"/>
      <c r="AO624" s="9"/>
      <c r="AP624" s="9"/>
      <c r="AQ624" s="28"/>
      <c r="AR624" s="28"/>
    </row>
    <row r="625" spans="5:44" x14ac:dyDescent="0.25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9"/>
      <c r="AL625" s="9"/>
      <c r="AM625" s="9"/>
      <c r="AN625" s="9"/>
      <c r="AO625" s="9"/>
      <c r="AP625" s="9"/>
      <c r="AQ625" s="28"/>
      <c r="AR625" s="28"/>
    </row>
    <row r="626" spans="5:44" x14ac:dyDescent="0.25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9"/>
      <c r="AL626" s="9"/>
      <c r="AM626" s="9"/>
      <c r="AN626" s="9"/>
      <c r="AO626" s="9"/>
      <c r="AP626" s="9"/>
      <c r="AQ626" s="28"/>
      <c r="AR626" s="28"/>
    </row>
    <row r="627" spans="5:44" x14ac:dyDescent="0.25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9"/>
      <c r="AL627" s="9"/>
      <c r="AM627" s="9"/>
      <c r="AN627" s="9"/>
      <c r="AO627" s="9"/>
      <c r="AP627" s="9"/>
      <c r="AQ627" s="28"/>
      <c r="AR627" s="28"/>
    </row>
    <row r="628" spans="5:44" x14ac:dyDescent="0.25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9"/>
      <c r="AL628" s="9"/>
      <c r="AM628" s="9"/>
      <c r="AN628" s="9"/>
      <c r="AO628" s="9"/>
      <c r="AP628" s="9"/>
      <c r="AQ628" s="28"/>
      <c r="AR628" s="28"/>
    </row>
    <row r="629" spans="5:44" x14ac:dyDescent="0.25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9"/>
      <c r="AL629" s="9"/>
      <c r="AM629" s="9"/>
      <c r="AN629" s="9"/>
      <c r="AO629" s="9"/>
      <c r="AP629" s="9"/>
      <c r="AQ629" s="28"/>
      <c r="AR629" s="28"/>
    </row>
    <row r="630" spans="5:44" x14ac:dyDescent="0.25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9"/>
      <c r="AL630" s="9"/>
      <c r="AM630" s="9"/>
      <c r="AN630" s="9"/>
      <c r="AO630" s="9"/>
      <c r="AP630" s="9"/>
      <c r="AQ630" s="28"/>
      <c r="AR630" s="28"/>
    </row>
    <row r="631" spans="5:44" x14ac:dyDescent="0.25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9"/>
      <c r="AL631" s="9"/>
      <c r="AM631" s="9"/>
      <c r="AN631" s="9"/>
      <c r="AO631" s="9"/>
      <c r="AP631" s="9"/>
      <c r="AQ631" s="28"/>
      <c r="AR631" s="28"/>
    </row>
    <row r="632" spans="5:44" x14ac:dyDescent="0.25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9"/>
      <c r="AL632" s="9"/>
      <c r="AM632" s="9"/>
      <c r="AN632" s="9"/>
      <c r="AO632" s="9"/>
      <c r="AP632" s="9"/>
      <c r="AQ632" s="28"/>
      <c r="AR632" s="28"/>
    </row>
    <row r="633" spans="5:44" x14ac:dyDescent="0.25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9"/>
      <c r="AL633" s="9"/>
      <c r="AM633" s="9"/>
      <c r="AN633" s="9"/>
      <c r="AO633" s="9"/>
      <c r="AP633" s="9"/>
      <c r="AQ633" s="28"/>
      <c r="AR633" s="28"/>
    </row>
    <row r="634" spans="5:44" x14ac:dyDescent="0.25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9"/>
      <c r="AL634" s="9"/>
      <c r="AM634" s="9"/>
      <c r="AN634" s="9"/>
      <c r="AO634" s="9"/>
      <c r="AP634" s="9"/>
      <c r="AQ634" s="28"/>
      <c r="AR634" s="28"/>
    </row>
    <row r="635" spans="5:44" x14ac:dyDescent="0.25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9"/>
      <c r="AL635" s="9"/>
      <c r="AM635" s="9"/>
      <c r="AN635" s="9"/>
      <c r="AO635" s="9"/>
      <c r="AP635" s="9"/>
      <c r="AQ635" s="28"/>
      <c r="AR635" s="28"/>
    </row>
    <row r="636" spans="5:44" x14ac:dyDescent="0.25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9"/>
      <c r="AL636" s="9"/>
      <c r="AM636" s="9"/>
      <c r="AN636" s="9"/>
      <c r="AO636" s="9"/>
      <c r="AP636" s="9"/>
      <c r="AQ636" s="28"/>
      <c r="AR636" s="28"/>
    </row>
    <row r="637" spans="5:44" x14ac:dyDescent="0.25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9"/>
      <c r="AL637" s="9"/>
      <c r="AM637" s="9"/>
      <c r="AN637" s="9"/>
      <c r="AO637" s="9"/>
      <c r="AP637" s="9"/>
      <c r="AQ637" s="28"/>
      <c r="AR637" s="28"/>
    </row>
    <row r="638" spans="5:44" x14ac:dyDescent="0.25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9"/>
      <c r="AL638" s="9"/>
      <c r="AM638" s="9"/>
      <c r="AN638" s="9"/>
      <c r="AO638" s="9"/>
      <c r="AP638" s="9"/>
      <c r="AQ638" s="28"/>
      <c r="AR638" s="28"/>
    </row>
    <row r="639" spans="5:44" x14ac:dyDescent="0.25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9"/>
      <c r="AL639" s="9"/>
      <c r="AM639" s="9"/>
      <c r="AN639" s="9"/>
      <c r="AO639" s="9"/>
      <c r="AP639" s="9"/>
      <c r="AQ639" s="28"/>
      <c r="AR639" s="28"/>
    </row>
    <row r="640" spans="5:44" x14ac:dyDescent="0.25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9"/>
      <c r="AL640" s="9"/>
      <c r="AM640" s="9"/>
      <c r="AN640" s="9"/>
      <c r="AO640" s="9"/>
      <c r="AP640" s="9"/>
      <c r="AQ640" s="28"/>
      <c r="AR640" s="28"/>
    </row>
    <row r="641" spans="5:44" x14ac:dyDescent="0.25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9"/>
      <c r="AL641" s="9"/>
      <c r="AM641" s="9"/>
      <c r="AN641" s="9"/>
      <c r="AO641" s="9"/>
      <c r="AP641" s="9"/>
      <c r="AQ641" s="28"/>
      <c r="AR641" s="28"/>
    </row>
    <row r="642" spans="5:44" x14ac:dyDescent="0.25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9"/>
      <c r="AL642" s="9"/>
      <c r="AM642" s="9"/>
      <c r="AN642" s="9"/>
      <c r="AO642" s="9"/>
      <c r="AP642" s="9"/>
      <c r="AQ642" s="28"/>
      <c r="AR642" s="28"/>
    </row>
    <row r="643" spans="5:44" x14ac:dyDescent="0.25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9"/>
      <c r="AL643" s="9"/>
      <c r="AM643" s="9"/>
      <c r="AN643" s="9"/>
      <c r="AO643" s="9"/>
      <c r="AP643" s="9"/>
      <c r="AQ643" s="28"/>
      <c r="AR643" s="28"/>
    </row>
    <row r="644" spans="5:44" x14ac:dyDescent="0.25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9"/>
      <c r="AL644" s="9"/>
      <c r="AM644" s="9"/>
      <c r="AN644" s="9"/>
      <c r="AO644" s="9"/>
      <c r="AP644" s="9"/>
      <c r="AQ644" s="28"/>
      <c r="AR644" s="28"/>
    </row>
    <row r="645" spans="5:44" x14ac:dyDescent="0.25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9"/>
      <c r="AL645" s="9"/>
      <c r="AM645" s="9"/>
      <c r="AN645" s="9"/>
      <c r="AO645" s="9"/>
      <c r="AP645" s="9"/>
      <c r="AQ645" s="28"/>
      <c r="AR645" s="28"/>
    </row>
    <row r="646" spans="5:44" x14ac:dyDescent="0.25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9"/>
      <c r="AL646" s="9"/>
      <c r="AM646" s="9"/>
      <c r="AN646" s="9"/>
      <c r="AO646" s="9"/>
      <c r="AP646" s="9"/>
      <c r="AQ646" s="28"/>
      <c r="AR646" s="28"/>
    </row>
    <row r="647" spans="5:44" x14ac:dyDescent="0.25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9"/>
      <c r="AL647" s="9"/>
      <c r="AM647" s="9"/>
      <c r="AN647" s="9"/>
      <c r="AO647" s="9"/>
      <c r="AP647" s="9"/>
      <c r="AQ647" s="28"/>
      <c r="AR647" s="28"/>
    </row>
    <row r="648" spans="5:44" x14ac:dyDescent="0.25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9"/>
      <c r="AL648" s="9"/>
      <c r="AM648" s="9"/>
      <c r="AN648" s="9"/>
      <c r="AO648" s="9"/>
      <c r="AP648" s="9"/>
      <c r="AQ648" s="28"/>
      <c r="AR648" s="28"/>
    </row>
    <row r="649" spans="5:44" x14ac:dyDescent="0.25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9"/>
      <c r="AL649" s="9"/>
      <c r="AM649" s="9"/>
      <c r="AN649" s="9"/>
      <c r="AO649" s="9"/>
      <c r="AP649" s="9"/>
      <c r="AQ649" s="28"/>
      <c r="AR649" s="28"/>
    </row>
    <row r="650" spans="5:44" x14ac:dyDescent="0.25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9"/>
      <c r="AL650" s="9"/>
      <c r="AM650" s="9"/>
      <c r="AN650" s="9"/>
      <c r="AO650" s="9"/>
      <c r="AP650" s="9"/>
      <c r="AQ650" s="28"/>
      <c r="AR650" s="28"/>
    </row>
    <row r="651" spans="5:44" x14ac:dyDescent="0.25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9"/>
      <c r="AL651" s="9"/>
      <c r="AM651" s="9"/>
      <c r="AN651" s="9"/>
      <c r="AO651" s="9"/>
      <c r="AP651" s="9"/>
      <c r="AQ651" s="28"/>
      <c r="AR651" s="28"/>
    </row>
    <row r="652" spans="5:44" x14ac:dyDescent="0.25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9"/>
      <c r="AL652" s="9"/>
      <c r="AM652" s="9"/>
      <c r="AN652" s="9"/>
      <c r="AO652" s="9"/>
      <c r="AP652" s="9"/>
      <c r="AQ652" s="28"/>
      <c r="AR652" s="28"/>
    </row>
    <row r="653" spans="5:44" x14ac:dyDescent="0.25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9"/>
      <c r="AL653" s="9"/>
      <c r="AM653" s="9"/>
      <c r="AN653" s="9"/>
      <c r="AO653" s="9"/>
      <c r="AP653" s="9"/>
      <c r="AQ653" s="28"/>
      <c r="AR653" s="28"/>
    </row>
    <row r="654" spans="5:44" x14ac:dyDescent="0.25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9"/>
      <c r="AL654" s="9"/>
      <c r="AM654" s="9"/>
      <c r="AN654" s="9"/>
      <c r="AO654" s="9"/>
      <c r="AP654" s="9"/>
      <c r="AQ654" s="28"/>
      <c r="AR654" s="28"/>
    </row>
    <row r="655" spans="5:44" x14ac:dyDescent="0.25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9"/>
      <c r="AL655" s="9"/>
      <c r="AM655" s="9"/>
      <c r="AN655" s="9"/>
      <c r="AO655" s="9"/>
      <c r="AP655" s="9"/>
      <c r="AQ655" s="28"/>
      <c r="AR655" s="28"/>
    </row>
    <row r="656" spans="5:44" x14ac:dyDescent="0.25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9"/>
      <c r="AL656" s="9"/>
      <c r="AM656" s="9"/>
      <c r="AN656" s="9"/>
      <c r="AO656" s="9"/>
      <c r="AP656" s="9"/>
      <c r="AQ656" s="28"/>
      <c r="AR656" s="28"/>
    </row>
    <row r="657" spans="5:44" x14ac:dyDescent="0.25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9"/>
      <c r="AL657" s="9"/>
      <c r="AM657" s="9"/>
      <c r="AN657" s="9"/>
      <c r="AO657" s="9"/>
      <c r="AP657" s="9"/>
      <c r="AQ657" s="28"/>
      <c r="AR657" s="28"/>
    </row>
    <row r="658" spans="5:44" x14ac:dyDescent="0.25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9"/>
      <c r="AL658" s="9"/>
      <c r="AM658" s="9"/>
      <c r="AN658" s="9"/>
      <c r="AO658" s="9"/>
      <c r="AP658" s="9"/>
      <c r="AQ658" s="28"/>
      <c r="AR658" s="28"/>
    </row>
    <row r="659" spans="5:44" x14ac:dyDescent="0.25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9"/>
      <c r="AL659" s="9"/>
      <c r="AM659" s="9"/>
      <c r="AN659" s="9"/>
      <c r="AO659" s="9"/>
      <c r="AP659" s="9"/>
      <c r="AQ659" s="28"/>
      <c r="AR659" s="28"/>
    </row>
    <row r="660" spans="5:44" x14ac:dyDescent="0.25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9"/>
      <c r="AL660" s="9"/>
      <c r="AM660" s="9"/>
      <c r="AN660" s="9"/>
      <c r="AO660" s="9"/>
      <c r="AP660" s="9"/>
      <c r="AQ660" s="28"/>
      <c r="AR660" s="28"/>
    </row>
    <row r="661" spans="5:44" x14ac:dyDescent="0.25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9"/>
      <c r="AL661" s="9"/>
      <c r="AM661" s="9"/>
      <c r="AN661" s="9"/>
      <c r="AO661" s="9"/>
      <c r="AP661" s="9"/>
      <c r="AQ661" s="28"/>
      <c r="AR661" s="28"/>
    </row>
    <row r="662" spans="5:44" x14ac:dyDescent="0.25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9"/>
      <c r="AL662" s="9"/>
      <c r="AM662" s="9"/>
      <c r="AN662" s="9"/>
      <c r="AO662" s="9"/>
      <c r="AP662" s="9"/>
      <c r="AQ662" s="28"/>
      <c r="AR662" s="28"/>
    </row>
    <row r="663" spans="5:44" x14ac:dyDescent="0.25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9"/>
      <c r="AL663" s="9"/>
      <c r="AM663" s="9"/>
      <c r="AN663" s="9"/>
      <c r="AO663" s="9"/>
      <c r="AP663" s="9"/>
      <c r="AQ663" s="28"/>
      <c r="AR663" s="28"/>
    </row>
    <row r="664" spans="5:44" x14ac:dyDescent="0.25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9"/>
      <c r="AL664" s="9"/>
      <c r="AM664" s="9"/>
      <c r="AN664" s="9"/>
      <c r="AO664" s="9"/>
      <c r="AP664" s="9"/>
      <c r="AQ664" s="28"/>
      <c r="AR664" s="28"/>
    </row>
    <row r="665" spans="5:44" x14ac:dyDescent="0.25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9"/>
      <c r="AL665" s="9"/>
      <c r="AM665" s="9"/>
      <c r="AN665" s="9"/>
      <c r="AO665" s="9"/>
      <c r="AP665" s="9"/>
      <c r="AQ665" s="28"/>
      <c r="AR665" s="28"/>
    </row>
    <row r="666" spans="5:44" x14ac:dyDescent="0.25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9"/>
      <c r="AL666" s="9"/>
      <c r="AM666" s="9"/>
      <c r="AN666" s="9"/>
      <c r="AO666" s="9"/>
      <c r="AP666" s="9"/>
      <c r="AQ666" s="28"/>
      <c r="AR666" s="28"/>
    </row>
    <row r="667" spans="5:44" x14ac:dyDescent="0.25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9"/>
      <c r="AL667" s="9"/>
      <c r="AM667" s="9"/>
      <c r="AN667" s="9"/>
      <c r="AO667" s="9"/>
      <c r="AP667" s="9"/>
      <c r="AQ667" s="28"/>
      <c r="AR667" s="28"/>
    </row>
    <row r="668" spans="5:44" x14ac:dyDescent="0.25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9"/>
      <c r="AL668" s="9"/>
      <c r="AM668" s="9"/>
      <c r="AN668" s="9"/>
      <c r="AO668" s="9"/>
      <c r="AP668" s="9"/>
      <c r="AQ668" s="28"/>
      <c r="AR668" s="28"/>
    </row>
    <row r="669" spans="5:44" x14ac:dyDescent="0.25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9"/>
      <c r="AL669" s="9"/>
      <c r="AM669" s="9"/>
      <c r="AN669" s="9"/>
      <c r="AO669" s="9"/>
      <c r="AP669" s="9"/>
      <c r="AQ669" s="28"/>
      <c r="AR669" s="28"/>
    </row>
    <row r="670" spans="5:44" x14ac:dyDescent="0.25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9"/>
      <c r="AL670" s="9"/>
      <c r="AM670" s="9"/>
      <c r="AN670" s="9"/>
      <c r="AO670" s="9"/>
      <c r="AP670" s="9"/>
      <c r="AQ670" s="28"/>
      <c r="AR670" s="28"/>
    </row>
    <row r="671" spans="5:44" x14ac:dyDescent="0.25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9"/>
      <c r="AL671" s="9"/>
      <c r="AM671" s="9"/>
      <c r="AN671" s="9"/>
      <c r="AO671" s="9"/>
      <c r="AP671" s="9"/>
      <c r="AQ671" s="28"/>
      <c r="AR671" s="28"/>
    </row>
    <row r="672" spans="5:44" x14ac:dyDescent="0.25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25">
      <c r="E673" s="9"/>
      <c r="F673" s="9"/>
      <c r="G673" s="9"/>
      <c r="H673" s="9"/>
      <c r="I673" s="9"/>
      <c r="J673" s="9"/>
      <c r="K673" s="28"/>
      <c r="N673" s="21"/>
    </row>
    <row r="674" spans="5:14" x14ac:dyDescent="0.25">
      <c r="E674" s="9"/>
      <c r="F674" s="9"/>
      <c r="G674" s="9"/>
      <c r="H674" s="9"/>
      <c r="I674" s="9"/>
      <c r="J674" s="9"/>
      <c r="K674" s="28"/>
      <c r="N674" s="21"/>
    </row>
    <row r="675" spans="5:14" x14ac:dyDescent="0.25">
      <c r="E675" s="9"/>
      <c r="F675" s="9"/>
      <c r="G675" s="9"/>
      <c r="H675" s="9"/>
      <c r="I675" s="9"/>
      <c r="J675" s="9"/>
      <c r="K675" s="28"/>
      <c r="N675" s="21"/>
    </row>
    <row r="676" spans="5:14" x14ac:dyDescent="0.25">
      <c r="N676" s="21"/>
    </row>
  </sheetData>
  <autoFilter ref="A4:AS396" xr:uid="{32AE3966-3F3A-4A38-B5F8-35AF221F7220}"/>
  <conditionalFormatting sqref="N4:N244 P236:U244 P247:U281 O95:O244 O247:O369 V96:X244 V247:X372 AK95:AP369 AR95:AR369 N245:X246 N247:N372 AA96:AH372 AJ96:AJ372">
    <cfRule type="cellIs" dxfId="853" priority="2190" operator="lessThan">
      <formula>0.8</formula>
    </cfRule>
    <cfRule type="cellIs" dxfId="852" priority="2191" operator="greaterThan">
      <formula>0.8</formula>
    </cfRule>
  </conditionalFormatting>
  <conditionalFormatting sqref="E1:K3 E284:K334 E236:K236 E5:K32 E36:K91 E94:K230 E337:K364 E369:K372 E243:K281 E391:K1048576">
    <cfRule type="containsText" dxfId="851" priority="2189" operator="containsText" text="Radio">
      <formula>NOT(ISERROR(SEARCH("Radio",E1)))</formula>
    </cfRule>
  </conditionalFormatting>
  <conditionalFormatting sqref="P236:U244 P247:U281 O95:O244 O247:O372 V96:X244 V247:X372 O245:X246 AK95:AP372 V397:AP1048576 AR397:AR1048576 AR95:AR372 AA96:AH372 AJ96:AJ372">
    <cfRule type="notContainsText" dxfId="850" priority="2185" operator="notContains" text="Caida">
      <formula>ISERROR(SEARCH("Caida",O95))</formula>
    </cfRule>
    <cfRule type="containsText" dxfId="849" priority="2186" operator="containsText" text="Caida">
      <formula>NOT(ISERROR(SEARCH("Caida",O95)))</formula>
    </cfRule>
  </conditionalFormatting>
  <conditionalFormatting sqref="E282:K282">
    <cfRule type="containsText" dxfId="848" priority="2158" operator="containsText" text="Radio">
      <formula>NOT(ISERROR(SEARCH("Radio",E282)))</formula>
    </cfRule>
  </conditionalFormatting>
  <conditionalFormatting sqref="E283:K283">
    <cfRule type="containsText" dxfId="847" priority="2133" operator="containsText" text="Radio">
      <formula>NOT(ISERROR(SEARCH("Radio",E283)))</formula>
    </cfRule>
  </conditionalFormatting>
  <conditionalFormatting sqref="E4:K4">
    <cfRule type="containsText" dxfId="846" priority="2108" operator="containsText" text="Radio">
      <formula>NOT(ISERROR(SEARCH("Radio",E4)))</formula>
    </cfRule>
  </conditionalFormatting>
  <conditionalFormatting sqref="E231:K231">
    <cfRule type="containsText" dxfId="845" priority="2107" operator="containsText" text="Radio">
      <formula>NOT(ISERROR(SEARCH("Radio",E231)))</formula>
    </cfRule>
  </conditionalFormatting>
  <conditionalFormatting sqref="E232:K232">
    <cfRule type="containsText" dxfId="844" priority="2082" operator="containsText" text="Radio">
      <formula>NOT(ISERROR(SEARCH("Radio",E232)))</formula>
    </cfRule>
  </conditionalFormatting>
  <conditionalFormatting sqref="E233:K233">
    <cfRule type="containsText" dxfId="843" priority="2057" operator="containsText" text="Radio">
      <formula>NOT(ISERROR(SEARCH("Radio",E233)))</formula>
    </cfRule>
  </conditionalFormatting>
  <conditionalFormatting sqref="E234:K234">
    <cfRule type="containsText" dxfId="842" priority="2032" operator="containsText" text="Radio">
      <formula>NOT(ISERROR(SEARCH("Radio",E234)))</formula>
    </cfRule>
  </conditionalFormatting>
  <conditionalFormatting sqref="E235:K235">
    <cfRule type="containsText" dxfId="841" priority="2007" operator="containsText" text="Radio">
      <formula>NOT(ISERROR(SEARCH("Radio",E235)))</formula>
    </cfRule>
  </conditionalFormatting>
  <conditionalFormatting sqref="E335:K335">
    <cfRule type="containsText" dxfId="840" priority="1958" operator="containsText" text="Radio">
      <formula>NOT(ISERROR(SEARCH("Radio",E335)))</formula>
    </cfRule>
  </conditionalFormatting>
  <conditionalFormatting sqref="E336:K336">
    <cfRule type="containsText" dxfId="839" priority="1933" operator="containsText" text="Radio">
      <formula>NOT(ISERROR(SEARCH("Radio",E336)))</formula>
    </cfRule>
  </conditionalFormatting>
  <conditionalFormatting sqref="E237:K237">
    <cfRule type="containsText" dxfId="838" priority="1908" operator="containsText" text="Radio">
      <formula>NOT(ISERROR(SEARCH("Radio",E237)))</formula>
    </cfRule>
  </conditionalFormatting>
  <conditionalFormatting sqref="E238:K238">
    <cfRule type="containsText" dxfId="837" priority="1883" operator="containsText" text="Radio">
      <formula>NOT(ISERROR(SEARCH("Radio",E238)))</formula>
    </cfRule>
  </conditionalFormatting>
  <conditionalFormatting sqref="E33:K35">
    <cfRule type="containsText" dxfId="836" priority="1858" operator="containsText" text="Radio">
      <formula>NOT(ISERROR(SEARCH("Radio",E33)))</formula>
    </cfRule>
  </conditionalFormatting>
  <conditionalFormatting sqref="E239:K239">
    <cfRule type="containsText" dxfId="835" priority="1833" operator="containsText" text="Radio">
      <formula>NOT(ISERROR(SEARCH("Radio",E239)))</formula>
    </cfRule>
  </conditionalFormatting>
  <conditionalFormatting sqref="E240:K240">
    <cfRule type="containsText" dxfId="834" priority="1808" operator="containsText" text="Radio">
      <formula>NOT(ISERROR(SEARCH("Radio",E240)))</formula>
    </cfRule>
  </conditionalFormatting>
  <conditionalFormatting sqref="E241:K241">
    <cfRule type="containsText" dxfId="833" priority="1783" operator="containsText" text="Radio">
      <formula>NOT(ISERROR(SEARCH("Radio",E241)))</formula>
    </cfRule>
  </conditionalFormatting>
  <conditionalFormatting sqref="E242:K242">
    <cfRule type="containsText" dxfId="832" priority="1758" operator="containsText" text="Radio">
      <formula>NOT(ISERROR(SEARCH("Radio",E242)))</formula>
    </cfRule>
  </conditionalFormatting>
  <conditionalFormatting sqref="P6:P92 P96:P230">
    <cfRule type="cellIs" dxfId="831" priority="1683" operator="lessThan">
      <formula>0.8</formula>
    </cfRule>
    <cfRule type="cellIs" dxfId="830" priority="1684" operator="greaterThan">
      <formula>0.8</formula>
    </cfRule>
  </conditionalFormatting>
  <conditionalFormatting sqref="P6:P92 P96:P230">
    <cfRule type="notContainsText" dxfId="829" priority="1681" operator="notContains" text="Caida">
      <formula>ISERROR(SEARCH("Caida",P6))</formula>
    </cfRule>
    <cfRule type="containsText" dxfId="828" priority="1682" operator="containsText" text="Caida">
      <formula>NOT(ISERROR(SEARCH("Caida",P6)))</formula>
    </cfRule>
  </conditionalFormatting>
  <conditionalFormatting sqref="P337:P366 P284:P334">
    <cfRule type="cellIs" dxfId="827" priority="1679" operator="lessThan">
      <formula>0.8</formula>
    </cfRule>
    <cfRule type="cellIs" dxfId="826" priority="1680" operator="greaterThan">
      <formula>0.8</formula>
    </cfRule>
  </conditionalFormatting>
  <conditionalFormatting sqref="P337:P366 P284:P334 P397:P1048576">
    <cfRule type="notContainsText" dxfId="825" priority="1677" operator="notContains" text="Caida">
      <formula>ISERROR(SEARCH("Caida",P284))</formula>
    </cfRule>
    <cfRule type="containsText" dxfId="824" priority="1678" operator="containsText" text="Caida">
      <formula>NOT(ISERROR(SEARCH("Caida",P284)))</formula>
    </cfRule>
  </conditionalFormatting>
  <conditionalFormatting sqref="O397:O1048576">
    <cfRule type="notContainsText" dxfId="823" priority="1726" operator="notContains" text="Caida">
      <formula>ISERROR(SEARCH("Caida",O397))</formula>
    </cfRule>
    <cfRule type="containsText" dxfId="822" priority="1727" operator="containsText" text="Caida">
      <formula>NOT(ISERROR(SEARCH("Caida",O397)))</formula>
    </cfRule>
  </conditionalFormatting>
  <conditionalFormatting sqref="P336">
    <cfRule type="cellIs" dxfId="821" priority="1638" operator="lessThan">
      <formula>0.8</formula>
    </cfRule>
    <cfRule type="cellIs" dxfId="820" priority="1639" operator="greaterThan">
      <formula>0.8</formula>
    </cfRule>
  </conditionalFormatting>
  <conditionalFormatting sqref="P336">
    <cfRule type="notContainsText" dxfId="819" priority="1636" operator="notContains" text="Caida">
      <formula>ISERROR(SEARCH("Caida",P336))</formula>
    </cfRule>
    <cfRule type="containsText" dxfId="818" priority="1637" operator="containsText" text="Caida">
      <formula>NOT(ISERROR(SEARCH("Caida",P336)))</formula>
    </cfRule>
  </conditionalFormatting>
  <conditionalFormatting sqref="P22">
    <cfRule type="containsText" dxfId="817" priority="1676" operator="containsText" text="Instaladas en Funcionamiento Caida">
      <formula>NOT(ISERROR(SEARCH("Instaladas en Funcionamiento Caida",P22)))</formula>
    </cfRule>
  </conditionalFormatting>
  <conditionalFormatting sqref="P282">
    <cfRule type="cellIs" dxfId="816" priority="1674" operator="lessThan">
      <formula>0.8</formula>
    </cfRule>
    <cfRule type="cellIs" dxfId="815" priority="1675" operator="greaterThan">
      <formula>0.8</formula>
    </cfRule>
  </conditionalFormatting>
  <conditionalFormatting sqref="P282">
    <cfRule type="notContainsText" dxfId="814" priority="1672" operator="notContains" text="Caida">
      <formula>ISERROR(SEARCH("Caida",P282))</formula>
    </cfRule>
    <cfRule type="containsText" dxfId="813" priority="1673" operator="containsText" text="Caida">
      <formula>NOT(ISERROR(SEARCH("Caida",P282)))</formula>
    </cfRule>
  </conditionalFormatting>
  <conditionalFormatting sqref="P283">
    <cfRule type="cellIs" dxfId="812" priority="1670" operator="lessThan">
      <formula>0.8</formula>
    </cfRule>
    <cfRule type="cellIs" dxfId="811" priority="1671" operator="greaterThan">
      <formula>0.8</formula>
    </cfRule>
  </conditionalFormatting>
  <conditionalFormatting sqref="P283">
    <cfRule type="notContainsText" dxfId="810" priority="1668" operator="notContains" text="Caida">
      <formula>ISERROR(SEARCH("Caida",P283))</formula>
    </cfRule>
    <cfRule type="containsText" dxfId="809" priority="1669" operator="containsText" text="Caida">
      <formula>NOT(ISERROR(SEARCH("Caida",P283)))</formula>
    </cfRule>
  </conditionalFormatting>
  <conditionalFormatting sqref="P5">
    <cfRule type="cellIs" dxfId="808" priority="1666" operator="lessThan">
      <formula>0.8</formula>
    </cfRule>
    <cfRule type="cellIs" dxfId="807" priority="1667" operator="greaterThan">
      <formula>0.8</formula>
    </cfRule>
  </conditionalFormatting>
  <conditionalFormatting sqref="P5">
    <cfRule type="notContainsText" dxfId="806" priority="1664" operator="notContains" text="Caida">
      <formula>ISERROR(SEARCH("Caida",P5))</formula>
    </cfRule>
    <cfRule type="containsText" dxfId="805" priority="1665" operator="containsText" text="Caida">
      <formula>NOT(ISERROR(SEARCH("Caida",P5)))</formula>
    </cfRule>
  </conditionalFormatting>
  <conditionalFormatting sqref="P231">
    <cfRule type="cellIs" dxfId="804" priority="1662" operator="lessThan">
      <formula>0.8</formula>
    </cfRule>
    <cfRule type="cellIs" dxfId="803" priority="1663" operator="greaterThan">
      <formula>0.8</formula>
    </cfRule>
  </conditionalFormatting>
  <conditionalFormatting sqref="P231">
    <cfRule type="notContainsText" dxfId="802" priority="1660" operator="notContains" text="Caida">
      <formula>ISERROR(SEARCH("Caida",P231))</formula>
    </cfRule>
    <cfRule type="containsText" dxfId="801" priority="1661" operator="containsText" text="Caida">
      <formula>NOT(ISERROR(SEARCH("Caida",P231)))</formula>
    </cfRule>
  </conditionalFormatting>
  <conditionalFormatting sqref="P232">
    <cfRule type="cellIs" dxfId="800" priority="1658" operator="lessThan">
      <formula>0.8</formula>
    </cfRule>
    <cfRule type="cellIs" dxfId="799" priority="1659" operator="greaterThan">
      <formula>0.8</formula>
    </cfRule>
  </conditionalFormatting>
  <conditionalFormatting sqref="P232">
    <cfRule type="notContainsText" dxfId="798" priority="1656" operator="notContains" text="Caida">
      <formula>ISERROR(SEARCH("Caida",P232))</formula>
    </cfRule>
    <cfRule type="containsText" dxfId="797" priority="1657" operator="containsText" text="Caida">
      <formula>NOT(ISERROR(SEARCH("Caida",P232)))</formula>
    </cfRule>
  </conditionalFormatting>
  <conditionalFormatting sqref="P233">
    <cfRule type="cellIs" dxfId="796" priority="1654" operator="lessThan">
      <formula>0.8</formula>
    </cfRule>
    <cfRule type="cellIs" dxfId="795" priority="1655" operator="greaterThan">
      <formula>0.8</formula>
    </cfRule>
  </conditionalFormatting>
  <conditionalFormatting sqref="P233">
    <cfRule type="notContainsText" dxfId="794" priority="1652" operator="notContains" text="Caida">
      <formula>ISERROR(SEARCH("Caida",P233))</formula>
    </cfRule>
    <cfRule type="containsText" dxfId="793" priority="1653" operator="containsText" text="Caida">
      <formula>NOT(ISERROR(SEARCH("Caida",P233)))</formula>
    </cfRule>
  </conditionalFormatting>
  <conditionalFormatting sqref="P234">
    <cfRule type="cellIs" dxfId="792" priority="1650" operator="lessThan">
      <formula>0.8</formula>
    </cfRule>
    <cfRule type="cellIs" dxfId="791" priority="1651" operator="greaterThan">
      <formula>0.8</formula>
    </cfRule>
  </conditionalFormatting>
  <conditionalFormatting sqref="P234">
    <cfRule type="notContainsText" dxfId="790" priority="1648" operator="notContains" text="Caida">
      <formula>ISERROR(SEARCH("Caida",P234))</formula>
    </cfRule>
    <cfRule type="containsText" dxfId="789" priority="1649" operator="containsText" text="Caida">
      <formula>NOT(ISERROR(SEARCH("Caida",P234)))</formula>
    </cfRule>
  </conditionalFormatting>
  <conditionalFormatting sqref="P235">
    <cfRule type="cellIs" dxfId="788" priority="1646" operator="lessThan">
      <formula>0.8</formula>
    </cfRule>
    <cfRule type="cellIs" dxfId="787" priority="1647" operator="greaterThan">
      <formula>0.8</formula>
    </cfRule>
  </conditionalFormatting>
  <conditionalFormatting sqref="P235">
    <cfRule type="notContainsText" dxfId="786" priority="1644" operator="notContains" text="Caida">
      <formula>ISERROR(SEARCH("Caida",P235))</formula>
    </cfRule>
    <cfRule type="containsText" dxfId="785" priority="1645" operator="containsText" text="Caida">
      <formula>NOT(ISERROR(SEARCH("Caida",P235)))</formula>
    </cfRule>
  </conditionalFormatting>
  <conditionalFormatting sqref="P335">
    <cfRule type="cellIs" dxfId="784" priority="1642" operator="lessThan">
      <formula>0.8</formula>
    </cfRule>
    <cfRule type="cellIs" dxfId="783" priority="1643" operator="greaterThan">
      <formula>0.8</formula>
    </cfRule>
  </conditionalFormatting>
  <conditionalFormatting sqref="P335">
    <cfRule type="notContainsText" dxfId="782" priority="1640" operator="notContains" text="Caida">
      <formula>ISERROR(SEARCH("Caida",P335))</formula>
    </cfRule>
    <cfRule type="containsText" dxfId="781" priority="1641" operator="containsText" text="Caida">
      <formula>NOT(ISERROR(SEARCH("Caida",P335)))</formula>
    </cfRule>
  </conditionalFormatting>
  <conditionalFormatting sqref="Q6:Q92 Q96:Q230">
    <cfRule type="cellIs" dxfId="780" priority="1634" operator="lessThan">
      <formula>0.8</formula>
    </cfRule>
    <cfRule type="cellIs" dxfId="779" priority="1635" operator="greaterThan">
      <formula>0.8</formula>
    </cfRule>
  </conditionalFormatting>
  <conditionalFormatting sqref="Q6:Q92 Q96:Q230">
    <cfRule type="notContainsText" dxfId="778" priority="1632" operator="notContains" text="Caida">
      <formula>ISERROR(SEARCH("Caida",Q6))</formula>
    </cfRule>
    <cfRule type="containsText" dxfId="777" priority="1633" operator="containsText" text="Caida">
      <formula>NOT(ISERROR(SEARCH("Caida",Q6)))</formula>
    </cfRule>
  </conditionalFormatting>
  <conditionalFormatting sqref="Q336">
    <cfRule type="cellIs" dxfId="776" priority="1589" operator="lessThan">
      <formula>0.8</formula>
    </cfRule>
    <cfRule type="cellIs" dxfId="775" priority="1590" operator="greaterThan">
      <formula>0.8</formula>
    </cfRule>
  </conditionalFormatting>
  <conditionalFormatting sqref="Q336">
    <cfRule type="notContainsText" dxfId="774" priority="1587" operator="notContains" text="Caida">
      <formula>ISERROR(SEARCH("Caida",Q336))</formula>
    </cfRule>
    <cfRule type="containsText" dxfId="773" priority="1588" operator="containsText" text="Caida">
      <formula>NOT(ISERROR(SEARCH("Caida",Q336)))</formula>
    </cfRule>
  </conditionalFormatting>
  <conditionalFormatting sqref="Q337:Q366 Q284:Q334">
    <cfRule type="cellIs" dxfId="772" priority="1630" operator="lessThan">
      <formula>0.8</formula>
    </cfRule>
    <cfRule type="cellIs" dxfId="771" priority="1631" operator="greaterThan">
      <formula>0.8</formula>
    </cfRule>
  </conditionalFormatting>
  <conditionalFormatting sqref="Q337:Q366 Q284:Q334 Q397:Q1048576">
    <cfRule type="notContainsText" dxfId="770" priority="1628" operator="notContains" text="Caida">
      <formula>ISERROR(SEARCH("Caida",Q284))</formula>
    </cfRule>
    <cfRule type="containsText" dxfId="769" priority="1629" operator="containsText" text="Caida">
      <formula>NOT(ISERROR(SEARCH("Caida",Q284)))</formula>
    </cfRule>
  </conditionalFormatting>
  <conditionalFormatting sqref="Q22">
    <cfRule type="containsText" dxfId="768" priority="1627" operator="containsText" text="Instaladas en Funcionamiento Caida">
      <formula>NOT(ISERROR(SEARCH("Instaladas en Funcionamiento Caida",Q22)))</formula>
    </cfRule>
  </conditionalFormatting>
  <conditionalFormatting sqref="Q282">
    <cfRule type="cellIs" dxfId="767" priority="1625" operator="lessThan">
      <formula>0.8</formula>
    </cfRule>
    <cfRule type="cellIs" dxfId="766" priority="1626" operator="greaterThan">
      <formula>0.8</formula>
    </cfRule>
  </conditionalFormatting>
  <conditionalFormatting sqref="Q282">
    <cfRule type="notContainsText" dxfId="765" priority="1623" operator="notContains" text="Caida">
      <formula>ISERROR(SEARCH("Caida",Q282))</formula>
    </cfRule>
    <cfRule type="containsText" dxfId="764" priority="1624" operator="containsText" text="Caida">
      <formula>NOT(ISERROR(SEARCH("Caida",Q282)))</formula>
    </cfRule>
  </conditionalFormatting>
  <conditionalFormatting sqref="Q283">
    <cfRule type="cellIs" dxfId="763" priority="1621" operator="lessThan">
      <formula>0.8</formula>
    </cfRule>
    <cfRule type="cellIs" dxfId="762" priority="1622" operator="greaterThan">
      <formula>0.8</formula>
    </cfRule>
  </conditionalFormatting>
  <conditionalFormatting sqref="Q283">
    <cfRule type="notContainsText" dxfId="761" priority="1619" operator="notContains" text="Caida">
      <formula>ISERROR(SEARCH("Caida",Q283))</formula>
    </cfRule>
    <cfRule type="containsText" dxfId="760" priority="1620" operator="containsText" text="Caida">
      <formula>NOT(ISERROR(SEARCH("Caida",Q283)))</formula>
    </cfRule>
  </conditionalFormatting>
  <conditionalFormatting sqref="Q5">
    <cfRule type="cellIs" dxfId="759" priority="1617" operator="lessThan">
      <formula>0.8</formula>
    </cfRule>
    <cfRule type="cellIs" dxfId="758" priority="1618" operator="greaterThan">
      <formula>0.8</formula>
    </cfRule>
  </conditionalFormatting>
  <conditionalFormatting sqref="Q5">
    <cfRule type="notContainsText" dxfId="757" priority="1615" operator="notContains" text="Caida">
      <formula>ISERROR(SEARCH("Caida",Q5))</formula>
    </cfRule>
    <cfRule type="containsText" dxfId="756" priority="1616" operator="containsText" text="Caida">
      <formula>NOT(ISERROR(SEARCH("Caida",Q5)))</formula>
    </cfRule>
  </conditionalFormatting>
  <conditionalFormatting sqref="Q231">
    <cfRule type="cellIs" dxfId="755" priority="1613" operator="lessThan">
      <formula>0.8</formula>
    </cfRule>
    <cfRule type="cellIs" dxfId="754" priority="1614" operator="greaterThan">
      <formula>0.8</formula>
    </cfRule>
  </conditionalFormatting>
  <conditionalFormatting sqref="Q231">
    <cfRule type="notContainsText" dxfId="753" priority="1611" operator="notContains" text="Caida">
      <formula>ISERROR(SEARCH("Caida",Q231))</formula>
    </cfRule>
    <cfRule type="containsText" dxfId="752" priority="1612" operator="containsText" text="Caida">
      <formula>NOT(ISERROR(SEARCH("Caida",Q231)))</formula>
    </cfRule>
  </conditionalFormatting>
  <conditionalFormatting sqref="Q232">
    <cfRule type="cellIs" dxfId="751" priority="1609" operator="lessThan">
      <formula>0.8</formula>
    </cfRule>
    <cfRule type="cellIs" dxfId="750" priority="1610" operator="greaterThan">
      <formula>0.8</formula>
    </cfRule>
  </conditionalFormatting>
  <conditionalFormatting sqref="Q232">
    <cfRule type="notContainsText" dxfId="749" priority="1607" operator="notContains" text="Caida">
      <formula>ISERROR(SEARCH("Caida",Q232))</formula>
    </cfRule>
    <cfRule type="containsText" dxfId="748" priority="1608" operator="containsText" text="Caida">
      <formula>NOT(ISERROR(SEARCH("Caida",Q232)))</formula>
    </cfRule>
  </conditionalFormatting>
  <conditionalFormatting sqref="Q233">
    <cfRule type="cellIs" dxfId="747" priority="1605" operator="lessThan">
      <formula>0.8</formula>
    </cfRule>
    <cfRule type="cellIs" dxfId="746" priority="1606" operator="greaterThan">
      <formula>0.8</formula>
    </cfRule>
  </conditionalFormatting>
  <conditionalFormatting sqref="Q233">
    <cfRule type="notContainsText" dxfId="745" priority="1603" operator="notContains" text="Caida">
      <formula>ISERROR(SEARCH("Caida",Q233))</formula>
    </cfRule>
    <cfRule type="containsText" dxfId="744" priority="1604" operator="containsText" text="Caida">
      <formula>NOT(ISERROR(SEARCH("Caida",Q233)))</formula>
    </cfRule>
  </conditionalFormatting>
  <conditionalFormatting sqref="Q234">
    <cfRule type="cellIs" dxfId="743" priority="1601" operator="lessThan">
      <formula>0.8</formula>
    </cfRule>
    <cfRule type="cellIs" dxfId="742" priority="1602" operator="greaterThan">
      <formula>0.8</formula>
    </cfRule>
  </conditionalFormatting>
  <conditionalFormatting sqref="Q234">
    <cfRule type="notContainsText" dxfId="741" priority="1599" operator="notContains" text="Caida">
      <formula>ISERROR(SEARCH("Caida",Q234))</formula>
    </cfRule>
    <cfRule type="containsText" dxfId="740" priority="1600" operator="containsText" text="Caida">
      <formula>NOT(ISERROR(SEARCH("Caida",Q234)))</formula>
    </cfRule>
  </conditionalFormatting>
  <conditionalFormatting sqref="Q235">
    <cfRule type="cellIs" dxfId="739" priority="1597" operator="lessThan">
      <formula>0.8</formula>
    </cfRule>
    <cfRule type="cellIs" dxfId="738" priority="1598" operator="greaterThan">
      <formula>0.8</formula>
    </cfRule>
  </conditionalFormatting>
  <conditionalFormatting sqref="Q235">
    <cfRule type="notContainsText" dxfId="737" priority="1595" operator="notContains" text="Caida">
      <formula>ISERROR(SEARCH("Caida",Q235))</formula>
    </cfRule>
    <cfRule type="containsText" dxfId="736" priority="1596" operator="containsText" text="Caida">
      <formula>NOT(ISERROR(SEARCH("Caida",Q235)))</formula>
    </cfRule>
  </conditionalFormatting>
  <conditionalFormatting sqref="Q335">
    <cfRule type="cellIs" dxfId="735" priority="1593" operator="lessThan">
      <formula>0.8</formula>
    </cfRule>
    <cfRule type="cellIs" dxfId="734" priority="1594" operator="greaterThan">
      <formula>0.8</formula>
    </cfRule>
  </conditionalFormatting>
  <conditionalFormatting sqref="Q335">
    <cfRule type="notContainsText" dxfId="733" priority="1591" operator="notContains" text="Caida">
      <formula>ISERROR(SEARCH("Caida",Q335))</formula>
    </cfRule>
    <cfRule type="containsText" dxfId="732" priority="1592" operator="containsText" text="Caida">
      <formula>NOT(ISERROR(SEARCH("Caida",Q335)))</formula>
    </cfRule>
  </conditionalFormatting>
  <conditionalFormatting sqref="R6:R92 R96:R230">
    <cfRule type="cellIs" dxfId="731" priority="1585" operator="lessThan">
      <formula>0.8</formula>
    </cfRule>
    <cfRule type="cellIs" dxfId="730" priority="1586" operator="greaterThan">
      <formula>0.8</formula>
    </cfRule>
  </conditionalFormatting>
  <conditionalFormatting sqref="R6:R92 R96:R230">
    <cfRule type="notContainsText" dxfId="729" priority="1583" operator="notContains" text="Caida">
      <formula>ISERROR(SEARCH("Caida",R6))</formula>
    </cfRule>
    <cfRule type="containsText" dxfId="728" priority="1584" operator="containsText" text="Caida">
      <formula>NOT(ISERROR(SEARCH("Caida",R6)))</formula>
    </cfRule>
  </conditionalFormatting>
  <conditionalFormatting sqref="R336:T336">
    <cfRule type="cellIs" dxfId="727" priority="1540" operator="lessThan">
      <formula>0.8</formula>
    </cfRule>
    <cfRule type="cellIs" dxfId="726" priority="1541" operator="greaterThan">
      <formula>0.8</formula>
    </cfRule>
  </conditionalFormatting>
  <conditionalFormatting sqref="R336:T336">
    <cfRule type="notContainsText" dxfId="725" priority="1538" operator="notContains" text="Caida">
      <formula>ISERROR(SEARCH("Caida",R336))</formula>
    </cfRule>
    <cfRule type="containsText" dxfId="724" priority="1539" operator="containsText" text="Caida">
      <formula>NOT(ISERROR(SEARCH("Caida",R336)))</formula>
    </cfRule>
  </conditionalFormatting>
  <conditionalFormatting sqref="R337:R366 R284:R334">
    <cfRule type="cellIs" dxfId="723" priority="1581" operator="lessThan">
      <formula>0.8</formula>
    </cfRule>
    <cfRule type="cellIs" dxfId="722" priority="1582" operator="greaterThan">
      <formula>0.8</formula>
    </cfRule>
  </conditionalFormatting>
  <conditionalFormatting sqref="R337:R366 R284:R334 R397:R1048576">
    <cfRule type="notContainsText" dxfId="721" priority="1579" operator="notContains" text="Caida">
      <formula>ISERROR(SEARCH("Caida",R284))</formula>
    </cfRule>
    <cfRule type="containsText" dxfId="720" priority="1580" operator="containsText" text="Caida">
      <formula>NOT(ISERROR(SEARCH("Caida",R284)))</formula>
    </cfRule>
  </conditionalFormatting>
  <conditionalFormatting sqref="R22:T22">
    <cfRule type="containsText" dxfId="719" priority="1578" operator="containsText" text="Instaladas en Funcionamiento Caida">
      <formula>NOT(ISERROR(SEARCH("Instaladas en Funcionamiento Caida",R22)))</formula>
    </cfRule>
  </conditionalFormatting>
  <conditionalFormatting sqref="R282:T282">
    <cfRule type="cellIs" dxfId="718" priority="1576" operator="lessThan">
      <formula>0.8</formula>
    </cfRule>
    <cfRule type="cellIs" dxfId="717" priority="1577" operator="greaterThan">
      <formula>0.8</formula>
    </cfRule>
  </conditionalFormatting>
  <conditionalFormatting sqref="R282:T282">
    <cfRule type="notContainsText" dxfId="716" priority="1574" operator="notContains" text="Caida">
      <formula>ISERROR(SEARCH("Caida",R282))</formula>
    </cfRule>
    <cfRule type="containsText" dxfId="715" priority="1575" operator="containsText" text="Caida">
      <formula>NOT(ISERROR(SEARCH("Caida",R282)))</formula>
    </cfRule>
  </conditionalFormatting>
  <conditionalFormatting sqref="R283:T283">
    <cfRule type="cellIs" dxfId="714" priority="1572" operator="lessThan">
      <formula>0.8</formula>
    </cfRule>
    <cfRule type="cellIs" dxfId="713" priority="1573" operator="greaterThan">
      <formula>0.8</formula>
    </cfRule>
  </conditionalFormatting>
  <conditionalFormatting sqref="R283:T283">
    <cfRule type="notContainsText" dxfId="712" priority="1570" operator="notContains" text="Caida">
      <formula>ISERROR(SEARCH("Caida",R283))</formula>
    </cfRule>
    <cfRule type="containsText" dxfId="711" priority="1571" operator="containsText" text="Caida">
      <formula>NOT(ISERROR(SEARCH("Caida",R283)))</formula>
    </cfRule>
  </conditionalFormatting>
  <conditionalFormatting sqref="R5:T5">
    <cfRule type="cellIs" dxfId="710" priority="1568" operator="lessThan">
      <formula>0.8</formula>
    </cfRule>
    <cfRule type="cellIs" dxfId="709" priority="1569" operator="greaterThan">
      <formula>0.8</formula>
    </cfRule>
  </conditionalFormatting>
  <conditionalFormatting sqref="R5:T5">
    <cfRule type="notContainsText" dxfId="708" priority="1566" operator="notContains" text="Caida">
      <formula>ISERROR(SEARCH("Caida",R5))</formula>
    </cfRule>
    <cfRule type="containsText" dxfId="707" priority="1567" operator="containsText" text="Caida">
      <formula>NOT(ISERROR(SEARCH("Caida",R5)))</formula>
    </cfRule>
  </conditionalFormatting>
  <conditionalFormatting sqref="R231:T231">
    <cfRule type="cellIs" dxfId="706" priority="1564" operator="lessThan">
      <formula>0.8</formula>
    </cfRule>
    <cfRule type="cellIs" dxfId="705" priority="1565" operator="greaterThan">
      <formula>0.8</formula>
    </cfRule>
  </conditionalFormatting>
  <conditionalFormatting sqref="R231:T231">
    <cfRule type="notContainsText" dxfId="704" priority="1562" operator="notContains" text="Caida">
      <formula>ISERROR(SEARCH("Caida",R231))</formula>
    </cfRule>
    <cfRule type="containsText" dxfId="703" priority="1563" operator="containsText" text="Caida">
      <formula>NOT(ISERROR(SEARCH("Caida",R231)))</formula>
    </cfRule>
  </conditionalFormatting>
  <conditionalFormatting sqref="R232:T232">
    <cfRule type="cellIs" dxfId="702" priority="1560" operator="lessThan">
      <formula>0.8</formula>
    </cfRule>
    <cfRule type="cellIs" dxfId="701" priority="1561" operator="greaterThan">
      <formula>0.8</formula>
    </cfRule>
  </conditionalFormatting>
  <conditionalFormatting sqref="R232:T232">
    <cfRule type="notContainsText" dxfId="700" priority="1558" operator="notContains" text="Caida">
      <formula>ISERROR(SEARCH("Caida",R232))</formula>
    </cfRule>
    <cfRule type="containsText" dxfId="699" priority="1559" operator="containsText" text="Caida">
      <formula>NOT(ISERROR(SEARCH("Caida",R232)))</formula>
    </cfRule>
  </conditionalFormatting>
  <conditionalFormatting sqref="R233:T233">
    <cfRule type="cellIs" dxfId="698" priority="1556" operator="lessThan">
      <formula>0.8</formula>
    </cfRule>
    <cfRule type="cellIs" dxfId="697" priority="1557" operator="greaterThan">
      <formula>0.8</formula>
    </cfRule>
  </conditionalFormatting>
  <conditionalFormatting sqref="R233:T233">
    <cfRule type="notContainsText" dxfId="696" priority="1554" operator="notContains" text="Caida">
      <formula>ISERROR(SEARCH("Caida",R233))</formula>
    </cfRule>
    <cfRule type="containsText" dxfId="695" priority="1555" operator="containsText" text="Caida">
      <formula>NOT(ISERROR(SEARCH("Caida",R233)))</formula>
    </cfRule>
  </conditionalFormatting>
  <conditionalFormatting sqref="R234:T234">
    <cfRule type="cellIs" dxfId="694" priority="1552" operator="lessThan">
      <formula>0.8</formula>
    </cfRule>
    <cfRule type="cellIs" dxfId="693" priority="1553" operator="greaterThan">
      <formula>0.8</formula>
    </cfRule>
  </conditionalFormatting>
  <conditionalFormatting sqref="R234:T234">
    <cfRule type="notContainsText" dxfId="692" priority="1550" operator="notContains" text="Caida">
      <formula>ISERROR(SEARCH("Caida",R234))</formula>
    </cfRule>
    <cfRule type="containsText" dxfId="691" priority="1551" operator="containsText" text="Caida">
      <formula>NOT(ISERROR(SEARCH("Caida",R234)))</formula>
    </cfRule>
  </conditionalFormatting>
  <conditionalFormatting sqref="R235:T235">
    <cfRule type="cellIs" dxfId="690" priority="1548" operator="lessThan">
      <formula>0.8</formula>
    </cfRule>
    <cfRule type="cellIs" dxfId="689" priority="1549" operator="greaterThan">
      <formula>0.8</formula>
    </cfRule>
  </conditionalFormatting>
  <conditionalFormatting sqref="R235:T235">
    <cfRule type="notContainsText" dxfId="688" priority="1546" operator="notContains" text="Caida">
      <formula>ISERROR(SEARCH("Caida",R235))</formula>
    </cfRule>
    <cfRule type="containsText" dxfId="687" priority="1547" operator="containsText" text="Caida">
      <formula>NOT(ISERROR(SEARCH("Caida",R235)))</formula>
    </cfRule>
  </conditionalFormatting>
  <conditionalFormatting sqref="R335:T335">
    <cfRule type="cellIs" dxfId="686" priority="1544" operator="lessThan">
      <formula>0.8</formula>
    </cfRule>
    <cfRule type="cellIs" dxfId="685" priority="1545" operator="greaterThan">
      <formula>0.8</formula>
    </cfRule>
  </conditionalFormatting>
  <conditionalFormatting sqref="R335:T335">
    <cfRule type="notContainsText" dxfId="684" priority="1542" operator="notContains" text="Caida">
      <formula>ISERROR(SEARCH("Caida",R335))</formula>
    </cfRule>
    <cfRule type="containsText" dxfId="683" priority="1543" operator="containsText" text="Caida">
      <formula>NOT(ISERROR(SEARCH("Caida",R335)))</formula>
    </cfRule>
  </conditionalFormatting>
  <conditionalFormatting sqref="S397:S1048576">
    <cfRule type="notContainsText" dxfId="682" priority="1530" operator="notContains" text="Caida">
      <formula>ISERROR(SEARCH("Caida",S397))</formula>
    </cfRule>
    <cfRule type="containsText" dxfId="681" priority="1531" operator="containsText" text="Caida">
      <formula>NOT(ISERROR(SEARCH("Caida",S397)))</formula>
    </cfRule>
  </conditionalFormatting>
  <conditionalFormatting sqref="T397:T1048576">
    <cfRule type="notContainsText" dxfId="680" priority="1481" operator="notContains" text="Caida">
      <formula>ISERROR(SEARCH("Caida",T397))</formula>
    </cfRule>
    <cfRule type="containsText" dxfId="679" priority="1482" operator="containsText" text="Caida">
      <formula>NOT(ISERROR(SEARCH("Caida",T397)))</formula>
    </cfRule>
  </conditionalFormatting>
  <conditionalFormatting sqref="E92:K93">
    <cfRule type="containsText" dxfId="678" priority="1437" operator="containsText" text="Radio">
      <formula>NOT(ISERROR(SEARCH("Radio",E92)))</formula>
    </cfRule>
  </conditionalFormatting>
  <conditionalFormatting sqref="P93:P95">
    <cfRule type="cellIs" dxfId="677" priority="1407" operator="lessThan">
      <formula>0.8</formula>
    </cfRule>
    <cfRule type="cellIs" dxfId="676" priority="1408" operator="greaterThan">
      <formula>0.8</formula>
    </cfRule>
  </conditionalFormatting>
  <conditionalFormatting sqref="P93:P95">
    <cfRule type="notContainsText" dxfId="675" priority="1405" operator="notContains" text="Caida">
      <formula>ISERROR(SEARCH("Caida",P93))</formula>
    </cfRule>
    <cfRule type="containsText" dxfId="674" priority="1406" operator="containsText" text="Caida">
      <formula>NOT(ISERROR(SEARCH("Caida",P93)))</formula>
    </cfRule>
  </conditionalFormatting>
  <conditionalFormatting sqref="Q93:Q95">
    <cfRule type="cellIs" dxfId="673" priority="1403" operator="lessThan">
      <formula>0.8</formula>
    </cfRule>
    <cfRule type="cellIs" dxfId="672" priority="1404" operator="greaterThan">
      <formula>0.8</formula>
    </cfRule>
  </conditionalFormatting>
  <conditionalFormatting sqref="Q93:Q95">
    <cfRule type="notContainsText" dxfId="671" priority="1401" operator="notContains" text="Caida">
      <formula>ISERROR(SEARCH("Caida",Q93))</formula>
    </cfRule>
    <cfRule type="containsText" dxfId="670" priority="1402" operator="containsText" text="Caida">
      <formula>NOT(ISERROR(SEARCH("Caida",Q93)))</formula>
    </cfRule>
  </conditionalFormatting>
  <conditionalFormatting sqref="R93:R95">
    <cfRule type="cellIs" dxfId="669" priority="1399" operator="lessThan">
      <formula>0.8</formula>
    </cfRule>
    <cfRule type="cellIs" dxfId="668" priority="1400" operator="greaterThan">
      <formula>0.8</formula>
    </cfRule>
  </conditionalFormatting>
  <conditionalFormatting sqref="R93:R95">
    <cfRule type="notContainsText" dxfId="667" priority="1397" operator="notContains" text="Caida">
      <formula>ISERROR(SEARCH("Caida",R93))</formula>
    </cfRule>
    <cfRule type="containsText" dxfId="666" priority="1398" operator="containsText" text="Caida">
      <formula>NOT(ISERROR(SEARCH("Caida",R93)))</formula>
    </cfRule>
  </conditionalFormatting>
  <conditionalFormatting sqref="E365:K365">
    <cfRule type="containsText" dxfId="665" priority="1386" operator="containsText" text="Radio">
      <formula>NOT(ISERROR(SEARCH("Radio",E365)))</formula>
    </cfRule>
  </conditionalFormatting>
  <conditionalFormatting sqref="P367">
    <cfRule type="cellIs" dxfId="664" priority="1368" operator="lessThan">
      <formula>0.8</formula>
    </cfRule>
    <cfRule type="cellIs" dxfId="663" priority="1369" operator="greaterThan">
      <formula>0.8</formula>
    </cfRule>
  </conditionalFormatting>
  <conditionalFormatting sqref="P367">
    <cfRule type="notContainsText" dxfId="662" priority="1366" operator="notContains" text="Caida">
      <formula>ISERROR(SEARCH("Caida",P367))</formula>
    </cfRule>
    <cfRule type="containsText" dxfId="661" priority="1367" operator="containsText" text="Caida">
      <formula>NOT(ISERROR(SEARCH("Caida",P367)))</formula>
    </cfRule>
  </conditionalFormatting>
  <conditionalFormatting sqref="Q367">
    <cfRule type="cellIs" dxfId="660" priority="1364" operator="lessThan">
      <formula>0.8</formula>
    </cfRule>
    <cfRule type="cellIs" dxfId="659" priority="1365" operator="greaterThan">
      <formula>0.8</formula>
    </cfRule>
  </conditionalFormatting>
  <conditionalFormatting sqref="Q367">
    <cfRule type="notContainsText" dxfId="658" priority="1362" operator="notContains" text="Caida">
      <formula>ISERROR(SEARCH("Caida",Q367))</formula>
    </cfRule>
    <cfRule type="containsText" dxfId="657" priority="1363" operator="containsText" text="Caida">
      <formula>NOT(ISERROR(SEARCH("Caida",Q367)))</formula>
    </cfRule>
  </conditionalFormatting>
  <conditionalFormatting sqref="R367:T367">
    <cfRule type="cellIs" dxfId="656" priority="1360" operator="lessThan">
      <formula>0.8</formula>
    </cfRule>
    <cfRule type="cellIs" dxfId="655" priority="1361" operator="greaterThan">
      <formula>0.8</formula>
    </cfRule>
  </conditionalFormatting>
  <conditionalFormatting sqref="R367:T367">
    <cfRule type="notContainsText" dxfId="654" priority="1358" operator="notContains" text="Caida">
      <formula>ISERROR(SEARCH("Caida",R367))</formula>
    </cfRule>
    <cfRule type="containsText" dxfId="653" priority="1359" operator="containsText" text="Caida">
      <formula>NOT(ISERROR(SEARCH("Caida",R367)))</formula>
    </cfRule>
  </conditionalFormatting>
  <conditionalFormatting sqref="E366:K366">
    <cfRule type="containsText" dxfId="652" priority="1347" operator="containsText" text="Radio">
      <formula>NOT(ISERROR(SEARCH("Radio",E366)))</formula>
    </cfRule>
  </conditionalFormatting>
  <conditionalFormatting sqref="P368">
    <cfRule type="cellIs" dxfId="651" priority="1329" operator="lessThan">
      <formula>0.8</formula>
    </cfRule>
    <cfRule type="cellIs" dxfId="650" priority="1330" operator="greaterThan">
      <formula>0.8</formula>
    </cfRule>
  </conditionalFormatting>
  <conditionalFormatting sqref="P368">
    <cfRule type="notContainsText" dxfId="649" priority="1327" operator="notContains" text="Caida">
      <formula>ISERROR(SEARCH("Caida",P368))</formula>
    </cfRule>
    <cfRule type="containsText" dxfId="648" priority="1328" operator="containsText" text="Caida">
      <formula>NOT(ISERROR(SEARCH("Caida",P368)))</formula>
    </cfRule>
  </conditionalFormatting>
  <conditionalFormatting sqref="Q368">
    <cfRule type="cellIs" dxfId="647" priority="1325" operator="lessThan">
      <formula>0.8</formula>
    </cfRule>
    <cfRule type="cellIs" dxfId="646" priority="1326" operator="greaterThan">
      <formula>0.8</formula>
    </cfRule>
  </conditionalFormatting>
  <conditionalFormatting sqref="Q368">
    <cfRule type="notContainsText" dxfId="645" priority="1323" operator="notContains" text="Caida">
      <formula>ISERROR(SEARCH("Caida",Q368))</formula>
    </cfRule>
    <cfRule type="containsText" dxfId="644" priority="1324" operator="containsText" text="Caida">
      <formula>NOT(ISERROR(SEARCH("Caida",Q368)))</formula>
    </cfRule>
  </conditionalFormatting>
  <conditionalFormatting sqref="R368:T368">
    <cfRule type="cellIs" dxfId="643" priority="1321" operator="lessThan">
      <formula>0.8</formula>
    </cfRule>
    <cfRule type="cellIs" dxfId="642" priority="1322" operator="greaterThan">
      <formula>0.8</formula>
    </cfRule>
  </conditionalFormatting>
  <conditionalFormatting sqref="R368:T368">
    <cfRule type="notContainsText" dxfId="641" priority="1319" operator="notContains" text="Caida">
      <formula>ISERROR(SEARCH("Caida",R368))</formula>
    </cfRule>
    <cfRule type="containsText" dxfId="640" priority="1320" operator="containsText" text="Caida">
      <formula>NOT(ISERROR(SEARCH("Caida",R368)))</formula>
    </cfRule>
  </conditionalFormatting>
  <conditionalFormatting sqref="E367:K367">
    <cfRule type="containsText" dxfId="639" priority="1308" operator="containsText" text="Radio">
      <formula>NOT(ISERROR(SEARCH("Radio",E367)))</formula>
    </cfRule>
  </conditionalFormatting>
  <conditionalFormatting sqref="P369">
    <cfRule type="cellIs" dxfId="638" priority="1290" operator="lessThan">
      <formula>0.8</formula>
    </cfRule>
    <cfRule type="cellIs" dxfId="637" priority="1291" operator="greaterThan">
      <formula>0.8</formula>
    </cfRule>
  </conditionalFormatting>
  <conditionalFormatting sqref="P369">
    <cfRule type="notContainsText" dxfId="636" priority="1288" operator="notContains" text="Caida">
      <formula>ISERROR(SEARCH("Caida",P369))</formula>
    </cfRule>
    <cfRule type="containsText" dxfId="635" priority="1289" operator="containsText" text="Caida">
      <formula>NOT(ISERROR(SEARCH("Caida",P369)))</formula>
    </cfRule>
  </conditionalFormatting>
  <conditionalFormatting sqref="Q369">
    <cfRule type="cellIs" dxfId="634" priority="1286" operator="lessThan">
      <formula>0.8</formula>
    </cfRule>
    <cfRule type="cellIs" dxfId="633" priority="1287" operator="greaterThan">
      <formula>0.8</formula>
    </cfRule>
  </conditionalFormatting>
  <conditionalFormatting sqref="Q369">
    <cfRule type="notContainsText" dxfId="632" priority="1284" operator="notContains" text="Caida">
      <formula>ISERROR(SEARCH("Caida",Q369))</formula>
    </cfRule>
    <cfRule type="containsText" dxfId="631" priority="1285" operator="containsText" text="Caida">
      <formula>NOT(ISERROR(SEARCH("Caida",Q369)))</formula>
    </cfRule>
  </conditionalFormatting>
  <conditionalFormatting sqref="R369:T369">
    <cfRule type="cellIs" dxfId="630" priority="1282" operator="lessThan">
      <formula>0.8</formula>
    </cfRule>
    <cfRule type="cellIs" dxfId="629" priority="1283" operator="greaterThan">
      <formula>0.8</formula>
    </cfRule>
  </conditionalFormatting>
  <conditionalFormatting sqref="R369:T369">
    <cfRule type="notContainsText" dxfId="628" priority="1280" operator="notContains" text="Caida">
      <formula>ISERROR(SEARCH("Caida",R369))</formula>
    </cfRule>
    <cfRule type="containsText" dxfId="627" priority="1281" operator="containsText" text="Caida">
      <formula>NOT(ISERROR(SEARCH("Caida",R369)))</formula>
    </cfRule>
  </conditionalFormatting>
  <conditionalFormatting sqref="E368:K368">
    <cfRule type="containsText" dxfId="626" priority="1269" operator="containsText" text="Radio">
      <formula>NOT(ISERROR(SEARCH("Radio",E368)))</formula>
    </cfRule>
  </conditionalFormatting>
  <conditionalFormatting sqref="U231">
    <cfRule type="cellIs" dxfId="625" priority="1210" operator="lessThan">
      <formula>0.8</formula>
    </cfRule>
    <cfRule type="cellIs" dxfId="624" priority="1211" operator="greaterThan">
      <formula>0.8</formula>
    </cfRule>
  </conditionalFormatting>
  <conditionalFormatting sqref="U231">
    <cfRule type="notContainsText" dxfId="623" priority="1208" operator="notContains" text="Caida">
      <formula>ISERROR(SEARCH("Caida",U231))</formula>
    </cfRule>
    <cfRule type="containsText" dxfId="622" priority="1209" operator="containsText" text="Caida">
      <formula>NOT(ISERROR(SEARCH("Caida",U231)))</formula>
    </cfRule>
  </conditionalFormatting>
  <conditionalFormatting sqref="U232">
    <cfRule type="cellIs" dxfId="621" priority="1206" operator="lessThan">
      <formula>0.8</formula>
    </cfRule>
    <cfRule type="cellIs" dxfId="620" priority="1207" operator="greaterThan">
      <formula>0.8</formula>
    </cfRule>
  </conditionalFormatting>
  <conditionalFormatting sqref="U232">
    <cfRule type="notContainsText" dxfId="619" priority="1204" operator="notContains" text="Caida">
      <formula>ISERROR(SEARCH("Caida",U232))</formula>
    </cfRule>
    <cfRule type="containsText" dxfId="618" priority="1205" operator="containsText" text="Caida">
      <formula>NOT(ISERROR(SEARCH("Caida",U232)))</formula>
    </cfRule>
  </conditionalFormatting>
  <conditionalFormatting sqref="P370:P372">
    <cfRule type="cellIs" dxfId="617" priority="1251" operator="lessThan">
      <formula>0.8</formula>
    </cfRule>
    <cfRule type="cellIs" dxfId="616" priority="1252" operator="greaterThan">
      <formula>0.8</formula>
    </cfRule>
  </conditionalFormatting>
  <conditionalFormatting sqref="P370:P372">
    <cfRule type="notContainsText" dxfId="615" priority="1249" operator="notContains" text="Caida">
      <formula>ISERROR(SEARCH("Caida",P370))</formula>
    </cfRule>
    <cfRule type="containsText" dxfId="614" priority="1250" operator="containsText" text="Caida">
      <formula>NOT(ISERROR(SEARCH("Caida",P370)))</formula>
    </cfRule>
  </conditionalFormatting>
  <conditionalFormatting sqref="Q370:Q372">
    <cfRule type="cellIs" dxfId="613" priority="1247" operator="lessThan">
      <formula>0.8</formula>
    </cfRule>
    <cfRule type="cellIs" dxfId="612" priority="1248" operator="greaterThan">
      <formula>0.8</formula>
    </cfRule>
  </conditionalFormatting>
  <conditionalFormatting sqref="Q370:Q372">
    <cfRule type="notContainsText" dxfId="611" priority="1245" operator="notContains" text="Caida">
      <formula>ISERROR(SEARCH("Caida",Q370))</formula>
    </cfRule>
    <cfRule type="containsText" dxfId="610" priority="1246" operator="containsText" text="Caida">
      <formula>NOT(ISERROR(SEARCH("Caida",Q370)))</formula>
    </cfRule>
  </conditionalFormatting>
  <conditionalFormatting sqref="R370:T370">
    <cfRule type="cellIs" dxfId="609" priority="1243" operator="lessThan">
      <formula>0.8</formula>
    </cfRule>
    <cfRule type="cellIs" dxfId="608" priority="1244" operator="greaterThan">
      <formula>0.8</formula>
    </cfRule>
  </conditionalFormatting>
  <conditionalFormatting sqref="R370:T370">
    <cfRule type="notContainsText" dxfId="607" priority="1241" operator="notContains" text="Caida">
      <formula>ISERROR(SEARCH("Caida",R370))</formula>
    </cfRule>
    <cfRule type="containsText" dxfId="606" priority="1242" operator="containsText" text="Caida">
      <formula>NOT(ISERROR(SEARCH("Caida",R370)))</formula>
    </cfRule>
  </conditionalFormatting>
  <conditionalFormatting sqref="U368">
    <cfRule type="cellIs" dxfId="605" priority="1174" operator="lessThan">
      <formula>0.8</formula>
    </cfRule>
    <cfRule type="cellIs" dxfId="604" priority="1175" operator="greaterThan">
      <formula>0.8</formula>
    </cfRule>
  </conditionalFormatting>
  <conditionalFormatting sqref="U368">
    <cfRule type="notContainsText" dxfId="603" priority="1172" operator="notContains" text="Caida">
      <formula>ISERROR(SEARCH("Caida",U368))</formula>
    </cfRule>
    <cfRule type="containsText" dxfId="602" priority="1173" operator="containsText" text="Caida">
      <formula>NOT(ISERROR(SEARCH("Caida",U368)))</formula>
    </cfRule>
  </conditionalFormatting>
  <conditionalFormatting sqref="U369">
    <cfRule type="cellIs" dxfId="601" priority="1170" operator="lessThan">
      <formula>0.8</formula>
    </cfRule>
    <cfRule type="cellIs" dxfId="600" priority="1171" operator="greaterThan">
      <formula>0.8</formula>
    </cfRule>
  </conditionalFormatting>
  <conditionalFormatting sqref="U369">
    <cfRule type="notContainsText" dxfId="599" priority="1168" operator="notContains" text="Caida">
      <formula>ISERROR(SEARCH("Caida",U369))</formula>
    </cfRule>
    <cfRule type="containsText" dxfId="598" priority="1169" operator="containsText" text="Caida">
      <formula>NOT(ISERROR(SEARCH("Caida",U369)))</formula>
    </cfRule>
  </conditionalFormatting>
  <conditionalFormatting sqref="U370:U372">
    <cfRule type="cellIs" dxfId="597" priority="1166" operator="lessThan">
      <formula>0.8</formula>
    </cfRule>
    <cfRule type="cellIs" dxfId="596" priority="1167" operator="greaterThan">
      <formula>0.8</formula>
    </cfRule>
  </conditionalFormatting>
  <conditionalFormatting sqref="U370:U372">
    <cfRule type="notContainsText" dxfId="595" priority="1164" operator="notContains" text="Caida">
      <formula>ISERROR(SEARCH("Caida",U370))</formula>
    </cfRule>
    <cfRule type="containsText" dxfId="594" priority="1165" operator="containsText" text="Caida">
      <formula>NOT(ISERROR(SEARCH("Caida",U370)))</formula>
    </cfRule>
  </conditionalFormatting>
  <conditionalFormatting sqref="U6:U92 U96:U230">
    <cfRule type="cellIs" dxfId="593" priority="1231" operator="lessThan">
      <formula>0.8</formula>
    </cfRule>
    <cfRule type="cellIs" dxfId="592" priority="1232" operator="greaterThan">
      <formula>0.8</formula>
    </cfRule>
  </conditionalFormatting>
  <conditionalFormatting sqref="U6:U92 U96:U230">
    <cfRule type="notContainsText" dxfId="591" priority="1229" operator="notContains" text="Caida">
      <formula>ISERROR(SEARCH("Caida",U6))</formula>
    </cfRule>
    <cfRule type="containsText" dxfId="590" priority="1230" operator="containsText" text="Caida">
      <formula>NOT(ISERROR(SEARCH("Caida",U6)))</formula>
    </cfRule>
  </conditionalFormatting>
  <conditionalFormatting sqref="U336">
    <cfRule type="cellIs" dxfId="589" priority="1186" operator="lessThan">
      <formula>0.8</formula>
    </cfRule>
    <cfRule type="cellIs" dxfId="588" priority="1187" operator="greaterThan">
      <formula>0.8</formula>
    </cfRule>
  </conditionalFormatting>
  <conditionalFormatting sqref="U336">
    <cfRule type="notContainsText" dxfId="587" priority="1184" operator="notContains" text="Caida">
      <formula>ISERROR(SEARCH("Caida",U336))</formula>
    </cfRule>
    <cfRule type="containsText" dxfId="586" priority="1185" operator="containsText" text="Caida">
      <formula>NOT(ISERROR(SEARCH("Caida",U336)))</formula>
    </cfRule>
  </conditionalFormatting>
  <conditionalFormatting sqref="U337:U366 U284:U334">
    <cfRule type="cellIs" dxfId="585" priority="1227" operator="lessThan">
      <formula>0.8</formula>
    </cfRule>
    <cfRule type="cellIs" dxfId="584" priority="1228" operator="greaterThan">
      <formula>0.8</formula>
    </cfRule>
  </conditionalFormatting>
  <conditionalFormatting sqref="U337:U366 U284:U334 U397:U1048576">
    <cfRule type="notContainsText" dxfId="583" priority="1225" operator="notContains" text="Caida">
      <formula>ISERROR(SEARCH("Caida",U284))</formula>
    </cfRule>
    <cfRule type="containsText" dxfId="582" priority="1226" operator="containsText" text="Caida">
      <formula>NOT(ISERROR(SEARCH("Caida",U284)))</formula>
    </cfRule>
  </conditionalFormatting>
  <conditionalFormatting sqref="U22">
    <cfRule type="containsText" dxfId="581" priority="1224" operator="containsText" text="Instaladas en Funcionamiento Caida">
      <formula>NOT(ISERROR(SEARCH("Instaladas en Funcionamiento Caida",U22)))</formula>
    </cfRule>
  </conditionalFormatting>
  <conditionalFormatting sqref="U282">
    <cfRule type="cellIs" dxfId="580" priority="1222" operator="lessThan">
      <formula>0.8</formula>
    </cfRule>
    <cfRule type="cellIs" dxfId="579" priority="1223" operator="greaterThan">
      <formula>0.8</formula>
    </cfRule>
  </conditionalFormatting>
  <conditionalFormatting sqref="U282">
    <cfRule type="notContainsText" dxfId="578" priority="1220" operator="notContains" text="Caida">
      <formula>ISERROR(SEARCH("Caida",U282))</formula>
    </cfRule>
    <cfRule type="containsText" dxfId="577" priority="1221" operator="containsText" text="Caida">
      <formula>NOT(ISERROR(SEARCH("Caida",U282)))</formula>
    </cfRule>
  </conditionalFormatting>
  <conditionalFormatting sqref="U283">
    <cfRule type="cellIs" dxfId="576" priority="1218" operator="lessThan">
      <formula>0.8</formula>
    </cfRule>
    <cfRule type="cellIs" dxfId="575" priority="1219" operator="greaterThan">
      <formula>0.8</formula>
    </cfRule>
  </conditionalFormatting>
  <conditionalFormatting sqref="U283">
    <cfRule type="notContainsText" dxfId="574" priority="1216" operator="notContains" text="Caida">
      <formula>ISERROR(SEARCH("Caida",U283))</formula>
    </cfRule>
    <cfRule type="containsText" dxfId="573" priority="1217" operator="containsText" text="Caida">
      <formula>NOT(ISERROR(SEARCH("Caida",U283)))</formula>
    </cfRule>
  </conditionalFormatting>
  <conditionalFormatting sqref="U5">
    <cfRule type="cellIs" dxfId="572" priority="1214" operator="lessThan">
      <formula>0.8</formula>
    </cfRule>
    <cfRule type="cellIs" dxfId="571" priority="1215" operator="greaterThan">
      <formula>0.8</formula>
    </cfRule>
  </conditionalFormatting>
  <conditionalFormatting sqref="U5">
    <cfRule type="notContainsText" dxfId="570" priority="1212" operator="notContains" text="Caida">
      <formula>ISERROR(SEARCH("Caida",U5))</formula>
    </cfRule>
    <cfRule type="containsText" dxfId="569" priority="1213" operator="containsText" text="Caida">
      <formula>NOT(ISERROR(SEARCH("Caida",U5)))</formula>
    </cfRule>
  </conditionalFormatting>
  <conditionalFormatting sqref="U233">
    <cfRule type="cellIs" dxfId="568" priority="1202" operator="lessThan">
      <formula>0.8</formula>
    </cfRule>
    <cfRule type="cellIs" dxfId="567" priority="1203" operator="greaterThan">
      <formula>0.8</formula>
    </cfRule>
  </conditionalFormatting>
  <conditionalFormatting sqref="U233">
    <cfRule type="notContainsText" dxfId="566" priority="1200" operator="notContains" text="Caida">
      <formula>ISERROR(SEARCH("Caida",U233))</formula>
    </cfRule>
    <cfRule type="containsText" dxfId="565" priority="1201" operator="containsText" text="Caida">
      <formula>NOT(ISERROR(SEARCH("Caida",U233)))</formula>
    </cfRule>
  </conditionalFormatting>
  <conditionalFormatting sqref="U234">
    <cfRule type="cellIs" dxfId="564" priority="1198" operator="lessThan">
      <formula>0.8</formula>
    </cfRule>
    <cfRule type="cellIs" dxfId="563" priority="1199" operator="greaterThan">
      <formula>0.8</formula>
    </cfRule>
  </conditionalFormatting>
  <conditionalFormatting sqref="U234">
    <cfRule type="notContainsText" dxfId="562" priority="1196" operator="notContains" text="Caida">
      <formula>ISERROR(SEARCH("Caida",U234))</formula>
    </cfRule>
    <cfRule type="containsText" dxfId="561" priority="1197" operator="containsText" text="Caida">
      <formula>NOT(ISERROR(SEARCH("Caida",U234)))</formula>
    </cfRule>
  </conditionalFormatting>
  <conditionalFormatting sqref="U235">
    <cfRule type="cellIs" dxfId="560" priority="1194" operator="lessThan">
      <formula>0.8</formula>
    </cfRule>
    <cfRule type="cellIs" dxfId="559" priority="1195" operator="greaterThan">
      <formula>0.8</formula>
    </cfRule>
  </conditionalFormatting>
  <conditionalFormatting sqref="U235">
    <cfRule type="notContainsText" dxfId="558" priority="1192" operator="notContains" text="Caida">
      <formula>ISERROR(SEARCH("Caida",U235))</formula>
    </cfRule>
    <cfRule type="containsText" dxfId="557" priority="1193" operator="containsText" text="Caida">
      <formula>NOT(ISERROR(SEARCH("Caida",U235)))</formula>
    </cfRule>
  </conditionalFormatting>
  <conditionalFormatting sqref="U335">
    <cfRule type="cellIs" dxfId="556" priority="1190" operator="lessThan">
      <formula>0.8</formula>
    </cfRule>
    <cfRule type="cellIs" dxfId="555" priority="1191" operator="greaterThan">
      <formula>0.8</formula>
    </cfRule>
  </conditionalFormatting>
  <conditionalFormatting sqref="U335">
    <cfRule type="notContainsText" dxfId="554" priority="1188" operator="notContains" text="Caida">
      <formula>ISERROR(SEARCH("Caida",U335))</formula>
    </cfRule>
    <cfRule type="containsText" dxfId="553" priority="1189" operator="containsText" text="Caida">
      <formula>NOT(ISERROR(SEARCH("Caida",U335)))</formula>
    </cfRule>
  </conditionalFormatting>
  <conditionalFormatting sqref="U93:U95">
    <cfRule type="cellIs" dxfId="552" priority="1182" operator="lessThan">
      <formula>0.8</formula>
    </cfRule>
    <cfRule type="cellIs" dxfId="551" priority="1183" operator="greaterThan">
      <formula>0.8</formula>
    </cfRule>
  </conditionalFormatting>
  <conditionalFormatting sqref="U93:U95">
    <cfRule type="notContainsText" dxfId="550" priority="1180" operator="notContains" text="Caida">
      <formula>ISERROR(SEARCH("Caida",U93))</formula>
    </cfRule>
    <cfRule type="containsText" dxfId="549" priority="1181" operator="containsText" text="Caida">
      <formula>NOT(ISERROR(SEARCH("Caida",U93)))</formula>
    </cfRule>
  </conditionalFormatting>
  <conditionalFormatting sqref="U367">
    <cfRule type="cellIs" dxfId="548" priority="1178" operator="lessThan">
      <formula>0.8</formula>
    </cfRule>
    <cfRule type="cellIs" dxfId="547" priority="1179" operator="greaterThan">
      <formula>0.8</formula>
    </cfRule>
  </conditionalFormatting>
  <conditionalFormatting sqref="U367">
    <cfRule type="notContainsText" dxfId="546" priority="1176" operator="notContains" text="Caida">
      <formula>ISERROR(SEARCH("Caida",U367))</formula>
    </cfRule>
    <cfRule type="containsText" dxfId="545" priority="1177" operator="containsText" text="Caida">
      <formula>NOT(ISERROR(SEARCH("Caida",U367)))</formula>
    </cfRule>
  </conditionalFormatting>
  <conditionalFormatting sqref="V6:X92">
    <cfRule type="cellIs" dxfId="544" priority="1162" operator="lessThan">
      <formula>0.8</formula>
    </cfRule>
    <cfRule type="cellIs" dxfId="543" priority="1163" operator="greaterThan">
      <formula>0.8</formula>
    </cfRule>
  </conditionalFormatting>
  <conditionalFormatting sqref="V6:X92">
    <cfRule type="notContainsText" dxfId="542" priority="1160" operator="notContains" text="Caida">
      <formula>ISERROR(SEARCH("Caida",V6))</formula>
    </cfRule>
    <cfRule type="containsText" dxfId="541" priority="1161" operator="containsText" text="Caida">
      <formula>NOT(ISERROR(SEARCH("Caida",V6)))</formula>
    </cfRule>
  </conditionalFormatting>
  <conditionalFormatting sqref="V22:X22 AA22:AH22 AJ22">
    <cfRule type="containsText" dxfId="540" priority="1159" operator="containsText" text="Instaladas en Funcionamiento Caida">
      <formula>NOT(ISERROR(SEARCH("Instaladas en Funcionamiento Caida",V22)))</formula>
    </cfRule>
  </conditionalFormatting>
  <conditionalFormatting sqref="V5:X5 AA5:AH5 AJ5">
    <cfRule type="cellIs" dxfId="539" priority="1157" operator="lessThan">
      <formula>0.8</formula>
    </cfRule>
    <cfRule type="cellIs" dxfId="538" priority="1158" operator="greaterThan">
      <formula>0.8</formula>
    </cfRule>
  </conditionalFormatting>
  <conditionalFormatting sqref="V5:X5 AA5:AH5 AJ5">
    <cfRule type="notContainsText" dxfId="537" priority="1155" operator="notContains" text="Caida">
      <formula>ISERROR(SEARCH("Caida",V5))</formula>
    </cfRule>
    <cfRule type="containsText" dxfId="536" priority="1156" operator="containsText" text="Caida">
      <formula>NOT(ISERROR(SEARCH("Caida",V5)))</formula>
    </cfRule>
  </conditionalFormatting>
  <conditionalFormatting sqref="V93:X95">
    <cfRule type="cellIs" dxfId="535" priority="1153" operator="lessThan">
      <formula>0.8</formula>
    </cfRule>
    <cfRule type="cellIs" dxfId="534" priority="1154" operator="greaterThan">
      <formula>0.8</formula>
    </cfRule>
  </conditionalFormatting>
  <conditionalFormatting sqref="V93:X95">
    <cfRule type="notContainsText" dxfId="533" priority="1151" operator="notContains" text="Caida">
      <formula>ISERROR(SEARCH("Caida",V93))</formula>
    </cfRule>
    <cfRule type="containsText" dxfId="532" priority="1152" operator="containsText" text="Caida">
      <formula>NOT(ISERROR(SEARCH("Caida",V93)))</formula>
    </cfRule>
  </conditionalFormatting>
  <conditionalFormatting sqref="E1:E372 E391:E1048576">
    <cfRule type="containsText" dxfId="531" priority="1011" operator="containsText" text="fija">
      <formula>NOT(ISERROR(SEARCH("fija",E1)))</formula>
    </cfRule>
    <cfRule type="containsText" dxfId="530" priority="1012" operator="containsText" text="domo">
      <formula>NOT(ISERROR(SEARCH("domo",E1)))</formula>
    </cfRule>
  </conditionalFormatting>
  <conditionalFormatting sqref="AK6:AP92">
    <cfRule type="cellIs" dxfId="529" priority="987" operator="lessThan">
      <formula>0.8</formula>
    </cfRule>
    <cfRule type="cellIs" dxfId="528" priority="988" operator="greaterThan">
      <formula>0.8</formula>
    </cfRule>
  </conditionalFormatting>
  <conditionalFormatting sqref="AK6:AP92">
    <cfRule type="notContainsText" dxfId="527" priority="985" operator="notContains" text="Caida">
      <formula>ISERROR(SEARCH("Caida",AK6))</formula>
    </cfRule>
    <cfRule type="containsText" dxfId="526" priority="986" operator="containsText" text="Caida">
      <formula>NOT(ISERROR(SEARCH("Caida",AK6)))</formula>
    </cfRule>
  </conditionalFormatting>
  <conditionalFormatting sqref="AK22:AR22">
    <cfRule type="containsText" dxfId="525" priority="984" operator="containsText" text="Instaladas en Funcionamiento Caida">
      <formula>NOT(ISERROR(SEARCH("Instaladas en Funcionamiento Caida",AK22)))</formula>
    </cfRule>
  </conditionalFormatting>
  <conditionalFormatting sqref="AK5:AR5">
    <cfRule type="cellIs" dxfId="524" priority="982" operator="lessThan">
      <formula>0.8</formula>
    </cfRule>
    <cfRule type="cellIs" dxfId="523" priority="983" operator="greaterThan">
      <formula>0.8</formula>
    </cfRule>
  </conditionalFormatting>
  <conditionalFormatting sqref="AK5:AR5">
    <cfRule type="notContainsText" dxfId="522" priority="980" operator="notContains" text="Caida">
      <formula>ISERROR(SEARCH("Caida",AK5))</formula>
    </cfRule>
    <cfRule type="containsText" dxfId="521" priority="981" operator="containsText" text="Caida">
      <formula>NOT(ISERROR(SEARCH("Caida",AK5)))</formula>
    </cfRule>
  </conditionalFormatting>
  <conditionalFormatting sqref="AK93:AP94">
    <cfRule type="cellIs" dxfId="520" priority="978" operator="lessThan">
      <formula>0.8</formula>
    </cfRule>
    <cfRule type="cellIs" dxfId="519" priority="979" operator="greaterThan">
      <formula>0.8</formula>
    </cfRule>
  </conditionalFormatting>
  <conditionalFormatting sqref="AK93:AP94">
    <cfRule type="notContainsText" dxfId="518" priority="976" operator="notContains" text="Caida">
      <formula>ISERROR(SEARCH("Caida",AK93))</formula>
    </cfRule>
    <cfRule type="containsText" dxfId="517" priority="977" operator="containsText" text="Caida">
      <formula>NOT(ISERROR(SEARCH("Caida",AK93)))</formula>
    </cfRule>
  </conditionalFormatting>
  <conditionalFormatting sqref="O247:O372 O5:X369 AK1:AR1 AK397:AR1048576 AK5:AR372 AA5:AH369 AJ5:AJ369">
    <cfRule type="cellIs" dxfId="516" priority="975" operator="equal">
      <formula>"APAGADO"</formula>
    </cfRule>
  </conditionalFormatting>
  <conditionalFormatting sqref="S6:S92 S96:S230">
    <cfRule type="cellIs" dxfId="515" priority="959" operator="lessThan">
      <formula>0.8</formula>
    </cfRule>
    <cfRule type="cellIs" dxfId="514" priority="960" operator="greaterThan">
      <formula>0.8</formula>
    </cfRule>
  </conditionalFormatting>
  <conditionalFormatting sqref="S6:S92 S96:S230">
    <cfRule type="notContainsText" dxfId="513" priority="957" operator="notContains" text="Caida">
      <formula>ISERROR(SEARCH("Caida",S6))</formula>
    </cfRule>
    <cfRule type="containsText" dxfId="512" priority="958" operator="containsText" text="Caida">
      <formula>NOT(ISERROR(SEARCH("Caida",S6)))</formula>
    </cfRule>
  </conditionalFormatting>
  <conditionalFormatting sqref="S337:S366 S284:S334">
    <cfRule type="cellIs" dxfId="511" priority="955" operator="lessThan">
      <formula>0.8</formula>
    </cfRule>
    <cfRule type="cellIs" dxfId="510" priority="956" operator="greaterThan">
      <formula>0.8</formula>
    </cfRule>
  </conditionalFormatting>
  <conditionalFormatting sqref="S337:S366 S284:S334">
    <cfRule type="notContainsText" dxfId="509" priority="953" operator="notContains" text="Caida">
      <formula>ISERROR(SEARCH("Caida",S284))</formula>
    </cfRule>
    <cfRule type="containsText" dxfId="508" priority="954" operator="containsText" text="Caida">
      <formula>NOT(ISERROR(SEARCH("Caida",S284)))</formula>
    </cfRule>
  </conditionalFormatting>
  <conditionalFormatting sqref="S93:S95">
    <cfRule type="cellIs" dxfId="507" priority="951" operator="lessThan">
      <formula>0.8</formula>
    </cfRule>
    <cfRule type="cellIs" dxfId="506" priority="952" operator="greaterThan">
      <formula>0.8</formula>
    </cfRule>
  </conditionalFormatting>
  <conditionalFormatting sqref="S93:S95">
    <cfRule type="notContainsText" dxfId="505" priority="949" operator="notContains" text="Caida">
      <formula>ISERROR(SEARCH("Caida",S93))</formula>
    </cfRule>
    <cfRule type="containsText" dxfId="504" priority="950" operator="containsText" text="Caida">
      <formula>NOT(ISERROR(SEARCH("Caida",S93)))</formula>
    </cfRule>
  </conditionalFormatting>
  <conditionalFormatting sqref="T6:T92 T96:T230">
    <cfRule type="cellIs" dxfId="503" priority="947" operator="lessThan">
      <formula>0.8</formula>
    </cfRule>
    <cfRule type="cellIs" dxfId="502" priority="948" operator="greaterThan">
      <formula>0.8</formula>
    </cfRule>
  </conditionalFormatting>
  <conditionalFormatting sqref="T6:T92 T96:T230">
    <cfRule type="notContainsText" dxfId="501" priority="945" operator="notContains" text="Caida">
      <formula>ISERROR(SEARCH("Caida",T6))</formula>
    </cfRule>
    <cfRule type="containsText" dxfId="500" priority="946" operator="containsText" text="Caida">
      <formula>NOT(ISERROR(SEARCH("Caida",T6)))</formula>
    </cfRule>
  </conditionalFormatting>
  <conditionalFormatting sqref="T337:T366 T284:T334">
    <cfRule type="cellIs" dxfId="499" priority="943" operator="lessThan">
      <formula>0.8</formula>
    </cfRule>
    <cfRule type="cellIs" dxfId="498" priority="944" operator="greaterThan">
      <formula>0.8</formula>
    </cfRule>
  </conditionalFormatting>
  <conditionalFormatting sqref="T337:T366 T284:T334">
    <cfRule type="notContainsText" dxfId="497" priority="941" operator="notContains" text="Caida">
      <formula>ISERROR(SEARCH("Caida",T284))</formula>
    </cfRule>
    <cfRule type="containsText" dxfId="496" priority="942" operator="containsText" text="Caida">
      <formula>NOT(ISERROR(SEARCH("Caida",T284)))</formula>
    </cfRule>
  </conditionalFormatting>
  <conditionalFormatting sqref="T93:T95">
    <cfRule type="cellIs" dxfId="495" priority="939" operator="lessThan">
      <formula>0.8</formula>
    </cfRule>
    <cfRule type="cellIs" dxfId="494" priority="940" operator="greaterThan">
      <formula>0.8</formula>
    </cfRule>
  </conditionalFormatting>
  <conditionalFormatting sqref="T93:T95">
    <cfRule type="notContainsText" dxfId="493" priority="937" operator="notContains" text="Caida">
      <formula>ISERROR(SEARCH("Caida",T93))</formula>
    </cfRule>
    <cfRule type="containsText" dxfId="492" priority="938" operator="containsText" text="Caida">
      <formula>NOT(ISERROR(SEARCH("Caida",T93)))</formula>
    </cfRule>
  </conditionalFormatting>
  <conditionalFormatting sqref="F1:F372 F391:F1048576">
    <cfRule type="cellIs" dxfId="491" priority="866" operator="equal">
      <formula>"PTP A FO"</formula>
    </cfRule>
  </conditionalFormatting>
  <conditionalFormatting sqref="R371:T372">
    <cfRule type="cellIs" dxfId="490" priority="495" operator="lessThan">
      <formula>0.8</formula>
    </cfRule>
    <cfRule type="cellIs" dxfId="489" priority="496" operator="greaterThan">
      <formula>0.8</formula>
    </cfRule>
  </conditionalFormatting>
  <conditionalFormatting sqref="R371:T372">
    <cfRule type="notContainsText" dxfId="488" priority="493" operator="notContains" text="Caida">
      <formula>ISERROR(SEARCH("Caida",R371))</formula>
    </cfRule>
    <cfRule type="containsText" dxfId="487" priority="494" operator="containsText" text="Caida">
      <formula>NOT(ISERROR(SEARCH("Caida",R371)))</formula>
    </cfRule>
  </conditionalFormatting>
  <conditionalFormatting sqref="O6:O92">
    <cfRule type="cellIs" dxfId="486" priority="483" operator="lessThan">
      <formula>0.8</formula>
    </cfRule>
    <cfRule type="cellIs" dxfId="485" priority="484" operator="greaterThan">
      <formula>0.8</formula>
    </cfRule>
  </conditionalFormatting>
  <conditionalFormatting sqref="O6:O92">
    <cfRule type="notContainsText" dxfId="484" priority="481" operator="notContains" text="Caida">
      <formula>ISERROR(SEARCH("Caida",O6))</formula>
    </cfRule>
    <cfRule type="containsText" dxfId="483" priority="482" operator="containsText" text="Caida">
      <formula>NOT(ISERROR(SEARCH("Caida",O6)))</formula>
    </cfRule>
  </conditionalFormatting>
  <conditionalFormatting sqref="O22">
    <cfRule type="containsText" dxfId="482" priority="480" operator="containsText" text="Instaladas en Funcionamiento Caida">
      <formula>NOT(ISERROR(SEARCH("Instaladas en Funcionamiento Caida",O22)))</formula>
    </cfRule>
  </conditionalFormatting>
  <conditionalFormatting sqref="O5">
    <cfRule type="cellIs" dxfId="481" priority="478" operator="lessThan">
      <formula>0.8</formula>
    </cfRule>
    <cfRule type="cellIs" dxfId="480" priority="479" operator="greaterThan">
      <formula>0.8</formula>
    </cfRule>
  </conditionalFormatting>
  <conditionalFormatting sqref="O5">
    <cfRule type="notContainsText" dxfId="479" priority="476" operator="notContains" text="Caida">
      <formula>ISERROR(SEARCH("Caida",O5))</formula>
    </cfRule>
    <cfRule type="containsText" dxfId="478" priority="477" operator="containsText" text="Caida">
      <formula>NOT(ISERROR(SEARCH("Caida",O5)))</formula>
    </cfRule>
  </conditionalFormatting>
  <conditionalFormatting sqref="O93:O94">
    <cfRule type="cellIs" dxfId="477" priority="474" operator="lessThan">
      <formula>0.8</formula>
    </cfRule>
    <cfRule type="cellIs" dxfId="476" priority="475" operator="greaterThan">
      <formula>0.8</formula>
    </cfRule>
  </conditionalFormatting>
  <conditionalFormatting sqref="O93:O94">
    <cfRule type="notContainsText" dxfId="475" priority="472" operator="notContains" text="Caida">
      <formula>ISERROR(SEARCH("Caida",O93))</formula>
    </cfRule>
    <cfRule type="containsText" dxfId="474" priority="473" operator="containsText" text="Caida">
      <formula>NOT(ISERROR(SEARCH("Caida",O93)))</formula>
    </cfRule>
  </conditionalFormatting>
  <conditionalFormatting sqref="AR6:AR92">
    <cfRule type="cellIs" dxfId="473" priority="465" operator="lessThan">
      <formula>0.8</formula>
    </cfRule>
    <cfRule type="cellIs" dxfId="472" priority="466" operator="greaterThan">
      <formula>0.8</formula>
    </cfRule>
  </conditionalFormatting>
  <conditionalFormatting sqref="AR6:AR92">
    <cfRule type="notContainsText" dxfId="471" priority="463" operator="notContains" text="Caida">
      <formula>ISERROR(SEARCH("Caida",AR6))</formula>
    </cfRule>
    <cfRule type="containsText" dxfId="470" priority="464" operator="containsText" text="Caida">
      <formula>NOT(ISERROR(SEARCH("Caida",AR6)))</formula>
    </cfRule>
  </conditionalFormatting>
  <conditionalFormatting sqref="AR93:AR94">
    <cfRule type="cellIs" dxfId="469" priority="461" operator="lessThan">
      <formula>0.8</formula>
    </cfRule>
    <cfRule type="cellIs" dxfId="468" priority="462" operator="greaterThan">
      <formula>0.8</formula>
    </cfRule>
  </conditionalFormatting>
  <conditionalFormatting sqref="AR93:AR94">
    <cfRule type="notContainsText" dxfId="467" priority="459" operator="notContains" text="Caida">
      <formula>ISERROR(SEARCH("Caida",AR93))</formula>
    </cfRule>
    <cfRule type="containsText" dxfId="466" priority="460" operator="containsText" text="Caida">
      <formula>NOT(ISERROR(SEARCH("Caida",AR93)))</formula>
    </cfRule>
  </conditionalFormatting>
  <conditionalFormatting sqref="AA6:AF92">
    <cfRule type="cellIs" dxfId="465" priority="400" operator="lessThan">
      <formula>0.8</formula>
    </cfRule>
    <cfRule type="cellIs" dxfId="464" priority="401" operator="greaterThan">
      <formula>0.8</formula>
    </cfRule>
  </conditionalFormatting>
  <conditionalFormatting sqref="AA6:AF92">
    <cfRule type="notContainsText" dxfId="463" priority="398" operator="notContains" text="Caida">
      <formula>ISERROR(SEARCH("Caida",AA6))</formula>
    </cfRule>
    <cfRule type="containsText" dxfId="462" priority="399" operator="containsText" text="Caida">
      <formula>NOT(ISERROR(SEARCH("Caida",AA6)))</formula>
    </cfRule>
  </conditionalFormatting>
  <conditionalFormatting sqref="AA93:AF95">
    <cfRule type="cellIs" dxfId="461" priority="396" operator="lessThan">
      <formula>0.8</formula>
    </cfRule>
    <cfRule type="cellIs" dxfId="460" priority="397" operator="greaterThan">
      <formula>0.8</formula>
    </cfRule>
  </conditionalFormatting>
  <conditionalFormatting sqref="AA93:AF95">
    <cfRule type="notContainsText" dxfId="459" priority="394" operator="notContains" text="Caida">
      <formula>ISERROR(SEARCH("Caida",AA93))</formula>
    </cfRule>
    <cfRule type="containsText" dxfId="458" priority="395" operator="containsText" text="Caida">
      <formula>NOT(ISERROR(SEARCH("Caida",AA93)))</formula>
    </cfRule>
  </conditionalFormatting>
  <conditionalFormatting sqref="AF1 AF5:AF372 AF397:AF1048576 AF3">
    <cfRule type="cellIs" dxfId="457" priority="393" operator="equal">
      <formula>"apagado"</formula>
    </cfRule>
  </conditionalFormatting>
  <conditionalFormatting sqref="AE1 AE5:AE372 AE397:AE1048576 AE3">
    <cfRule type="cellIs" dxfId="456" priority="392" operator="equal">
      <formula>"apagado"</formula>
    </cfRule>
  </conditionalFormatting>
  <conditionalFormatting sqref="AD1 AD5:AD372 AD397:AD1048576 AD3">
    <cfRule type="cellIs" dxfId="455" priority="391" operator="equal">
      <formula>"apagado"</formula>
    </cfRule>
  </conditionalFormatting>
  <conditionalFormatting sqref="AC1 AC5:AC372 AC397:AC1048576 AC3">
    <cfRule type="cellIs" dxfId="454" priority="390" operator="equal">
      <formula>"apagado"</formula>
    </cfRule>
  </conditionalFormatting>
  <conditionalFormatting sqref="AB1 AB5:AB372 AB397:AB1048576 AB3">
    <cfRule type="cellIs" dxfId="453" priority="389" operator="equal">
      <formula>"apagado"</formula>
    </cfRule>
  </conditionalFormatting>
  <conditionalFormatting sqref="AA1 AA5:AA372 AA397:AA1048576 AA3">
    <cfRule type="cellIs" dxfId="452" priority="388" operator="equal">
      <formula>"apagado"</formula>
    </cfRule>
  </conditionalFormatting>
  <conditionalFormatting sqref="Z1 Z397:Z1048576 Z3">
    <cfRule type="cellIs" dxfId="451" priority="387" operator="equal">
      <formula>"apagado"</formula>
    </cfRule>
  </conditionalFormatting>
  <conditionalFormatting sqref="Y1 Y397:Y1048576 Y3">
    <cfRule type="cellIs" dxfId="450" priority="386" operator="equal">
      <formula>"apagado"</formula>
    </cfRule>
  </conditionalFormatting>
  <conditionalFormatting sqref="AG6:AG92">
    <cfRule type="cellIs" dxfId="449" priority="384" operator="lessThan">
      <formula>0.8</formula>
    </cfRule>
    <cfRule type="cellIs" dxfId="448" priority="385" operator="greaterThan">
      <formula>0.8</formula>
    </cfRule>
  </conditionalFormatting>
  <conditionalFormatting sqref="AG6:AG92">
    <cfRule type="notContainsText" dxfId="447" priority="382" operator="notContains" text="Caida">
      <formula>ISERROR(SEARCH("Caida",AG6))</formula>
    </cfRule>
    <cfRule type="containsText" dxfId="446" priority="383" operator="containsText" text="Caida">
      <formula>NOT(ISERROR(SEARCH("Caida",AG6)))</formula>
    </cfRule>
  </conditionalFormatting>
  <conditionalFormatting sqref="AG93:AG95">
    <cfRule type="cellIs" dxfId="445" priority="380" operator="lessThan">
      <formula>0.8</formula>
    </cfRule>
    <cfRule type="cellIs" dxfId="444" priority="381" operator="greaterThan">
      <formula>0.8</formula>
    </cfRule>
  </conditionalFormatting>
  <conditionalFormatting sqref="AG93:AG95">
    <cfRule type="notContainsText" dxfId="443" priority="378" operator="notContains" text="Caida">
      <formula>ISERROR(SEARCH("Caida",AG93))</formula>
    </cfRule>
    <cfRule type="containsText" dxfId="442" priority="379" operator="containsText" text="Caida">
      <formula>NOT(ISERROR(SEARCH("Caida",AG93)))</formula>
    </cfRule>
  </conditionalFormatting>
  <conditionalFormatting sqref="AG1 AG5:AG372 AG397:AG1048576 AG3">
    <cfRule type="cellIs" dxfId="441" priority="377" operator="equal">
      <formula>"apagado"</formula>
    </cfRule>
  </conditionalFormatting>
  <conditionalFormatting sqref="AH6:AH92">
    <cfRule type="cellIs" dxfId="440" priority="375" operator="lessThan">
      <formula>0.8</formula>
    </cfRule>
    <cfRule type="cellIs" dxfId="439" priority="376" operator="greaterThan">
      <formula>0.8</formula>
    </cfRule>
  </conditionalFormatting>
  <conditionalFormatting sqref="AH6:AH92">
    <cfRule type="notContainsText" dxfId="438" priority="373" operator="notContains" text="Caida">
      <formula>ISERROR(SEARCH("Caida",AH6))</formula>
    </cfRule>
    <cfRule type="containsText" dxfId="437" priority="374" operator="containsText" text="Caida">
      <formula>NOT(ISERROR(SEARCH("Caida",AH6)))</formula>
    </cfRule>
  </conditionalFormatting>
  <conditionalFormatting sqref="AH93:AH95">
    <cfRule type="cellIs" dxfId="436" priority="371" operator="lessThan">
      <formula>0.8</formula>
    </cfRule>
    <cfRule type="cellIs" dxfId="435" priority="372" operator="greaterThan">
      <formula>0.8</formula>
    </cfRule>
  </conditionalFormatting>
  <conditionalFormatting sqref="AH93:AH95">
    <cfRule type="notContainsText" dxfId="434" priority="369" operator="notContains" text="Caida">
      <formula>ISERROR(SEARCH("Caida",AH93))</formula>
    </cfRule>
    <cfRule type="containsText" dxfId="433" priority="370" operator="containsText" text="Caida">
      <formula>NOT(ISERROR(SEARCH("Caida",AH93)))</formula>
    </cfRule>
  </conditionalFormatting>
  <conditionalFormatting sqref="AH1 AH397:AH1048576 AH3 AH5:AH372">
    <cfRule type="cellIs" dxfId="432" priority="368" operator="equal">
      <formula>"apagado"</formula>
    </cfRule>
  </conditionalFormatting>
  <conditionalFormatting sqref="AI1 AI397:AI1048576 AI3">
    <cfRule type="cellIs" dxfId="431" priority="359" operator="equal">
      <formula>"apagado"</formula>
    </cfRule>
  </conditionalFormatting>
  <conditionalFormatting sqref="AJ6:AJ92">
    <cfRule type="cellIs" dxfId="430" priority="357" operator="lessThan">
      <formula>0.8</formula>
    </cfRule>
    <cfRule type="cellIs" dxfId="429" priority="358" operator="greaterThan">
      <formula>0.8</formula>
    </cfRule>
  </conditionalFormatting>
  <conditionalFormatting sqref="AJ6:AJ92">
    <cfRule type="notContainsText" dxfId="428" priority="355" operator="notContains" text="Caida">
      <formula>ISERROR(SEARCH("Caida",AJ6))</formula>
    </cfRule>
    <cfRule type="containsText" dxfId="427" priority="356" operator="containsText" text="Caida">
      <formula>NOT(ISERROR(SEARCH("Caida",AJ6)))</formula>
    </cfRule>
  </conditionalFormatting>
  <conditionalFormatting sqref="AJ93:AJ95">
    <cfRule type="cellIs" dxfId="426" priority="353" operator="lessThan">
      <formula>0.8</formula>
    </cfRule>
    <cfRule type="cellIs" dxfId="425" priority="354" operator="greaterThan">
      <formula>0.8</formula>
    </cfRule>
  </conditionalFormatting>
  <conditionalFormatting sqref="AJ93:AJ95">
    <cfRule type="notContainsText" dxfId="424" priority="351" operator="notContains" text="Caida">
      <formula>ISERROR(SEARCH("Caida",AJ93))</formula>
    </cfRule>
    <cfRule type="containsText" dxfId="423" priority="352" operator="containsText" text="Caida">
      <formula>NOT(ISERROR(SEARCH("Caida",AJ93)))</formula>
    </cfRule>
  </conditionalFormatting>
  <conditionalFormatting sqref="AJ1 AJ5:AJ372 AJ397:AJ1048576 AJ3">
    <cfRule type="cellIs" dxfId="422" priority="350" operator="equal">
      <formula>"apagado"</formula>
    </cfRule>
  </conditionalFormatting>
  <conditionalFormatting sqref="AQ95:AQ369">
    <cfRule type="cellIs" dxfId="421" priority="331" operator="lessThan">
      <formula>0.8</formula>
    </cfRule>
    <cfRule type="cellIs" dxfId="420" priority="332" operator="greaterThan">
      <formula>0.8</formula>
    </cfRule>
  </conditionalFormatting>
  <conditionalFormatting sqref="AQ95:AQ372 AQ397:AQ1048576">
    <cfRule type="notContainsText" dxfId="419" priority="329" operator="notContains" text="Caida">
      <formula>ISERROR(SEARCH("Caida",AQ95))</formula>
    </cfRule>
    <cfRule type="containsText" dxfId="418" priority="330" operator="containsText" text="Caida">
      <formula>NOT(ISERROR(SEARCH("Caida",AQ95)))</formula>
    </cfRule>
  </conditionalFormatting>
  <conditionalFormatting sqref="AQ6:AQ92">
    <cfRule type="cellIs" dxfId="417" priority="327" operator="lessThan">
      <formula>0.8</formula>
    </cfRule>
    <cfRule type="cellIs" dxfId="416" priority="328" operator="greaterThan">
      <formula>0.8</formula>
    </cfRule>
  </conditionalFormatting>
  <conditionalFormatting sqref="AQ6:AQ92">
    <cfRule type="notContainsText" dxfId="415" priority="325" operator="notContains" text="Caida">
      <formula>ISERROR(SEARCH("Caida",AQ6))</formula>
    </cfRule>
    <cfRule type="containsText" dxfId="414" priority="326" operator="containsText" text="Caida">
      <formula>NOT(ISERROR(SEARCH("Caida",AQ6)))</formula>
    </cfRule>
  </conditionalFormatting>
  <conditionalFormatting sqref="AQ93:AQ94">
    <cfRule type="cellIs" dxfId="413" priority="323" operator="lessThan">
      <formula>0.8</formula>
    </cfRule>
    <cfRule type="cellIs" dxfId="412" priority="324" operator="greaterThan">
      <formula>0.8</formula>
    </cfRule>
  </conditionalFormatting>
  <conditionalFormatting sqref="AQ93:AQ94">
    <cfRule type="notContainsText" dxfId="411" priority="321" operator="notContains" text="Caida">
      <formula>ISERROR(SEARCH("Caida",AQ93))</formula>
    </cfRule>
    <cfRule type="containsText" dxfId="410" priority="322" operator="containsText" text="Caida">
      <formula>NOT(ISERROR(SEARCH("Caida",AQ93)))</formula>
    </cfRule>
  </conditionalFormatting>
  <conditionalFormatting sqref="AQ10">
    <cfRule type="cellIs" dxfId="409" priority="316" operator="equal">
      <formula>"apagado"</formula>
    </cfRule>
    <cfRule type="cellIs" dxfId="408" priority="319" operator="lessThan">
      <formula>0.8</formula>
    </cfRule>
    <cfRule type="cellIs" dxfId="407" priority="320" operator="greaterThan">
      <formula>0.8</formula>
    </cfRule>
  </conditionalFormatting>
  <conditionalFormatting sqref="AQ10">
    <cfRule type="notContainsText" dxfId="406" priority="317" operator="notContains" text="Caida">
      <formula>ISERROR(SEARCH("Caida",AQ10))</formula>
    </cfRule>
    <cfRule type="containsText" dxfId="405" priority="318" operator="containsText" text="Caida">
      <formula>NOT(ISERROR(SEARCH("Caida",AQ10)))</formula>
    </cfRule>
  </conditionalFormatting>
  <conditionalFormatting sqref="AQ1 AQ5:AQ372 AQ397:AQ1048576 AQ3">
    <cfRule type="cellIs" dxfId="404" priority="315" operator="equal">
      <formula>"apagado"</formula>
    </cfRule>
  </conditionalFormatting>
  <conditionalFormatting sqref="O5:X372 AA5:AH372 AJ5:AR372">
    <cfRule type="cellIs" dxfId="403" priority="314" operator="equal">
      <formula>"APAGADO"</formula>
    </cfRule>
  </conditionalFormatting>
  <conditionalFormatting sqref="Y96:Y372">
    <cfRule type="cellIs" dxfId="402" priority="276" operator="lessThan">
      <formula>0.8</formula>
    </cfRule>
    <cfRule type="cellIs" dxfId="401" priority="277" operator="greaterThan">
      <formula>0.8</formula>
    </cfRule>
  </conditionalFormatting>
  <conditionalFormatting sqref="Y96:Y372">
    <cfRule type="notContainsText" dxfId="400" priority="274" operator="notContains" text="Caida">
      <formula>ISERROR(SEARCH("Caida",Y96))</formula>
    </cfRule>
    <cfRule type="containsText" dxfId="399" priority="275" operator="containsText" text="Caida">
      <formula>NOT(ISERROR(SEARCH("Caida",Y96)))</formula>
    </cfRule>
  </conditionalFormatting>
  <conditionalFormatting sqref="Y22">
    <cfRule type="containsText" dxfId="398" priority="273" operator="containsText" text="Instaladas en Funcionamiento Caida">
      <formula>NOT(ISERROR(SEARCH("Instaladas en Funcionamiento Caida",Y22)))</formula>
    </cfRule>
  </conditionalFormatting>
  <conditionalFormatting sqref="Y5">
    <cfRule type="cellIs" dxfId="397" priority="271" operator="lessThan">
      <formula>0.8</formula>
    </cfRule>
    <cfRule type="cellIs" dxfId="396" priority="272" operator="greaterThan">
      <formula>0.8</formula>
    </cfRule>
  </conditionalFormatting>
  <conditionalFormatting sqref="Y5">
    <cfRule type="notContainsText" dxfId="395" priority="269" operator="notContains" text="Caida">
      <formula>ISERROR(SEARCH("Caida",Y5))</formula>
    </cfRule>
    <cfRule type="containsText" dxfId="394" priority="270" operator="containsText" text="Caida">
      <formula>NOT(ISERROR(SEARCH("Caida",Y5)))</formula>
    </cfRule>
  </conditionalFormatting>
  <conditionalFormatting sqref="Y5:Y372">
    <cfRule type="cellIs" dxfId="393" priority="268" operator="equal">
      <formula>"APAGADO"</formula>
    </cfRule>
  </conditionalFormatting>
  <conditionalFormatting sqref="Y6:Y92">
    <cfRule type="cellIs" dxfId="392" priority="266" operator="lessThan">
      <formula>0.8</formula>
    </cfRule>
    <cfRule type="cellIs" dxfId="391" priority="267" operator="greaterThan">
      <formula>0.8</formula>
    </cfRule>
  </conditionalFormatting>
  <conditionalFormatting sqref="Y6:Y92">
    <cfRule type="notContainsText" dxfId="390" priority="264" operator="notContains" text="Caida">
      <formula>ISERROR(SEARCH("Caida",Y6))</formula>
    </cfRule>
    <cfRule type="containsText" dxfId="389" priority="265" operator="containsText" text="Caida">
      <formula>NOT(ISERROR(SEARCH("Caida",Y6)))</formula>
    </cfRule>
  </conditionalFormatting>
  <conditionalFormatting sqref="Y93:Y95">
    <cfRule type="cellIs" dxfId="388" priority="262" operator="lessThan">
      <formula>0.8</formula>
    </cfRule>
    <cfRule type="cellIs" dxfId="387" priority="263" operator="greaterThan">
      <formula>0.8</formula>
    </cfRule>
  </conditionalFormatting>
  <conditionalFormatting sqref="Y93:Y95">
    <cfRule type="notContainsText" dxfId="386" priority="260" operator="notContains" text="Caida">
      <formula>ISERROR(SEARCH("Caida",Y93))</formula>
    </cfRule>
    <cfRule type="containsText" dxfId="385" priority="261" operator="containsText" text="Caida">
      <formula>NOT(ISERROR(SEARCH("Caida",Y93)))</formula>
    </cfRule>
  </conditionalFormatting>
  <conditionalFormatting sqref="Y5:Y372">
    <cfRule type="cellIs" dxfId="384" priority="259" operator="equal">
      <formula>"apagado"</formula>
    </cfRule>
  </conditionalFormatting>
  <conditionalFormatting sqref="Z96:Z372">
    <cfRule type="cellIs" dxfId="383" priority="256" operator="lessThan">
      <formula>0.8</formula>
    </cfRule>
    <cfRule type="cellIs" dxfId="382" priority="257" operator="greaterThan">
      <formula>0.8</formula>
    </cfRule>
  </conditionalFormatting>
  <conditionalFormatting sqref="Z96:Z372">
    <cfRule type="notContainsText" dxfId="381" priority="254" operator="notContains" text="Caida">
      <formula>ISERROR(SEARCH("Caida",Z96))</formula>
    </cfRule>
    <cfRule type="containsText" dxfId="380" priority="255" operator="containsText" text="Caida">
      <formula>NOT(ISERROR(SEARCH("Caida",Z96)))</formula>
    </cfRule>
  </conditionalFormatting>
  <conditionalFormatting sqref="Z22">
    <cfRule type="containsText" dxfId="379" priority="253" operator="containsText" text="Instaladas en Funcionamiento Caida">
      <formula>NOT(ISERROR(SEARCH("Instaladas en Funcionamiento Caida",Z22)))</formula>
    </cfRule>
  </conditionalFormatting>
  <conditionalFormatting sqref="Z5">
    <cfRule type="cellIs" dxfId="378" priority="251" operator="lessThan">
      <formula>0.8</formula>
    </cfRule>
    <cfRule type="cellIs" dxfId="377" priority="252" operator="greaterThan">
      <formula>0.8</formula>
    </cfRule>
  </conditionalFormatting>
  <conditionalFormatting sqref="Z5">
    <cfRule type="notContainsText" dxfId="376" priority="249" operator="notContains" text="Caida">
      <formula>ISERROR(SEARCH("Caida",Z5))</formula>
    </cfRule>
    <cfRule type="containsText" dxfId="375" priority="250" operator="containsText" text="Caida">
      <formula>NOT(ISERROR(SEARCH("Caida",Z5)))</formula>
    </cfRule>
  </conditionalFormatting>
  <conditionalFormatting sqref="Z5:Z372">
    <cfRule type="cellIs" dxfId="374" priority="248" operator="equal">
      <formula>"APAGADO"</formula>
    </cfRule>
  </conditionalFormatting>
  <conditionalFormatting sqref="Z6:Z92">
    <cfRule type="cellIs" dxfId="373" priority="246" operator="lessThan">
      <formula>0.8</formula>
    </cfRule>
    <cfRule type="cellIs" dxfId="372" priority="247" operator="greaterThan">
      <formula>0.8</formula>
    </cfRule>
  </conditionalFormatting>
  <conditionalFormatting sqref="Z6:Z92">
    <cfRule type="notContainsText" dxfId="371" priority="244" operator="notContains" text="Caida">
      <formula>ISERROR(SEARCH("Caida",Z6))</formula>
    </cfRule>
    <cfRule type="containsText" dxfId="370" priority="245" operator="containsText" text="Caida">
      <formula>NOT(ISERROR(SEARCH("Caida",Z6)))</formula>
    </cfRule>
  </conditionalFormatting>
  <conditionalFormatting sqref="Z93:Z95">
    <cfRule type="cellIs" dxfId="369" priority="242" operator="lessThan">
      <formula>0.8</formula>
    </cfRule>
    <cfRule type="cellIs" dxfId="368" priority="243" operator="greaterThan">
      <formula>0.8</formula>
    </cfRule>
  </conditionalFormatting>
  <conditionalFormatting sqref="Z93:Z95">
    <cfRule type="notContainsText" dxfId="367" priority="240" operator="notContains" text="Caida">
      <formula>ISERROR(SEARCH("Caida",Z93))</formula>
    </cfRule>
    <cfRule type="containsText" dxfId="366" priority="241" operator="containsText" text="Caida">
      <formula>NOT(ISERROR(SEARCH("Caida",Z93)))</formula>
    </cfRule>
  </conditionalFormatting>
  <conditionalFormatting sqref="Z5:Z372">
    <cfRule type="cellIs" dxfId="365" priority="239" operator="equal">
      <formula>"apagado"</formula>
    </cfRule>
  </conditionalFormatting>
  <conditionalFormatting sqref="AH94">
    <cfRule type="cellIs" dxfId="364" priority="236" operator="lessThan">
      <formula>0.8</formula>
    </cfRule>
    <cfRule type="cellIs" dxfId="363" priority="237" operator="greaterThan">
      <formula>0.8</formula>
    </cfRule>
  </conditionalFormatting>
  <conditionalFormatting sqref="AH94">
    <cfRule type="notContainsText" dxfId="362" priority="234" operator="notContains" text="Caida">
      <formula>ISERROR(SEARCH("Caida",AH94))</formula>
    </cfRule>
    <cfRule type="containsText" dxfId="361" priority="235" operator="containsText" text="Caida">
      <formula>NOT(ISERROR(SEARCH("Caida",AH94)))</formula>
    </cfRule>
  </conditionalFormatting>
  <conditionalFormatting sqref="AH96">
    <cfRule type="cellIs" dxfId="360" priority="232" operator="lessThan">
      <formula>0.8</formula>
    </cfRule>
    <cfRule type="cellIs" dxfId="359" priority="233" operator="greaterThan">
      <formula>0.8</formula>
    </cfRule>
  </conditionalFormatting>
  <conditionalFormatting sqref="AH96">
    <cfRule type="notContainsText" dxfId="358" priority="230" operator="notContains" text="Caida">
      <formula>ISERROR(SEARCH("Caida",AH96))</formula>
    </cfRule>
    <cfRule type="containsText" dxfId="357" priority="231" operator="containsText" text="Caida">
      <formula>NOT(ISERROR(SEARCH("Caida",AH96)))</formula>
    </cfRule>
  </conditionalFormatting>
  <conditionalFormatting sqref="AH99">
    <cfRule type="cellIs" dxfId="356" priority="228" operator="lessThan">
      <formula>0.8</formula>
    </cfRule>
    <cfRule type="cellIs" dxfId="355" priority="229" operator="greaterThan">
      <formula>0.8</formula>
    </cfRule>
  </conditionalFormatting>
  <conditionalFormatting sqref="AH99">
    <cfRule type="notContainsText" dxfId="354" priority="226" operator="notContains" text="Caida">
      <formula>ISERROR(SEARCH("Caida",AH99))</formula>
    </cfRule>
    <cfRule type="containsText" dxfId="353" priority="227" operator="containsText" text="Caida">
      <formula>NOT(ISERROR(SEARCH("Caida",AH99)))</formula>
    </cfRule>
  </conditionalFormatting>
  <conditionalFormatting sqref="AH115">
    <cfRule type="cellIs" dxfId="352" priority="224" operator="lessThan">
      <formula>0.8</formula>
    </cfRule>
    <cfRule type="cellIs" dxfId="351" priority="225" operator="greaterThan">
      <formula>0.8</formula>
    </cfRule>
  </conditionalFormatting>
  <conditionalFormatting sqref="AH115">
    <cfRule type="notContainsText" dxfId="350" priority="222" operator="notContains" text="Caida">
      <formula>ISERROR(SEARCH("Caida",AH115))</formula>
    </cfRule>
    <cfRule type="containsText" dxfId="349" priority="223" operator="containsText" text="Caida">
      <formula>NOT(ISERROR(SEARCH("Caida",AH115)))</formula>
    </cfRule>
  </conditionalFormatting>
  <conditionalFormatting sqref="AH116">
    <cfRule type="cellIs" dxfId="348" priority="220" operator="lessThan">
      <formula>0.8</formula>
    </cfRule>
    <cfRule type="cellIs" dxfId="347" priority="221" operator="greaterThan">
      <formula>0.8</formula>
    </cfRule>
  </conditionalFormatting>
  <conditionalFormatting sqref="AH116">
    <cfRule type="notContainsText" dxfId="346" priority="218" operator="notContains" text="Caida">
      <formula>ISERROR(SEARCH("Caida",AH116))</formula>
    </cfRule>
    <cfRule type="containsText" dxfId="345" priority="219" operator="containsText" text="Caida">
      <formula>NOT(ISERROR(SEARCH("Caida",AH116)))</formula>
    </cfRule>
  </conditionalFormatting>
  <conditionalFormatting sqref="AH120">
    <cfRule type="cellIs" dxfId="344" priority="216" operator="lessThan">
      <formula>0.8</formula>
    </cfRule>
    <cfRule type="cellIs" dxfId="343" priority="217" operator="greaterThan">
      <formula>0.8</formula>
    </cfRule>
  </conditionalFormatting>
  <conditionalFormatting sqref="AH120">
    <cfRule type="notContainsText" dxfId="342" priority="214" operator="notContains" text="Caida">
      <formula>ISERROR(SEARCH("Caida",AH120))</formula>
    </cfRule>
    <cfRule type="containsText" dxfId="341" priority="215" operator="containsText" text="Caida">
      <formula>NOT(ISERROR(SEARCH("Caida",AH120)))</formula>
    </cfRule>
  </conditionalFormatting>
  <conditionalFormatting sqref="AH121">
    <cfRule type="cellIs" dxfId="340" priority="212" operator="lessThan">
      <formula>0.8</formula>
    </cfRule>
    <cfRule type="cellIs" dxfId="339" priority="213" operator="greaterThan">
      <formula>0.8</formula>
    </cfRule>
  </conditionalFormatting>
  <conditionalFormatting sqref="AH121">
    <cfRule type="notContainsText" dxfId="338" priority="210" operator="notContains" text="Caida">
      <formula>ISERROR(SEARCH("Caida",AH121))</formula>
    </cfRule>
    <cfRule type="containsText" dxfId="337" priority="211" operator="containsText" text="Caida">
      <formula>NOT(ISERROR(SEARCH("Caida",AH121)))</formula>
    </cfRule>
  </conditionalFormatting>
  <conditionalFormatting sqref="AH133">
    <cfRule type="cellIs" dxfId="336" priority="208" operator="lessThan">
      <formula>0.8</formula>
    </cfRule>
    <cfRule type="cellIs" dxfId="335" priority="209" operator="greaterThan">
      <formula>0.8</formula>
    </cfRule>
  </conditionalFormatting>
  <conditionalFormatting sqref="AH133">
    <cfRule type="notContainsText" dxfId="334" priority="206" operator="notContains" text="Caida">
      <formula>ISERROR(SEARCH("Caida",AH133))</formula>
    </cfRule>
    <cfRule type="containsText" dxfId="333" priority="207" operator="containsText" text="Caida">
      <formula>NOT(ISERROR(SEARCH("Caida",AH133)))</formula>
    </cfRule>
  </conditionalFormatting>
  <conditionalFormatting sqref="AH135">
    <cfRule type="cellIs" dxfId="332" priority="204" operator="lessThan">
      <formula>0.8</formula>
    </cfRule>
    <cfRule type="cellIs" dxfId="331" priority="205" operator="greaterThan">
      <formula>0.8</formula>
    </cfRule>
  </conditionalFormatting>
  <conditionalFormatting sqref="AH135">
    <cfRule type="notContainsText" dxfId="330" priority="202" operator="notContains" text="Caida">
      <formula>ISERROR(SEARCH("Caida",AH135))</formula>
    </cfRule>
    <cfRule type="containsText" dxfId="329" priority="203" operator="containsText" text="Caida">
      <formula>NOT(ISERROR(SEARCH("Caida",AH135)))</formula>
    </cfRule>
  </conditionalFormatting>
  <conditionalFormatting sqref="AH142">
    <cfRule type="cellIs" dxfId="328" priority="200" operator="lessThan">
      <formula>0.8</formula>
    </cfRule>
    <cfRule type="cellIs" dxfId="327" priority="201" operator="greaterThan">
      <formula>0.8</formula>
    </cfRule>
  </conditionalFormatting>
  <conditionalFormatting sqref="AH142">
    <cfRule type="notContainsText" dxfId="326" priority="198" operator="notContains" text="Caida">
      <formula>ISERROR(SEARCH("Caida",AH142))</formula>
    </cfRule>
    <cfRule type="containsText" dxfId="325" priority="199" operator="containsText" text="Caida">
      <formula>NOT(ISERROR(SEARCH("Caida",AH142)))</formula>
    </cfRule>
  </conditionalFormatting>
  <conditionalFormatting sqref="AH143">
    <cfRule type="cellIs" dxfId="324" priority="196" operator="lessThan">
      <formula>0.8</formula>
    </cfRule>
    <cfRule type="cellIs" dxfId="323" priority="197" operator="greaterThan">
      <formula>0.8</formula>
    </cfRule>
  </conditionalFormatting>
  <conditionalFormatting sqref="AH143">
    <cfRule type="notContainsText" dxfId="322" priority="194" operator="notContains" text="Caida">
      <formula>ISERROR(SEARCH("Caida",AH143))</formula>
    </cfRule>
    <cfRule type="containsText" dxfId="321" priority="195" operator="containsText" text="Caida">
      <formula>NOT(ISERROR(SEARCH("Caida",AH143)))</formula>
    </cfRule>
  </conditionalFormatting>
  <conditionalFormatting sqref="AH144">
    <cfRule type="cellIs" dxfId="320" priority="192" operator="lessThan">
      <formula>0.8</formula>
    </cfRule>
    <cfRule type="cellIs" dxfId="319" priority="193" operator="greaterThan">
      <formula>0.8</formula>
    </cfRule>
  </conditionalFormatting>
  <conditionalFormatting sqref="AH144">
    <cfRule type="notContainsText" dxfId="318" priority="190" operator="notContains" text="Caida">
      <formula>ISERROR(SEARCH("Caida",AH144))</formula>
    </cfRule>
    <cfRule type="containsText" dxfId="317" priority="191" operator="containsText" text="Caida">
      <formula>NOT(ISERROR(SEARCH("Caida",AH144)))</formula>
    </cfRule>
  </conditionalFormatting>
  <conditionalFormatting sqref="AH163">
    <cfRule type="cellIs" dxfId="316" priority="188" operator="lessThan">
      <formula>0.8</formula>
    </cfRule>
    <cfRule type="cellIs" dxfId="315" priority="189" operator="greaterThan">
      <formula>0.8</formula>
    </cfRule>
  </conditionalFormatting>
  <conditionalFormatting sqref="AH163">
    <cfRule type="notContainsText" dxfId="314" priority="186" operator="notContains" text="Caida">
      <formula>ISERROR(SEARCH("Caida",AH163))</formula>
    </cfRule>
    <cfRule type="containsText" dxfId="313" priority="187" operator="containsText" text="Caida">
      <formula>NOT(ISERROR(SEARCH("Caida",AH163)))</formula>
    </cfRule>
  </conditionalFormatting>
  <conditionalFormatting sqref="AH164">
    <cfRule type="cellIs" dxfId="312" priority="184" operator="lessThan">
      <formula>0.8</formula>
    </cfRule>
    <cfRule type="cellIs" dxfId="311" priority="185" operator="greaterThan">
      <formula>0.8</formula>
    </cfRule>
  </conditionalFormatting>
  <conditionalFormatting sqref="AH164">
    <cfRule type="notContainsText" dxfId="310" priority="182" operator="notContains" text="Caida">
      <formula>ISERROR(SEARCH("Caida",AH164))</formula>
    </cfRule>
    <cfRule type="containsText" dxfId="309" priority="183" operator="containsText" text="Caida">
      <formula>NOT(ISERROR(SEARCH("Caida",AH164)))</formula>
    </cfRule>
  </conditionalFormatting>
  <conditionalFormatting sqref="AH166">
    <cfRule type="cellIs" dxfId="308" priority="180" operator="lessThan">
      <formula>0.8</formula>
    </cfRule>
    <cfRule type="cellIs" dxfId="307" priority="181" operator="greaterThan">
      <formula>0.8</formula>
    </cfRule>
  </conditionalFormatting>
  <conditionalFormatting sqref="AH166">
    <cfRule type="notContainsText" dxfId="306" priority="178" operator="notContains" text="Caida">
      <formula>ISERROR(SEARCH("Caida",AH166))</formula>
    </cfRule>
    <cfRule type="containsText" dxfId="305" priority="179" operator="containsText" text="Caida">
      <formula>NOT(ISERROR(SEARCH("Caida",AH166)))</formula>
    </cfRule>
  </conditionalFormatting>
  <conditionalFormatting sqref="AH177">
    <cfRule type="cellIs" dxfId="304" priority="176" operator="lessThan">
      <formula>0.8</formula>
    </cfRule>
    <cfRule type="cellIs" dxfId="303" priority="177" operator="greaterThan">
      <formula>0.8</formula>
    </cfRule>
  </conditionalFormatting>
  <conditionalFormatting sqref="AH177">
    <cfRule type="notContainsText" dxfId="302" priority="174" operator="notContains" text="Caida">
      <formula>ISERROR(SEARCH("Caida",AH177))</formula>
    </cfRule>
    <cfRule type="containsText" dxfId="301" priority="175" operator="containsText" text="Caida">
      <formula>NOT(ISERROR(SEARCH("Caida",AH177)))</formula>
    </cfRule>
  </conditionalFormatting>
  <conditionalFormatting sqref="AH191">
    <cfRule type="cellIs" dxfId="300" priority="172" operator="lessThan">
      <formula>0.8</formula>
    </cfRule>
    <cfRule type="cellIs" dxfId="299" priority="173" operator="greaterThan">
      <formula>0.8</formula>
    </cfRule>
  </conditionalFormatting>
  <conditionalFormatting sqref="AH191">
    <cfRule type="notContainsText" dxfId="298" priority="170" operator="notContains" text="Caida">
      <formula>ISERROR(SEARCH("Caida",AH191))</formula>
    </cfRule>
    <cfRule type="containsText" dxfId="297" priority="171" operator="containsText" text="Caida">
      <formula>NOT(ISERROR(SEARCH("Caida",AH191)))</formula>
    </cfRule>
  </conditionalFormatting>
  <conditionalFormatting sqref="AH192">
    <cfRule type="cellIs" dxfId="296" priority="168" operator="lessThan">
      <formula>0.8</formula>
    </cfRule>
    <cfRule type="cellIs" dxfId="295" priority="169" operator="greaterThan">
      <formula>0.8</formula>
    </cfRule>
  </conditionalFormatting>
  <conditionalFormatting sqref="AH192">
    <cfRule type="notContainsText" dxfId="294" priority="166" operator="notContains" text="Caida">
      <formula>ISERROR(SEARCH("Caida",AH192))</formula>
    </cfRule>
    <cfRule type="containsText" dxfId="293" priority="167" operator="containsText" text="Caida">
      <formula>NOT(ISERROR(SEARCH("Caida",AH192)))</formula>
    </cfRule>
  </conditionalFormatting>
  <conditionalFormatting sqref="AH198">
    <cfRule type="cellIs" dxfId="292" priority="164" operator="lessThan">
      <formula>0.8</formula>
    </cfRule>
    <cfRule type="cellIs" dxfId="291" priority="165" operator="greaterThan">
      <formula>0.8</formula>
    </cfRule>
  </conditionalFormatting>
  <conditionalFormatting sqref="AH198">
    <cfRule type="notContainsText" dxfId="290" priority="162" operator="notContains" text="Caida">
      <formula>ISERROR(SEARCH("Caida",AH198))</formula>
    </cfRule>
    <cfRule type="containsText" dxfId="289" priority="163" operator="containsText" text="Caida">
      <formula>NOT(ISERROR(SEARCH("Caida",AH198)))</formula>
    </cfRule>
  </conditionalFormatting>
  <conditionalFormatting sqref="AH206">
    <cfRule type="cellIs" dxfId="288" priority="160" operator="lessThan">
      <formula>0.8</formula>
    </cfRule>
    <cfRule type="cellIs" dxfId="287" priority="161" operator="greaterThan">
      <formula>0.8</formula>
    </cfRule>
  </conditionalFormatting>
  <conditionalFormatting sqref="AH206">
    <cfRule type="notContainsText" dxfId="286" priority="158" operator="notContains" text="Caida">
      <formula>ISERROR(SEARCH("Caida",AH206))</formula>
    </cfRule>
    <cfRule type="containsText" dxfId="285" priority="159" operator="containsText" text="Caida">
      <formula>NOT(ISERROR(SEARCH("Caida",AH206)))</formula>
    </cfRule>
  </conditionalFormatting>
  <conditionalFormatting sqref="AH211">
    <cfRule type="cellIs" dxfId="284" priority="156" operator="lessThan">
      <formula>0.8</formula>
    </cfRule>
    <cfRule type="cellIs" dxfId="283" priority="157" operator="greaterThan">
      <formula>0.8</formula>
    </cfRule>
  </conditionalFormatting>
  <conditionalFormatting sqref="AH211">
    <cfRule type="notContainsText" dxfId="282" priority="154" operator="notContains" text="Caida">
      <formula>ISERROR(SEARCH("Caida",AH211))</formula>
    </cfRule>
    <cfRule type="containsText" dxfId="281" priority="155" operator="containsText" text="Caida">
      <formula>NOT(ISERROR(SEARCH("Caida",AH211)))</formula>
    </cfRule>
  </conditionalFormatting>
  <conditionalFormatting sqref="AH212">
    <cfRule type="cellIs" dxfId="280" priority="152" operator="lessThan">
      <formula>0.8</formula>
    </cfRule>
    <cfRule type="cellIs" dxfId="279" priority="153" operator="greaterThan">
      <formula>0.8</formula>
    </cfRule>
  </conditionalFormatting>
  <conditionalFormatting sqref="AH212">
    <cfRule type="notContainsText" dxfId="278" priority="150" operator="notContains" text="Caida">
      <formula>ISERROR(SEARCH("Caida",AH212))</formula>
    </cfRule>
    <cfRule type="containsText" dxfId="277" priority="151" operator="containsText" text="Caida">
      <formula>NOT(ISERROR(SEARCH("Caida",AH212)))</formula>
    </cfRule>
  </conditionalFormatting>
  <conditionalFormatting sqref="AH359">
    <cfRule type="cellIs" dxfId="276" priority="149" operator="equal">
      <formula>"apagado"</formula>
    </cfRule>
  </conditionalFormatting>
  <conditionalFormatting sqref="AH360">
    <cfRule type="cellIs" dxfId="275" priority="148" operator="equal">
      <formula>"apagado"</formula>
    </cfRule>
  </conditionalFormatting>
  <conditionalFormatting sqref="AH361">
    <cfRule type="cellIs" dxfId="274" priority="147" operator="equal">
      <formula>"apagado"</formula>
    </cfRule>
  </conditionalFormatting>
  <conditionalFormatting sqref="AH362">
    <cfRule type="cellIs" dxfId="273" priority="146" operator="equal">
      <formula>"apagado"</formula>
    </cfRule>
  </conditionalFormatting>
  <conditionalFormatting sqref="AH206">
    <cfRule type="cellIs" dxfId="272" priority="145" operator="equal">
      <formula>"apagado"</formula>
    </cfRule>
  </conditionalFormatting>
  <conditionalFormatting sqref="AH211">
    <cfRule type="cellIs" dxfId="271" priority="144" operator="equal">
      <formula>"apagado"</formula>
    </cfRule>
  </conditionalFormatting>
  <conditionalFormatting sqref="AH212">
    <cfRule type="cellIs" dxfId="270" priority="143" operator="equal">
      <formula>"apagado"</formula>
    </cfRule>
  </conditionalFormatting>
  <conditionalFormatting sqref="AH198">
    <cfRule type="cellIs" dxfId="269" priority="142" operator="equal">
      <formula>"apagado"</formula>
    </cfRule>
  </conditionalFormatting>
  <conditionalFormatting sqref="AH192">
    <cfRule type="cellIs" dxfId="268" priority="141" operator="equal">
      <formula>"apagado"</formula>
    </cfRule>
  </conditionalFormatting>
  <conditionalFormatting sqref="AH191">
    <cfRule type="cellIs" dxfId="267" priority="140" operator="equal">
      <formula>"apagado"</formula>
    </cfRule>
  </conditionalFormatting>
  <conditionalFormatting sqref="AH177">
    <cfRule type="cellIs" dxfId="266" priority="139" operator="equal">
      <formula>"apagado"</formula>
    </cfRule>
  </conditionalFormatting>
  <conditionalFormatting sqref="AH166">
    <cfRule type="cellIs" dxfId="265" priority="138" operator="equal">
      <formula>"apagado"</formula>
    </cfRule>
  </conditionalFormatting>
  <conditionalFormatting sqref="AH163">
    <cfRule type="cellIs" dxfId="264" priority="137" operator="equal">
      <formula>"apagado"</formula>
    </cfRule>
  </conditionalFormatting>
  <conditionalFormatting sqref="AH164">
    <cfRule type="cellIs" dxfId="263" priority="136" operator="equal">
      <formula>"apagado"</formula>
    </cfRule>
  </conditionalFormatting>
  <conditionalFormatting sqref="AH142">
    <cfRule type="cellIs" dxfId="262" priority="135" operator="equal">
      <formula>"apagado"</formula>
    </cfRule>
  </conditionalFormatting>
  <conditionalFormatting sqref="AH143">
    <cfRule type="cellIs" dxfId="261" priority="134" operator="equal">
      <formula>"apagado"</formula>
    </cfRule>
  </conditionalFormatting>
  <conditionalFormatting sqref="AH144">
    <cfRule type="cellIs" dxfId="260" priority="133" operator="equal">
      <formula>"apagado"</formula>
    </cfRule>
  </conditionalFormatting>
  <conditionalFormatting sqref="AH133">
    <cfRule type="cellIs" dxfId="259" priority="132" operator="equal">
      <formula>"apagado"</formula>
    </cfRule>
  </conditionalFormatting>
  <conditionalFormatting sqref="AH135">
    <cfRule type="cellIs" dxfId="258" priority="131" operator="equal">
      <formula>"apagado"</formula>
    </cfRule>
  </conditionalFormatting>
  <conditionalFormatting sqref="AH115">
    <cfRule type="cellIs" dxfId="257" priority="130" operator="equal">
      <formula>"apagado"</formula>
    </cfRule>
  </conditionalFormatting>
  <conditionalFormatting sqref="AH116">
    <cfRule type="cellIs" dxfId="256" priority="129" operator="equal">
      <formula>"apagado"</formula>
    </cfRule>
  </conditionalFormatting>
  <conditionalFormatting sqref="AH120">
    <cfRule type="cellIs" dxfId="255" priority="128" operator="equal">
      <formula>"apagado"</formula>
    </cfRule>
  </conditionalFormatting>
  <conditionalFormatting sqref="AH121">
    <cfRule type="cellIs" dxfId="254" priority="127" operator="equal">
      <formula>"apagado"</formula>
    </cfRule>
  </conditionalFormatting>
  <conditionalFormatting sqref="AH99">
    <cfRule type="cellIs" dxfId="253" priority="126" operator="equal">
      <formula>"apagado"</formula>
    </cfRule>
  </conditionalFormatting>
  <conditionalFormatting sqref="AH94">
    <cfRule type="cellIs" dxfId="252" priority="124" operator="lessThan">
      <formula>0.8</formula>
    </cfRule>
    <cfRule type="cellIs" dxfId="251" priority="125" operator="greaterThan">
      <formula>0.8</formula>
    </cfRule>
  </conditionalFormatting>
  <conditionalFormatting sqref="AH94">
    <cfRule type="notContainsText" dxfId="250" priority="122" operator="notContains" text="Caida">
      <formula>ISERROR(SEARCH("Caida",AH94))</formula>
    </cfRule>
    <cfRule type="containsText" dxfId="249" priority="123" operator="containsText" text="Caida">
      <formula>NOT(ISERROR(SEARCH("Caida",AH94)))</formula>
    </cfRule>
  </conditionalFormatting>
  <conditionalFormatting sqref="AH94">
    <cfRule type="cellIs" dxfId="248" priority="121" operator="equal">
      <formula>"apagado"</formula>
    </cfRule>
  </conditionalFormatting>
  <conditionalFormatting sqref="AH96">
    <cfRule type="cellIs" dxfId="247" priority="120" operator="equal">
      <formula>"apagado"</formula>
    </cfRule>
  </conditionalFormatting>
  <conditionalFormatting sqref="V373:X396 AA373:AH396 N373:N396 AJ373:AJ396">
    <cfRule type="cellIs" dxfId="246" priority="104" operator="lessThan">
      <formula>0.8</formula>
    </cfRule>
    <cfRule type="cellIs" dxfId="245" priority="105" operator="greaterThan">
      <formula>0.8</formula>
    </cfRule>
  </conditionalFormatting>
  <conditionalFormatting sqref="E373:K379">
    <cfRule type="containsText" dxfId="244" priority="103" operator="containsText" text="Radio">
      <formula>NOT(ISERROR(SEARCH("Radio",E373)))</formula>
    </cfRule>
  </conditionalFormatting>
  <conditionalFormatting sqref="O373:O396 V373:X396 AA373:AH396 AR373:AR396 AJ373:AP396">
    <cfRule type="notContainsText" dxfId="243" priority="101" operator="notContains" text="Caida">
      <formula>ISERROR(SEARCH("Caida",O373))</formula>
    </cfRule>
    <cfRule type="containsText" dxfId="242" priority="102" operator="containsText" text="Caida">
      <formula>NOT(ISERROR(SEARCH("Caida",O373)))</formula>
    </cfRule>
  </conditionalFormatting>
  <conditionalFormatting sqref="P373:P396">
    <cfRule type="cellIs" dxfId="241" priority="99" operator="lessThan">
      <formula>0.8</formula>
    </cfRule>
    <cfRule type="cellIs" dxfId="240" priority="100" operator="greaterThan">
      <formula>0.8</formula>
    </cfRule>
  </conditionalFormatting>
  <conditionalFormatting sqref="P373:P396">
    <cfRule type="notContainsText" dxfId="239" priority="97" operator="notContains" text="Caida">
      <formula>ISERROR(SEARCH("Caida",P373))</formula>
    </cfRule>
    <cfRule type="containsText" dxfId="238" priority="98" operator="containsText" text="Caida">
      <formula>NOT(ISERROR(SEARCH("Caida",P373)))</formula>
    </cfRule>
  </conditionalFormatting>
  <conditionalFormatting sqref="Q373:Q396">
    <cfRule type="cellIs" dxfId="237" priority="95" operator="lessThan">
      <formula>0.8</formula>
    </cfRule>
    <cfRule type="cellIs" dxfId="236" priority="96" operator="greaterThan">
      <formula>0.8</formula>
    </cfRule>
  </conditionalFormatting>
  <conditionalFormatting sqref="Q373:Q396">
    <cfRule type="notContainsText" dxfId="235" priority="93" operator="notContains" text="Caida">
      <formula>ISERROR(SEARCH("Caida",Q373))</formula>
    </cfRule>
    <cfRule type="containsText" dxfId="234" priority="94" operator="containsText" text="Caida">
      <formula>NOT(ISERROR(SEARCH("Caida",Q373)))</formula>
    </cfRule>
  </conditionalFormatting>
  <conditionalFormatting sqref="U373:U396">
    <cfRule type="cellIs" dxfId="233" priority="91" operator="lessThan">
      <formula>0.8</formula>
    </cfRule>
    <cfRule type="cellIs" dxfId="232" priority="92" operator="greaterThan">
      <formula>0.8</formula>
    </cfRule>
  </conditionalFormatting>
  <conditionalFormatting sqref="U373:U396">
    <cfRule type="notContainsText" dxfId="231" priority="89" operator="notContains" text="Caida">
      <formula>ISERROR(SEARCH("Caida",U373))</formula>
    </cfRule>
    <cfRule type="containsText" dxfId="230" priority="90" operator="containsText" text="Caida">
      <formula>NOT(ISERROR(SEARCH("Caida",U373)))</formula>
    </cfRule>
  </conditionalFormatting>
  <conditionalFormatting sqref="E373:E379">
    <cfRule type="containsText" dxfId="229" priority="87" operator="containsText" text="fija">
      <formula>NOT(ISERROR(SEARCH("fija",E373)))</formula>
    </cfRule>
    <cfRule type="containsText" dxfId="228" priority="88" operator="containsText" text="domo">
      <formula>NOT(ISERROR(SEARCH("domo",E373)))</formula>
    </cfRule>
  </conditionalFormatting>
  <conditionalFormatting sqref="O373:O396 AK373:AR396">
    <cfRule type="cellIs" dxfId="227" priority="86" operator="equal">
      <formula>"APAGADO"</formula>
    </cfRule>
  </conditionalFormatting>
  <conditionalFormatting sqref="F373:F379">
    <cfRule type="cellIs" dxfId="226" priority="85" operator="equal">
      <formula>"PTP A FO"</formula>
    </cfRule>
  </conditionalFormatting>
  <conditionalFormatting sqref="R373:T396">
    <cfRule type="cellIs" dxfId="225" priority="83" operator="lessThan">
      <formula>0.8</formula>
    </cfRule>
    <cfRule type="cellIs" dxfId="224" priority="84" operator="greaterThan">
      <formula>0.8</formula>
    </cfRule>
  </conditionalFormatting>
  <conditionalFormatting sqref="R373:T396">
    <cfRule type="notContainsText" dxfId="223" priority="81" operator="notContains" text="Caida">
      <formula>ISERROR(SEARCH("Caida",R373))</formula>
    </cfRule>
    <cfRule type="containsText" dxfId="222" priority="82" operator="containsText" text="Caida">
      <formula>NOT(ISERROR(SEARCH("Caida",R373)))</formula>
    </cfRule>
  </conditionalFormatting>
  <conditionalFormatting sqref="AF373:AF396">
    <cfRule type="cellIs" dxfId="221" priority="80" operator="equal">
      <formula>"apagado"</formula>
    </cfRule>
  </conditionalFormatting>
  <conditionalFormatting sqref="AE373:AE396">
    <cfRule type="cellIs" dxfId="220" priority="79" operator="equal">
      <formula>"apagado"</formula>
    </cfRule>
  </conditionalFormatting>
  <conditionalFormatting sqref="AD373:AD396">
    <cfRule type="cellIs" dxfId="219" priority="78" operator="equal">
      <formula>"apagado"</formula>
    </cfRule>
  </conditionalFormatting>
  <conditionalFormatting sqref="AC373:AC396">
    <cfRule type="cellIs" dxfId="218" priority="77" operator="equal">
      <formula>"apagado"</formula>
    </cfRule>
  </conditionalFormatting>
  <conditionalFormatting sqref="AB373:AB396">
    <cfRule type="cellIs" dxfId="217" priority="76" operator="equal">
      <formula>"apagado"</formula>
    </cfRule>
  </conditionalFormatting>
  <conditionalFormatting sqref="AA373:AA396">
    <cfRule type="cellIs" dxfId="216" priority="75" operator="equal">
      <formula>"apagado"</formula>
    </cfRule>
  </conditionalFormatting>
  <conditionalFormatting sqref="AG373:AG396">
    <cfRule type="cellIs" dxfId="215" priority="74" operator="equal">
      <formula>"apagado"</formula>
    </cfRule>
  </conditionalFormatting>
  <conditionalFormatting sqref="AH373:AH396">
    <cfRule type="cellIs" dxfId="214" priority="73" operator="equal">
      <formula>"apagado"</formula>
    </cfRule>
  </conditionalFormatting>
  <conditionalFormatting sqref="AJ373:AJ396">
    <cfRule type="cellIs" dxfId="213" priority="71" operator="equal">
      <formula>"apagado"</formula>
    </cfRule>
  </conditionalFormatting>
  <conditionalFormatting sqref="AQ373:AQ396">
    <cfRule type="notContainsText" dxfId="212" priority="69" operator="notContains" text="Caida">
      <formula>ISERROR(SEARCH("Caida",AQ373))</formula>
    </cfRule>
    <cfRule type="containsText" dxfId="211" priority="70" operator="containsText" text="Caida">
      <formula>NOT(ISERROR(SEARCH("Caida",AQ373)))</formula>
    </cfRule>
  </conditionalFormatting>
  <conditionalFormatting sqref="AQ373:AQ396">
    <cfRule type="cellIs" dxfId="210" priority="68" operator="equal">
      <formula>"apagado"</formula>
    </cfRule>
  </conditionalFormatting>
  <conditionalFormatting sqref="O373:X396 AA373:AH396 AJ373:AR396">
    <cfRule type="cellIs" dxfId="209" priority="67" operator="equal">
      <formula>"APAGADO"</formula>
    </cfRule>
  </conditionalFormatting>
  <conditionalFormatting sqref="Y373:Y396">
    <cfRule type="cellIs" dxfId="208" priority="65" operator="lessThan">
      <formula>0.8</formula>
    </cfRule>
    <cfRule type="cellIs" dxfId="207" priority="66" operator="greaterThan">
      <formula>0.8</formula>
    </cfRule>
  </conditionalFormatting>
  <conditionalFormatting sqref="Y373:Y396">
    <cfRule type="notContainsText" dxfId="206" priority="63" operator="notContains" text="Caida">
      <formula>ISERROR(SEARCH("Caida",Y373))</formula>
    </cfRule>
    <cfRule type="containsText" dxfId="205" priority="64" operator="containsText" text="Caida">
      <formula>NOT(ISERROR(SEARCH("Caida",Y373)))</formula>
    </cfRule>
  </conditionalFormatting>
  <conditionalFormatting sqref="Y373:Y396">
    <cfRule type="cellIs" dxfId="204" priority="62" operator="equal">
      <formula>"APAGADO"</formula>
    </cfRule>
  </conditionalFormatting>
  <conditionalFormatting sqref="Y373:Y396">
    <cfRule type="cellIs" dxfId="203" priority="61" operator="equal">
      <formula>"apagado"</formula>
    </cfRule>
  </conditionalFormatting>
  <conditionalFormatting sqref="Z373:Z396">
    <cfRule type="cellIs" dxfId="202" priority="59" operator="lessThan">
      <formula>0.8</formula>
    </cfRule>
    <cfRule type="cellIs" dxfId="201" priority="60" operator="greaterThan">
      <formula>0.8</formula>
    </cfRule>
  </conditionalFormatting>
  <conditionalFormatting sqref="Z373:Z396">
    <cfRule type="notContainsText" dxfId="200" priority="57" operator="notContains" text="Caida">
      <formula>ISERROR(SEARCH("Caida",Z373))</formula>
    </cfRule>
    <cfRule type="containsText" dxfId="199" priority="58" operator="containsText" text="Caida">
      <formula>NOT(ISERROR(SEARCH("Caida",Z373)))</formula>
    </cfRule>
  </conditionalFormatting>
  <conditionalFormatting sqref="Z373:Z396">
    <cfRule type="cellIs" dxfId="198" priority="56" operator="equal">
      <formula>"APAGADO"</formula>
    </cfRule>
  </conditionalFormatting>
  <conditionalFormatting sqref="Z373:Z396">
    <cfRule type="cellIs" dxfId="197" priority="55" operator="equal">
      <formula>"apagado"</formula>
    </cfRule>
  </conditionalFormatting>
  <conditionalFormatting sqref="AS95:AS369">
    <cfRule type="cellIs" dxfId="196" priority="53" operator="lessThan">
      <formula>0.8</formula>
    </cfRule>
    <cfRule type="cellIs" dxfId="195" priority="54" operator="greaterThan">
      <formula>0.8</formula>
    </cfRule>
  </conditionalFormatting>
  <conditionalFormatting sqref="AS95:AS372">
    <cfRule type="notContainsText" dxfId="194" priority="51" operator="notContains" text="Caida">
      <formula>ISERROR(SEARCH("Caida",AS95))</formula>
    </cfRule>
    <cfRule type="containsText" dxfId="193" priority="52" operator="containsText" text="Caida">
      <formula>NOT(ISERROR(SEARCH("Caida",AS95)))</formula>
    </cfRule>
  </conditionalFormatting>
  <conditionalFormatting sqref="AS22">
    <cfRule type="containsText" dxfId="192" priority="50" operator="containsText" text="Instaladas en Funcionamiento Caida">
      <formula>NOT(ISERROR(SEARCH("Instaladas en Funcionamiento Caida",AS22)))</formula>
    </cfRule>
  </conditionalFormatting>
  <conditionalFormatting sqref="AS5">
    <cfRule type="cellIs" dxfId="191" priority="48" operator="lessThan">
      <formula>0.8</formula>
    </cfRule>
    <cfRule type="cellIs" dxfId="190" priority="49" operator="greaterThan">
      <formula>0.8</formula>
    </cfRule>
  </conditionalFormatting>
  <conditionalFormatting sqref="AS5">
    <cfRule type="notContainsText" dxfId="189" priority="46" operator="notContains" text="Caida">
      <formula>ISERROR(SEARCH("Caida",AS5))</formula>
    </cfRule>
    <cfRule type="containsText" dxfId="188" priority="47" operator="containsText" text="Caida">
      <formula>NOT(ISERROR(SEARCH("Caida",AS5)))</formula>
    </cfRule>
  </conditionalFormatting>
  <conditionalFormatting sqref="AS1 AS5:AS372">
    <cfRule type="cellIs" dxfId="187" priority="45" operator="equal">
      <formula>"APAGADO"</formula>
    </cfRule>
  </conditionalFormatting>
  <conditionalFormatting sqref="AS6:AS92">
    <cfRule type="cellIs" dxfId="186" priority="43" operator="lessThan">
      <formula>0.8</formula>
    </cfRule>
    <cfRule type="cellIs" dxfId="185" priority="44" operator="greaterThan">
      <formula>0.8</formula>
    </cfRule>
  </conditionalFormatting>
  <conditionalFormatting sqref="AS6:AS92">
    <cfRule type="notContainsText" dxfId="184" priority="41" operator="notContains" text="Caida">
      <formula>ISERROR(SEARCH("Caida",AS6))</formula>
    </cfRule>
    <cfRule type="containsText" dxfId="183" priority="42" operator="containsText" text="Caida">
      <formula>NOT(ISERROR(SEARCH("Caida",AS6)))</formula>
    </cfRule>
  </conditionalFormatting>
  <conditionalFormatting sqref="AS93:AS94">
    <cfRule type="cellIs" dxfId="182" priority="39" operator="lessThan">
      <formula>0.8</formula>
    </cfRule>
    <cfRule type="cellIs" dxfId="181" priority="40" operator="greaterThan">
      <formula>0.8</formula>
    </cfRule>
  </conditionalFormatting>
  <conditionalFormatting sqref="AS93:AS94">
    <cfRule type="notContainsText" dxfId="180" priority="37" operator="notContains" text="Caida">
      <formula>ISERROR(SEARCH("Caida",AS93))</formula>
    </cfRule>
    <cfRule type="containsText" dxfId="179" priority="38" operator="containsText" text="Caida">
      <formula>NOT(ISERROR(SEARCH("Caida",AS93)))</formula>
    </cfRule>
  </conditionalFormatting>
  <conditionalFormatting sqref="AS5:AS372">
    <cfRule type="cellIs" dxfId="178" priority="36" operator="equal">
      <formula>"APAGADO"</formula>
    </cfRule>
  </conditionalFormatting>
  <conditionalFormatting sqref="AS373:AS396">
    <cfRule type="notContainsText" dxfId="177" priority="34" operator="notContains" text="Caida">
      <formula>ISERROR(SEARCH("Caida",AS373))</formula>
    </cfRule>
    <cfRule type="containsText" dxfId="176" priority="35" operator="containsText" text="Caida">
      <formula>NOT(ISERROR(SEARCH("Caida",AS373)))</formula>
    </cfRule>
  </conditionalFormatting>
  <conditionalFormatting sqref="AS373:AS396">
    <cfRule type="cellIs" dxfId="175" priority="33" operator="equal">
      <formula>"APAGADO"</formula>
    </cfRule>
  </conditionalFormatting>
  <conditionalFormatting sqref="AS373:AS396">
    <cfRule type="cellIs" dxfId="174" priority="32" operator="equal">
      <formula>"APAGADO"</formula>
    </cfRule>
  </conditionalFormatting>
  <conditionalFormatting sqref="F1:F1048576">
    <cfRule type="cellIs" dxfId="173" priority="31" operator="equal">
      <formula>"PTP A FO"</formula>
    </cfRule>
    <cfRule type="cellIs" dxfId="172" priority="30" operator="equal">
      <formula>$F$7</formula>
    </cfRule>
  </conditionalFormatting>
  <conditionalFormatting sqref="E1:E1048576">
    <cfRule type="cellIs" dxfId="171" priority="29" operator="equal">
      <formula>$E$5</formula>
    </cfRule>
  </conditionalFormatting>
  <conditionalFormatting sqref="C1:C1048576">
    <cfRule type="cellIs" dxfId="170" priority="28" operator="equal">
      <formula>$C$182</formula>
    </cfRule>
    <cfRule type="cellIs" dxfId="169" priority="27" operator="equal">
      <formula>$C$194</formula>
    </cfRule>
  </conditionalFormatting>
  <conditionalFormatting sqref="AI96:AI372">
    <cfRule type="cellIs" dxfId="168" priority="25" operator="lessThan">
      <formula>0.8</formula>
    </cfRule>
    <cfRule type="cellIs" dxfId="167" priority="26" operator="greaterThan">
      <formula>0.8</formula>
    </cfRule>
  </conditionalFormatting>
  <conditionalFormatting sqref="AI96:AI372">
    <cfRule type="notContainsText" dxfId="166" priority="23" operator="notContains" text="Caida">
      <formula>ISERROR(SEARCH("Caida",AI96))</formula>
    </cfRule>
    <cfRule type="containsText" dxfId="165" priority="24" operator="containsText" text="Caida">
      <formula>NOT(ISERROR(SEARCH("Caida",AI96)))</formula>
    </cfRule>
  </conditionalFormatting>
  <conditionalFormatting sqref="AI22">
    <cfRule type="containsText" dxfId="164" priority="22" operator="containsText" text="Instaladas en Funcionamiento Caida">
      <formula>NOT(ISERROR(SEARCH("Instaladas en Funcionamiento Caida",AI22)))</formula>
    </cfRule>
  </conditionalFormatting>
  <conditionalFormatting sqref="AI5">
    <cfRule type="cellIs" dxfId="163" priority="20" operator="lessThan">
      <formula>0.8</formula>
    </cfRule>
    <cfRule type="cellIs" dxfId="162" priority="21" operator="greaterThan">
      <formula>0.8</formula>
    </cfRule>
  </conditionalFormatting>
  <conditionalFormatting sqref="AI5">
    <cfRule type="notContainsText" dxfId="161" priority="18" operator="notContains" text="Caida">
      <formula>ISERROR(SEARCH("Caida",AI5))</formula>
    </cfRule>
    <cfRule type="containsText" dxfId="160" priority="19" operator="containsText" text="Caida">
      <formula>NOT(ISERROR(SEARCH("Caida",AI5)))</formula>
    </cfRule>
  </conditionalFormatting>
  <conditionalFormatting sqref="AI5:AI369">
    <cfRule type="cellIs" dxfId="159" priority="17" operator="equal">
      <formula>"APAGADO"</formula>
    </cfRule>
  </conditionalFormatting>
  <conditionalFormatting sqref="AI6:AI92">
    <cfRule type="cellIs" dxfId="158" priority="15" operator="lessThan">
      <formula>0.8</formula>
    </cfRule>
    <cfRule type="cellIs" dxfId="157" priority="16" operator="greaterThan">
      <formula>0.8</formula>
    </cfRule>
  </conditionalFormatting>
  <conditionalFormatting sqref="AI6:AI92">
    <cfRule type="notContainsText" dxfId="156" priority="13" operator="notContains" text="Caida">
      <formula>ISERROR(SEARCH("Caida",AI6))</formula>
    </cfRule>
    <cfRule type="containsText" dxfId="155" priority="14" operator="containsText" text="Caida">
      <formula>NOT(ISERROR(SEARCH("Caida",AI6)))</formula>
    </cfRule>
  </conditionalFormatting>
  <conditionalFormatting sqref="AI93:AI95">
    <cfRule type="cellIs" dxfId="154" priority="11" operator="lessThan">
      <formula>0.8</formula>
    </cfRule>
    <cfRule type="cellIs" dxfId="153" priority="12" operator="greaterThan">
      <formula>0.8</formula>
    </cfRule>
  </conditionalFormatting>
  <conditionalFormatting sqref="AI93:AI95">
    <cfRule type="notContainsText" dxfId="152" priority="9" operator="notContains" text="Caida">
      <formula>ISERROR(SEARCH("Caida",AI93))</formula>
    </cfRule>
    <cfRule type="containsText" dxfId="151" priority="10" operator="containsText" text="Caida">
      <formula>NOT(ISERROR(SEARCH("Caida",AI93)))</formula>
    </cfRule>
  </conditionalFormatting>
  <conditionalFormatting sqref="AI5:AI372">
    <cfRule type="cellIs" dxfId="150" priority="8" operator="equal">
      <formula>"apagado"</formula>
    </cfRule>
  </conditionalFormatting>
  <conditionalFormatting sqref="AI5:AI372">
    <cfRule type="cellIs" dxfId="149" priority="7" operator="equal">
      <formula>"APAGADO"</formula>
    </cfRule>
  </conditionalFormatting>
  <conditionalFormatting sqref="AI373:AI396">
    <cfRule type="cellIs" dxfId="148" priority="5" operator="lessThan">
      <formula>0.8</formula>
    </cfRule>
    <cfRule type="cellIs" dxfId="147" priority="6" operator="greaterThan">
      <formula>0.8</formula>
    </cfRule>
  </conditionalFormatting>
  <conditionalFormatting sqref="AI373:AI396">
    <cfRule type="notContainsText" dxfId="146" priority="3" operator="notContains" text="Caida">
      <formula>ISERROR(SEARCH("Caida",AI373))</formula>
    </cfRule>
    <cfRule type="containsText" dxfId="145" priority="4" operator="containsText" text="Caida">
      <formula>NOT(ISERROR(SEARCH("Caida",AI373)))</formula>
    </cfRule>
  </conditionalFormatting>
  <conditionalFormatting sqref="AI373:AI396">
    <cfRule type="cellIs" dxfId="144" priority="2" operator="equal">
      <formula>"apagado"</formula>
    </cfRule>
  </conditionalFormatting>
  <conditionalFormatting sqref="AI373:AI396">
    <cfRule type="cellIs" dxfId="143" priority="1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I399"/>
  <sheetViews>
    <sheetView topLeftCell="A373" workbookViewId="0">
      <selection activeCell="A374" sqref="A374:S399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5" x14ac:dyDescent="0.25">
      <c r="A1" t="str">
        <f>'RESUMEN TOTAL'!A4</f>
        <v>Barrio</v>
      </c>
      <c r="B1" t="str">
        <f>'RESUMEN TOTAL'!B4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44774</v>
      </c>
      <c r="G1" s="25">
        <f>'RESUMEN TOTAL'!P4</f>
        <v>44775</v>
      </c>
      <c r="H1" s="25">
        <f>'RESUMEN TOTAL'!Q4</f>
        <v>44776</v>
      </c>
      <c r="I1" s="25">
        <f>'RESUMEN TOTAL'!R4</f>
        <v>44777</v>
      </c>
      <c r="J1" s="25">
        <f>'RESUMEN TOTAL'!S4</f>
        <v>44778</v>
      </c>
      <c r="K1" s="25">
        <f>'RESUMEN TOTAL'!T4</f>
        <v>44779</v>
      </c>
      <c r="L1" s="25">
        <f>'RESUMEN TOTAL'!U4</f>
        <v>44780</v>
      </c>
      <c r="M1" s="25">
        <f>'RESUMEN TOTAL'!V4</f>
        <v>44781</v>
      </c>
      <c r="N1" s="25">
        <f>'RESUMEN TOTAL'!W4</f>
        <v>44782</v>
      </c>
      <c r="O1" s="25">
        <f>'RESUMEN TOTAL'!X4</f>
        <v>44783</v>
      </c>
      <c r="P1" s="25">
        <f>'RESUMEN TOTAL'!Y4</f>
        <v>44784</v>
      </c>
      <c r="Q1" s="25">
        <f>'RESUMEN TOTAL'!Z4</f>
        <v>44785</v>
      </c>
      <c r="R1" s="25">
        <f>'RESUMEN TOTAL'!AA4</f>
        <v>44786</v>
      </c>
      <c r="S1" s="25">
        <f>'RESUMEN TOTAL'!AB4</f>
        <v>44787</v>
      </c>
      <c r="T1" s="25">
        <f>'RESUMEN TOTAL'!AC4</f>
        <v>44788</v>
      </c>
      <c r="U1" s="25">
        <f>'RESUMEN TOTAL'!AD4</f>
        <v>44789</v>
      </c>
      <c r="V1" s="25">
        <f>'RESUMEN TOTAL'!AE4</f>
        <v>44790</v>
      </c>
      <c r="W1" s="25">
        <f>'RESUMEN TOTAL'!AF4</f>
        <v>44791</v>
      </c>
      <c r="X1" s="25">
        <f>'RESUMEN TOTAL'!AG4</f>
        <v>44792</v>
      </c>
      <c r="Y1" s="25">
        <f>'RESUMEN TOTAL'!AH4</f>
        <v>44793</v>
      </c>
      <c r="Z1" s="25">
        <f>'RESUMEN TOTAL'!AI4</f>
        <v>44794</v>
      </c>
      <c r="AA1" s="25">
        <f>'RESUMEN TOTAL'!AJ4</f>
        <v>44795</v>
      </c>
      <c r="AB1" s="25">
        <f>'RESUMEN TOTAL'!AK4</f>
        <v>44796</v>
      </c>
      <c r="AC1" s="25">
        <f>'RESUMEN TOTAL'!AL4</f>
        <v>44797</v>
      </c>
      <c r="AD1" s="25">
        <f>'RESUMEN TOTAL'!AM4</f>
        <v>44798</v>
      </c>
      <c r="AE1" s="25">
        <f>'RESUMEN TOTAL'!AN4</f>
        <v>44799</v>
      </c>
      <c r="AF1" s="25">
        <f>'RESUMEN TOTAL'!AO4</f>
        <v>44800</v>
      </c>
      <c r="AG1" s="25">
        <f>'RESUMEN TOTAL'!AP4</f>
        <v>44801</v>
      </c>
      <c r="AH1" s="25">
        <f>'RESUMEN TOTAL'!AQ4</f>
        <v>44802</v>
      </c>
      <c r="AI1" s="25">
        <f>'RESUMEN TOTAL'!AR4</f>
        <v>44803</v>
      </c>
    </row>
    <row r="2" spans="1:35" x14ac:dyDescent="0.25">
      <c r="A2" t="str">
        <f>'RESUMEN TOTAL'!A5</f>
        <v>ALTAMIRA</v>
      </c>
      <c r="B2" t="str">
        <f>'RESUMEN TOTAL'!B5</f>
        <v>ALT 03</v>
      </c>
      <c r="C2" t="str">
        <f>'RESUMEN TOTAL'!D5</f>
        <v>Bombero Galarza y Necochea</v>
      </c>
      <c r="D2" t="str">
        <f>'RESUMEN TOTAL'!E5</f>
        <v>Domo</v>
      </c>
      <c r="E2" t="str">
        <f>'RESUMEN TOTAL'!F5</f>
        <v>FIBRA OPTICA</v>
      </c>
      <c r="F2">
        <f>'RESUMEN TOTAL'!O5</f>
        <v>0</v>
      </c>
      <c r="G2">
        <f>'RESUMEN TOTAL'!P5</f>
        <v>0</v>
      </c>
      <c r="H2">
        <f>'RESUMEN TOTAL'!Q5</f>
        <v>0</v>
      </c>
      <c r="I2">
        <f>'RESUMEN TOTAL'!R5</f>
        <v>0</v>
      </c>
      <c r="J2">
        <f>'RESUMEN TOTAL'!S5</f>
        <v>0</v>
      </c>
      <c r="K2" t="str">
        <f>'RESUMEN TOTAL'!T5</f>
        <v>APAGADO</v>
      </c>
      <c r="L2" t="str">
        <f>'RESUMEN TOTAL'!U5</f>
        <v>APAGADO</v>
      </c>
      <c r="M2">
        <f>'RESUMEN TOTAL'!V5</f>
        <v>0</v>
      </c>
      <c r="N2">
        <f>'RESUMEN TOTAL'!W5</f>
        <v>0</v>
      </c>
      <c r="O2">
        <f>'RESUMEN TOTAL'!X5</f>
        <v>0</v>
      </c>
      <c r="P2">
        <f>'RESUMEN TOTAL'!Y5</f>
        <v>0</v>
      </c>
      <c r="Q2">
        <f>'RESUMEN TOTAL'!Z5</f>
        <v>0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>
        <f>'RESUMEN TOTAL'!AE5</f>
        <v>0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>
        <f>'RESUMEN TOTAL'!AO5</f>
        <v>0</v>
      </c>
      <c r="AG2">
        <f>'RESUMEN TOTAL'!AP5</f>
        <v>0</v>
      </c>
      <c r="AH2">
        <f>'RESUMEN TOTAL'!AQ5</f>
        <v>0</v>
      </c>
      <c r="AI2">
        <f>'RESUMEN TOTAL'!AR5</f>
        <v>0</v>
      </c>
    </row>
    <row r="3" spans="1:35" x14ac:dyDescent="0.25">
      <c r="A3" t="str">
        <f>'RESUMEN TOTAL'!A6</f>
        <v>ALTAMIRA</v>
      </c>
      <c r="B3" t="str">
        <f>'RESUMEN TOTAL'!B6</f>
        <v>ALT 04</v>
      </c>
      <c r="C3" t="str">
        <f>'RESUMEN TOTAL'!D6</f>
        <v>Francia y Necochea</v>
      </c>
      <c r="D3" t="str">
        <f>'RESUMEN TOTAL'!E6</f>
        <v>Domo</v>
      </c>
      <c r="E3" t="str">
        <f>'RESUMEN TOTAL'!F6</f>
        <v>FIBRA OPTICA</v>
      </c>
      <c r="F3">
        <f>'RESUMEN TOTAL'!O6</f>
        <v>0</v>
      </c>
      <c r="G3">
        <f>'RESUMEN TOTAL'!P6</f>
        <v>0</v>
      </c>
      <c r="H3">
        <f>'RESUMEN TOTAL'!Q6</f>
        <v>0</v>
      </c>
      <c r="I3">
        <f>'RESUMEN TOTAL'!R6</f>
        <v>0</v>
      </c>
      <c r="J3">
        <f>'RESUMEN TOTAL'!S6</f>
        <v>0</v>
      </c>
      <c r="K3" t="str">
        <f>'RESUMEN TOTAL'!T6</f>
        <v>APAGADO</v>
      </c>
      <c r="L3" t="str">
        <f>'RESUMEN TOTAL'!U6</f>
        <v>APAGADO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>
        <f>'RESUMEN TOTAL'!Z6</f>
        <v>0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  <c r="AH3">
        <f>'RESUMEN TOTAL'!AQ6</f>
        <v>0</v>
      </c>
      <c r="AI3">
        <f>'RESUMEN TOTAL'!AR6</f>
        <v>0</v>
      </c>
    </row>
    <row r="4" spans="1:35" x14ac:dyDescent="0.25">
      <c r="A4" t="str">
        <f>'RESUMEN TOTAL'!A7</f>
        <v>ALTAMIRA</v>
      </c>
      <c r="B4" t="str">
        <f>'RESUMEN TOTAL'!B7</f>
        <v>ALT 06</v>
      </c>
      <c r="C4" t="str">
        <f>'RESUMEN TOTAL'!D7</f>
        <v>LOPE DE VEGA Y NECOCHEA</v>
      </c>
      <c r="D4" t="str">
        <f>'RESUMEN TOTAL'!E7</f>
        <v>Domo</v>
      </c>
      <c r="E4" t="str">
        <f>'RESUMEN TOTAL'!F7</f>
        <v>PTO A FO</v>
      </c>
      <c r="F4">
        <f>'RESUMEN TOTAL'!O7</f>
        <v>0</v>
      </c>
      <c r="G4">
        <f>'RESUMEN TOTAL'!P7</f>
        <v>0</v>
      </c>
      <c r="H4">
        <f>'RESUMEN TOTAL'!Q7</f>
        <v>0</v>
      </c>
      <c r="I4">
        <f>'RESUMEN TOTAL'!R7</f>
        <v>0</v>
      </c>
      <c r="J4">
        <f>'RESUMEN TOTAL'!S7</f>
        <v>0</v>
      </c>
      <c r="K4" t="str">
        <f>'RESUMEN TOTAL'!T7</f>
        <v>APAGADO</v>
      </c>
      <c r="L4" t="str">
        <f>'RESUMEN TOTAL'!U7</f>
        <v>APAGADO</v>
      </c>
      <c r="M4">
        <f>'RESUMEN TOTAL'!V7</f>
        <v>0</v>
      </c>
      <c r="N4">
        <f>'RESUMEN TOTAL'!W7</f>
        <v>0</v>
      </c>
      <c r="O4">
        <f>'RESUMEN TOTAL'!X7</f>
        <v>0</v>
      </c>
      <c r="P4">
        <f>'RESUMEN TOTAL'!Y7</f>
        <v>0</v>
      </c>
      <c r="Q4">
        <f>'RESUMEN TOTAL'!Z7</f>
        <v>0</v>
      </c>
      <c r="R4">
        <f>'RESUMEN TOTAL'!AA7</f>
        <v>0</v>
      </c>
      <c r="S4">
        <f>'RESUMEN TOTAL'!AB7</f>
        <v>0</v>
      </c>
      <c r="T4">
        <f>'RESUMEN TOTAL'!AC7</f>
        <v>0</v>
      </c>
      <c r="U4">
        <f>'RESUMEN TOTAL'!AD7</f>
        <v>0</v>
      </c>
      <c r="V4">
        <f>'RESUMEN TOTAL'!AE7</f>
        <v>0</v>
      </c>
      <c r="W4">
        <f>'RESUMEN TOTAL'!AF7</f>
        <v>0</v>
      </c>
      <c r="X4">
        <f>'RESUMEN TOTAL'!AG7</f>
        <v>0</v>
      </c>
      <c r="Y4">
        <f>'RESUMEN TOTAL'!AH7</f>
        <v>0</v>
      </c>
      <c r="Z4">
        <f>'RESUMEN TOTAL'!AI7</f>
        <v>0</v>
      </c>
      <c r="AA4">
        <f>'RESUMEN TOTAL'!AJ7</f>
        <v>0</v>
      </c>
      <c r="AB4">
        <f>'RESUMEN TOTAL'!AK7</f>
        <v>0</v>
      </c>
      <c r="AC4">
        <f>'RESUMEN TOTAL'!AL7</f>
        <v>0</v>
      </c>
      <c r="AD4">
        <f>'RESUMEN TOTAL'!AM7</f>
        <v>0</v>
      </c>
      <c r="AE4">
        <f>'RESUMEN TOTAL'!AN7</f>
        <v>0</v>
      </c>
      <c r="AF4">
        <f>'RESUMEN TOTAL'!AO7</f>
        <v>0</v>
      </c>
      <c r="AG4">
        <f>'RESUMEN TOTAL'!AP7</f>
        <v>0</v>
      </c>
      <c r="AH4">
        <f>'RESUMEN TOTAL'!AQ7</f>
        <v>0</v>
      </c>
      <c r="AI4">
        <f>'RESUMEN TOTAL'!AR7</f>
        <v>0</v>
      </c>
    </row>
    <row r="5" spans="1:35" x14ac:dyDescent="0.25">
      <c r="A5" t="str">
        <f>'RESUMEN TOTAL'!A8</f>
        <v>ALTAMIRA</v>
      </c>
      <c r="B5" t="str">
        <f>'RESUMEN TOTAL'!B8</f>
        <v>ALT 08</v>
      </c>
      <c r="C5" t="str">
        <f>'RESUMEN TOTAL'!D8</f>
        <v>HUMAITA Y NECOCHEA</v>
      </c>
      <c r="D5" t="str">
        <f>'RESUMEN TOTAL'!E8</f>
        <v>DOMO</v>
      </c>
      <c r="E5" t="str">
        <f>'RESUMEN TOTAL'!F8</f>
        <v>Fibra Optica</v>
      </c>
      <c r="F5">
        <f>'RESUMEN TOTAL'!O8</f>
        <v>0</v>
      </c>
      <c r="G5">
        <f>'RESUMEN TOTAL'!P8</f>
        <v>0</v>
      </c>
      <c r="H5">
        <f>'RESUMEN TOTAL'!Q8</f>
        <v>0</v>
      </c>
      <c r="I5">
        <f>'RESUMEN TOTAL'!R8</f>
        <v>0</v>
      </c>
      <c r="J5">
        <f>'RESUMEN TOTAL'!S8</f>
        <v>0</v>
      </c>
      <c r="K5" t="str">
        <f>'RESUMEN TOTAL'!T8</f>
        <v>APAGADO</v>
      </c>
      <c r="L5" t="str">
        <f>'RESUMEN TOTAL'!U8</f>
        <v>APAGADO</v>
      </c>
      <c r="M5">
        <f>'RESUMEN TOTAL'!V8</f>
        <v>0</v>
      </c>
      <c r="N5">
        <f>'RESUMEN TOTAL'!W8</f>
        <v>0</v>
      </c>
      <c r="O5">
        <f>'RESUMEN TOTAL'!X8</f>
        <v>0</v>
      </c>
      <c r="P5">
        <f>'RESUMEN TOTAL'!Y8</f>
        <v>0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  <c r="AH5">
        <f>'RESUMEN TOTAL'!AQ8</f>
        <v>0</v>
      </c>
      <c r="AI5">
        <f>'RESUMEN TOTAL'!AR8</f>
        <v>0</v>
      </c>
    </row>
    <row r="6" spans="1:35" x14ac:dyDescent="0.25">
      <c r="A6" t="str">
        <f>'RESUMEN TOTAL'!A9</f>
        <v>ALTAMIRA</v>
      </c>
      <c r="B6" t="str">
        <f>'RESUMEN TOTAL'!B9</f>
        <v>ALT 09</v>
      </c>
      <c r="C6" t="str">
        <f>'RESUMEN TOTAL'!D9</f>
        <v>NECOCHEA Y CURUPAITY</v>
      </c>
      <c r="D6" t="str">
        <f>'RESUMEN TOTAL'!E9</f>
        <v>DOMO</v>
      </c>
      <c r="E6" t="str">
        <f>'RESUMEN TOTAL'!F9</f>
        <v>Fibra Optica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 t="str">
        <f>'RESUMEN TOTAL'!T9</f>
        <v>APAGADO</v>
      </c>
      <c r="L6" t="str">
        <f>'RESUMEN TOTAL'!U9</f>
        <v>APAGADO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  <c r="AH6">
        <f>'RESUMEN TOTAL'!AQ9</f>
        <v>0</v>
      </c>
      <c r="AI6">
        <f>'RESUMEN TOTAL'!AR9</f>
        <v>0</v>
      </c>
    </row>
    <row r="7" spans="1:35" x14ac:dyDescent="0.25">
      <c r="A7" t="str">
        <f>'RESUMEN TOTAL'!A10</f>
        <v>ALTAMIRA</v>
      </c>
      <c r="B7" t="str">
        <f>'RESUMEN TOTAL'!B10</f>
        <v>ALT 10</v>
      </c>
      <c r="C7" t="str">
        <f>'RESUMEN TOTAL'!D10</f>
        <v>Calchaqui y Francia</v>
      </c>
      <c r="D7" t="str">
        <f>'RESUMEN TOTAL'!E10</f>
        <v>Domo</v>
      </c>
      <c r="E7" t="str">
        <f>'RESUMEN TOTAL'!F10</f>
        <v>Radio</v>
      </c>
      <c r="F7">
        <f>'RESUMEN TOTAL'!O10</f>
        <v>0</v>
      </c>
      <c r="G7">
        <f>'RESUMEN TOTAL'!P10</f>
        <v>0</v>
      </c>
      <c r="H7">
        <f>'RESUMEN TOTAL'!Q10</f>
        <v>0</v>
      </c>
      <c r="I7">
        <f>'RESUMEN TOTAL'!R10</f>
        <v>0</v>
      </c>
      <c r="J7">
        <f>'RESUMEN TOTAL'!S10</f>
        <v>0</v>
      </c>
      <c r="K7">
        <f>'RESUMEN TOTAL'!T10</f>
        <v>0</v>
      </c>
      <c r="L7">
        <f>'RESUMEN TOTAL'!U10</f>
        <v>0</v>
      </c>
      <c r="M7">
        <f>'RESUMEN TOTAL'!V10</f>
        <v>0</v>
      </c>
      <c r="N7">
        <f>'RESUMEN TOTAL'!W10</f>
        <v>0</v>
      </c>
      <c r="O7">
        <f>'RESUMEN TOTAL'!X10</f>
        <v>0</v>
      </c>
      <c r="P7">
        <f>'RESUMEN TOTAL'!Y10</f>
        <v>0</v>
      </c>
      <c r="Q7">
        <f>'RESUMEN TOTAL'!Z10</f>
        <v>0</v>
      </c>
      <c r="R7">
        <f>'RESUMEN TOTAL'!AA10</f>
        <v>0</v>
      </c>
      <c r="S7">
        <f>'RESUMEN TOTAL'!AB10</f>
        <v>0</v>
      </c>
      <c r="T7">
        <f>'RESUMEN TOTAL'!AC10</f>
        <v>0</v>
      </c>
      <c r="U7">
        <f>'RESUMEN TOTAL'!AD10</f>
        <v>0</v>
      </c>
      <c r="V7">
        <f>'RESUMEN TOTAL'!AE10</f>
        <v>0</v>
      </c>
      <c r="W7">
        <f>'RESUMEN TOTAL'!AF10</f>
        <v>0</v>
      </c>
      <c r="X7">
        <f>'RESUMEN TOTAL'!AG10</f>
        <v>0</v>
      </c>
      <c r="Y7">
        <f>'RESUMEN TOTAL'!AH10</f>
        <v>0</v>
      </c>
      <c r="Z7">
        <f>'RESUMEN TOTAL'!AI10</f>
        <v>0</v>
      </c>
      <c r="AA7">
        <f>'RESUMEN TOTAL'!AJ10</f>
        <v>0</v>
      </c>
      <c r="AB7">
        <f>'RESUMEN TOTAL'!AK10</f>
        <v>0</v>
      </c>
      <c r="AC7">
        <f>'RESUMEN TOTAL'!AL10</f>
        <v>0</v>
      </c>
      <c r="AD7">
        <f>'RESUMEN TOTAL'!AM10</f>
        <v>0</v>
      </c>
      <c r="AE7">
        <f>'RESUMEN TOTAL'!AN10</f>
        <v>0</v>
      </c>
      <c r="AF7">
        <f>'RESUMEN TOTAL'!AO10</f>
        <v>0</v>
      </c>
      <c r="AG7">
        <f>'RESUMEN TOTAL'!AP10</f>
        <v>0</v>
      </c>
      <c r="AH7">
        <f>'RESUMEN TOTAL'!AQ10</f>
        <v>0</v>
      </c>
      <c r="AI7">
        <f>'RESUMEN TOTAL'!AR10</f>
        <v>0</v>
      </c>
    </row>
    <row r="8" spans="1:35" x14ac:dyDescent="0.25">
      <c r="A8" t="str">
        <f>'RESUMEN TOTAL'!A11</f>
        <v>ALTAMIRA</v>
      </c>
      <c r="B8" t="str">
        <f>'RESUMEN TOTAL'!B11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>
        <f>'RESUMEN TOTAL'!O11</f>
        <v>0</v>
      </c>
      <c r="G8">
        <f>'RESUMEN TOTAL'!P11</f>
        <v>0</v>
      </c>
      <c r="H8">
        <f>'RESUMEN TOTAL'!Q11</f>
        <v>0</v>
      </c>
      <c r="I8">
        <f>'RESUMEN TOTAL'!R11</f>
        <v>0</v>
      </c>
      <c r="J8">
        <f>'RESUMEN TOTAL'!S11</f>
        <v>0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>
        <f>'RESUMEN TOTAL'!AA11</f>
        <v>0</v>
      </c>
      <c r="S8">
        <f>'RESUMEN TOTAL'!AB11</f>
        <v>0</v>
      </c>
      <c r="T8">
        <f>'RESUMEN TOTAL'!AC11</f>
        <v>0</v>
      </c>
      <c r="U8">
        <f>'RESUMEN TOTAL'!AD11</f>
        <v>0</v>
      </c>
      <c r="V8">
        <f>'RESUMEN TOTAL'!AE11</f>
        <v>0</v>
      </c>
      <c r="W8">
        <f>'RESUMEN TOTAL'!AF11</f>
        <v>0</v>
      </c>
      <c r="X8">
        <f>'RESUMEN TOTAL'!AG11</f>
        <v>0</v>
      </c>
      <c r="Y8">
        <f>'RESUMEN TOTAL'!AH11</f>
        <v>0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  <c r="AH8">
        <f>'RESUMEN TOTAL'!AQ11</f>
        <v>0</v>
      </c>
      <c r="AI8">
        <f>'RESUMEN TOTAL'!AR11</f>
        <v>0</v>
      </c>
    </row>
    <row r="9" spans="1:35" x14ac:dyDescent="0.25">
      <c r="A9" t="str">
        <f>'RESUMEN TOTAL'!A12</f>
        <v>ALTAMIRA</v>
      </c>
      <c r="B9" t="str">
        <f>'RESUMEN TOTAL'!B12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PTO A FO</v>
      </c>
      <c r="F9">
        <f>'RESUMEN TOTAL'!O12</f>
        <v>0</v>
      </c>
      <c r="G9">
        <f>'RESUMEN TOTAL'!P12</f>
        <v>0</v>
      </c>
      <c r="H9">
        <f>'RESUMEN TOTAL'!Q12</f>
        <v>0</v>
      </c>
      <c r="I9">
        <f>'RESUMEN TOTAL'!R12</f>
        <v>0</v>
      </c>
      <c r="J9">
        <f>'RESUMEN TOTAL'!S12</f>
        <v>0</v>
      </c>
      <c r="K9">
        <f>'RESUMEN TOTAL'!T12</f>
        <v>0</v>
      </c>
      <c r="L9">
        <f>'RESUMEN TOTAL'!U12</f>
        <v>0</v>
      </c>
      <c r="M9">
        <f>'RESUMEN TOTAL'!V12</f>
        <v>0</v>
      </c>
      <c r="N9">
        <f>'RESUMEN TOTAL'!W12</f>
        <v>0</v>
      </c>
      <c r="O9">
        <f>'RESUMEN TOTAL'!X12</f>
        <v>0</v>
      </c>
      <c r="P9">
        <f>'RESUMEN TOTAL'!Y12</f>
        <v>0</v>
      </c>
      <c r="Q9">
        <f>'RESUMEN TOTAL'!Z12</f>
        <v>0</v>
      </c>
      <c r="R9">
        <f>'RESUMEN TOTAL'!AA12</f>
        <v>0</v>
      </c>
      <c r="S9">
        <f>'RESUMEN TOTAL'!AB12</f>
        <v>0</v>
      </c>
      <c r="T9">
        <f>'RESUMEN TOTAL'!AC12</f>
        <v>0</v>
      </c>
      <c r="U9">
        <f>'RESUMEN TOTAL'!AD12</f>
        <v>0</v>
      </c>
      <c r="V9">
        <f>'RESUMEN TOTAL'!AE12</f>
        <v>0</v>
      </c>
      <c r="W9">
        <f>'RESUMEN TOTAL'!AF12</f>
        <v>0</v>
      </c>
      <c r="X9">
        <f>'RESUMEN TOTAL'!AG12</f>
        <v>0</v>
      </c>
      <c r="Y9">
        <f>'RESUMEN TOTAL'!AH12</f>
        <v>0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  <c r="AH9">
        <f>'RESUMEN TOTAL'!AQ12</f>
        <v>0</v>
      </c>
      <c r="AI9">
        <f>'RESUMEN TOTAL'!AR12</f>
        <v>0</v>
      </c>
    </row>
    <row r="10" spans="1:35" x14ac:dyDescent="0.25">
      <c r="A10" t="str">
        <f>'RESUMEN TOTAL'!A13</f>
        <v>ALTAMIRA</v>
      </c>
      <c r="B10" t="str">
        <f>'RESUMEN TOTAL'!B13</f>
        <v>ALT05</v>
      </c>
      <c r="C10" t="str">
        <f>'RESUMEN TOTAL'!D13</f>
        <v>Av. Calchaqui y Bombero Galarza</v>
      </c>
      <c r="D10" t="str">
        <f>'RESUMEN TOTAL'!E13</f>
        <v>Domo</v>
      </c>
      <c r="E10" t="str">
        <f>'RESUMEN TOTAL'!F13</f>
        <v>PTO A FO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>
        <f>'RESUMEN TOTAL'!U13</f>
        <v>0</v>
      </c>
      <c r="M10">
        <f>'RESUMEN TOTAL'!V13</f>
        <v>0</v>
      </c>
      <c r="N10">
        <f>'RESUMEN TOTAL'!W13</f>
        <v>0</v>
      </c>
      <c r="O10">
        <f>'RESUMEN TOTAL'!X13</f>
        <v>0</v>
      </c>
      <c r="P10">
        <f>'RESUMEN TOTAL'!Y13</f>
        <v>0</v>
      </c>
      <c r="Q10">
        <f>'RESUMEN TOTAL'!Z13</f>
        <v>0</v>
      </c>
      <c r="R10">
        <f>'RESUMEN TOTAL'!AA13</f>
        <v>0</v>
      </c>
      <c r="S10">
        <f>'RESUMEN TOTAL'!AB13</f>
        <v>0</v>
      </c>
      <c r="T10">
        <f>'RESUMEN TOTAL'!AC13</f>
        <v>0</v>
      </c>
      <c r="U10">
        <f>'RESUMEN TOTAL'!AD13</f>
        <v>0</v>
      </c>
      <c r="V10">
        <f>'RESUMEN TOTAL'!AE13</f>
        <v>0</v>
      </c>
      <c r="W10">
        <f>'RESUMEN TOTAL'!AF13</f>
        <v>0</v>
      </c>
      <c r="X10">
        <f>'RESUMEN TOTAL'!AG13</f>
        <v>0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>
        <f>'RESUMEN TOTAL'!AM13</f>
        <v>0</v>
      </c>
      <c r="AE10">
        <f>'RESUMEN TOTAL'!AN13</f>
        <v>0</v>
      </c>
      <c r="AF10">
        <f>'RESUMEN TOTAL'!AO13</f>
        <v>0</v>
      </c>
      <c r="AG10">
        <f>'RESUMEN TOTAL'!AP13</f>
        <v>0</v>
      </c>
      <c r="AH10">
        <f>'RESUMEN TOTAL'!AQ13</f>
        <v>0</v>
      </c>
      <c r="AI10">
        <f>'RESUMEN TOTAL'!AR13</f>
        <v>0</v>
      </c>
    </row>
    <row r="11" spans="1:35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t="str">
        <f>'RESUMEN TOTAL'!E14</f>
        <v>DOMO</v>
      </c>
      <c r="E11" t="str">
        <f>'RESUMEN TOTAL'!F14</f>
        <v>PTO A FO</v>
      </c>
      <c r="F11">
        <f>'RESUMEN TOTAL'!O14</f>
        <v>0</v>
      </c>
      <c r="G11">
        <f>'RESUMEN TOTAL'!P14</f>
        <v>0</v>
      </c>
      <c r="H11">
        <f>'RESUMEN TOTAL'!Q14</f>
        <v>0</v>
      </c>
      <c r="I11">
        <f>'RESUMEN TOTAL'!R14</f>
        <v>0</v>
      </c>
      <c r="J11">
        <f>'RESUMEN TOTAL'!S14</f>
        <v>0</v>
      </c>
      <c r="K11">
        <f>'RESUMEN TOTAL'!T14</f>
        <v>0</v>
      </c>
      <c r="L11">
        <f>'RESUMEN TOTAL'!U14</f>
        <v>0</v>
      </c>
      <c r="M11">
        <f>'RESUMEN TOTAL'!V14</f>
        <v>0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>
        <f>'RESUMEN TOTAL'!AB14</f>
        <v>0</v>
      </c>
      <c r="T11">
        <f>'RESUMEN TOTAL'!AC14</f>
        <v>0</v>
      </c>
      <c r="U11">
        <f>'RESUMEN TOTAL'!AD14</f>
        <v>0</v>
      </c>
      <c r="V11">
        <f>'RESUMEN TOTAL'!AE14</f>
        <v>0</v>
      </c>
      <c r="W11">
        <f>'RESUMEN TOTAL'!AF14</f>
        <v>0</v>
      </c>
      <c r="X11">
        <f>'RESUMEN TOTAL'!AG14</f>
        <v>0</v>
      </c>
      <c r="Y11">
        <f>'RESUMEN TOTAL'!AH14</f>
        <v>0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>
        <f>'RESUMEN TOTAL'!AM14</f>
        <v>0</v>
      </c>
      <c r="AE11">
        <f>'RESUMEN TOTAL'!AN14</f>
        <v>0</v>
      </c>
      <c r="AF11">
        <f>'RESUMEN TOTAL'!AO14</f>
        <v>0</v>
      </c>
      <c r="AG11">
        <f>'RESUMEN TOTAL'!AP14</f>
        <v>0</v>
      </c>
      <c r="AH11">
        <f>'RESUMEN TOTAL'!AQ14</f>
        <v>0</v>
      </c>
      <c r="AI11">
        <f>'RESUMEN TOTAL'!AR14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TOTAL'!O15</f>
        <v>0</v>
      </c>
      <c r="G12" t="str">
        <f>'RESUMEN TOTAL'!P15</f>
        <v>APAGADO</v>
      </c>
      <c r="H12">
        <f>'RESUMEN TOTAL'!Q15</f>
        <v>0</v>
      </c>
      <c r="I12">
        <f>'RESUMEN TOTAL'!R15</f>
        <v>0</v>
      </c>
      <c r="J12">
        <f>'RESUMEN TOTAL'!S15</f>
        <v>0</v>
      </c>
      <c r="K12" t="str">
        <f>'RESUMEN TOTAL'!T15</f>
        <v>APAGADO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>
        <f>'RESUMEN TOTAL'!AB15</f>
        <v>0</v>
      </c>
      <c r="T12">
        <f>'RESUMEN TOTAL'!AC15</f>
        <v>0</v>
      </c>
      <c r="U12">
        <f>'RESUMEN TOTAL'!AD15</f>
        <v>0</v>
      </c>
      <c r="V12">
        <f>'RESUMEN TOTAL'!AE15</f>
        <v>0</v>
      </c>
      <c r="W12">
        <f>'RESUMEN TOTAL'!AF15</f>
        <v>0</v>
      </c>
      <c r="X12">
        <f>'RESUMEN TOTAL'!AG15</f>
        <v>0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  <c r="AH12">
        <f>'RESUMEN TOTAL'!AQ15</f>
        <v>0</v>
      </c>
      <c r="AI12">
        <f>'RESUMEN TOTAL'!AR15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TOTAL'!O16</f>
        <v>0</v>
      </c>
      <c r="G13" t="str">
        <f>'RESUMEN TOTAL'!P16</f>
        <v>APAGADO</v>
      </c>
      <c r="H13">
        <f>'RESUMEN TOTAL'!Q16</f>
        <v>0</v>
      </c>
      <c r="I13">
        <f>'RESUMEN TOTAL'!R16</f>
        <v>0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>
        <f>'RESUMEN TOTAL'!AB16</f>
        <v>0</v>
      </c>
      <c r="T13">
        <f>'RESUMEN TOTAL'!AC16</f>
        <v>0</v>
      </c>
      <c r="U13">
        <f>'RESUMEN TOTAL'!AD16</f>
        <v>0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  <c r="AH13">
        <f>'RESUMEN TOTAL'!AQ16</f>
        <v>0</v>
      </c>
      <c r="AI13">
        <f>'RESUMEN TOTAL'!AR16</f>
        <v>0</v>
      </c>
    </row>
    <row r="14" spans="1:35" x14ac:dyDescent="0.25">
      <c r="A14" t="str">
        <f>'RESUMEN TOTAL'!A17</f>
        <v>CENTRO</v>
      </c>
      <c r="B14" t="str">
        <f>'RESUMEN TOTAL'!B17</f>
        <v>CEN 05</v>
      </c>
      <c r="C14" t="str">
        <f>'RESUMEN TOTAL'!D17</f>
        <v>Bocuzzi e/EspaÃ±a y San Martin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>
        <f>'RESUMEN TOTAL'!U17</f>
        <v>0</v>
      </c>
      <c r="M14">
        <f>'RESUMEN TOTAL'!V17</f>
        <v>0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>
        <f>'RESUMEN TOTAL'!AB17</f>
        <v>0</v>
      </c>
      <c r="T14">
        <f>'RESUMEN TOTAL'!AC17</f>
        <v>0</v>
      </c>
      <c r="U14">
        <f>'RESUMEN TOTAL'!AD17</f>
        <v>0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  <c r="AH14">
        <f>'RESUMEN TOTAL'!AQ17</f>
        <v>0</v>
      </c>
      <c r="AI14">
        <f>'RESUMEN TOTAL'!AR17</f>
        <v>0</v>
      </c>
    </row>
    <row r="15" spans="1:35" x14ac:dyDescent="0.25">
      <c r="A15" t="str">
        <f>'RESUMEN TOTAL'!A18</f>
        <v>CENTRO</v>
      </c>
      <c r="B15" t="str">
        <f>'RESUMEN TOTAL'!B18</f>
        <v>CEN 12</v>
      </c>
      <c r="C15" t="str">
        <f>'RESUMEN TOTAL'!D18</f>
        <v>Monteagudo y Mitre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>
        <f>'RESUMEN TOTAL'!U18</f>
        <v>0</v>
      </c>
      <c r="M15">
        <f>'RESUMEN TOTAL'!V18</f>
        <v>0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>
        <f>'RESUMEN TOTAL'!AB18</f>
        <v>0</v>
      </c>
      <c r="T15">
        <f>'RESUMEN TOTAL'!AC18</f>
        <v>0</v>
      </c>
      <c r="U15">
        <f>'RESUMEN TOTAL'!AD18</f>
        <v>0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  <c r="AH15">
        <f>'RESUMEN TOTAL'!AQ18</f>
        <v>0</v>
      </c>
      <c r="AI15">
        <f>'RESUMEN TOTAL'!AR18</f>
        <v>0</v>
      </c>
    </row>
    <row r="16" spans="1:35" x14ac:dyDescent="0.25">
      <c r="A16" t="str">
        <f>'RESUMEN TOTAL'!A19</f>
        <v>CENTRO</v>
      </c>
      <c r="B16" t="str">
        <f>'RESUMEN TOTAL'!B19</f>
        <v>CEN 13</v>
      </c>
      <c r="C16" t="str">
        <f>'RESUMEN TOTAL'!D19</f>
        <v>25 de Mayo y Maipu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>
        <f>'RESUMEN TOTAL'!P19</f>
        <v>0</v>
      </c>
      <c r="H16">
        <f>'RESUMEN TOTAL'!Q19</f>
        <v>0</v>
      </c>
      <c r="I16">
        <f>'RESUMEN TOTAL'!R19</f>
        <v>0</v>
      </c>
      <c r="J16">
        <f>'RESUMEN TOTAL'!S19</f>
        <v>0</v>
      </c>
      <c r="K16">
        <f>'RESUMEN TOTAL'!T19</f>
        <v>0</v>
      </c>
      <c r="L16">
        <f>'RESUMEN TOTAL'!U19</f>
        <v>0</v>
      </c>
      <c r="M16">
        <f>'RESUMEN TOTAL'!V19</f>
        <v>0</v>
      </c>
      <c r="N16">
        <f>'RESUMEN TOTAL'!W19</f>
        <v>0</v>
      </c>
      <c r="O16">
        <f>'RESUMEN TOTAL'!X19</f>
        <v>0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>
        <f>'RESUMEN TOTAL'!AG19</f>
        <v>0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>
        <f>'RESUMEN TOTAL'!AN19</f>
        <v>0</v>
      </c>
      <c r="AF16">
        <f>'RESUMEN TOTAL'!AO19</f>
        <v>0</v>
      </c>
      <c r="AG16">
        <f>'RESUMEN TOTAL'!AP19</f>
        <v>0</v>
      </c>
      <c r="AH16">
        <f>'RESUMEN TOTAL'!AQ19</f>
        <v>0</v>
      </c>
      <c r="AI16">
        <f>'RESUMEN TOTAL'!AR19</f>
        <v>0</v>
      </c>
    </row>
    <row r="17" spans="1:35" x14ac:dyDescent="0.25">
      <c r="A17" t="str">
        <f>'RESUMEN TOTAL'!A20</f>
        <v>CENTRO</v>
      </c>
      <c r="B17" t="str">
        <f>'RESUMEN TOTAL'!B20</f>
        <v>CEN 37</v>
      </c>
      <c r="C17" t="str">
        <f>'RESUMEN TOTAL'!D20</f>
        <v>Diagonal Granaderos y Monteagudo</v>
      </c>
      <c r="D17" t="str">
        <f>'RESUMEN TOTAL'!E20</f>
        <v>Domo</v>
      </c>
      <c r="E17" t="str">
        <f>'RESUMEN TOTAL'!F20</f>
        <v>Fibra Optica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>
        <f>'RESUMEN TOTAL'!AB20</f>
        <v>0</v>
      </c>
      <c r="T17">
        <f>'RESUMEN TOTAL'!AC20</f>
        <v>0</v>
      </c>
      <c r="U17">
        <f>'RESUMEN TOTAL'!AD20</f>
        <v>0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  <c r="AH17">
        <f>'RESUMEN TOTAL'!AQ20</f>
        <v>0</v>
      </c>
      <c r="AI17">
        <f>'RESUMEN TOTAL'!AR20</f>
        <v>0</v>
      </c>
    </row>
    <row r="18" spans="1:35" x14ac:dyDescent="0.25">
      <c r="A18" t="str">
        <f>'RESUMEN TOTAL'!A21</f>
        <v>CENTRO</v>
      </c>
      <c r="B18" t="str">
        <f>'RESUMEN TOTAL'!B21</f>
        <v>CEN 50</v>
      </c>
      <c r="C18" t="str">
        <f>'RESUMEN TOTAL'!D21</f>
        <v>Av. San Martin y Newbery</v>
      </c>
      <c r="D18" t="str">
        <f>'RESUMEN TOTAL'!E21</f>
        <v>Domo</v>
      </c>
      <c r="E18" t="str">
        <f>'RESUMEN TOTAL'!F21</f>
        <v>Radio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>
        <f>'RESUMEN TOTAL'!U21</f>
        <v>0</v>
      </c>
      <c r="M18">
        <f>'RESUMEN TOTAL'!V21</f>
        <v>0</v>
      </c>
      <c r="N18">
        <f>'RESUMEN TOTAL'!W21</f>
        <v>0</v>
      </c>
      <c r="O18">
        <f>'RESUMEN TOTAL'!X21</f>
        <v>0</v>
      </c>
      <c r="P18">
        <f>'RESUMEN TOTAL'!Y21</f>
        <v>0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>
        <f>'RESUMEN TOTAL'!AG21</f>
        <v>0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>
        <f>'RESUMEN TOTAL'!AM21</f>
        <v>0</v>
      </c>
      <c r="AE18">
        <f>'RESUMEN TOTAL'!AN21</f>
        <v>0</v>
      </c>
      <c r="AF18">
        <f>'RESUMEN TOTAL'!AO21</f>
        <v>0</v>
      </c>
      <c r="AG18">
        <f>'RESUMEN TOTAL'!AP21</f>
        <v>0</v>
      </c>
      <c r="AH18">
        <f>'RESUMEN TOTAL'!AQ21</f>
        <v>0</v>
      </c>
      <c r="AI18">
        <f>'RESUMEN TOTAL'!AR21</f>
        <v>0</v>
      </c>
    </row>
    <row r="19" spans="1:35" x14ac:dyDescent="0.25">
      <c r="A19" t="str">
        <f>'RESUMEN TOTAL'!A22</f>
        <v>CENTRO</v>
      </c>
      <c r="B19" t="str">
        <f>'RESUMEN TOTAL'!B22</f>
        <v>CEN 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>
        <f>'RESUMEN TOTAL'!O22</f>
        <v>0</v>
      </c>
      <c r="G19">
        <f>'RESUMEN TOTAL'!P22</f>
        <v>0</v>
      </c>
      <c r="H19">
        <f>'RESUMEN TOTAL'!Q22</f>
        <v>0</v>
      </c>
      <c r="I19">
        <f>'RESUMEN TOTAL'!R22</f>
        <v>0</v>
      </c>
      <c r="J19">
        <f>'RESUMEN TOTAL'!S22</f>
        <v>0</v>
      </c>
      <c r="K19">
        <f>'RESUMEN TOTAL'!T22</f>
        <v>0</v>
      </c>
      <c r="L19">
        <f>'RESUMEN TOTAL'!U22</f>
        <v>0</v>
      </c>
      <c r="M19">
        <f>'RESUMEN TOTAL'!V22</f>
        <v>0</v>
      </c>
      <c r="N19">
        <f>'RESUMEN TOTAL'!W22</f>
        <v>0</v>
      </c>
      <c r="O19">
        <f>'RESUMEN TOTAL'!X22</f>
        <v>0</v>
      </c>
      <c r="P19">
        <f>'RESUMEN TOTAL'!Y22</f>
        <v>0</v>
      </c>
      <c r="Q19">
        <f>'RESUMEN TOTAL'!Z22</f>
        <v>0</v>
      </c>
      <c r="R19">
        <f>'RESUMEN TOTAL'!AA22</f>
        <v>0</v>
      </c>
      <c r="S19">
        <f>'RESUMEN TOTAL'!AB22</f>
        <v>0</v>
      </c>
      <c r="T19">
        <f>'RESUMEN TOTAL'!AC22</f>
        <v>0</v>
      </c>
      <c r="U19">
        <f>'RESUMEN TOTAL'!AD22</f>
        <v>0</v>
      </c>
      <c r="V19">
        <f>'RESUMEN TOTAL'!AE22</f>
        <v>0</v>
      </c>
      <c r="W19">
        <f>'RESUMEN TOTAL'!AF22</f>
        <v>0</v>
      </c>
      <c r="X19">
        <f>'RESUMEN TOTAL'!AG22</f>
        <v>0</v>
      </c>
      <c r="Y19">
        <f>'RESUMEN TOTAL'!AH22</f>
        <v>0</v>
      </c>
      <c r="Z19">
        <f>'RESUMEN TOTAL'!AI22</f>
        <v>0</v>
      </c>
      <c r="AA19">
        <f>'RESUMEN TOTAL'!AJ22</f>
        <v>0</v>
      </c>
      <c r="AB19">
        <f>'RESUMEN TOTAL'!AK22</f>
        <v>0</v>
      </c>
      <c r="AC19">
        <f>'RESUMEN TOTAL'!AL22</f>
        <v>0</v>
      </c>
      <c r="AD19">
        <f>'RESUMEN TOTAL'!AM22</f>
        <v>0</v>
      </c>
      <c r="AE19">
        <f>'RESUMEN TOTAL'!AN22</f>
        <v>0</v>
      </c>
      <c r="AF19">
        <f>'RESUMEN TOTAL'!AO22</f>
        <v>0</v>
      </c>
      <c r="AG19">
        <f>'RESUMEN TOTAL'!AP22</f>
        <v>0</v>
      </c>
      <c r="AH19">
        <f>'RESUMEN TOTAL'!AQ22</f>
        <v>0</v>
      </c>
      <c r="AI19">
        <f>'RESUMEN TOTAL'!AR22</f>
        <v>0</v>
      </c>
    </row>
    <row r="20" spans="1:35" x14ac:dyDescent="0.25">
      <c r="A20" t="str">
        <f>'RESUMEN TOTAL'!A23</f>
        <v>CENTRO</v>
      </c>
      <c r="B20" t="str">
        <f>'RESUMEN TOTAL'!B23</f>
        <v>CEN 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  <c r="AH20">
        <f>'RESUMEN TOTAL'!AQ23</f>
        <v>0</v>
      </c>
      <c r="AI20">
        <f>'RESUMEN TOTAL'!AR23</f>
        <v>0</v>
      </c>
    </row>
    <row r="21" spans="1:35" x14ac:dyDescent="0.25">
      <c r="A21" t="str">
        <f>'RESUMEN TOTAL'!A24</f>
        <v>CENTRO</v>
      </c>
      <c r="B21" t="str">
        <f>'RESUMEN TOTAL'!B24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>
        <f>'RESUMEN TOTAL'!R24</f>
        <v>0</v>
      </c>
      <c r="J21">
        <f>'RESUMEN TOTAL'!S24</f>
        <v>0</v>
      </c>
      <c r="K21">
        <f>'RESUMEN TOTAL'!T24</f>
        <v>0</v>
      </c>
      <c r="L21">
        <f>'RESUMEN TOTAL'!U24</f>
        <v>0</v>
      </c>
      <c r="M21">
        <f>'RESUMEN TOTAL'!V24</f>
        <v>0</v>
      </c>
      <c r="N21">
        <f>'RESUMEN TOTAL'!W24</f>
        <v>0</v>
      </c>
      <c r="O21">
        <f>'RESUMEN TOTAL'!X24</f>
        <v>0</v>
      </c>
      <c r="P21">
        <f>'RESUMEN TOTAL'!Y24</f>
        <v>0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>
        <f>'RESUMEN TOTAL'!AE24</f>
        <v>0</v>
      </c>
      <c r="W21">
        <f>'RESUMEN TOTAL'!AF24</f>
        <v>0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  <c r="AH21">
        <f>'RESUMEN TOTAL'!AQ24</f>
        <v>0</v>
      </c>
      <c r="AI21">
        <f>'RESUMEN TOTAL'!AR24</f>
        <v>0</v>
      </c>
    </row>
    <row r="22" spans="1:35" x14ac:dyDescent="0.25">
      <c r="A22" t="str">
        <f>'RESUMEN TOTAL'!A25</f>
        <v>CENTRO</v>
      </c>
      <c r="B22" t="str">
        <f>'RESUMEN TOTAL'!B25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  <c r="AH22">
        <f>'RESUMEN TOTAL'!AQ25</f>
        <v>0</v>
      </c>
      <c r="AI22">
        <f>'RESUMEN TOTAL'!AR25</f>
        <v>0</v>
      </c>
    </row>
    <row r="23" spans="1:35" x14ac:dyDescent="0.25">
      <c r="A23" t="str">
        <f>'RESUMEN TOTAL'!A26</f>
        <v>CENTRO</v>
      </c>
      <c r="B23" t="str">
        <f>'RESUMEN TOTAL'!B26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 t="str">
        <f>'RESUMEN TOTAL'!T26</f>
        <v>APAGADO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>
        <f>'RESUMEN TOTAL'!AA26</f>
        <v>0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  <c r="AH23">
        <f>'RESUMEN TOTAL'!AQ26</f>
        <v>0</v>
      </c>
      <c r="AI23">
        <f>'RESUMEN TOTAL'!AR26</f>
        <v>0</v>
      </c>
    </row>
    <row r="24" spans="1:35" x14ac:dyDescent="0.25">
      <c r="A24" t="str">
        <f>'RESUMEN TOTAL'!A27</f>
        <v>CENTRO</v>
      </c>
      <c r="B24" t="str">
        <f>'RESUMEN TOTAL'!B27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>
        <f>'RESUMEN TOTAL'!Y27</f>
        <v>0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  <c r="AH24">
        <f>'RESUMEN TOTAL'!AQ27</f>
        <v>0</v>
      </c>
      <c r="AI24">
        <f>'RESUMEN TOTAL'!AR27</f>
        <v>0</v>
      </c>
    </row>
    <row r="25" spans="1:35" x14ac:dyDescent="0.25">
      <c r="A25" t="str">
        <f>'RESUMEN TOTAL'!A28</f>
        <v>CENTRO</v>
      </c>
      <c r="B25" t="str">
        <f>'RESUMEN TOTAL'!B28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TOTAL'!O28</f>
        <v>0</v>
      </c>
      <c r="G25">
        <f>'RESUMEN TOTAL'!P28</f>
        <v>0</v>
      </c>
      <c r="H25">
        <f>'RESUMEN TOTAL'!Q28</f>
        <v>0</v>
      </c>
      <c r="I25">
        <f>'RESUMEN TOTAL'!R28</f>
        <v>0</v>
      </c>
      <c r="J25">
        <f>'RESUMEN TOTAL'!S28</f>
        <v>0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  <c r="AH25">
        <f>'RESUMEN TOTAL'!AQ28</f>
        <v>0</v>
      </c>
      <c r="AI25">
        <f>'RESUMEN TOTAL'!AR28</f>
        <v>0</v>
      </c>
    </row>
    <row r="26" spans="1:35" x14ac:dyDescent="0.25">
      <c r="A26" t="str">
        <f>'RESUMEN TOTAL'!A29</f>
        <v>CENTRO</v>
      </c>
      <c r="B26" t="str">
        <f>'RESUMEN TOTAL'!B29</f>
        <v>CEN 60</v>
      </c>
      <c r="C26" t="str">
        <f>'RESUMEN TOTAL'!D29</f>
        <v>RECONQUISTA Y ILLIA</v>
      </c>
      <c r="D26" t="str">
        <f>'RESUMEN TOTAL'!E29</f>
        <v>DOMO</v>
      </c>
      <c r="E26" t="str">
        <f>'RESUMEN TOTAL'!F29</f>
        <v>PTO A FO</v>
      </c>
      <c r="F26">
        <f>'RESUMEN TOTAL'!O29</f>
        <v>0</v>
      </c>
      <c r="G26">
        <f>'RESUMEN TOTAL'!P29</f>
        <v>0</v>
      </c>
      <c r="H26">
        <f>'RESUMEN TOTAL'!Q29</f>
        <v>0</v>
      </c>
      <c r="I26">
        <f>'RESUMEN TOTAL'!R29</f>
        <v>0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  <c r="AH26">
        <f>'RESUMEN TOTAL'!AQ29</f>
        <v>0</v>
      </c>
      <c r="AI26">
        <f>'RESUMEN TOTAL'!AR29</f>
        <v>0</v>
      </c>
    </row>
    <row r="27" spans="1:35" x14ac:dyDescent="0.25">
      <c r="A27" t="str">
        <f>'RESUMEN TOTAL'!A30</f>
        <v>CENTRO</v>
      </c>
      <c r="B27" t="str">
        <f>'RESUMEN TOTAL'!B30</f>
        <v>CEN 61</v>
      </c>
      <c r="C27" t="str">
        <f>'RESUMEN TOTAL'!D30</f>
        <v>BOUREL Y MAIPU</v>
      </c>
      <c r="D27" t="str">
        <f>'RESUMEN TOTAL'!E30</f>
        <v>DOMO</v>
      </c>
      <c r="E27" t="str">
        <f>'RESUMEN TOTAL'!F30</f>
        <v>Radio</v>
      </c>
      <c r="F27">
        <f>'RESUMEN TOTAL'!O30</f>
        <v>0</v>
      </c>
      <c r="G27">
        <f>'RESUMEN TOTAL'!P30</f>
        <v>0</v>
      </c>
      <c r="H27">
        <f>'RESUMEN TOTAL'!Q30</f>
        <v>0</v>
      </c>
      <c r="I27">
        <f>'RESUMEN TOTAL'!R30</f>
        <v>0</v>
      </c>
      <c r="J27">
        <f>'RESUMEN TOTAL'!S30</f>
        <v>0</v>
      </c>
      <c r="K27">
        <f>'RESUMEN TOTAL'!T30</f>
        <v>0</v>
      </c>
      <c r="L27">
        <f>'RESUMEN TOTAL'!U30</f>
        <v>0</v>
      </c>
      <c r="M27">
        <f>'RESUMEN TOTAL'!V30</f>
        <v>0</v>
      </c>
      <c r="N27">
        <f>'RESUMEN TOTAL'!W30</f>
        <v>0</v>
      </c>
      <c r="O27">
        <f>'RESUMEN TOTAL'!X30</f>
        <v>0</v>
      </c>
      <c r="P27">
        <f>'RESUMEN TOTAL'!Y30</f>
        <v>0</v>
      </c>
      <c r="Q27">
        <f>'RESUMEN TOTAL'!Z30</f>
        <v>0</v>
      </c>
      <c r="R27">
        <f>'RESUMEN TOTAL'!AA30</f>
        <v>0</v>
      </c>
      <c r="S27">
        <f>'RESUMEN TOTAL'!AB30</f>
        <v>0</v>
      </c>
      <c r="T27">
        <f>'RESUMEN TOTAL'!AC30</f>
        <v>0</v>
      </c>
      <c r="U27">
        <f>'RESUMEN TOTAL'!AD30</f>
        <v>0</v>
      </c>
      <c r="V27">
        <f>'RESUMEN TOTAL'!AE30</f>
        <v>0</v>
      </c>
      <c r="W27">
        <f>'RESUMEN TOTAL'!AF30</f>
        <v>0</v>
      </c>
      <c r="X27">
        <f>'RESUMEN TOTAL'!AG30</f>
        <v>0</v>
      </c>
      <c r="Y27">
        <f>'RESUMEN TOTAL'!AH30</f>
        <v>0</v>
      </c>
      <c r="Z27">
        <f>'RESUMEN TOTAL'!AI30</f>
        <v>0</v>
      </c>
      <c r="AA27">
        <f>'RESUMEN TOTAL'!AJ30</f>
        <v>0</v>
      </c>
      <c r="AB27">
        <f>'RESUMEN TOTAL'!AK30</f>
        <v>0</v>
      </c>
      <c r="AC27">
        <f>'RESUMEN TOTAL'!AL30</f>
        <v>0</v>
      </c>
      <c r="AD27">
        <f>'RESUMEN TOTAL'!AM30</f>
        <v>0</v>
      </c>
      <c r="AE27">
        <f>'RESUMEN TOTAL'!AN30</f>
        <v>0</v>
      </c>
      <c r="AF27">
        <f>'RESUMEN TOTAL'!AO30</f>
        <v>0</v>
      </c>
      <c r="AG27">
        <f>'RESUMEN TOTAL'!AP30</f>
        <v>0</v>
      </c>
      <c r="AH27">
        <f>'RESUMEN TOTAL'!AQ30</f>
        <v>0</v>
      </c>
      <c r="AI27">
        <f>'RESUMEN TOTAL'!AR30</f>
        <v>0</v>
      </c>
    </row>
    <row r="28" spans="1:35" x14ac:dyDescent="0.25">
      <c r="A28" t="str">
        <f>'RESUMEN TOTAL'!A31</f>
        <v>CENTRO</v>
      </c>
      <c r="B28" t="str">
        <f>'RESUMEN TOTAL'!B31</f>
        <v>CEN 65</v>
      </c>
      <c r="C28" t="str">
        <f>'RESUMEN TOTAL'!D31</f>
        <v>SAN MARTIN Y JUAN PERON</v>
      </c>
      <c r="D28" t="str">
        <f>'RESUMEN TOTAL'!E31</f>
        <v>FIJA</v>
      </c>
      <c r="E28" t="str">
        <f>'RESUMEN TOTAL'!F31</f>
        <v>Fibra Optica</v>
      </c>
      <c r="F28" t="str">
        <f>'RESUMEN TOTAL'!O31</f>
        <v>APAGADO</v>
      </c>
      <c r="G28" t="str">
        <f>'RESUMEN TOTAL'!P31</f>
        <v>APAGADO</v>
      </c>
      <c r="H28" t="str">
        <f>'RESUMEN TOTAL'!Q31</f>
        <v>APAGADO</v>
      </c>
      <c r="I28" t="str">
        <f>'RESUMEN TOTAL'!R31</f>
        <v>APAGADO</v>
      </c>
      <c r="J28">
        <f>'RESUMEN TOTAL'!S31</f>
        <v>0</v>
      </c>
      <c r="K28" t="str">
        <f>'RESUMEN TOTAL'!T31</f>
        <v>APAGADO</v>
      </c>
      <c r="L28" t="str">
        <f>'RESUMEN TOTAL'!U31</f>
        <v>APAGADO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>
        <f>'RESUMEN TOTAL'!AD31</f>
        <v>0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  <c r="AH28">
        <f>'RESUMEN TOTAL'!AQ31</f>
        <v>0</v>
      </c>
      <c r="AI28">
        <f>'RESUMEN TOTAL'!AR31</f>
        <v>0</v>
      </c>
    </row>
    <row r="29" spans="1:35" x14ac:dyDescent="0.25">
      <c r="A29" t="str">
        <f>'RESUMEN TOTAL'!A32</f>
        <v>CENTRO</v>
      </c>
      <c r="B29" t="str">
        <f>'RESUMEN TOTAL'!B32</f>
        <v>CEN 70</v>
      </c>
      <c r="C29" t="str">
        <f>'RESUMEN TOTAL'!D32</f>
        <v>RIVADAVIA Y 25 MAYO</v>
      </c>
      <c r="D29" t="str">
        <f>'RESUMEN TOTAL'!E32</f>
        <v>Domo</v>
      </c>
      <c r="E29" t="str">
        <f>'RESUMEN TOTAL'!F32</f>
        <v>Fibra Optica</v>
      </c>
      <c r="F29">
        <f>'RESUMEN TOTAL'!O32</f>
        <v>0</v>
      </c>
      <c r="G29">
        <f>'RESUMEN TOTAL'!P32</f>
        <v>0</v>
      </c>
      <c r="H29">
        <f>'RESUMEN TOTAL'!Q32</f>
        <v>0</v>
      </c>
      <c r="I29">
        <f>'RESUMEN TOTAL'!R32</f>
        <v>0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>
        <f>'RESUMEN TOTAL'!AF32</f>
        <v>0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  <c r="AH29">
        <f>'RESUMEN TOTAL'!AQ32</f>
        <v>0</v>
      </c>
      <c r="AI29">
        <f>'RESUMEN TOTAL'!AR32</f>
        <v>0</v>
      </c>
    </row>
    <row r="30" spans="1:35" x14ac:dyDescent="0.25">
      <c r="A30" t="str">
        <f>'RESUMEN TOTAL'!A33</f>
        <v>CENTRO</v>
      </c>
      <c r="B30" t="str">
        <f>'RESUMEN TOTAL'!B33</f>
        <v>CEN 71</v>
      </c>
      <c r="C30" t="str">
        <f>'RESUMEN TOTAL'!D33</f>
        <v>MORENO Y BOUREL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>
        <f>'RESUMEN TOTAL'!R33</f>
        <v>0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  <c r="AH30">
        <f>'RESUMEN TOTAL'!AQ33</f>
        <v>0</v>
      </c>
      <c r="AI30">
        <f>'RESUMEN TOTAL'!AR33</f>
        <v>0</v>
      </c>
    </row>
    <row r="31" spans="1:35" x14ac:dyDescent="0.25">
      <c r="A31" t="str">
        <f>'RESUMEN TOTAL'!A34</f>
        <v>CENTRO</v>
      </c>
      <c r="B31" t="str">
        <f>'RESUMEN TOTAL'!B34</f>
        <v>CEN 72</v>
      </c>
      <c r="C31" t="str">
        <f>'RESUMEN TOTAL'!D34</f>
        <v>MORENO Y 25 DE MAYO</v>
      </c>
      <c r="D31" t="str">
        <f>'RESUMEN TOTAL'!E34</f>
        <v>Domo</v>
      </c>
      <c r="E31" t="str">
        <f>'RESUMEN TOTAL'!F34</f>
        <v>Fibra Optica</v>
      </c>
      <c r="F31" t="str">
        <f>'RESUMEN TOTAL'!O34</f>
        <v>APAGADO</v>
      </c>
      <c r="G31" t="str">
        <f>'RESUMEN TOTAL'!P34</f>
        <v>APAGADO</v>
      </c>
      <c r="H31" t="str">
        <f>'RESUMEN TOTAL'!Q34</f>
        <v>APAGADO</v>
      </c>
      <c r="I31" t="str">
        <f>'RESUMEN TOTAL'!R34</f>
        <v>APAGADO</v>
      </c>
      <c r="J31" t="str">
        <f>'RESUMEN TOTAL'!S34</f>
        <v>APAGADO</v>
      </c>
      <c r="K31" t="str">
        <f>'RESUMEN TOTAL'!T34</f>
        <v>APAGADO</v>
      </c>
      <c r="L31" t="str">
        <f>'RESUMEN TOTAL'!U34</f>
        <v>APAGADO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>
        <f>'RESUMEN TOTAL'!AH34</f>
        <v>0</v>
      </c>
      <c r="Z31">
        <f>'RESUMEN TOTAL'!AI34</f>
        <v>0</v>
      </c>
      <c r="AA31">
        <f>'RESUMEN TOTAL'!AJ34</f>
        <v>0</v>
      </c>
      <c r="AB31">
        <f>'RESUMEN TOTAL'!AK34</f>
        <v>0</v>
      </c>
      <c r="AC31">
        <f>'RESUMEN TOTAL'!AL34</f>
        <v>0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  <c r="AH31">
        <f>'RESUMEN TOTAL'!AQ34</f>
        <v>0</v>
      </c>
      <c r="AI31">
        <f>'RESUMEN TOTAL'!AR34</f>
        <v>0</v>
      </c>
    </row>
    <row r="32" spans="1:35" x14ac:dyDescent="0.25">
      <c r="A32" t="str">
        <f>'RESUMEN TOTAL'!A35</f>
        <v>CENTRO</v>
      </c>
      <c r="B32" t="str">
        <f>'RESUMEN TOTAL'!B35</f>
        <v>CEN 75</v>
      </c>
      <c r="C32" t="str">
        <f>'RESUMEN TOTAL'!D35</f>
        <v>25 DE MAYO Y CASTELLI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>
        <f>'RESUMEN TOTAL'!U35</f>
        <v>0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  <c r="AH32">
        <f>'RESUMEN TOTAL'!AQ35</f>
        <v>0</v>
      </c>
      <c r="AI32">
        <f>'RESUMEN TOTAL'!AR35</f>
        <v>0</v>
      </c>
    </row>
    <row r="33" spans="1:35" x14ac:dyDescent="0.25">
      <c r="A33" t="str">
        <f>'RESUMEN TOTAL'!A36</f>
        <v>CENTRO</v>
      </c>
      <c r="B33" t="str">
        <f>'RESUMEN TOTAL'!B36</f>
        <v>CEN 76</v>
      </c>
      <c r="C33" t="str">
        <f>'RESUMEN TOTAL'!D36</f>
        <v>ESPAÃ‘A E/MITRE Y BOCUZZI</v>
      </c>
      <c r="D33" t="str">
        <f>'RESUMEN TOTAL'!E36</f>
        <v>Fija</v>
      </c>
      <c r="E33" t="str">
        <f>'RESUMEN TOTAL'!F36</f>
        <v>Fibra Optica</v>
      </c>
      <c r="F33">
        <f>'RESUMEN TOTAL'!O36</f>
        <v>0</v>
      </c>
      <c r="G33">
        <f>'RESUMEN TOTAL'!P36</f>
        <v>0</v>
      </c>
      <c r="H33">
        <f>'RESUMEN TOTAL'!Q36</f>
        <v>0</v>
      </c>
      <c r="I33">
        <f>'RESUMEN TOTAL'!R36</f>
        <v>0</v>
      </c>
      <c r="J33">
        <f>'RESUMEN TOTAL'!S36</f>
        <v>0</v>
      </c>
      <c r="K33">
        <f>'RESUMEN TOTAL'!T36</f>
        <v>0</v>
      </c>
      <c r="L33">
        <f>'RESUMEN TOTAL'!U36</f>
        <v>0</v>
      </c>
      <c r="M33">
        <f>'RESUMEN TOTAL'!V36</f>
        <v>0</v>
      </c>
      <c r="N33">
        <f>'RESUMEN TOTAL'!W36</f>
        <v>0</v>
      </c>
      <c r="O33">
        <f>'RESUMEN TOTAL'!X36</f>
        <v>0</v>
      </c>
      <c r="P33">
        <f>'RESUMEN TOTAL'!Y36</f>
        <v>0</v>
      </c>
      <c r="Q33">
        <f>'RESUMEN TOTAL'!Z36</f>
        <v>0</v>
      </c>
      <c r="R33">
        <f>'RESUMEN TOTAL'!AA36</f>
        <v>0</v>
      </c>
      <c r="S33">
        <f>'RESUMEN TOTAL'!AB36</f>
        <v>0</v>
      </c>
      <c r="T33">
        <f>'RESUMEN TOTAL'!AC36</f>
        <v>0</v>
      </c>
      <c r="U33">
        <f>'RESUMEN TOTAL'!AD36</f>
        <v>0</v>
      </c>
      <c r="V33">
        <f>'RESUMEN TOTAL'!AE36</f>
        <v>0</v>
      </c>
      <c r="W33">
        <f>'RESUMEN TOTAL'!AF36</f>
        <v>0</v>
      </c>
      <c r="X33">
        <f>'RESUMEN TOTAL'!AG36</f>
        <v>0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  <c r="AH33">
        <f>'RESUMEN TOTAL'!AQ36</f>
        <v>0</v>
      </c>
      <c r="AI33">
        <f>'RESUMEN TOTAL'!AR36</f>
        <v>0</v>
      </c>
    </row>
    <row r="34" spans="1:35" x14ac:dyDescent="0.25">
      <c r="A34" t="str">
        <f>'RESUMEN TOTAL'!A37</f>
        <v>CENTRO</v>
      </c>
      <c r="B34" t="str">
        <f>'RESUMEN TOTAL'!B37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TOTAL'!O37</f>
        <v>0</v>
      </c>
      <c r="G34">
        <f>'RESUMEN TOTAL'!P37</f>
        <v>0</v>
      </c>
      <c r="H34">
        <f>'RESUMEN TOTAL'!Q37</f>
        <v>0</v>
      </c>
      <c r="I34">
        <f>'RESUMEN TOTAL'!R37</f>
        <v>0</v>
      </c>
      <c r="J34">
        <f>'RESUMEN TOTAL'!S37</f>
        <v>0</v>
      </c>
      <c r="K34">
        <f>'RESUMEN TOTAL'!T37</f>
        <v>0</v>
      </c>
      <c r="L34">
        <f>'RESUMEN TOTAL'!U37</f>
        <v>0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  <c r="AH34">
        <f>'RESUMEN TOTAL'!AQ37</f>
        <v>0</v>
      </c>
      <c r="AI34">
        <f>'RESUMEN TOTAL'!AR37</f>
        <v>0</v>
      </c>
    </row>
    <row r="35" spans="1:35" x14ac:dyDescent="0.25">
      <c r="A35" t="str">
        <f>'RESUMEN TOTAL'!A38</f>
        <v>CENTRO</v>
      </c>
      <c r="B35" t="str">
        <f>'RESUMEN TOTAL'!B38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>
        <f>'RESUMEN TOTAL'!U38</f>
        <v>0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  <c r="AH35">
        <f>'RESUMEN TOTAL'!AQ38</f>
        <v>0</v>
      </c>
      <c r="AI35">
        <f>'RESUMEN TOTAL'!AR38</f>
        <v>0</v>
      </c>
    </row>
    <row r="36" spans="1:35" x14ac:dyDescent="0.25">
      <c r="A36" t="str">
        <f>'RESUMEN TOTAL'!A39</f>
        <v>CENTRO</v>
      </c>
      <c r="B36" t="str">
        <f>'RESUMEN TOTAL'!B39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>
        <f>'RESUMEN TOTAL'!Y39</f>
        <v>0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  <c r="AH36">
        <f>'RESUMEN TOTAL'!AQ39</f>
        <v>0</v>
      </c>
      <c r="AI36">
        <f>'RESUMEN TOTAL'!AR39</f>
        <v>0</v>
      </c>
    </row>
    <row r="37" spans="1:35" x14ac:dyDescent="0.25">
      <c r="A37" t="str">
        <f>'RESUMEN TOTAL'!A40</f>
        <v>CENTRO</v>
      </c>
      <c r="B37" t="str">
        <f>'RESUMEN TOTAL'!B40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>
        <f>'RESUMEN TOTAL'!R40</f>
        <v>0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  <c r="AH37">
        <f>'RESUMEN TOTAL'!AQ40</f>
        <v>0</v>
      </c>
      <c r="AI37">
        <f>'RESUMEN TOTAL'!AR40</f>
        <v>0</v>
      </c>
    </row>
    <row r="38" spans="1:35" x14ac:dyDescent="0.25">
      <c r="A38" t="str">
        <f>'RESUMEN TOTAL'!A41</f>
        <v>CENTRO</v>
      </c>
      <c r="B38" t="str">
        <f>'RESUMEN TOTAL'!B41</f>
        <v>CEN06</v>
      </c>
      <c r="C38" t="str">
        <f>'RESUMEN TOTAL'!D41</f>
        <v>Monteagudo y A.del Valle</v>
      </c>
      <c r="D38" t="str">
        <f>'RESUMEN TOTAL'!E41</f>
        <v>Fija</v>
      </c>
      <c r="E38" t="str">
        <f>'RESUMEN TOTAL'!F41</f>
        <v>Fibra Optica</v>
      </c>
      <c r="F38">
        <f>'RESUMEN TOTAL'!O41</f>
        <v>0</v>
      </c>
      <c r="G38">
        <f>'RESUMEN TOTAL'!P41</f>
        <v>0</v>
      </c>
      <c r="H38">
        <f>'RESUMEN TOTAL'!Q41</f>
        <v>0</v>
      </c>
      <c r="I38">
        <f>'RESUMEN TOTAL'!R41</f>
        <v>0</v>
      </c>
      <c r="J38">
        <f>'RESUMEN TOTAL'!S41</f>
        <v>0</v>
      </c>
      <c r="K38">
        <f>'RESUMEN TOTAL'!T41</f>
        <v>0</v>
      </c>
      <c r="L38">
        <f>'RESUMEN TOTAL'!U41</f>
        <v>0</v>
      </c>
      <c r="M38">
        <f>'RESUMEN TOTAL'!V41</f>
        <v>0</v>
      </c>
      <c r="N38">
        <f>'RESUMEN TOTAL'!W41</f>
        <v>0</v>
      </c>
      <c r="O38">
        <f>'RESUMEN TOTAL'!X41</f>
        <v>0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>
        <f>'RESUMEN TOTAL'!AG41</f>
        <v>0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  <c r="AH38">
        <f>'RESUMEN TOTAL'!AQ41</f>
        <v>0</v>
      </c>
      <c r="AI38">
        <f>'RESUMEN TOTAL'!AR41</f>
        <v>0</v>
      </c>
    </row>
    <row r="39" spans="1:35" x14ac:dyDescent="0.25">
      <c r="A39" t="str">
        <f>'RESUMEN TOTAL'!A42</f>
        <v>CENTRO</v>
      </c>
      <c r="B39" t="str">
        <f>'RESUMEN TOTAL'!B42</f>
        <v>CEN07</v>
      </c>
      <c r="C39" t="str">
        <f>'RESUMEN TOTAL'!D42</f>
        <v>San Martin y GÃ¼emes</v>
      </c>
      <c r="D39" t="str">
        <f>'RESUMEN TOTAL'!E42</f>
        <v>DOMO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>
        <f>'RESUMEN TOTAL'!Y42</f>
        <v>0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  <c r="AH39">
        <f>'RESUMEN TOTAL'!AQ42</f>
        <v>0</v>
      </c>
      <c r="AI39">
        <f>'RESUMEN TOTAL'!AR42</f>
        <v>0</v>
      </c>
    </row>
    <row r="40" spans="1:35" x14ac:dyDescent="0.25">
      <c r="A40" t="str">
        <f>'RESUMEN TOTAL'!A43</f>
        <v>CENTRO</v>
      </c>
      <c r="B40" t="str">
        <f>'RESUMEN TOTAL'!B43</f>
        <v>CEN08</v>
      </c>
      <c r="C40" t="str">
        <f>'RESUMEN TOTAL'!D43</f>
        <v>San Martin y Pte.PerÃ³n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>
        <f>'RESUMEN TOTAL'!W43</f>
        <v>0</v>
      </c>
      <c r="O40">
        <f>'RESUMEN TOTAL'!X43</f>
        <v>0</v>
      </c>
      <c r="P40">
        <f>'RESUMEN TOTAL'!Y43</f>
        <v>0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  <c r="AH40">
        <f>'RESUMEN TOTAL'!AQ43</f>
        <v>0</v>
      </c>
      <c r="AI40">
        <f>'RESUMEN TOTAL'!AR43</f>
        <v>0</v>
      </c>
    </row>
    <row r="41" spans="1:35" x14ac:dyDescent="0.25">
      <c r="A41" t="str">
        <f>'RESUMEN TOTAL'!A44</f>
        <v>CENTRO</v>
      </c>
      <c r="B41" t="str">
        <f>'RESUMEN TOTAL'!B44</f>
        <v>CEN09</v>
      </c>
      <c r="C41" t="str">
        <f>'RESUMEN TOTAL'!D44</f>
        <v>Chacabuco y 25 de Mayo</v>
      </c>
      <c r="D41" t="str">
        <f>'RESUMEN TOTAL'!E44</f>
        <v>Domo</v>
      </c>
      <c r="E41" t="str">
        <f>'RESUMEN TOTAL'!F44</f>
        <v>Fibra Optica</v>
      </c>
      <c r="F41">
        <f>'RESUMEN TOTAL'!O44</f>
        <v>0</v>
      </c>
      <c r="G41">
        <f>'RESUMEN TOTAL'!P44</f>
        <v>0</v>
      </c>
      <c r="H41">
        <f>'RESUMEN TOTAL'!Q44</f>
        <v>0</v>
      </c>
      <c r="I41">
        <f>'RESUMEN TOTAL'!R44</f>
        <v>0</v>
      </c>
      <c r="J41">
        <f>'RESUMEN TOTAL'!S44</f>
        <v>0</v>
      </c>
      <c r="K41">
        <f>'RESUMEN TOTAL'!T44</f>
        <v>0</v>
      </c>
      <c r="L41">
        <f>'RESUMEN TOTAL'!U44</f>
        <v>0</v>
      </c>
      <c r="M41">
        <f>'RESUMEN TOTAL'!V44</f>
        <v>0</v>
      </c>
      <c r="N41">
        <f>'RESUMEN TOTAL'!W44</f>
        <v>0</v>
      </c>
      <c r="O41">
        <f>'RESUMEN TOTAL'!X44</f>
        <v>0</v>
      </c>
      <c r="P41">
        <f>'RESUMEN TOTAL'!Y44</f>
        <v>0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>
        <f>'RESUMEN TOTAL'!AG44</f>
        <v>0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  <c r="AH41">
        <f>'RESUMEN TOTAL'!AQ44</f>
        <v>0</v>
      </c>
      <c r="AI41">
        <f>'RESUMEN TOTAL'!AR44</f>
        <v>0</v>
      </c>
    </row>
    <row r="42" spans="1:35" x14ac:dyDescent="0.25">
      <c r="A42" t="str">
        <f>'RESUMEN TOTAL'!A45</f>
        <v>CENTRO</v>
      </c>
      <c r="B42" t="str">
        <f>'RESUMEN TOTAL'!B45</f>
        <v>CEN10</v>
      </c>
      <c r="C42" t="str">
        <f>'RESUMEN TOTAL'!D45</f>
        <v>Monteagudo y Pte. PerÃ³n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>
        <f>'RESUMEN TOTAL'!R45</f>
        <v>0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>
        <f>'RESUMEN TOTAL'!Y45</f>
        <v>0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  <c r="AH42">
        <f>'RESUMEN TOTAL'!AQ45</f>
        <v>0</v>
      </c>
      <c r="AI42">
        <f>'RESUMEN TOTAL'!AR45</f>
        <v>0</v>
      </c>
    </row>
    <row r="43" spans="1:35" x14ac:dyDescent="0.25">
      <c r="A43" t="str">
        <f>'RESUMEN TOTAL'!A46</f>
        <v>CENTRO</v>
      </c>
      <c r="B43" t="str">
        <f>'RESUMEN TOTAL'!B46</f>
        <v>CEN11</v>
      </c>
      <c r="C43" t="str">
        <f>'RESUMEN TOTAL'!D46</f>
        <v>Monteagudo y Bocuzzi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>
        <f>'RESUMEN TOTAL'!Y46</f>
        <v>0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  <c r="AH43">
        <f>'RESUMEN TOTAL'!AQ46</f>
        <v>0</v>
      </c>
      <c r="AI43">
        <f>'RESUMEN TOTAL'!AR46</f>
        <v>0</v>
      </c>
    </row>
    <row r="44" spans="1:35" x14ac:dyDescent="0.25">
      <c r="A44" t="str">
        <f>'RESUMEN TOTAL'!A47</f>
        <v>CENTRO</v>
      </c>
      <c r="B44" t="str">
        <f>'RESUMEN TOTAL'!B47</f>
        <v>CEN14</v>
      </c>
      <c r="C44" t="str">
        <f>'RESUMEN TOTAL'!D47</f>
        <v>Pte.PerÃ³n e/Pringles y Brown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>
        <f>'RESUMEN TOTAL'!R47</f>
        <v>0</v>
      </c>
      <c r="J44">
        <f>'RESUMEN TOTAL'!S47</f>
        <v>0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  <c r="AH44">
        <f>'RESUMEN TOTAL'!AQ47</f>
        <v>0</v>
      </c>
      <c r="AI44">
        <f>'RESUMEN TOTAL'!AR47</f>
        <v>0</v>
      </c>
    </row>
    <row r="45" spans="1:35" x14ac:dyDescent="0.25">
      <c r="A45" t="str">
        <f>'RESUMEN TOTAL'!A48</f>
        <v>CENTRO</v>
      </c>
      <c r="B45" t="str">
        <f>'RESUMEN TOTAL'!B48</f>
        <v>CEN15</v>
      </c>
      <c r="C45" t="str">
        <f>'RESUMEN TOTAL'!D48</f>
        <v>Alberdi y A.del Valle</v>
      </c>
      <c r="D45" t="str">
        <f>'RESUMEN TOTAL'!E48</f>
        <v>Domo</v>
      </c>
      <c r="E45" t="str">
        <f>'RESUMEN TOTAL'!F48</f>
        <v>Fibra Optica</v>
      </c>
      <c r="F45">
        <f>'RESUMEN TOTAL'!O48</f>
        <v>0</v>
      </c>
      <c r="G45">
        <f>'RESUMEN TOTAL'!P48</f>
        <v>0</v>
      </c>
      <c r="H45">
        <f>'RESUMEN TOTAL'!Q48</f>
        <v>0</v>
      </c>
      <c r="I45">
        <f>'RESUMEN TOTAL'!R48</f>
        <v>0</v>
      </c>
      <c r="J45">
        <f>'RESUMEN TOTAL'!S48</f>
        <v>0</v>
      </c>
      <c r="K45">
        <f>'RESUMEN TOTAL'!T48</f>
        <v>0</v>
      </c>
      <c r="L45">
        <f>'RESUMEN TOTAL'!U48</f>
        <v>0</v>
      </c>
      <c r="M45">
        <f>'RESUMEN TOTAL'!V48</f>
        <v>0</v>
      </c>
      <c r="N45">
        <f>'RESUMEN TOTAL'!W48</f>
        <v>0</v>
      </c>
      <c r="O45">
        <f>'RESUMEN TOTAL'!X48</f>
        <v>0</v>
      </c>
      <c r="P45">
        <f>'RESUMEN TOTAL'!Y48</f>
        <v>0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>
        <f>'RESUMEN TOTAL'!AG48</f>
        <v>0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  <c r="AH45">
        <f>'RESUMEN TOTAL'!AQ48</f>
        <v>0</v>
      </c>
      <c r="AI45">
        <f>'RESUMEN TOTAL'!AR48</f>
        <v>0</v>
      </c>
    </row>
    <row r="46" spans="1:35" x14ac:dyDescent="0.25">
      <c r="A46" t="str">
        <f>'RESUMEN TOTAL'!A49</f>
        <v>CENTRO</v>
      </c>
      <c r="B46" t="str">
        <f>'RESUMEN TOTAL'!B49</f>
        <v>CEN16</v>
      </c>
      <c r="C46" t="str">
        <f>'RESUMEN TOTAL'!D49</f>
        <v>San Martin y Pte. Peron</v>
      </c>
      <c r="D46" t="str">
        <f>'RESUMEN TOTAL'!E49</f>
        <v>Fija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>
        <f>'RESUMEN TOTAL'!Y49</f>
        <v>0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>
        <f>'RESUMEN TOTAL'!AG49</f>
        <v>0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  <c r="AH46">
        <f>'RESUMEN TOTAL'!AQ49</f>
        <v>0</v>
      </c>
      <c r="AI46">
        <f>'RESUMEN TOTAL'!AR49</f>
        <v>0</v>
      </c>
    </row>
    <row r="47" spans="1:35" x14ac:dyDescent="0.25">
      <c r="A47">
        <f>'RESUMEN TOTAL'!A50</f>
        <v>0</v>
      </c>
      <c r="B47" t="str">
        <f>'RESUMEN TOTAL'!B50</f>
        <v>CEN17</v>
      </c>
      <c r="C47" t="str">
        <f>'RESUMEN TOTAL'!D50</f>
        <v>San Martin y Mitre</v>
      </c>
      <c r="D47" t="str">
        <f>'RESUMEN TOTAL'!E50</f>
        <v>Domo</v>
      </c>
      <c r="E47" t="str">
        <f>'RESUMEN TOTAL'!F50</f>
        <v>PTO A FO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>
        <f>'RESUMEN TOTAL'!AC50</f>
        <v>0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  <c r="AH47">
        <f>'RESUMEN TOTAL'!AQ50</f>
        <v>0</v>
      </c>
      <c r="AI47">
        <f>'RESUMEN TOTAL'!AR50</f>
        <v>0</v>
      </c>
    </row>
    <row r="48" spans="1:35" x14ac:dyDescent="0.25">
      <c r="A48" t="str">
        <f>'RESUMEN TOTAL'!A51</f>
        <v>CENTRO</v>
      </c>
      <c r="B48" t="str">
        <f>'RESUMEN TOTAL'!B51</f>
        <v>CEN18</v>
      </c>
      <c r="C48" t="str">
        <f>'RESUMEN TOTAL'!D51</f>
        <v>Monteagudo e/Mitre y Sallares</v>
      </c>
      <c r="D48" t="str">
        <f>'RESUMEN TOTAL'!E51</f>
        <v>Fija</v>
      </c>
      <c r="E48" t="str">
        <f>'RESUMEN TOTAL'!F51</f>
        <v>Fibra Optica</v>
      </c>
      <c r="F48">
        <f>'RESUMEN TOTAL'!O51</f>
        <v>0</v>
      </c>
      <c r="G48">
        <f>'RESUMEN TOTAL'!P51</f>
        <v>0</v>
      </c>
      <c r="H48">
        <f>'RESUMEN TOTAL'!Q51</f>
        <v>0</v>
      </c>
      <c r="I48">
        <f>'RESUMEN TOTAL'!R51</f>
        <v>0</v>
      </c>
      <c r="J48">
        <f>'RESUMEN TOTAL'!S51</f>
        <v>0</v>
      </c>
      <c r="K48">
        <f>'RESUMEN TOTAL'!T51</f>
        <v>0</v>
      </c>
      <c r="L48">
        <f>'RESUMEN TOTAL'!U51</f>
        <v>0</v>
      </c>
      <c r="M48">
        <f>'RESUMEN TOTAL'!V51</f>
        <v>0</v>
      </c>
      <c r="N48">
        <f>'RESUMEN TOTAL'!W51</f>
        <v>0</v>
      </c>
      <c r="O48">
        <f>'RESUMEN TOTAL'!X51</f>
        <v>0</v>
      </c>
      <c r="P48">
        <f>'RESUMEN TOTAL'!Y51</f>
        <v>0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>
        <f>'RESUMEN TOTAL'!AG51</f>
        <v>0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>
        <f>'RESUMEN TOTAL'!AL51</f>
        <v>0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  <c r="AH48">
        <f>'RESUMEN TOTAL'!AQ51</f>
        <v>0</v>
      </c>
      <c r="AI48">
        <f>'RESUMEN TOTAL'!AR51</f>
        <v>0</v>
      </c>
    </row>
    <row r="49" spans="1:35" x14ac:dyDescent="0.25">
      <c r="A49" t="str">
        <f>'RESUMEN TOTAL'!A52</f>
        <v>CENTRO</v>
      </c>
      <c r="B49" t="str">
        <f>'RESUMEN TOTAL'!B52</f>
        <v>CEN19</v>
      </c>
      <c r="C49" t="str">
        <f>'RESUMEN TOTAL'!D52</f>
        <v>Chacabuco y 25 de Mayo</v>
      </c>
      <c r="D49" t="str">
        <f>'RESUMEN TOTAL'!E52</f>
        <v>Fija</v>
      </c>
      <c r="E49" t="str">
        <f>'RESUMEN TOTAL'!F52</f>
        <v>Fibra Optica</v>
      </c>
      <c r="F49">
        <f>'RESUMEN TOTAL'!O52</f>
        <v>0</v>
      </c>
      <c r="G49">
        <f>'RESUMEN TOTAL'!P52</f>
        <v>0</v>
      </c>
      <c r="H49">
        <f>'RESUMEN TOTAL'!Q52</f>
        <v>0</v>
      </c>
      <c r="I49">
        <f>'RESUMEN TOTAL'!R52</f>
        <v>0</v>
      </c>
      <c r="J49">
        <f>'RESUMEN TOTAL'!S52</f>
        <v>0</v>
      </c>
      <c r="K49">
        <f>'RESUMEN TOTAL'!T52</f>
        <v>0</v>
      </c>
      <c r="L49">
        <f>'RESUMEN TOTAL'!U52</f>
        <v>0</v>
      </c>
      <c r="M49">
        <f>'RESUMEN TOTAL'!V52</f>
        <v>0</v>
      </c>
      <c r="N49">
        <f>'RESUMEN TOTAL'!W52</f>
        <v>0</v>
      </c>
      <c r="O49">
        <f>'RESUMEN TOTAL'!X52</f>
        <v>0</v>
      </c>
      <c r="P49">
        <f>'RESUMEN TOTAL'!Y52</f>
        <v>0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>
        <f>'RESUMEN TOTAL'!AG52</f>
        <v>0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  <c r="AH49">
        <f>'RESUMEN TOTAL'!AQ52</f>
        <v>0</v>
      </c>
      <c r="AI49">
        <f>'RESUMEN TOTAL'!AR52</f>
        <v>0</v>
      </c>
    </row>
    <row r="50" spans="1:35" x14ac:dyDescent="0.25">
      <c r="A50" t="str">
        <f>'RESUMEN TOTAL'!A53</f>
        <v>LOMAS DE MONTEVERDE</v>
      </c>
      <c r="B50" t="str">
        <f>'RESUMEN TOTAL'!B53</f>
        <v>CEN20</v>
      </c>
      <c r="C50" t="str">
        <f>'RESUMEN TOTAL'!D53</f>
        <v>Pte. Illia y Las Heras</v>
      </c>
      <c r="D50" t="str">
        <f>'RESUMEN TOTAL'!E53</f>
        <v>Domo</v>
      </c>
      <c r="E50" t="str">
        <f>'RESUMEN TOTAL'!F53</f>
        <v>Fibra Optica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>
        <f>'RESUMEN TOTAL'!AG53</f>
        <v>0</v>
      </c>
      <c r="Y50">
        <f>'RESUMEN TOTAL'!AH53</f>
        <v>0</v>
      </c>
      <c r="Z50">
        <f>'RESUMEN TOTAL'!AI53</f>
        <v>0</v>
      </c>
      <c r="AA50">
        <f>'RESUMEN TOTAL'!AJ53</f>
        <v>0</v>
      </c>
      <c r="AB50">
        <f>'RESUMEN TOTAL'!AK53</f>
        <v>0</v>
      </c>
      <c r="AC50">
        <f>'RESUMEN TOTAL'!AL53</f>
        <v>0</v>
      </c>
      <c r="AD50">
        <f>'RESUMEN TOTAL'!AM53</f>
        <v>0</v>
      </c>
      <c r="AE50">
        <f>'RESUMEN TOTAL'!AN53</f>
        <v>0</v>
      </c>
      <c r="AF50">
        <f>'RESUMEN TOTAL'!AO53</f>
        <v>0</v>
      </c>
      <c r="AG50">
        <f>'RESUMEN TOTAL'!AP53</f>
        <v>0</v>
      </c>
      <c r="AH50">
        <f>'RESUMEN TOTAL'!AQ53</f>
        <v>0</v>
      </c>
      <c r="AI50">
        <f>'RESUMEN TOTAL'!AR53</f>
        <v>0</v>
      </c>
    </row>
    <row r="51" spans="1:35" x14ac:dyDescent="0.25">
      <c r="A51" t="str">
        <f>'RESUMEN TOTAL'!A54</f>
        <v>CENTRO</v>
      </c>
      <c r="B51" t="str">
        <f>'RESUMEN TOTAL'!B54</f>
        <v>CEN21</v>
      </c>
      <c r="C51" t="str">
        <f>'RESUMEN TOTAL'!D54</f>
        <v>Misiones y Urquiza</v>
      </c>
      <c r="D51" t="str">
        <f>'RESUMEN TOTAL'!E54</f>
        <v>Fija</v>
      </c>
      <c r="E51" t="str">
        <f>'RESUMEN TOTAL'!F54</f>
        <v>Radio</v>
      </c>
      <c r="F51">
        <f>'RESUMEN TOTAL'!O54</f>
        <v>0</v>
      </c>
      <c r="G51">
        <f>'RESUMEN TOTAL'!P54</f>
        <v>0</v>
      </c>
      <c r="H51">
        <f>'RESUMEN TOTAL'!Q54</f>
        <v>0</v>
      </c>
      <c r="I51">
        <f>'RESUMEN TOTAL'!R54</f>
        <v>0</v>
      </c>
      <c r="J51">
        <f>'RESUMEN TOTAL'!S54</f>
        <v>0</v>
      </c>
      <c r="K51">
        <f>'RESUMEN TOTAL'!T54</f>
        <v>0</v>
      </c>
      <c r="L51">
        <f>'RESUMEN TOTAL'!U54</f>
        <v>0</v>
      </c>
      <c r="M51">
        <f>'RESUMEN TOTAL'!V54</f>
        <v>0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  <c r="AH51">
        <f>'RESUMEN TOTAL'!AQ54</f>
        <v>0</v>
      </c>
      <c r="AI51">
        <f>'RESUMEN TOTAL'!AR54</f>
        <v>0</v>
      </c>
    </row>
    <row r="52" spans="1:35" x14ac:dyDescent="0.25">
      <c r="A52" t="str">
        <f>'RESUMEN TOTAL'!A55</f>
        <v>CENTRO</v>
      </c>
      <c r="B52" t="str">
        <f>'RESUMEN TOTAL'!B55</f>
        <v>CEN22</v>
      </c>
      <c r="C52" t="str">
        <f>'RESUMEN TOTAL'!D55</f>
        <v>Las Heras y Chacabuco</v>
      </c>
      <c r="D52" t="str">
        <f>'RESUMEN TOTAL'!E55</f>
        <v>Domo</v>
      </c>
      <c r="E52" t="str">
        <f>'RESUMEN TOTAL'!F55</f>
        <v>Radio</v>
      </c>
      <c r="F52">
        <f>'RESUMEN TOTAL'!O55</f>
        <v>0</v>
      </c>
      <c r="G52">
        <f>'RESUMEN TOTAL'!P55</f>
        <v>0</v>
      </c>
      <c r="H52">
        <f>'RESUMEN TOTAL'!Q55</f>
        <v>0</v>
      </c>
      <c r="I52">
        <f>'RESUMEN TOTAL'!R55</f>
        <v>0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  <c r="AH52">
        <f>'RESUMEN TOTAL'!AQ55</f>
        <v>0</v>
      </c>
      <c r="AI52">
        <f>'RESUMEN TOTAL'!AR55</f>
        <v>0</v>
      </c>
    </row>
    <row r="53" spans="1:35" x14ac:dyDescent="0.25">
      <c r="A53" t="str">
        <f>'RESUMEN TOTAL'!A56</f>
        <v>CENTRO</v>
      </c>
      <c r="B53" t="str">
        <f>'RESUMEN TOTAL'!B56</f>
        <v>CEN23</v>
      </c>
      <c r="C53" t="str">
        <f>'RESUMEN TOTAL'!D56</f>
        <v>Sallares y Monteagudo</v>
      </c>
      <c r="D53" t="str">
        <f>'RESUMEN TOTAL'!E56</f>
        <v>Domo</v>
      </c>
      <c r="E53" t="str">
        <f>'RESUMEN TOTAL'!F56</f>
        <v>Fibra Optica</v>
      </c>
      <c r="F53">
        <f>'RESUMEN TOTAL'!O56</f>
        <v>0</v>
      </c>
      <c r="G53">
        <f>'RESUMEN TOTAL'!P56</f>
        <v>0</v>
      </c>
      <c r="H53">
        <f>'RESUMEN TOTAL'!Q56</f>
        <v>0</v>
      </c>
      <c r="I53">
        <f>'RESUMEN TOTAL'!R56</f>
        <v>0</v>
      </c>
      <c r="J53">
        <f>'RESUMEN TOTAL'!S56</f>
        <v>0</v>
      </c>
      <c r="K53">
        <f>'RESUMEN TOTAL'!T56</f>
        <v>0</v>
      </c>
      <c r="L53">
        <f>'RESUMEN TOTAL'!U56</f>
        <v>0</v>
      </c>
      <c r="M53">
        <f>'RESUMEN TOTAL'!V56</f>
        <v>0</v>
      </c>
      <c r="N53">
        <f>'RESUMEN TOTAL'!W56</f>
        <v>0</v>
      </c>
      <c r="O53">
        <f>'RESUMEN TOTAL'!X56</f>
        <v>0</v>
      </c>
      <c r="P53">
        <f>'RESUMEN TOTAL'!Y56</f>
        <v>0</v>
      </c>
      <c r="Q53">
        <f>'RESUMEN TOTAL'!Z56</f>
        <v>0</v>
      </c>
      <c r="R53">
        <f>'RESUMEN TOTAL'!AA56</f>
        <v>0</v>
      </c>
      <c r="S53">
        <f>'RESUMEN TOTAL'!AB56</f>
        <v>0</v>
      </c>
      <c r="T53">
        <f>'RESUMEN TOTAL'!AC56</f>
        <v>0</v>
      </c>
      <c r="U53">
        <f>'RESUMEN TOTAL'!AD56</f>
        <v>0</v>
      </c>
      <c r="V53">
        <f>'RESUMEN TOTAL'!AE56</f>
        <v>0</v>
      </c>
      <c r="W53">
        <f>'RESUMEN TOTAL'!AF56</f>
        <v>0</v>
      </c>
      <c r="X53">
        <f>'RESUMEN TOTAL'!AG56</f>
        <v>0</v>
      </c>
      <c r="Y53">
        <f>'RESUMEN TOTAL'!AH56</f>
        <v>0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  <c r="AH53">
        <f>'RESUMEN TOTAL'!AQ56</f>
        <v>0</v>
      </c>
      <c r="AI53">
        <f>'RESUMEN TOTAL'!AR56</f>
        <v>0</v>
      </c>
    </row>
    <row r="54" spans="1:35" x14ac:dyDescent="0.25">
      <c r="A54" t="str">
        <f>'RESUMEN TOTAL'!A57</f>
        <v>CENTRO</v>
      </c>
      <c r="B54" t="str">
        <f>'RESUMEN TOTAL'!B57</f>
        <v>CEN24</v>
      </c>
      <c r="C54" t="str">
        <f>'RESUMEN TOTAL'!D57</f>
        <v>Sallares y EspaÃ±a</v>
      </c>
      <c r="D54" t="str">
        <f>'RESUMEN TOTAL'!E57</f>
        <v>Domo</v>
      </c>
      <c r="E54" t="str">
        <f>'RESUMEN TOTAL'!F57</f>
        <v>Fibra Optica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>
        <f>'RESUMEN TOTAL'!U57</f>
        <v>0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  <c r="AH54">
        <f>'RESUMEN TOTAL'!AQ57</f>
        <v>0</v>
      </c>
      <c r="AI54">
        <f>'RESUMEN TOTAL'!AR57</f>
        <v>0</v>
      </c>
    </row>
    <row r="55" spans="1:35" x14ac:dyDescent="0.25">
      <c r="A55" t="str">
        <f>'RESUMEN TOTAL'!A58</f>
        <v>CENTRO</v>
      </c>
      <c r="B55" t="str">
        <f>'RESUMEN TOTAL'!B58</f>
        <v>CEN25</v>
      </c>
      <c r="C55" t="str">
        <f>'RESUMEN TOTAL'!D58</f>
        <v>SAN MARTIN Y 9 DE JULIO</v>
      </c>
      <c r="D55" t="str">
        <f>'RESUMEN TOTAL'!E58</f>
        <v>Domo</v>
      </c>
      <c r="E55" t="str">
        <f>'RESUMEN TOTAL'!F58</f>
        <v>Fibra Optica</v>
      </c>
      <c r="F55">
        <f>'RESUMEN TOTAL'!O58</f>
        <v>0</v>
      </c>
      <c r="G55">
        <f>'RESUMEN TOTAL'!P58</f>
        <v>0</v>
      </c>
      <c r="H55">
        <f>'RESUMEN TOTAL'!Q58</f>
        <v>0</v>
      </c>
      <c r="I55">
        <f>'RESUMEN TOTAL'!R58</f>
        <v>0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  <c r="AH55">
        <f>'RESUMEN TOTAL'!AQ58</f>
        <v>0</v>
      </c>
      <c r="AI55">
        <f>'RESUMEN TOTAL'!AR58</f>
        <v>0</v>
      </c>
    </row>
    <row r="56" spans="1:35" x14ac:dyDescent="0.25">
      <c r="A56" t="str">
        <f>'RESUMEN TOTAL'!A59</f>
        <v>CENTRO</v>
      </c>
      <c r="B56" t="str">
        <f>'RESUMEN TOTAL'!B59</f>
        <v>CEN26</v>
      </c>
      <c r="C56" t="str">
        <f>'RESUMEN TOTAL'!D59</f>
        <v>Mitre y EspaÃ±a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>
        <f>'RESUMEN TOTAL'!W59</f>
        <v>0</v>
      </c>
      <c r="O56">
        <f>'RESUMEN TOTAL'!X59</f>
        <v>0</v>
      </c>
      <c r="P56">
        <f>'RESUMEN TOTAL'!Y59</f>
        <v>0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  <c r="AH56">
        <f>'RESUMEN TOTAL'!AQ59</f>
        <v>0</v>
      </c>
      <c r="AI56">
        <f>'RESUMEN TOTAL'!AR59</f>
        <v>0</v>
      </c>
    </row>
    <row r="57" spans="1:35" x14ac:dyDescent="0.25">
      <c r="A57" t="str">
        <f>'RESUMEN TOTAL'!A60</f>
        <v>CENTRO</v>
      </c>
      <c r="B57" t="str">
        <f>'RESUMEN TOTAL'!B60</f>
        <v>CEN27</v>
      </c>
      <c r="C57" t="str">
        <f>'RESUMEN TOTAL'!D60</f>
        <v>San Juan y EspaÃ±a</v>
      </c>
      <c r="D57" t="str">
        <f>'RESUMEN TOTAL'!E60</f>
        <v>Domo</v>
      </c>
      <c r="E57" t="str">
        <f>'RESUMEN TOTAL'!F60</f>
        <v>Fibra Optica</v>
      </c>
      <c r="F57">
        <f>'RESUMEN TOTAL'!O60</f>
        <v>0</v>
      </c>
      <c r="G57">
        <f>'RESUMEN TOTAL'!P60</f>
        <v>0</v>
      </c>
      <c r="H57">
        <f>'RESUMEN TOTAL'!Q60</f>
        <v>0</v>
      </c>
      <c r="I57">
        <f>'RESUMEN TOTAL'!R60</f>
        <v>0</v>
      </c>
      <c r="J57">
        <f>'RESUMEN TOTAL'!S60</f>
        <v>0</v>
      </c>
      <c r="K57">
        <f>'RESUMEN TOTAL'!T60</f>
        <v>0</v>
      </c>
      <c r="L57">
        <f>'RESUMEN TOTAL'!U60</f>
        <v>0</v>
      </c>
      <c r="M57">
        <f>'RESUMEN TOTAL'!V60</f>
        <v>0</v>
      </c>
      <c r="N57">
        <f>'RESUMEN TOTAL'!W60</f>
        <v>0</v>
      </c>
      <c r="O57">
        <f>'RESUMEN TOTAL'!X60</f>
        <v>0</v>
      </c>
      <c r="P57">
        <f>'RESUMEN TOTAL'!Y60</f>
        <v>0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  <c r="AH57">
        <f>'RESUMEN TOTAL'!AQ60</f>
        <v>0</v>
      </c>
      <c r="AI57">
        <f>'RESUMEN TOTAL'!AR60</f>
        <v>0</v>
      </c>
    </row>
    <row r="58" spans="1:35" x14ac:dyDescent="0.25">
      <c r="A58" t="str">
        <f>'RESUMEN TOTAL'!A61</f>
        <v>CENTRO</v>
      </c>
      <c r="B58" t="str">
        <f>'RESUMEN TOTAL'!B61</f>
        <v>CEN28</v>
      </c>
      <c r="C58" t="str">
        <f>'RESUMEN TOTAL'!D61</f>
        <v>Mitre y Alberdi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  <c r="AH58">
        <f>'RESUMEN TOTAL'!AQ61</f>
        <v>0</v>
      </c>
      <c r="AI58">
        <f>'RESUMEN TOTAL'!AR61</f>
        <v>0</v>
      </c>
    </row>
    <row r="59" spans="1:35" x14ac:dyDescent="0.25">
      <c r="A59" t="str">
        <f>'RESUMEN TOTAL'!A62</f>
        <v>CENTRO</v>
      </c>
      <c r="B59" t="str">
        <f>'RESUMEN TOTAL'!B62</f>
        <v>CEN29</v>
      </c>
      <c r="C59" t="str">
        <f>'RESUMEN TOTAL'!D62</f>
        <v>Alberdi y San Juan</v>
      </c>
      <c r="D59" t="str">
        <f>'RESUMEN TOTAL'!E62</f>
        <v>Domo</v>
      </c>
      <c r="E59" t="str">
        <f>'RESUMEN TOTAL'!F62</f>
        <v>Fibra Optica</v>
      </c>
      <c r="F59">
        <f>'RESUMEN TOTAL'!O62</f>
        <v>0</v>
      </c>
      <c r="G59">
        <f>'RESUMEN TOTAL'!P62</f>
        <v>0</v>
      </c>
      <c r="H59">
        <f>'RESUMEN TOTAL'!Q62</f>
        <v>0</v>
      </c>
      <c r="I59">
        <f>'RESUMEN TOTAL'!R62</f>
        <v>0</v>
      </c>
      <c r="J59">
        <f>'RESUMEN TOTAL'!S62</f>
        <v>0</v>
      </c>
      <c r="K59">
        <f>'RESUMEN TOTAL'!T62</f>
        <v>0</v>
      </c>
      <c r="L59">
        <f>'RESUMEN TOTAL'!U62</f>
        <v>0</v>
      </c>
      <c r="M59">
        <f>'RESUMEN TOTAL'!V62</f>
        <v>0</v>
      </c>
      <c r="N59">
        <f>'RESUMEN TOTAL'!W62</f>
        <v>0</v>
      </c>
      <c r="O59">
        <f>'RESUMEN TOTAL'!X62</f>
        <v>0</v>
      </c>
      <c r="P59">
        <f>'RESUMEN TOTAL'!Y62</f>
        <v>0</v>
      </c>
      <c r="Q59">
        <f>'RESUMEN TOTAL'!Z62</f>
        <v>0</v>
      </c>
      <c r="R59">
        <f>'RESUMEN TOTAL'!AA62</f>
        <v>0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  <c r="AH59">
        <f>'RESUMEN TOTAL'!AQ62</f>
        <v>0</v>
      </c>
      <c r="AI59">
        <f>'RESUMEN TOTAL'!AR62</f>
        <v>0</v>
      </c>
    </row>
    <row r="60" spans="1:35" x14ac:dyDescent="0.25">
      <c r="A60" t="str">
        <f>'RESUMEN TOTAL'!A63</f>
        <v>CENTRO</v>
      </c>
      <c r="B60" t="str">
        <f>'RESUMEN TOTAL'!B63</f>
        <v>CEN30</v>
      </c>
      <c r="C60" t="str">
        <f>'RESUMEN TOTAL'!D63</f>
        <v>Mitre y Pringles</v>
      </c>
      <c r="D60" t="str">
        <f>'RESUMEN TOTAL'!E63</f>
        <v>Domo</v>
      </c>
      <c r="E60" t="str">
        <f>'RESUMEN TOTAL'!F63</f>
        <v>Fibra Optica</v>
      </c>
      <c r="F60">
        <f>'RESUMEN TOTAL'!O63</f>
        <v>0</v>
      </c>
      <c r="G60">
        <f>'RESUMEN TOTAL'!P63</f>
        <v>0</v>
      </c>
      <c r="H60">
        <f>'RESUMEN TOTAL'!Q63</f>
        <v>0</v>
      </c>
      <c r="I60">
        <f>'RESUMEN TOTAL'!R63</f>
        <v>0</v>
      </c>
      <c r="J60">
        <f>'RESUMEN TOTAL'!S63</f>
        <v>0</v>
      </c>
      <c r="K60">
        <f>'RESUMEN TOTAL'!T63</f>
        <v>0</v>
      </c>
      <c r="L60">
        <f>'RESUMEN TOTAL'!U63</f>
        <v>0</v>
      </c>
      <c r="M60">
        <f>'RESUMEN TOTAL'!V63</f>
        <v>0</v>
      </c>
      <c r="N60">
        <f>'RESUMEN TOTAL'!W63</f>
        <v>0</v>
      </c>
      <c r="O60">
        <f>'RESUMEN TOTAL'!X63</f>
        <v>0</v>
      </c>
      <c r="P60">
        <f>'RESUMEN TOTAL'!Y63</f>
        <v>0</v>
      </c>
      <c r="Q60">
        <f>'RESUMEN TOTAL'!Z63</f>
        <v>0</v>
      </c>
      <c r="R60">
        <f>'RESUMEN TOTAL'!AA63</f>
        <v>0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  <c r="AH60">
        <f>'RESUMEN TOTAL'!AQ63</f>
        <v>0</v>
      </c>
      <c r="AI60">
        <f>'RESUMEN TOTAL'!AR63</f>
        <v>0</v>
      </c>
    </row>
    <row r="61" spans="1:35" x14ac:dyDescent="0.25">
      <c r="A61" t="str">
        <f>'RESUMEN TOTAL'!A64</f>
        <v>CENTRO</v>
      </c>
      <c r="B61" t="str">
        <f>'RESUMEN TOTAL'!B64</f>
        <v>CEN31</v>
      </c>
      <c r="C61" t="str">
        <f>'RESUMEN TOTAL'!D64</f>
        <v>Mitre e/Monteagudo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  <c r="AH61">
        <f>'RESUMEN TOTAL'!AQ64</f>
        <v>0</v>
      </c>
      <c r="AI61">
        <f>'RESUMEN TOTAL'!AR64</f>
        <v>0</v>
      </c>
    </row>
    <row r="62" spans="1:35" x14ac:dyDescent="0.25">
      <c r="A62" t="str">
        <f>'RESUMEN TOTAL'!A65</f>
        <v>CENTRO</v>
      </c>
      <c r="B62" t="str">
        <f>'RESUMEN TOTAL'!B65</f>
        <v>CEN32</v>
      </c>
      <c r="C62" t="str">
        <f>'RESUMEN TOTAL'!D65</f>
        <v>Aristobulo del Valle y EspaÃ±a</v>
      </c>
      <c r="D62" t="str">
        <f>'RESUMEN TOTAL'!E65</f>
        <v>Domo</v>
      </c>
      <c r="E62" t="str">
        <f>'RESUMEN TOTAL'!F65</f>
        <v>Fibra Optica</v>
      </c>
      <c r="F62">
        <f>'RESUMEN TOTAL'!O65</f>
        <v>0</v>
      </c>
      <c r="G62">
        <f>'RESUMEN TOTAL'!P65</f>
        <v>0</v>
      </c>
      <c r="H62">
        <f>'RESUMEN TOTAL'!Q65</f>
        <v>0</v>
      </c>
      <c r="I62">
        <f>'RESUMEN TOTAL'!R65</f>
        <v>0</v>
      </c>
      <c r="J62">
        <f>'RESUMEN TOTAL'!S65</f>
        <v>0</v>
      </c>
      <c r="K62">
        <f>'RESUMEN TOTAL'!T65</f>
        <v>0</v>
      </c>
      <c r="L62">
        <f>'RESUMEN TOTAL'!U65</f>
        <v>0</v>
      </c>
      <c r="M62">
        <f>'RESUMEN TOTAL'!V65</f>
        <v>0</v>
      </c>
      <c r="N62">
        <f>'RESUMEN TOTAL'!W65</f>
        <v>0</v>
      </c>
      <c r="O62">
        <f>'RESUMEN TOTAL'!X65</f>
        <v>0</v>
      </c>
      <c r="P62">
        <f>'RESUMEN TOTAL'!Y65</f>
        <v>0</v>
      </c>
      <c r="Q62">
        <f>'RESUMEN TOTAL'!Z65</f>
        <v>0</v>
      </c>
      <c r="R62">
        <f>'RESUMEN TOTAL'!AA65</f>
        <v>0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  <c r="AH62">
        <f>'RESUMEN TOTAL'!AQ65</f>
        <v>0</v>
      </c>
      <c r="AI62">
        <f>'RESUMEN TOTAL'!AR65</f>
        <v>0</v>
      </c>
    </row>
    <row r="63" spans="1:35" x14ac:dyDescent="0.25">
      <c r="A63" t="str">
        <f>'RESUMEN TOTAL'!A66</f>
        <v>CENTRO</v>
      </c>
      <c r="B63" t="str">
        <f>'RESUMEN TOTAL'!B66</f>
        <v>CEN33</v>
      </c>
      <c r="C63" t="str">
        <f>'RESUMEN TOTAL'!D66</f>
        <v>Peron y Alberdi</v>
      </c>
      <c r="D63" t="str">
        <f>'RESUMEN TOTAL'!E66</f>
        <v>Domo</v>
      </c>
      <c r="E63" t="str">
        <f>'RESUMEN TOTAL'!F66</f>
        <v>Fibra Optica</v>
      </c>
      <c r="F63">
        <f>'RESUMEN TOTAL'!O66</f>
        <v>0</v>
      </c>
      <c r="G63">
        <f>'RESUMEN TOTAL'!P66</f>
        <v>0</v>
      </c>
      <c r="H63">
        <f>'RESUMEN TOTAL'!Q66</f>
        <v>0</v>
      </c>
      <c r="I63">
        <f>'RESUMEN TOTAL'!R66</f>
        <v>0</v>
      </c>
      <c r="J63">
        <f>'RESUMEN TOTAL'!S66</f>
        <v>0</v>
      </c>
      <c r="K63">
        <f>'RESUMEN TOTAL'!T66</f>
        <v>0</v>
      </c>
      <c r="L63">
        <f>'RESUMEN TOTAL'!U66</f>
        <v>0</v>
      </c>
      <c r="M63">
        <f>'RESUMEN TOTAL'!V66</f>
        <v>0</v>
      </c>
      <c r="N63">
        <f>'RESUMEN TOTAL'!W66</f>
        <v>0</v>
      </c>
      <c r="O63">
        <f>'RESUMEN TOTAL'!X66</f>
        <v>0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>
        <f>'RESUMEN TOTAL'!AD66</f>
        <v>0</v>
      </c>
      <c r="V63">
        <f>'RESUMEN TOTAL'!AE66</f>
        <v>0</v>
      </c>
      <c r="W63">
        <f>'RESUMEN TOTAL'!AF66</f>
        <v>0</v>
      </c>
      <c r="X63">
        <f>'RESUMEN TOTAL'!AG66</f>
        <v>0</v>
      </c>
      <c r="Y63">
        <f>'RESUMEN TOTAL'!AH66</f>
        <v>0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  <c r="AH63">
        <f>'RESUMEN TOTAL'!AQ66</f>
        <v>0</v>
      </c>
      <c r="AI63">
        <f>'RESUMEN TOTAL'!AR66</f>
        <v>0</v>
      </c>
    </row>
    <row r="64" spans="1:35" x14ac:dyDescent="0.25">
      <c r="A64" t="str">
        <f>'RESUMEN TOTAL'!A67</f>
        <v>CENTRO</v>
      </c>
      <c r="B64" t="str">
        <f>'RESUMEN TOTAL'!B67</f>
        <v>CEN34</v>
      </c>
      <c r="C64" t="str">
        <f>'RESUMEN TOTAL'!D67</f>
        <v>Peron y España</v>
      </c>
      <c r="D64" t="str">
        <f>'RESUMEN TOTAL'!E67</f>
        <v>Domo</v>
      </c>
      <c r="E64" t="str">
        <f>'RESUMEN TOTAL'!F67</f>
        <v>Fibra Optica</v>
      </c>
      <c r="F64" t="str">
        <f>'RESUMEN TOTAL'!O67</f>
        <v>APAGADO</v>
      </c>
      <c r="G64" t="str">
        <f>'RESUMEN TOTAL'!P67</f>
        <v>APAGADO</v>
      </c>
      <c r="H64" t="str">
        <f>'RESUMEN TOTAL'!Q67</f>
        <v>APAGADO</v>
      </c>
      <c r="I64" t="str">
        <f>'RESUMEN TOTAL'!R67</f>
        <v>APAGADO</v>
      </c>
      <c r="J64" t="str">
        <f>'RESUMEN TOTAL'!S67</f>
        <v>APAGADO</v>
      </c>
      <c r="K64" t="str">
        <f>'RESUMEN TOTAL'!T67</f>
        <v>APAGADO</v>
      </c>
      <c r="L64" t="str">
        <f>'RESUMEN TOTAL'!U67</f>
        <v>APAGADO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  <c r="AH64">
        <f>'RESUMEN TOTAL'!AQ67</f>
        <v>0</v>
      </c>
      <c r="AI64">
        <f>'RESUMEN TOTAL'!AR67</f>
        <v>0</v>
      </c>
    </row>
    <row r="65" spans="1:35" x14ac:dyDescent="0.25">
      <c r="A65" t="str">
        <f>'RESUMEN TOTAL'!A68</f>
        <v>CENTRO</v>
      </c>
      <c r="B65" t="str">
        <f>'RESUMEN TOTAL'!B68</f>
        <v>CEN35</v>
      </c>
      <c r="C65" t="str">
        <f>'RESUMEN TOTAL'!D68</f>
        <v>España y Marmol</v>
      </c>
      <c r="D65" t="str">
        <f>'RESUMEN TOTAL'!E68</f>
        <v>Domo</v>
      </c>
      <c r="E65" t="str">
        <f>'RESUMEN TOTAL'!F68</f>
        <v>Fibra Optica</v>
      </c>
      <c r="F65">
        <f>'RESUMEN TOTAL'!O68</f>
        <v>0</v>
      </c>
      <c r="G65">
        <f>'RESUMEN TOTAL'!P68</f>
        <v>0</v>
      </c>
      <c r="H65">
        <f>'RESUMEN TOTAL'!Q68</f>
        <v>0</v>
      </c>
      <c r="I65">
        <f>'RESUMEN TOTAL'!R68</f>
        <v>0</v>
      </c>
      <c r="J65">
        <f>'RESUMEN TOTAL'!S68</f>
        <v>0</v>
      </c>
      <c r="K65">
        <f>'RESUMEN TOTAL'!T68</f>
        <v>0</v>
      </c>
      <c r="L65">
        <f>'RESUMEN TOTAL'!U68</f>
        <v>0</v>
      </c>
      <c r="M65">
        <f>'RESUMEN TOTAL'!V68</f>
        <v>0</v>
      </c>
      <c r="N65">
        <f>'RESUMEN TOTAL'!W68</f>
        <v>0</v>
      </c>
      <c r="O65">
        <f>'RESUMEN TOTAL'!X68</f>
        <v>0</v>
      </c>
      <c r="P65">
        <f>'RESUMEN TOTAL'!Y68</f>
        <v>0</v>
      </c>
      <c r="Q65">
        <f>'RESUMEN TOTAL'!Z68</f>
        <v>0</v>
      </c>
      <c r="R65">
        <f>'RESUMEN TOTAL'!AA68</f>
        <v>0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  <c r="AH65">
        <f>'RESUMEN TOTAL'!AQ68</f>
        <v>0</v>
      </c>
      <c r="AI65">
        <f>'RESUMEN TOTAL'!AR68</f>
        <v>0</v>
      </c>
    </row>
    <row r="66" spans="1:35" x14ac:dyDescent="0.25">
      <c r="A66" t="str">
        <f>'RESUMEN TOTAL'!A69</f>
        <v>CENTRO</v>
      </c>
      <c r="B66" t="str">
        <f>'RESUMEN TOTAL'!B69</f>
        <v>CEN36</v>
      </c>
      <c r="C66" t="str">
        <f>'RESUMEN TOTAL'!D69</f>
        <v>España y 9 de Julio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  <c r="AH66">
        <f>'RESUMEN TOTAL'!AQ69</f>
        <v>0</v>
      </c>
      <c r="AI66">
        <f>'RESUMEN TOTAL'!AR69</f>
        <v>0</v>
      </c>
    </row>
    <row r="67" spans="1:35" x14ac:dyDescent="0.25">
      <c r="A67" t="str">
        <f>'RESUMEN TOTAL'!A70</f>
        <v>CENTRO</v>
      </c>
      <c r="B67" t="str">
        <f>'RESUMEN TOTAL'!B70</f>
        <v>CEN38</v>
      </c>
      <c r="C67" t="str">
        <f>'RESUMEN TOTAL'!D70</f>
        <v>Diagonal Constituyentes y Almafuerte</v>
      </c>
      <c r="D67" t="str">
        <f>'RESUMEN TOTAL'!E70</f>
        <v>Domo</v>
      </c>
      <c r="E67" t="str">
        <f>'RESUMEN TOTAL'!F70</f>
        <v>Fibra Optica</v>
      </c>
      <c r="F67">
        <f>'RESUMEN TOTAL'!O70</f>
        <v>0</v>
      </c>
      <c r="G67">
        <f>'RESUMEN TOTAL'!P70</f>
        <v>0</v>
      </c>
      <c r="H67">
        <f>'RESUMEN TOTAL'!Q70</f>
        <v>0</v>
      </c>
      <c r="I67">
        <f>'RESUMEN TOTAL'!R70</f>
        <v>0</v>
      </c>
      <c r="J67">
        <f>'RESUMEN TOTAL'!S70</f>
        <v>0</v>
      </c>
      <c r="K67">
        <f>'RESUMEN TOTAL'!T70</f>
        <v>0</v>
      </c>
      <c r="L67">
        <f>'RESUMEN TOTAL'!U70</f>
        <v>0</v>
      </c>
      <c r="M67">
        <f>'RESUMEN TOTAL'!V70</f>
        <v>0</v>
      </c>
      <c r="N67">
        <f>'RESUMEN TOTAL'!W70</f>
        <v>0</v>
      </c>
      <c r="O67">
        <f>'RESUMEN TOTAL'!X70</f>
        <v>0</v>
      </c>
      <c r="P67">
        <f>'RESUMEN TOTAL'!Y70</f>
        <v>0</v>
      </c>
      <c r="Q67">
        <f>'RESUMEN TOTAL'!Z70</f>
        <v>0</v>
      </c>
      <c r="R67">
        <f>'RESUMEN TOTAL'!AA70</f>
        <v>0</v>
      </c>
      <c r="S67">
        <f>'RESUMEN TOTAL'!AB70</f>
        <v>0</v>
      </c>
      <c r="T67">
        <f>'RESUMEN TOTAL'!AC70</f>
        <v>0</v>
      </c>
      <c r="U67">
        <f>'RESUMEN TOTAL'!AD70</f>
        <v>0</v>
      </c>
      <c r="V67">
        <f>'RESUMEN TOTAL'!AE70</f>
        <v>0</v>
      </c>
      <c r="W67">
        <f>'RESUMEN TOTAL'!AF70</f>
        <v>0</v>
      </c>
      <c r="X67">
        <f>'RESUMEN TOTAL'!AG70</f>
        <v>0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>
        <f>'RESUMEN TOTAL'!AO70</f>
        <v>0</v>
      </c>
      <c r="AG67">
        <f>'RESUMEN TOTAL'!AP70</f>
        <v>0</v>
      </c>
      <c r="AH67">
        <f>'RESUMEN TOTAL'!AQ70</f>
        <v>0</v>
      </c>
      <c r="AI67">
        <f>'RESUMEN TOTAL'!AR70</f>
        <v>0</v>
      </c>
    </row>
    <row r="68" spans="1:35" x14ac:dyDescent="0.25">
      <c r="A68" t="str">
        <f>'RESUMEN TOTAL'!A71</f>
        <v>CENTRO</v>
      </c>
      <c r="B68" t="str">
        <f>'RESUMEN TOTAL'!B71</f>
        <v>CEN39</v>
      </c>
      <c r="C68" t="str">
        <f>'RESUMEN TOTAL'!D71</f>
        <v>San Martin y Alem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  <c r="AH68">
        <f>'RESUMEN TOTAL'!AQ71</f>
        <v>0</v>
      </c>
      <c r="AI68">
        <f>'RESUMEN TOTAL'!AR71</f>
        <v>0</v>
      </c>
    </row>
    <row r="69" spans="1:35" x14ac:dyDescent="0.25">
      <c r="A69" t="str">
        <f>'RESUMEN TOTAL'!A72</f>
        <v>CENTRO</v>
      </c>
      <c r="B69" t="str">
        <f>'RESUMEN TOTAL'!B72</f>
        <v>CEN40</v>
      </c>
      <c r="C69" t="str">
        <f>'RESUMEN TOTAL'!D72</f>
        <v>Contreras y Monteagudo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>
        <f>'RESUMEN TOTAL'!R72</f>
        <v>0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  <c r="AH69">
        <f>'RESUMEN TOTAL'!AQ72</f>
        <v>0</v>
      </c>
      <c r="AI69">
        <f>'RESUMEN TOTAL'!AR72</f>
        <v>0</v>
      </c>
    </row>
    <row r="70" spans="1:35" x14ac:dyDescent="0.25">
      <c r="A70" t="str">
        <f>'RESUMEN TOTAL'!A73</f>
        <v>CENTRO</v>
      </c>
      <c r="B70" t="str">
        <f>'RESUMEN TOTAL'!B73</f>
        <v>CEN41</v>
      </c>
      <c r="C70" t="str">
        <f>'RESUMEN TOTAL'!D73</f>
        <v>Contreras y Alberdi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>
        <f>'RESUMEN TOTAL'!AG73</f>
        <v>0</v>
      </c>
      <c r="Y70">
        <f>'RESUMEN TOTAL'!AH73</f>
        <v>0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  <c r="AH70">
        <f>'RESUMEN TOTAL'!AQ73</f>
        <v>0</v>
      </c>
      <c r="AI70">
        <f>'RESUMEN TOTAL'!AR73</f>
        <v>0</v>
      </c>
    </row>
    <row r="71" spans="1:35" x14ac:dyDescent="0.25">
      <c r="A71" t="str">
        <f>'RESUMEN TOTAL'!A74</f>
        <v>CENTRO</v>
      </c>
      <c r="B71" t="str">
        <f>'RESUMEN TOTAL'!B74</f>
        <v>CEN42</v>
      </c>
      <c r="C71" t="str">
        <f>'RESUMEN TOTAL'!D74</f>
        <v>Diagonal Constituyentes y Alem</v>
      </c>
      <c r="D71" t="str">
        <f>'RESUMEN TOTAL'!E74</f>
        <v>Domo</v>
      </c>
      <c r="E71" t="str">
        <f>'RESUMEN TOTAL'!F74</f>
        <v>Fibra Optica</v>
      </c>
      <c r="F71">
        <f>'RESUMEN TOTAL'!O74</f>
        <v>0</v>
      </c>
      <c r="G71">
        <f>'RESUMEN TOTAL'!P74</f>
        <v>0</v>
      </c>
      <c r="H71">
        <f>'RESUMEN TOTAL'!Q74</f>
        <v>0</v>
      </c>
      <c r="I71">
        <f>'RESUMEN TOTAL'!R74</f>
        <v>0</v>
      </c>
      <c r="J71">
        <f>'RESUMEN TOTAL'!S74</f>
        <v>0</v>
      </c>
      <c r="K71">
        <f>'RESUMEN TOTAL'!T74</f>
        <v>0</v>
      </c>
      <c r="L71">
        <f>'RESUMEN TOTAL'!U74</f>
        <v>0</v>
      </c>
      <c r="M71">
        <f>'RESUMEN TOTAL'!V74</f>
        <v>0</v>
      </c>
      <c r="N71">
        <f>'RESUMEN TOTAL'!W74</f>
        <v>0</v>
      </c>
      <c r="O71">
        <f>'RESUMEN TOTAL'!X74</f>
        <v>0</v>
      </c>
      <c r="P71">
        <f>'RESUMEN TOTAL'!Y74</f>
        <v>0</v>
      </c>
      <c r="Q71">
        <f>'RESUMEN TOTAL'!Z74</f>
        <v>0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  <c r="AH71">
        <f>'RESUMEN TOTAL'!AQ74</f>
        <v>0</v>
      </c>
      <c r="AI71">
        <f>'RESUMEN TOTAL'!AR74</f>
        <v>0</v>
      </c>
    </row>
    <row r="72" spans="1:35" x14ac:dyDescent="0.25">
      <c r="A72" t="str">
        <f>'RESUMEN TOTAL'!A75</f>
        <v>CENTRO</v>
      </c>
      <c r="B72" t="str">
        <f>'RESUMEN TOTAL'!B75</f>
        <v>CEN43</v>
      </c>
      <c r="C72" t="str">
        <f>'RESUMEN TOTAL'!D75</f>
        <v>Sallares y Alberdi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>
        <f>'RESUMEN TOTAL'!R75</f>
        <v>0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  <c r="AH72">
        <f>'RESUMEN TOTAL'!AQ75</f>
        <v>0</v>
      </c>
      <c r="AI72">
        <f>'RESUMEN TOTAL'!AR75</f>
        <v>0</v>
      </c>
    </row>
    <row r="73" spans="1:35" x14ac:dyDescent="0.25">
      <c r="A73" t="str">
        <f>'RESUMEN TOTAL'!A76</f>
        <v>CENTRO</v>
      </c>
      <c r="B73" t="str">
        <f>'RESUMEN TOTAL'!B76</f>
        <v>CEN44</v>
      </c>
      <c r="C73" t="str">
        <f>'RESUMEN TOTAL'!D76</f>
        <v>Mitre y Brown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>
        <f>'RESUMEN TOTAL'!R76</f>
        <v>0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  <c r="AH73">
        <f>'RESUMEN TOTAL'!AQ76</f>
        <v>0</v>
      </c>
      <c r="AI73">
        <f>'RESUMEN TOTAL'!AR76</f>
        <v>0</v>
      </c>
    </row>
    <row r="74" spans="1:35" x14ac:dyDescent="0.25">
      <c r="A74" t="str">
        <f>'RESUMEN TOTAL'!A77</f>
        <v>CENTRO</v>
      </c>
      <c r="B74" t="str">
        <f>'RESUMEN TOTAL'!B77</f>
        <v>CEN45 (fija 1)</v>
      </c>
      <c r="C74" t="str">
        <f>'RESUMEN TOTAL'!D77</f>
        <v>EEUU Y MORENO</v>
      </c>
      <c r="D74" t="str">
        <f>'RESUMEN TOTAL'!E77</f>
        <v>Fija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>
        <f>'RESUMEN TOTAL'!R77</f>
        <v>0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  <c r="AH74">
        <f>'RESUMEN TOTAL'!AQ77</f>
        <v>0</v>
      </c>
      <c r="AI74">
        <f>'RESUMEN TOTAL'!AR77</f>
        <v>0</v>
      </c>
    </row>
    <row r="75" spans="1:35" x14ac:dyDescent="0.25">
      <c r="A75" t="str">
        <f>'RESUMEN TOTAL'!A78</f>
        <v>CENTRO</v>
      </c>
      <c r="B75" t="str">
        <f>'RESUMEN TOTAL'!B78</f>
        <v>CEN46 (fija 2)</v>
      </c>
      <c r="C75" t="str">
        <f>'RESUMEN TOTAL'!D78</f>
        <v>EEUU Y MORENO</v>
      </c>
      <c r="D75" t="str">
        <f>'RESUMEN TOTAL'!E78</f>
        <v>Fija</v>
      </c>
      <c r="E75" t="str">
        <f>'RESUMEN TOTAL'!F78</f>
        <v>Fibra Optica</v>
      </c>
      <c r="F75">
        <f>'RESUMEN TOTAL'!O78</f>
        <v>0</v>
      </c>
      <c r="G75">
        <f>'RESUMEN TOTAL'!P78</f>
        <v>0</v>
      </c>
      <c r="H75">
        <f>'RESUMEN TOTAL'!Q78</f>
        <v>0</v>
      </c>
      <c r="I75">
        <f>'RESUMEN TOTAL'!R78</f>
        <v>0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  <c r="AH75">
        <f>'RESUMEN TOTAL'!AQ78</f>
        <v>0</v>
      </c>
      <c r="AI75">
        <f>'RESUMEN TOTAL'!AR78</f>
        <v>0</v>
      </c>
    </row>
    <row r="76" spans="1:35" x14ac:dyDescent="0.25">
      <c r="A76" t="str">
        <f>'RESUMEN TOTAL'!A79</f>
        <v>CENTRO</v>
      </c>
      <c r="B76" t="str">
        <f>'RESUMEN TOTAL'!B79</f>
        <v>CEN47</v>
      </c>
      <c r="C76" t="str">
        <f>'RESUMEN TOTAL'!D79</f>
        <v>Sallares y Brown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  <c r="AH76">
        <f>'RESUMEN TOTAL'!AQ79</f>
        <v>0</v>
      </c>
      <c r="AI76">
        <f>'RESUMEN TOTAL'!AR79</f>
        <v>0</v>
      </c>
    </row>
    <row r="77" spans="1:35" x14ac:dyDescent="0.25">
      <c r="A77" t="str">
        <f>'RESUMEN TOTAL'!A80</f>
        <v>CENTRO</v>
      </c>
      <c r="B77" t="str">
        <f>'RESUMEN TOTAL'!B80</f>
        <v>CEN48</v>
      </c>
      <c r="C77" t="str">
        <f>'RESUMEN TOTAL'!D80</f>
        <v>Velez Sarsfield y Las Heras</v>
      </c>
      <c r="D77" t="str">
        <f>'RESUMEN TOTAL'!E80</f>
        <v>Domo</v>
      </c>
      <c r="E77" t="str">
        <f>'RESUMEN TOTAL'!F80</f>
        <v>Radio</v>
      </c>
      <c r="F77">
        <f>'RESUMEN TOTAL'!O80</f>
        <v>0</v>
      </c>
      <c r="G77">
        <f>'RESUMEN TOTAL'!P80</f>
        <v>0</v>
      </c>
      <c r="H77">
        <f>'RESUMEN TOTAL'!Q80</f>
        <v>0</v>
      </c>
      <c r="I77">
        <f>'RESUMEN TOTAL'!R80</f>
        <v>0</v>
      </c>
      <c r="J77">
        <f>'RESUMEN TOTAL'!S80</f>
        <v>0</v>
      </c>
      <c r="K77">
        <f>'RESUMEN TOTAL'!T80</f>
        <v>0</v>
      </c>
      <c r="L77">
        <f>'RESUMEN TOTAL'!U80</f>
        <v>0</v>
      </c>
      <c r="M77">
        <f>'RESUMEN TOTAL'!V80</f>
        <v>0</v>
      </c>
      <c r="N77">
        <f>'RESUMEN TOTAL'!W80</f>
        <v>0</v>
      </c>
      <c r="O77">
        <f>'RESUMEN TOTAL'!X80</f>
        <v>0</v>
      </c>
      <c r="P77">
        <f>'RESUMEN TOTAL'!Y80</f>
        <v>0</v>
      </c>
      <c r="Q77">
        <f>'RESUMEN TOTAL'!Z80</f>
        <v>0</v>
      </c>
      <c r="R77">
        <f>'RESUMEN TOTAL'!AA80</f>
        <v>0</v>
      </c>
      <c r="S77">
        <f>'RESUMEN TOTAL'!AB80</f>
        <v>0</v>
      </c>
      <c r="T77">
        <f>'RESUMEN TOTAL'!AC80</f>
        <v>0</v>
      </c>
      <c r="U77">
        <f>'RESUMEN TOTAL'!AD80</f>
        <v>0</v>
      </c>
      <c r="V77">
        <f>'RESUMEN TOTAL'!AE80</f>
        <v>0</v>
      </c>
      <c r="W77">
        <f>'RESUMEN TOTAL'!AF80</f>
        <v>0</v>
      </c>
      <c r="X77">
        <f>'RESUMEN TOTAL'!AG80</f>
        <v>0</v>
      </c>
      <c r="Y77">
        <f>'RESUMEN TOTAL'!AH80</f>
        <v>0</v>
      </c>
      <c r="Z77">
        <f>'RESUMEN TOTAL'!AI80</f>
        <v>0</v>
      </c>
      <c r="AA77">
        <f>'RESUMEN TOTAL'!AJ80</f>
        <v>0</v>
      </c>
      <c r="AB77">
        <f>'RESUMEN TOTAL'!AK80</f>
        <v>0</v>
      </c>
      <c r="AC77">
        <f>'RESUMEN TOTAL'!AL80</f>
        <v>0</v>
      </c>
      <c r="AD77">
        <f>'RESUMEN TOTAL'!AM80</f>
        <v>0</v>
      </c>
      <c r="AE77">
        <f>'RESUMEN TOTAL'!AN80</f>
        <v>0</v>
      </c>
      <c r="AF77">
        <f>'RESUMEN TOTAL'!AO80</f>
        <v>0</v>
      </c>
      <c r="AG77">
        <f>'RESUMEN TOTAL'!AP80</f>
        <v>0</v>
      </c>
      <c r="AH77">
        <f>'RESUMEN TOTAL'!AQ80</f>
        <v>0</v>
      </c>
      <c r="AI77">
        <f>'RESUMEN TOTAL'!AR80</f>
        <v>0</v>
      </c>
    </row>
    <row r="78" spans="1:35" x14ac:dyDescent="0.25">
      <c r="A78" t="str">
        <f>'RESUMEN TOTAL'!A81</f>
        <v>CENTRO</v>
      </c>
      <c r="B78" t="str">
        <f>'RESUMEN TOTAL'!B81</f>
        <v>CEN49</v>
      </c>
      <c r="C78" t="str">
        <f>'RESUMEN TOTAL'!D81</f>
        <v>Av. San Martin y Florencio Sanchez</v>
      </c>
      <c r="D78" t="str">
        <f>'RESUMEN TOTAL'!E81</f>
        <v>Domo</v>
      </c>
      <c r="E78" t="str">
        <f>'RESUMEN TOTAL'!F81</f>
        <v>Radio</v>
      </c>
      <c r="F78">
        <f>'RESUMEN TOTAL'!O81</f>
        <v>0</v>
      </c>
      <c r="G78">
        <f>'RESUMEN TOTAL'!P81</f>
        <v>0</v>
      </c>
      <c r="H78">
        <f>'RESUMEN TOTAL'!Q81</f>
        <v>0</v>
      </c>
      <c r="I78">
        <f>'RESUMEN TOTAL'!R81</f>
        <v>0</v>
      </c>
      <c r="J78">
        <f>'RESUMEN TOTAL'!S81</f>
        <v>0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  <c r="AH78">
        <f>'RESUMEN TOTAL'!AQ81</f>
        <v>0</v>
      </c>
      <c r="AI78">
        <f>'RESUMEN TOTAL'!AR81</f>
        <v>0</v>
      </c>
    </row>
    <row r="79" spans="1:35" x14ac:dyDescent="0.25">
      <c r="A79" t="str">
        <f>'RESUMEN TOTAL'!A82</f>
        <v>CENTRO</v>
      </c>
      <c r="B79" t="str">
        <f>'RESUMEN TOTAL'!B82</f>
        <v>CEN52</v>
      </c>
      <c r="C79" t="str">
        <f>'RESUMEN TOTAL'!D82</f>
        <v>San Martin y Almafuerte (ex San Martin y Dorrego)</v>
      </c>
      <c r="D79" t="str">
        <f>'RESUMEN TOTAL'!E82</f>
        <v>DOMO</v>
      </c>
      <c r="E79" t="str">
        <f>'RESUMEN TOTAL'!F82</f>
        <v>Radio</v>
      </c>
      <c r="F79">
        <f>'RESUMEN TOTAL'!O82</f>
        <v>0</v>
      </c>
      <c r="G79">
        <f>'RESUMEN TOTAL'!P82</f>
        <v>0</v>
      </c>
      <c r="H79">
        <f>'RESUMEN TOTAL'!Q82</f>
        <v>0</v>
      </c>
      <c r="I79">
        <f>'RESUMEN TOTAL'!R82</f>
        <v>0</v>
      </c>
      <c r="J79">
        <f>'RESUMEN TOTAL'!S82</f>
        <v>0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  <c r="AH79">
        <f>'RESUMEN TOTAL'!AQ82</f>
        <v>0</v>
      </c>
      <c r="AI79">
        <f>'RESUMEN TOTAL'!AR82</f>
        <v>0</v>
      </c>
    </row>
    <row r="80" spans="1:35" x14ac:dyDescent="0.25">
      <c r="A80" t="str">
        <f>'RESUMEN TOTAL'!A83</f>
        <v>CENTRO</v>
      </c>
      <c r="B80" t="str">
        <f>'RESUMEN TOTAL'!B83</f>
        <v>CEN59</v>
      </c>
      <c r="C80" t="str">
        <f>'RESUMEN TOTAL'!D83</f>
        <v>CHACABUCO Y BOUREL</v>
      </c>
      <c r="D80" t="str">
        <f>'RESUMEN TOTAL'!E83</f>
        <v>DOMO</v>
      </c>
      <c r="E80" t="str">
        <f>'RESUMEN TOTAL'!F83</f>
        <v>Radio</v>
      </c>
      <c r="F80">
        <f>'RESUMEN TOTAL'!O83</f>
        <v>0</v>
      </c>
      <c r="G80">
        <f>'RESUMEN TOTAL'!P83</f>
        <v>0</v>
      </c>
      <c r="H80">
        <f>'RESUMEN TOTAL'!Q83</f>
        <v>0</v>
      </c>
      <c r="I80">
        <f>'RESUMEN TOTAL'!R83</f>
        <v>0</v>
      </c>
      <c r="J80">
        <f>'RESUMEN TOTAL'!S83</f>
        <v>0</v>
      </c>
      <c r="K80">
        <f>'RESUMEN TOTAL'!T83</f>
        <v>0</v>
      </c>
      <c r="L80">
        <f>'RESUMEN TOTAL'!U83</f>
        <v>0</v>
      </c>
      <c r="M80">
        <f>'RESUMEN TOTAL'!V83</f>
        <v>0</v>
      </c>
      <c r="N80">
        <f>'RESUMEN TOTAL'!W83</f>
        <v>0</v>
      </c>
      <c r="O80">
        <f>'RESUMEN TOTAL'!X83</f>
        <v>0</v>
      </c>
      <c r="P80">
        <f>'RESUMEN TOTAL'!Y83</f>
        <v>0</v>
      </c>
      <c r="Q80">
        <f>'RESUMEN TOTAL'!Z83</f>
        <v>0</v>
      </c>
      <c r="R80">
        <f>'RESUMEN TOTAL'!AA83</f>
        <v>0</v>
      </c>
      <c r="S80">
        <f>'RESUMEN TOTAL'!AB83</f>
        <v>0</v>
      </c>
      <c r="T80">
        <f>'RESUMEN TOTAL'!AC83</f>
        <v>0</v>
      </c>
      <c r="U80">
        <f>'RESUMEN TOTAL'!AD83</f>
        <v>0</v>
      </c>
      <c r="V80">
        <f>'RESUMEN TOTAL'!AE83</f>
        <v>0</v>
      </c>
      <c r="W80">
        <f>'RESUMEN TOTAL'!AF83</f>
        <v>0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  <c r="AH80">
        <f>'RESUMEN TOTAL'!AQ83</f>
        <v>0</v>
      </c>
      <c r="AI80">
        <f>'RESUMEN TOTAL'!AR83</f>
        <v>0</v>
      </c>
    </row>
    <row r="81" spans="1:35" x14ac:dyDescent="0.25">
      <c r="A81" t="str">
        <f>'RESUMEN TOTAL'!A84</f>
        <v>CENTRO</v>
      </c>
      <c r="B81" t="str">
        <f>'RESUMEN TOTAL'!B84</f>
        <v>CEN62</v>
      </c>
      <c r="C81" t="str">
        <f>'RESUMEN TOTAL'!D84</f>
        <v>ESPAÃ‘A Y ALEM</v>
      </c>
      <c r="D81" t="str">
        <f>'RESUMEN TOTAL'!E84</f>
        <v>DOMO</v>
      </c>
      <c r="E81" t="str">
        <f>'RESUMEN TOTAL'!F84</f>
        <v>PTO A FO</v>
      </c>
      <c r="F81">
        <f>'RESUMEN TOTAL'!O84</f>
        <v>0</v>
      </c>
      <c r="G81">
        <f>'RESUMEN TOTAL'!P84</f>
        <v>0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>
        <f>'RESUMEN TOTAL'!Y84</f>
        <v>0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  <c r="AH81">
        <f>'RESUMEN TOTAL'!AQ84</f>
        <v>0</v>
      </c>
      <c r="AI81">
        <f>'RESUMEN TOTAL'!AR84</f>
        <v>0</v>
      </c>
    </row>
    <row r="82" spans="1:35" x14ac:dyDescent="0.25">
      <c r="A82" t="str">
        <f>'RESUMEN TOTAL'!A85</f>
        <v>CENTRO</v>
      </c>
      <c r="B82" t="str">
        <f>'RESUMEN TOTAL'!B85</f>
        <v>CEN63</v>
      </c>
      <c r="C82" t="str">
        <f>'RESUMEN TOTAL'!D85</f>
        <v>SAN MARTIN Y URQUIZA</v>
      </c>
      <c r="D82" t="str">
        <f>'RESUMEN TOTAL'!E85</f>
        <v>DOMO</v>
      </c>
      <c r="E82" t="str">
        <f>'RESUMEN TOTAL'!F85</f>
        <v>Fibra Optica</v>
      </c>
      <c r="F82">
        <f>'RESUMEN TOTAL'!O85</f>
        <v>0</v>
      </c>
      <c r="G82">
        <f>'RESUMEN TOTAL'!P85</f>
        <v>0</v>
      </c>
      <c r="H82">
        <f>'RESUMEN TOTAL'!Q85</f>
        <v>0</v>
      </c>
      <c r="I82">
        <f>'RESUMEN TOTAL'!R85</f>
        <v>0</v>
      </c>
      <c r="J82">
        <f>'RESUMEN TOTAL'!S85</f>
        <v>0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  <c r="AH82">
        <f>'RESUMEN TOTAL'!AQ85</f>
        <v>0</v>
      </c>
      <c r="AI82">
        <f>'RESUMEN TOTAL'!AR85</f>
        <v>0</v>
      </c>
    </row>
    <row r="83" spans="1:35" x14ac:dyDescent="0.25">
      <c r="A83" t="str">
        <f>'RESUMEN TOTAL'!A86</f>
        <v>CENTRO</v>
      </c>
      <c r="B83" t="str">
        <f>'RESUMEN TOTAL'!B86</f>
        <v>CEN64</v>
      </c>
      <c r="C83" t="str">
        <f>'RESUMEN TOTAL'!D86</f>
        <v>SAN MARTIN Y BOCCUZZI</v>
      </c>
      <c r="D83" t="str">
        <f>'RESUMEN TOTAL'!E86</f>
        <v>FIJA</v>
      </c>
      <c r="E83" t="str">
        <f>'RESUMEN TOTAL'!F86</f>
        <v>Fibra Optica</v>
      </c>
      <c r="F83">
        <f>'RESUMEN TOTAL'!O86</f>
        <v>0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  <c r="AH83">
        <f>'RESUMEN TOTAL'!AQ86</f>
        <v>0</v>
      </c>
      <c r="AI83">
        <f>'RESUMEN TOTAL'!AR86</f>
        <v>0</v>
      </c>
    </row>
    <row r="84" spans="1:35" x14ac:dyDescent="0.25">
      <c r="A84" t="str">
        <f>'RESUMEN TOTAL'!A87</f>
        <v>CENTRO</v>
      </c>
      <c r="B84" t="str">
        <f>'RESUMEN TOTAL'!B87</f>
        <v>CEN66</v>
      </c>
      <c r="C84" t="str">
        <f>'RESUMEN TOTAL'!D87</f>
        <v>SAN MARTIN Y JUAN PERON</v>
      </c>
      <c r="D84" t="str">
        <f>'RESUMEN TOTAL'!E87</f>
        <v>FIJA</v>
      </c>
      <c r="E84" t="str">
        <f>'RESUMEN TOTAL'!F87</f>
        <v>Fibra Optica</v>
      </c>
      <c r="F84" t="str">
        <f>'RESUMEN TOTAL'!O87</f>
        <v>APAGADO</v>
      </c>
      <c r="G84" t="str">
        <f>'RESUMEN TOTAL'!P87</f>
        <v>APAGADO</v>
      </c>
      <c r="H84" t="str">
        <f>'RESUMEN TOTAL'!Q87</f>
        <v>APAGADO</v>
      </c>
      <c r="I84" t="str">
        <f>'RESUMEN TOTAL'!R87</f>
        <v>APAGADO</v>
      </c>
      <c r="J84">
        <f>'RESUMEN TOTAL'!S87</f>
        <v>0</v>
      </c>
      <c r="K84" t="str">
        <f>'RESUMEN TOTAL'!T87</f>
        <v>APAGADO</v>
      </c>
      <c r="L84" t="str">
        <f>'RESUMEN TOTAL'!U87</f>
        <v>APAGADO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  <c r="AH84">
        <f>'RESUMEN TOTAL'!AQ87</f>
        <v>0</v>
      </c>
      <c r="AI84">
        <f>'RESUMEN TOTAL'!AR87</f>
        <v>0</v>
      </c>
    </row>
    <row r="85" spans="1:35" x14ac:dyDescent="0.25">
      <c r="A85" t="str">
        <f>'RESUMEN TOTAL'!A88</f>
        <v>CENTRO</v>
      </c>
      <c r="B85" t="str">
        <f>'RESUMEN TOTAL'!B88</f>
        <v>CEN67 (fija 1)</v>
      </c>
      <c r="C85" t="str">
        <f>'RESUMEN TOTAL'!D88</f>
        <v>9 DE JULIO Y BROWN</v>
      </c>
      <c r="D85" t="str">
        <f>'RESUMEN TOTAL'!E88</f>
        <v>Fija</v>
      </c>
      <c r="E85" t="str">
        <f>'RESUMEN TOTAL'!F88</f>
        <v>Fibra Optica</v>
      </c>
      <c r="F85">
        <f>'RESUMEN TOTAL'!O88</f>
        <v>0</v>
      </c>
      <c r="G85">
        <f>'RESUMEN TOTAL'!P88</f>
        <v>0</v>
      </c>
      <c r="H85">
        <f>'RESUMEN TOTAL'!Q88</f>
        <v>0</v>
      </c>
      <c r="I85">
        <f>'RESUMEN TOTAL'!R88</f>
        <v>0</v>
      </c>
      <c r="J85">
        <f>'RESUMEN TOTAL'!S88</f>
        <v>0</v>
      </c>
      <c r="K85">
        <f>'RESUMEN TOTAL'!T88</f>
        <v>0</v>
      </c>
      <c r="L85">
        <f>'RESUMEN TOTAL'!U88</f>
        <v>0</v>
      </c>
      <c r="M85">
        <f>'RESUMEN TOTAL'!V88</f>
        <v>0</v>
      </c>
      <c r="N85">
        <f>'RESUMEN TOTAL'!W88</f>
        <v>0</v>
      </c>
      <c r="O85">
        <f>'RESUMEN TOTAL'!X88</f>
        <v>0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  <c r="AH85">
        <f>'RESUMEN TOTAL'!AQ88</f>
        <v>0</v>
      </c>
      <c r="AI85">
        <f>'RESUMEN TOTAL'!AR88</f>
        <v>0</v>
      </c>
    </row>
    <row r="86" spans="1:35" x14ac:dyDescent="0.25">
      <c r="A86" t="str">
        <f>'RESUMEN TOTAL'!A89</f>
        <v>CENTRO</v>
      </c>
      <c r="B86" t="str">
        <f>'RESUMEN TOTAL'!B89</f>
        <v>CEN68 (fija 2)</v>
      </c>
      <c r="C86" t="str">
        <f>'RESUMEN TOTAL'!D89</f>
        <v>9 DE JULIO Y BROWN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>
        <f>'RESUMEN TOTAL'!P89</f>
        <v>0</v>
      </c>
      <c r="H86">
        <f>'RESUMEN TOTAL'!Q89</f>
        <v>0</v>
      </c>
      <c r="I86">
        <f>'RESUMEN TOTAL'!R89</f>
        <v>0</v>
      </c>
      <c r="J86">
        <f>'RESUMEN TOTAL'!S89</f>
        <v>0</v>
      </c>
      <c r="K86">
        <f>'RESUMEN TOTAL'!T89</f>
        <v>0</v>
      </c>
      <c r="L86">
        <f>'RESUMEN TOTAL'!U89</f>
        <v>0</v>
      </c>
      <c r="M86">
        <f>'RESUMEN TOTAL'!V89</f>
        <v>0</v>
      </c>
      <c r="N86">
        <f>'RESUMEN TOTAL'!W89</f>
        <v>0</v>
      </c>
      <c r="O86">
        <f>'RESUMEN TOTAL'!X89</f>
        <v>0</v>
      </c>
      <c r="P86">
        <f>'RESUMEN TOTAL'!Y89</f>
        <v>0</v>
      </c>
      <c r="Q86">
        <f>'RESUMEN TOTAL'!Z89</f>
        <v>0</v>
      </c>
      <c r="R86">
        <f>'RESUMEN TOTAL'!AA89</f>
        <v>0</v>
      </c>
      <c r="S86">
        <f>'RESUMEN TOTAL'!AB89</f>
        <v>0</v>
      </c>
      <c r="T86">
        <f>'RESUMEN TOTAL'!AC89</f>
        <v>0</v>
      </c>
      <c r="U86">
        <f>'RESUMEN TOTAL'!AD89</f>
        <v>0</v>
      </c>
      <c r="V86">
        <f>'RESUMEN TOTAL'!AE89</f>
        <v>0</v>
      </c>
      <c r="W86">
        <f>'RESUMEN TOTAL'!AF89</f>
        <v>0</v>
      </c>
      <c r="X86">
        <f>'RESUMEN TOTAL'!AG89</f>
        <v>0</v>
      </c>
      <c r="Y86">
        <f>'RESUMEN TOTAL'!AH89</f>
        <v>0</v>
      </c>
      <c r="Z86">
        <f>'RESUMEN TOTAL'!AI89</f>
        <v>0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  <c r="AH86">
        <f>'RESUMEN TOTAL'!AQ89</f>
        <v>0</v>
      </c>
      <c r="AI86">
        <f>'RESUMEN TOTAL'!AR89</f>
        <v>0</v>
      </c>
    </row>
    <row r="87" spans="1:35" x14ac:dyDescent="0.25">
      <c r="A87" t="str">
        <f>'RESUMEN TOTAL'!A90</f>
        <v>CENTRO</v>
      </c>
      <c r="B87" t="str">
        <f>'RESUMEN TOTAL'!B90</f>
        <v>CEN69</v>
      </c>
      <c r="C87" t="str">
        <f>'RESUMEN TOTAL'!D90</f>
        <v>RIVADAVIA Y BOUREL</v>
      </c>
      <c r="D87" t="str">
        <f>'RESUMEN TOTAL'!E90</f>
        <v>DOMO</v>
      </c>
      <c r="E87" t="str">
        <f>'RESUMEN TOTAL'!F90</f>
        <v>Fibra Optica</v>
      </c>
      <c r="F87">
        <f>'RESUMEN TOTAL'!O90</f>
        <v>0</v>
      </c>
      <c r="G87">
        <f>'RESUMEN TOTAL'!P90</f>
        <v>0</v>
      </c>
      <c r="H87">
        <f>'RESUMEN TOTAL'!Q90</f>
        <v>0</v>
      </c>
      <c r="I87">
        <f>'RESUMEN TOTAL'!R90</f>
        <v>0</v>
      </c>
      <c r="J87">
        <f>'RESUMEN TOTAL'!S90</f>
        <v>0</v>
      </c>
      <c r="K87">
        <f>'RESUMEN TOTAL'!T90</f>
        <v>0</v>
      </c>
      <c r="L87">
        <f>'RESUMEN TOTAL'!U90</f>
        <v>0</v>
      </c>
      <c r="M87">
        <f>'RESUMEN TOTAL'!V90</f>
        <v>0</v>
      </c>
      <c r="N87">
        <f>'RESUMEN TOTAL'!W90</f>
        <v>0</v>
      </c>
      <c r="O87">
        <f>'RESUMEN TOTAL'!X90</f>
        <v>0</v>
      </c>
      <c r="P87">
        <f>'RESUMEN TOTAL'!Y90</f>
        <v>0</v>
      </c>
      <c r="Q87">
        <f>'RESUMEN TOTAL'!Z90</f>
        <v>0</v>
      </c>
      <c r="R87">
        <f>'RESUMEN TOTAL'!AA90</f>
        <v>0</v>
      </c>
      <c r="S87">
        <f>'RESUMEN TOTAL'!AB90</f>
        <v>0</v>
      </c>
      <c r="T87">
        <f>'RESUMEN TOTAL'!AC90</f>
        <v>0</v>
      </c>
      <c r="U87">
        <f>'RESUMEN TOTAL'!AD90</f>
        <v>0</v>
      </c>
      <c r="V87">
        <f>'RESUMEN TOTAL'!AE90</f>
        <v>0</v>
      </c>
      <c r="W87">
        <f>'RESUMEN TOTAL'!AF90</f>
        <v>0</v>
      </c>
      <c r="X87">
        <f>'RESUMEN TOTAL'!AG90</f>
        <v>0</v>
      </c>
      <c r="Y87">
        <f>'RESUMEN TOTAL'!AH90</f>
        <v>0</v>
      </c>
      <c r="Z87">
        <f>'RESUMEN TOTAL'!AI90</f>
        <v>0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  <c r="AH87">
        <f>'RESUMEN TOTAL'!AQ90</f>
        <v>0</v>
      </c>
      <c r="AI87">
        <f>'RESUMEN TOTAL'!AR90</f>
        <v>0</v>
      </c>
    </row>
    <row r="88" spans="1:35" x14ac:dyDescent="0.25">
      <c r="A88" t="str">
        <f>'RESUMEN TOTAL'!A91</f>
        <v>CENTRO</v>
      </c>
      <c r="B88" t="str">
        <f>'RESUMEN TOTAL'!B91</f>
        <v>CEN73</v>
      </c>
      <c r="C88" t="str">
        <f>'RESUMEN TOTAL'!D91</f>
        <v>BOUREL Y DEFENSA</v>
      </c>
      <c r="D88" t="str">
        <f>'RESUMEN TOTAL'!E91</f>
        <v>DOMO</v>
      </c>
      <c r="E88" t="str">
        <f>'RESUMEN TOTAL'!F91</f>
        <v>Fibra Optica</v>
      </c>
      <c r="F88">
        <f>'RESUMEN TOTAL'!O91</f>
        <v>0</v>
      </c>
      <c r="G88">
        <f>'RESUMEN TOTAL'!P91</f>
        <v>0</v>
      </c>
      <c r="H88">
        <f>'RESUMEN TOTAL'!Q91</f>
        <v>0</v>
      </c>
      <c r="I88">
        <f>'RESUMEN TOTAL'!R91</f>
        <v>0</v>
      </c>
      <c r="J88">
        <f>'RESUMEN TOTAL'!S91</f>
        <v>0</v>
      </c>
      <c r="K88">
        <f>'RESUMEN TOTAL'!T91</f>
        <v>0</v>
      </c>
      <c r="L88">
        <f>'RESUMEN TOTAL'!U91</f>
        <v>0</v>
      </c>
      <c r="M88">
        <f>'RESUMEN TOTAL'!V91</f>
        <v>0</v>
      </c>
      <c r="N88">
        <f>'RESUMEN TOTAL'!W91</f>
        <v>0</v>
      </c>
      <c r="O88">
        <f>'RESUMEN TOTAL'!X91</f>
        <v>0</v>
      </c>
      <c r="P88">
        <f>'RESUMEN TOTAL'!Y91</f>
        <v>0</v>
      </c>
      <c r="Q88">
        <f>'RESUMEN TOTAL'!Z91</f>
        <v>0</v>
      </c>
      <c r="R88">
        <f>'RESUMEN TOTAL'!AA91</f>
        <v>0</v>
      </c>
      <c r="S88">
        <f>'RESUMEN TOTAL'!AB91</f>
        <v>0</v>
      </c>
      <c r="T88">
        <f>'RESUMEN TOTAL'!AC91</f>
        <v>0</v>
      </c>
      <c r="U88">
        <f>'RESUMEN TOTAL'!AD91</f>
        <v>0</v>
      </c>
      <c r="V88">
        <f>'RESUMEN TOTAL'!AE91</f>
        <v>0</v>
      </c>
      <c r="W88">
        <f>'RESUMEN TOTAL'!AF91</f>
        <v>0</v>
      </c>
      <c r="X88">
        <f>'RESUMEN TOTAL'!AG91</f>
        <v>0</v>
      </c>
      <c r="Y88">
        <f>'RESUMEN TOTAL'!AH91</f>
        <v>0</v>
      </c>
      <c r="Z88">
        <f>'RESUMEN TOTAL'!AI91</f>
        <v>0</v>
      </c>
      <c r="AA88">
        <f>'RESUMEN TOTAL'!AJ91</f>
        <v>0</v>
      </c>
      <c r="AB88">
        <f>'RESUMEN TOTAL'!AK91</f>
        <v>0</v>
      </c>
      <c r="AC88">
        <f>'RESUMEN TOTAL'!AL91</f>
        <v>0</v>
      </c>
      <c r="AD88">
        <f>'RESUMEN TOTAL'!AM91</f>
        <v>0</v>
      </c>
      <c r="AE88">
        <f>'RESUMEN TOTAL'!AN91</f>
        <v>0</v>
      </c>
      <c r="AF88">
        <f>'RESUMEN TOTAL'!AO91</f>
        <v>0</v>
      </c>
      <c r="AG88">
        <f>'RESUMEN TOTAL'!AP91</f>
        <v>0</v>
      </c>
      <c r="AH88">
        <f>'RESUMEN TOTAL'!AQ91</f>
        <v>0</v>
      </c>
      <c r="AI88">
        <f>'RESUMEN TOTAL'!AR91</f>
        <v>0</v>
      </c>
    </row>
    <row r="89" spans="1:35" x14ac:dyDescent="0.25">
      <c r="A89" t="str">
        <f>'RESUMEN TOTAL'!A92</f>
        <v>CENTRO</v>
      </c>
      <c r="B89" t="str">
        <f>'RESUMEN TOTAL'!B92</f>
        <v>CEN74</v>
      </c>
      <c r="C89" t="str">
        <f>'RESUMEN TOTAL'!D92</f>
        <v>Las Heras y Maipu</v>
      </c>
      <c r="D89" t="str">
        <f>'RESUMEN TOTAL'!E92</f>
        <v>Domo</v>
      </c>
      <c r="E89" t="str">
        <f>'RESUMEN TOTAL'!F92</f>
        <v>FIBRA OPTICA</v>
      </c>
      <c r="F89">
        <f>'RESUMEN TOTAL'!O92</f>
        <v>0</v>
      </c>
      <c r="G89">
        <f>'RESUMEN TOTAL'!P92</f>
        <v>0</v>
      </c>
      <c r="H89">
        <f>'RESUMEN TOTAL'!Q92</f>
        <v>0</v>
      </c>
      <c r="I89">
        <f>'RESUMEN TOTAL'!R92</f>
        <v>0</v>
      </c>
      <c r="J89">
        <f>'RESUMEN TOTAL'!S92</f>
        <v>0</v>
      </c>
      <c r="K89">
        <f>'RESUMEN TOTAL'!T92</f>
        <v>0</v>
      </c>
      <c r="L89">
        <f>'RESUMEN TOTAL'!U92</f>
        <v>0</v>
      </c>
      <c r="M89">
        <f>'RESUMEN TOTAL'!V92</f>
        <v>0</v>
      </c>
      <c r="N89">
        <f>'RESUMEN TOTAL'!W92</f>
        <v>0</v>
      </c>
      <c r="O89">
        <f>'RESUMEN TOTAL'!X92</f>
        <v>0</v>
      </c>
      <c r="P89">
        <f>'RESUMEN TOTAL'!Y92</f>
        <v>0</v>
      </c>
      <c r="Q89">
        <f>'RESUMEN TOTAL'!Z92</f>
        <v>0</v>
      </c>
      <c r="R89">
        <f>'RESUMEN TOTAL'!AA92</f>
        <v>0</v>
      </c>
      <c r="S89">
        <f>'RESUMEN TOTAL'!AB92</f>
        <v>0</v>
      </c>
      <c r="T89">
        <f>'RESUMEN TOTAL'!AC92</f>
        <v>0</v>
      </c>
      <c r="U89">
        <f>'RESUMEN TOTAL'!AD92</f>
        <v>0</v>
      </c>
      <c r="V89">
        <f>'RESUMEN TOTAL'!AE92</f>
        <v>0</v>
      </c>
      <c r="W89">
        <f>'RESUMEN TOTAL'!AF92</f>
        <v>0</v>
      </c>
      <c r="X89">
        <f>'RESUMEN TOTAL'!AG92</f>
        <v>0</v>
      </c>
      <c r="Y89">
        <f>'RESUMEN TOTAL'!AH92</f>
        <v>0</v>
      </c>
      <c r="Z89">
        <f>'RESUMEN TOTAL'!AI92</f>
        <v>0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  <c r="AH89">
        <f>'RESUMEN TOTAL'!AQ92</f>
        <v>0</v>
      </c>
      <c r="AI89">
        <f>'RESUMEN TOTAL'!AR92</f>
        <v>0</v>
      </c>
    </row>
    <row r="90" spans="1:35" x14ac:dyDescent="0.25">
      <c r="A90" t="str">
        <f>'RESUMEN TOTAL'!A93</f>
        <v>SAN NICOLAS</v>
      </c>
      <c r="B90" t="str">
        <f>'RESUMEN TOTAL'!B93</f>
        <v>CHA01</v>
      </c>
      <c r="C90" t="str">
        <f>'RESUMEN TOTAL'!D93</f>
        <v>Novak y Pte Illia</v>
      </c>
      <c r="D90" t="str">
        <f>'RESUMEN TOTAL'!E93</f>
        <v>Domo</v>
      </c>
      <c r="E90" t="str">
        <f>'RESUMEN TOTAL'!F93</f>
        <v>Radio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  <c r="AH90">
        <f>'RESUMEN TOTAL'!AQ93</f>
        <v>0</v>
      </c>
      <c r="AI90">
        <f>'RESUMEN TOTAL'!AR93</f>
        <v>0</v>
      </c>
    </row>
    <row r="91" spans="1:35" x14ac:dyDescent="0.25">
      <c r="A91" t="str">
        <f>'RESUMEN TOTAL'!A94</f>
        <v>CHACABUCO</v>
      </c>
      <c r="B91" t="str">
        <f>'RESUMEN TOTAL'!B94</f>
        <v>CHA02</v>
      </c>
      <c r="C91" t="str">
        <f>'RESUMEN TOTAL'!D94</f>
        <v>Pte. Illia y Posadas</v>
      </c>
      <c r="D91" t="str">
        <f>'RESUMEN TOTAL'!E94</f>
        <v>Domo</v>
      </c>
      <c r="E91" t="str">
        <f>'RESUMEN TOTAL'!F94</f>
        <v>Radio</v>
      </c>
      <c r="F91">
        <f>'RESUMEN TOTAL'!O94</f>
        <v>0</v>
      </c>
      <c r="G91">
        <f>'RESUMEN TOTAL'!P94</f>
        <v>0</v>
      </c>
      <c r="H91">
        <f>'RESUMEN TOTAL'!Q94</f>
        <v>0</v>
      </c>
      <c r="I91">
        <f>'RESUMEN TOTAL'!R94</f>
        <v>0</v>
      </c>
      <c r="J91">
        <f>'RESUMEN TOTAL'!S94</f>
        <v>0</v>
      </c>
      <c r="K91">
        <f>'RESUMEN TOTAL'!T94</f>
        <v>0</v>
      </c>
      <c r="L91">
        <f>'RESUMEN TOTAL'!U94</f>
        <v>0</v>
      </c>
      <c r="M91">
        <f>'RESUMEN TOTAL'!V94</f>
        <v>0</v>
      </c>
      <c r="N91">
        <f>'RESUMEN TOTAL'!W94</f>
        <v>0</v>
      </c>
      <c r="O91">
        <f>'RESUMEN TOTAL'!X94</f>
        <v>0</v>
      </c>
      <c r="P91">
        <f>'RESUMEN TOTAL'!Y94</f>
        <v>0</v>
      </c>
      <c r="Q91">
        <f>'RESUMEN TOTAL'!Z94</f>
        <v>0</v>
      </c>
      <c r="R91">
        <f>'RESUMEN TOTAL'!AA94</f>
        <v>0</v>
      </c>
      <c r="S91">
        <f>'RESUMEN TOTAL'!AB94</f>
        <v>0</v>
      </c>
      <c r="T91">
        <f>'RESUMEN TOTAL'!AC94</f>
        <v>0</v>
      </c>
      <c r="U91">
        <f>'RESUMEN TOTAL'!AD94</f>
        <v>0</v>
      </c>
      <c r="V91">
        <f>'RESUMEN TOTAL'!AE94</f>
        <v>0</v>
      </c>
      <c r="W91">
        <f>'RESUMEN TOTAL'!AF94</f>
        <v>0</v>
      </c>
      <c r="X91">
        <f>'RESUMEN TOTAL'!AG94</f>
        <v>0</v>
      </c>
      <c r="Y91">
        <f>'RESUMEN TOTAL'!AH94</f>
        <v>0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  <c r="AH91">
        <f>'RESUMEN TOTAL'!AQ94</f>
        <v>0</v>
      </c>
      <c r="AI91">
        <f>'RESUMEN TOTAL'!AR94</f>
        <v>0</v>
      </c>
    </row>
    <row r="92" spans="1:35" x14ac:dyDescent="0.25">
      <c r="A92" t="str">
        <f>'RESUMEN TOTAL'!A95</f>
        <v>CHACABUCO</v>
      </c>
      <c r="B92" t="str">
        <f>'RESUMEN TOTAL'!B95</f>
        <v>CHA03</v>
      </c>
      <c r="C92" t="str">
        <f>'RESUMEN TOTAL'!D95</f>
        <v>MAIPU Y ALVAREZ THOMAS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  <c r="AH92">
        <f>'RESUMEN TOTAL'!AQ95</f>
        <v>0</v>
      </c>
      <c r="AI92">
        <f>'RESUMEN TOTAL'!AR95</f>
        <v>0</v>
      </c>
    </row>
    <row r="93" spans="1:35" x14ac:dyDescent="0.25">
      <c r="A93" t="str">
        <f>'RESUMEN TOTAL'!A96</f>
        <v>CHACABUCO</v>
      </c>
      <c r="B93" t="str">
        <f>'RESUMEN TOTAL'!B96</f>
        <v>CHA04</v>
      </c>
      <c r="C93" t="str">
        <f>'RESUMEN TOTAL'!D96</f>
        <v>ESTADOS UNIDOS DE A. E ILLIA</v>
      </c>
      <c r="D93" t="str">
        <f>'RESUMEN TOTAL'!E96</f>
        <v>DOMO</v>
      </c>
      <c r="E93" t="str">
        <f>'RESUMEN TOTAL'!F96</f>
        <v>Fibra Optica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>
        <f>'RESUMEN TOTAL'!AG96</f>
        <v>0</v>
      </c>
      <c r="Y93">
        <f>'RESUMEN TOTAL'!AH96</f>
        <v>0</v>
      </c>
      <c r="Z93">
        <f>'RESUMEN TOTAL'!AI96</f>
        <v>0</v>
      </c>
      <c r="AA93">
        <f>'RESUMEN TOTAL'!AJ96</f>
        <v>0</v>
      </c>
      <c r="AB93">
        <f>'RESUMEN TOTAL'!AK96</f>
        <v>0</v>
      </c>
      <c r="AC93">
        <f>'RESUMEN TOTAL'!AL96</f>
        <v>0</v>
      </c>
      <c r="AD93">
        <f>'RESUMEN TOTAL'!AM96</f>
        <v>0</v>
      </c>
      <c r="AE93">
        <f>'RESUMEN TOTAL'!AN96</f>
        <v>0</v>
      </c>
      <c r="AF93">
        <f>'RESUMEN TOTAL'!AO96</f>
        <v>0</v>
      </c>
      <c r="AG93">
        <f>'RESUMEN TOTAL'!AP96</f>
        <v>0</v>
      </c>
      <c r="AH93">
        <f>'RESUMEN TOTAL'!AQ96</f>
        <v>0</v>
      </c>
      <c r="AI93">
        <f>'RESUMEN TOTAL'!AR96</f>
        <v>0</v>
      </c>
    </row>
    <row r="94" spans="1:35" x14ac:dyDescent="0.25">
      <c r="A94" t="str">
        <f>'RESUMEN TOTAL'!A97</f>
        <v>LA COLORADA ESTE</v>
      </c>
      <c r="B94" t="str">
        <f>'RESUMEN TOTAL'!B97</f>
        <v>COL 03</v>
      </c>
      <c r="C94" t="str">
        <f>'RESUMEN TOTAL'!D97</f>
        <v>CARIBONI Y LA ANCIANIDAD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 t="str">
        <f>'RESUMEN TOTAL'!U97</f>
        <v>APAGADO</v>
      </c>
      <c r="M94">
        <f>'RESUMEN TOTAL'!V97</f>
        <v>0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  <c r="AH94">
        <f>'RESUMEN TOTAL'!AQ97</f>
        <v>0</v>
      </c>
      <c r="AI94">
        <f>'RESUMEN TOTAL'!AR97</f>
        <v>0</v>
      </c>
    </row>
    <row r="95" spans="1:35" x14ac:dyDescent="0.25">
      <c r="A95" t="str">
        <f>'RESUMEN TOTAL'!A98</f>
        <v>VILLA MONICA NUEVA</v>
      </c>
      <c r="B95" t="str">
        <f>'RESUMEN TOTAL'!B98</f>
        <v>COL01</v>
      </c>
      <c r="C95" t="str">
        <f>'RESUMEN TOTAL'!D98</f>
        <v>Eva Peron y Cariboni</v>
      </c>
      <c r="D95" t="str">
        <f>'RESUMEN TOTAL'!E98</f>
        <v>Domo</v>
      </c>
      <c r="E95" t="str">
        <f>'RESUMEN TOTAL'!F98</f>
        <v>Radio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  <c r="AH95">
        <f>'RESUMEN TOTAL'!AQ98</f>
        <v>0</v>
      </c>
      <c r="AI95">
        <f>'RESUMEN TOTAL'!AR98</f>
        <v>0</v>
      </c>
    </row>
    <row r="96" spans="1:35" x14ac:dyDescent="0.25">
      <c r="A96" t="str">
        <f>'RESUMEN TOTAL'!A99</f>
        <v>LA COLORADA ESTE</v>
      </c>
      <c r="B96" t="str">
        <f>'RESUMEN TOTAL'!B99</f>
        <v>COL02</v>
      </c>
      <c r="C96" t="str">
        <f>'RESUMEN TOTAL'!D99</f>
        <v>Av. Eva Peron y Pompeya</v>
      </c>
      <c r="D96" t="str">
        <f>'RESUMEN TOTAL'!E99</f>
        <v>Domo</v>
      </c>
      <c r="E96" t="str">
        <f>'RESUMEN TOTAL'!F99</f>
        <v>Radio</v>
      </c>
      <c r="F96">
        <f>'RESUMEN TOTAL'!O99</f>
        <v>0</v>
      </c>
      <c r="G96">
        <f>'RESUMEN TOTAL'!P99</f>
        <v>0</v>
      </c>
      <c r="H96">
        <f>'RESUMEN TOTAL'!Q99</f>
        <v>0</v>
      </c>
      <c r="I96">
        <f>'RESUMEN TOTAL'!R99</f>
        <v>0</v>
      </c>
      <c r="J96">
        <f>'RESUMEN TOTAL'!S99</f>
        <v>0</v>
      </c>
      <c r="K96">
        <f>'RESUMEN TOTAL'!T99</f>
        <v>0</v>
      </c>
      <c r="L96">
        <f>'RESUMEN TOTAL'!U99</f>
        <v>0</v>
      </c>
      <c r="M96">
        <f>'RESUMEN TOTAL'!V99</f>
        <v>0</v>
      </c>
      <c r="N96">
        <f>'RESUMEN TOTAL'!W99</f>
        <v>0</v>
      </c>
      <c r="O96">
        <f>'RESUMEN TOTAL'!X99</f>
        <v>0</v>
      </c>
      <c r="P96">
        <f>'RESUMEN TOTAL'!Y99</f>
        <v>0</v>
      </c>
      <c r="Q96">
        <f>'RESUMEN TOTAL'!Z99</f>
        <v>0</v>
      </c>
      <c r="R96">
        <f>'RESUMEN TOTAL'!AA99</f>
        <v>0</v>
      </c>
      <c r="S96">
        <f>'RESUMEN TOTAL'!AB99</f>
        <v>0</v>
      </c>
      <c r="T96">
        <f>'RESUMEN TOTAL'!AC99</f>
        <v>0</v>
      </c>
      <c r="U96">
        <f>'RESUMEN TOTAL'!AD99</f>
        <v>0</v>
      </c>
      <c r="V96">
        <f>'RESUMEN TOTAL'!AE99</f>
        <v>0</v>
      </c>
      <c r="W96">
        <f>'RESUMEN TOTAL'!AF99</f>
        <v>0</v>
      </c>
      <c r="X96">
        <f>'RESUMEN TOTAL'!AG99</f>
        <v>0</v>
      </c>
      <c r="Y96">
        <f>'RESUMEN TOTAL'!AH99</f>
        <v>0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  <c r="AH96">
        <f>'RESUMEN TOTAL'!AQ99</f>
        <v>0</v>
      </c>
      <c r="AI96">
        <f>'RESUMEN TOTAL'!AR99</f>
        <v>0</v>
      </c>
    </row>
    <row r="97" spans="1:35" x14ac:dyDescent="0.25">
      <c r="A97" t="str">
        <f>'RESUMEN TOTAL'!A100</f>
        <v>DON JOSE</v>
      </c>
      <c r="B97" t="str">
        <f>'RESUMEN TOTAL'!B100</f>
        <v>DJO 02 (fija 1)</v>
      </c>
      <c r="C97" t="str">
        <f>'RESUMEN TOTAL'!D100</f>
        <v>DONATO ALVAREZ Y EL APERO</v>
      </c>
      <c r="D97" t="str">
        <f>'RESUMEN TOTAL'!E100</f>
        <v>Fija</v>
      </c>
      <c r="E97" t="str">
        <f>'RESUMEN TOTAL'!F100</f>
        <v>PTO A FO</v>
      </c>
      <c r="F97">
        <f>'RESUMEN TOTAL'!O100</f>
        <v>0</v>
      </c>
      <c r="G97">
        <f>'RESUMEN TOTAL'!P100</f>
        <v>0</v>
      </c>
      <c r="H97">
        <f>'RESUMEN TOTAL'!Q100</f>
        <v>0</v>
      </c>
      <c r="I97">
        <f>'RESUMEN TOTAL'!R100</f>
        <v>0</v>
      </c>
      <c r="J97" t="str">
        <f>'RESUMEN TOTAL'!S100</f>
        <v xml:space="preserve"> 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>
        <f>'RESUMEN TOTAL'!AC100</f>
        <v>0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  <c r="AH97">
        <f>'RESUMEN TOTAL'!AQ100</f>
        <v>0</v>
      </c>
      <c r="AI97">
        <f>'RESUMEN TOTAL'!AR100</f>
        <v>0</v>
      </c>
    </row>
    <row r="98" spans="1:35" x14ac:dyDescent="0.25">
      <c r="A98" t="str">
        <f>'RESUMEN TOTAL'!A101</f>
        <v>DON JOSE</v>
      </c>
      <c r="B98" t="str">
        <f>'RESUMEN TOTAL'!B101</f>
        <v>DJO 03 (fija 2)</v>
      </c>
      <c r="C98" t="str">
        <f>'RESUMEN TOTAL'!D101</f>
        <v>DONATO ALVAREZ Y EL APERO</v>
      </c>
      <c r="D98" t="str">
        <f>'RESUMEN TOTAL'!E101</f>
        <v>Fija</v>
      </c>
      <c r="E98" t="str">
        <f>'RESUMEN TOTAL'!F101</f>
        <v>PTO A FO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>
        <f>'RESUMEN TOTAL'!Y101</f>
        <v>0</v>
      </c>
      <c r="Q98">
        <f>'RESUMEN TOTAL'!Z101</f>
        <v>0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  <c r="AH98">
        <f>'RESUMEN TOTAL'!AQ101</f>
        <v>0</v>
      </c>
      <c r="AI98">
        <f>'RESUMEN TOTAL'!AR101</f>
        <v>0</v>
      </c>
    </row>
    <row r="99" spans="1:35" x14ac:dyDescent="0.25">
      <c r="A99" t="str">
        <f>'RESUMEN TOTAL'!A102</f>
        <v>DON JOSE</v>
      </c>
      <c r="B99" t="str">
        <f>'RESUMEN TOTAL'!B102</f>
        <v>DJO 04 (Fija 1)</v>
      </c>
      <c r="C99" t="str">
        <f>'RESUMEN TOTAL'!D102</f>
        <v>MONTEVERDE Y EL INDIO</v>
      </c>
      <c r="D99" t="str">
        <f>'RESUMEN TOTAL'!E102</f>
        <v>Fija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>
        <f>'RESUMEN TOTAL'!R102</f>
        <v>0</v>
      </c>
      <c r="J99">
        <f>'RESUMEN TOTAL'!S102</f>
        <v>0</v>
      </c>
      <c r="K99">
        <f>'RESUMEN TOTAL'!T102</f>
        <v>0</v>
      </c>
      <c r="L99">
        <f>'RESUMEN TOTAL'!U102</f>
        <v>0</v>
      </c>
      <c r="M99">
        <f>'RESUMEN TOTAL'!V102</f>
        <v>0</v>
      </c>
      <c r="N99">
        <f>'RESUMEN TOTAL'!W102</f>
        <v>0</v>
      </c>
      <c r="O99">
        <f>'RESUMEN TOTAL'!X102</f>
        <v>0</v>
      </c>
      <c r="P99">
        <f>'RESUMEN TOTAL'!Y102</f>
        <v>0</v>
      </c>
      <c r="Q99">
        <f>'RESUMEN TOTAL'!Z102</f>
        <v>0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>
        <f>'RESUMEN TOTAL'!AE102</f>
        <v>0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  <c r="AH99">
        <f>'RESUMEN TOTAL'!AQ102</f>
        <v>0</v>
      </c>
      <c r="AI99">
        <f>'RESUMEN TOTAL'!AR102</f>
        <v>0</v>
      </c>
    </row>
    <row r="100" spans="1:35" x14ac:dyDescent="0.25">
      <c r="A100" t="str">
        <f>'RESUMEN TOTAL'!A103</f>
        <v>DON JOSE</v>
      </c>
      <c r="B100" t="str">
        <f>'RESUMEN TOTAL'!B103</f>
        <v>DJO 05 (Fija 2)</v>
      </c>
      <c r="C100" t="str">
        <f>'RESUMEN TOTAL'!D103</f>
        <v>MONTEVERDE Y EL INDIO</v>
      </c>
      <c r="D100" t="str">
        <f>'RESUMEN TOTAL'!E103</f>
        <v>Fija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>
        <f>'RESUMEN TOTAL'!R103</f>
        <v>0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>
        <f>'RESUMEN TOTAL'!Y103</f>
        <v>0</v>
      </c>
      <c r="Q100">
        <f>'RESUMEN TOTAL'!Z103</f>
        <v>0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  <c r="AH100">
        <f>'RESUMEN TOTAL'!AQ103</f>
        <v>0</v>
      </c>
      <c r="AI100">
        <f>'RESUMEN TOTAL'!AR103</f>
        <v>0</v>
      </c>
    </row>
    <row r="101" spans="1:35" x14ac:dyDescent="0.25">
      <c r="A101" t="str">
        <f>'RESUMEN TOTAL'!A104</f>
        <v>DON JOSE</v>
      </c>
      <c r="B101" t="str">
        <f>'RESUMEN TOTAL'!B104</f>
        <v>DJO01</v>
      </c>
      <c r="C101" t="str">
        <f>'RESUMEN TOTAL'!D104</f>
        <v>Monteverde y Donato Alvarez</v>
      </c>
      <c r="D101" t="str">
        <f>'RESUMEN TOTAL'!E104</f>
        <v>Domo</v>
      </c>
      <c r="E101" t="str">
        <f>'RESUMEN TOTAL'!F104</f>
        <v>RADIO</v>
      </c>
      <c r="F101">
        <f>'RESUMEN TOTAL'!O104</f>
        <v>0</v>
      </c>
      <c r="G101">
        <f>'RESUMEN TOTAL'!P104</f>
        <v>0</v>
      </c>
      <c r="H101">
        <f>'RESUMEN TOTAL'!Q104</f>
        <v>0</v>
      </c>
      <c r="I101">
        <f>'RESUMEN TOTAL'!R104</f>
        <v>0</v>
      </c>
      <c r="J101">
        <f>'RESUMEN TOTAL'!S104</f>
        <v>0</v>
      </c>
      <c r="K101">
        <f>'RESUMEN TOTAL'!T104</f>
        <v>0</v>
      </c>
      <c r="L101">
        <f>'RESUMEN TOTAL'!U104</f>
        <v>0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>
        <f>'RESUMEN TOTAL'!Y104</f>
        <v>0</v>
      </c>
      <c r="Q101">
        <f>'RESUMEN TOTAL'!Z104</f>
        <v>0</v>
      </c>
      <c r="R101">
        <f>'RESUMEN TOTAL'!AA104</f>
        <v>0</v>
      </c>
      <c r="S101">
        <f>'RESUMEN TOTAL'!AB104</f>
        <v>0</v>
      </c>
      <c r="T101">
        <f>'RESUMEN TOTAL'!AC104</f>
        <v>0</v>
      </c>
      <c r="U101">
        <f>'RESUMEN TOTAL'!AD104</f>
        <v>0</v>
      </c>
      <c r="V101">
        <f>'RESUMEN TOTAL'!AE104</f>
        <v>0</v>
      </c>
      <c r="W101">
        <f>'RESUMEN TOTAL'!AF104</f>
        <v>0</v>
      </c>
      <c r="X101">
        <f>'RESUMEN TOTAL'!AG104</f>
        <v>0</v>
      </c>
      <c r="Y101">
        <f>'RESUMEN TOTAL'!AH104</f>
        <v>0</v>
      </c>
      <c r="Z101">
        <f>'RESUMEN TOTAL'!AI104</f>
        <v>0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>
        <f>'RESUMEN TOTAL'!AM104</f>
        <v>0</v>
      </c>
      <c r="AE101">
        <f>'RESUMEN TOTAL'!AN104</f>
        <v>0</v>
      </c>
      <c r="AF101">
        <f>'RESUMEN TOTAL'!AO104</f>
        <v>0</v>
      </c>
      <c r="AG101">
        <f>'RESUMEN TOTAL'!AP104</f>
        <v>0</v>
      </c>
      <c r="AH101">
        <f>'RESUMEN TOTAL'!AQ104</f>
        <v>0</v>
      </c>
      <c r="AI101">
        <f>'RESUMEN TOTAL'!AR104</f>
        <v>0</v>
      </c>
    </row>
    <row r="102" spans="1:35" x14ac:dyDescent="0.25">
      <c r="A102" t="str">
        <f>'RESUMEN TOTAL'!A105</f>
        <v>EL PARQUE</v>
      </c>
      <c r="B102" t="str">
        <f>'RESUMEN TOTAL'!B105</f>
        <v>EPQ 01</v>
      </c>
      <c r="C102" t="str">
        <f>'RESUMEN TOTAL'!D105</f>
        <v>1282 Y GRIERSON</v>
      </c>
      <c r="D102" t="str">
        <f>'RESUMEN TOTAL'!E105</f>
        <v>DOMO</v>
      </c>
      <c r="E102" t="str">
        <f>'RESUMEN TOTAL'!F105</f>
        <v>Fibra Optica</v>
      </c>
      <c r="F102">
        <f>'RESUMEN TOTAL'!O105</f>
        <v>0</v>
      </c>
      <c r="G102">
        <f>'RESUMEN TOTAL'!P105</f>
        <v>0</v>
      </c>
      <c r="H102">
        <f>'RESUMEN TOTAL'!Q105</f>
        <v>0</v>
      </c>
      <c r="I102">
        <f>'RESUMEN TOTAL'!R105</f>
        <v>0</v>
      </c>
      <c r="J102">
        <f>'RESUMEN TOTAL'!S105</f>
        <v>0</v>
      </c>
      <c r="K102">
        <f>'RESUMEN TOTAL'!T105</f>
        <v>0</v>
      </c>
      <c r="L102">
        <f>'RESUMEN TOTAL'!U105</f>
        <v>0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>
        <f>'RESUMEN TOTAL'!Y105</f>
        <v>0</v>
      </c>
      <c r="Q102">
        <f>'RESUMEN TOTAL'!Z105</f>
        <v>0</v>
      </c>
      <c r="R102">
        <f>'RESUMEN TOTAL'!AA105</f>
        <v>0</v>
      </c>
      <c r="S102">
        <f>'RESUMEN TOTAL'!AB105</f>
        <v>0</v>
      </c>
      <c r="T102">
        <f>'RESUMEN TOTAL'!AC105</f>
        <v>0</v>
      </c>
      <c r="U102">
        <f>'RESUMEN TOTAL'!AD105</f>
        <v>0</v>
      </c>
      <c r="V102">
        <f>'RESUMEN TOTAL'!AE105</f>
        <v>0</v>
      </c>
      <c r="W102">
        <f>'RESUMEN TOTAL'!AF105</f>
        <v>0</v>
      </c>
      <c r="X102">
        <f>'RESUMEN TOTAL'!AG105</f>
        <v>0</v>
      </c>
      <c r="Y102">
        <f>'RESUMEN TOTAL'!AH105</f>
        <v>0</v>
      </c>
      <c r="Z102">
        <f>'RESUMEN TOTAL'!AI105</f>
        <v>0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>
        <f>'RESUMEN TOTAL'!AM105</f>
        <v>0</v>
      </c>
      <c r="AE102">
        <f>'RESUMEN TOTAL'!AN105</f>
        <v>0</v>
      </c>
      <c r="AF102">
        <f>'RESUMEN TOTAL'!AO105</f>
        <v>0</v>
      </c>
      <c r="AG102">
        <f>'RESUMEN TOTAL'!AP105</f>
        <v>0</v>
      </c>
      <c r="AH102">
        <f>'RESUMEN TOTAL'!AQ105</f>
        <v>0</v>
      </c>
      <c r="AI102">
        <f>'RESUMEN TOTAL'!AR105</f>
        <v>0</v>
      </c>
    </row>
    <row r="103" spans="1:35" x14ac:dyDescent="0.25">
      <c r="A103" t="str">
        <f>'RESUMEN TOTAL'!A106</f>
        <v>EL PARQUE</v>
      </c>
      <c r="B103" t="str">
        <f>'RESUMEN TOTAL'!B106</f>
        <v>EPQ 02</v>
      </c>
      <c r="C103" t="str">
        <f>'RESUMEN TOTAL'!D106</f>
        <v>1282 Y MASSE</v>
      </c>
      <c r="D103" t="str">
        <f>'RESUMEN TOTAL'!E106</f>
        <v>DOMO</v>
      </c>
      <c r="E103" t="str">
        <f>'RESUMEN TOTAL'!F106</f>
        <v>Fibra Optica</v>
      </c>
      <c r="F103">
        <f>'RESUMEN TOTAL'!O106</f>
        <v>0</v>
      </c>
      <c r="G103">
        <f>'RESUMEN TOTAL'!P106</f>
        <v>0</v>
      </c>
      <c r="H103">
        <f>'RESUMEN TOTAL'!Q106</f>
        <v>0</v>
      </c>
      <c r="I103">
        <f>'RESUMEN TOTAL'!R106</f>
        <v>0</v>
      </c>
      <c r="J103">
        <f>'RESUMEN TOTAL'!S106</f>
        <v>0</v>
      </c>
      <c r="K103">
        <f>'RESUMEN TOTAL'!T106</f>
        <v>0</v>
      </c>
      <c r="L103">
        <f>'RESUMEN TOTAL'!U106</f>
        <v>0</v>
      </c>
      <c r="M103">
        <f>'RESUMEN TOTAL'!V106</f>
        <v>0</v>
      </c>
      <c r="N103">
        <f>'RESUMEN TOTAL'!W106</f>
        <v>0</v>
      </c>
      <c r="O103">
        <f>'RESUMEN TOTAL'!X106</f>
        <v>0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>
        <f>'RESUMEN TOTAL'!AB106</f>
        <v>0</v>
      </c>
      <c r="T103">
        <f>'RESUMEN TOTAL'!AC106</f>
        <v>0</v>
      </c>
      <c r="U103">
        <f>'RESUMEN TOTAL'!AD106</f>
        <v>0</v>
      </c>
      <c r="V103">
        <f>'RESUMEN TOTAL'!AE106</f>
        <v>0</v>
      </c>
      <c r="W103">
        <f>'RESUMEN TOTAL'!AF106</f>
        <v>0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>
        <f>'RESUMEN TOTAL'!AO106</f>
        <v>0</v>
      </c>
      <c r="AG103">
        <f>'RESUMEN TOTAL'!AP106</f>
        <v>0</v>
      </c>
      <c r="AH103">
        <f>'RESUMEN TOTAL'!AQ106</f>
        <v>0</v>
      </c>
      <c r="AI103">
        <f>'RESUMEN TOTAL'!AR106</f>
        <v>0</v>
      </c>
    </row>
    <row r="104" spans="1:35" x14ac:dyDescent="0.25">
      <c r="A104" t="str">
        <f>'RESUMEN TOTAL'!A107</f>
        <v>EL PARQUE</v>
      </c>
      <c r="B104" t="str">
        <f>'RESUMEN TOTAL'!B107</f>
        <v>EPQ 03</v>
      </c>
      <c r="C104" t="str">
        <f>'RESUMEN TOTAL'!D107</f>
        <v>1282 Y RP 36</v>
      </c>
      <c r="D104" t="str">
        <f>'RESUMEN TOTAL'!E107</f>
        <v>Domo</v>
      </c>
      <c r="E104" t="str">
        <f>'RESUMEN TOTAL'!F107</f>
        <v>Fibra Optica</v>
      </c>
      <c r="F104">
        <f>'RESUMEN TOTAL'!O107</f>
        <v>0</v>
      </c>
      <c r="G104">
        <f>'RESUMEN TOTAL'!P107</f>
        <v>0</v>
      </c>
      <c r="H104">
        <f>'RESUMEN TOTAL'!Q107</f>
        <v>0</v>
      </c>
      <c r="I104">
        <f>'RESUMEN TOTAL'!R107</f>
        <v>0</v>
      </c>
      <c r="J104">
        <f>'RESUMEN TOTAL'!S107</f>
        <v>0</v>
      </c>
      <c r="K104">
        <f>'RESUMEN TOTAL'!T107</f>
        <v>0</v>
      </c>
      <c r="L104">
        <f>'RESUMEN TOTAL'!U107</f>
        <v>0</v>
      </c>
      <c r="M104">
        <f>'RESUMEN TOTAL'!V107</f>
        <v>0</v>
      </c>
      <c r="N104">
        <f>'RESUMEN TOTAL'!W107</f>
        <v>0</v>
      </c>
      <c r="O104">
        <f>'RESUMEN TOTAL'!X107</f>
        <v>0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>
        <f>'RESUMEN TOTAL'!AB107</f>
        <v>0</v>
      </c>
      <c r="T104">
        <f>'RESUMEN TOTAL'!AC107</f>
        <v>0</v>
      </c>
      <c r="U104">
        <f>'RESUMEN TOTAL'!AD107</f>
        <v>0</v>
      </c>
      <c r="V104">
        <f>'RESUMEN TOTAL'!AE107</f>
        <v>0</v>
      </c>
      <c r="W104">
        <f>'RESUMEN TOTAL'!AF107</f>
        <v>0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>
        <f>'RESUMEN TOTAL'!AO107</f>
        <v>0</v>
      </c>
      <c r="AG104">
        <f>'RESUMEN TOTAL'!AP107</f>
        <v>0</v>
      </c>
      <c r="AH104">
        <f>'RESUMEN TOTAL'!AQ107</f>
        <v>0</v>
      </c>
      <c r="AI104">
        <f>'RESUMEN TOTAL'!AR107</f>
        <v>0</v>
      </c>
    </row>
    <row r="105" spans="1:35" x14ac:dyDescent="0.25">
      <c r="A105" t="str">
        <f>'RESUMEN TOTAL'!A108</f>
        <v>EL PARQUE</v>
      </c>
      <c r="B105" t="str">
        <f>'RESUMEN TOTAL'!B108</f>
        <v>EPQ 04</v>
      </c>
      <c r="C105" t="str">
        <f>'RESUMEN TOTAL'!D108</f>
        <v>1282 Y MORENO</v>
      </c>
      <c r="D105" t="str">
        <f>'RESUMEN TOTAL'!E108</f>
        <v>DOMO</v>
      </c>
      <c r="E105" t="str">
        <f>'RESUMEN TOTAL'!F108</f>
        <v>Fibra Optica</v>
      </c>
      <c r="F105">
        <f>'RESUMEN TOTAL'!O108</f>
        <v>0</v>
      </c>
      <c r="G105">
        <f>'RESUMEN TOTAL'!P108</f>
        <v>0</v>
      </c>
      <c r="H105">
        <f>'RESUMEN TOTAL'!Q108</f>
        <v>0</v>
      </c>
      <c r="I105">
        <f>'RESUMEN TOTAL'!R108</f>
        <v>0</v>
      </c>
      <c r="J105">
        <f>'RESUMEN TOTAL'!S108</f>
        <v>0</v>
      </c>
      <c r="K105">
        <f>'RESUMEN TOTAL'!T108</f>
        <v>0</v>
      </c>
      <c r="L105">
        <f>'RESUMEN TOTAL'!U108</f>
        <v>0</v>
      </c>
      <c r="M105">
        <f>'RESUMEN TOTAL'!V108</f>
        <v>0</v>
      </c>
      <c r="N105">
        <f>'RESUMEN TOTAL'!W108</f>
        <v>0</v>
      </c>
      <c r="O105">
        <f>'RESUMEN TOTAL'!X108</f>
        <v>0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>
        <f>'RESUMEN TOTAL'!AB108</f>
        <v>0</v>
      </c>
      <c r="T105">
        <f>'RESUMEN TOTAL'!AC108</f>
        <v>0</v>
      </c>
      <c r="U105">
        <f>'RESUMEN TOTAL'!AD108</f>
        <v>0</v>
      </c>
      <c r="V105">
        <f>'RESUMEN TOTAL'!AE108</f>
        <v>0</v>
      </c>
      <c r="W105">
        <f>'RESUMEN TOTAL'!AF108</f>
        <v>0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>
        <f>'RESUMEN TOTAL'!AO108</f>
        <v>0</v>
      </c>
      <c r="AG105">
        <f>'RESUMEN TOTAL'!AP108</f>
        <v>0</v>
      </c>
      <c r="AH105">
        <f>'RESUMEN TOTAL'!AQ108</f>
        <v>0</v>
      </c>
      <c r="AI105">
        <f>'RESUMEN TOTAL'!AR108</f>
        <v>0</v>
      </c>
    </row>
    <row r="106" spans="1:35" x14ac:dyDescent="0.25">
      <c r="A106" t="str">
        <f>'RESUMEN TOTAL'!A109</f>
        <v>LA ESMERALDA</v>
      </c>
      <c r="B106" t="str">
        <f>'RESUMEN TOTAL'!B109</f>
        <v>ESM 08</v>
      </c>
      <c r="C106" t="str">
        <f>'RESUMEN TOTAL'!D109</f>
        <v>DAVINSON Y MORANCHEL</v>
      </c>
      <c r="D106" t="str">
        <f>'RESUMEN TOTAL'!E109</f>
        <v>FIJA</v>
      </c>
      <c r="E106" t="str">
        <f>'RESUMEN TOTAL'!F109</f>
        <v>Radio</v>
      </c>
      <c r="F106">
        <f>'RESUMEN TOTAL'!O109</f>
        <v>0</v>
      </c>
      <c r="G106">
        <f>'RESUMEN TOTAL'!P109</f>
        <v>0</v>
      </c>
      <c r="H106">
        <f>'RESUMEN TOTAL'!Q109</f>
        <v>0</v>
      </c>
      <c r="I106">
        <f>'RESUMEN TOTAL'!R109</f>
        <v>0</v>
      </c>
      <c r="J106">
        <f>'RESUMEN TOTAL'!S109</f>
        <v>0</v>
      </c>
      <c r="K106">
        <f>'RESUMEN TOTAL'!T109</f>
        <v>0</v>
      </c>
      <c r="L106">
        <f>'RESUMEN TOTAL'!U109</f>
        <v>0</v>
      </c>
      <c r="M106">
        <f>'RESUMEN TOTAL'!V109</f>
        <v>0</v>
      </c>
      <c r="N106">
        <f>'RESUMEN TOTAL'!W109</f>
        <v>0</v>
      </c>
      <c r="O106">
        <f>'RESUMEN TOTAL'!X109</f>
        <v>0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>
        <f>'RESUMEN TOTAL'!AB109</f>
        <v>0</v>
      </c>
      <c r="T106">
        <f>'RESUMEN TOTAL'!AC109</f>
        <v>0</v>
      </c>
      <c r="U106">
        <f>'RESUMEN TOTAL'!AD109</f>
        <v>0</v>
      </c>
      <c r="V106">
        <f>'RESUMEN TOTAL'!AE109</f>
        <v>0</v>
      </c>
      <c r="W106">
        <f>'RESUMEN TOTAL'!AF109</f>
        <v>0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>
        <f>'RESUMEN TOTAL'!AO109</f>
        <v>0</v>
      </c>
      <c r="AG106">
        <f>'RESUMEN TOTAL'!AP109</f>
        <v>0</v>
      </c>
      <c r="AH106">
        <f>'RESUMEN TOTAL'!AQ109</f>
        <v>0</v>
      </c>
      <c r="AI106">
        <f>'RESUMEN TOTAL'!AR109</f>
        <v>0</v>
      </c>
    </row>
    <row r="107" spans="1:35" x14ac:dyDescent="0.25">
      <c r="A107" t="str">
        <f>'RESUMEN TOTAL'!A110</f>
        <v>LA ESMERALDA</v>
      </c>
      <c r="B107" t="str">
        <f>'RESUMEN TOTAL'!B110</f>
        <v>ESM01</v>
      </c>
      <c r="C107" t="str">
        <f>'RESUMEN TOTAL'!D110</f>
        <v>Cabello y Brasil</v>
      </c>
      <c r="D107" t="str">
        <f>'RESUMEN TOTAL'!E110</f>
        <v>Domo</v>
      </c>
      <c r="E107" t="str">
        <f>'RESUMEN TOTAL'!F110</f>
        <v>Radio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>
        <f>'RESUMEN TOTAL'!R110</f>
        <v>0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  <c r="AH107">
        <f>'RESUMEN TOTAL'!AQ110</f>
        <v>0</v>
      </c>
      <c r="AI107">
        <f>'RESUMEN TOTAL'!AR110</f>
        <v>0</v>
      </c>
    </row>
    <row r="108" spans="1:35" x14ac:dyDescent="0.25">
      <c r="A108" t="str">
        <f>'RESUMEN TOTAL'!A111</f>
        <v>SAN JORGE</v>
      </c>
      <c r="B108" t="str">
        <f>'RESUMEN TOTAL'!B111</f>
        <v>ESM02</v>
      </c>
      <c r="C108" t="str">
        <f>'RESUMEN TOTAL'!D111</f>
        <v>Novak y Cabello</v>
      </c>
      <c r="D108" t="str">
        <f>'RESUMEN TOTAL'!E111</f>
        <v>Domo</v>
      </c>
      <c r="E108" t="str">
        <f>'RESUMEN TOTAL'!F111</f>
        <v>PTO A FO</v>
      </c>
      <c r="F108">
        <f>'RESUMEN TOTAL'!O111</f>
        <v>0</v>
      </c>
      <c r="G108">
        <f>'RESUMEN TOTAL'!P111</f>
        <v>0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  <c r="AH108">
        <f>'RESUMEN TOTAL'!AQ111</f>
        <v>0</v>
      </c>
      <c r="AI108">
        <f>'RESUMEN TOTAL'!AR111</f>
        <v>0</v>
      </c>
    </row>
    <row r="109" spans="1:35" x14ac:dyDescent="0.25">
      <c r="A109" t="str">
        <f>'RESUMEN TOTAL'!A112</f>
        <v>LIBERTAD</v>
      </c>
      <c r="B109" t="str">
        <f>'RESUMEN TOTAL'!B112</f>
        <v>ESM03</v>
      </c>
      <c r="C109" t="str">
        <f>'RESUMEN TOTAL'!D112</f>
        <v>Novak y Humahuaca</v>
      </c>
      <c r="D109" t="str">
        <f>'RESUMEN TOTAL'!E112</f>
        <v>DOMO</v>
      </c>
      <c r="E109" t="str">
        <f>'RESUMEN TOTAL'!F112</f>
        <v>PTO A FO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>
        <f>'RESUMEN TOTAL'!R112</f>
        <v>0</v>
      </c>
      <c r="J109">
        <f>'RESUMEN TOTAL'!S112</f>
        <v>0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>
        <f>'RESUMEN TOTAL'!W112</f>
        <v>0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>
        <f>'RESUMEN TOTAL'!AG112</f>
        <v>0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  <c r="AH109">
        <f>'RESUMEN TOTAL'!AQ112</f>
        <v>0</v>
      </c>
      <c r="AI109">
        <f>'RESUMEN TOTAL'!AR112</f>
        <v>0</v>
      </c>
    </row>
    <row r="110" spans="1:35" x14ac:dyDescent="0.25">
      <c r="A110" t="str">
        <f>'RESUMEN TOTAL'!A113</f>
        <v>LA ESMERALDA</v>
      </c>
      <c r="B110" t="str">
        <f>'RESUMEN TOTAL'!B113</f>
        <v>ESM04</v>
      </c>
      <c r="C110" t="str">
        <f>'RESUMEN TOTAL'!D113</f>
        <v>Basualdo y Bengochea</v>
      </c>
      <c r="D110" t="str">
        <f>'RESUMEN TOTAL'!E113</f>
        <v>Domo</v>
      </c>
      <c r="E110" t="str">
        <f>'RESUMEN TOTAL'!F113</f>
        <v>FIBRA OPTICA</v>
      </c>
      <c r="F110">
        <f>'RESUMEN TOTAL'!O113</f>
        <v>0</v>
      </c>
      <c r="G110">
        <f>'RESUMEN TOTAL'!P113</f>
        <v>0</v>
      </c>
      <c r="H110">
        <f>'RESUMEN TOTAL'!Q113</f>
        <v>0</v>
      </c>
      <c r="I110">
        <f>'RESUMEN TOTAL'!R113</f>
        <v>0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>
        <f>'RESUMEN TOTAL'!AE113</f>
        <v>0</v>
      </c>
      <c r="W110">
        <f>'RESUMEN TOTAL'!AF113</f>
        <v>0</v>
      </c>
      <c r="X110">
        <f>'RESUMEN TOTAL'!AG113</f>
        <v>0</v>
      </c>
      <c r="Y110">
        <f>'RESUMEN TOTAL'!AH113</f>
        <v>0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  <c r="AH110">
        <f>'RESUMEN TOTAL'!AQ113</f>
        <v>0</v>
      </c>
      <c r="AI110">
        <f>'RESUMEN TOTAL'!AR113</f>
        <v>0</v>
      </c>
    </row>
    <row r="111" spans="1:35" x14ac:dyDescent="0.25">
      <c r="A111" t="str">
        <f>'RESUMEN TOTAL'!A114</f>
        <v>LA ESMERALDA</v>
      </c>
      <c r="B111" t="str">
        <f>'RESUMEN TOTAL'!B114</f>
        <v>ESM05</v>
      </c>
      <c r="C111" t="str">
        <f>'RESUMEN TOTAL'!D114</f>
        <v>Aniceto Diaz y Villar</v>
      </c>
      <c r="D111" t="str">
        <f>'RESUMEN TOTAL'!E114</f>
        <v>Domo</v>
      </c>
      <c r="E111" t="str">
        <f>'RESUMEN TOTAL'!F114</f>
        <v>FIBRA OPTICA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>
        <f>'RESUMEN TOTAL'!R114</f>
        <v>0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  <c r="AH111">
        <f>'RESUMEN TOTAL'!AQ114</f>
        <v>0</v>
      </c>
      <c r="AI111">
        <f>'RESUMEN TOTAL'!AR114</f>
        <v>0</v>
      </c>
    </row>
    <row r="112" spans="1:35" x14ac:dyDescent="0.25">
      <c r="A112" t="str">
        <f>'RESUMEN TOTAL'!A115</f>
        <v>LA ESMERALDA</v>
      </c>
      <c r="B112" t="str">
        <f>'RESUMEN TOTAL'!B115</f>
        <v>ESM06</v>
      </c>
      <c r="C112" t="str">
        <f>'RESUMEN TOTAL'!D115</f>
        <v>Roselli y Cabello</v>
      </c>
      <c r="D112" t="str">
        <f>'RESUMEN TOTAL'!E115</f>
        <v>Domo</v>
      </c>
      <c r="E112" t="str">
        <f>'RESUMEN TOTAL'!F115</f>
        <v>Radio</v>
      </c>
      <c r="F112">
        <f>'RESUMEN TOTAL'!O115</f>
        <v>0</v>
      </c>
      <c r="G112">
        <f>'RESUMEN TOTAL'!P115</f>
        <v>0</v>
      </c>
      <c r="H112">
        <f>'RESUMEN TOTAL'!Q115</f>
        <v>0</v>
      </c>
      <c r="I112">
        <f>'RESUMEN TOTAL'!R115</f>
        <v>0</v>
      </c>
      <c r="J112">
        <f>'RESUMEN TOTAL'!S115</f>
        <v>0</v>
      </c>
      <c r="K112">
        <f>'RESUMEN TOTAL'!T115</f>
        <v>0</v>
      </c>
      <c r="L112">
        <f>'RESUMEN TOTAL'!U115</f>
        <v>0</v>
      </c>
      <c r="M112">
        <f>'RESUMEN TOTAL'!V115</f>
        <v>0</v>
      </c>
      <c r="N112">
        <f>'RESUMEN TOTAL'!W115</f>
        <v>0</v>
      </c>
      <c r="O112">
        <f>'RESUMEN TOTAL'!X115</f>
        <v>0</v>
      </c>
      <c r="P112">
        <f>'RESUMEN TOTAL'!Y115</f>
        <v>0</v>
      </c>
      <c r="Q112">
        <f>'RESUMEN TOTAL'!Z115</f>
        <v>0</v>
      </c>
      <c r="R112">
        <f>'RESUMEN TOTAL'!AA115</f>
        <v>0</v>
      </c>
      <c r="S112">
        <f>'RESUMEN TOTAL'!AB115</f>
        <v>0</v>
      </c>
      <c r="T112">
        <f>'RESUMEN TOTAL'!AC115</f>
        <v>0</v>
      </c>
      <c r="U112">
        <f>'RESUMEN TOTAL'!AD115</f>
        <v>0</v>
      </c>
      <c r="V112">
        <f>'RESUMEN TOTAL'!AE115</f>
        <v>0</v>
      </c>
      <c r="W112">
        <f>'RESUMEN TOTAL'!AF115</f>
        <v>0</v>
      </c>
      <c r="X112">
        <f>'RESUMEN TOTAL'!AG115</f>
        <v>0</v>
      </c>
      <c r="Y112">
        <f>'RESUMEN TOTAL'!AH115</f>
        <v>0</v>
      </c>
      <c r="Z112">
        <f>'RESUMEN TOTAL'!AI115</f>
        <v>0</v>
      </c>
      <c r="AA112">
        <f>'RESUMEN TOTAL'!AJ115</f>
        <v>0</v>
      </c>
      <c r="AB112">
        <f>'RESUMEN TOTAL'!AK115</f>
        <v>0</v>
      </c>
      <c r="AC112">
        <f>'RESUMEN TOTAL'!AL115</f>
        <v>0</v>
      </c>
      <c r="AD112">
        <f>'RESUMEN TOTAL'!AM115</f>
        <v>0</v>
      </c>
      <c r="AE112">
        <f>'RESUMEN TOTAL'!AN115</f>
        <v>0</v>
      </c>
      <c r="AF112">
        <f>'RESUMEN TOTAL'!AO115</f>
        <v>0</v>
      </c>
      <c r="AG112">
        <f>'RESUMEN TOTAL'!AP115</f>
        <v>0</v>
      </c>
      <c r="AH112">
        <f>'RESUMEN TOTAL'!AQ115</f>
        <v>0</v>
      </c>
      <c r="AI112">
        <f>'RESUMEN TOTAL'!AR115</f>
        <v>0</v>
      </c>
    </row>
    <row r="113" spans="1:35" x14ac:dyDescent="0.25">
      <c r="A113" t="str">
        <f>'RESUMEN TOTAL'!A116</f>
        <v>LA ESMERALDA</v>
      </c>
      <c r="B113" t="str">
        <f>'RESUMEN TOTAL'!B116</f>
        <v>ESM07</v>
      </c>
      <c r="C113" t="str">
        <f>'RESUMEN TOTAL'!D116</f>
        <v>AV. NOVAK Y SERRANO</v>
      </c>
      <c r="D113" t="str">
        <f>'RESUMEN TOTAL'!E116</f>
        <v>DOMO</v>
      </c>
      <c r="E113" t="str">
        <f>'RESUMEN TOTAL'!F116</f>
        <v>PTO A FO</v>
      </c>
      <c r="F113">
        <f>'RESUMEN TOTAL'!O116</f>
        <v>0</v>
      </c>
      <c r="G113">
        <f>'RESUMEN TOTAL'!P116</f>
        <v>0</v>
      </c>
      <c r="H113">
        <f>'RESUMEN TOTAL'!Q116</f>
        <v>0</v>
      </c>
      <c r="I113">
        <f>'RESUMEN TOTAL'!R116</f>
        <v>0</v>
      </c>
      <c r="J113">
        <f>'RESUMEN TOTAL'!S116</f>
        <v>0</v>
      </c>
      <c r="K113">
        <f>'RESUMEN TOTAL'!T116</f>
        <v>0</v>
      </c>
      <c r="L113">
        <f>'RESUMEN TOTAL'!U116</f>
        <v>0</v>
      </c>
      <c r="M113">
        <f>'RESUMEN TOTAL'!V116</f>
        <v>0</v>
      </c>
      <c r="N113">
        <f>'RESUMEN TOTAL'!W116</f>
        <v>0</v>
      </c>
      <c r="O113">
        <f>'RESUMEN TOTAL'!X116</f>
        <v>0</v>
      </c>
      <c r="P113">
        <f>'RESUMEN TOTAL'!Y116</f>
        <v>0</v>
      </c>
      <c r="Q113">
        <f>'RESUMEN TOTAL'!Z116</f>
        <v>0</v>
      </c>
      <c r="R113">
        <f>'RESUMEN TOTAL'!AA116</f>
        <v>0</v>
      </c>
      <c r="S113">
        <f>'RESUMEN TOTAL'!AB116</f>
        <v>0</v>
      </c>
      <c r="T113">
        <f>'RESUMEN TOTAL'!AC116</f>
        <v>0</v>
      </c>
      <c r="U113">
        <f>'RESUMEN TOTAL'!AD116</f>
        <v>0</v>
      </c>
      <c r="V113">
        <f>'RESUMEN TOTAL'!AE116</f>
        <v>0</v>
      </c>
      <c r="W113">
        <f>'RESUMEN TOTAL'!AF116</f>
        <v>0</v>
      </c>
      <c r="X113">
        <f>'RESUMEN TOTAL'!AG116</f>
        <v>0</v>
      </c>
      <c r="Y113">
        <f>'RESUMEN TOTAL'!AH116</f>
        <v>0</v>
      </c>
      <c r="Z113">
        <f>'RESUMEN TOTAL'!AI116</f>
        <v>0</v>
      </c>
      <c r="AA113">
        <f>'RESUMEN TOTAL'!AJ116</f>
        <v>0</v>
      </c>
      <c r="AB113">
        <f>'RESUMEN TOTAL'!AK116</f>
        <v>0</v>
      </c>
      <c r="AC113">
        <f>'RESUMEN TOTAL'!AL116</f>
        <v>0</v>
      </c>
      <c r="AD113">
        <f>'RESUMEN TOTAL'!AM116</f>
        <v>0</v>
      </c>
      <c r="AE113">
        <f>'RESUMEN TOTAL'!AN116</f>
        <v>0</v>
      </c>
      <c r="AF113">
        <f>'RESUMEN TOTAL'!AO116</f>
        <v>0</v>
      </c>
      <c r="AG113">
        <f>'RESUMEN TOTAL'!AP116</f>
        <v>0</v>
      </c>
      <c r="AH113">
        <f>'RESUMEN TOTAL'!AQ116</f>
        <v>0</v>
      </c>
      <c r="AI113">
        <f>'RESUMEN TOTAL'!AR116</f>
        <v>0</v>
      </c>
    </row>
    <row r="114" spans="1:35" x14ac:dyDescent="0.25">
      <c r="A114" t="str">
        <f>'RESUMEN TOTAL'!A117</f>
        <v>LA ESMERALDA</v>
      </c>
      <c r="B114" t="str">
        <f>'RESUMEN TOTAL'!B117</f>
        <v>ESM09 (fija 1)</v>
      </c>
      <c r="C114" t="str">
        <f>'RESUMEN TOTAL'!D117</f>
        <v>EEUU Y CABELLO</v>
      </c>
      <c r="D114" t="str">
        <f>'RESUMEN TOTAL'!E117</f>
        <v>Fija</v>
      </c>
      <c r="E114" t="str">
        <f>'RESUMEN TOTAL'!F117</f>
        <v>Fibra Optica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>
        <f>'RESUMEN TOTAL'!Y117</f>
        <v>0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>
        <f>'RESUMEN TOTAL'!AI117</f>
        <v>0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  <c r="AH114">
        <f>'RESUMEN TOTAL'!AQ117</f>
        <v>0</v>
      </c>
      <c r="AI114">
        <f>'RESUMEN TOTAL'!AR117</f>
        <v>0</v>
      </c>
    </row>
    <row r="115" spans="1:35" x14ac:dyDescent="0.25">
      <c r="A115" t="str">
        <f>'RESUMEN TOTAL'!A118</f>
        <v>LA ESMERALDA</v>
      </c>
      <c r="B115" t="str">
        <f>'RESUMEN TOTAL'!B118</f>
        <v>ESM10 (fija 2)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TOTAL'!O118</f>
        <v>0</v>
      </c>
      <c r="G115">
        <f>'RESUMEN TOTAL'!P118</f>
        <v>0</v>
      </c>
      <c r="H115">
        <f>'RESUMEN TOTAL'!Q118</f>
        <v>0</v>
      </c>
      <c r="I115">
        <f>'RESUMEN TOTAL'!R118</f>
        <v>0</v>
      </c>
      <c r="J115">
        <f>'RESUMEN TOTAL'!S118</f>
        <v>0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  <c r="AH115">
        <f>'RESUMEN TOTAL'!AQ118</f>
        <v>0</v>
      </c>
      <c r="AI115">
        <f>'RESUMEN TOTAL'!AR118</f>
        <v>0</v>
      </c>
    </row>
    <row r="116" spans="1:35" x14ac:dyDescent="0.25">
      <c r="A116" t="str">
        <f>'RESUMEN TOTAL'!A119</f>
        <v>LA ESMERALDA</v>
      </c>
      <c r="B116" t="str">
        <f>'RESUMEN TOTAL'!B119</f>
        <v>ESM11 (fija 1)</v>
      </c>
      <c r="C116" t="str">
        <f>'RESUMEN TOTAL'!D119</f>
        <v>NOVAK Y LAMBARDI</v>
      </c>
      <c r="D116" t="str">
        <f>'RESUMEN TOTAL'!E119</f>
        <v>Fija</v>
      </c>
      <c r="E116" t="str">
        <f>'RESUMEN TOTAL'!F119</f>
        <v>Fibra Optica</v>
      </c>
      <c r="F116">
        <f>'RESUMEN TOTAL'!O119</f>
        <v>0</v>
      </c>
      <c r="G116">
        <f>'RESUMEN TOTAL'!P119</f>
        <v>0</v>
      </c>
      <c r="H116">
        <f>'RESUMEN TOTAL'!Q119</f>
        <v>0</v>
      </c>
      <c r="I116">
        <f>'RESUMEN TOTAL'!R119</f>
        <v>0</v>
      </c>
      <c r="J116">
        <f>'RESUMEN TOTAL'!S119</f>
        <v>0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  <c r="AH116">
        <f>'RESUMEN TOTAL'!AQ119</f>
        <v>0</v>
      </c>
      <c r="AI116">
        <f>'RESUMEN TOTAL'!AR119</f>
        <v>0</v>
      </c>
    </row>
    <row r="117" spans="1:35" x14ac:dyDescent="0.25">
      <c r="A117" t="str">
        <f>'RESUMEN TOTAL'!A120</f>
        <v>LA ESMERALDA</v>
      </c>
      <c r="B117" t="str">
        <f>'RESUMEN TOTAL'!B120</f>
        <v>ESM12 (fija 2)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>
        <f>'RESUMEN TOTAL'!O120</f>
        <v>0</v>
      </c>
      <c r="G117">
        <f>'RESUMEN TOTAL'!P120</f>
        <v>0</v>
      </c>
      <c r="H117">
        <f>'RESUMEN TOTAL'!Q120</f>
        <v>0</v>
      </c>
      <c r="I117">
        <f>'RESUMEN TOTAL'!R120</f>
        <v>0</v>
      </c>
      <c r="J117">
        <f>'RESUMEN TOTAL'!S120</f>
        <v>0</v>
      </c>
      <c r="K117">
        <f>'RESUMEN TOTAL'!T120</f>
        <v>0</v>
      </c>
      <c r="L117">
        <f>'RESUMEN TOTAL'!U120</f>
        <v>0</v>
      </c>
      <c r="M117">
        <f>'RESUMEN TOTAL'!V120</f>
        <v>0</v>
      </c>
      <c r="N117">
        <f>'RESUMEN TOTAL'!W120</f>
        <v>0</v>
      </c>
      <c r="O117">
        <f>'RESUMEN TOTAL'!X120</f>
        <v>0</v>
      </c>
      <c r="P117">
        <f>'RESUMEN TOTAL'!Y120</f>
        <v>0</v>
      </c>
      <c r="Q117">
        <f>'RESUMEN TOTAL'!Z120</f>
        <v>0</v>
      </c>
      <c r="R117">
        <f>'RESUMEN TOTAL'!AA120</f>
        <v>0</v>
      </c>
      <c r="S117">
        <f>'RESUMEN TOTAL'!AB120</f>
        <v>0</v>
      </c>
      <c r="T117">
        <f>'RESUMEN TOTAL'!AC120</f>
        <v>0</v>
      </c>
      <c r="U117">
        <f>'RESUMEN TOTAL'!AD120</f>
        <v>0</v>
      </c>
      <c r="V117">
        <f>'RESUMEN TOTAL'!AE120</f>
        <v>0</v>
      </c>
      <c r="W117">
        <f>'RESUMEN TOTAL'!AF120</f>
        <v>0</v>
      </c>
      <c r="X117">
        <f>'RESUMEN TOTAL'!AG120</f>
        <v>0</v>
      </c>
      <c r="Y117">
        <f>'RESUMEN TOTAL'!AH120</f>
        <v>0</v>
      </c>
      <c r="Z117">
        <f>'RESUMEN TOTAL'!AI120</f>
        <v>0</v>
      </c>
      <c r="AA117">
        <f>'RESUMEN TOTAL'!AJ120</f>
        <v>0</v>
      </c>
      <c r="AB117">
        <f>'RESUMEN TOTAL'!AK120</f>
        <v>0</v>
      </c>
      <c r="AC117">
        <f>'RESUMEN TOTAL'!AL120</f>
        <v>0</v>
      </c>
      <c r="AD117">
        <f>'RESUMEN TOTAL'!AM120</f>
        <v>0</v>
      </c>
      <c r="AE117">
        <f>'RESUMEN TOTAL'!AN120</f>
        <v>0</v>
      </c>
      <c r="AF117">
        <f>'RESUMEN TOTAL'!AO120</f>
        <v>0</v>
      </c>
      <c r="AG117">
        <f>'RESUMEN TOTAL'!AP120</f>
        <v>0</v>
      </c>
      <c r="AH117">
        <f>'RESUMEN TOTAL'!AQ120</f>
        <v>0</v>
      </c>
      <c r="AI117">
        <f>'RESUMEN TOTAL'!AR120</f>
        <v>0</v>
      </c>
    </row>
    <row r="118" spans="1:35" x14ac:dyDescent="0.25">
      <c r="A118" t="str">
        <f>'RESUMEN TOTAL'!A121</f>
        <v>INGENIERO ALLAN</v>
      </c>
      <c r="B118" t="str">
        <f>'RESUMEN TOTAL'!B121</f>
        <v>INA 01</v>
      </c>
      <c r="C118" t="str">
        <f>'RESUMEN TOTAL'!D121</f>
        <v>1138 Y 1155</v>
      </c>
      <c r="D118" t="str">
        <f>'RESUMEN TOTAL'!E121</f>
        <v>DOMO</v>
      </c>
      <c r="E118" t="str">
        <f>'RESUMEN TOTAL'!F121</f>
        <v>Fibra Optica</v>
      </c>
      <c r="F118">
        <f>'RESUMEN TOTAL'!O121</f>
        <v>0</v>
      </c>
      <c r="G118">
        <f>'RESUMEN TOTAL'!P121</f>
        <v>0</v>
      </c>
      <c r="H118">
        <f>'RESUMEN TOTAL'!Q121</f>
        <v>0</v>
      </c>
      <c r="I118">
        <f>'RESUMEN TOTAL'!R121</f>
        <v>0</v>
      </c>
      <c r="J118">
        <f>'RESUMEN TOTAL'!S121</f>
        <v>0</v>
      </c>
      <c r="K118">
        <f>'RESUMEN TOTAL'!T121</f>
        <v>0</v>
      </c>
      <c r="L118">
        <f>'RESUMEN TOTAL'!U121</f>
        <v>0</v>
      </c>
      <c r="M118">
        <f>'RESUMEN TOTAL'!V121</f>
        <v>0</v>
      </c>
      <c r="N118">
        <f>'RESUMEN TOTAL'!W121</f>
        <v>0</v>
      </c>
      <c r="O118">
        <f>'RESUMEN TOTAL'!X121</f>
        <v>0</v>
      </c>
      <c r="P118">
        <f>'RESUMEN TOTAL'!Y121</f>
        <v>0</v>
      </c>
      <c r="Q118">
        <f>'RESUMEN TOTAL'!Z121</f>
        <v>0</v>
      </c>
      <c r="R118">
        <f>'RESUMEN TOTAL'!AA121</f>
        <v>0</v>
      </c>
      <c r="S118">
        <f>'RESUMEN TOTAL'!AB121</f>
        <v>0</v>
      </c>
      <c r="T118">
        <f>'RESUMEN TOTAL'!AC121</f>
        <v>0</v>
      </c>
      <c r="U118">
        <f>'RESUMEN TOTAL'!AD121</f>
        <v>0</v>
      </c>
      <c r="V118">
        <f>'RESUMEN TOTAL'!AE121</f>
        <v>0</v>
      </c>
      <c r="W118">
        <f>'RESUMEN TOTAL'!AF121</f>
        <v>0</v>
      </c>
      <c r="X118">
        <f>'RESUMEN TOTAL'!AG121</f>
        <v>0</v>
      </c>
      <c r="Y118">
        <f>'RESUMEN TOTAL'!AH121</f>
        <v>0</v>
      </c>
      <c r="Z118">
        <f>'RESUMEN TOTAL'!AI121</f>
        <v>0</v>
      </c>
      <c r="AA118">
        <f>'RESUMEN TOTAL'!AJ121</f>
        <v>0</v>
      </c>
      <c r="AB118">
        <f>'RESUMEN TOTAL'!AK121</f>
        <v>0</v>
      </c>
      <c r="AC118">
        <f>'RESUMEN TOTAL'!AL121</f>
        <v>0</v>
      </c>
      <c r="AD118">
        <f>'RESUMEN TOTAL'!AM121</f>
        <v>0</v>
      </c>
      <c r="AE118">
        <f>'RESUMEN TOTAL'!AN121</f>
        <v>0</v>
      </c>
      <c r="AF118">
        <f>'RESUMEN TOTAL'!AO121</f>
        <v>0</v>
      </c>
      <c r="AG118">
        <f>'RESUMEN TOTAL'!AP121</f>
        <v>0</v>
      </c>
      <c r="AH118">
        <f>'RESUMEN TOTAL'!AQ121</f>
        <v>0</v>
      </c>
      <c r="AI118">
        <f>'RESUMEN TOTAL'!AR121</f>
        <v>0</v>
      </c>
    </row>
    <row r="119" spans="1:35" x14ac:dyDescent="0.25">
      <c r="A119" t="str">
        <f>'RESUMEN TOTAL'!A122</f>
        <v>INGENIERO ALLAN</v>
      </c>
      <c r="B119" t="str">
        <f>'RESUMEN TOTAL'!B122</f>
        <v>INA 02</v>
      </c>
      <c r="C119" t="str">
        <f>'RESUMEN TOTAL'!D122</f>
        <v>1144 Y 1155</v>
      </c>
      <c r="D119" t="str">
        <f>'RESUMEN TOTAL'!E122</f>
        <v>DOMO</v>
      </c>
      <c r="E119" t="str">
        <f>'RESUMEN TOTAL'!F122</f>
        <v>Fibra Optica</v>
      </c>
      <c r="F119">
        <f>'RESUMEN TOTAL'!O122</f>
        <v>0</v>
      </c>
      <c r="G119">
        <f>'RESUMEN TOTAL'!P122</f>
        <v>0</v>
      </c>
      <c r="H119">
        <f>'RESUMEN TOTAL'!Q122</f>
        <v>0</v>
      </c>
      <c r="I119">
        <f>'RESUMEN TOTAL'!R122</f>
        <v>0</v>
      </c>
      <c r="J119">
        <f>'RESUMEN TOTAL'!S122</f>
        <v>0</v>
      </c>
      <c r="K119">
        <f>'RESUMEN TOTAL'!T122</f>
        <v>0</v>
      </c>
      <c r="L119">
        <f>'RESUMEN TOTAL'!U122</f>
        <v>0</v>
      </c>
      <c r="M119">
        <f>'RESUMEN TOTAL'!V122</f>
        <v>0</v>
      </c>
      <c r="N119">
        <f>'RESUMEN TOTAL'!W122</f>
        <v>0</v>
      </c>
      <c r="O119">
        <f>'RESUMEN TOTAL'!X122</f>
        <v>0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>
        <f>'RESUMEN TOTAL'!AB122</f>
        <v>0</v>
      </c>
      <c r="T119">
        <f>'RESUMEN TOTAL'!AC122</f>
        <v>0</v>
      </c>
      <c r="U119">
        <f>'RESUMEN TOTAL'!AD122</f>
        <v>0</v>
      </c>
      <c r="V119">
        <f>'RESUMEN TOTAL'!AE122</f>
        <v>0</v>
      </c>
      <c r="W119">
        <f>'RESUMEN TOTAL'!AF122</f>
        <v>0</v>
      </c>
      <c r="X119">
        <f>'RESUMEN TOTAL'!AG122</f>
        <v>0</v>
      </c>
      <c r="Y119">
        <f>'RESUMEN TOTAL'!AH122</f>
        <v>0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>
        <f>'RESUMEN TOTAL'!AO122</f>
        <v>0</v>
      </c>
      <c r="AG119">
        <f>'RESUMEN TOTAL'!AP122</f>
        <v>0</v>
      </c>
      <c r="AH119">
        <f>'RESUMEN TOTAL'!AQ122</f>
        <v>0</v>
      </c>
      <c r="AI119">
        <f>'RESUMEN TOTAL'!AR122</f>
        <v>0</v>
      </c>
    </row>
    <row r="120" spans="1:35" x14ac:dyDescent="0.25">
      <c r="A120" t="str">
        <f>'RESUMEN TOTAL'!A123</f>
        <v>INFICO</v>
      </c>
      <c r="B120" t="str">
        <f>'RESUMEN TOTAL'!B123</f>
        <v>INF 01</v>
      </c>
      <c r="C120" t="str">
        <f>'RESUMEN TOTAL'!D123</f>
        <v>AV. HUDSON Y CARIBONI</v>
      </c>
      <c r="D120">
        <f>'RESUMEN TOTAL'!E123</f>
        <v>0</v>
      </c>
      <c r="E120" t="str">
        <f>'RESUMEN TOTAL'!F123</f>
        <v>Fibra Optica</v>
      </c>
      <c r="F120">
        <f>'RESUMEN TOTAL'!O123</f>
        <v>0</v>
      </c>
      <c r="G120">
        <f>'RESUMEN TOTAL'!P123</f>
        <v>0</v>
      </c>
      <c r="H120">
        <f>'RESUMEN TOTAL'!Q123</f>
        <v>0</v>
      </c>
      <c r="I120">
        <f>'RESUMEN TOTAL'!R123</f>
        <v>0</v>
      </c>
      <c r="J120">
        <f>'RESUMEN TOTAL'!S123</f>
        <v>0</v>
      </c>
      <c r="K120">
        <f>'RESUMEN TOTAL'!T123</f>
        <v>0</v>
      </c>
      <c r="L120">
        <f>'RESUMEN TOTAL'!U123</f>
        <v>0</v>
      </c>
      <c r="M120">
        <f>'RESUMEN TOTAL'!V123</f>
        <v>0</v>
      </c>
      <c r="N120">
        <f>'RESUMEN TOTAL'!W123</f>
        <v>0</v>
      </c>
      <c r="O120">
        <f>'RESUMEN TOTAL'!X123</f>
        <v>0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>
        <f>'RESUMEN TOTAL'!AB123</f>
        <v>0</v>
      </c>
      <c r="T120">
        <f>'RESUMEN TOTAL'!AC123</f>
        <v>0</v>
      </c>
      <c r="U120">
        <f>'RESUMEN TOTAL'!AD123</f>
        <v>0</v>
      </c>
      <c r="V120">
        <f>'RESUMEN TOTAL'!AE123</f>
        <v>0</v>
      </c>
      <c r="W120">
        <f>'RESUMEN TOTAL'!AF123</f>
        <v>0</v>
      </c>
      <c r="X120">
        <f>'RESUMEN TOTAL'!AG123</f>
        <v>0</v>
      </c>
      <c r="Y120">
        <f>'RESUMEN TOTAL'!AH123</f>
        <v>0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>
        <f>'RESUMEN TOTAL'!AO123</f>
        <v>0</v>
      </c>
      <c r="AG120">
        <f>'RESUMEN TOTAL'!AP123</f>
        <v>0</v>
      </c>
      <c r="AH120">
        <f>'RESUMEN TOTAL'!AQ123</f>
        <v>0</v>
      </c>
      <c r="AI120">
        <f>'RESUMEN TOTAL'!AR123</f>
        <v>0</v>
      </c>
    </row>
    <row r="121" spans="1:35" x14ac:dyDescent="0.25">
      <c r="A121" t="str">
        <f>'RESUMEN TOTAL'!A124</f>
        <v>KM 26700 (JULIO A. COSTA)</v>
      </c>
      <c r="B121" t="str">
        <f>'RESUMEN TOTAL'!B124</f>
        <v>KM 07</v>
      </c>
      <c r="C121" t="str">
        <f>'RESUMEN TOTAL'!D124</f>
        <v>EL ALJIBE E/ EL ZONDA Y DON SEGUNDO SOMBRA</v>
      </c>
      <c r="D121" t="str">
        <f>'RESUMEN TOTAL'!E124</f>
        <v>DOMO</v>
      </c>
      <c r="E121" t="str">
        <f>'RESUMEN TOTAL'!F124</f>
        <v>Radio</v>
      </c>
      <c r="F121">
        <f>'RESUMEN TOTAL'!O124</f>
        <v>0</v>
      </c>
      <c r="G121">
        <f>'RESUMEN TOTAL'!P124</f>
        <v>0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>
        <f>'RESUMEN TOTAL'!AG124</f>
        <v>0</v>
      </c>
      <c r="Y121">
        <f>'RESUMEN TOTAL'!AH124</f>
        <v>0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  <c r="AH121">
        <f>'RESUMEN TOTAL'!AQ124</f>
        <v>0</v>
      </c>
      <c r="AI121">
        <f>'RESUMEN TOTAL'!AR124</f>
        <v>0</v>
      </c>
    </row>
    <row r="122" spans="1:35" x14ac:dyDescent="0.25">
      <c r="A122" t="str">
        <f>'RESUMEN TOTAL'!A125</f>
        <v>KM 26700 (JULIO A. COSTA)</v>
      </c>
      <c r="B122" t="str">
        <f>'RESUMEN TOTAL'!B125</f>
        <v>KM 10 / UPA 2</v>
      </c>
      <c r="C122" t="str">
        <f>'RESUMEN TOTAL'!D125</f>
        <v>PLAYA DE ESTACIONAMIENTO INTERNA E/ HOSP. MODULAR Y UPA 11.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>
        <f>'RESUMEN TOTAL'!P125</f>
        <v>0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  <c r="AH122">
        <f>'RESUMEN TOTAL'!AQ125</f>
        <v>0</v>
      </c>
      <c r="AI122">
        <f>'RESUMEN TOTAL'!AR125</f>
        <v>0</v>
      </c>
    </row>
    <row r="123" spans="1:35" x14ac:dyDescent="0.25">
      <c r="A123" t="str">
        <f>'RESUMEN TOTAL'!A126</f>
        <v>KM 26700 (JULIO A. COSTA)</v>
      </c>
      <c r="B123" t="str">
        <f>'RESUMEN TOTAL'!B126</f>
        <v>KM 12 FIJA 1</v>
      </c>
      <c r="C123" t="str">
        <f>'RESUMEN TOTAL'!D126</f>
        <v>BLANDENGUES Y LA ZAMBA</v>
      </c>
      <c r="D123" t="str">
        <f>'RESUMEN TOTAL'!E126</f>
        <v>Fija</v>
      </c>
      <c r="E123" t="str">
        <f>'RESUMEN TOTAL'!F126</f>
        <v>PTO A FO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>
        <f>'RESUMEN TOTAL'!R126</f>
        <v>0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  <c r="AH123">
        <f>'RESUMEN TOTAL'!AQ126</f>
        <v>0</v>
      </c>
      <c r="AI123">
        <f>'RESUMEN TOTAL'!AR126</f>
        <v>0</v>
      </c>
    </row>
    <row r="124" spans="1:35" x14ac:dyDescent="0.25">
      <c r="A124" t="str">
        <f>'RESUMEN TOTAL'!A127</f>
        <v>KM 26700 (JULIO A. COSTA)</v>
      </c>
      <c r="B124" t="str">
        <f>'RESUMEN TOTAL'!B127</f>
        <v>KM 13 FIJA 2</v>
      </c>
      <c r="C124" t="str">
        <f>'RESUMEN TOTAL'!D127</f>
        <v>BLANDENGUES Y LA ZAMBA</v>
      </c>
      <c r="D124" t="str">
        <f>'RESUMEN TOTAL'!E127</f>
        <v>Fija</v>
      </c>
      <c r="E124" t="str">
        <f>'RESUMEN TOTAL'!F127</f>
        <v>PTO A FO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>
        <f>'RESUMEN TOTAL'!R127</f>
        <v>0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  <c r="AH124">
        <f>'RESUMEN TOTAL'!AQ127</f>
        <v>0</v>
      </c>
      <c r="AI124">
        <f>'RESUMEN TOTAL'!AR127</f>
        <v>0</v>
      </c>
    </row>
    <row r="125" spans="1:35" x14ac:dyDescent="0.25">
      <c r="A125" t="str">
        <f>'RESUMEN TOTAL'!A128</f>
        <v>KM 26700 (JULIO A. COSTA)</v>
      </c>
      <c r="B125" t="str">
        <f>'RESUMEN TOTAL'!B128</f>
        <v>KM 14 (fija 1)</v>
      </c>
      <c r="C125" t="str">
        <f>'RESUMEN TOTAL'!D128</f>
        <v>EL GAUCHO Y EL ZONDA</v>
      </c>
      <c r="D125" t="str">
        <f>'RESUMEN TOTAL'!E128</f>
        <v>Fija</v>
      </c>
      <c r="E125" t="str">
        <f>'RESUMEN TOTAL'!F128</f>
        <v>PTO A FO</v>
      </c>
      <c r="F125" t="str">
        <f>'RESUMEN TOTAL'!O128</f>
        <v>APAGADO</v>
      </c>
      <c r="G125" t="str">
        <f>'RESUMEN TOTAL'!P128</f>
        <v>APAGADO</v>
      </c>
      <c r="H125" t="str">
        <f>'RESUMEN TOTAL'!Q128</f>
        <v>APAGADO</v>
      </c>
      <c r="I125" t="str">
        <f>'RESUMEN TOTAL'!R128</f>
        <v>APAGADO</v>
      </c>
      <c r="J125" t="str">
        <f>'RESUMEN TOTAL'!S128</f>
        <v>APAGADO</v>
      </c>
      <c r="K125" t="str">
        <f>'RESUMEN TOTAL'!T128</f>
        <v>APAGADO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>
        <f>'RESUMEN TOTAL'!AH128</f>
        <v>0</v>
      </c>
      <c r="Z125">
        <f>'RESUMEN TOTAL'!AI128</f>
        <v>0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  <c r="AH125">
        <f>'RESUMEN TOTAL'!AQ128</f>
        <v>0</v>
      </c>
      <c r="AI125">
        <f>'RESUMEN TOTAL'!AR128</f>
        <v>0</v>
      </c>
    </row>
    <row r="126" spans="1:35" x14ac:dyDescent="0.25">
      <c r="A126" t="str">
        <f>'RESUMEN TOTAL'!A129</f>
        <v>KM 26700 (JULIO A. COSTA)</v>
      </c>
      <c r="B126" t="str">
        <f>'RESUMEN TOTAL'!B129</f>
        <v>KM 15 (fija 2)</v>
      </c>
      <c r="C126" t="str">
        <f>'RESUMEN TOTAL'!D129</f>
        <v>EL GAUCHO Y EL ZONDA</v>
      </c>
      <c r="D126" t="str">
        <f>'RESUMEN TOTAL'!E129</f>
        <v>Fija</v>
      </c>
      <c r="E126" t="str">
        <f>'RESUMEN TOTAL'!F129</f>
        <v>PTO A FO</v>
      </c>
      <c r="F126" t="str">
        <f>'RESUMEN TOTAL'!O129</f>
        <v>APAGADO</v>
      </c>
      <c r="G126" t="str">
        <f>'RESUMEN TOTAL'!P129</f>
        <v>APAGADO</v>
      </c>
      <c r="H126" t="str">
        <f>'RESUMEN TOTAL'!Q129</f>
        <v>APAGADO</v>
      </c>
      <c r="I126" t="str">
        <f>'RESUMEN TOTAL'!R129</f>
        <v>APAGADO</v>
      </c>
      <c r="J126" t="str">
        <f>'RESUMEN TOTAL'!S129</f>
        <v>APAGADO</v>
      </c>
      <c r="K126">
        <f>'RESUMEN TOTAL'!T129</f>
        <v>0</v>
      </c>
      <c r="L126">
        <f>'RESUMEN TOTAL'!U129</f>
        <v>0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>
        <f>'RESUMEN TOTAL'!Y129</f>
        <v>0</v>
      </c>
      <c r="Q126">
        <f>'RESUMEN TOTAL'!Z129</f>
        <v>0</v>
      </c>
      <c r="R126">
        <f>'RESUMEN TOTAL'!AA129</f>
        <v>0</v>
      </c>
      <c r="S126">
        <f>'RESUMEN TOTAL'!AB129</f>
        <v>0</v>
      </c>
      <c r="T126">
        <f>'RESUMEN TOTAL'!AC129</f>
        <v>0</v>
      </c>
      <c r="U126">
        <f>'RESUMEN TOTAL'!AD129</f>
        <v>0</v>
      </c>
      <c r="V126">
        <f>'RESUMEN TOTAL'!AE129</f>
        <v>0</v>
      </c>
      <c r="W126">
        <f>'RESUMEN TOTAL'!AF129</f>
        <v>0</v>
      </c>
      <c r="X126">
        <f>'RESUMEN TOTAL'!AG129</f>
        <v>0</v>
      </c>
      <c r="Y126">
        <f>'RESUMEN TOTAL'!AH129</f>
        <v>0</v>
      </c>
      <c r="Z126">
        <f>'RESUMEN TOTAL'!AI129</f>
        <v>0</v>
      </c>
      <c r="AA126">
        <f>'RESUMEN TOTAL'!AJ129</f>
        <v>0</v>
      </c>
      <c r="AB126">
        <f>'RESUMEN TOTAL'!AK129</f>
        <v>0</v>
      </c>
      <c r="AC126">
        <f>'RESUMEN TOTAL'!AL129</f>
        <v>0</v>
      </c>
      <c r="AD126">
        <f>'RESUMEN TOTAL'!AM129</f>
        <v>0</v>
      </c>
      <c r="AE126">
        <f>'RESUMEN TOTAL'!AN129</f>
        <v>0</v>
      </c>
      <c r="AF126">
        <f>'RESUMEN TOTAL'!AO129</f>
        <v>0</v>
      </c>
      <c r="AG126">
        <f>'RESUMEN TOTAL'!AP129</f>
        <v>0</v>
      </c>
      <c r="AH126">
        <f>'RESUMEN TOTAL'!AQ129</f>
        <v>0</v>
      </c>
      <c r="AI126">
        <f>'RESUMEN TOTAL'!AR129</f>
        <v>0</v>
      </c>
    </row>
    <row r="127" spans="1:35" x14ac:dyDescent="0.25">
      <c r="A127" t="str">
        <f>'RESUMEN TOTAL'!A130</f>
        <v>KM 26700 (JULIO A. COSTA)</v>
      </c>
      <c r="B127" t="str">
        <f>'RESUMEN TOTAL'!B130</f>
        <v>KM 16 (fija 1)</v>
      </c>
      <c r="C127" t="str">
        <f>'RESUMEN TOTAL'!D130</f>
        <v>EL GAUCHO Y MARTIN FIERRO</v>
      </c>
      <c r="D127" t="str">
        <f>'RESUMEN TOTAL'!E130</f>
        <v>Fija</v>
      </c>
      <c r="E127" t="str">
        <f>'RESUMEN TOTAL'!F130</f>
        <v>PTO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>
        <f>'RESUMEN TOTAL'!R130</f>
        <v>0</v>
      </c>
      <c r="J127">
        <f>'RESUMEN TOTAL'!S130</f>
        <v>0</v>
      </c>
      <c r="K127">
        <f>'RESUMEN TOTAL'!T130</f>
        <v>0</v>
      </c>
      <c r="L127">
        <f>'RESUMEN TOTAL'!U130</f>
        <v>0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>
        <f>'RESUMEN TOTAL'!Y130</f>
        <v>0</v>
      </c>
      <c r="Q127">
        <f>'RESUMEN TOTAL'!Z130</f>
        <v>0</v>
      </c>
      <c r="R127">
        <f>'RESUMEN TOTAL'!AA130</f>
        <v>0</v>
      </c>
      <c r="S127">
        <f>'RESUMEN TOTAL'!AB130</f>
        <v>0</v>
      </c>
      <c r="T127">
        <f>'RESUMEN TOTAL'!AC130</f>
        <v>0</v>
      </c>
      <c r="U127">
        <f>'RESUMEN TOTAL'!AD130</f>
        <v>0</v>
      </c>
      <c r="V127">
        <f>'RESUMEN TOTAL'!AE130</f>
        <v>0</v>
      </c>
      <c r="W127">
        <f>'RESUMEN TOTAL'!AF130</f>
        <v>0</v>
      </c>
      <c r="X127">
        <f>'RESUMEN TOTAL'!AG130</f>
        <v>0</v>
      </c>
      <c r="Y127">
        <f>'RESUMEN TOTAL'!AH130</f>
        <v>0</v>
      </c>
      <c r="Z127">
        <f>'RESUMEN TOTAL'!AI130</f>
        <v>0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>
        <f>'RESUMEN TOTAL'!AM130</f>
        <v>0</v>
      </c>
      <c r="AE127">
        <f>'RESUMEN TOTAL'!AN130</f>
        <v>0</v>
      </c>
      <c r="AF127">
        <f>'RESUMEN TOTAL'!AO130</f>
        <v>0</v>
      </c>
      <c r="AG127">
        <f>'RESUMEN TOTAL'!AP130</f>
        <v>0</v>
      </c>
      <c r="AH127">
        <f>'RESUMEN TOTAL'!AQ130</f>
        <v>0</v>
      </c>
      <c r="AI127">
        <f>'RESUMEN TOTAL'!AR130</f>
        <v>0</v>
      </c>
    </row>
    <row r="128" spans="1:35" x14ac:dyDescent="0.25">
      <c r="A128" t="str">
        <f>'RESUMEN TOTAL'!A131</f>
        <v>KM 26700 (JULIO A. COSTA)</v>
      </c>
      <c r="B128" t="str">
        <f>'RESUMEN TOTAL'!B131</f>
        <v>KM 17 (fija 2)</v>
      </c>
      <c r="C128" t="str">
        <f>'RESUMEN TOTAL'!D131</f>
        <v>EL GAUCHO Y MARTIN FIERRO</v>
      </c>
      <c r="D128" t="str">
        <f>'RESUMEN TOTAL'!E131</f>
        <v>Fija</v>
      </c>
      <c r="E128" t="str">
        <f>'RESUMEN TOTAL'!F131</f>
        <v>PTO A FO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  <c r="AH128">
        <f>'RESUMEN TOTAL'!AQ131</f>
        <v>0</v>
      </c>
      <c r="AI128">
        <f>'RESUMEN TOTAL'!AR131</f>
        <v>0</v>
      </c>
    </row>
    <row r="129" spans="1:35" x14ac:dyDescent="0.25">
      <c r="A129" t="str">
        <f>'RESUMEN TOTAL'!A132</f>
        <v>VILLA ARGENTINA</v>
      </c>
      <c r="B129" t="str">
        <f>'RESUMEN TOTAL'!B132</f>
        <v>KM01</v>
      </c>
      <c r="C129" t="str">
        <f>'RESUMEN TOTAL'!D132</f>
        <v>Vias FFCC y La Pulperia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  <c r="AH129">
        <f>'RESUMEN TOTAL'!AQ132</f>
        <v>0</v>
      </c>
      <c r="AI129">
        <f>'RESUMEN TOTAL'!AR132</f>
        <v>0</v>
      </c>
    </row>
    <row r="130" spans="1:35" x14ac:dyDescent="0.25">
      <c r="A130" t="str">
        <f>'RESUMEN TOTAL'!A133</f>
        <v>CHACABUCO</v>
      </c>
      <c r="B130" t="str">
        <f>'RESUMEN TOTAL'!B133</f>
        <v>KM02</v>
      </c>
      <c r="C130" t="str">
        <f>'RESUMEN TOTAL'!D133</f>
        <v>Novak e/El Overo y el Mangrullo</v>
      </c>
      <c r="D130" t="str">
        <f>'RESUMEN TOTAL'!E133</f>
        <v>Domo</v>
      </c>
      <c r="E130" t="str">
        <f>'RESUMEN TOTAL'!F133</f>
        <v>Radio</v>
      </c>
      <c r="F130">
        <f>'RESUMEN TOTAL'!O133</f>
        <v>0</v>
      </c>
      <c r="G130">
        <f>'RESUMEN TOTAL'!P133</f>
        <v>0</v>
      </c>
      <c r="H130">
        <f>'RESUMEN TOTAL'!Q133</f>
        <v>0</v>
      </c>
      <c r="I130">
        <f>'RESUMEN TOTAL'!R133</f>
        <v>0</v>
      </c>
      <c r="J130">
        <f>'RESUMEN TOTAL'!S133</f>
        <v>0</v>
      </c>
      <c r="K130">
        <f>'RESUMEN TOTAL'!T133</f>
        <v>0</v>
      </c>
      <c r="L130">
        <f>'RESUMEN TOTAL'!U133</f>
        <v>0</v>
      </c>
      <c r="M130">
        <f>'RESUMEN TOTAL'!V133</f>
        <v>0</v>
      </c>
      <c r="N130">
        <f>'RESUMEN TOTAL'!W133</f>
        <v>0</v>
      </c>
      <c r="O130">
        <f>'RESUMEN TOTAL'!X133</f>
        <v>0</v>
      </c>
      <c r="P130">
        <f>'RESUMEN TOTAL'!Y133</f>
        <v>0</v>
      </c>
      <c r="Q130">
        <f>'RESUMEN TOTAL'!Z133</f>
        <v>0</v>
      </c>
      <c r="R130">
        <f>'RESUMEN TOTAL'!AA133</f>
        <v>0</v>
      </c>
      <c r="S130">
        <f>'RESUMEN TOTAL'!AB133</f>
        <v>0</v>
      </c>
      <c r="T130">
        <f>'RESUMEN TOTAL'!AC133</f>
        <v>0</v>
      </c>
      <c r="U130">
        <f>'RESUMEN TOTAL'!AD133</f>
        <v>0</v>
      </c>
      <c r="V130">
        <f>'RESUMEN TOTAL'!AE133</f>
        <v>0</v>
      </c>
      <c r="W130">
        <f>'RESUMEN TOTAL'!AF133</f>
        <v>0</v>
      </c>
      <c r="X130">
        <f>'RESUMEN TOTAL'!AG133</f>
        <v>0</v>
      </c>
      <c r="Y130">
        <f>'RESUMEN TOTAL'!AH133</f>
        <v>0</v>
      </c>
      <c r="Z130">
        <f>'RESUMEN TOTAL'!AI133</f>
        <v>0</v>
      </c>
      <c r="AA130">
        <f>'RESUMEN TOTAL'!AJ133</f>
        <v>0</v>
      </c>
      <c r="AB130">
        <f>'RESUMEN TOTAL'!AK133</f>
        <v>0</v>
      </c>
      <c r="AC130">
        <f>'RESUMEN TOTAL'!AL133</f>
        <v>0</v>
      </c>
      <c r="AD130">
        <f>'RESUMEN TOTAL'!AM133</f>
        <v>0</v>
      </c>
      <c r="AE130">
        <f>'RESUMEN TOTAL'!AN133</f>
        <v>0</v>
      </c>
      <c r="AF130">
        <f>'RESUMEN TOTAL'!AO133</f>
        <v>0</v>
      </c>
      <c r="AG130">
        <f>'RESUMEN TOTAL'!AP133</f>
        <v>0</v>
      </c>
      <c r="AH130">
        <f>'RESUMEN TOTAL'!AQ133</f>
        <v>0</v>
      </c>
      <c r="AI130">
        <f>'RESUMEN TOTAL'!AR133</f>
        <v>0</v>
      </c>
    </row>
    <row r="131" spans="1:35" x14ac:dyDescent="0.25">
      <c r="A131" t="str">
        <f>'RESUMEN TOTAL'!A134</f>
        <v>KM 26700 (JULIO A. COSTA)</v>
      </c>
      <c r="B131" t="str">
        <f>'RESUMEN TOTAL'!B134</f>
        <v>KM03</v>
      </c>
      <c r="C131" t="str">
        <f>'RESUMEN TOTAL'!D134</f>
        <v>Novak y La Pulperia</v>
      </c>
      <c r="D131" t="str">
        <f>'RESUMEN TOTAL'!E134</f>
        <v>Domo</v>
      </c>
      <c r="E131" t="str">
        <f>'RESUMEN TOTAL'!F134</f>
        <v>Radio</v>
      </c>
      <c r="F131" t="str">
        <f>'RESUMEN TOTAL'!O134</f>
        <v>APAGADO</v>
      </c>
      <c r="G131" t="str">
        <f>'RESUMEN TOTAL'!P134</f>
        <v>APAGADO</v>
      </c>
      <c r="H131" t="str">
        <f>'RESUMEN TOTAL'!Q134</f>
        <v>APAGADO</v>
      </c>
      <c r="I131" t="str">
        <f>'RESUMEN TOTAL'!R134</f>
        <v>APAGADO</v>
      </c>
      <c r="J131" t="str">
        <f>'RESUMEN TOTAL'!S134</f>
        <v>APAGADO</v>
      </c>
      <c r="K131" t="str">
        <f>'RESUMEN TOTAL'!T134</f>
        <v>APAGADO</v>
      </c>
      <c r="L131" t="str">
        <f>'RESUMEN TOTAL'!U134</f>
        <v>APAGADO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>
        <f>'RESUMEN TOTAL'!Y134</f>
        <v>0</v>
      </c>
      <c r="Q131">
        <f>'RESUMEN TOTAL'!Z134</f>
        <v>0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>
        <f>'RESUMEN TOTAL'!AG134</f>
        <v>0</v>
      </c>
      <c r="Y131">
        <f>'RESUMEN TOTAL'!AH134</f>
        <v>0</v>
      </c>
      <c r="Z131">
        <f>'RESUMEN TOTAL'!AI134</f>
        <v>0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  <c r="AH131">
        <f>'RESUMEN TOTAL'!AQ134</f>
        <v>0</v>
      </c>
      <c r="AI131">
        <f>'RESUMEN TOTAL'!AR134</f>
        <v>0</v>
      </c>
    </row>
    <row r="132" spans="1:35" x14ac:dyDescent="0.25">
      <c r="A132" t="str">
        <f>'RESUMEN TOTAL'!A135</f>
        <v>KM 26700 (JULIO A. COSTA)</v>
      </c>
      <c r="B132" t="str">
        <f>'RESUMEN TOTAL'!B135</f>
        <v>KM04</v>
      </c>
      <c r="C132" t="str">
        <f>'RESUMEN TOTAL'!D135</f>
        <v>El Ombu y El Zonda</v>
      </c>
      <c r="D132" t="str">
        <f>'RESUMEN TOTAL'!E135</f>
        <v>Domo</v>
      </c>
      <c r="E132" t="str">
        <f>'RESUMEN TOTAL'!F135</f>
        <v>Radio</v>
      </c>
      <c r="F132">
        <f>'RESUMEN TOTAL'!O135</f>
        <v>0</v>
      </c>
      <c r="G132">
        <f>'RESUMEN TOTAL'!P135</f>
        <v>0</v>
      </c>
      <c r="H132">
        <f>'RESUMEN TOTAL'!Q135</f>
        <v>0</v>
      </c>
      <c r="I132">
        <f>'RESUMEN TOTAL'!R135</f>
        <v>0</v>
      </c>
      <c r="J132">
        <f>'RESUMEN TOTAL'!S135</f>
        <v>0</v>
      </c>
      <c r="K132">
        <f>'RESUMEN TOTAL'!T135</f>
        <v>0</v>
      </c>
      <c r="L132">
        <f>'RESUMEN TOTAL'!U135</f>
        <v>0</v>
      </c>
      <c r="M132">
        <f>'RESUMEN TOTAL'!V135</f>
        <v>0</v>
      </c>
      <c r="N132">
        <f>'RESUMEN TOTAL'!W135</f>
        <v>0</v>
      </c>
      <c r="O132">
        <f>'RESUMEN TOTAL'!X135</f>
        <v>0</v>
      </c>
      <c r="P132">
        <f>'RESUMEN TOTAL'!Y135</f>
        <v>0</v>
      </c>
      <c r="Q132">
        <f>'RESUMEN TOTAL'!Z135</f>
        <v>0</v>
      </c>
      <c r="R132">
        <f>'RESUMEN TOTAL'!AA135</f>
        <v>0</v>
      </c>
      <c r="S132">
        <f>'RESUMEN TOTAL'!AB135</f>
        <v>0</v>
      </c>
      <c r="T132">
        <f>'RESUMEN TOTAL'!AC135</f>
        <v>0</v>
      </c>
      <c r="U132">
        <f>'RESUMEN TOTAL'!AD135</f>
        <v>0</v>
      </c>
      <c r="V132">
        <f>'RESUMEN TOTAL'!AE135</f>
        <v>0</v>
      </c>
      <c r="W132">
        <f>'RESUMEN TOTAL'!AF135</f>
        <v>0</v>
      </c>
      <c r="X132">
        <f>'RESUMEN TOTAL'!AG135</f>
        <v>0</v>
      </c>
      <c r="Y132">
        <f>'RESUMEN TOTAL'!AH135</f>
        <v>0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>
        <f>'RESUMEN TOTAL'!AL135</f>
        <v>0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>
        <f>'RESUMEN TOTAL'!AP135</f>
        <v>0</v>
      </c>
      <c r="AH132">
        <f>'RESUMEN TOTAL'!AQ135</f>
        <v>0</v>
      </c>
      <c r="AI132">
        <f>'RESUMEN TOTAL'!AR135</f>
        <v>0</v>
      </c>
    </row>
    <row r="133" spans="1:35" x14ac:dyDescent="0.25">
      <c r="A133" t="str">
        <f>'RESUMEN TOTAL'!A136</f>
        <v>KM 26700 (JULIO A. COSTA)</v>
      </c>
      <c r="B133" t="str">
        <f>'RESUMEN TOTAL'!B136</f>
        <v>KM05</v>
      </c>
      <c r="C133" t="str">
        <f>'RESUMEN TOTAL'!D136</f>
        <v>El Ombu y Los Charruas</v>
      </c>
      <c r="D133" t="str">
        <f>'RESUMEN TOTAL'!E136</f>
        <v>Domo</v>
      </c>
      <c r="E133" t="str">
        <f>'RESUMEN TOTAL'!F136</f>
        <v>Radio</v>
      </c>
      <c r="F133">
        <f>'RESUMEN TOTAL'!O136</f>
        <v>0</v>
      </c>
      <c r="G133">
        <f>'RESUMEN TOTAL'!P136</f>
        <v>0</v>
      </c>
      <c r="H133">
        <f>'RESUMEN TOTAL'!Q136</f>
        <v>0</v>
      </c>
      <c r="I133">
        <f>'RESUMEN TOTAL'!R136</f>
        <v>0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>
        <f>'RESUMEN TOTAL'!Y136</f>
        <v>0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>
        <f>'RESUMEN TOTAL'!AC136</f>
        <v>0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>
        <f>'RESUMEN TOTAL'!AG136</f>
        <v>0</v>
      </c>
      <c r="Y133">
        <f>'RESUMEN TOTAL'!AH136</f>
        <v>0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>
        <f>'RESUMEN TOTAL'!AO136</f>
        <v>0</v>
      </c>
      <c r="AG133">
        <f>'RESUMEN TOTAL'!AP136</f>
        <v>0</v>
      </c>
      <c r="AH133">
        <f>'RESUMEN TOTAL'!AQ136</f>
        <v>0</v>
      </c>
      <c r="AI133">
        <f>'RESUMEN TOTAL'!AR136</f>
        <v>0</v>
      </c>
    </row>
    <row r="134" spans="1:35" x14ac:dyDescent="0.25">
      <c r="A134" t="str">
        <f>'RESUMEN TOTAL'!A137</f>
        <v>KM 26700 (JULIO A. COSTA)</v>
      </c>
      <c r="B134" t="str">
        <f>'RESUMEN TOTAL'!B137</f>
        <v>KM06</v>
      </c>
      <c r="C134" t="str">
        <f>'RESUMEN TOTAL'!D137</f>
        <v>El Ombu y La Cautiva</v>
      </c>
      <c r="D134" t="str">
        <f>'RESUMEN TOTAL'!E137</f>
        <v>DOMO</v>
      </c>
      <c r="E134" t="str">
        <f>'RESUMEN TOTAL'!F137</f>
        <v>Radio</v>
      </c>
      <c r="F134">
        <f>'RESUMEN TOTAL'!O137</f>
        <v>0</v>
      </c>
      <c r="G134">
        <f>'RESUMEN TOTAL'!P137</f>
        <v>0</v>
      </c>
      <c r="H134">
        <f>'RESUMEN TOTAL'!Q137</f>
        <v>0</v>
      </c>
      <c r="I134">
        <f>'RESUMEN TOTAL'!R137</f>
        <v>0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  <c r="AH134">
        <f>'RESUMEN TOTAL'!AQ137</f>
        <v>0</v>
      </c>
      <c r="AI134">
        <f>'RESUMEN TOTAL'!AR137</f>
        <v>0</v>
      </c>
    </row>
    <row r="135" spans="1:35" x14ac:dyDescent="0.25">
      <c r="A135" t="str">
        <f>'RESUMEN TOTAL'!A138</f>
        <v>KM 26700 (JULIO A. COSTA)</v>
      </c>
      <c r="B135" t="str">
        <f>'RESUMEN TOTAL'!B138</f>
        <v>KM08 / UPA 03</v>
      </c>
      <c r="C135" t="str">
        <f>'RESUMEN TOTAL'!D138</f>
        <v>LOS CHARRUAS Y BLANDENGUES</v>
      </c>
      <c r="D135" t="str">
        <f>'RESUMEN TOTAL'!E138</f>
        <v>DOMO</v>
      </c>
      <c r="E135" t="str">
        <f>'RESUMEN TOTAL'!F138</f>
        <v>Radio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>
        <f>'RESUMEN TOTAL'!R138</f>
        <v>0</v>
      </c>
      <c r="J135">
        <f>'RESUMEN TOTAL'!S138</f>
        <v>0</v>
      </c>
      <c r="K135">
        <f>'RESUMEN TOTAL'!T138</f>
        <v>0</v>
      </c>
      <c r="L135">
        <f>'RESUMEN TOTAL'!U138</f>
        <v>0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>
        <f>'RESUMEN TOTAL'!Y138</f>
        <v>0</v>
      </c>
      <c r="Q135">
        <f>'RESUMEN TOTAL'!Z138</f>
        <v>0</v>
      </c>
      <c r="R135">
        <f>'RESUMEN TOTAL'!AA138</f>
        <v>0</v>
      </c>
      <c r="S135">
        <f>'RESUMEN TOTAL'!AB138</f>
        <v>0</v>
      </c>
      <c r="T135">
        <f>'RESUMEN TOTAL'!AC138</f>
        <v>0</v>
      </c>
      <c r="U135">
        <f>'RESUMEN TOTAL'!AD138</f>
        <v>0</v>
      </c>
      <c r="V135">
        <f>'RESUMEN TOTAL'!AE138</f>
        <v>0</v>
      </c>
      <c r="W135">
        <f>'RESUMEN TOTAL'!AF138</f>
        <v>0</v>
      </c>
      <c r="X135">
        <f>'RESUMEN TOTAL'!AG138</f>
        <v>0</v>
      </c>
      <c r="Y135">
        <f>'RESUMEN TOTAL'!AH138</f>
        <v>0</v>
      </c>
      <c r="Z135">
        <f>'RESUMEN TOTAL'!AI138</f>
        <v>0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>
        <f>'RESUMEN TOTAL'!AM138</f>
        <v>0</v>
      </c>
      <c r="AE135">
        <f>'RESUMEN TOTAL'!AN138</f>
        <v>0</v>
      </c>
      <c r="AF135">
        <f>'RESUMEN TOTAL'!AO138</f>
        <v>0</v>
      </c>
      <c r="AG135">
        <f>'RESUMEN TOTAL'!AP138</f>
        <v>0</v>
      </c>
      <c r="AH135">
        <f>'RESUMEN TOTAL'!AQ138</f>
        <v>0</v>
      </c>
      <c r="AI135">
        <f>'RESUMEN TOTAL'!AR138</f>
        <v>0</v>
      </c>
    </row>
    <row r="136" spans="1:35" x14ac:dyDescent="0.25">
      <c r="A136" t="str">
        <f>'RESUMEN TOTAL'!A139</f>
        <v>KM 26700 (JULIO A. COSTA)</v>
      </c>
      <c r="B136" t="str">
        <f>'RESUMEN TOTAL'!B139</f>
        <v>KM09 / UPA 1</v>
      </c>
      <c r="C136" t="str">
        <f>'RESUMEN TOTAL'!D139</f>
        <v>NOVAK Y LA POSTA</v>
      </c>
      <c r="D136" t="str">
        <f>'RESUMEN TOTAL'!E139</f>
        <v>DOMO</v>
      </c>
      <c r="E136" t="str">
        <f>'RESUMEN TOTAL'!F139</f>
        <v>Radio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>
        <f>'RESUMEN TOTAL'!R139</f>
        <v>0</v>
      </c>
      <c r="J136">
        <f>'RESUMEN TOTAL'!S139</f>
        <v>0</v>
      </c>
      <c r="K136">
        <f>'RESUMEN TOTAL'!T139</f>
        <v>0</v>
      </c>
      <c r="L136">
        <f>'RESUMEN TOTAL'!U139</f>
        <v>0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>
        <f>'RESUMEN TOTAL'!Y139</f>
        <v>0</v>
      </c>
      <c r="Q136">
        <f>'RESUMEN TOTAL'!Z139</f>
        <v>0</v>
      </c>
      <c r="R136">
        <f>'RESUMEN TOTAL'!AA139</f>
        <v>0</v>
      </c>
      <c r="S136">
        <f>'RESUMEN TOTAL'!AB139</f>
        <v>0</v>
      </c>
      <c r="T136">
        <f>'RESUMEN TOTAL'!AC139</f>
        <v>0</v>
      </c>
      <c r="U136">
        <f>'RESUMEN TOTAL'!AD139</f>
        <v>0</v>
      </c>
      <c r="V136">
        <f>'RESUMEN TOTAL'!AE139</f>
        <v>0</v>
      </c>
      <c r="W136">
        <f>'RESUMEN TOTAL'!AF139</f>
        <v>0</v>
      </c>
      <c r="X136">
        <f>'RESUMEN TOTAL'!AG139</f>
        <v>0</v>
      </c>
      <c r="Y136">
        <f>'RESUMEN TOTAL'!AH139</f>
        <v>0</v>
      </c>
      <c r="Z136">
        <f>'RESUMEN TOTAL'!AI139</f>
        <v>0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>
        <f>'RESUMEN TOTAL'!AM139</f>
        <v>0</v>
      </c>
      <c r="AE136">
        <f>'RESUMEN TOTAL'!AN139</f>
        <v>0</v>
      </c>
      <c r="AF136">
        <f>'RESUMEN TOTAL'!AO139</f>
        <v>0</v>
      </c>
      <c r="AG136">
        <f>'RESUMEN TOTAL'!AP139</f>
        <v>0</v>
      </c>
      <c r="AH136">
        <f>'RESUMEN TOTAL'!AQ139</f>
        <v>0</v>
      </c>
      <c r="AI136">
        <f>'RESUMEN TOTAL'!AR139</f>
        <v>0</v>
      </c>
    </row>
    <row r="137" spans="1:35" x14ac:dyDescent="0.25">
      <c r="A137" t="str">
        <f>'RESUMEN TOTAL'!A140</f>
        <v>KM 26700 (JULIO A. COSTA)</v>
      </c>
      <c r="B137" t="str">
        <f>'RESUMEN TOTAL'!B140</f>
        <v>KM11</v>
      </c>
      <c r="C137" t="str">
        <f>'RESUMEN TOTAL'!D140</f>
        <v>NOVAK Y EL OVERO</v>
      </c>
      <c r="D137" t="str">
        <f>'RESUMEN TOTAL'!E140</f>
        <v>DOMO</v>
      </c>
      <c r="E137" t="str">
        <f>'RESUMEN TOTAL'!F140</f>
        <v>Fibra Optica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>
        <f>'RESUMEN TOTAL'!R140</f>
        <v>0</v>
      </c>
      <c r="J137">
        <f>'RESUMEN TOTAL'!S140</f>
        <v>0</v>
      </c>
      <c r="K137">
        <f>'RESUMEN TOTAL'!T140</f>
        <v>0</v>
      </c>
      <c r="L137">
        <f>'RESUMEN TOTAL'!U140</f>
        <v>0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>
        <f>'RESUMEN TOTAL'!Y140</f>
        <v>0</v>
      </c>
      <c r="Q137">
        <f>'RESUMEN TOTAL'!Z140</f>
        <v>0</v>
      </c>
      <c r="R137">
        <f>'RESUMEN TOTAL'!AA140</f>
        <v>0</v>
      </c>
      <c r="S137">
        <f>'RESUMEN TOTAL'!AB140</f>
        <v>0</v>
      </c>
      <c r="T137">
        <f>'RESUMEN TOTAL'!AC140</f>
        <v>0</v>
      </c>
      <c r="U137">
        <f>'RESUMEN TOTAL'!AD140</f>
        <v>0</v>
      </c>
      <c r="V137">
        <f>'RESUMEN TOTAL'!AE140</f>
        <v>0</v>
      </c>
      <c r="W137">
        <f>'RESUMEN TOTAL'!AF140</f>
        <v>0</v>
      </c>
      <c r="X137">
        <f>'RESUMEN TOTAL'!AG140</f>
        <v>0</v>
      </c>
      <c r="Y137">
        <f>'RESUMEN TOTAL'!AH140</f>
        <v>0</v>
      </c>
      <c r="Z137">
        <f>'RESUMEN TOTAL'!AI140</f>
        <v>0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>
        <f>'RESUMEN TOTAL'!AM140</f>
        <v>0</v>
      </c>
      <c r="AE137">
        <f>'RESUMEN TOTAL'!AN140</f>
        <v>0</v>
      </c>
      <c r="AF137">
        <f>'RESUMEN TOTAL'!AO140</f>
        <v>0</v>
      </c>
      <c r="AG137">
        <f>'RESUMEN TOTAL'!AP140</f>
        <v>0</v>
      </c>
      <c r="AH137">
        <f>'RESUMEN TOTAL'!AQ140</f>
        <v>0</v>
      </c>
      <c r="AI137">
        <f>'RESUMEN TOTAL'!AR140</f>
        <v>0</v>
      </c>
    </row>
    <row r="138" spans="1:35" x14ac:dyDescent="0.25">
      <c r="A138" t="str">
        <f>'RESUMEN TOTAL'!A141</f>
        <v>LOMAS DE MONTEVERDE</v>
      </c>
      <c r="B138" t="str">
        <f>'RESUMEN TOTAL'!B141</f>
        <v>LDM 01</v>
      </c>
      <c r="C138" t="str">
        <f>'RESUMEN TOTAL'!D141</f>
        <v>ILLIA Y BOUREL</v>
      </c>
      <c r="D138" t="str">
        <f>'RESUMEN TOTAL'!E141</f>
        <v>DOMO</v>
      </c>
      <c r="E138" t="str">
        <f>'RESUMEN TOTAL'!F141</f>
        <v>PTO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>
        <f>'RESUMEN TOTAL'!R141</f>
        <v>0</v>
      </c>
      <c r="J138">
        <f>'RESUMEN TOTAL'!S141</f>
        <v>0</v>
      </c>
      <c r="K138">
        <f>'RESUMEN TOTAL'!T141</f>
        <v>0</v>
      </c>
      <c r="L138">
        <f>'RESUMEN TOTAL'!U141</f>
        <v>0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>
        <f>'RESUMEN TOTAL'!Y141</f>
        <v>0</v>
      </c>
      <c r="Q138">
        <f>'RESUMEN TOTAL'!Z141</f>
        <v>0</v>
      </c>
      <c r="R138">
        <f>'RESUMEN TOTAL'!AA141</f>
        <v>0</v>
      </c>
      <c r="S138">
        <f>'RESUMEN TOTAL'!AB141</f>
        <v>0</v>
      </c>
      <c r="T138">
        <f>'RESUMEN TOTAL'!AC141</f>
        <v>0</v>
      </c>
      <c r="U138">
        <f>'RESUMEN TOTAL'!AD141</f>
        <v>0</v>
      </c>
      <c r="V138">
        <f>'RESUMEN TOTAL'!AE141</f>
        <v>0</v>
      </c>
      <c r="W138">
        <f>'RESUMEN TOTAL'!AF141</f>
        <v>0</v>
      </c>
      <c r="X138">
        <f>'RESUMEN TOTAL'!AG141</f>
        <v>0</v>
      </c>
      <c r="Y138">
        <f>'RESUMEN TOTAL'!AH141</f>
        <v>0</v>
      </c>
      <c r="Z138">
        <f>'RESUMEN TOTAL'!AI141</f>
        <v>0</v>
      </c>
      <c r="AA138">
        <f>'RESUMEN TOTAL'!AJ141</f>
        <v>0</v>
      </c>
      <c r="AB138">
        <f>'RESUMEN TOTAL'!AK141</f>
        <v>0</v>
      </c>
      <c r="AC138">
        <f>'RESUMEN TOTAL'!AL141</f>
        <v>0</v>
      </c>
      <c r="AD138">
        <f>'RESUMEN TOTAL'!AM141</f>
        <v>0</v>
      </c>
      <c r="AE138">
        <f>'RESUMEN TOTAL'!AN141</f>
        <v>0</v>
      </c>
      <c r="AF138">
        <f>'RESUMEN TOTAL'!AO141</f>
        <v>0</v>
      </c>
      <c r="AG138">
        <f>'RESUMEN TOTAL'!AP141</f>
        <v>0</v>
      </c>
      <c r="AH138">
        <f>'RESUMEN TOTAL'!AQ141</f>
        <v>0</v>
      </c>
      <c r="AI138">
        <f>'RESUMEN TOTAL'!AR141</f>
        <v>0</v>
      </c>
    </row>
    <row r="139" spans="1:35" x14ac:dyDescent="0.25">
      <c r="A139" t="str">
        <f>'RESUMEN TOTAL'!A142</f>
        <v>LOMAS DE MONTEVERDE</v>
      </c>
      <c r="B139" t="str">
        <f>'RESUMEN TOTAL'!B142</f>
        <v>LDM 02</v>
      </c>
      <c r="C139" t="str">
        <f>'RESUMEN TOTAL'!D142</f>
        <v>LAS HERAS Y EDISON</v>
      </c>
      <c r="D139" t="str">
        <f>'RESUMEN TOTAL'!E142</f>
        <v>DOMO</v>
      </c>
      <c r="E139" t="str">
        <f>'RESUMEN TOTAL'!F142</f>
        <v>PTO A FO</v>
      </c>
      <c r="F139">
        <f>'RESUMEN TOTAL'!O142</f>
        <v>0</v>
      </c>
      <c r="G139">
        <f>'RESUMEN TOTAL'!P142</f>
        <v>0</v>
      </c>
      <c r="H139">
        <f>'RESUMEN TOTAL'!Q142</f>
        <v>0</v>
      </c>
      <c r="I139">
        <f>'RESUMEN TOTAL'!R142</f>
        <v>0</v>
      </c>
      <c r="J139">
        <f>'RESUMEN TOTAL'!S142</f>
        <v>0</v>
      </c>
      <c r="K139">
        <f>'RESUMEN TOTAL'!T142</f>
        <v>0</v>
      </c>
      <c r="L139">
        <f>'RESUMEN TOTAL'!U142</f>
        <v>0</v>
      </c>
      <c r="M139">
        <f>'RESUMEN TOTAL'!V142</f>
        <v>0</v>
      </c>
      <c r="N139">
        <f>'RESUMEN TOTAL'!W142</f>
        <v>0</v>
      </c>
      <c r="O139">
        <f>'RESUMEN TOTAL'!X142</f>
        <v>0</v>
      </c>
      <c r="P139">
        <f>'RESUMEN TOTAL'!Y142</f>
        <v>0</v>
      </c>
      <c r="Q139">
        <f>'RESUMEN TOTAL'!Z142</f>
        <v>0</v>
      </c>
      <c r="R139">
        <f>'RESUMEN TOTAL'!AA142</f>
        <v>0</v>
      </c>
      <c r="S139">
        <f>'RESUMEN TOTAL'!AB142</f>
        <v>0</v>
      </c>
      <c r="T139">
        <f>'RESUMEN TOTAL'!AC142</f>
        <v>0</v>
      </c>
      <c r="U139">
        <f>'RESUMEN TOTAL'!AD142</f>
        <v>0</v>
      </c>
      <c r="V139">
        <f>'RESUMEN TOTAL'!AE142</f>
        <v>0</v>
      </c>
      <c r="W139">
        <f>'RESUMEN TOTAL'!AF142</f>
        <v>0</v>
      </c>
      <c r="X139">
        <f>'RESUMEN TOTAL'!AG142</f>
        <v>0</v>
      </c>
      <c r="Y139">
        <f>'RESUMEN TOTAL'!AH142</f>
        <v>0</v>
      </c>
      <c r="Z139">
        <f>'RESUMEN TOTAL'!AI142</f>
        <v>0</v>
      </c>
      <c r="AA139">
        <f>'RESUMEN TOTAL'!AJ142</f>
        <v>0</v>
      </c>
      <c r="AB139">
        <f>'RESUMEN TOTAL'!AK142</f>
        <v>0</v>
      </c>
      <c r="AC139">
        <f>'RESUMEN TOTAL'!AL142</f>
        <v>0</v>
      </c>
      <c r="AD139">
        <f>'RESUMEN TOTAL'!AM142</f>
        <v>0</v>
      </c>
      <c r="AE139">
        <f>'RESUMEN TOTAL'!AN142</f>
        <v>0</v>
      </c>
      <c r="AF139">
        <f>'RESUMEN TOTAL'!AO142</f>
        <v>0</v>
      </c>
      <c r="AG139">
        <f>'RESUMEN TOTAL'!AP142</f>
        <v>0</v>
      </c>
      <c r="AH139">
        <f>'RESUMEN TOTAL'!AQ142</f>
        <v>0</v>
      </c>
      <c r="AI139">
        <f>'RESUMEN TOTAL'!AR142</f>
        <v>0</v>
      </c>
    </row>
    <row r="140" spans="1:35" x14ac:dyDescent="0.25">
      <c r="A140" t="str">
        <f>'RESUMEN TOTAL'!A143</f>
        <v>LOMAS DE MONTEVERDE</v>
      </c>
      <c r="B140" t="str">
        <f>'RESUMEN TOTAL'!B143</f>
        <v>LDM 03</v>
      </c>
      <c r="C140" t="str">
        <f>'RESUMEN TOTAL'!D143</f>
        <v>LAS HERAS Y FRANKLIN</v>
      </c>
      <c r="D140" t="str">
        <f>'RESUMEN TOTAL'!E143</f>
        <v>DOMO</v>
      </c>
      <c r="E140" t="str">
        <f>'RESUMEN TOTAL'!F143</f>
        <v>PTO A FO</v>
      </c>
      <c r="F140">
        <f>'RESUMEN TOTAL'!O143</f>
        <v>0</v>
      </c>
      <c r="G140">
        <f>'RESUMEN TOTAL'!P143</f>
        <v>0</v>
      </c>
      <c r="H140">
        <f>'RESUMEN TOTAL'!Q143</f>
        <v>0</v>
      </c>
      <c r="I140">
        <f>'RESUMEN TOTAL'!R143</f>
        <v>0</v>
      </c>
      <c r="J140">
        <f>'RESUMEN TOTAL'!S143</f>
        <v>0</v>
      </c>
      <c r="K140">
        <f>'RESUMEN TOTAL'!T143</f>
        <v>0</v>
      </c>
      <c r="L140">
        <f>'RESUMEN TOTAL'!U143</f>
        <v>0</v>
      </c>
      <c r="M140">
        <f>'RESUMEN TOTAL'!V143</f>
        <v>0</v>
      </c>
      <c r="N140">
        <f>'RESUMEN TOTAL'!W143</f>
        <v>0</v>
      </c>
      <c r="O140">
        <f>'RESUMEN TOTAL'!X143</f>
        <v>0</v>
      </c>
      <c r="P140">
        <f>'RESUMEN TOTAL'!Y143</f>
        <v>0</v>
      </c>
      <c r="Q140">
        <f>'RESUMEN TOTAL'!Z143</f>
        <v>0</v>
      </c>
      <c r="R140">
        <f>'RESUMEN TOTAL'!AA143</f>
        <v>0</v>
      </c>
      <c r="S140">
        <f>'RESUMEN TOTAL'!AB143</f>
        <v>0</v>
      </c>
      <c r="T140">
        <f>'RESUMEN TOTAL'!AC143</f>
        <v>0</v>
      </c>
      <c r="U140">
        <f>'RESUMEN TOTAL'!AD143</f>
        <v>0</v>
      </c>
      <c r="V140">
        <f>'RESUMEN TOTAL'!AE143</f>
        <v>0</v>
      </c>
      <c r="W140">
        <f>'RESUMEN TOTAL'!AF143</f>
        <v>0</v>
      </c>
      <c r="X140">
        <f>'RESUMEN TOTAL'!AG143</f>
        <v>0</v>
      </c>
      <c r="Y140">
        <f>'RESUMEN TOTAL'!AH143</f>
        <v>0</v>
      </c>
      <c r="Z140">
        <f>'RESUMEN TOTAL'!AI143</f>
        <v>0</v>
      </c>
      <c r="AA140">
        <f>'RESUMEN TOTAL'!AJ143</f>
        <v>0</v>
      </c>
      <c r="AB140">
        <f>'RESUMEN TOTAL'!AK143</f>
        <v>0</v>
      </c>
      <c r="AC140">
        <f>'RESUMEN TOTAL'!AL143</f>
        <v>0</v>
      </c>
      <c r="AD140">
        <f>'RESUMEN TOTAL'!AM143</f>
        <v>0</v>
      </c>
      <c r="AE140">
        <f>'RESUMEN TOTAL'!AN143</f>
        <v>0</v>
      </c>
      <c r="AF140">
        <f>'RESUMEN TOTAL'!AO143</f>
        <v>0</v>
      </c>
      <c r="AG140">
        <f>'RESUMEN TOTAL'!AP143</f>
        <v>0</v>
      </c>
      <c r="AH140">
        <f>'RESUMEN TOTAL'!AQ143</f>
        <v>0</v>
      </c>
      <c r="AI140">
        <f>'RESUMEN TOTAL'!AR143</f>
        <v>0</v>
      </c>
    </row>
    <row r="141" spans="1:35" x14ac:dyDescent="0.25">
      <c r="A141" t="str">
        <f>'RESUMEN TOTAL'!A144</f>
        <v>CHACABUCO</v>
      </c>
      <c r="B141" t="str">
        <f>'RESUMEN TOTAL'!B144</f>
        <v>LPI 01</v>
      </c>
      <c r="C141" t="str">
        <f>'RESUMEN TOTAL'!D144</f>
        <v>MaipÃº y Posadas</v>
      </c>
      <c r="D141" t="str">
        <f>'RESUMEN TOTAL'!E144</f>
        <v>Domo</v>
      </c>
      <c r="E141" t="str">
        <f>'RESUMEN TOTAL'!F144</f>
        <v>Radio</v>
      </c>
      <c r="F141">
        <f>'RESUMEN TOTAL'!O144</f>
        <v>0</v>
      </c>
      <c r="G141">
        <f>'RESUMEN TOTAL'!P144</f>
        <v>0</v>
      </c>
      <c r="H141">
        <f>'RESUMEN TOTAL'!Q144</f>
        <v>0</v>
      </c>
      <c r="I141">
        <f>'RESUMEN TOTAL'!R144</f>
        <v>0</v>
      </c>
      <c r="J141">
        <f>'RESUMEN TOTAL'!S144</f>
        <v>0</v>
      </c>
      <c r="K141">
        <f>'RESUMEN TOTAL'!T144</f>
        <v>0</v>
      </c>
      <c r="L141">
        <f>'RESUMEN TOTAL'!U144</f>
        <v>0</v>
      </c>
      <c r="M141">
        <f>'RESUMEN TOTAL'!V144</f>
        <v>0</v>
      </c>
      <c r="N141">
        <f>'RESUMEN TOTAL'!W144</f>
        <v>0</v>
      </c>
      <c r="O141">
        <f>'RESUMEN TOTAL'!X144</f>
        <v>0</v>
      </c>
      <c r="P141">
        <f>'RESUMEN TOTAL'!Y144</f>
        <v>0</v>
      </c>
      <c r="Q141">
        <f>'RESUMEN TOTAL'!Z144</f>
        <v>0</v>
      </c>
      <c r="R141">
        <f>'RESUMEN TOTAL'!AA144</f>
        <v>0</v>
      </c>
      <c r="S141">
        <f>'RESUMEN TOTAL'!AB144</f>
        <v>0</v>
      </c>
      <c r="T141">
        <f>'RESUMEN TOTAL'!AC144</f>
        <v>0</v>
      </c>
      <c r="U141">
        <f>'RESUMEN TOTAL'!AD144</f>
        <v>0</v>
      </c>
      <c r="V141">
        <f>'RESUMEN TOTAL'!AE144</f>
        <v>0</v>
      </c>
      <c r="W141">
        <f>'RESUMEN TOTAL'!AF144</f>
        <v>0</v>
      </c>
      <c r="X141">
        <f>'RESUMEN TOTAL'!AG144</f>
        <v>0</v>
      </c>
      <c r="Y141">
        <f>'RESUMEN TOTAL'!AH144</f>
        <v>0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  <c r="AH141">
        <f>'RESUMEN TOTAL'!AQ144</f>
        <v>0</v>
      </c>
      <c r="AI141">
        <f>'RESUMEN TOTAL'!AR144</f>
        <v>0</v>
      </c>
    </row>
    <row r="142" spans="1:35" x14ac:dyDescent="0.25">
      <c r="A142" t="str">
        <f>'RESUMEN TOTAL'!A145</f>
        <v>CHACABUCO</v>
      </c>
      <c r="B142" t="str">
        <f>'RESUMEN TOTAL'!B145</f>
        <v>LPI02</v>
      </c>
      <c r="C142" t="str">
        <f>'RESUMEN TOTAL'!D145</f>
        <v>EE.UU y Ayacucho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>
        <f>'RESUMEN TOTAL'!Y145</f>
        <v>0</v>
      </c>
      <c r="Q142">
        <f>'RESUMEN TOTAL'!Z145</f>
        <v>0</v>
      </c>
      <c r="R142">
        <f>'RESUMEN TOTAL'!AA145</f>
        <v>0</v>
      </c>
      <c r="S142">
        <f>'RESUMEN TOTAL'!AB145</f>
        <v>0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  <c r="AH142">
        <f>'RESUMEN TOTAL'!AQ145</f>
        <v>0</v>
      </c>
      <c r="AI142">
        <f>'RESUMEN TOTAL'!AR145</f>
        <v>0</v>
      </c>
    </row>
    <row r="143" spans="1:35" x14ac:dyDescent="0.25">
      <c r="A143" t="str">
        <f>'RESUMEN TOTAL'!A146</f>
        <v>LA PILETA</v>
      </c>
      <c r="B143" t="str">
        <f>'RESUMEN TOTAL'!B146</f>
        <v>LPI03 (fija 2)</v>
      </c>
      <c r="C143" t="str">
        <f>'RESUMEN TOTAL'!D146</f>
        <v>MAIPU Y POSADAS</v>
      </c>
      <c r="D143" t="str">
        <f>'RESUMEN TOTAL'!E146</f>
        <v>Fija</v>
      </c>
      <c r="E143" t="str">
        <f>'RESUMEN TOTAL'!F146</f>
        <v>Fibra Optica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>
        <f>'RESUMEN TOTAL'!R146</f>
        <v>0</v>
      </c>
      <c r="J143">
        <f>'RESUMEN TOTAL'!S146</f>
        <v>0</v>
      </c>
      <c r="K143">
        <f>'RESUMEN TOTAL'!T146</f>
        <v>0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  <c r="AH143">
        <f>'RESUMEN TOTAL'!AQ146</f>
        <v>0</v>
      </c>
      <c r="AI143">
        <f>'RESUMEN TOTAL'!AR146</f>
        <v>0</v>
      </c>
    </row>
    <row r="144" spans="1:35" x14ac:dyDescent="0.25">
      <c r="A144" t="str">
        <f>'RESUMEN TOTAL'!A147</f>
        <v>LA PILETA</v>
      </c>
      <c r="B144" t="str">
        <f>'RESUMEN TOTAL'!B147</f>
        <v>LPI04 (fija 1)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>
        <f>'RESUMEN TOTAL'!AB147</f>
        <v>0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  <c r="AH144">
        <f>'RESUMEN TOTAL'!AQ147</f>
        <v>0</v>
      </c>
      <c r="AI144">
        <f>'RESUMEN TOTAL'!AR147</f>
        <v>0</v>
      </c>
    </row>
    <row r="145" spans="1:35" x14ac:dyDescent="0.25">
      <c r="A145" t="str">
        <f>'RESUMEN TOTAL'!A148</f>
        <v>LOS PILARES</v>
      </c>
      <c r="B145" t="str">
        <f>'RESUMEN TOTAL'!B148</f>
        <v>LPR 01</v>
      </c>
      <c r="C145" t="str">
        <f>'RESUMEN TOTAL'!D148</f>
        <v>EVA PERON E/ CACHEUTA Y 1406</v>
      </c>
      <c r="D145" t="str">
        <f>'RESUMEN TOTAL'!E148</f>
        <v>DOMO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>
        <f>'RESUMEN TOTAL'!AB148</f>
        <v>0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  <c r="AH145">
        <f>'RESUMEN TOTAL'!AQ148</f>
        <v>0</v>
      </c>
      <c r="AI145">
        <f>'RESUMEN TOTAL'!AR148</f>
        <v>0</v>
      </c>
    </row>
    <row r="146" spans="1:35" x14ac:dyDescent="0.25">
      <c r="A146" t="str">
        <f>'RESUMEN TOTAL'!A149</f>
        <v>LOS PILARES</v>
      </c>
      <c r="B146" t="str">
        <f>'RESUMEN TOTAL'!B149</f>
        <v>LPR02 (fija 1)</v>
      </c>
      <c r="C146" t="str">
        <f>'RESUMEN TOTAL'!D149</f>
        <v>EVA PERON Y CACHEUTA</v>
      </c>
      <c r="D146" t="str">
        <f>'RESUMEN TOTAL'!E149</f>
        <v>Fija</v>
      </c>
      <c r="E146" t="str">
        <f>'RESUMEN TOTAL'!F149</f>
        <v>Fibra Optica</v>
      </c>
      <c r="F146">
        <f>'RESUMEN TOTAL'!O149</f>
        <v>0</v>
      </c>
      <c r="G146">
        <f>'RESUMEN TOTAL'!P149</f>
        <v>0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  <c r="AH146">
        <f>'RESUMEN TOTAL'!AQ149</f>
        <v>0</v>
      </c>
      <c r="AI146">
        <f>'RESUMEN TOTAL'!AR149</f>
        <v>0</v>
      </c>
    </row>
    <row r="147" spans="1:35" x14ac:dyDescent="0.25">
      <c r="A147" t="str">
        <f>'RESUMEN TOTAL'!A150</f>
        <v>LOS PILARES</v>
      </c>
      <c r="B147" t="str">
        <f>'RESUMEN TOTAL'!B150</f>
        <v>LPR03 (fija 2)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TOTAL'!O150</f>
        <v>0</v>
      </c>
      <c r="G147">
        <f>'RESUMEN TOTAL'!P150</f>
        <v>0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  <c r="AH147">
        <f>'RESUMEN TOTAL'!AQ150</f>
        <v>0</v>
      </c>
      <c r="AI147">
        <f>'RESUMEN TOTAL'!AR150</f>
        <v>0</v>
      </c>
    </row>
    <row r="148" spans="1:35" x14ac:dyDescent="0.25">
      <c r="A148" t="str">
        <f>'RESUMEN TOTAL'!A151</f>
        <v>LOPEZ ROMERO</v>
      </c>
      <c r="B148" t="str">
        <f>'RESUMEN TOTAL'!B151</f>
        <v>LRO 05</v>
      </c>
      <c r="C148" t="str">
        <f>'RESUMEN TOTAL'!D151</f>
        <v>Calchaqui y Las Americas</v>
      </c>
      <c r="D148" t="str">
        <f>'RESUMEN TOTAL'!E151</f>
        <v>Fija</v>
      </c>
      <c r="E148" t="str">
        <f>'RESUMEN TOTAL'!F151</f>
        <v>Fibra Optica</v>
      </c>
      <c r="F148">
        <f>'RESUMEN TOTAL'!O151</f>
        <v>0</v>
      </c>
      <c r="G148">
        <f>'RESUMEN TOTAL'!P151</f>
        <v>0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  <c r="AH148">
        <f>'RESUMEN TOTAL'!AQ151</f>
        <v>0</v>
      </c>
      <c r="AI148">
        <f>'RESUMEN TOTAL'!AR151</f>
        <v>0</v>
      </c>
    </row>
    <row r="149" spans="1:35" x14ac:dyDescent="0.25">
      <c r="A149" t="str">
        <f>'RESUMEN TOTAL'!A152</f>
        <v>LOPEZ ROMERO</v>
      </c>
      <c r="B149" t="str">
        <f>'RESUMEN TOTAL'!B152</f>
        <v>LRO 09</v>
      </c>
      <c r="C149" t="str">
        <f>'RESUMEN TOTAL'!D152</f>
        <v>Las AmÃ©ricas y Braile</v>
      </c>
      <c r="D149" t="str">
        <f>'RESUMEN TOTAL'!E152</f>
        <v>Domo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>
        <f>'RESUMEN TOTAL'!R152</f>
        <v>0</v>
      </c>
      <c r="J149">
        <f>'RESUMEN TOTAL'!S152</f>
        <v>0</v>
      </c>
      <c r="K149">
        <f>'RESUMEN TOTAL'!T152</f>
        <v>0</v>
      </c>
      <c r="L149">
        <f>'RESUMEN TOTAL'!U152</f>
        <v>0</v>
      </c>
      <c r="M149">
        <f>'RESUMEN TOTAL'!V152</f>
        <v>0</v>
      </c>
      <c r="N149">
        <f>'RESUMEN TOTAL'!W152</f>
        <v>0</v>
      </c>
      <c r="O149">
        <f>'RESUMEN TOTAL'!X152</f>
        <v>0</v>
      </c>
      <c r="P149">
        <f>'RESUMEN TOTAL'!Y152</f>
        <v>0</v>
      </c>
      <c r="Q149">
        <f>'RESUMEN TOTAL'!Z152</f>
        <v>0</v>
      </c>
      <c r="R149">
        <f>'RESUMEN TOTAL'!AA152</f>
        <v>0</v>
      </c>
      <c r="S149">
        <f>'RESUMEN TOTAL'!AB152</f>
        <v>0</v>
      </c>
      <c r="T149">
        <f>'RESUMEN TOTAL'!AC152</f>
        <v>0</v>
      </c>
      <c r="U149">
        <f>'RESUMEN TOTAL'!AD152</f>
        <v>0</v>
      </c>
      <c r="V149">
        <f>'RESUMEN TOTAL'!AE152</f>
        <v>0</v>
      </c>
      <c r="W149">
        <f>'RESUMEN TOTAL'!AF152</f>
        <v>0</v>
      </c>
      <c r="X149">
        <f>'RESUMEN TOTAL'!AG152</f>
        <v>0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  <c r="AH149">
        <f>'RESUMEN TOTAL'!AQ152</f>
        <v>0</v>
      </c>
      <c r="AI149">
        <f>'RESUMEN TOTAL'!AR152</f>
        <v>0</v>
      </c>
    </row>
    <row r="150" spans="1:35" x14ac:dyDescent="0.25">
      <c r="A150" t="str">
        <f>'RESUMEN TOTAL'!A153</f>
        <v>LOPEZ ROMERO</v>
      </c>
      <c r="B150" t="str">
        <f>'RESUMEN TOTAL'!B153</f>
        <v>LRO 10</v>
      </c>
      <c r="C150" t="str">
        <f>'RESUMEN TOTAL'!D153</f>
        <v>Con. Gral. Belgrano y Balcarce</v>
      </c>
      <c r="D150" t="str">
        <f>'RESUMEN TOTAL'!E153</f>
        <v>Domo</v>
      </c>
      <c r="E150" t="str">
        <f>'RESUMEN TOTAL'!F153</f>
        <v>Fibra Optica</v>
      </c>
      <c r="F150">
        <f>'RESUMEN TOTAL'!O153</f>
        <v>0</v>
      </c>
      <c r="G150">
        <f>'RESUMEN TOTAL'!P153</f>
        <v>0</v>
      </c>
      <c r="H150">
        <f>'RESUMEN TOTAL'!Q153</f>
        <v>0</v>
      </c>
      <c r="I150">
        <f>'RESUMEN TOTAL'!R153</f>
        <v>0</v>
      </c>
      <c r="J150">
        <f>'RESUMEN TOTAL'!S153</f>
        <v>0</v>
      </c>
      <c r="K150">
        <f>'RESUMEN TOTAL'!T153</f>
        <v>0</v>
      </c>
      <c r="L150">
        <f>'RESUMEN TOTAL'!U153</f>
        <v>0</v>
      </c>
      <c r="M150">
        <f>'RESUMEN TOTAL'!V153</f>
        <v>0</v>
      </c>
      <c r="N150">
        <f>'RESUMEN TOTAL'!W153</f>
        <v>0</v>
      </c>
      <c r="O150">
        <f>'RESUMEN TOTAL'!X153</f>
        <v>0</v>
      </c>
      <c r="P150">
        <f>'RESUMEN TOTAL'!Y153</f>
        <v>0</v>
      </c>
      <c r="Q150">
        <f>'RESUMEN TOTAL'!Z153</f>
        <v>0</v>
      </c>
      <c r="R150">
        <f>'RESUMEN TOTAL'!AA153</f>
        <v>0</v>
      </c>
      <c r="S150">
        <f>'RESUMEN TOTAL'!AB153</f>
        <v>0</v>
      </c>
      <c r="T150">
        <f>'RESUMEN TOTAL'!AC153</f>
        <v>0</v>
      </c>
      <c r="U150">
        <f>'RESUMEN TOTAL'!AD153</f>
        <v>0</v>
      </c>
      <c r="V150">
        <f>'RESUMEN TOTAL'!AE153</f>
        <v>0</v>
      </c>
      <c r="W150">
        <f>'RESUMEN TOTAL'!AF153</f>
        <v>0</v>
      </c>
      <c r="X150">
        <f>'RESUMEN TOTAL'!AG153</f>
        <v>0</v>
      </c>
      <c r="Y150">
        <f>'RESUMEN TOTAL'!AH153</f>
        <v>0</v>
      </c>
      <c r="Z150">
        <f>'RESUMEN TOTAL'!AI153</f>
        <v>0</v>
      </c>
      <c r="AA150">
        <f>'RESUMEN TOTAL'!AJ153</f>
        <v>0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  <c r="AH150">
        <f>'RESUMEN TOTAL'!AQ153</f>
        <v>0</v>
      </c>
      <c r="AI150">
        <f>'RESUMEN TOTAL'!AR153</f>
        <v>0</v>
      </c>
    </row>
    <row r="151" spans="1:35" x14ac:dyDescent="0.25">
      <c r="A151" t="str">
        <f>'RESUMEN TOTAL'!A154</f>
        <v>LOPEZ ROMERO</v>
      </c>
      <c r="B151" t="str">
        <f>'RESUMEN TOTAL'!B154</f>
        <v>LRO 12 (fija 1)</v>
      </c>
      <c r="C151" t="str">
        <f>'RESUMEN TOTAL'!D154</f>
        <v>LAS AMERICAS E/ BRAILLE Y ALVARADO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>
        <f>'RESUMEN TOTAL'!P154</f>
        <v>0</v>
      </c>
      <c r="H151">
        <f>'RESUMEN TOTAL'!Q154</f>
        <v>0</v>
      </c>
      <c r="I151">
        <f>'RESUMEN TOTAL'!R154</f>
        <v>0</v>
      </c>
      <c r="J151">
        <f>'RESUMEN TOTAL'!S154</f>
        <v>0</v>
      </c>
      <c r="K151">
        <f>'RESUMEN TOTAL'!T154</f>
        <v>0</v>
      </c>
      <c r="L151">
        <f>'RESUMEN TOTAL'!U154</f>
        <v>0</v>
      </c>
      <c r="M151">
        <f>'RESUMEN TOTAL'!V154</f>
        <v>0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>
        <f>'RESUMEN TOTAL'!AG154</f>
        <v>0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  <c r="AH151">
        <f>'RESUMEN TOTAL'!AQ154</f>
        <v>0</v>
      </c>
      <c r="AI151">
        <f>'RESUMEN TOTAL'!AR154</f>
        <v>0</v>
      </c>
    </row>
    <row r="152" spans="1:35" x14ac:dyDescent="0.25">
      <c r="A152" t="str">
        <f>'RESUMEN TOTAL'!A155</f>
        <v>LOPEZ ROMERO</v>
      </c>
      <c r="B152" t="str">
        <f>'RESUMEN TOTAL'!B155</f>
        <v>LRO 13 (fija 2)</v>
      </c>
      <c r="C152" t="str">
        <f>'RESUMEN TOTAL'!D155</f>
        <v>LAS AMERICAS E/ BRAILLE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>
        <f>'RESUMEN TOTAL'!U155</f>
        <v>0</v>
      </c>
      <c r="M152">
        <f>'RESUMEN TOTAL'!V155</f>
        <v>0</v>
      </c>
      <c r="N152">
        <f>'RESUMEN TOTAL'!W155</f>
        <v>0</v>
      </c>
      <c r="O152">
        <f>'RESUMEN TOTAL'!X155</f>
        <v>0</v>
      </c>
      <c r="P152">
        <f>'RESUMEN TOTAL'!Y155</f>
        <v>0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>
        <f>'RESUMEN TOTAL'!AE155</f>
        <v>0</v>
      </c>
      <c r="W152">
        <f>'RESUMEN TOTAL'!AF155</f>
        <v>0</v>
      </c>
      <c r="X152">
        <f>'RESUMEN TOTAL'!AG155</f>
        <v>0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  <c r="AH152">
        <f>'RESUMEN TOTAL'!AQ155</f>
        <v>0</v>
      </c>
      <c r="AI152">
        <f>'RESUMEN TOTAL'!AR155</f>
        <v>0</v>
      </c>
    </row>
    <row r="153" spans="1:35" x14ac:dyDescent="0.25">
      <c r="A153" t="str">
        <f>'RESUMEN TOTAL'!A156</f>
        <v>LOPEZ ROMERO</v>
      </c>
      <c r="B153" t="str">
        <f>'RESUMEN TOTAL'!B156</f>
        <v>LRO01</v>
      </c>
      <c r="C153" t="str">
        <f>'RESUMEN TOTAL'!D156</f>
        <v>H. IRIGOYEN Y BRAILE</v>
      </c>
      <c r="D153" t="str">
        <f>'RESUMEN TOTAL'!E156</f>
        <v>FIJA</v>
      </c>
      <c r="E153" t="str">
        <f>'RESUMEN TOTAL'!F156</f>
        <v>FIBRA OPTICA</v>
      </c>
      <c r="F153" t="str">
        <f>'RESUMEN TOTAL'!O156</f>
        <v>APAGADO</v>
      </c>
      <c r="G153" t="str">
        <f>'RESUMEN TOTAL'!P156</f>
        <v>APAGADO</v>
      </c>
      <c r="H153" t="str">
        <f>'RESUMEN TOTAL'!Q156</f>
        <v>APAGADO</v>
      </c>
      <c r="I153" t="str">
        <f>'RESUMEN TOTAL'!R156</f>
        <v>APAGADO</v>
      </c>
      <c r="J153" t="str">
        <f>'RESUMEN TOTAL'!S156</f>
        <v>APAGADO</v>
      </c>
      <c r="K153" t="str">
        <f>'RESUMEN TOTAL'!T156</f>
        <v>APAGADO</v>
      </c>
      <c r="L153" t="str">
        <f>'RESUMEN TOTAL'!U156</f>
        <v>APAGADO</v>
      </c>
      <c r="M153">
        <f>'RESUMEN TOTAL'!V156</f>
        <v>0</v>
      </c>
      <c r="N153">
        <f>'RESUMEN TOTAL'!W156</f>
        <v>0</v>
      </c>
      <c r="O153">
        <f>'RESUMEN TOTAL'!X156</f>
        <v>0</v>
      </c>
      <c r="P153">
        <f>'RESUMEN TOTAL'!Y156</f>
        <v>0</v>
      </c>
      <c r="Q153">
        <f>'RESUMEN TOTAL'!Z156</f>
        <v>0</v>
      </c>
      <c r="R153">
        <f>'RESUMEN TOTAL'!AA156</f>
        <v>0</v>
      </c>
      <c r="S153">
        <f>'RESUMEN TOTAL'!AB156</f>
        <v>0</v>
      </c>
      <c r="T153">
        <f>'RESUMEN TOTAL'!AC156</f>
        <v>0</v>
      </c>
      <c r="U153">
        <f>'RESUMEN TOTAL'!AD156</f>
        <v>0</v>
      </c>
      <c r="V153">
        <f>'RESUMEN TOTAL'!AE156</f>
        <v>0</v>
      </c>
      <c r="W153">
        <f>'RESUMEN TOTAL'!AF156</f>
        <v>0</v>
      </c>
      <c r="X153">
        <f>'RESUMEN TOTAL'!AG156</f>
        <v>0</v>
      </c>
      <c r="Y153">
        <f>'RESUMEN TOTAL'!AH156</f>
        <v>0</v>
      </c>
      <c r="Z153">
        <f>'RESUMEN TOTAL'!AI156</f>
        <v>0</v>
      </c>
      <c r="AA153">
        <f>'RESUMEN TOTAL'!AJ156</f>
        <v>0</v>
      </c>
      <c r="AB153">
        <f>'RESUMEN TOTAL'!AK156</f>
        <v>0</v>
      </c>
      <c r="AC153">
        <f>'RESUMEN TOTAL'!AL156</f>
        <v>0</v>
      </c>
      <c r="AD153">
        <f>'RESUMEN TOTAL'!AM156</f>
        <v>0</v>
      </c>
      <c r="AE153">
        <f>'RESUMEN TOTAL'!AN156</f>
        <v>0</v>
      </c>
      <c r="AF153">
        <f>'RESUMEN TOTAL'!AO156</f>
        <v>0</v>
      </c>
      <c r="AG153">
        <f>'RESUMEN TOTAL'!AP156</f>
        <v>0</v>
      </c>
      <c r="AH153">
        <f>'RESUMEN TOTAL'!AQ156</f>
        <v>0</v>
      </c>
      <c r="AI153">
        <f>'RESUMEN TOTAL'!AR156</f>
        <v>0</v>
      </c>
    </row>
    <row r="154" spans="1:35" x14ac:dyDescent="0.25">
      <c r="A154" t="str">
        <f>'RESUMEN TOTAL'!A157</f>
        <v>PRESIDENTE SARMIENTO</v>
      </c>
      <c r="B154" t="str">
        <f>'RESUMEN TOTAL'!B157</f>
        <v>LRO02</v>
      </c>
      <c r="C154" t="str">
        <f>'RESUMEN TOTAL'!D157</f>
        <v>H. Irigoyen e Islas Orcadas</v>
      </c>
      <c r="D154" t="str">
        <f>'RESUMEN TOTAL'!E157</f>
        <v>Domo</v>
      </c>
      <c r="E154" t="str">
        <f>'RESUMEN TOTAL'!F157</f>
        <v>FIBRA OPTICA</v>
      </c>
      <c r="F154" t="str">
        <f>'RESUMEN TOTAL'!O157</f>
        <v>APAGADO</v>
      </c>
      <c r="G154" t="str">
        <f>'RESUMEN TOTAL'!P157</f>
        <v>APAGADO</v>
      </c>
      <c r="H154" t="str">
        <f>'RESUMEN TOTAL'!Q157</f>
        <v>APAGADO</v>
      </c>
      <c r="I154" t="str">
        <f>'RESUMEN TOTAL'!R157</f>
        <v>APAGADO</v>
      </c>
      <c r="J154" t="str">
        <f>'RESUMEN TOTAL'!S157</f>
        <v>APAGADO</v>
      </c>
      <c r="K154" t="str">
        <f>'RESUMEN TOTAL'!T157</f>
        <v>APAGADO</v>
      </c>
      <c r="L154" t="str">
        <f>'RESUMEN TOTAL'!U157</f>
        <v>APAGADO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>
        <f>'RESUMEN TOTAL'!Y157</f>
        <v>0</v>
      </c>
      <c r="Q154">
        <f>'RESUMEN TOTAL'!Z157</f>
        <v>0</v>
      </c>
      <c r="R154">
        <f>'RESUMEN TOTAL'!AA157</f>
        <v>0</v>
      </c>
      <c r="S154">
        <f>'RESUMEN TOTAL'!AB157</f>
        <v>0</v>
      </c>
      <c r="T154">
        <f>'RESUMEN TOTAL'!AC157</f>
        <v>0</v>
      </c>
      <c r="U154">
        <f>'RESUMEN TOTAL'!AD157</f>
        <v>0</v>
      </c>
      <c r="V154">
        <f>'RESUMEN TOTAL'!AE157</f>
        <v>0</v>
      </c>
      <c r="W154">
        <f>'RESUMEN TOTAL'!AF157</f>
        <v>0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  <c r="AH154">
        <f>'RESUMEN TOTAL'!AQ157</f>
        <v>0</v>
      </c>
      <c r="AI154">
        <f>'RESUMEN TOTAL'!AR157</f>
        <v>0</v>
      </c>
    </row>
    <row r="155" spans="1:35" x14ac:dyDescent="0.25">
      <c r="A155" t="str">
        <f>'RESUMEN TOTAL'!A158</f>
        <v>LOPEZ ROMERO</v>
      </c>
      <c r="B155" t="str">
        <f>'RESUMEN TOTAL'!B158</f>
        <v>LRO03</v>
      </c>
      <c r="C155" t="str">
        <f>'RESUMEN TOTAL'!D158</f>
        <v>H. Irigoyen y Parravicini</v>
      </c>
      <c r="D155" t="str">
        <f>'RESUMEN TOTAL'!E158</f>
        <v>Fija</v>
      </c>
      <c r="E155" t="str">
        <f>'RESUMEN TOTAL'!F158</f>
        <v>Fibra Optica</v>
      </c>
      <c r="F155" t="str">
        <f>'RESUMEN TOTAL'!O158</f>
        <v>APAGADO</v>
      </c>
      <c r="G155" t="str">
        <f>'RESUMEN TOTAL'!P158</f>
        <v>APAGADO</v>
      </c>
      <c r="H155" t="str">
        <f>'RESUMEN TOTAL'!Q158</f>
        <v>APAGADO</v>
      </c>
      <c r="I155" t="str">
        <f>'RESUMEN TOTAL'!R158</f>
        <v>APAGADO</v>
      </c>
      <c r="J155" t="str">
        <f>'RESUMEN TOTAL'!S158</f>
        <v>APAGADO</v>
      </c>
      <c r="K155" t="str">
        <f>'RESUMEN TOTAL'!T158</f>
        <v>APAGADO</v>
      </c>
      <c r="L155" t="str">
        <f>'RESUMEN TOTAL'!U158</f>
        <v>APAGADO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>
        <f>'RESUMEN TOTAL'!Y158</f>
        <v>0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>
        <f>'RESUMEN TOTAL'!AD158</f>
        <v>0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  <c r="AH155">
        <f>'RESUMEN TOTAL'!AQ158</f>
        <v>0</v>
      </c>
      <c r="AI155">
        <f>'RESUMEN TOTAL'!AR158</f>
        <v>0</v>
      </c>
    </row>
    <row r="156" spans="1:35" x14ac:dyDescent="0.25">
      <c r="A156" t="str">
        <f>'RESUMEN TOTAL'!A159</f>
        <v>LOPEZ ROMERO</v>
      </c>
      <c r="B156" t="str">
        <f>'RESUMEN TOTAL'!B159</f>
        <v>LRO04</v>
      </c>
      <c r="C156" t="str">
        <f>'RESUMEN TOTAL'!D159</f>
        <v>H. Irigoyen y Alvarado</v>
      </c>
      <c r="D156" t="str">
        <f>'RESUMEN TOTAL'!E159</f>
        <v>FIJA</v>
      </c>
      <c r="E156" t="str">
        <f>'RESUMEN TOTAL'!F159</f>
        <v>Fibra Optica</v>
      </c>
      <c r="F156">
        <f>'RESUMEN TOTAL'!O159</f>
        <v>0</v>
      </c>
      <c r="G156">
        <f>'RESUMEN TOTAL'!P159</f>
        <v>0</v>
      </c>
      <c r="H156">
        <f>'RESUMEN TOTAL'!Q159</f>
        <v>0</v>
      </c>
      <c r="I156">
        <f>'RESUMEN TOTAL'!R159</f>
        <v>0</v>
      </c>
      <c r="J156">
        <f>'RESUMEN TOTAL'!S159</f>
        <v>0</v>
      </c>
      <c r="K156">
        <f>'RESUMEN TOTAL'!T159</f>
        <v>0</v>
      </c>
      <c r="L156">
        <f>'RESUMEN TOTAL'!U159</f>
        <v>0</v>
      </c>
      <c r="M156">
        <f>'RESUMEN TOTAL'!V159</f>
        <v>0</v>
      </c>
      <c r="N156">
        <f>'RESUMEN TOTAL'!W159</f>
        <v>0</v>
      </c>
      <c r="O156">
        <f>'RESUMEN TOTAL'!X159</f>
        <v>0</v>
      </c>
      <c r="P156">
        <f>'RESUMEN TOTAL'!Y159</f>
        <v>0</v>
      </c>
      <c r="Q156">
        <f>'RESUMEN TOTAL'!Z159</f>
        <v>0</v>
      </c>
      <c r="R156">
        <f>'RESUMEN TOTAL'!AA159</f>
        <v>0</v>
      </c>
      <c r="S156">
        <f>'RESUMEN TOTAL'!AB159</f>
        <v>0</v>
      </c>
      <c r="T156">
        <f>'RESUMEN TOTAL'!AC159</f>
        <v>0</v>
      </c>
      <c r="U156">
        <f>'RESUMEN TOTAL'!AD159</f>
        <v>0</v>
      </c>
      <c r="V156">
        <f>'RESUMEN TOTAL'!AE159</f>
        <v>0</v>
      </c>
      <c r="W156">
        <f>'RESUMEN TOTAL'!AF159</f>
        <v>0</v>
      </c>
      <c r="X156">
        <f>'RESUMEN TOTAL'!AG159</f>
        <v>0</v>
      </c>
      <c r="Y156">
        <f>'RESUMEN TOTAL'!AH159</f>
        <v>0</v>
      </c>
      <c r="Z156">
        <f>'RESUMEN TOTAL'!AI159</f>
        <v>0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  <c r="AH156">
        <f>'RESUMEN TOTAL'!AQ159</f>
        <v>0</v>
      </c>
      <c r="AI156">
        <f>'RESUMEN TOTAL'!AR159</f>
        <v>0</v>
      </c>
    </row>
    <row r="157" spans="1:35" x14ac:dyDescent="0.25">
      <c r="A157" t="str">
        <f>'RESUMEN TOTAL'!A160</f>
        <v>PRESIDENTE SARMIENTO</v>
      </c>
      <c r="B157" t="str">
        <f>'RESUMEN TOTAL'!B160</f>
        <v>LRO06</v>
      </c>
      <c r="C157" t="str">
        <f>'RESUMEN TOTAL'!D160</f>
        <v>H. Irigoyen y Belgrano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>
        <f>'RESUMEN TOTAL'!P160</f>
        <v>0</v>
      </c>
      <c r="H157">
        <f>'RESUMEN TOTAL'!Q160</f>
        <v>0</v>
      </c>
      <c r="I157">
        <f>'RESUMEN TOTAL'!R160</f>
        <v>0</v>
      </c>
      <c r="J157">
        <f>'RESUMEN TOTAL'!S160</f>
        <v>0</v>
      </c>
      <c r="K157" t="str">
        <f>'RESUMEN TOTAL'!T160</f>
        <v>APAGADO</v>
      </c>
      <c r="L157" t="str">
        <f>'RESUMEN TOTAL'!U160</f>
        <v>APAGADO</v>
      </c>
      <c r="M157">
        <f>'RESUMEN TOTAL'!V160</f>
        <v>0</v>
      </c>
      <c r="N157">
        <f>'RESUMEN TOTAL'!W160</f>
        <v>0</v>
      </c>
      <c r="O157">
        <f>'RESUMEN TOTAL'!X160</f>
        <v>0</v>
      </c>
      <c r="P157">
        <f>'RESUMEN TOTAL'!Y160</f>
        <v>0</v>
      </c>
      <c r="Q157">
        <f>'RESUMEN TOTAL'!Z160</f>
        <v>0</v>
      </c>
      <c r="R157">
        <f>'RESUMEN TOTAL'!AA160</f>
        <v>0</v>
      </c>
      <c r="S157">
        <f>'RESUMEN TOTAL'!AB160</f>
        <v>0</v>
      </c>
      <c r="T157">
        <f>'RESUMEN TOTAL'!AC160</f>
        <v>0</v>
      </c>
      <c r="U157">
        <f>'RESUMEN TOTAL'!AD160</f>
        <v>0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  <c r="AH157">
        <f>'RESUMEN TOTAL'!AQ160</f>
        <v>0</v>
      </c>
      <c r="AI157">
        <f>'RESUMEN TOTAL'!AR160</f>
        <v>0</v>
      </c>
    </row>
    <row r="158" spans="1:35" x14ac:dyDescent="0.25">
      <c r="A158" t="str">
        <f>'RESUMEN TOTAL'!A161</f>
        <v>LOPEZ ROMERO</v>
      </c>
      <c r="B158" t="str">
        <f>'RESUMEN TOTAL'!B161</f>
        <v>LRO07</v>
      </c>
      <c r="C158" t="str">
        <f>'RESUMEN TOTAL'!D161</f>
        <v>H. Irigoyen y Remedios de Escalada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>
        <f>'RESUMEN TOTAL'!Y161</f>
        <v>0</v>
      </c>
      <c r="Q158">
        <f>'RESUMEN TOTAL'!Z161</f>
        <v>0</v>
      </c>
      <c r="R158">
        <f>'RESUMEN TOTAL'!AA161</f>
        <v>0</v>
      </c>
      <c r="S158">
        <f>'RESUMEN TOTAL'!AB161</f>
        <v>0</v>
      </c>
      <c r="T158">
        <f>'RESUMEN TOTAL'!AC161</f>
        <v>0</v>
      </c>
      <c r="U158">
        <f>'RESUMEN TOTAL'!AD161</f>
        <v>0</v>
      </c>
      <c r="V158">
        <f>'RESUMEN TOTAL'!AE161</f>
        <v>0</v>
      </c>
      <c r="W158">
        <f>'RESUMEN TOTAL'!AF161</f>
        <v>0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  <c r="AH158">
        <f>'RESUMEN TOTAL'!AQ161</f>
        <v>0</v>
      </c>
      <c r="AI158">
        <f>'RESUMEN TOTAL'!AR161</f>
        <v>0</v>
      </c>
    </row>
    <row r="159" spans="1:35" x14ac:dyDescent="0.25">
      <c r="A159" t="str">
        <f>'RESUMEN TOTAL'!A162</f>
        <v>LOPEZ ROMERO</v>
      </c>
      <c r="B159" t="str">
        <f>'RESUMEN TOTAL'!B162</f>
        <v>LRO08</v>
      </c>
      <c r="C159" t="str">
        <f>'RESUMEN TOTAL'!D162</f>
        <v>Remedios de Escalada y Finochieto</v>
      </c>
      <c r="D159" t="str">
        <f>'RESUMEN TOTAL'!E162</f>
        <v>Domo</v>
      </c>
      <c r="E159" t="str">
        <f>'RESUMEN TOTAL'!F162</f>
        <v>Fibra Optica</v>
      </c>
      <c r="F159" t="str">
        <f>'RESUMEN TOTAL'!O162</f>
        <v>APAGADO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 t="str">
        <f>'RESUMEN TOTAL'!T162</f>
        <v>APAGADO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>
        <f>'RESUMEN TOTAL'!AD162</f>
        <v>0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  <c r="AH159">
        <f>'RESUMEN TOTAL'!AQ162</f>
        <v>0</v>
      </c>
      <c r="AI159">
        <f>'RESUMEN TOTAL'!AR162</f>
        <v>0</v>
      </c>
    </row>
    <row r="160" spans="1:35" x14ac:dyDescent="0.25">
      <c r="A160" t="str">
        <f>'RESUMEN TOTAL'!A163</f>
        <v>LOPEZ ROMERO</v>
      </c>
      <c r="B160" t="str">
        <f>'RESUMEN TOTAL'!B163</f>
        <v>LRO11</v>
      </c>
      <c r="C160" t="str">
        <f>'RESUMEN TOTAL'!D163</f>
        <v>Av. Yrigoyen y Braile</v>
      </c>
      <c r="D160" t="str">
        <f>'RESUMEN TOTAL'!E163</f>
        <v>Domo</v>
      </c>
      <c r="E160" t="str">
        <f>'RESUMEN TOTAL'!F163</f>
        <v>FIBRA OPTICA</v>
      </c>
      <c r="F160" t="str">
        <f>'RESUMEN TOTAL'!O163</f>
        <v>APAGADO</v>
      </c>
      <c r="G160" t="str">
        <f>'RESUMEN TOTAL'!P163</f>
        <v>APAGADO</v>
      </c>
      <c r="H160" t="str">
        <f>'RESUMEN TOTAL'!Q163</f>
        <v>APAGADO</v>
      </c>
      <c r="I160" t="str">
        <f>'RESUMEN TOTAL'!R163</f>
        <v>APAGADO</v>
      </c>
      <c r="J160" t="str">
        <f>'RESUMEN TOTAL'!S163</f>
        <v>APAGADO</v>
      </c>
      <c r="K160" t="str">
        <f>'RESUMEN TOTAL'!T163</f>
        <v>APAGADO</v>
      </c>
      <c r="L160" t="str">
        <f>'RESUMEN TOTAL'!U163</f>
        <v>APAGADO</v>
      </c>
      <c r="M160">
        <f>'RESUMEN TOTAL'!V163</f>
        <v>0</v>
      </c>
      <c r="N160">
        <f>'RESUMEN TOTAL'!W163</f>
        <v>0</v>
      </c>
      <c r="O160">
        <f>'RESUMEN TOTAL'!X163</f>
        <v>0</v>
      </c>
      <c r="P160">
        <f>'RESUMEN TOTAL'!Y163</f>
        <v>0</v>
      </c>
      <c r="Q160">
        <f>'RESUMEN TOTAL'!Z163</f>
        <v>0</v>
      </c>
      <c r="R160">
        <f>'RESUMEN TOTAL'!AA163</f>
        <v>0</v>
      </c>
      <c r="S160">
        <f>'RESUMEN TOTAL'!AB163</f>
        <v>0</v>
      </c>
      <c r="T160">
        <f>'RESUMEN TOTAL'!AC163</f>
        <v>0</v>
      </c>
      <c r="U160">
        <f>'RESUMEN TOTAL'!AD163</f>
        <v>0</v>
      </c>
      <c r="V160">
        <f>'RESUMEN TOTAL'!AE163</f>
        <v>0</v>
      </c>
      <c r="W160">
        <f>'RESUMEN TOTAL'!AF163</f>
        <v>0</v>
      </c>
      <c r="X160">
        <f>'RESUMEN TOTAL'!AG163</f>
        <v>0</v>
      </c>
      <c r="Y160">
        <f>'RESUMEN TOTAL'!AH163</f>
        <v>0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  <c r="AH160">
        <f>'RESUMEN TOTAL'!AQ163</f>
        <v>0</v>
      </c>
      <c r="AI160">
        <f>'RESUMEN TOTAL'!AR163</f>
        <v>0</v>
      </c>
    </row>
    <row r="161" spans="1:35" x14ac:dyDescent="0.25">
      <c r="A161" t="str">
        <f>'RESUMEN TOTAL'!A164</f>
        <v>LOPEZ ROMERO</v>
      </c>
      <c r="B161" t="str">
        <f>'RESUMEN TOTAL'!B164</f>
        <v>LRO14</v>
      </c>
      <c r="C161" t="str">
        <f>'RESUMEN TOTAL'!D164</f>
        <v>YRIGOYEN Y STORNI</v>
      </c>
      <c r="D161" t="str">
        <f>'RESUMEN TOTAL'!E164</f>
        <v>DOMO</v>
      </c>
      <c r="E161" t="str">
        <f>'RESUMEN TOTAL'!F164</f>
        <v>Fibra Optica</v>
      </c>
      <c r="F161">
        <f>'RESUMEN TOTAL'!O164</f>
        <v>0</v>
      </c>
      <c r="G161">
        <f>'RESUMEN TOTAL'!P164</f>
        <v>0</v>
      </c>
      <c r="H161">
        <f>'RESUMEN TOTAL'!Q164</f>
        <v>0</v>
      </c>
      <c r="I161">
        <f>'RESUMEN TOTAL'!R164</f>
        <v>0</v>
      </c>
      <c r="J161">
        <f>'RESUMEN TOTAL'!S164</f>
        <v>0</v>
      </c>
      <c r="K161">
        <f>'RESUMEN TOTAL'!T164</f>
        <v>0</v>
      </c>
      <c r="L161">
        <f>'RESUMEN TOTAL'!U164</f>
        <v>0</v>
      </c>
      <c r="M161">
        <f>'RESUMEN TOTAL'!V164</f>
        <v>0</v>
      </c>
      <c r="N161">
        <f>'RESUMEN TOTAL'!W164</f>
        <v>0</v>
      </c>
      <c r="O161">
        <f>'RESUMEN TOTAL'!X164</f>
        <v>0</v>
      </c>
      <c r="P161">
        <f>'RESUMEN TOTAL'!Y164</f>
        <v>0</v>
      </c>
      <c r="Q161">
        <f>'RESUMEN TOTAL'!Z164</f>
        <v>0</v>
      </c>
      <c r="R161">
        <f>'RESUMEN TOTAL'!AA164</f>
        <v>0</v>
      </c>
      <c r="S161">
        <f>'RESUMEN TOTAL'!AB164</f>
        <v>0</v>
      </c>
      <c r="T161">
        <f>'RESUMEN TOTAL'!AC164</f>
        <v>0</v>
      </c>
      <c r="U161">
        <f>'RESUMEN TOTAL'!AD164</f>
        <v>0</v>
      </c>
      <c r="V161">
        <f>'RESUMEN TOTAL'!AE164</f>
        <v>0</v>
      </c>
      <c r="W161">
        <f>'RESUMEN TOTAL'!AF164</f>
        <v>0</v>
      </c>
      <c r="X161">
        <f>'RESUMEN TOTAL'!AG164</f>
        <v>0</v>
      </c>
      <c r="Y161">
        <f>'RESUMEN TOTAL'!AH164</f>
        <v>0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  <c r="AH161">
        <f>'RESUMEN TOTAL'!AQ164</f>
        <v>0</v>
      </c>
      <c r="AI161">
        <f>'RESUMEN TOTAL'!AR164</f>
        <v>0</v>
      </c>
    </row>
    <row r="162" spans="1:35" x14ac:dyDescent="0.25">
      <c r="A162" t="str">
        <f>'RESUMEN TOTAL'!A165</f>
        <v>LUJAN</v>
      </c>
      <c r="B162" t="str">
        <f>'RESUMEN TOTAL'!B165</f>
        <v>LUJ 01</v>
      </c>
      <c r="C162" t="str">
        <f>'RESUMEN TOTAL'!D165</f>
        <v>Ã‘andu y Los Pinos</v>
      </c>
      <c r="D162" t="str">
        <f>'RESUMEN TOTAL'!E165</f>
        <v>Domo</v>
      </c>
      <c r="E162" t="str">
        <f>'RESUMEN TOTAL'!F165</f>
        <v>Radio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>
        <f>'RESUMEN TOTAL'!AD165</f>
        <v>0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  <c r="AH162">
        <f>'RESUMEN TOTAL'!AQ165</f>
        <v>0</v>
      </c>
      <c r="AI162">
        <f>'RESUMEN TOTAL'!AR165</f>
        <v>0</v>
      </c>
    </row>
    <row r="163" spans="1:35" x14ac:dyDescent="0.25">
      <c r="A163" t="str">
        <f>'RESUMEN TOTAL'!A166</f>
        <v>VILLA ARGENTINA</v>
      </c>
      <c r="B163" t="str">
        <f>'RESUMEN TOTAL'!B166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Fibra Optica</v>
      </c>
      <c r="F163" t="str">
        <f>'RESUMEN TOTAL'!O166</f>
        <v>APAGADO</v>
      </c>
      <c r="G163" t="str">
        <f>'RESUMEN TOTAL'!P166</f>
        <v>APAGADO</v>
      </c>
      <c r="H163" t="str">
        <f>'RESUMEN TOTAL'!Q166</f>
        <v>APAGADO</v>
      </c>
      <c r="I163" t="str">
        <f>'RESUMEN TOTAL'!R166</f>
        <v>APAGADO</v>
      </c>
      <c r="J163" t="str">
        <f>'RESUMEN TOTAL'!S166</f>
        <v>APAGADO</v>
      </c>
      <c r="K163" t="str">
        <f>'RESUMEN TOTAL'!T166</f>
        <v>APAGADO</v>
      </c>
      <c r="L163" t="str">
        <f>'RESUMEN TOTAL'!U166</f>
        <v>APAGADO</v>
      </c>
      <c r="M163">
        <f>'RESUMEN TOTAL'!V166</f>
        <v>0</v>
      </c>
      <c r="N163">
        <f>'RESUMEN TOTAL'!W166</f>
        <v>0</v>
      </c>
      <c r="O163">
        <f>'RESUMEN TOTAL'!X166</f>
        <v>0</v>
      </c>
      <c r="P163">
        <f>'RESUMEN TOTAL'!Y166</f>
        <v>0</v>
      </c>
      <c r="Q163">
        <f>'RESUMEN TOTAL'!Z166</f>
        <v>0</v>
      </c>
      <c r="R163">
        <f>'RESUMEN TOTAL'!AA166</f>
        <v>0</v>
      </c>
      <c r="S163">
        <f>'RESUMEN TOTAL'!AB166</f>
        <v>0</v>
      </c>
      <c r="T163">
        <f>'RESUMEN TOTAL'!AC166</f>
        <v>0</v>
      </c>
      <c r="U163">
        <f>'RESUMEN TOTAL'!AD166</f>
        <v>0</v>
      </c>
      <c r="V163">
        <f>'RESUMEN TOTAL'!AE166</f>
        <v>0</v>
      </c>
      <c r="W163">
        <f>'RESUMEN TOTAL'!AF166</f>
        <v>0</v>
      </c>
      <c r="X163">
        <f>'RESUMEN TOTAL'!AG166</f>
        <v>0</v>
      </c>
      <c r="Y163">
        <f>'RESUMEN TOTAL'!AH166</f>
        <v>0</v>
      </c>
      <c r="Z163">
        <f>'RESUMEN TOTAL'!AI166</f>
        <v>0</v>
      </c>
      <c r="AA163">
        <f>'RESUMEN TOTAL'!AJ166</f>
        <v>0</v>
      </c>
      <c r="AB163">
        <f>'RESUMEN TOTAL'!AK166</f>
        <v>0</v>
      </c>
      <c r="AC163">
        <f>'RESUMEN TOTAL'!AL166</f>
        <v>0</v>
      </c>
      <c r="AD163">
        <f>'RESUMEN TOTAL'!AM166</f>
        <v>0</v>
      </c>
      <c r="AE163">
        <f>'RESUMEN TOTAL'!AN166</f>
        <v>0</v>
      </c>
      <c r="AF163">
        <f>'RESUMEN TOTAL'!AO166</f>
        <v>0</v>
      </c>
      <c r="AG163">
        <f>'RESUMEN TOTAL'!AP166</f>
        <v>0</v>
      </c>
      <c r="AH163">
        <f>'RESUMEN TOTAL'!AQ166</f>
        <v>0</v>
      </c>
      <c r="AI163">
        <f>'RESUMEN TOTAL'!AR166</f>
        <v>0</v>
      </c>
    </row>
    <row r="164" spans="1:35" x14ac:dyDescent="0.25">
      <c r="A164" t="str">
        <f>'RESUMEN TOTAL'!A167</f>
        <v>LUJAN</v>
      </c>
      <c r="B164" t="str">
        <f>'RESUMEN TOTAL'!B167</f>
        <v>LUJ03</v>
      </c>
      <c r="C164" t="str">
        <f>'RESUMEN TOTAL'!D167</f>
        <v>LOS PINOS Y LOS TILOS</v>
      </c>
      <c r="D164" t="str">
        <f>'RESUMEN TOTAL'!E167</f>
        <v>DOMO</v>
      </c>
      <c r="E164" t="str">
        <f>'RESUMEN TOTAL'!F167</f>
        <v>Fibra Optica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>
        <f>'RESUMEN TOTAL'!Z167</f>
        <v>0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>
        <f>'RESUMEN TOTAL'!AN167</f>
        <v>0</v>
      </c>
      <c r="AF164">
        <f>'RESUMEN TOTAL'!AO167</f>
        <v>0</v>
      </c>
      <c r="AG164">
        <f>'RESUMEN TOTAL'!AP167</f>
        <v>0</v>
      </c>
      <c r="AH164">
        <f>'RESUMEN TOTAL'!AQ167</f>
        <v>0</v>
      </c>
      <c r="AI164">
        <f>'RESUMEN TOTAL'!AR167</f>
        <v>0</v>
      </c>
    </row>
    <row r="165" spans="1:35" x14ac:dyDescent="0.25">
      <c r="A165" t="str">
        <f>'RESUMEN TOTAL'!A168</f>
        <v>PRESIDENTE PERON (PEPSI)</v>
      </c>
      <c r="B165" t="str">
        <f>'RESUMEN TOTAL'!B168</f>
        <v>MAR 01</v>
      </c>
      <c r="C165" t="str">
        <f>'RESUMEN TOTAL'!D168</f>
        <v>RP36 Y LA ESMERALDA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>
        <f>'RESUMEN TOTAL'!Q168</f>
        <v>0</v>
      </c>
      <c r="I165">
        <f>'RESUMEN TOTAL'!R168</f>
        <v>0</v>
      </c>
      <c r="J165">
        <f>'RESUMEN TOTAL'!S168</f>
        <v>0</v>
      </c>
      <c r="K165">
        <f>'RESUMEN TOTAL'!T168</f>
        <v>0</v>
      </c>
      <c r="L165" t="str">
        <f>'RESUMEN TOTAL'!U168</f>
        <v>APAGADO</v>
      </c>
      <c r="M165">
        <f>'RESUMEN TOTAL'!V168</f>
        <v>0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>
        <f>'RESUMEN TOTAL'!Z168</f>
        <v>0</v>
      </c>
      <c r="R165">
        <f>'RESUMEN TOTAL'!AA168</f>
        <v>0</v>
      </c>
      <c r="S165">
        <f>'RESUMEN TOTAL'!AB168</f>
        <v>0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  <c r="AH165">
        <f>'RESUMEN TOTAL'!AQ168</f>
        <v>0</v>
      </c>
      <c r="AI165">
        <f>'RESUMEN TOTAL'!AR168</f>
        <v>0</v>
      </c>
    </row>
    <row r="166" spans="1:35" x14ac:dyDescent="0.25">
      <c r="A166" t="str">
        <f>'RESUMEN TOTAL'!A169</f>
        <v>RICARDO ROJAS</v>
      </c>
      <c r="B166" t="str">
        <f>'RESUMEN TOTAL'!B169</f>
        <v>MAR 02 (FIJA1)</v>
      </c>
      <c r="C166" t="str">
        <f>'RESUMEN TOTAL'!D169</f>
        <v>LUJAN Y PATAGONES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>
        <f>'RESUMEN TOTAL'!P169</f>
        <v>0</v>
      </c>
      <c r="H166">
        <f>'RESUMEN TOTAL'!Q169</f>
        <v>0</v>
      </c>
      <c r="I166">
        <f>'RESUMEN TOTAL'!R169</f>
        <v>0</v>
      </c>
      <c r="J166">
        <f>'RESUMEN TOTAL'!S169</f>
        <v>0</v>
      </c>
      <c r="K166">
        <f>'RESUMEN TOTAL'!T169</f>
        <v>0</v>
      </c>
      <c r="L166" t="str">
        <f>'RESUMEN TOTAL'!U169</f>
        <v>APAGADO</v>
      </c>
      <c r="M166">
        <f>'RESUMEN TOTAL'!V169</f>
        <v>0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>
        <f>'RESUMEN TOTAL'!AB169</f>
        <v>0</v>
      </c>
      <c r="T166">
        <f>'RESUMEN TOTAL'!AC169</f>
        <v>0</v>
      </c>
      <c r="U166">
        <f>'RESUMEN TOTAL'!AD169</f>
        <v>0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  <c r="AH166">
        <f>'RESUMEN TOTAL'!AQ169</f>
        <v>0</v>
      </c>
      <c r="AI166">
        <f>'RESUMEN TOTAL'!AR169</f>
        <v>0</v>
      </c>
    </row>
    <row r="167" spans="1:35" x14ac:dyDescent="0.25">
      <c r="A167" t="str">
        <f>'RESUMEN TOTAL'!A170</f>
        <v>LAS MARGARITAS</v>
      </c>
      <c r="B167" t="str">
        <f>'RESUMEN TOTAL'!B170</f>
        <v>MAR 03(FIJA 2)</v>
      </c>
      <c r="C167" t="str">
        <f>'RESUMEN TOTAL'!D170</f>
        <v>LUJAN Y PATAGONES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>
        <f>'RESUMEN TOTAL'!R170</f>
        <v>0</v>
      </c>
      <c r="J167">
        <f>'RESUMEN TOTAL'!S170</f>
        <v>0</v>
      </c>
      <c r="K167">
        <f>'RESUMEN TOTAL'!T170</f>
        <v>0</v>
      </c>
      <c r="L167" t="str">
        <f>'RESUMEN TOTAL'!U170</f>
        <v>APAGADO</v>
      </c>
      <c r="M167">
        <f>'RESUMEN TOTAL'!V170</f>
        <v>0</v>
      </c>
      <c r="N167">
        <f>'RESUMEN TOTAL'!W170</f>
        <v>0</v>
      </c>
      <c r="O167">
        <f>'RESUMEN TOTAL'!X170</f>
        <v>0</v>
      </c>
      <c r="P167">
        <f>'RESUMEN TOTAL'!Y170</f>
        <v>0</v>
      </c>
      <c r="Q167">
        <f>'RESUMEN TOTAL'!Z170</f>
        <v>0</v>
      </c>
      <c r="R167">
        <f>'RESUMEN TOTAL'!AA170</f>
        <v>0</v>
      </c>
      <c r="S167">
        <f>'RESUMEN TOTAL'!AB170</f>
        <v>0</v>
      </c>
      <c r="T167">
        <f>'RESUMEN TOTAL'!AC170</f>
        <v>0</v>
      </c>
      <c r="U167">
        <f>'RESUMEN TOTAL'!AD170</f>
        <v>0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  <c r="AH167">
        <f>'RESUMEN TOTAL'!AQ170</f>
        <v>0</v>
      </c>
      <c r="AI167">
        <f>'RESUMEN TOTAL'!AR170</f>
        <v>0</v>
      </c>
    </row>
    <row r="168" spans="1:35" x14ac:dyDescent="0.25">
      <c r="A168" t="str">
        <f>'RESUMEN TOTAL'!A171</f>
        <v>MAYOL</v>
      </c>
      <c r="B168" t="str">
        <f>'RESUMEN TOTAL'!B171</f>
        <v>MAY 01</v>
      </c>
      <c r="C168" t="str">
        <f>'RESUMEN TOTAL'!D171</f>
        <v>Eva PerÃ³n y Cabildo</v>
      </c>
      <c r="D168" t="str">
        <f>'RESUMEN TOTAL'!E171</f>
        <v>Domo</v>
      </c>
      <c r="E168" t="str">
        <f>'RESUMEN TOTAL'!F171</f>
        <v>Radio</v>
      </c>
      <c r="F168">
        <f>'RESUMEN TOTAL'!O171</f>
        <v>0</v>
      </c>
      <c r="G168">
        <f>'RESUMEN TOTAL'!P171</f>
        <v>0</v>
      </c>
      <c r="H168">
        <f>'RESUMEN TOTAL'!Q171</f>
        <v>0</v>
      </c>
      <c r="I168">
        <f>'RESUMEN TOTAL'!R171</f>
        <v>0</v>
      </c>
      <c r="J168">
        <f>'RESUMEN TOTAL'!S171</f>
        <v>0</v>
      </c>
      <c r="K168">
        <f>'RESUMEN TOTAL'!T171</f>
        <v>0</v>
      </c>
      <c r="L168">
        <f>'RESUMEN TOTAL'!U171</f>
        <v>0</v>
      </c>
      <c r="M168">
        <f>'RESUMEN TOTAL'!V171</f>
        <v>0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>
        <f>'RESUMEN TOTAL'!Z171</f>
        <v>0</v>
      </c>
      <c r="R168">
        <f>'RESUMEN TOTAL'!AA171</f>
        <v>0</v>
      </c>
      <c r="S168">
        <f>'RESUMEN TOTAL'!AB171</f>
        <v>0</v>
      </c>
      <c r="T168">
        <f>'RESUMEN TOTAL'!AC171</f>
        <v>0</v>
      </c>
      <c r="U168">
        <f>'RESUMEN TOTAL'!AD171</f>
        <v>0</v>
      </c>
      <c r="V168">
        <f>'RESUMEN TOTAL'!AE171</f>
        <v>0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  <c r="AH168">
        <f>'RESUMEN TOTAL'!AQ171</f>
        <v>0</v>
      </c>
      <c r="AI168">
        <f>'RESUMEN TOTAL'!AR171</f>
        <v>0</v>
      </c>
    </row>
    <row r="169" spans="1:35" x14ac:dyDescent="0.25">
      <c r="A169" t="str">
        <f>'RESUMEN TOTAL'!A172</f>
        <v>MAYOL</v>
      </c>
      <c r="B169" t="str">
        <f>'RESUMEN TOTAL'!B172</f>
        <v>MAY 02</v>
      </c>
      <c r="C169" t="str">
        <f>'RESUMEN TOTAL'!D172</f>
        <v>EVA PERON Y MONTEVIDEO</v>
      </c>
      <c r="D169" t="str">
        <f>'RESUMEN TOTAL'!E172</f>
        <v>Domo</v>
      </c>
      <c r="E169" t="str">
        <f>'RESUMEN TOTAL'!F172</f>
        <v>Radio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>
        <f>'RESUMEN TOTAL'!U172</f>
        <v>0</v>
      </c>
      <c r="M169">
        <f>'RESUMEN TOTAL'!V172</f>
        <v>0</v>
      </c>
      <c r="N169">
        <f>'RESUMEN TOTAL'!W172</f>
        <v>0</v>
      </c>
      <c r="O169">
        <f>'RESUMEN TOTAL'!X172</f>
        <v>0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>
        <f>'RESUMEN TOTAL'!AD172</f>
        <v>0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  <c r="AH169">
        <f>'RESUMEN TOTAL'!AQ172</f>
        <v>0</v>
      </c>
      <c r="AI169">
        <f>'RESUMEN TOTAL'!AR172</f>
        <v>0</v>
      </c>
    </row>
    <row r="170" spans="1:35" x14ac:dyDescent="0.25">
      <c r="A170" t="str">
        <f>'RESUMEN TOTAL'!A173</f>
        <v>MAYOL</v>
      </c>
      <c r="B170" t="str">
        <f>'RESUMEN TOTAL'!B173</f>
        <v>MAY 03</v>
      </c>
      <c r="C170" t="str">
        <f>'RESUMEN TOTAL'!D173</f>
        <v>CHAÃ‘AR Y SAN NICOLAS</v>
      </c>
      <c r="D170" t="str">
        <f>'RESUMEN TOTAL'!E173</f>
        <v>DOMO</v>
      </c>
      <c r="E170" t="str">
        <f>'RESUMEN TOTAL'!F173</f>
        <v>PTO A FO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>
        <f>'RESUMEN TOTAL'!U173</f>
        <v>0</v>
      </c>
      <c r="M170">
        <f>'RESUMEN TOTAL'!V173</f>
        <v>0</v>
      </c>
      <c r="N170">
        <f>'RESUMEN TOTAL'!W173</f>
        <v>0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>
        <f>'RESUMEN TOTAL'!AB173</f>
        <v>0</v>
      </c>
      <c r="T170">
        <f>'RESUMEN TOTAL'!AC173</f>
        <v>0</v>
      </c>
      <c r="U170">
        <f>'RESUMEN TOTAL'!AD173</f>
        <v>0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  <c r="AH170">
        <f>'RESUMEN TOTAL'!AQ173</f>
        <v>0</v>
      </c>
      <c r="AI170">
        <f>'RESUMEN TOTAL'!AR173</f>
        <v>0</v>
      </c>
    </row>
    <row r="171" spans="1:35" x14ac:dyDescent="0.25">
      <c r="A171" t="str">
        <f>'RESUMEN TOTAL'!A174</f>
        <v>MAYOL</v>
      </c>
      <c r="B171" t="str">
        <f>'RESUMEN TOTAL'!B174</f>
        <v>MAY 04</v>
      </c>
      <c r="C171" t="str">
        <f>'RESUMEN TOTAL'!D174</f>
        <v>MAR CHIQUITA Y RIO JACHAL</v>
      </c>
      <c r="D171" t="str">
        <f>'RESUMEN TOTAL'!E174</f>
        <v>DOMO</v>
      </c>
      <c r="E171" t="str">
        <f>'RESUMEN TOTAL'!F174</f>
        <v>Radio</v>
      </c>
      <c r="F171">
        <f>'RESUMEN TOTAL'!O174</f>
        <v>0</v>
      </c>
      <c r="G171">
        <f>'RESUMEN TOTAL'!P174</f>
        <v>0</v>
      </c>
      <c r="H171">
        <f>'RESUMEN TOTAL'!Q174</f>
        <v>0</v>
      </c>
      <c r="I171">
        <f>'RESUMEN TOTAL'!R174</f>
        <v>0</v>
      </c>
      <c r="J171">
        <f>'RESUMEN TOTAL'!S174</f>
        <v>0</v>
      </c>
      <c r="K171">
        <f>'RESUMEN TOTAL'!T174</f>
        <v>0</v>
      </c>
      <c r="L171">
        <f>'RESUMEN TOTAL'!U174</f>
        <v>0</v>
      </c>
      <c r="M171">
        <f>'RESUMEN TOTAL'!V174</f>
        <v>0</v>
      </c>
      <c r="N171">
        <f>'RESUMEN TOTAL'!W174</f>
        <v>0</v>
      </c>
      <c r="O171">
        <f>'RESUMEN TOTAL'!X174</f>
        <v>0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>
        <f>'RESUMEN TOTAL'!AB174</f>
        <v>0</v>
      </c>
      <c r="T171">
        <f>'RESUMEN TOTAL'!AC174</f>
        <v>0</v>
      </c>
      <c r="U171">
        <f>'RESUMEN TOTAL'!AD174</f>
        <v>0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  <c r="AH171">
        <f>'RESUMEN TOTAL'!AQ174</f>
        <v>0</v>
      </c>
      <c r="AI171">
        <f>'RESUMEN TOTAL'!AR174</f>
        <v>0</v>
      </c>
    </row>
    <row r="172" spans="1:35" x14ac:dyDescent="0.25">
      <c r="A172" t="str">
        <f>'RESUMEN TOTAL'!A175</f>
        <v>MARTIN FIERRO</v>
      </c>
      <c r="B172" t="str">
        <f>'RESUMEN TOTAL'!B175</f>
        <v>MFI 01</v>
      </c>
      <c r="C172" t="str">
        <f>'RESUMEN TOTAL'!D175</f>
        <v>Belgrano y Sgto. Cabral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 t="str">
        <f>'RESUMEN TOTAL'!T175</f>
        <v>APAGADO</v>
      </c>
      <c r="L172" t="str">
        <f>'RESUMEN TOTAL'!U175</f>
        <v>APAGADO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>
        <f>'RESUMEN TOTAL'!Y175</f>
        <v>0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  <c r="AH172">
        <f>'RESUMEN TOTAL'!AQ175</f>
        <v>0</v>
      </c>
      <c r="AI172">
        <f>'RESUMEN TOTAL'!AR175</f>
        <v>0</v>
      </c>
    </row>
    <row r="173" spans="1:35" x14ac:dyDescent="0.25">
      <c r="A173" t="str">
        <f>'RESUMEN TOTAL'!A176</f>
        <v>SAN EMILIO</v>
      </c>
      <c r="B173" t="str">
        <f>'RESUMEN TOTAL'!B176</f>
        <v>MFI 03</v>
      </c>
      <c r="C173" t="str">
        <f>'RESUMEN TOTAL'!D176</f>
        <v>Cno. Gral. Belgrano y Av. del Trabajo</v>
      </c>
      <c r="D173" t="str">
        <f>'RESUMEN TOTAL'!E176</f>
        <v>Domo</v>
      </c>
      <c r="E173" t="str">
        <f>'RESUMEN TOTAL'!F176</f>
        <v>Fibra Optica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>
        <f>'RESUMEN TOTAL'!R176</f>
        <v>0</v>
      </c>
      <c r="J173">
        <f>'RESUMEN TOTAL'!S176</f>
        <v>0</v>
      </c>
      <c r="K173" t="str">
        <f>'RESUMEN TOTAL'!T176</f>
        <v>APAGADO</v>
      </c>
      <c r="L173" t="str">
        <f>'RESUMEN TOTAL'!U176</f>
        <v>APAGADO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>
        <f>'RESUMEN TOTAL'!Y176</f>
        <v>0</v>
      </c>
      <c r="Q173">
        <f>'RESUMEN TOTAL'!Z176</f>
        <v>0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  <c r="AH173">
        <f>'RESUMEN TOTAL'!AQ176</f>
        <v>0</v>
      </c>
      <c r="AI173">
        <f>'RESUMEN TOTAL'!AR176</f>
        <v>0</v>
      </c>
    </row>
    <row r="174" spans="1:35" x14ac:dyDescent="0.25">
      <c r="A174" t="str">
        <f>'RESUMEN TOTAL'!A177</f>
        <v>SAN EMILIO</v>
      </c>
      <c r="B174" t="str">
        <f>'RESUMEN TOTAL'!B177</f>
        <v>MFI 05</v>
      </c>
      <c r="C174" t="str">
        <f>'RESUMEN TOTAL'!D177</f>
        <v>Cno. Gral. Belgrano y Guayaquil</v>
      </c>
      <c r="D174" t="str">
        <f>'RESUMEN TOTAL'!E177</f>
        <v>Domo</v>
      </c>
      <c r="E174" t="str">
        <f>'RESUMEN TOTAL'!F177</f>
        <v>FIBRA OPTICA</v>
      </c>
      <c r="F174">
        <f>'RESUMEN TOTAL'!O177</f>
        <v>0</v>
      </c>
      <c r="G174">
        <f>'RESUMEN TOTAL'!P177</f>
        <v>0</v>
      </c>
      <c r="H174">
        <f>'RESUMEN TOTAL'!Q177</f>
        <v>0</v>
      </c>
      <c r="I174">
        <f>'RESUMEN TOTAL'!R177</f>
        <v>0</v>
      </c>
      <c r="J174">
        <f>'RESUMEN TOTAL'!S177</f>
        <v>0</v>
      </c>
      <c r="K174" t="str">
        <f>'RESUMEN TOTAL'!T177</f>
        <v>APAGADO</v>
      </c>
      <c r="L174" t="str">
        <f>'RESUMEN TOTAL'!U177</f>
        <v>APAGADO</v>
      </c>
      <c r="M174">
        <f>'RESUMEN TOTAL'!V177</f>
        <v>0</v>
      </c>
      <c r="N174">
        <f>'RESUMEN TOTAL'!W177</f>
        <v>0</v>
      </c>
      <c r="O174">
        <f>'RESUMEN TOTAL'!X177</f>
        <v>0</v>
      </c>
      <c r="P174">
        <f>'RESUMEN TOTAL'!Y177</f>
        <v>0</v>
      </c>
      <c r="Q174">
        <f>'RESUMEN TOTAL'!Z177</f>
        <v>0</v>
      </c>
      <c r="R174">
        <f>'RESUMEN TOTAL'!AA177</f>
        <v>0</v>
      </c>
      <c r="S174">
        <f>'RESUMEN TOTAL'!AB177</f>
        <v>0</v>
      </c>
      <c r="T174">
        <f>'RESUMEN TOTAL'!AC177</f>
        <v>0</v>
      </c>
      <c r="U174">
        <f>'RESUMEN TOTAL'!AD177</f>
        <v>0</v>
      </c>
      <c r="V174">
        <f>'RESUMEN TOTAL'!AE177</f>
        <v>0</v>
      </c>
      <c r="W174">
        <f>'RESUMEN TOTAL'!AF177</f>
        <v>0</v>
      </c>
      <c r="X174">
        <f>'RESUMEN TOTAL'!AG177</f>
        <v>0</v>
      </c>
      <c r="Y174">
        <f>'RESUMEN TOTAL'!AH177</f>
        <v>0</v>
      </c>
      <c r="Z174">
        <f>'RESUMEN TOTAL'!AI177</f>
        <v>0</v>
      </c>
      <c r="AA174">
        <f>'RESUMEN TOTAL'!AJ177</f>
        <v>0</v>
      </c>
      <c r="AB174">
        <f>'RESUMEN TOTAL'!AK177</f>
        <v>0</v>
      </c>
      <c r="AC174">
        <f>'RESUMEN TOTAL'!AL177</f>
        <v>0</v>
      </c>
      <c r="AD174">
        <f>'RESUMEN TOTAL'!AM177</f>
        <v>0</v>
      </c>
      <c r="AE174">
        <f>'RESUMEN TOTAL'!AN177</f>
        <v>0</v>
      </c>
      <c r="AF174">
        <f>'RESUMEN TOTAL'!AO177</f>
        <v>0</v>
      </c>
      <c r="AG174">
        <f>'RESUMEN TOTAL'!AP177</f>
        <v>0</v>
      </c>
      <c r="AH174">
        <f>'RESUMEN TOTAL'!AQ177</f>
        <v>0</v>
      </c>
      <c r="AI174">
        <f>'RESUMEN TOTAL'!AR177</f>
        <v>0</v>
      </c>
    </row>
    <row r="175" spans="1:35" x14ac:dyDescent="0.25">
      <c r="A175" t="str">
        <f>'RESUMEN TOTAL'!A178</f>
        <v>LOPEZ ROMERO</v>
      </c>
      <c r="B175" t="str">
        <f>'RESUMEN TOTAL'!B178</f>
        <v>MFI02</v>
      </c>
      <c r="C175" t="str">
        <f>'RESUMEN TOTAL'!D178</f>
        <v>Calchaqui y Balcarce</v>
      </c>
      <c r="D175" t="str">
        <f>'RESUMEN TOTAL'!E178</f>
        <v>Fija</v>
      </c>
      <c r="E175" t="str">
        <f>'RESUMEN TOTAL'!F178</f>
        <v>Fibra Optica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>
        <f>'RESUMEN TOTAL'!AA178</f>
        <v>0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  <c r="AH175">
        <f>'RESUMEN TOTAL'!AQ178</f>
        <v>0</v>
      </c>
      <c r="AI175">
        <f>'RESUMEN TOTAL'!AR178</f>
        <v>0</v>
      </c>
    </row>
    <row r="176" spans="1:35" x14ac:dyDescent="0.25">
      <c r="A176" t="str">
        <f>'RESUMEN TOTAL'!A179</f>
        <v>MARTIN FIERRO</v>
      </c>
      <c r="B176" t="str">
        <f>'RESUMEN TOTAL'!B179</f>
        <v>MFI04</v>
      </c>
      <c r="C176" t="str">
        <f>'RESUMEN TOTAL'!D179</f>
        <v>Calchaqui y balcarce</v>
      </c>
      <c r="D176" t="str">
        <f>'RESUMEN TOTAL'!E179</f>
        <v>Domo</v>
      </c>
      <c r="E176" t="str">
        <f>'RESUMEN TOTAL'!F179</f>
        <v>FIBRA OPTICA</v>
      </c>
      <c r="F176">
        <f>'RESUMEN TOTAL'!O179</f>
        <v>0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>
        <f>'RESUMEN TOTAL'!T179</f>
        <v>0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>
        <f>'RESUMEN TOTAL'!AD179</f>
        <v>0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  <c r="AH176">
        <f>'RESUMEN TOTAL'!AQ179</f>
        <v>0</v>
      </c>
      <c r="AI176">
        <f>'RESUMEN TOTAL'!AR179</f>
        <v>0</v>
      </c>
    </row>
    <row r="177" spans="1:35" x14ac:dyDescent="0.25">
      <c r="A177" t="str">
        <f>'RESUMEN TOTAL'!A180</f>
        <v>SAN EMILIO</v>
      </c>
      <c r="B177" t="str">
        <f>'RESUMEN TOTAL'!B180</f>
        <v>MFI06</v>
      </c>
      <c r="C177" t="str">
        <f>'RESUMEN TOTAL'!D180</f>
        <v>Con. Gral. Belgrano y Bombero Galarza</v>
      </c>
      <c r="D177" t="str">
        <f>'RESUMEN TOTAL'!E180</f>
        <v>DOMO</v>
      </c>
      <c r="E177" t="str">
        <f>'RESUMEN TOTAL'!F180</f>
        <v>FIBRA OPTICA</v>
      </c>
      <c r="F177">
        <f>'RESUMEN TOTAL'!O180</f>
        <v>0</v>
      </c>
      <c r="G177">
        <f>'RESUMEN TOTAL'!P180</f>
        <v>0</v>
      </c>
      <c r="H177">
        <f>'RESUMEN TOTAL'!Q180</f>
        <v>0</v>
      </c>
      <c r="I177">
        <f>'RESUMEN TOTAL'!R180</f>
        <v>0</v>
      </c>
      <c r="J177">
        <f>'RESUMEN TOTAL'!S180</f>
        <v>0</v>
      </c>
      <c r="K177" t="str">
        <f>'RESUMEN TOTAL'!T180</f>
        <v>APAGADO</v>
      </c>
      <c r="L177" t="str">
        <f>'RESUMEN TOTAL'!U180</f>
        <v>APAGADO</v>
      </c>
      <c r="M177">
        <f>'RESUMEN TOTAL'!V180</f>
        <v>0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>
        <f>'RESUMEN TOTAL'!AD180</f>
        <v>0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>
        <f>'RESUMEN TOTAL'!AI180</f>
        <v>0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>
        <f>'RESUMEN TOTAL'!AM180</f>
        <v>0</v>
      </c>
      <c r="AE177">
        <f>'RESUMEN TOTAL'!AN180</f>
        <v>0</v>
      </c>
      <c r="AF177">
        <f>'RESUMEN TOTAL'!AO180</f>
        <v>0</v>
      </c>
      <c r="AG177">
        <f>'RESUMEN TOTAL'!AP180</f>
        <v>0</v>
      </c>
      <c r="AH177">
        <f>'RESUMEN TOTAL'!AQ180</f>
        <v>0</v>
      </c>
      <c r="AI177">
        <f>'RESUMEN TOTAL'!AR180</f>
        <v>0</v>
      </c>
    </row>
    <row r="178" spans="1:35" x14ac:dyDescent="0.25">
      <c r="A178" t="str">
        <f>'RESUMEN TOTAL'!A181</f>
        <v>GOBERNADOR MONTEVERDE</v>
      </c>
      <c r="B178" t="str">
        <f>'RESUMEN TOTAL'!B181</f>
        <v>MON01</v>
      </c>
      <c r="C178" t="str">
        <f>'RESUMEN TOTAL'!D181</f>
        <v>San Martin y Patricias Argentinas</v>
      </c>
      <c r="D178" t="str">
        <f>'RESUMEN TOTAL'!E181</f>
        <v>Fija</v>
      </c>
      <c r="E178" t="str">
        <f>'RESUMEN TOTAL'!F181</f>
        <v>Fibra Optica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>
        <f>'RESUMEN TOTAL'!U181</f>
        <v>0</v>
      </c>
      <c r="M178">
        <f>'RESUMEN TOTAL'!V181</f>
        <v>0</v>
      </c>
      <c r="N178">
        <f>'RESUMEN TOTAL'!W181</f>
        <v>0</v>
      </c>
      <c r="O178">
        <f>'RESUMEN TOTAL'!X181</f>
        <v>0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  <c r="AH178">
        <f>'RESUMEN TOTAL'!AQ181</f>
        <v>0</v>
      </c>
      <c r="AI178">
        <f>'RESUMEN TOTAL'!AR181</f>
        <v>0</v>
      </c>
    </row>
    <row r="179" spans="1:35" x14ac:dyDescent="0.25">
      <c r="A179" t="str">
        <f>'RESUMEN TOTAL'!A182</f>
        <v>GOBERNADOR MONTEVERDE</v>
      </c>
      <c r="B179" t="str">
        <f>'RESUMEN TOTAL'!B182</f>
        <v>MON02</v>
      </c>
      <c r="C179" t="str">
        <f>'RESUMEN TOTAL'!D182</f>
        <v>Senzabello y Famatina</v>
      </c>
      <c r="D179" t="str">
        <f>'RESUMEN TOTAL'!E182</f>
        <v>Domo</v>
      </c>
      <c r="E179" t="str">
        <f>'RESUMEN TOTAL'!F182</f>
        <v>Radio</v>
      </c>
      <c r="F179">
        <f>'RESUMEN TOTAL'!O182</f>
        <v>0</v>
      </c>
      <c r="G179">
        <f>'RESUMEN TOTAL'!P182</f>
        <v>0</v>
      </c>
      <c r="H179">
        <f>'RESUMEN TOTAL'!Q182</f>
        <v>0</v>
      </c>
      <c r="I179">
        <f>'RESUMEN TOTAL'!R182</f>
        <v>0</v>
      </c>
      <c r="J179">
        <f>'RESUMEN TOTAL'!S182</f>
        <v>0</v>
      </c>
      <c r="K179">
        <f>'RESUMEN TOTAL'!T182</f>
        <v>0</v>
      </c>
      <c r="L179">
        <f>'RESUMEN TOTAL'!U182</f>
        <v>0</v>
      </c>
      <c r="M179">
        <f>'RESUMEN TOTAL'!V182</f>
        <v>0</v>
      </c>
      <c r="N179">
        <f>'RESUMEN TOTAL'!W182</f>
        <v>0</v>
      </c>
      <c r="O179">
        <f>'RESUMEN TOTAL'!X182</f>
        <v>0</v>
      </c>
      <c r="P179">
        <f>'RESUMEN TOTAL'!Y182</f>
        <v>0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  <c r="AH179">
        <f>'RESUMEN TOTAL'!AQ182</f>
        <v>0</v>
      </c>
      <c r="AI179">
        <f>'RESUMEN TOTAL'!AR182</f>
        <v>0</v>
      </c>
    </row>
    <row r="180" spans="1:35" x14ac:dyDescent="0.25">
      <c r="A180" t="str">
        <f>'RESUMEN TOTAL'!A183</f>
        <v>GOBERNADOR MONTEVERDE</v>
      </c>
      <c r="B180" t="str">
        <f>'RESUMEN TOTAL'!B183</f>
        <v>MON03</v>
      </c>
      <c r="C180" t="str">
        <f>'RESUMEN TOTAL'!D183</f>
        <v>Senzabello y Guemes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  <c r="AH180">
        <f>'RESUMEN TOTAL'!AQ183</f>
        <v>0</v>
      </c>
      <c r="AI180">
        <f>'RESUMEN TOTAL'!AR183</f>
        <v>0</v>
      </c>
    </row>
    <row r="181" spans="1:35" x14ac:dyDescent="0.25">
      <c r="A181" t="str">
        <f>'RESUMEN TOTAL'!A184</f>
        <v>GOBERNADOR MONTEVERDE</v>
      </c>
      <c r="B181" t="str">
        <f>'RESUMEN TOTAL'!B184</f>
        <v>MON04</v>
      </c>
      <c r="C181" t="str">
        <f>'RESUMEN TOTAL'!D184</f>
        <v>Av. Yrigoyen y San Lorenzo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  <c r="AH181">
        <f>'RESUMEN TOTAL'!AQ184</f>
        <v>0</v>
      </c>
      <c r="AI181">
        <f>'RESUMEN TOTAL'!AR184</f>
        <v>0</v>
      </c>
    </row>
    <row r="182" spans="1:35" x14ac:dyDescent="0.25">
      <c r="A182" t="str">
        <f>'RESUMEN TOTAL'!A185</f>
        <v>9 DE JULIO</v>
      </c>
      <c r="B182" t="str">
        <f>'RESUMEN TOTAL'!B185</f>
        <v>NJU 01</v>
      </c>
      <c r="C182" t="str">
        <f>'RESUMEN TOTAL'!D185</f>
        <v>Sallares y Parrillo</v>
      </c>
      <c r="D182" t="str">
        <f>'RESUMEN TOTAL'!E185</f>
        <v>Domo</v>
      </c>
      <c r="E182" t="str">
        <f>'RESUMEN TOTAL'!F185</f>
        <v>Fibra Optica</v>
      </c>
      <c r="F182">
        <f>'RESUMEN TOTAL'!O185</f>
        <v>0</v>
      </c>
      <c r="G182">
        <f>'RESUMEN TOTAL'!P185</f>
        <v>0</v>
      </c>
      <c r="H182">
        <f>'RESUMEN TOTAL'!Q185</f>
        <v>0</v>
      </c>
      <c r="I182">
        <f>'RESUMEN TOTAL'!R185</f>
        <v>0</v>
      </c>
      <c r="J182">
        <f>'RESUMEN TOTAL'!S185</f>
        <v>0</v>
      </c>
      <c r="K182">
        <f>'RESUMEN TOTAL'!T185</f>
        <v>0</v>
      </c>
      <c r="L182">
        <f>'RESUMEN TOTAL'!U185</f>
        <v>0</v>
      </c>
      <c r="M182">
        <f>'RESUMEN TOTAL'!V185</f>
        <v>0</v>
      </c>
      <c r="N182">
        <f>'RESUMEN TOTAL'!W185</f>
        <v>0</v>
      </c>
      <c r="O182">
        <f>'RESUMEN TOTAL'!X185</f>
        <v>0</v>
      </c>
      <c r="P182">
        <f>'RESUMEN TOTAL'!Y185</f>
        <v>0</v>
      </c>
      <c r="Q182">
        <f>'RESUMEN TOTAL'!Z185</f>
        <v>0</v>
      </c>
      <c r="R182">
        <f>'RESUMEN TOTAL'!AA185</f>
        <v>0</v>
      </c>
      <c r="S182">
        <f>'RESUMEN TOTAL'!AB185</f>
        <v>0</v>
      </c>
      <c r="T182">
        <f>'RESUMEN TOTAL'!AC185</f>
        <v>0</v>
      </c>
      <c r="U182">
        <f>'RESUMEN TOTAL'!AD185</f>
        <v>0</v>
      </c>
      <c r="V182">
        <f>'RESUMEN TOTAL'!AE185</f>
        <v>0</v>
      </c>
      <c r="W182">
        <f>'RESUMEN TOTAL'!AF185</f>
        <v>0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  <c r="AH182">
        <f>'RESUMEN TOTAL'!AQ185</f>
        <v>0</v>
      </c>
      <c r="AI182">
        <f>'RESUMEN TOTAL'!AR185</f>
        <v>0</v>
      </c>
    </row>
    <row r="183" spans="1:35" x14ac:dyDescent="0.25">
      <c r="A183" t="str">
        <f>'RESUMEN TOTAL'!A186</f>
        <v>9 DE JULIO</v>
      </c>
      <c r="B183" t="str">
        <f>'RESUMEN TOTAL'!B186</f>
        <v>NJU 08</v>
      </c>
      <c r="C183" t="str">
        <f>'RESUMEN TOTAL'!D186</f>
        <v>BOCCUZZI Y O HIGGINS</v>
      </c>
      <c r="D183" t="str">
        <f>'RESUMEN TOTAL'!E186</f>
        <v>DOMO</v>
      </c>
      <c r="E183" t="str">
        <f>'RESUMEN TOTAL'!F186</f>
        <v>Radio</v>
      </c>
      <c r="F183">
        <f>'RESUMEN TOTAL'!O186</f>
        <v>0</v>
      </c>
      <c r="G183">
        <f>'RESUMEN TOTAL'!P186</f>
        <v>0</v>
      </c>
      <c r="H183">
        <f>'RESUMEN TOTAL'!Q186</f>
        <v>0</v>
      </c>
      <c r="I183">
        <f>'RESUMEN TOTAL'!R186</f>
        <v>0</v>
      </c>
      <c r="J183">
        <f>'RESUMEN TOTAL'!S186</f>
        <v>0</v>
      </c>
      <c r="K183">
        <f>'RESUMEN TOTAL'!T186</f>
        <v>0</v>
      </c>
      <c r="L183">
        <f>'RESUMEN TOTAL'!U186</f>
        <v>0</v>
      </c>
      <c r="M183">
        <f>'RESUMEN TOTAL'!V186</f>
        <v>0</v>
      </c>
      <c r="N183">
        <f>'RESUMEN TOTAL'!W186</f>
        <v>0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>
        <f>'RESUMEN TOTAL'!AC186</f>
        <v>0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>
        <f>'RESUMEN TOTAL'!AG186</f>
        <v>0</v>
      </c>
      <c r="Y183">
        <f>'RESUMEN TOTAL'!AH186</f>
        <v>0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  <c r="AH183">
        <f>'RESUMEN TOTAL'!AQ186</f>
        <v>0</v>
      </c>
      <c r="AI183">
        <f>'RESUMEN TOTAL'!AR186</f>
        <v>0</v>
      </c>
    </row>
    <row r="184" spans="1:35" x14ac:dyDescent="0.25">
      <c r="A184" t="str">
        <f>'RESUMEN TOTAL'!A187</f>
        <v>9 DE JULIO</v>
      </c>
      <c r="B184" t="str">
        <f>'RESUMEN TOTAL'!B187</f>
        <v>NJU02</v>
      </c>
      <c r="C184" t="str">
        <f>'RESUMEN TOTAL'!D187</f>
        <v>Ituzaingo y Boccuzzi</v>
      </c>
      <c r="D184" t="str">
        <f>'RESUMEN TOTAL'!E187</f>
        <v>Domo</v>
      </c>
      <c r="E184" t="str">
        <f>'RESUMEN TOTAL'!F187</f>
        <v>Radio</v>
      </c>
      <c r="F184">
        <f>'RESUMEN TOTAL'!O187</f>
        <v>0</v>
      </c>
      <c r="G184">
        <f>'RESUMEN TOTAL'!P187</f>
        <v>0</v>
      </c>
      <c r="H184">
        <f>'RESUMEN TOTAL'!Q187</f>
        <v>0</v>
      </c>
      <c r="I184">
        <f>'RESUMEN TOTAL'!R187</f>
        <v>0</v>
      </c>
      <c r="J184">
        <f>'RESUMEN TOTAL'!S187</f>
        <v>0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  <c r="AH184">
        <f>'RESUMEN TOTAL'!AQ187</f>
        <v>0</v>
      </c>
      <c r="AI184">
        <f>'RESUMEN TOTAL'!AR187</f>
        <v>0</v>
      </c>
    </row>
    <row r="185" spans="1:35" x14ac:dyDescent="0.25">
      <c r="A185" t="str">
        <f>'RESUMEN TOTAL'!A188</f>
        <v>9 DE JULIO</v>
      </c>
      <c r="B185" t="str">
        <f>'RESUMEN TOTAL'!B188</f>
        <v>NJU03</v>
      </c>
      <c r="C185" t="str">
        <f>'RESUMEN TOTAL'!D188</f>
        <v>San Juan y Parrillo</v>
      </c>
      <c r="D185" t="str">
        <f>'RESUMEN TOTAL'!E188</f>
        <v>Domo</v>
      </c>
      <c r="E185" t="str">
        <f>'RESUMEN TOTAL'!F188</f>
        <v>PTO A FO</v>
      </c>
      <c r="F185">
        <f>'RESUMEN TOTAL'!O188</f>
        <v>0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  <c r="AH185">
        <f>'RESUMEN TOTAL'!AQ188</f>
        <v>0</v>
      </c>
      <c r="AI185">
        <f>'RESUMEN TOTAL'!AR188</f>
        <v>0</v>
      </c>
    </row>
    <row r="186" spans="1:35" x14ac:dyDescent="0.25">
      <c r="A186" t="str">
        <f>'RESUMEN TOTAL'!A189</f>
        <v>9 DE JULIO</v>
      </c>
      <c r="B186" t="str">
        <f>'RESUMEN TOTAL'!B189</f>
        <v>NJU04</v>
      </c>
      <c r="C186" t="str">
        <f>'RESUMEN TOTAL'!D189</f>
        <v>Ituzaingo y 214 A</v>
      </c>
      <c r="D186" t="str">
        <f>'RESUMEN TOTAL'!E189</f>
        <v>Domo</v>
      </c>
      <c r="E186" t="str">
        <f>'RESUMEN TOTAL'!F189</f>
        <v>Radio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  <c r="AH186">
        <f>'RESUMEN TOTAL'!AQ189</f>
        <v>0</v>
      </c>
      <c r="AI186">
        <f>'RESUMEN TOTAL'!AR189</f>
        <v>0</v>
      </c>
    </row>
    <row r="187" spans="1:35" x14ac:dyDescent="0.25">
      <c r="A187" t="str">
        <f>'RESUMEN TOTAL'!A190</f>
        <v>ZEBALLOS CENTRO</v>
      </c>
      <c r="B187" t="str">
        <f>'RESUMEN TOTAL'!B190</f>
        <v>NJU05</v>
      </c>
      <c r="C187" t="str">
        <f>'RESUMEN TOTAL'!D190</f>
        <v>Ituzaingo y Alem</v>
      </c>
      <c r="D187" t="str">
        <f>'RESUMEN TOTAL'!E190</f>
        <v>Domo</v>
      </c>
      <c r="E187" t="str">
        <f>'RESUMEN TOTAL'!F190</f>
        <v>Radio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>
        <f>'RESUMEN TOTAL'!AH190</f>
        <v>0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  <c r="AH187">
        <f>'RESUMEN TOTAL'!AQ190</f>
        <v>0</v>
      </c>
      <c r="AI187">
        <f>'RESUMEN TOTAL'!AR190</f>
        <v>0</v>
      </c>
    </row>
    <row r="188" spans="1:35" x14ac:dyDescent="0.25">
      <c r="A188" t="str">
        <f>'RESUMEN TOTAL'!A191</f>
        <v>CENTRO</v>
      </c>
      <c r="B188" t="str">
        <f>'RESUMEN TOTAL'!B191</f>
        <v>NJU06</v>
      </c>
      <c r="C188" t="str">
        <f>'RESUMEN TOTAL'!D191</f>
        <v>Sallares y Rodo</v>
      </c>
      <c r="D188" t="str">
        <f>'RESUMEN TOTAL'!E191</f>
        <v>Domo</v>
      </c>
      <c r="E188" t="str">
        <f>'RESUMEN TOTAL'!F191</f>
        <v>FIBRA OPTICA</v>
      </c>
      <c r="F188" t="str">
        <f>'RESUMEN TOTAL'!O191</f>
        <v>APAGADO</v>
      </c>
      <c r="G188" t="str">
        <f>'RESUMEN TOTAL'!P191</f>
        <v>APAGADO</v>
      </c>
      <c r="H188">
        <f>'RESUMEN TOTAL'!Q191</f>
        <v>0</v>
      </c>
      <c r="I188">
        <f>'RESUMEN TOTAL'!R191</f>
        <v>0</v>
      </c>
      <c r="J188">
        <f>'RESUMEN TOTAL'!S191</f>
        <v>0</v>
      </c>
      <c r="K188">
        <f>'RESUMEN TOTAL'!T191</f>
        <v>0</v>
      </c>
      <c r="L188">
        <f>'RESUMEN TOTAL'!U191</f>
        <v>0</v>
      </c>
      <c r="M188">
        <f>'RESUMEN TOTAL'!V191</f>
        <v>0</v>
      </c>
      <c r="N188">
        <f>'RESUMEN TOTAL'!W191</f>
        <v>0</v>
      </c>
      <c r="O188">
        <f>'RESUMEN TOTAL'!X191</f>
        <v>0</v>
      </c>
      <c r="P188">
        <f>'RESUMEN TOTAL'!Y191</f>
        <v>0</v>
      </c>
      <c r="Q188">
        <f>'RESUMEN TOTAL'!Z191</f>
        <v>0</v>
      </c>
      <c r="R188">
        <f>'RESUMEN TOTAL'!AA191</f>
        <v>0</v>
      </c>
      <c r="S188">
        <f>'RESUMEN TOTAL'!AB191</f>
        <v>0</v>
      </c>
      <c r="T188">
        <f>'RESUMEN TOTAL'!AC191</f>
        <v>0</v>
      </c>
      <c r="U188">
        <f>'RESUMEN TOTAL'!AD191</f>
        <v>0</v>
      </c>
      <c r="V188">
        <f>'RESUMEN TOTAL'!AE191</f>
        <v>0</v>
      </c>
      <c r="W188">
        <f>'RESUMEN TOTAL'!AF191</f>
        <v>0</v>
      </c>
      <c r="X188">
        <f>'RESUMEN TOTAL'!AG191</f>
        <v>0</v>
      </c>
      <c r="Y188">
        <f>'RESUMEN TOTAL'!AH191</f>
        <v>0</v>
      </c>
      <c r="Z188">
        <f>'RESUMEN TOTAL'!AI191</f>
        <v>0</v>
      </c>
      <c r="AA188">
        <f>'RESUMEN TOTAL'!AJ191</f>
        <v>0</v>
      </c>
      <c r="AB188">
        <f>'RESUMEN TOTAL'!AK191</f>
        <v>0</v>
      </c>
      <c r="AC188">
        <f>'RESUMEN TOTAL'!AL191</f>
        <v>0</v>
      </c>
      <c r="AD188">
        <f>'RESUMEN TOTAL'!AM191</f>
        <v>0</v>
      </c>
      <c r="AE188">
        <f>'RESUMEN TOTAL'!AN191</f>
        <v>0</v>
      </c>
      <c r="AF188">
        <f>'RESUMEN TOTAL'!AO191</f>
        <v>0</v>
      </c>
      <c r="AG188">
        <f>'RESUMEN TOTAL'!AP191</f>
        <v>0</v>
      </c>
      <c r="AH188">
        <f>'RESUMEN TOTAL'!AQ191</f>
        <v>0</v>
      </c>
      <c r="AI188">
        <f>'RESUMEN TOTAL'!AR191</f>
        <v>0</v>
      </c>
    </row>
    <row r="189" spans="1:35" x14ac:dyDescent="0.25">
      <c r="A189" t="str">
        <f>'RESUMEN TOTAL'!A192</f>
        <v>9 DE JULIO</v>
      </c>
      <c r="B189" t="str">
        <f>'RESUMEN TOTAL'!B192</f>
        <v>NJU07</v>
      </c>
      <c r="C189" t="str">
        <f>'RESUMEN TOTAL'!D192</f>
        <v>Gral. Juan Domingo Peron y Parrillo</v>
      </c>
      <c r="D189" t="str">
        <f>'RESUMEN TOTAL'!E192</f>
        <v>Domo</v>
      </c>
      <c r="E189" t="str">
        <f>'RESUMEN TOTAL'!F192</f>
        <v>FIBRA OPTICA</v>
      </c>
      <c r="F189">
        <f>'RESUMEN TOTAL'!O192</f>
        <v>0</v>
      </c>
      <c r="G189">
        <f>'RESUMEN TOTAL'!P192</f>
        <v>0</v>
      </c>
      <c r="H189">
        <f>'RESUMEN TOTAL'!Q192</f>
        <v>0</v>
      </c>
      <c r="I189">
        <f>'RESUMEN TOTAL'!R192</f>
        <v>0</v>
      </c>
      <c r="J189">
        <f>'RESUMEN TOTAL'!S192</f>
        <v>0</v>
      </c>
      <c r="K189">
        <f>'RESUMEN TOTAL'!T192</f>
        <v>0</v>
      </c>
      <c r="L189">
        <f>'RESUMEN TOTAL'!U192</f>
        <v>0</v>
      </c>
      <c r="M189">
        <f>'RESUMEN TOTAL'!V192</f>
        <v>0</v>
      </c>
      <c r="N189">
        <f>'RESUMEN TOTAL'!W192</f>
        <v>0</v>
      </c>
      <c r="O189">
        <f>'RESUMEN TOTAL'!X192</f>
        <v>0</v>
      </c>
      <c r="P189">
        <f>'RESUMEN TOTAL'!Y192</f>
        <v>0</v>
      </c>
      <c r="Q189">
        <f>'RESUMEN TOTAL'!Z192</f>
        <v>0</v>
      </c>
      <c r="R189">
        <f>'RESUMEN TOTAL'!AA192</f>
        <v>0</v>
      </c>
      <c r="S189">
        <f>'RESUMEN TOTAL'!AB192</f>
        <v>0</v>
      </c>
      <c r="T189">
        <f>'RESUMEN TOTAL'!AC192</f>
        <v>0</v>
      </c>
      <c r="U189">
        <f>'RESUMEN TOTAL'!AD192</f>
        <v>0</v>
      </c>
      <c r="V189">
        <f>'RESUMEN TOTAL'!AE192</f>
        <v>0</v>
      </c>
      <c r="W189">
        <f>'RESUMEN TOTAL'!AF192</f>
        <v>0</v>
      </c>
      <c r="X189">
        <f>'RESUMEN TOTAL'!AG192</f>
        <v>0</v>
      </c>
      <c r="Y189">
        <f>'RESUMEN TOTAL'!AH192</f>
        <v>0</v>
      </c>
      <c r="Z189">
        <f>'RESUMEN TOTAL'!AI192</f>
        <v>0</v>
      </c>
      <c r="AA189">
        <f>'RESUMEN TOTAL'!AJ192</f>
        <v>0</v>
      </c>
      <c r="AB189">
        <f>'RESUMEN TOTAL'!AK192</f>
        <v>0</v>
      </c>
      <c r="AC189">
        <f>'RESUMEN TOTAL'!AL192</f>
        <v>0</v>
      </c>
      <c r="AD189">
        <f>'RESUMEN TOTAL'!AM192</f>
        <v>0</v>
      </c>
      <c r="AE189">
        <f>'RESUMEN TOTAL'!AN192</f>
        <v>0</v>
      </c>
      <c r="AF189">
        <f>'RESUMEN TOTAL'!AO192</f>
        <v>0</v>
      </c>
      <c r="AG189">
        <f>'RESUMEN TOTAL'!AP192</f>
        <v>0</v>
      </c>
      <c r="AH189">
        <f>'RESUMEN TOTAL'!AQ192</f>
        <v>0</v>
      </c>
      <c r="AI189">
        <f>'RESUMEN TOTAL'!AR192</f>
        <v>0</v>
      </c>
    </row>
    <row r="190" spans="1:35" x14ac:dyDescent="0.25">
      <c r="A190" t="str">
        <f>'RESUMEN TOTAL'!A193</f>
        <v>9 DE JULIO</v>
      </c>
      <c r="B190" t="str">
        <f>'RESUMEN TOTAL'!B193</f>
        <v>NJU09</v>
      </c>
      <c r="C190" t="str">
        <f>'RESUMEN TOTAL'!D193</f>
        <v>PARRILLO Y CONTRERAS</v>
      </c>
      <c r="D190" t="str">
        <f>'RESUMEN TOTAL'!E193</f>
        <v>DOMO</v>
      </c>
      <c r="E190" t="str">
        <f>'RESUMEN TOTAL'!F193</f>
        <v>Fibra Optica</v>
      </c>
      <c r="F190">
        <f>'RESUMEN TOTAL'!O193</f>
        <v>0</v>
      </c>
      <c r="G190">
        <f>'RESUMEN TOTAL'!P193</f>
        <v>0</v>
      </c>
      <c r="H190">
        <f>'RESUMEN TOTAL'!Q193</f>
        <v>0</v>
      </c>
      <c r="I190">
        <f>'RESUMEN TOTAL'!R193</f>
        <v>0</v>
      </c>
      <c r="J190">
        <f>'RESUMEN TOTAL'!S193</f>
        <v>0</v>
      </c>
      <c r="K190">
        <f>'RESUMEN TOTAL'!T193</f>
        <v>0</v>
      </c>
      <c r="L190">
        <f>'RESUMEN TOTAL'!U193</f>
        <v>0</v>
      </c>
      <c r="M190">
        <f>'RESUMEN TOTAL'!V193</f>
        <v>0</v>
      </c>
      <c r="N190">
        <f>'RESUMEN TOTAL'!W193</f>
        <v>0</v>
      </c>
      <c r="O190">
        <f>'RESUMEN TOTAL'!X193</f>
        <v>0</v>
      </c>
      <c r="P190">
        <f>'RESUMEN TOTAL'!Y193</f>
        <v>0</v>
      </c>
      <c r="Q190">
        <f>'RESUMEN TOTAL'!Z193</f>
        <v>0</v>
      </c>
      <c r="R190">
        <f>'RESUMEN TOTAL'!AA193</f>
        <v>0</v>
      </c>
      <c r="S190">
        <f>'RESUMEN TOTAL'!AB193</f>
        <v>0</v>
      </c>
      <c r="T190">
        <f>'RESUMEN TOTAL'!AC193</f>
        <v>0</v>
      </c>
      <c r="U190">
        <f>'RESUMEN TOTAL'!AD193</f>
        <v>0</v>
      </c>
      <c r="V190">
        <f>'RESUMEN TOTAL'!AE193</f>
        <v>0</v>
      </c>
      <c r="W190">
        <f>'RESUMEN TOTAL'!AF193</f>
        <v>0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  <c r="AH190">
        <f>'RESUMEN TOTAL'!AQ193</f>
        <v>0</v>
      </c>
      <c r="AI190">
        <f>'RESUMEN TOTAL'!AR193</f>
        <v>0</v>
      </c>
    </row>
    <row r="191" spans="1:35" x14ac:dyDescent="0.25">
      <c r="A191" t="str">
        <f>'RESUMEN TOTAL'!A194</f>
        <v>PICO DE ORO</v>
      </c>
      <c r="B191" t="str">
        <f>'RESUMEN TOTAL'!B194</f>
        <v>PCO 01</v>
      </c>
      <c r="C191" t="str">
        <f>'RESUMEN TOTAL'!D194</f>
        <v>CEMENTERIO</v>
      </c>
      <c r="D191" t="str">
        <f>'RESUMEN TOTAL'!E194</f>
        <v>DOMO</v>
      </c>
      <c r="E191" t="str">
        <f>'RESUMEN TOTAL'!F194</f>
        <v>Fibra Optica</v>
      </c>
      <c r="F191">
        <f>'RESUMEN TOTAL'!O194</f>
        <v>0</v>
      </c>
      <c r="G191">
        <f>'RESUMEN TOTAL'!P194</f>
        <v>0</v>
      </c>
      <c r="H191">
        <f>'RESUMEN TOTAL'!Q194</f>
        <v>0</v>
      </c>
      <c r="I191">
        <f>'RESUMEN TOTAL'!R194</f>
        <v>0</v>
      </c>
      <c r="J191">
        <f>'RESUMEN TOTAL'!S194</f>
        <v>0</v>
      </c>
      <c r="K191">
        <f>'RESUMEN TOTAL'!T194</f>
        <v>0</v>
      </c>
      <c r="L191">
        <f>'RESUMEN TOTAL'!U194</f>
        <v>0</v>
      </c>
      <c r="M191">
        <f>'RESUMEN TOTAL'!V194</f>
        <v>0</v>
      </c>
      <c r="N191">
        <f>'RESUMEN TOTAL'!W194</f>
        <v>0</v>
      </c>
      <c r="O191">
        <f>'RESUMEN TOTAL'!X194</f>
        <v>0</v>
      </c>
      <c r="P191">
        <f>'RESUMEN TOTAL'!Y194</f>
        <v>0</v>
      </c>
      <c r="Q191">
        <f>'RESUMEN TOTAL'!Z194</f>
        <v>0</v>
      </c>
      <c r="R191">
        <f>'RESUMEN TOTAL'!AA194</f>
        <v>0</v>
      </c>
      <c r="S191">
        <f>'RESUMEN TOTAL'!AB194</f>
        <v>0</v>
      </c>
      <c r="T191">
        <f>'RESUMEN TOTAL'!AC194</f>
        <v>0</v>
      </c>
      <c r="U191">
        <f>'RESUMEN TOTAL'!AD194</f>
        <v>0</v>
      </c>
      <c r="V191">
        <f>'RESUMEN TOTAL'!AE194</f>
        <v>0</v>
      </c>
      <c r="W191">
        <f>'RESUMEN TOTAL'!AF194</f>
        <v>0</v>
      </c>
      <c r="X191">
        <f>'RESUMEN TOTAL'!AG194</f>
        <v>0</v>
      </c>
      <c r="Y191">
        <f>'RESUMEN TOTAL'!AH194</f>
        <v>0</v>
      </c>
      <c r="Z191">
        <f>'RESUMEN TOTAL'!AI194</f>
        <v>0</v>
      </c>
      <c r="AA191">
        <f>'RESUMEN TOTAL'!AJ194</f>
        <v>0</v>
      </c>
      <c r="AB191">
        <f>'RESUMEN TOTAL'!AK194</f>
        <v>0</v>
      </c>
      <c r="AC191">
        <f>'RESUMEN TOTAL'!AL194</f>
        <v>0</v>
      </c>
      <c r="AD191">
        <f>'RESUMEN TOTAL'!AM194</f>
        <v>0</v>
      </c>
      <c r="AE191">
        <f>'RESUMEN TOTAL'!AN194</f>
        <v>0</v>
      </c>
      <c r="AF191">
        <f>'RESUMEN TOTAL'!AO194</f>
        <v>0</v>
      </c>
      <c r="AG191">
        <f>'RESUMEN TOTAL'!AP194</f>
        <v>0</v>
      </c>
      <c r="AH191">
        <f>'RESUMEN TOTAL'!AQ194</f>
        <v>0</v>
      </c>
      <c r="AI191">
        <f>'RESUMEN TOTAL'!AR194</f>
        <v>0</v>
      </c>
    </row>
    <row r="192" spans="1:35" x14ac:dyDescent="0.25">
      <c r="A192" t="str">
        <f>'RESUMEN TOTAL'!A195</f>
        <v>PICO DE ORO</v>
      </c>
      <c r="B192" t="str">
        <f>'RESUMEN TOTAL'!B195</f>
        <v>PCO02 (fija 1)</v>
      </c>
      <c r="C192" t="str">
        <f>'RESUMEN TOTAL'!D195</f>
        <v>SICILIA E/ VIENA Y VARSOVIA</v>
      </c>
      <c r="D192" t="str">
        <f>'RESUMEN TOTAL'!E195</f>
        <v>Fija</v>
      </c>
      <c r="E192" t="str">
        <f>'RESUMEN TOTAL'!F195</f>
        <v>Fibra Optica</v>
      </c>
      <c r="F192">
        <f>'RESUMEN TOTAL'!O195</f>
        <v>0</v>
      </c>
      <c r="G192">
        <f>'RESUMEN TOTAL'!P195</f>
        <v>0</v>
      </c>
      <c r="H192">
        <f>'RESUMEN TOTAL'!Q195</f>
        <v>0</v>
      </c>
      <c r="I192">
        <f>'RESUMEN TOTAL'!R195</f>
        <v>0</v>
      </c>
      <c r="J192">
        <f>'RESUMEN TOTAL'!S195</f>
        <v>0</v>
      </c>
      <c r="K192">
        <f>'RESUMEN TOTAL'!T195</f>
        <v>0</v>
      </c>
      <c r="L192">
        <f>'RESUMEN TOTAL'!U195</f>
        <v>0</v>
      </c>
      <c r="M192">
        <f>'RESUMEN TOTAL'!V195</f>
        <v>0</v>
      </c>
      <c r="N192">
        <f>'RESUMEN TOTAL'!W195</f>
        <v>0</v>
      </c>
      <c r="O192">
        <f>'RESUMEN TOTAL'!X195</f>
        <v>0</v>
      </c>
      <c r="P192">
        <f>'RESUMEN TOTAL'!Y195</f>
        <v>0</v>
      </c>
      <c r="Q192">
        <f>'RESUMEN TOTAL'!Z195</f>
        <v>0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>
        <f>'RESUMEN TOTAL'!AG195</f>
        <v>0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>
        <f>'RESUMEN TOTAL'!AN195</f>
        <v>0</v>
      </c>
      <c r="AF192">
        <f>'RESUMEN TOTAL'!AO195</f>
        <v>0</v>
      </c>
      <c r="AG192">
        <f>'RESUMEN TOTAL'!AP195</f>
        <v>0</v>
      </c>
      <c r="AH192">
        <f>'RESUMEN TOTAL'!AQ195</f>
        <v>0</v>
      </c>
      <c r="AI192">
        <f>'RESUMEN TOTAL'!AR195</f>
        <v>0</v>
      </c>
    </row>
    <row r="193" spans="1:35" x14ac:dyDescent="0.25">
      <c r="A193" t="str">
        <f>'RESUMEN TOTAL'!A196</f>
        <v>PICO DE ORO</v>
      </c>
      <c r="B193" t="str">
        <f>'RESUMEN TOTAL'!B196</f>
        <v>PCO03 (fija 2)</v>
      </c>
      <c r="C193" t="str">
        <f>'RESUMEN TOTAL'!D196</f>
        <v>SICILIA E/ VIENA Y VARSOVIA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>
        <f>'RESUMEN TOTAL'!P196</f>
        <v>0</v>
      </c>
      <c r="H193">
        <f>'RESUMEN TOTAL'!Q196</f>
        <v>0</v>
      </c>
      <c r="I193">
        <f>'RESUMEN TOTAL'!R196</f>
        <v>0</v>
      </c>
      <c r="J193">
        <f>'RESUMEN TOTAL'!S196</f>
        <v>0</v>
      </c>
      <c r="K193">
        <f>'RESUMEN TOTAL'!T196</f>
        <v>0</v>
      </c>
      <c r="L193">
        <f>'RESUMEN TOTAL'!U196</f>
        <v>0</v>
      </c>
      <c r="M193">
        <f>'RESUMEN TOTAL'!V196</f>
        <v>0</v>
      </c>
      <c r="N193">
        <f>'RESUMEN TOTAL'!W196</f>
        <v>0</v>
      </c>
      <c r="O193">
        <f>'RESUMEN TOTAL'!X196</f>
        <v>0</v>
      </c>
      <c r="P193">
        <f>'RESUMEN TOTAL'!Y196</f>
        <v>0</v>
      </c>
      <c r="Q193">
        <f>'RESUMEN TOTAL'!Z196</f>
        <v>0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>
        <f>'RESUMEN TOTAL'!AG196</f>
        <v>0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>
        <f>'RESUMEN TOTAL'!AN196</f>
        <v>0</v>
      </c>
      <c r="AF193">
        <f>'RESUMEN TOTAL'!AO196</f>
        <v>0</v>
      </c>
      <c r="AG193">
        <f>'RESUMEN TOTAL'!AP196</f>
        <v>0</v>
      </c>
      <c r="AH193">
        <f>'RESUMEN TOTAL'!AQ196</f>
        <v>0</v>
      </c>
      <c r="AI193">
        <f>'RESUMEN TOTAL'!AR196</f>
        <v>0</v>
      </c>
    </row>
    <row r="194" spans="1:35" x14ac:dyDescent="0.25">
      <c r="A194" t="str">
        <f>'RESUMEN TOTAL'!A197</f>
        <v>PICO DE ORO</v>
      </c>
      <c r="B194" t="str">
        <f>'RESUMEN TOTAL'!B197</f>
        <v>PCO04 (fija 1)</v>
      </c>
      <c r="C194" t="str">
        <f>'RESUMEN TOTAL'!D197</f>
        <v>BERNA Y POLONIA</v>
      </c>
      <c r="D194" t="str">
        <f>'RESUMEN TOTAL'!E197</f>
        <v>Fija</v>
      </c>
      <c r="E194" t="str">
        <f>'RESUMEN TOTAL'!F197</f>
        <v>Fibra Optica</v>
      </c>
      <c r="F194">
        <f>'RESUMEN TOTAL'!O197</f>
        <v>0</v>
      </c>
      <c r="G194">
        <f>'RESUMEN TOTAL'!P197</f>
        <v>0</v>
      </c>
      <c r="H194">
        <f>'RESUMEN TOTAL'!Q197</f>
        <v>0</v>
      </c>
      <c r="I194">
        <f>'RESUMEN TOTAL'!R197</f>
        <v>0</v>
      </c>
      <c r="J194">
        <f>'RESUMEN TOTAL'!S197</f>
        <v>0</v>
      </c>
      <c r="K194">
        <f>'RESUMEN TOTAL'!T197</f>
        <v>0</v>
      </c>
      <c r="L194">
        <f>'RESUMEN TOTAL'!U197</f>
        <v>0</v>
      </c>
      <c r="M194">
        <f>'RESUMEN TOTAL'!V197</f>
        <v>0</v>
      </c>
      <c r="N194">
        <f>'RESUMEN TOTAL'!W197</f>
        <v>0</v>
      </c>
      <c r="O194">
        <f>'RESUMEN TOTAL'!X197</f>
        <v>0</v>
      </c>
      <c r="P194">
        <f>'RESUMEN TOTAL'!Y197</f>
        <v>0</v>
      </c>
      <c r="Q194">
        <f>'RESUMEN TOTAL'!Z197</f>
        <v>0</v>
      </c>
      <c r="R194">
        <f>'RESUMEN TOTAL'!AA197</f>
        <v>0</v>
      </c>
      <c r="S194">
        <f>'RESUMEN TOTAL'!AB197</f>
        <v>0</v>
      </c>
      <c r="T194">
        <f>'RESUMEN TOTAL'!AC197</f>
        <v>0</v>
      </c>
      <c r="U194">
        <f>'RESUMEN TOTAL'!AD197</f>
        <v>0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>
        <f>'RESUMEN TOTAL'!AH197</f>
        <v>0</v>
      </c>
      <c r="Z194">
        <f>'RESUMEN TOTAL'!AI197</f>
        <v>0</v>
      </c>
      <c r="AA194">
        <f>'RESUMEN TOTAL'!AJ197</f>
        <v>0</v>
      </c>
      <c r="AB194">
        <f>'RESUMEN TOTAL'!AK197</f>
        <v>0</v>
      </c>
      <c r="AC194">
        <f>'RESUMEN TOTAL'!AL197</f>
        <v>0</v>
      </c>
      <c r="AD194">
        <f>'RESUMEN TOTAL'!AM197</f>
        <v>0</v>
      </c>
      <c r="AE194">
        <f>'RESUMEN TOTAL'!AN197</f>
        <v>0</v>
      </c>
      <c r="AF194">
        <f>'RESUMEN TOTAL'!AO197</f>
        <v>0</v>
      </c>
      <c r="AG194">
        <f>'RESUMEN TOTAL'!AP197</f>
        <v>0</v>
      </c>
      <c r="AH194">
        <f>'RESUMEN TOTAL'!AQ197</f>
        <v>0</v>
      </c>
      <c r="AI194">
        <f>'RESUMEN TOTAL'!AR197</f>
        <v>0</v>
      </c>
    </row>
    <row r="195" spans="1:35" x14ac:dyDescent="0.25">
      <c r="A195" t="str">
        <f>'RESUMEN TOTAL'!A198</f>
        <v>PICO DE ORO</v>
      </c>
      <c r="B195" t="str">
        <f>'RESUMEN TOTAL'!B198</f>
        <v>PCO05 (fija 2)</v>
      </c>
      <c r="C195" t="str">
        <f>'RESUMEN TOTAL'!D198</f>
        <v>BERNA Y POLONIA</v>
      </c>
      <c r="D195" t="str">
        <f>'RESUMEN TOTAL'!E198</f>
        <v>Fija</v>
      </c>
      <c r="E195" t="str">
        <f>'RESUMEN TOTAL'!F198</f>
        <v>Fibra Optica</v>
      </c>
      <c r="F195">
        <f>'RESUMEN TOTAL'!O198</f>
        <v>0</v>
      </c>
      <c r="G195">
        <f>'RESUMEN TOTAL'!P198</f>
        <v>0</v>
      </c>
      <c r="H195">
        <f>'RESUMEN TOTAL'!Q198</f>
        <v>0</v>
      </c>
      <c r="I195">
        <f>'RESUMEN TOTAL'!R198</f>
        <v>0</v>
      </c>
      <c r="J195">
        <f>'RESUMEN TOTAL'!S198</f>
        <v>0</v>
      </c>
      <c r="K195">
        <f>'RESUMEN TOTAL'!T198</f>
        <v>0</v>
      </c>
      <c r="L195">
        <f>'RESUMEN TOTAL'!U198</f>
        <v>0</v>
      </c>
      <c r="M195">
        <f>'RESUMEN TOTAL'!V198</f>
        <v>0</v>
      </c>
      <c r="N195">
        <f>'RESUMEN TOTAL'!W198</f>
        <v>0</v>
      </c>
      <c r="O195">
        <f>'RESUMEN TOTAL'!X198</f>
        <v>0</v>
      </c>
      <c r="P195">
        <f>'RESUMEN TOTAL'!Y198</f>
        <v>0</v>
      </c>
      <c r="Q195">
        <f>'RESUMEN TOTAL'!Z198</f>
        <v>0</v>
      </c>
      <c r="R195">
        <f>'RESUMEN TOTAL'!AA198</f>
        <v>0</v>
      </c>
      <c r="S195">
        <f>'RESUMEN TOTAL'!AB198</f>
        <v>0</v>
      </c>
      <c r="T195">
        <f>'RESUMEN TOTAL'!AC198</f>
        <v>0</v>
      </c>
      <c r="U195">
        <f>'RESUMEN TOTAL'!AD198</f>
        <v>0</v>
      </c>
      <c r="V195">
        <f>'RESUMEN TOTAL'!AE198</f>
        <v>0</v>
      </c>
      <c r="W195">
        <f>'RESUMEN TOTAL'!AF198</f>
        <v>0</v>
      </c>
      <c r="X195">
        <f>'RESUMEN TOTAL'!AG198</f>
        <v>0</v>
      </c>
      <c r="Y195">
        <f>'RESUMEN TOTAL'!AH198</f>
        <v>0</v>
      </c>
      <c r="Z195">
        <f>'RESUMEN TOTAL'!AI198</f>
        <v>0</v>
      </c>
      <c r="AA195">
        <f>'RESUMEN TOTAL'!AJ198</f>
        <v>0</v>
      </c>
      <c r="AB195">
        <f>'RESUMEN TOTAL'!AK198</f>
        <v>0</v>
      </c>
      <c r="AC195">
        <f>'RESUMEN TOTAL'!AL198</f>
        <v>0</v>
      </c>
      <c r="AD195">
        <f>'RESUMEN TOTAL'!AM198</f>
        <v>0</v>
      </c>
      <c r="AE195">
        <f>'RESUMEN TOTAL'!AN198</f>
        <v>0</v>
      </c>
      <c r="AF195">
        <f>'RESUMEN TOTAL'!AO198</f>
        <v>0</v>
      </c>
      <c r="AG195">
        <f>'RESUMEN TOTAL'!AP198</f>
        <v>0</v>
      </c>
      <c r="AH195">
        <f>'RESUMEN TOTAL'!AQ198</f>
        <v>0</v>
      </c>
      <c r="AI195">
        <f>'RESUMEN TOTAL'!AR198</f>
        <v>0</v>
      </c>
    </row>
    <row r="196" spans="1:35" x14ac:dyDescent="0.25">
      <c r="A196" t="str">
        <f>'RESUMEN TOTAL'!A199</f>
        <v>AGUSTIN RAMIREZ</v>
      </c>
      <c r="B196" t="str">
        <f>'RESUMEN TOTAL'!B199</f>
        <v>PUNTO SEGURO - AGUSTIN RAMIREZ (domo)</v>
      </c>
      <c r="C196" t="str">
        <f>'RESUMEN TOTAL'!D199</f>
        <v>EL MALAMBO Y LA TRANQUERA</v>
      </c>
      <c r="D196" t="str">
        <f>'RESUMEN TOTAL'!E199</f>
        <v>DOMO</v>
      </c>
      <c r="E196" t="str">
        <f>'RESUMEN TOTAL'!F199</f>
        <v>Fibra Optica</v>
      </c>
      <c r="F196">
        <f>'RESUMEN TOTAL'!O199</f>
        <v>0</v>
      </c>
      <c r="G196" t="str">
        <f>'RESUMEN TOTAL'!P199</f>
        <v>APAGADO</v>
      </c>
      <c r="H196">
        <f>'RESUMEN TOTAL'!Q199</f>
        <v>0</v>
      </c>
      <c r="I196">
        <f>'RESUMEN TOTAL'!R199</f>
        <v>0</v>
      </c>
      <c r="J196">
        <f>'RESUMEN TOTAL'!S199</f>
        <v>0</v>
      </c>
      <c r="K196" t="str">
        <f>'RESUMEN TOTAL'!T199</f>
        <v>APAGADO</v>
      </c>
      <c r="L196">
        <f>'RESUMEN TOTAL'!U199</f>
        <v>0</v>
      </c>
      <c r="M196">
        <f>'RESUMEN TOTAL'!V199</f>
        <v>0</v>
      </c>
      <c r="N196">
        <f>'RESUMEN TOTAL'!W199</f>
        <v>0</v>
      </c>
      <c r="O196">
        <f>'RESUMEN TOTAL'!X199</f>
        <v>0</v>
      </c>
      <c r="P196">
        <f>'RESUMEN TOTAL'!Y199</f>
        <v>0</v>
      </c>
      <c r="Q196">
        <f>'RESUMEN TOTAL'!Z199</f>
        <v>0</v>
      </c>
      <c r="R196">
        <f>'RESUMEN TOTAL'!AA199</f>
        <v>0</v>
      </c>
      <c r="S196">
        <f>'RESUMEN TOTAL'!AB199</f>
        <v>0</v>
      </c>
      <c r="T196">
        <f>'RESUMEN TOTAL'!AC199</f>
        <v>0</v>
      </c>
      <c r="U196">
        <f>'RESUMEN TOTAL'!AD199</f>
        <v>0</v>
      </c>
      <c r="V196">
        <f>'RESUMEN TOTAL'!AE199</f>
        <v>0</v>
      </c>
      <c r="W196">
        <f>'RESUMEN TOTAL'!AF199</f>
        <v>0</v>
      </c>
      <c r="X196">
        <f>'RESUMEN TOTAL'!AG199</f>
        <v>0</v>
      </c>
      <c r="Y196">
        <f>'RESUMEN TOTAL'!AH199</f>
        <v>0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>
        <f>'RESUMEN TOTAL'!AL199</f>
        <v>0</v>
      </c>
      <c r="AD196">
        <f>'RESUMEN TOTAL'!AM199</f>
        <v>0</v>
      </c>
      <c r="AE196">
        <f>'RESUMEN TOTAL'!AN199</f>
        <v>0</v>
      </c>
      <c r="AF196">
        <f>'RESUMEN TOTAL'!AO199</f>
        <v>0</v>
      </c>
      <c r="AG196">
        <f>'RESUMEN TOTAL'!AP199</f>
        <v>0</v>
      </c>
      <c r="AH196">
        <f>'RESUMEN TOTAL'!AQ199</f>
        <v>0</v>
      </c>
      <c r="AI196">
        <f>'RESUMEN TOTAL'!AR199</f>
        <v>0</v>
      </c>
    </row>
    <row r="197" spans="1:35" x14ac:dyDescent="0.25">
      <c r="A197" t="str">
        <f>'RESUMEN TOTAL'!A200</f>
        <v>AGUSTIN RAMIREZ</v>
      </c>
      <c r="B197" t="str">
        <f>'RESUMEN TOTAL'!B200</f>
        <v>PUNTO SEGURO - AGUSTIN RAMIREZ (fija)</v>
      </c>
      <c r="C197" t="str">
        <f>'RESUMEN TOTAL'!D200</f>
        <v>EL MALAMBO Y LA TRANQUERA</v>
      </c>
      <c r="D197" t="str">
        <f>'RESUMEN TOTAL'!E200</f>
        <v>Fija</v>
      </c>
      <c r="E197" t="str">
        <f>'RESUMEN TOTAL'!F200</f>
        <v>Fibra Optica</v>
      </c>
      <c r="F197">
        <f>'RESUMEN TOTAL'!O200</f>
        <v>0</v>
      </c>
      <c r="G197" t="str">
        <f>'RESUMEN TOTAL'!P200</f>
        <v>APAGADO</v>
      </c>
      <c r="H197">
        <f>'RESUMEN TOTAL'!Q200</f>
        <v>0</v>
      </c>
      <c r="I197">
        <f>'RESUMEN TOTAL'!R200</f>
        <v>0</v>
      </c>
      <c r="J197">
        <f>'RESUMEN TOTAL'!S200</f>
        <v>0</v>
      </c>
      <c r="K197" t="str">
        <f>'RESUMEN TOTAL'!T200</f>
        <v>APAGADO</v>
      </c>
      <c r="L197">
        <f>'RESUMEN TOTAL'!U200</f>
        <v>0</v>
      </c>
      <c r="M197">
        <f>'RESUMEN TOTAL'!V200</f>
        <v>0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>
        <f>'RESUMEN TOTAL'!AA200</f>
        <v>0</v>
      </c>
      <c r="S197">
        <f>'RESUMEN TOTAL'!AB200</f>
        <v>0</v>
      </c>
      <c r="T197">
        <f>'RESUMEN TOTAL'!AC200</f>
        <v>0</v>
      </c>
      <c r="U197">
        <f>'RESUMEN TOTAL'!AD200</f>
        <v>0</v>
      </c>
      <c r="V197">
        <f>'RESUMEN TOTAL'!AE200</f>
        <v>0</v>
      </c>
      <c r="W197">
        <f>'RESUMEN TOTAL'!AF200</f>
        <v>0</v>
      </c>
      <c r="X197">
        <f>'RESUMEN TOTAL'!AG200</f>
        <v>0</v>
      </c>
      <c r="Y197">
        <f>'RESUMEN TOTAL'!AH200</f>
        <v>0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>
        <f>'RESUMEN TOTAL'!AO200</f>
        <v>0</v>
      </c>
      <c r="AG197">
        <f>'RESUMEN TOTAL'!AP200</f>
        <v>0</v>
      </c>
      <c r="AH197">
        <f>'RESUMEN TOTAL'!AQ200</f>
        <v>0</v>
      </c>
      <c r="AI197">
        <f>'RESUMEN TOTAL'!AR200</f>
        <v>0</v>
      </c>
    </row>
    <row r="198" spans="1:35" x14ac:dyDescent="0.25">
      <c r="A198" t="str">
        <f>'RESUMEN TOTAL'!A201</f>
        <v>EL PARQUE</v>
      </c>
      <c r="B198" t="str">
        <f>'RESUMEN TOTAL'!B201</f>
        <v>PUNTO SEGURO - EL PARQUE (domo)</v>
      </c>
      <c r="C198" t="str">
        <f>'RESUMEN TOTAL'!D201</f>
        <v>CALLE 1282 Y 1201</v>
      </c>
      <c r="D198" t="str">
        <f>'RESUMEN TOTAL'!E201</f>
        <v>DOMO</v>
      </c>
      <c r="E198" t="str">
        <f>'RESUMEN TOTAL'!F201</f>
        <v>Fibra Optica</v>
      </c>
      <c r="F198">
        <f>'RESUMEN TOTAL'!O201</f>
        <v>0</v>
      </c>
      <c r="G198">
        <f>'RESUMEN TOTAL'!P201</f>
        <v>0</v>
      </c>
      <c r="H198">
        <f>'RESUMEN TOTAL'!Q201</f>
        <v>0</v>
      </c>
      <c r="I198">
        <f>'RESUMEN TOTAL'!R201</f>
        <v>0</v>
      </c>
      <c r="J198">
        <f>'RESUMEN TOTAL'!S201</f>
        <v>0</v>
      </c>
      <c r="K198">
        <f>'RESUMEN TOTAL'!T201</f>
        <v>0</v>
      </c>
      <c r="L198">
        <f>'RESUMEN TOTAL'!U201</f>
        <v>0</v>
      </c>
      <c r="M198">
        <f>'RESUMEN TOTAL'!V201</f>
        <v>0</v>
      </c>
      <c r="N198">
        <f>'RESUMEN TOTAL'!W201</f>
        <v>0</v>
      </c>
      <c r="O198">
        <f>'RESUMEN TOTAL'!X201</f>
        <v>0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  <c r="AH198">
        <f>'RESUMEN TOTAL'!AQ201</f>
        <v>0</v>
      </c>
      <c r="AI198">
        <f>'RESUMEN TOTAL'!AR201</f>
        <v>0</v>
      </c>
    </row>
    <row r="199" spans="1:35" x14ac:dyDescent="0.25">
      <c r="A199" t="str">
        <f>'RESUMEN TOTAL'!A202</f>
        <v>EL PARQUE</v>
      </c>
      <c r="B199" t="str">
        <f>'RESUMEN TOTAL'!B202</f>
        <v>PUNTO SEGURO - EL PARQUE (fija)</v>
      </c>
      <c r="C199" t="str">
        <f>'RESUMEN TOTAL'!D202</f>
        <v>CALLE 1282 Y 1201</v>
      </c>
      <c r="D199" t="str">
        <f>'RESUMEN TOTAL'!E202</f>
        <v>Fija</v>
      </c>
      <c r="E199" t="str">
        <f>'RESUMEN TOTAL'!F202</f>
        <v>Fibra Optica</v>
      </c>
      <c r="F199">
        <f>'RESUMEN TOTAL'!O202</f>
        <v>0</v>
      </c>
      <c r="G199">
        <f>'RESUMEN TOTAL'!P202</f>
        <v>0</v>
      </c>
      <c r="H199">
        <f>'RESUMEN TOTAL'!Q202</f>
        <v>0</v>
      </c>
      <c r="I199">
        <f>'RESUMEN TOTAL'!R202</f>
        <v>0</v>
      </c>
      <c r="J199">
        <f>'RESUMEN TOTAL'!S202</f>
        <v>0</v>
      </c>
      <c r="K199">
        <f>'RESUMEN TOTAL'!T202</f>
        <v>0</v>
      </c>
      <c r="L199">
        <f>'RESUMEN TOTAL'!U202</f>
        <v>0</v>
      </c>
      <c r="M199">
        <f>'RESUMEN TOTAL'!V202</f>
        <v>0</v>
      </c>
      <c r="N199">
        <f>'RESUMEN TOTAL'!W202</f>
        <v>0</v>
      </c>
      <c r="O199">
        <f>'RESUMEN TOTAL'!X202</f>
        <v>0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  <c r="AH199">
        <f>'RESUMEN TOTAL'!AQ202</f>
        <v>0</v>
      </c>
      <c r="AI199">
        <f>'RESUMEN TOTAL'!AR202</f>
        <v>0</v>
      </c>
    </row>
    <row r="200" spans="1:35" x14ac:dyDescent="0.25">
      <c r="A200" t="str">
        <f>'RESUMEN TOTAL'!A203</f>
        <v>INGENIERO ALLAN</v>
      </c>
      <c r="B200" t="str">
        <f>'RESUMEN TOTAL'!B203</f>
        <v>PUNTO SEGURO - ING. ALLAN (domo)</v>
      </c>
      <c r="C200" t="str">
        <f>'RESUMEN TOTAL'!D203</f>
        <v>DIAG. LOS YAGANES Y 1148</v>
      </c>
      <c r="D200" t="str">
        <f>'RESUMEN TOTAL'!E203</f>
        <v>DOMO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>
        <f>'RESUMEN TOTAL'!Q203</f>
        <v>0</v>
      </c>
      <c r="I200">
        <f>'RESUMEN TOTAL'!R203</f>
        <v>0</v>
      </c>
      <c r="J200">
        <f>'RESUMEN TOTAL'!S203</f>
        <v>0</v>
      </c>
      <c r="K200">
        <f>'RESUMEN TOTAL'!T203</f>
        <v>0</v>
      </c>
      <c r="L200">
        <f>'RESUMEN TOTAL'!U203</f>
        <v>0</v>
      </c>
      <c r="M200">
        <f>'RESUMEN TOTAL'!V203</f>
        <v>0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>
        <f>'RESUMEN TOTAL'!Z203</f>
        <v>0</v>
      </c>
      <c r="R200">
        <f>'RESUMEN TOTAL'!AA203</f>
        <v>0</v>
      </c>
      <c r="S200">
        <f>'RESUMEN TOTAL'!AB203</f>
        <v>0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  <c r="AH200">
        <f>'RESUMEN TOTAL'!AQ203</f>
        <v>0</v>
      </c>
      <c r="AI200">
        <f>'RESUMEN TOTAL'!AR203</f>
        <v>0</v>
      </c>
    </row>
    <row r="201" spans="1:35" x14ac:dyDescent="0.25">
      <c r="A201" t="str">
        <f>'RESUMEN TOTAL'!A204</f>
        <v>INGENIERO ALLAN</v>
      </c>
      <c r="B201" t="str">
        <f>'RESUMEN TOTAL'!B204</f>
        <v>PUNTO SEGURO - ING. ALLAN (fija)</v>
      </c>
      <c r="C201" t="str">
        <f>'RESUMEN TOTAL'!D204</f>
        <v>DIAG. LOS YAGANES Y 1148</v>
      </c>
      <c r="D201" t="str">
        <f>'RESUMEN TOTAL'!E204</f>
        <v>Fija</v>
      </c>
      <c r="E201" t="str">
        <f>'RESUMEN TOTAL'!F204</f>
        <v>Fibra Optica</v>
      </c>
      <c r="F201">
        <f>'RESUMEN TOTAL'!O204</f>
        <v>0</v>
      </c>
      <c r="G201">
        <f>'RESUMEN TOTAL'!P204</f>
        <v>0</v>
      </c>
      <c r="H201">
        <f>'RESUMEN TOTAL'!Q204</f>
        <v>0</v>
      </c>
      <c r="I201">
        <f>'RESUMEN TOTAL'!R204</f>
        <v>0</v>
      </c>
      <c r="J201">
        <f>'RESUMEN TOTAL'!S204</f>
        <v>0</v>
      </c>
      <c r="K201">
        <f>'RESUMEN TOTAL'!T204</f>
        <v>0</v>
      </c>
      <c r="L201">
        <f>'RESUMEN TOTAL'!U204</f>
        <v>0</v>
      </c>
      <c r="M201">
        <f>'RESUMEN TOTAL'!V204</f>
        <v>0</v>
      </c>
      <c r="N201">
        <f>'RESUMEN TOTAL'!W204</f>
        <v>0</v>
      </c>
      <c r="O201">
        <f>'RESUMEN TOTAL'!X204</f>
        <v>0</v>
      </c>
      <c r="P201">
        <f>'RESUMEN TOTAL'!Y204</f>
        <v>0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  <c r="AH201">
        <f>'RESUMEN TOTAL'!AQ204</f>
        <v>0</v>
      </c>
      <c r="AI201">
        <f>'RESUMEN TOTAL'!AR204</f>
        <v>0</v>
      </c>
    </row>
    <row r="202" spans="1:35" x14ac:dyDescent="0.25">
      <c r="A202" t="str">
        <f>'RESUMEN TOTAL'!A205</f>
        <v>VILLA ARGENTINA</v>
      </c>
      <c r="B202" t="str">
        <f>'RESUMEN TOTAL'!B205</f>
        <v>PUNTO SEGURO - KM 26 (domo)</v>
      </c>
      <c r="C202" t="str">
        <f>'RESUMEN TOTAL'!D205</f>
        <v>513 Y PORTELA</v>
      </c>
      <c r="D202" t="str">
        <f>'RESUMEN TOTAL'!E205</f>
        <v>Domo</v>
      </c>
      <c r="E202" t="str">
        <f>'RESUMEN TOTAL'!F205</f>
        <v>Fibra Optica</v>
      </c>
      <c r="F202">
        <f>'RESUMEN TOTAL'!O205</f>
        <v>0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>
        <f>'RESUMEN TOTAL'!T205</f>
        <v>0</v>
      </c>
      <c r="L202">
        <f>'RESUMEN TOTAL'!U205</f>
        <v>0</v>
      </c>
      <c r="M202">
        <f>'RESUMEN TOTAL'!V205</f>
        <v>0</v>
      </c>
      <c r="N202">
        <f>'RESUMEN TOTAL'!W205</f>
        <v>0</v>
      </c>
      <c r="O202">
        <f>'RESUMEN TOTAL'!X205</f>
        <v>0</v>
      </c>
      <c r="P202">
        <f>'RESUMEN TOTAL'!Y205</f>
        <v>0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  <c r="AH202">
        <f>'RESUMEN TOTAL'!AQ205</f>
        <v>0</v>
      </c>
      <c r="AI202">
        <f>'RESUMEN TOTAL'!AR205</f>
        <v>0</v>
      </c>
    </row>
    <row r="203" spans="1:35" x14ac:dyDescent="0.25">
      <c r="A203" t="str">
        <f>'RESUMEN TOTAL'!A206</f>
        <v>VILLA ARGENTINA</v>
      </c>
      <c r="B203" t="str">
        <f>'RESUMEN TOTAL'!B206</f>
        <v>PUNTO SEGURO - KM 26 (fija)</v>
      </c>
      <c r="C203" t="str">
        <f>'RESUMEN TOTAL'!D206</f>
        <v>513 Y PORTELA</v>
      </c>
      <c r="D203" t="str">
        <f>'RESUMEN TOTAL'!E206</f>
        <v>Fija</v>
      </c>
      <c r="E203" t="str">
        <f>'RESUMEN TOTAL'!F206</f>
        <v>Fibra Optica</v>
      </c>
      <c r="F203">
        <f>'RESUMEN TOTAL'!O206</f>
        <v>0</v>
      </c>
      <c r="G203">
        <f>'RESUMEN TOTAL'!P206</f>
        <v>0</v>
      </c>
      <c r="H203">
        <f>'RESUMEN TOTAL'!Q206</f>
        <v>0</v>
      </c>
      <c r="I203">
        <f>'RESUMEN TOTAL'!R206</f>
        <v>0</v>
      </c>
      <c r="J203">
        <f>'RESUMEN TOTAL'!S206</f>
        <v>0</v>
      </c>
      <c r="K203">
        <f>'RESUMEN TOTAL'!T206</f>
        <v>0</v>
      </c>
      <c r="L203" t="str">
        <f>'RESUMEN TOTAL'!U206</f>
        <v>APAGADO</v>
      </c>
      <c r="M203">
        <f>'RESUMEN TOTAL'!V206</f>
        <v>0</v>
      </c>
      <c r="N203">
        <f>'RESUMEN TOTAL'!W206</f>
        <v>0</v>
      </c>
      <c r="O203">
        <f>'RESUMEN TOTAL'!X206</f>
        <v>0</v>
      </c>
      <c r="P203">
        <f>'RESUMEN TOTAL'!Y206</f>
        <v>0</v>
      </c>
      <c r="Q203">
        <f>'RESUMEN TOTAL'!Z206</f>
        <v>0</v>
      </c>
      <c r="R203">
        <f>'RESUMEN TOTAL'!AA206</f>
        <v>0</v>
      </c>
      <c r="S203">
        <f>'RESUMEN TOTAL'!AB206</f>
        <v>0</v>
      </c>
      <c r="T203">
        <f>'RESUMEN TOTAL'!AC206</f>
        <v>0</v>
      </c>
      <c r="U203">
        <f>'RESUMEN TOTAL'!AD206</f>
        <v>0</v>
      </c>
      <c r="V203">
        <f>'RESUMEN TOTAL'!AE206</f>
        <v>0</v>
      </c>
      <c r="W203">
        <f>'RESUMEN TOTAL'!AF206</f>
        <v>0</v>
      </c>
      <c r="X203">
        <f>'RESUMEN TOTAL'!AG206</f>
        <v>0</v>
      </c>
      <c r="Y203">
        <f>'RESUMEN TOTAL'!AH206</f>
        <v>0</v>
      </c>
      <c r="Z203">
        <f>'RESUMEN TOTAL'!AI206</f>
        <v>0</v>
      </c>
      <c r="AA203">
        <f>'RESUMEN TOTAL'!AJ206</f>
        <v>0</v>
      </c>
      <c r="AB203">
        <f>'RESUMEN TOTAL'!AK206</f>
        <v>0</v>
      </c>
      <c r="AC203">
        <f>'RESUMEN TOTAL'!AL206</f>
        <v>0</v>
      </c>
      <c r="AD203">
        <f>'RESUMEN TOTAL'!AM206</f>
        <v>0</v>
      </c>
      <c r="AE203">
        <f>'RESUMEN TOTAL'!AN206</f>
        <v>0</v>
      </c>
      <c r="AF203">
        <f>'RESUMEN TOTAL'!AO206</f>
        <v>0</v>
      </c>
      <c r="AG203">
        <f>'RESUMEN TOTAL'!AP206</f>
        <v>0</v>
      </c>
      <c r="AH203">
        <f>'RESUMEN TOTAL'!AQ206</f>
        <v>0</v>
      </c>
      <c r="AI203">
        <f>'RESUMEN TOTAL'!AR206</f>
        <v>0</v>
      </c>
    </row>
    <row r="204" spans="1:35" x14ac:dyDescent="0.25">
      <c r="A204" t="str">
        <f>'RESUMEN TOTAL'!A207</f>
        <v>LUJAN</v>
      </c>
      <c r="B204" t="str">
        <f>'RESUMEN TOTAL'!B207</f>
        <v>PUNTO SEGURO - LUJAN (fija)</v>
      </c>
      <c r="C204" t="str">
        <f>'RESUMEN TOTAL'!D207</f>
        <v>DIAG. LOS TILOS Y LOS ALGARROBOS</v>
      </c>
      <c r="D204" t="str">
        <f>'RESUMEN TOTAL'!E207</f>
        <v>Fija</v>
      </c>
      <c r="E204" t="str">
        <f>'RESUMEN TOTAL'!F207</f>
        <v>Fibra Optica</v>
      </c>
      <c r="F204">
        <f>'RESUMEN TOTAL'!O207</f>
        <v>0</v>
      </c>
      <c r="G204">
        <f>'RESUMEN TOTAL'!P207</f>
        <v>0</v>
      </c>
      <c r="H204">
        <f>'RESUMEN TOTAL'!Q207</f>
        <v>0</v>
      </c>
      <c r="I204">
        <f>'RESUMEN TOTAL'!R207</f>
        <v>0</v>
      </c>
      <c r="J204">
        <f>'RESUMEN TOTAL'!S207</f>
        <v>0</v>
      </c>
      <c r="K204">
        <f>'RESUMEN TOTAL'!T207</f>
        <v>0</v>
      </c>
      <c r="L204">
        <f>'RESUMEN TOTAL'!U207</f>
        <v>0</v>
      </c>
      <c r="M204">
        <f>'RESUMEN TOTAL'!V207</f>
        <v>0</v>
      </c>
      <c r="N204">
        <f>'RESUMEN TOTAL'!W207</f>
        <v>0</v>
      </c>
      <c r="O204">
        <f>'RESUMEN TOTAL'!X207</f>
        <v>0</v>
      </c>
      <c r="P204">
        <f>'RESUMEN TOTAL'!Y207</f>
        <v>0</v>
      </c>
      <c r="Q204">
        <f>'RESUMEN TOTAL'!Z207</f>
        <v>0</v>
      </c>
      <c r="R204">
        <f>'RESUMEN TOTAL'!AA207</f>
        <v>0</v>
      </c>
      <c r="S204">
        <f>'RESUMEN TOTAL'!AB207</f>
        <v>0</v>
      </c>
      <c r="T204">
        <f>'RESUMEN TOTAL'!AC207</f>
        <v>0</v>
      </c>
      <c r="U204">
        <f>'RESUMEN TOTAL'!AD207</f>
        <v>0</v>
      </c>
      <c r="V204">
        <f>'RESUMEN TOTAL'!AE207</f>
        <v>0</v>
      </c>
      <c r="W204">
        <f>'RESUMEN TOTAL'!AF207</f>
        <v>0</v>
      </c>
      <c r="X204">
        <f>'RESUMEN TOTAL'!AG207</f>
        <v>0</v>
      </c>
      <c r="Y204">
        <f>'RESUMEN TOTAL'!AH207</f>
        <v>0</v>
      </c>
      <c r="Z204">
        <f>'RESUMEN TOTAL'!AI207</f>
        <v>0</v>
      </c>
      <c r="AA204">
        <f>'RESUMEN TOTAL'!AJ207</f>
        <v>0</v>
      </c>
      <c r="AB204">
        <f>'RESUMEN TOTAL'!AK207</f>
        <v>0</v>
      </c>
      <c r="AC204">
        <f>'RESUMEN TOTAL'!AL207</f>
        <v>0</v>
      </c>
      <c r="AD204">
        <f>'RESUMEN TOTAL'!AM207</f>
        <v>0</v>
      </c>
      <c r="AE204">
        <f>'RESUMEN TOTAL'!AN207</f>
        <v>0</v>
      </c>
      <c r="AF204">
        <f>'RESUMEN TOTAL'!AO207</f>
        <v>0</v>
      </c>
      <c r="AG204">
        <f>'RESUMEN TOTAL'!AP207</f>
        <v>0</v>
      </c>
      <c r="AH204">
        <f>'RESUMEN TOTAL'!AQ207</f>
        <v>0</v>
      </c>
      <c r="AI204">
        <f>'RESUMEN TOTAL'!AR207</f>
        <v>0</v>
      </c>
    </row>
    <row r="205" spans="1:35" x14ac:dyDescent="0.25">
      <c r="A205" t="str">
        <f>'RESUMEN TOTAL'!A208</f>
        <v>ZONA RURAL SANTA ROSA</v>
      </c>
      <c r="B205" t="str">
        <f>'RESUMEN TOTAL'!B208</f>
        <v>PUNTO SEGURO - PICO DE ORO (domo)</v>
      </c>
      <c r="C205" t="str">
        <f>'RESUMEN TOTAL'!D208</f>
        <v>PISANI Y BULGARIA</v>
      </c>
      <c r="D205" t="str">
        <f>'RESUMEN TOTAL'!E208</f>
        <v>DOMO</v>
      </c>
      <c r="E205" t="str">
        <f>'RESUMEN TOTAL'!F208</f>
        <v>Fibra Optica</v>
      </c>
      <c r="F205">
        <f>'RESUMEN TOTAL'!O208</f>
        <v>0</v>
      </c>
      <c r="G205">
        <f>'RESUMEN TOTAL'!P208</f>
        <v>0</v>
      </c>
      <c r="H205">
        <f>'RESUMEN TOTAL'!Q208</f>
        <v>0</v>
      </c>
      <c r="I205">
        <f>'RESUMEN TOTAL'!R208</f>
        <v>0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>
        <f>'RESUMEN TOTAL'!Z208</f>
        <v>0</v>
      </c>
      <c r="R205">
        <f>'RESUMEN TOTAL'!AA208</f>
        <v>0</v>
      </c>
      <c r="S205">
        <f>'RESUMEN TOTAL'!AB208</f>
        <v>0</v>
      </c>
      <c r="T205">
        <f>'RESUMEN TOTAL'!AC208</f>
        <v>0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>
        <f>'RESUMEN TOTAL'!AM208</f>
        <v>0</v>
      </c>
      <c r="AE205">
        <f>'RESUMEN TOTAL'!AN208</f>
        <v>0</v>
      </c>
      <c r="AF205">
        <f>'RESUMEN TOTAL'!AO208</f>
        <v>0</v>
      </c>
      <c r="AG205">
        <f>'RESUMEN TOTAL'!AP208</f>
        <v>0</v>
      </c>
      <c r="AH205">
        <f>'RESUMEN TOTAL'!AQ208</f>
        <v>0</v>
      </c>
      <c r="AI205">
        <f>'RESUMEN TOTAL'!AR208</f>
        <v>0</v>
      </c>
    </row>
    <row r="206" spans="1:35" x14ac:dyDescent="0.25">
      <c r="A206" t="str">
        <f>'RESUMEN TOTAL'!A209</f>
        <v>ZONA RURAL SANTA ROSA</v>
      </c>
      <c r="B206" t="str">
        <f>'RESUMEN TOTAL'!B209</f>
        <v>PUNTO SEGURO - PICO DE ORO (fija)</v>
      </c>
      <c r="C206" t="str">
        <f>'RESUMEN TOTAL'!D209</f>
        <v>PISANI Y BULGARIA</v>
      </c>
      <c r="D206" t="str">
        <f>'RESUMEN TOTAL'!E209</f>
        <v>Fija</v>
      </c>
      <c r="E206" t="str">
        <f>'RESUMEN TOTAL'!F209</f>
        <v>Fibra Optica</v>
      </c>
      <c r="F206">
        <f>'RESUMEN TOTAL'!O209</f>
        <v>0</v>
      </c>
      <c r="G206">
        <f>'RESUMEN TOTAL'!P209</f>
        <v>0</v>
      </c>
      <c r="H206">
        <f>'RESUMEN TOTAL'!Q209</f>
        <v>0</v>
      </c>
      <c r="I206">
        <f>'RESUMEN TOTAL'!R209</f>
        <v>0</v>
      </c>
      <c r="J206">
        <f>'RESUMEN TOTAL'!S209</f>
        <v>0</v>
      </c>
      <c r="K206">
        <f>'RESUMEN TOTAL'!T209</f>
        <v>0</v>
      </c>
      <c r="L206">
        <f>'RESUMEN TOTAL'!U209</f>
        <v>0</v>
      </c>
      <c r="M206">
        <f>'RESUMEN TOTAL'!V209</f>
        <v>0</v>
      </c>
      <c r="N206">
        <f>'RESUMEN TOTAL'!W209</f>
        <v>0</v>
      </c>
      <c r="O206">
        <f>'RESUMEN TOTAL'!X209</f>
        <v>0</v>
      </c>
      <c r="P206">
        <f>'RESUMEN TOTAL'!Y209</f>
        <v>0</v>
      </c>
      <c r="Q206">
        <f>'RESUMEN TOTAL'!Z209</f>
        <v>0</v>
      </c>
      <c r="R206">
        <f>'RESUMEN TOTAL'!AA209</f>
        <v>0</v>
      </c>
      <c r="S206">
        <f>'RESUMEN TOTAL'!AB209</f>
        <v>0</v>
      </c>
      <c r="T206">
        <f>'RESUMEN TOTAL'!AC209</f>
        <v>0</v>
      </c>
      <c r="U206">
        <f>'RESUMEN TOTAL'!AD209</f>
        <v>0</v>
      </c>
      <c r="V206">
        <f>'RESUMEN TOTAL'!AE209</f>
        <v>0</v>
      </c>
      <c r="W206">
        <f>'RESUMEN TOTAL'!AF209</f>
        <v>0</v>
      </c>
      <c r="X206">
        <f>'RESUMEN TOTAL'!AG209</f>
        <v>0</v>
      </c>
      <c r="Y206">
        <f>'RESUMEN TOTAL'!AH209</f>
        <v>0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>
        <f>'RESUMEN TOTAL'!AM209</f>
        <v>0</v>
      </c>
      <c r="AE206">
        <f>'RESUMEN TOTAL'!AN209</f>
        <v>0</v>
      </c>
      <c r="AF206">
        <f>'RESUMEN TOTAL'!AO209</f>
        <v>0</v>
      </c>
      <c r="AG206">
        <f>'RESUMEN TOTAL'!AP209</f>
        <v>0</v>
      </c>
      <c r="AH206">
        <f>'RESUMEN TOTAL'!AQ209</f>
        <v>0</v>
      </c>
      <c r="AI206">
        <f>'RESUMEN TOTAL'!AR209</f>
        <v>0</v>
      </c>
    </row>
    <row r="207" spans="1:35" x14ac:dyDescent="0.25">
      <c r="A207" t="str">
        <f>'RESUMEN TOTAL'!A210</f>
        <v>SAN FRANCISCO ESTE (CHICO)</v>
      </c>
      <c r="B207" t="str">
        <f>'RESUMEN TOTAL'!B210</f>
        <v>PUNTO SEGURO - SAN FRANCISCO (domo)</v>
      </c>
      <c r="C207" t="str">
        <f>'RESUMEN TOTAL'!D210</f>
        <v>RP 53 Y 1332</v>
      </c>
      <c r="D207" t="str">
        <f>'RESUMEN TOTAL'!E210</f>
        <v>DOMO</v>
      </c>
      <c r="E207" t="str">
        <f>'RESUMEN TOTAL'!F210</f>
        <v>Fibra Optica</v>
      </c>
      <c r="F207" t="str">
        <f>'RESUMEN TOTAL'!O210</f>
        <v>APAGADO</v>
      </c>
      <c r="G207" t="str">
        <f>'RESUMEN TOTAL'!P210</f>
        <v>APAGADO</v>
      </c>
      <c r="H207" t="str">
        <f>'RESUMEN TOTAL'!Q210</f>
        <v>APAGADO</v>
      </c>
      <c r="I207" t="str">
        <f>'RESUMEN TOTAL'!R210</f>
        <v>APAGADO</v>
      </c>
      <c r="J207" t="str">
        <f>'RESUMEN TOTAL'!S210</f>
        <v>APAGADO</v>
      </c>
      <c r="K207" t="str">
        <f>'RESUMEN TOTAL'!T210</f>
        <v>APAGADO</v>
      </c>
      <c r="L207" t="str">
        <f>'RESUMEN TOTAL'!U210</f>
        <v>APAGADO</v>
      </c>
      <c r="M207">
        <f>'RESUMEN TOTAL'!V210</f>
        <v>0</v>
      </c>
      <c r="N207">
        <f>'RESUMEN TOTAL'!W210</f>
        <v>0</v>
      </c>
      <c r="O207">
        <f>'RESUMEN TOTAL'!X210</f>
        <v>0</v>
      </c>
      <c r="P207">
        <f>'RESUMEN TOTAL'!Y210</f>
        <v>0</v>
      </c>
      <c r="Q207">
        <f>'RESUMEN TOTAL'!Z210</f>
        <v>0</v>
      </c>
      <c r="R207">
        <f>'RESUMEN TOTAL'!AA210</f>
        <v>0</v>
      </c>
      <c r="S207">
        <f>'RESUMEN TOTAL'!AB210</f>
        <v>0</v>
      </c>
      <c r="T207">
        <f>'RESUMEN TOTAL'!AC210</f>
        <v>0</v>
      </c>
      <c r="U207">
        <f>'RESUMEN TOTAL'!AD210</f>
        <v>0</v>
      </c>
      <c r="V207">
        <f>'RESUMEN TOTAL'!AE210</f>
        <v>0</v>
      </c>
      <c r="W207">
        <f>'RESUMEN TOTAL'!AF210</f>
        <v>0</v>
      </c>
      <c r="X207">
        <f>'RESUMEN TOTAL'!AG210</f>
        <v>0</v>
      </c>
      <c r="Y207">
        <f>'RESUMEN TOTAL'!AH210</f>
        <v>0</v>
      </c>
      <c r="Z207">
        <f>'RESUMEN TOTAL'!AI210</f>
        <v>0</v>
      </c>
      <c r="AA207">
        <f>'RESUMEN TOTAL'!AJ210</f>
        <v>0</v>
      </c>
      <c r="AB207">
        <f>'RESUMEN TOTAL'!AK210</f>
        <v>0</v>
      </c>
      <c r="AC207">
        <f>'RESUMEN TOTAL'!AL210</f>
        <v>0</v>
      </c>
      <c r="AD207">
        <f>'RESUMEN TOTAL'!AM210</f>
        <v>0</v>
      </c>
      <c r="AE207">
        <f>'RESUMEN TOTAL'!AN210</f>
        <v>0</v>
      </c>
      <c r="AF207">
        <f>'RESUMEN TOTAL'!AO210</f>
        <v>0</v>
      </c>
      <c r="AG207">
        <f>'RESUMEN TOTAL'!AP210</f>
        <v>0</v>
      </c>
      <c r="AH207">
        <f>'RESUMEN TOTAL'!AQ210</f>
        <v>0</v>
      </c>
      <c r="AI207">
        <f>'RESUMEN TOTAL'!AR210</f>
        <v>0</v>
      </c>
    </row>
    <row r="208" spans="1:35" x14ac:dyDescent="0.25">
      <c r="A208" t="str">
        <f>'RESUMEN TOTAL'!A211</f>
        <v>SAN JORGE</v>
      </c>
      <c r="B208" t="str">
        <f>'RESUMEN TOTAL'!B211</f>
        <v>Punto Seguro - San Jorge (Domo)</v>
      </c>
      <c r="C208" t="str">
        <f>'RESUMEN TOTAL'!D211</f>
        <v>CALLE 523 E/ 554 Y 556</v>
      </c>
      <c r="D208" t="str">
        <f>'RESUMEN TOTAL'!E211</f>
        <v>DOMO</v>
      </c>
      <c r="E208" t="str">
        <f>'RESUMEN TOTAL'!F211</f>
        <v>PTO A FO</v>
      </c>
      <c r="F208">
        <f>'RESUMEN TOTAL'!O211</f>
        <v>0</v>
      </c>
      <c r="G208">
        <f>'RESUMEN TOTAL'!P211</f>
        <v>0</v>
      </c>
      <c r="H208">
        <f>'RESUMEN TOTAL'!Q211</f>
        <v>0</v>
      </c>
      <c r="I208">
        <f>'RESUMEN TOTAL'!R211</f>
        <v>0</v>
      </c>
      <c r="J208">
        <f>'RESUMEN TOTAL'!S211</f>
        <v>0</v>
      </c>
      <c r="K208">
        <f>'RESUMEN TOTAL'!T211</f>
        <v>0</v>
      </c>
      <c r="L208">
        <f>'RESUMEN TOTAL'!U211</f>
        <v>0</v>
      </c>
      <c r="M208">
        <f>'RESUMEN TOTAL'!V211</f>
        <v>0</v>
      </c>
      <c r="N208">
        <f>'RESUMEN TOTAL'!W211</f>
        <v>0</v>
      </c>
      <c r="O208">
        <f>'RESUMEN TOTAL'!X211</f>
        <v>0</v>
      </c>
      <c r="P208">
        <f>'RESUMEN TOTAL'!Y211</f>
        <v>0</v>
      </c>
      <c r="Q208">
        <f>'RESUMEN TOTAL'!Z211</f>
        <v>0</v>
      </c>
      <c r="R208">
        <f>'RESUMEN TOTAL'!AA211</f>
        <v>0</v>
      </c>
      <c r="S208">
        <f>'RESUMEN TOTAL'!AB211</f>
        <v>0</v>
      </c>
      <c r="T208">
        <f>'RESUMEN TOTAL'!AC211</f>
        <v>0</v>
      </c>
      <c r="U208">
        <f>'RESUMEN TOTAL'!AD211</f>
        <v>0</v>
      </c>
      <c r="V208">
        <f>'RESUMEN TOTAL'!AE211</f>
        <v>0</v>
      </c>
      <c r="W208">
        <f>'RESUMEN TOTAL'!AF211</f>
        <v>0</v>
      </c>
      <c r="X208">
        <f>'RESUMEN TOTAL'!AG211</f>
        <v>0</v>
      </c>
      <c r="Y208">
        <f>'RESUMEN TOTAL'!AH211</f>
        <v>0</v>
      </c>
      <c r="Z208">
        <f>'RESUMEN TOTAL'!AI211</f>
        <v>0</v>
      </c>
      <c r="AA208">
        <f>'RESUMEN TOTAL'!AJ211</f>
        <v>0</v>
      </c>
      <c r="AB208">
        <f>'RESUMEN TOTAL'!AK211</f>
        <v>0</v>
      </c>
      <c r="AC208">
        <f>'RESUMEN TOTAL'!AL211</f>
        <v>0</v>
      </c>
      <c r="AD208">
        <f>'RESUMEN TOTAL'!AM211</f>
        <v>0</v>
      </c>
      <c r="AE208">
        <f>'RESUMEN TOTAL'!AN211</f>
        <v>0</v>
      </c>
      <c r="AF208">
        <f>'RESUMEN TOTAL'!AO211</f>
        <v>0</v>
      </c>
      <c r="AG208">
        <f>'RESUMEN TOTAL'!AP211</f>
        <v>0</v>
      </c>
      <c r="AH208">
        <f>'RESUMEN TOTAL'!AQ211</f>
        <v>0</v>
      </c>
      <c r="AI208">
        <f>'RESUMEN TOTAL'!AR211</f>
        <v>0</v>
      </c>
    </row>
    <row r="209" spans="1:35" x14ac:dyDescent="0.25">
      <c r="A209" t="str">
        <f>'RESUMEN TOTAL'!A212</f>
        <v>SAN JORGE</v>
      </c>
      <c r="B209" t="str">
        <f>'RESUMEN TOTAL'!B212</f>
        <v>Punto Seguro - San Jorge (Fija)</v>
      </c>
      <c r="C209" t="str">
        <f>'RESUMEN TOTAL'!D212</f>
        <v>CALLE 523 E/ 554 Y 556</v>
      </c>
      <c r="D209" t="str">
        <f>'RESUMEN TOTAL'!E212</f>
        <v>Fija</v>
      </c>
      <c r="E209" t="str">
        <f>'RESUMEN TOTAL'!F212</f>
        <v>PTO A FO</v>
      </c>
      <c r="F209">
        <f>'RESUMEN TOTAL'!O212</f>
        <v>0</v>
      </c>
      <c r="G209">
        <f>'RESUMEN TOTAL'!P212</f>
        <v>0</v>
      </c>
      <c r="H209">
        <f>'RESUMEN TOTAL'!Q212</f>
        <v>0</v>
      </c>
      <c r="I209">
        <f>'RESUMEN TOTAL'!R212</f>
        <v>0</v>
      </c>
      <c r="J209">
        <f>'RESUMEN TOTAL'!S212</f>
        <v>0</v>
      </c>
      <c r="K209">
        <f>'RESUMEN TOTAL'!T212</f>
        <v>0</v>
      </c>
      <c r="L209">
        <f>'RESUMEN TOTAL'!U212</f>
        <v>0</v>
      </c>
      <c r="M209">
        <f>'RESUMEN TOTAL'!V212</f>
        <v>0</v>
      </c>
      <c r="N209">
        <f>'RESUMEN TOTAL'!W212</f>
        <v>0</v>
      </c>
      <c r="O209">
        <f>'RESUMEN TOTAL'!X212</f>
        <v>0</v>
      </c>
      <c r="P209">
        <f>'RESUMEN TOTAL'!Y212</f>
        <v>0</v>
      </c>
      <c r="Q209">
        <f>'RESUMEN TOTAL'!Z212</f>
        <v>0</v>
      </c>
      <c r="R209">
        <f>'RESUMEN TOTAL'!AA212</f>
        <v>0</v>
      </c>
      <c r="S209">
        <f>'RESUMEN TOTAL'!AB212</f>
        <v>0</v>
      </c>
      <c r="T209">
        <f>'RESUMEN TOTAL'!AC212</f>
        <v>0</v>
      </c>
      <c r="U209">
        <f>'RESUMEN TOTAL'!AD212</f>
        <v>0</v>
      </c>
      <c r="V209">
        <f>'RESUMEN TOTAL'!AE212</f>
        <v>0</v>
      </c>
      <c r="W209">
        <f>'RESUMEN TOTAL'!AF212</f>
        <v>0</v>
      </c>
      <c r="X209">
        <f>'RESUMEN TOTAL'!AG212</f>
        <v>0</v>
      </c>
      <c r="Y209">
        <f>'RESUMEN TOTAL'!AH212</f>
        <v>0</v>
      </c>
      <c r="Z209">
        <f>'RESUMEN TOTAL'!AI212</f>
        <v>0</v>
      </c>
      <c r="AA209">
        <f>'RESUMEN TOTAL'!AJ212</f>
        <v>0</v>
      </c>
      <c r="AB209">
        <f>'RESUMEN TOTAL'!AK212</f>
        <v>0</v>
      </c>
      <c r="AC209">
        <f>'RESUMEN TOTAL'!AL212</f>
        <v>0</v>
      </c>
      <c r="AD209">
        <f>'RESUMEN TOTAL'!AM212</f>
        <v>0</v>
      </c>
      <c r="AE209">
        <f>'RESUMEN TOTAL'!AN212</f>
        <v>0</v>
      </c>
      <c r="AF209">
        <f>'RESUMEN TOTAL'!AO212</f>
        <v>0</v>
      </c>
      <c r="AG209">
        <f>'RESUMEN TOTAL'!AP212</f>
        <v>0</v>
      </c>
      <c r="AH209">
        <f>'RESUMEN TOTAL'!AQ212</f>
        <v>0</v>
      </c>
      <c r="AI209">
        <f>'RESUMEN TOTAL'!AR212</f>
        <v>0</v>
      </c>
    </row>
    <row r="210" spans="1:35" x14ac:dyDescent="0.25">
      <c r="A210" t="str">
        <f>'RESUMEN TOTAL'!A213</f>
        <v>SAN RUDECINDO</v>
      </c>
      <c r="B210" t="str">
        <f>'RESUMEN TOTAL'!B213</f>
        <v>PUNTO SEGURO - SAN RUDECINDO (domo)</v>
      </c>
      <c r="C210" t="str">
        <f>'RESUMEN TOTAL'!D213</f>
        <v>SANTA SOFIA Y ALVAR NUÃ‘EZ</v>
      </c>
      <c r="D210" t="str">
        <f>'RESUMEN TOTAL'!E213</f>
        <v>DOMO</v>
      </c>
      <c r="E210" t="str">
        <f>'RESUMEN TOTAL'!F213</f>
        <v>Fibra Optica</v>
      </c>
      <c r="F210">
        <f>'RESUMEN TOTAL'!O213</f>
        <v>0</v>
      </c>
      <c r="G210">
        <f>'RESUMEN TOTAL'!P213</f>
        <v>0</v>
      </c>
      <c r="H210">
        <f>'RESUMEN TOTAL'!Q213</f>
        <v>0</v>
      </c>
      <c r="I210" t="str">
        <f>'RESUMEN TOTAL'!R213</f>
        <v>APAGADO</v>
      </c>
      <c r="J210" t="str">
        <f>'RESUMEN TOTAL'!S213</f>
        <v>APAGADO</v>
      </c>
      <c r="K210" t="str">
        <f>'RESUMEN TOTAL'!T213</f>
        <v>APAGADO</v>
      </c>
      <c r="L210" t="str">
        <f>'RESUMEN TOTAL'!U213</f>
        <v>APAGADO</v>
      </c>
      <c r="M210">
        <f>'RESUMEN TOTAL'!V213</f>
        <v>0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>
        <f>'RESUMEN TOTAL'!Z213</f>
        <v>0</v>
      </c>
      <c r="R210">
        <f>'RESUMEN TOTAL'!AA213</f>
        <v>0</v>
      </c>
      <c r="S210">
        <f>'RESUMEN TOTAL'!AB213</f>
        <v>0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  <c r="AH210">
        <f>'RESUMEN TOTAL'!AQ213</f>
        <v>0</v>
      </c>
      <c r="AI210">
        <f>'RESUMEN TOTAL'!AR213</f>
        <v>0</v>
      </c>
    </row>
    <row r="211" spans="1:35" x14ac:dyDescent="0.25">
      <c r="A211" t="str">
        <f>'RESUMEN TOTAL'!A214</f>
        <v>SAN RUDECINDO</v>
      </c>
      <c r="B211" t="str">
        <f>'RESUMEN TOTAL'!B214</f>
        <v>PUNTO SEGURO - SAN RUDECINDO (fija)</v>
      </c>
      <c r="C211" t="str">
        <f>'RESUMEN TOTAL'!D214</f>
        <v>SANTA SOFIA Y ALVAR NUÃ‘EZ</v>
      </c>
      <c r="D211" t="str">
        <f>'RESUMEN TOTAL'!E214</f>
        <v>Fija</v>
      </c>
      <c r="E211" t="str">
        <f>'RESUMEN TOTAL'!F214</f>
        <v>Fibra Optica</v>
      </c>
      <c r="F211">
        <f>'RESUMEN TOTAL'!O214</f>
        <v>0</v>
      </c>
      <c r="G211">
        <f>'RESUMEN TOTAL'!P214</f>
        <v>0</v>
      </c>
      <c r="H211">
        <f>'RESUMEN TOTAL'!Q214</f>
        <v>0</v>
      </c>
      <c r="I211" t="str">
        <f>'RESUMEN TOTAL'!R214</f>
        <v>APAGADO</v>
      </c>
      <c r="J211" t="str">
        <f>'RESUMEN TOTAL'!S214</f>
        <v>APAGADO</v>
      </c>
      <c r="K211" t="str">
        <f>'RESUMEN TOTAL'!T214</f>
        <v>APAGADO</v>
      </c>
      <c r="L211" t="str">
        <f>'RESUMEN TOTAL'!U214</f>
        <v>APAGADO</v>
      </c>
      <c r="M211">
        <f>'RESUMEN TOTAL'!V214</f>
        <v>0</v>
      </c>
      <c r="N211">
        <f>'RESUMEN TOTAL'!W214</f>
        <v>0</v>
      </c>
      <c r="O211">
        <f>'RESUMEN TOTAL'!X214</f>
        <v>0</v>
      </c>
      <c r="P211">
        <f>'RESUMEN TOTAL'!Y214</f>
        <v>0</v>
      </c>
      <c r="Q211">
        <f>'RESUMEN TOTAL'!Z214</f>
        <v>0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>
        <f>'RESUMEN TOTAL'!AE214</f>
        <v>0</v>
      </c>
      <c r="W211">
        <f>'RESUMEN TOTAL'!AF214</f>
        <v>0</v>
      </c>
      <c r="X211">
        <f>'RESUMEN TOTAL'!AG214</f>
        <v>0</v>
      </c>
      <c r="Y211">
        <f>'RESUMEN TOTAL'!AH214</f>
        <v>0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>
        <f>'RESUMEN TOTAL'!AO214</f>
        <v>0</v>
      </c>
      <c r="AG211">
        <f>'RESUMEN TOTAL'!AP214</f>
        <v>0</v>
      </c>
      <c r="AH211">
        <f>'RESUMEN TOTAL'!AQ214</f>
        <v>0</v>
      </c>
      <c r="AI211">
        <f>'RESUMEN TOTAL'!AR214</f>
        <v>0</v>
      </c>
    </row>
    <row r="212" spans="1:35" x14ac:dyDescent="0.25">
      <c r="A212" t="str">
        <f>'RESUMEN TOTAL'!A215</f>
        <v>ZONA RURAL SANTA ROSA</v>
      </c>
      <c r="B212" t="str">
        <f>'RESUMEN TOTAL'!B215</f>
        <v>PUNTO SEGURO - SANTA ROSA (domo)</v>
      </c>
      <c r="C212" t="str">
        <f>'RESUMEN TOTAL'!D215</f>
        <v>BRUSELAS Y SICILIA</v>
      </c>
      <c r="D212" t="str">
        <f>'RESUMEN TOTAL'!E215</f>
        <v>DOMO</v>
      </c>
      <c r="E212" t="str">
        <f>'RESUMEN TOTAL'!F215</f>
        <v>Fibra Optica</v>
      </c>
      <c r="F212" t="str">
        <f>'RESUMEN TOTAL'!O215</f>
        <v>APAGADO</v>
      </c>
      <c r="G212" t="str">
        <f>'RESUMEN TOTAL'!P215</f>
        <v>APAGADO</v>
      </c>
      <c r="H212" t="str">
        <f>'RESUMEN TOTAL'!Q215</f>
        <v>APAGADO</v>
      </c>
      <c r="I212" t="str">
        <f>'RESUMEN TOTAL'!R215</f>
        <v>APAGADO</v>
      </c>
      <c r="J212" t="str">
        <f>'RESUMEN TOTAL'!S215</f>
        <v>APAGADO</v>
      </c>
      <c r="K212" t="str">
        <f>'RESUMEN TOTAL'!T215</f>
        <v>APAGADO</v>
      </c>
      <c r="L212" t="str">
        <f>'RESUMEN TOTAL'!U215</f>
        <v>APAGADO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>
        <f>'RESUMEN TOTAL'!AE215</f>
        <v>0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>
        <f>'RESUMEN TOTAL'!AO215</f>
        <v>0</v>
      </c>
      <c r="AG212">
        <f>'RESUMEN TOTAL'!AP215</f>
        <v>0</v>
      </c>
      <c r="AH212">
        <f>'RESUMEN TOTAL'!AQ215</f>
        <v>0</v>
      </c>
      <c r="AI212">
        <f>'RESUMEN TOTAL'!AR215</f>
        <v>0</v>
      </c>
    </row>
    <row r="213" spans="1:35" x14ac:dyDescent="0.25">
      <c r="A213" t="str">
        <f>'RESUMEN TOTAL'!A216</f>
        <v>ZONA RURAL SANTA ROSA</v>
      </c>
      <c r="B213" t="str">
        <f>'RESUMEN TOTAL'!B216</f>
        <v>PUNTO SEGURO - SANTA ROSA (fija)</v>
      </c>
      <c r="C213" t="str">
        <f>'RESUMEN TOTAL'!D216</f>
        <v>BRUSELAS Y SICILIA</v>
      </c>
      <c r="D213" t="str">
        <f>'RESUMEN TOTAL'!E216</f>
        <v>Fija</v>
      </c>
      <c r="E213" t="str">
        <f>'RESUMEN TOTAL'!F216</f>
        <v>Fibra Optica</v>
      </c>
      <c r="F213" t="str">
        <f>'RESUMEN TOTAL'!O216</f>
        <v>APAGADO</v>
      </c>
      <c r="G213" t="str">
        <f>'RESUMEN TOTAL'!P216</f>
        <v>APAGADO</v>
      </c>
      <c r="H213" t="str">
        <f>'RESUMEN TOTAL'!Q216</f>
        <v>APAGADO</v>
      </c>
      <c r="I213" t="str">
        <f>'RESUMEN TOTAL'!R216</f>
        <v>APAGADO</v>
      </c>
      <c r="J213" t="str">
        <f>'RESUMEN TOTAL'!S216</f>
        <v>APAGADO</v>
      </c>
      <c r="K213" t="str">
        <f>'RESUMEN TOTAL'!T216</f>
        <v>APAGADO</v>
      </c>
      <c r="L213" t="str">
        <f>'RESUMEN TOTAL'!U216</f>
        <v>APAGADO</v>
      </c>
      <c r="M213">
        <f>'RESUMEN TOTAL'!V216</f>
        <v>0</v>
      </c>
      <c r="N213">
        <f>'RESUMEN TOTAL'!W216</f>
        <v>0</v>
      </c>
      <c r="O213">
        <f>'RESUMEN TOTAL'!X216</f>
        <v>0</v>
      </c>
      <c r="P213">
        <f>'RESUMEN TOTAL'!Y216</f>
        <v>0</v>
      </c>
      <c r="Q213">
        <f>'RESUMEN TOTAL'!Z216</f>
        <v>0</v>
      </c>
      <c r="R213">
        <f>'RESUMEN TOTAL'!AA216</f>
        <v>0</v>
      </c>
      <c r="S213">
        <f>'RESUMEN TOTAL'!AB216</f>
        <v>0</v>
      </c>
      <c r="T213">
        <f>'RESUMEN TOTAL'!AC216</f>
        <v>0</v>
      </c>
      <c r="U213">
        <f>'RESUMEN TOTAL'!AD216</f>
        <v>0</v>
      </c>
      <c r="V213">
        <f>'RESUMEN TOTAL'!AE216</f>
        <v>0</v>
      </c>
      <c r="W213">
        <f>'RESUMEN TOTAL'!AF216</f>
        <v>0</v>
      </c>
      <c r="X213">
        <f>'RESUMEN TOTAL'!AG216</f>
        <v>0</v>
      </c>
      <c r="Y213">
        <f>'RESUMEN TOTAL'!AH216</f>
        <v>0</v>
      </c>
      <c r="Z213">
        <f>'RESUMEN TOTAL'!AI216</f>
        <v>0</v>
      </c>
      <c r="AA213">
        <f>'RESUMEN TOTAL'!AJ216</f>
        <v>0</v>
      </c>
      <c r="AB213">
        <f>'RESUMEN TOTAL'!AK216</f>
        <v>0</v>
      </c>
      <c r="AC213">
        <f>'RESUMEN TOTAL'!AL216</f>
        <v>0</v>
      </c>
      <c r="AD213">
        <f>'RESUMEN TOTAL'!AM216</f>
        <v>0</v>
      </c>
      <c r="AE213">
        <f>'RESUMEN TOTAL'!AN216</f>
        <v>0</v>
      </c>
      <c r="AF213">
        <f>'RESUMEN TOTAL'!AO216</f>
        <v>0</v>
      </c>
      <c r="AG213">
        <f>'RESUMEN TOTAL'!AP216</f>
        <v>0</v>
      </c>
      <c r="AH213">
        <f>'RESUMEN TOTAL'!AQ216</f>
        <v>0</v>
      </c>
      <c r="AI213">
        <f>'RESUMEN TOTAL'!AR216</f>
        <v>0</v>
      </c>
    </row>
    <row r="214" spans="1:35" x14ac:dyDescent="0.25">
      <c r="A214" t="str">
        <f>'RESUMEN TOTAL'!A217</f>
        <v>DON JOSE</v>
      </c>
      <c r="B214" t="str">
        <f>'RESUMEN TOTAL'!B217</f>
        <v>PUNTO SEGURO AGUSTIN RAMIREZ INTERCOMUNICADOR</v>
      </c>
      <c r="C214" t="str">
        <f>'RESUMEN TOTAL'!D217</f>
        <v>MALAMBO Y LA TRANQUERA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 t="str">
        <f>'RESUMEN TOTAL'!P217</f>
        <v>APAGADO</v>
      </c>
      <c r="H214">
        <f>'RESUMEN TOTAL'!Q217</f>
        <v>0</v>
      </c>
      <c r="I214" t="str">
        <f>'RESUMEN TOTAL'!R217</f>
        <v>APAGADO</v>
      </c>
      <c r="J214" t="str">
        <f>'RESUMEN TOTAL'!S217</f>
        <v>APAGADO</v>
      </c>
      <c r="K214" t="str">
        <f>'RESUMEN TOTAL'!T217</f>
        <v>APAGADO</v>
      </c>
      <c r="L214" t="str">
        <f>'RESUMEN TOTAL'!U217</f>
        <v>APAGADO</v>
      </c>
      <c r="M214">
        <f>'RESUMEN TOTAL'!V217</f>
        <v>0</v>
      </c>
      <c r="N214">
        <f>'RESUMEN TOTAL'!W217</f>
        <v>0</v>
      </c>
      <c r="O214">
        <f>'RESUMEN TOTAL'!X217</f>
        <v>0</v>
      </c>
      <c r="P214">
        <f>'RESUMEN TOTAL'!Y217</f>
        <v>0</v>
      </c>
      <c r="Q214">
        <f>'RESUMEN TOTAL'!Z217</f>
        <v>0</v>
      </c>
      <c r="R214">
        <f>'RESUMEN TOTAL'!AA217</f>
        <v>0</v>
      </c>
      <c r="S214">
        <f>'RESUMEN TOTAL'!AB217</f>
        <v>0</v>
      </c>
      <c r="T214">
        <f>'RESUMEN TOTAL'!AC217</f>
        <v>0</v>
      </c>
      <c r="U214">
        <f>'RESUMEN TOTAL'!AD217</f>
        <v>0</v>
      </c>
      <c r="V214">
        <f>'RESUMEN TOTAL'!AE217</f>
        <v>0</v>
      </c>
      <c r="W214">
        <f>'RESUMEN TOTAL'!AF217</f>
        <v>0</v>
      </c>
      <c r="X214">
        <f>'RESUMEN TOTAL'!AG217</f>
        <v>0</v>
      </c>
      <c r="Y214">
        <f>'RESUMEN TOTAL'!AH217</f>
        <v>0</v>
      </c>
      <c r="Z214">
        <f>'RESUMEN TOTAL'!AI217</f>
        <v>0</v>
      </c>
      <c r="AA214">
        <f>'RESUMEN TOTAL'!AJ217</f>
        <v>0</v>
      </c>
      <c r="AB214">
        <f>'RESUMEN TOTAL'!AK217</f>
        <v>0</v>
      </c>
      <c r="AC214">
        <f>'RESUMEN TOTAL'!AL217</f>
        <v>0</v>
      </c>
      <c r="AD214">
        <f>'RESUMEN TOTAL'!AM217</f>
        <v>0</v>
      </c>
      <c r="AE214">
        <f>'RESUMEN TOTAL'!AN217</f>
        <v>0</v>
      </c>
      <c r="AF214">
        <f>'RESUMEN TOTAL'!AO217</f>
        <v>0</v>
      </c>
      <c r="AG214">
        <f>'RESUMEN TOTAL'!AP217</f>
        <v>0</v>
      </c>
      <c r="AH214">
        <f>'RESUMEN TOTAL'!AQ217</f>
        <v>0</v>
      </c>
      <c r="AI214">
        <f>'RESUMEN TOTAL'!AR217</f>
        <v>0</v>
      </c>
    </row>
    <row r="215" spans="1:35" x14ac:dyDescent="0.25">
      <c r="A215" t="str">
        <f>'RESUMEN TOTAL'!A218</f>
        <v>EL PARQUE</v>
      </c>
      <c r="B215" t="str">
        <f>'RESUMEN TOTAL'!B218</f>
        <v>PUNTO SEGURO EL PARQUE INTERCOMUNICADOR</v>
      </c>
      <c r="C215" t="str">
        <f>'RESUMEN TOTAL'!D218</f>
        <v>1282 Y 1201</v>
      </c>
      <c r="D215" t="str">
        <f>'RESUMEN TOTAL'!E218</f>
        <v>Fija</v>
      </c>
      <c r="E215" t="str">
        <f>'RESUMEN TOTAL'!F218</f>
        <v>Fibra Optica</v>
      </c>
      <c r="F215">
        <f>'RESUMEN TOTAL'!O218</f>
        <v>0</v>
      </c>
      <c r="G215">
        <f>'RESUMEN TOTAL'!P218</f>
        <v>0</v>
      </c>
      <c r="H215">
        <f>'RESUMEN TOTAL'!Q218</f>
        <v>0</v>
      </c>
      <c r="I215">
        <f>'RESUMEN TOTAL'!R218</f>
        <v>0</v>
      </c>
      <c r="J215">
        <f>'RESUMEN TOTAL'!S218</f>
        <v>0</v>
      </c>
      <c r="K215">
        <f>'RESUMEN TOTAL'!T218</f>
        <v>0</v>
      </c>
      <c r="L215">
        <f>'RESUMEN TOTAL'!U218</f>
        <v>0</v>
      </c>
      <c r="M215">
        <f>'RESUMEN TOTAL'!V218</f>
        <v>0</v>
      </c>
      <c r="N215">
        <f>'RESUMEN TOTAL'!W218</f>
        <v>0</v>
      </c>
      <c r="O215">
        <f>'RESUMEN TOTAL'!X218</f>
        <v>0</v>
      </c>
      <c r="P215">
        <f>'RESUMEN TOTAL'!Y218</f>
        <v>0</v>
      </c>
      <c r="Q215">
        <f>'RESUMEN TOTAL'!Z218</f>
        <v>0</v>
      </c>
      <c r="R215">
        <f>'RESUMEN TOTAL'!AA218</f>
        <v>0</v>
      </c>
      <c r="S215">
        <f>'RESUMEN TOTAL'!AB218</f>
        <v>0</v>
      </c>
      <c r="T215">
        <f>'RESUMEN TOTAL'!AC218</f>
        <v>0</v>
      </c>
      <c r="U215">
        <f>'RESUMEN TOTAL'!AD218</f>
        <v>0</v>
      </c>
      <c r="V215">
        <f>'RESUMEN TOTAL'!AE218</f>
        <v>0</v>
      </c>
      <c r="W215">
        <f>'RESUMEN TOTAL'!AF218</f>
        <v>0</v>
      </c>
      <c r="X215">
        <f>'RESUMEN TOTAL'!AG218</f>
        <v>0</v>
      </c>
      <c r="Y215">
        <f>'RESUMEN TOTAL'!AH218</f>
        <v>0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>
        <f>'RESUMEN TOTAL'!AM218</f>
        <v>0</v>
      </c>
      <c r="AE215">
        <f>'RESUMEN TOTAL'!AN218</f>
        <v>0</v>
      </c>
      <c r="AF215">
        <f>'RESUMEN TOTAL'!AO218</f>
        <v>0</v>
      </c>
      <c r="AG215">
        <f>'RESUMEN TOTAL'!AP218</f>
        <v>0</v>
      </c>
      <c r="AH215">
        <f>'RESUMEN TOTAL'!AQ218</f>
        <v>0</v>
      </c>
      <c r="AI215">
        <f>'RESUMEN TOTAL'!AR218</f>
        <v>0</v>
      </c>
    </row>
    <row r="216" spans="1:35" x14ac:dyDescent="0.25">
      <c r="A216" t="str">
        <f>'RESUMEN TOTAL'!A219</f>
        <v>INGENIERO ALLAN</v>
      </c>
      <c r="B216" t="str">
        <f>'RESUMEN TOTAL'!B219</f>
        <v>PUNTO SEGURO INGENIERO ALLAN INTERCOMUNICADOR</v>
      </c>
      <c r="C216" t="str">
        <f>'RESUMEN TOTAL'!D219</f>
        <v>DIAG LOS YAGANES Y 1148</v>
      </c>
      <c r="D216" t="str">
        <f>'RESUMEN TOTAL'!E219</f>
        <v>Domo</v>
      </c>
      <c r="E216" t="str">
        <f>'RESUMEN TOTAL'!F219</f>
        <v>Fibra Optica</v>
      </c>
      <c r="F216">
        <f>'RESUMEN TOTAL'!O219</f>
        <v>0</v>
      </c>
      <c r="G216">
        <f>'RESUMEN TOTAL'!P219</f>
        <v>0</v>
      </c>
      <c r="H216">
        <f>'RESUMEN TOTAL'!Q219</f>
        <v>0</v>
      </c>
      <c r="I216">
        <f>'RESUMEN TOTAL'!R219</f>
        <v>0</v>
      </c>
      <c r="J216">
        <f>'RESUMEN TOTAL'!S219</f>
        <v>0</v>
      </c>
      <c r="K216">
        <f>'RESUMEN TOTAL'!T219</f>
        <v>0</v>
      </c>
      <c r="L216">
        <f>'RESUMEN TOTAL'!U219</f>
        <v>0</v>
      </c>
      <c r="M216">
        <f>'RESUMEN TOTAL'!V219</f>
        <v>0</v>
      </c>
      <c r="N216">
        <f>'RESUMEN TOTAL'!W219</f>
        <v>0</v>
      </c>
      <c r="O216">
        <f>'RESUMEN TOTAL'!X219</f>
        <v>0</v>
      </c>
      <c r="P216">
        <f>'RESUMEN TOTAL'!Y219</f>
        <v>0</v>
      </c>
      <c r="Q216">
        <f>'RESUMEN TOTAL'!Z219</f>
        <v>0</v>
      </c>
      <c r="R216">
        <f>'RESUMEN TOTAL'!AA219</f>
        <v>0</v>
      </c>
      <c r="S216">
        <f>'RESUMEN TOTAL'!AB219</f>
        <v>0</v>
      </c>
      <c r="T216">
        <f>'RESUMEN TOTAL'!AC219</f>
        <v>0</v>
      </c>
      <c r="U216">
        <f>'RESUMEN TOTAL'!AD219</f>
        <v>0</v>
      </c>
      <c r="V216">
        <f>'RESUMEN TOTAL'!AE219</f>
        <v>0</v>
      </c>
      <c r="W216">
        <f>'RESUMEN TOTAL'!AF219</f>
        <v>0</v>
      </c>
      <c r="X216">
        <f>'RESUMEN TOTAL'!AG219</f>
        <v>0</v>
      </c>
      <c r="Y216">
        <f>'RESUMEN TOTAL'!AH219</f>
        <v>0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>
        <f>'RESUMEN TOTAL'!AM219</f>
        <v>0</v>
      </c>
      <c r="AE216">
        <f>'RESUMEN TOTAL'!AN219</f>
        <v>0</v>
      </c>
      <c r="AF216">
        <f>'RESUMEN TOTAL'!AO219</f>
        <v>0</v>
      </c>
      <c r="AG216">
        <f>'RESUMEN TOTAL'!AP219</f>
        <v>0</v>
      </c>
      <c r="AH216">
        <f>'RESUMEN TOTAL'!AQ219</f>
        <v>0</v>
      </c>
      <c r="AI216">
        <f>'RESUMEN TOTAL'!AR219</f>
        <v>0</v>
      </c>
    </row>
    <row r="217" spans="1:35" x14ac:dyDescent="0.25">
      <c r="A217" t="str">
        <f>'RESUMEN TOTAL'!A220</f>
        <v>LUJAN</v>
      </c>
      <c r="B217" t="str">
        <f>'RESUMEN TOTAL'!B220</f>
        <v>PUNTO SEGURO LUJAN (domo)</v>
      </c>
      <c r="C217" t="str">
        <f>'RESUMEN TOTAL'!D220</f>
        <v>DIAG. LOS TILOS Y LOS ALGARROBOS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>
        <f>'RESUMEN TOTAL'!P220</f>
        <v>0</v>
      </c>
      <c r="H217">
        <f>'RESUMEN TOTAL'!Q220</f>
        <v>0</v>
      </c>
      <c r="I217">
        <f>'RESUMEN TOTAL'!R220</f>
        <v>0</v>
      </c>
      <c r="J217">
        <f>'RESUMEN TOTAL'!S220</f>
        <v>0</v>
      </c>
      <c r="K217">
        <f>'RESUMEN TOTAL'!T220</f>
        <v>0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>
        <f>'RESUMEN TOTAL'!AE220</f>
        <v>0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>
        <f>'RESUMEN TOTAL'!AO220</f>
        <v>0</v>
      </c>
      <c r="AG217">
        <f>'RESUMEN TOTAL'!AP220</f>
        <v>0</v>
      </c>
      <c r="AH217">
        <f>'RESUMEN TOTAL'!AQ220</f>
        <v>0</v>
      </c>
      <c r="AI217">
        <f>'RESUMEN TOTAL'!AR220</f>
        <v>0</v>
      </c>
    </row>
    <row r="218" spans="1:35" x14ac:dyDescent="0.25">
      <c r="A218" t="str">
        <f>'RESUMEN TOTAL'!A221</f>
        <v>LUJAN</v>
      </c>
      <c r="B218" t="str">
        <f>'RESUMEN TOTAL'!B221</f>
        <v>PUNTO SEGURO LUJAN INTERCOMUNICADOR</v>
      </c>
      <c r="C218" t="str">
        <f>'RESUMEN TOTAL'!D221</f>
        <v>DIAG LOS TILOS Y LOS ALGARROBOS</v>
      </c>
      <c r="D218" t="str">
        <f>'RESUMEN TOTAL'!E221</f>
        <v>Fija</v>
      </c>
      <c r="E218" t="str">
        <f>'RESUMEN TOTAL'!F221</f>
        <v>Fibra Optica</v>
      </c>
      <c r="F218">
        <f>'RESUMEN TOTAL'!O221</f>
        <v>0</v>
      </c>
      <c r="G218">
        <f>'RESUMEN TOTAL'!P221</f>
        <v>0</v>
      </c>
      <c r="H218">
        <f>'RESUMEN TOTAL'!Q221</f>
        <v>0</v>
      </c>
      <c r="I218">
        <f>'RESUMEN TOTAL'!R221</f>
        <v>0</v>
      </c>
      <c r="J218">
        <f>'RESUMEN TOTAL'!S221</f>
        <v>0</v>
      </c>
      <c r="K218">
        <f>'RESUMEN TOTAL'!T221</f>
        <v>0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>
        <f>'RESUMEN TOTAL'!AE221</f>
        <v>0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>
        <f>'RESUMEN TOTAL'!AO221</f>
        <v>0</v>
      </c>
      <c r="AG218">
        <f>'RESUMEN TOTAL'!AP221</f>
        <v>0</v>
      </c>
      <c r="AH218">
        <f>'RESUMEN TOTAL'!AQ221</f>
        <v>0</v>
      </c>
      <c r="AI218">
        <f>'RESUMEN TOTAL'!AR221</f>
        <v>0</v>
      </c>
    </row>
    <row r="219" spans="1:35" x14ac:dyDescent="0.25">
      <c r="A219" t="str">
        <f>'RESUMEN TOTAL'!A222</f>
        <v>ZONA RURAL SANTA ROSA</v>
      </c>
      <c r="B219" t="str">
        <f>'RESUMEN TOTAL'!B222</f>
        <v>PUNTO SEGURO PICO DE ORO INTERCOMUNICADOR</v>
      </c>
      <c r="C219" t="str">
        <f>'RESUMEN TOTAL'!D222</f>
        <v>PISANI Y BULGARIA</v>
      </c>
      <c r="D219" t="str">
        <f>'RESUMEN TOTAL'!E222</f>
        <v>Domo</v>
      </c>
      <c r="E219" t="str">
        <f>'RESUMEN TOTAL'!F222</f>
        <v>Fibra Optica</v>
      </c>
      <c r="F219">
        <f>'RESUMEN TOTAL'!O222</f>
        <v>0</v>
      </c>
      <c r="G219">
        <f>'RESUMEN TOTAL'!P222</f>
        <v>0</v>
      </c>
      <c r="H219">
        <f>'RESUMEN TOTAL'!Q222</f>
        <v>0</v>
      </c>
      <c r="I219">
        <f>'RESUMEN TOTAL'!R222</f>
        <v>0</v>
      </c>
      <c r="J219">
        <f>'RESUMEN TOTAL'!S222</f>
        <v>0</v>
      </c>
      <c r="K219">
        <f>'RESUMEN TOTAL'!T222</f>
        <v>0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>
        <f>'RESUMEN TOTAL'!AE222</f>
        <v>0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>
        <f>'RESUMEN TOTAL'!AO222</f>
        <v>0</v>
      </c>
      <c r="AG219">
        <f>'RESUMEN TOTAL'!AP222</f>
        <v>0</v>
      </c>
      <c r="AH219">
        <f>'RESUMEN TOTAL'!AQ222</f>
        <v>0</v>
      </c>
      <c r="AI219">
        <f>'RESUMEN TOTAL'!AR222</f>
        <v>0</v>
      </c>
    </row>
    <row r="220" spans="1:35" x14ac:dyDescent="0.25">
      <c r="A220" t="str">
        <f>'RESUMEN TOTAL'!A223</f>
        <v>SAN JORGE</v>
      </c>
      <c r="B220" t="str">
        <f>'RESUMEN TOTAL'!B223</f>
        <v>PUNTO SEGURO SAN JORGE INTERCOMUNICADOR</v>
      </c>
      <c r="C220" t="str">
        <f>'RESUMEN TOTAL'!D223</f>
        <v>CALLE 554 Y 523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>
        <f>'RESUMEN TOTAL'!P223</f>
        <v>0</v>
      </c>
      <c r="H220">
        <f>'RESUMEN TOTAL'!Q223</f>
        <v>0</v>
      </c>
      <c r="I220">
        <f>'RESUMEN TOTAL'!R223</f>
        <v>0</v>
      </c>
      <c r="J220">
        <f>'RESUMEN TOTAL'!S223</f>
        <v>0</v>
      </c>
      <c r="K220">
        <f>'RESUMEN TOTAL'!T223</f>
        <v>0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>
        <f>'RESUMEN TOTAL'!AE223</f>
        <v>0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>
        <f>'RESUMEN TOTAL'!AO223</f>
        <v>0</v>
      </c>
      <c r="AG220">
        <f>'RESUMEN TOTAL'!AP223</f>
        <v>0</v>
      </c>
      <c r="AH220">
        <f>'RESUMEN TOTAL'!AQ223</f>
        <v>0</v>
      </c>
      <c r="AI220">
        <f>'RESUMEN TOTAL'!AR223</f>
        <v>0</v>
      </c>
    </row>
    <row r="221" spans="1:35" x14ac:dyDescent="0.25">
      <c r="A221" t="str">
        <f>'RESUMEN TOTAL'!A224</f>
        <v>SAN RUDECINDO</v>
      </c>
      <c r="B221" t="str">
        <f>'RESUMEN TOTAL'!B224</f>
        <v>PUNTO SEGURO SAN RUDECINDO INTERCOMUNICADOR</v>
      </c>
      <c r="C221" t="str">
        <f>'RESUMEN TOTAL'!D224</f>
        <v>SABTA SOFIA Y ALVAR NUÃ‘EZ</v>
      </c>
      <c r="D221" t="str">
        <f>'RESUMEN TOTAL'!E224</f>
        <v>Domo</v>
      </c>
      <c r="E221" t="str">
        <f>'RESUMEN TOTAL'!F224</f>
        <v>Fibra Optica</v>
      </c>
      <c r="F221">
        <f>'RESUMEN TOTAL'!O224</f>
        <v>0</v>
      </c>
      <c r="G221">
        <f>'RESUMEN TOTAL'!P224</f>
        <v>0</v>
      </c>
      <c r="H221">
        <f>'RESUMEN TOTAL'!Q224</f>
        <v>0</v>
      </c>
      <c r="I221" t="str">
        <f>'RESUMEN TOTAL'!R224</f>
        <v>APAGADO</v>
      </c>
      <c r="J221" t="str">
        <f>'RESUMEN TOTAL'!S224</f>
        <v>APAGADO</v>
      </c>
      <c r="K221" t="str">
        <f>'RESUMEN TOTAL'!T224</f>
        <v>APAGADO</v>
      </c>
      <c r="L221" t="str">
        <f>'RESUMEN TOTAL'!U224</f>
        <v>APAGADO</v>
      </c>
      <c r="M221">
        <f>'RESUMEN TOTAL'!V224</f>
        <v>0</v>
      </c>
      <c r="N221">
        <f>'RESUMEN TOTAL'!W224</f>
        <v>0</v>
      </c>
      <c r="O221">
        <f>'RESUMEN TOTAL'!X224</f>
        <v>0</v>
      </c>
      <c r="P221">
        <f>'RESUMEN TOTAL'!Y224</f>
        <v>0</v>
      </c>
      <c r="Q221">
        <f>'RESUMEN TOTAL'!Z224</f>
        <v>0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>
        <f>'RESUMEN TOTAL'!AE224</f>
        <v>0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>
        <f>'RESUMEN TOTAL'!AO224</f>
        <v>0</v>
      </c>
      <c r="AG221">
        <f>'RESUMEN TOTAL'!AP224</f>
        <v>0</v>
      </c>
      <c r="AH221">
        <f>'RESUMEN TOTAL'!AQ224</f>
        <v>0</v>
      </c>
      <c r="AI221">
        <f>'RESUMEN TOTAL'!AR224</f>
        <v>0</v>
      </c>
    </row>
    <row r="222" spans="1:35" x14ac:dyDescent="0.25">
      <c r="A222" t="str">
        <f>'RESUMEN TOTAL'!A225</f>
        <v>ZONA RURAL SANTA ROSA</v>
      </c>
      <c r="B222" t="str">
        <f>'RESUMEN TOTAL'!B225</f>
        <v>PUNTO SEGURO SANTA ROSA INTERCOMUNICADOR</v>
      </c>
      <c r="C222" t="str">
        <f>'RESUMEN TOTAL'!D225</f>
        <v>Bruselas y sicilia</v>
      </c>
      <c r="D222" t="str">
        <f>'RESUMEN TOTAL'!E225</f>
        <v>Fija</v>
      </c>
      <c r="E222" t="str">
        <f>'RESUMEN TOTAL'!F225</f>
        <v>Fibra Optica</v>
      </c>
      <c r="F222" t="str">
        <f>'RESUMEN TOTAL'!O225</f>
        <v>APAGADO</v>
      </c>
      <c r="G222">
        <f>'RESUMEN TOTAL'!P225</f>
        <v>0</v>
      </c>
      <c r="H222" t="str">
        <f>'RESUMEN TOTAL'!Q225</f>
        <v>APAGADO</v>
      </c>
      <c r="I222">
        <f>'RESUMEN TOTAL'!R225</f>
        <v>0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>
        <f>'RESUMEN TOTAL'!Z225</f>
        <v>0</v>
      </c>
      <c r="R222">
        <f>'RESUMEN TOTAL'!AA225</f>
        <v>0</v>
      </c>
      <c r="S222">
        <f>'RESUMEN TOTAL'!AB225</f>
        <v>0</v>
      </c>
      <c r="T222">
        <f>'RESUMEN TOTAL'!AC225</f>
        <v>0</v>
      </c>
      <c r="U222">
        <f>'RESUMEN TOTAL'!AD225</f>
        <v>0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  <c r="AH222">
        <f>'RESUMEN TOTAL'!AQ225</f>
        <v>0</v>
      </c>
      <c r="AI222">
        <f>'RESUMEN TOTAL'!AR225</f>
        <v>0</v>
      </c>
    </row>
    <row r="223" spans="1:35" x14ac:dyDescent="0.25">
      <c r="A223" t="str">
        <f>'RESUMEN TOTAL'!A226</f>
        <v>VILLA ARGENTINA</v>
      </c>
      <c r="B223" t="str">
        <f>'RESUMEN TOTAL'!B226</f>
        <v>PUNTO SEGURO VILLA ARGENTINA INTERCOMUNICADOR</v>
      </c>
      <c r="C223" t="str">
        <f>'RESUMEN TOTAL'!D226</f>
        <v>CALLE 513 Y DIAG PORTELA</v>
      </c>
      <c r="D223" t="str">
        <f>'RESUMEN TOTAL'!E226</f>
        <v>Fija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>
        <f>'RESUMEN TOTAL'!R226</f>
        <v>0</v>
      </c>
      <c r="J223">
        <f>'RESUMEN TOTAL'!S226</f>
        <v>0</v>
      </c>
      <c r="K223">
        <f>'RESUMEN TOTAL'!T226</f>
        <v>0</v>
      </c>
      <c r="L223">
        <f>'RESUMEN TOTAL'!U226</f>
        <v>0</v>
      </c>
      <c r="M223">
        <f>'RESUMEN TOTAL'!V226</f>
        <v>0</v>
      </c>
      <c r="N223">
        <f>'RESUMEN TOTAL'!W226</f>
        <v>0</v>
      </c>
      <c r="O223">
        <f>'RESUMEN TOTAL'!X226</f>
        <v>0</v>
      </c>
      <c r="P223">
        <f>'RESUMEN TOTAL'!Y226</f>
        <v>0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  <c r="AH223">
        <f>'RESUMEN TOTAL'!AQ226</f>
        <v>0</v>
      </c>
      <c r="AI223">
        <f>'RESUMEN TOTAL'!AR226</f>
        <v>0</v>
      </c>
    </row>
    <row r="224" spans="1:35" x14ac:dyDescent="0.25">
      <c r="A224" t="str">
        <f>'RESUMEN TOTAL'!A227</f>
        <v>EL ROCIO</v>
      </c>
      <c r="B224" t="str">
        <f>'RESUMEN TOTAL'!B227</f>
        <v>RCO 01</v>
      </c>
      <c r="C224" t="str">
        <f>'RESUMEN TOTAL'!D227</f>
        <v>AV. LUJAN Y LOBOS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>
        <f>'RESUMEN TOTAL'!R227</f>
        <v>0</v>
      </c>
      <c r="J224">
        <f>'RESUMEN TOTAL'!S227</f>
        <v>0</v>
      </c>
      <c r="K224">
        <f>'RESUMEN TOTAL'!T227</f>
        <v>0</v>
      </c>
      <c r="L224" t="str">
        <f>'RESUMEN TOTAL'!U227</f>
        <v>APAGADO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>
        <f>'RESUMEN TOTAL'!AG227</f>
        <v>0</v>
      </c>
      <c r="Y224">
        <f>'RESUMEN TOTAL'!AH227</f>
        <v>0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  <c r="AH224">
        <f>'RESUMEN TOTAL'!AQ227</f>
        <v>0</v>
      </c>
      <c r="AI224">
        <f>'RESUMEN TOTAL'!AR227</f>
        <v>0</v>
      </c>
    </row>
    <row r="225" spans="1:35" x14ac:dyDescent="0.25">
      <c r="A225" t="str">
        <f>'RESUMEN TOTAL'!A228</f>
        <v>EL ROCIO</v>
      </c>
      <c r="B225" t="str">
        <f>'RESUMEN TOTAL'!B228</f>
        <v>RCO02</v>
      </c>
      <c r="C225" t="str">
        <f>'RESUMEN TOTAL'!D228</f>
        <v>AV. LUJAN Y BRANDSEN</v>
      </c>
      <c r="D225" t="str">
        <f>'RESUMEN TOTAL'!E228</f>
        <v>DOMO</v>
      </c>
      <c r="E225" t="str">
        <f>'RESUMEN TOTAL'!F228</f>
        <v>Fibra Optica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>
        <f>'RESUMEN TOTAL'!R228</f>
        <v>0</v>
      </c>
      <c r="J225">
        <f>'RESUMEN TOTAL'!S228</f>
        <v>0</v>
      </c>
      <c r="K225">
        <f>'RESUMEN TOTAL'!T228</f>
        <v>0</v>
      </c>
      <c r="L225" t="str">
        <f>'RESUMEN TOTAL'!U228</f>
        <v>APAGADO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  <c r="AH225">
        <f>'RESUMEN TOTAL'!AQ228</f>
        <v>0</v>
      </c>
      <c r="AI225">
        <f>'RESUMEN TOTAL'!AR228</f>
        <v>0</v>
      </c>
    </row>
    <row r="226" spans="1:35" x14ac:dyDescent="0.25">
      <c r="A226" t="str">
        <f>'RESUMEN TOTAL'!A229</f>
        <v>EL ROCIO</v>
      </c>
      <c r="B226" t="str">
        <f>'RESUMEN TOTAL'!B229</f>
        <v>RCO03 (fija 1)</v>
      </c>
      <c r="C226" t="str">
        <f>'RESUMEN TOTAL'!D229</f>
        <v>OLAVARRIA Y CONCORDIA</v>
      </c>
      <c r="D226" t="str">
        <f>'RESUMEN TOTAL'!E229</f>
        <v>Fija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 t="str">
        <f>'RESUMEN TOTAL'!U229</f>
        <v>APAGADO</v>
      </c>
      <c r="M226">
        <f>'RESUMEN TOTAL'!V229</f>
        <v>0</v>
      </c>
      <c r="N226">
        <f>'RESUMEN TOTAL'!W229</f>
        <v>0</v>
      </c>
      <c r="O226">
        <f>'RESUMEN TOTAL'!X229</f>
        <v>0</v>
      </c>
      <c r="P226">
        <f>'RESUMEN TOTAL'!Y229</f>
        <v>0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  <c r="AH226">
        <f>'RESUMEN TOTAL'!AQ229</f>
        <v>0</v>
      </c>
      <c r="AI226">
        <f>'RESUMEN TOTAL'!AR229</f>
        <v>0</v>
      </c>
    </row>
    <row r="227" spans="1:35" x14ac:dyDescent="0.25">
      <c r="A227" t="str">
        <f>'RESUMEN TOTAL'!A230</f>
        <v>EL ROCIO</v>
      </c>
      <c r="B227" t="str">
        <f>'RESUMEN TOTAL'!B230</f>
        <v>RCO04 (fija 2)</v>
      </c>
      <c r="C227" t="str">
        <f>'RESUMEN TOTAL'!D230</f>
        <v>OLAVARRIA Y CONCORDIA</v>
      </c>
      <c r="D227" t="str">
        <f>'RESUMEN TOTAL'!E230</f>
        <v>Fija</v>
      </c>
      <c r="E227" t="str">
        <f>'RESUMEN TOTAL'!F230</f>
        <v>Fibra Optica</v>
      </c>
      <c r="F227">
        <f>'RESUMEN TOTAL'!O230</f>
        <v>0</v>
      </c>
      <c r="G227">
        <f>'RESUMEN TOTAL'!P230</f>
        <v>0</v>
      </c>
      <c r="H227">
        <f>'RESUMEN TOTAL'!Q230</f>
        <v>0</v>
      </c>
      <c r="I227">
        <f>'RESUMEN TOTAL'!R230</f>
        <v>0</v>
      </c>
      <c r="J227">
        <f>'RESUMEN TOTAL'!S230</f>
        <v>0</v>
      </c>
      <c r="K227">
        <f>'RESUMEN TOTAL'!T230</f>
        <v>0</v>
      </c>
      <c r="L227" t="str">
        <f>'RESUMEN TOTAL'!U230</f>
        <v>APAGADO</v>
      </c>
      <c r="M227">
        <f>'RESUMEN TOTAL'!V230</f>
        <v>0</v>
      </c>
      <c r="N227">
        <f>'RESUMEN TOTAL'!W230</f>
        <v>0</v>
      </c>
      <c r="O227">
        <f>'RESUMEN TOTAL'!X230</f>
        <v>0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>
        <f>'RESUMEN TOTAL'!AB230</f>
        <v>0</v>
      </c>
      <c r="T227">
        <f>'RESUMEN TOTAL'!AC230</f>
        <v>0</v>
      </c>
      <c r="U227">
        <f>'RESUMEN TOTAL'!AD230</f>
        <v>0</v>
      </c>
      <c r="V227">
        <f>'RESUMEN TOTAL'!AE230</f>
        <v>0</v>
      </c>
      <c r="W227">
        <f>'RESUMEN TOTAL'!AF230</f>
        <v>0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>
        <f>'RESUMEN TOTAL'!AM230</f>
        <v>0</v>
      </c>
      <c r="AE227">
        <f>'RESUMEN TOTAL'!AN230</f>
        <v>0</v>
      </c>
      <c r="AF227">
        <f>'RESUMEN TOTAL'!AO230</f>
        <v>0</v>
      </c>
      <c r="AG227">
        <f>'RESUMEN TOTAL'!AP230</f>
        <v>0</v>
      </c>
      <c r="AH227">
        <f>'RESUMEN TOTAL'!AQ230</f>
        <v>0</v>
      </c>
      <c r="AI227">
        <f>'RESUMEN TOTAL'!AR230</f>
        <v>0</v>
      </c>
    </row>
    <row r="228" spans="1:35" x14ac:dyDescent="0.25">
      <c r="A228" t="str">
        <f>'RESUMEN TOTAL'!A231</f>
        <v>EL ROCIO</v>
      </c>
      <c r="B228" t="str">
        <f>'RESUMEN TOTAL'!B231</f>
        <v>RCO05 (fija 1)</v>
      </c>
      <c r="C228" t="str">
        <f>'RESUMEN TOTAL'!D231</f>
        <v>LOBOS Y CHASCOMUS</v>
      </c>
      <c r="D228" t="str">
        <f>'RESUMEN TOTAL'!E231</f>
        <v>Fija</v>
      </c>
      <c r="E228" t="str">
        <f>'RESUMEN TOTAL'!F231</f>
        <v>Fibra Optica</v>
      </c>
      <c r="F228">
        <f>'RESUMEN TOTAL'!O231</f>
        <v>0</v>
      </c>
      <c r="G228">
        <f>'RESUMEN TOTAL'!P231</f>
        <v>0</v>
      </c>
      <c r="H228">
        <f>'RESUMEN TOTAL'!Q231</f>
        <v>0</v>
      </c>
      <c r="I228">
        <f>'RESUMEN TOTAL'!R231</f>
        <v>0</v>
      </c>
      <c r="J228">
        <f>'RESUMEN TOTAL'!S231</f>
        <v>0</v>
      </c>
      <c r="K228">
        <f>'RESUMEN TOTAL'!T231</f>
        <v>0</v>
      </c>
      <c r="L228" t="str">
        <f>'RESUMEN TOTAL'!U231</f>
        <v>APAGADO</v>
      </c>
      <c r="M228">
        <f>'RESUMEN TOTAL'!V231</f>
        <v>0</v>
      </c>
      <c r="N228">
        <f>'RESUMEN TOTAL'!W231</f>
        <v>0</v>
      </c>
      <c r="O228">
        <f>'RESUMEN TOTAL'!X231</f>
        <v>0</v>
      </c>
      <c r="P228">
        <f>'RESUMEN TOTAL'!Y231</f>
        <v>0</v>
      </c>
      <c r="Q228">
        <f>'RESUMEN TOTAL'!Z231</f>
        <v>0</v>
      </c>
      <c r="R228">
        <f>'RESUMEN TOTAL'!AA231</f>
        <v>0</v>
      </c>
      <c r="S228">
        <f>'RESUMEN TOTAL'!AB231</f>
        <v>0</v>
      </c>
      <c r="T228">
        <f>'RESUMEN TOTAL'!AC231</f>
        <v>0</v>
      </c>
      <c r="U228">
        <f>'RESUMEN TOTAL'!AD231</f>
        <v>0</v>
      </c>
      <c r="V228">
        <f>'RESUMEN TOTAL'!AE231</f>
        <v>0</v>
      </c>
      <c r="W228">
        <f>'RESUMEN TOTAL'!AF231</f>
        <v>0</v>
      </c>
      <c r="X228">
        <f>'RESUMEN TOTAL'!AG231</f>
        <v>0</v>
      </c>
      <c r="Y228">
        <f>'RESUMEN TOTAL'!AH231</f>
        <v>0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  <c r="AH228">
        <f>'RESUMEN TOTAL'!AQ231</f>
        <v>0</v>
      </c>
      <c r="AI228">
        <f>'RESUMEN TOTAL'!AR231</f>
        <v>0</v>
      </c>
    </row>
    <row r="229" spans="1:35" x14ac:dyDescent="0.25">
      <c r="A229" t="str">
        <f>'RESUMEN TOTAL'!A232</f>
        <v>EL ROCIO</v>
      </c>
      <c r="B229" t="str">
        <f>'RESUMEN TOTAL'!B232</f>
        <v>RCO06 (fija 2)</v>
      </c>
      <c r="C229" t="str">
        <f>'RESUMEN TOTAL'!D232</f>
        <v>LOBOS Y CHASCOMUS</v>
      </c>
      <c r="D229" t="str">
        <f>'RESUMEN TOTAL'!E232</f>
        <v>FIJA</v>
      </c>
      <c r="E229" t="str">
        <f>'RESUMEN TOTAL'!F232</f>
        <v>Fibra Optica</v>
      </c>
      <c r="F229">
        <f>'RESUMEN TOTAL'!O232</f>
        <v>0</v>
      </c>
      <c r="G229">
        <f>'RESUMEN TOTAL'!P232</f>
        <v>0</v>
      </c>
      <c r="H229">
        <f>'RESUMEN TOTAL'!Q232</f>
        <v>0</v>
      </c>
      <c r="I229">
        <f>'RESUMEN TOTAL'!R232</f>
        <v>0</v>
      </c>
      <c r="J229">
        <f>'RESUMEN TOTAL'!S232</f>
        <v>0</v>
      </c>
      <c r="K229">
        <f>'RESUMEN TOTAL'!T232</f>
        <v>0</v>
      </c>
      <c r="L229" t="str">
        <f>'RESUMEN TOTAL'!U232</f>
        <v>APAGADO</v>
      </c>
      <c r="M229">
        <f>'RESUMEN TOTAL'!V232</f>
        <v>0</v>
      </c>
      <c r="N229">
        <f>'RESUMEN TOTAL'!W232</f>
        <v>0</v>
      </c>
      <c r="O229">
        <f>'RESUMEN TOTAL'!X232</f>
        <v>0</v>
      </c>
      <c r="P229">
        <f>'RESUMEN TOTAL'!Y232</f>
        <v>0</v>
      </c>
      <c r="Q229">
        <f>'RESUMEN TOTAL'!Z232</f>
        <v>0</v>
      </c>
      <c r="R229">
        <f>'RESUMEN TOTAL'!AA232</f>
        <v>0</v>
      </c>
      <c r="S229">
        <f>'RESUMEN TOTAL'!AB232</f>
        <v>0</v>
      </c>
      <c r="T229">
        <f>'RESUMEN TOTAL'!AC232</f>
        <v>0</v>
      </c>
      <c r="U229">
        <f>'RESUMEN TOTAL'!AD232</f>
        <v>0</v>
      </c>
      <c r="V229">
        <f>'RESUMEN TOTAL'!AE232</f>
        <v>0</v>
      </c>
      <c r="W229">
        <f>'RESUMEN TOTAL'!AF232</f>
        <v>0</v>
      </c>
      <c r="X229">
        <f>'RESUMEN TOTAL'!AG232</f>
        <v>0</v>
      </c>
      <c r="Y229">
        <f>'RESUMEN TOTAL'!AH232</f>
        <v>0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  <c r="AH229">
        <f>'RESUMEN TOTAL'!AQ232</f>
        <v>0</v>
      </c>
      <c r="AI229">
        <f>'RESUMEN TOTAL'!AR232</f>
        <v>0</v>
      </c>
    </row>
    <row r="230" spans="1:35" x14ac:dyDescent="0.25">
      <c r="A230" t="str">
        <f>'RESUMEN TOTAL'!A233</f>
        <v>RICARDO ROJAS</v>
      </c>
      <c r="B230" t="str">
        <f>'RESUMEN TOTAL'!B233</f>
        <v>RRJ 05</v>
      </c>
      <c r="C230" t="str">
        <f>'RESUMEN TOTAL'!D233</f>
        <v>LUJAN Y RUTA 36</v>
      </c>
      <c r="D230" t="str">
        <f>'RESUMEN TOTAL'!E233</f>
        <v>DOMO</v>
      </c>
      <c r="E230" t="str">
        <f>'RESUMEN TOTAL'!F233</f>
        <v>Fibra Optica</v>
      </c>
      <c r="F230">
        <f>'RESUMEN TOTAL'!O233</f>
        <v>0</v>
      </c>
      <c r="G230">
        <f>'RESUMEN TOTAL'!P233</f>
        <v>0</v>
      </c>
      <c r="H230">
        <f>'RESUMEN TOTAL'!Q233</f>
        <v>0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 t="str">
        <f>'RESUMEN TOTAL'!U233</f>
        <v>APAGADO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  <c r="AH230">
        <f>'RESUMEN TOTAL'!AQ233</f>
        <v>0</v>
      </c>
      <c r="AI230">
        <f>'RESUMEN TOTAL'!AR233</f>
        <v>0</v>
      </c>
    </row>
    <row r="231" spans="1:35" x14ac:dyDescent="0.25">
      <c r="A231" t="str">
        <f>'RESUMEN TOTAL'!A234</f>
        <v>RICARDO ROJAS</v>
      </c>
      <c r="B231" t="str">
        <f>'RESUMEN TOTAL'!B234</f>
        <v>RRJ 06</v>
      </c>
      <c r="C231" t="str">
        <f>'RESUMEN TOTAL'!D234</f>
        <v>Constancio Vigil y Pablo Groussac</v>
      </c>
      <c r="D231" t="str">
        <f>'RESUMEN TOTAL'!E234</f>
        <v>Domo</v>
      </c>
      <c r="E231" t="str">
        <f>'RESUMEN TOTAL'!F234</f>
        <v>Fibra Optica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 t="str">
        <f>'RESUMEN TOTAL'!U234</f>
        <v>APAGADO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  <c r="AH231">
        <f>'RESUMEN TOTAL'!AQ234</f>
        <v>0</v>
      </c>
      <c r="AI231">
        <f>'RESUMEN TOTAL'!AR234</f>
        <v>0</v>
      </c>
    </row>
    <row r="232" spans="1:35" x14ac:dyDescent="0.25">
      <c r="A232" t="str">
        <f>'RESUMEN TOTAL'!A235</f>
        <v>RICARDO ROJAS</v>
      </c>
      <c r="B232" t="str">
        <f>'RESUMEN TOTAL'!B235</f>
        <v>RRJ 07</v>
      </c>
      <c r="C232" t="str">
        <f>'RESUMEN TOTAL'!D235</f>
        <v>Constancio Vigil y Estanislao del Campo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 t="str">
        <f>'RESUMEN TOTAL'!U235</f>
        <v>APAGADO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>
        <f>'RESUMEN TOTAL'!Y235</f>
        <v>0</v>
      </c>
      <c r="Q232">
        <f>'RESUMEN TOTAL'!Z235</f>
        <v>0</v>
      </c>
      <c r="R232">
        <f>'RESUMEN TOTAL'!AA235</f>
        <v>0</v>
      </c>
      <c r="S232">
        <f>'RESUMEN TOTAL'!AB235</f>
        <v>0</v>
      </c>
      <c r="T232">
        <f>'RESUMEN TOTAL'!AC235</f>
        <v>0</v>
      </c>
      <c r="U232">
        <f>'RESUMEN TOTAL'!AD235</f>
        <v>0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  <c r="AH232">
        <f>'RESUMEN TOTAL'!AQ235</f>
        <v>0</v>
      </c>
      <c r="AI232">
        <f>'RESUMEN TOTAL'!AR235</f>
        <v>0</v>
      </c>
    </row>
    <row r="233" spans="1:35" x14ac:dyDescent="0.25">
      <c r="A233" t="str">
        <f>'RESUMEN TOTAL'!A236</f>
        <v>RICARDO ROJAS</v>
      </c>
      <c r="B233" t="str">
        <f>'RESUMEN TOTAL'!B236</f>
        <v>RRJ 08</v>
      </c>
      <c r="C233" t="str">
        <f>'RESUMEN TOTAL'!D236</f>
        <v>Constancio Vigil y Pablo Podesta</v>
      </c>
      <c r="D233" t="str">
        <f>'RESUMEN TOTAL'!E236</f>
        <v>Domo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 t="str">
        <f>'RESUMEN TOTAL'!U236</f>
        <v>APAGADO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>
        <f>'RESUMEN TOTAL'!Y236</f>
        <v>0</v>
      </c>
      <c r="Q233">
        <f>'RESUMEN TOTAL'!Z236</f>
        <v>0</v>
      </c>
      <c r="R233">
        <f>'RESUMEN TOTAL'!AA236</f>
        <v>0</v>
      </c>
      <c r="S233">
        <f>'RESUMEN TOTAL'!AB236</f>
        <v>0</v>
      </c>
      <c r="T233">
        <f>'RESUMEN TOTAL'!AC236</f>
        <v>0</v>
      </c>
      <c r="U233">
        <f>'RESUMEN TOTAL'!AD236</f>
        <v>0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  <c r="AH233">
        <f>'RESUMEN TOTAL'!AQ236</f>
        <v>0</v>
      </c>
      <c r="AI233">
        <f>'RESUMEN TOTAL'!AR236</f>
        <v>0</v>
      </c>
    </row>
    <row r="234" spans="1:35" x14ac:dyDescent="0.25">
      <c r="A234" t="str">
        <f>'RESUMEN TOTAL'!A237</f>
        <v>RICARDO ROJAS</v>
      </c>
      <c r="B234" t="str">
        <f>'RESUMEN TOTAL'!B237</f>
        <v>RRJ 09</v>
      </c>
      <c r="C234" t="str">
        <f>'RESUMEN TOTAL'!D237</f>
        <v>Constancio Vigil y Jose Ingeniero</v>
      </c>
      <c r="D234" t="str">
        <f>'RESUMEN TOTAL'!E237</f>
        <v>Domo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 t="str">
        <f>'RESUMEN TOTAL'!U237</f>
        <v>APAGADO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>
        <f>'RESUMEN TOTAL'!Z237</f>
        <v>0</v>
      </c>
      <c r="R234">
        <f>'RESUMEN TOTAL'!AA237</f>
        <v>0</v>
      </c>
      <c r="S234">
        <f>'RESUMEN TOTAL'!AB237</f>
        <v>0</v>
      </c>
      <c r="T234">
        <f>'RESUMEN TOTAL'!AC237</f>
        <v>0</v>
      </c>
      <c r="U234">
        <f>'RESUMEN TOTAL'!AD237</f>
        <v>0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>
        <f>'RESUMEN TOTAL'!AI237</f>
        <v>0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  <c r="AH234">
        <f>'RESUMEN TOTAL'!AQ237</f>
        <v>0</v>
      </c>
      <c r="AI234">
        <f>'RESUMEN TOTAL'!AR237</f>
        <v>0</v>
      </c>
    </row>
    <row r="235" spans="1:35" x14ac:dyDescent="0.25">
      <c r="A235" t="str">
        <f>'RESUMEN TOTAL'!A238</f>
        <v>RICARDO ROJAS</v>
      </c>
      <c r="B235" t="str">
        <f>'RESUMEN TOTAL'!B238</f>
        <v>RRJ01</v>
      </c>
      <c r="C235" t="str">
        <f>'RESUMEN TOTAL'!D238</f>
        <v>AV. LUJAN Y BRAGADO</v>
      </c>
      <c r="D235" t="str">
        <f>'RESUMEN TOTAL'!E238</f>
        <v>DOMO</v>
      </c>
      <c r="E235" t="str">
        <f>'RESUMEN TOTAL'!F238</f>
        <v>Fibra Optica</v>
      </c>
      <c r="F235">
        <f>'RESUMEN TOTAL'!O238</f>
        <v>0</v>
      </c>
      <c r="G235">
        <f>'RESUMEN TOTAL'!P238</f>
        <v>0</v>
      </c>
      <c r="H235">
        <f>'RESUMEN TOTAL'!Q238</f>
        <v>0</v>
      </c>
      <c r="I235">
        <f>'RESUMEN TOTAL'!R238</f>
        <v>0</v>
      </c>
      <c r="J235">
        <f>'RESUMEN TOTAL'!S238</f>
        <v>0</v>
      </c>
      <c r="K235">
        <f>'RESUMEN TOTAL'!T238</f>
        <v>0</v>
      </c>
      <c r="L235" t="str">
        <f>'RESUMEN TOTAL'!U238</f>
        <v>APAGADO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>
        <f>'RESUMEN TOTAL'!Z238</f>
        <v>0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  <c r="AH235">
        <f>'RESUMEN TOTAL'!AQ238</f>
        <v>0</v>
      </c>
      <c r="AI235">
        <f>'RESUMEN TOTAL'!AR238</f>
        <v>0</v>
      </c>
    </row>
    <row r="236" spans="1:35" x14ac:dyDescent="0.25">
      <c r="A236" t="str">
        <f>'RESUMEN TOTAL'!A239</f>
        <v>RICARDO ROJAS</v>
      </c>
      <c r="B236" t="str">
        <f>'RESUMEN TOTAL'!B239</f>
        <v>RRJ02</v>
      </c>
      <c r="C236" t="str">
        <f>'RESUMEN TOTAL'!D239</f>
        <v>AV. LUJAN Y DIAG. LOS POETAS</v>
      </c>
      <c r="D236" t="str">
        <f>'RESUMEN TOTAL'!E239</f>
        <v>DOMO</v>
      </c>
      <c r="E236" t="str">
        <f>'RESUMEN TOTAL'!F239</f>
        <v>Fibra Optica</v>
      </c>
      <c r="F236">
        <f>'RESUMEN TOTAL'!O239</f>
        <v>0</v>
      </c>
      <c r="G236">
        <f>'RESUMEN TOTAL'!P239</f>
        <v>0</v>
      </c>
      <c r="H236">
        <f>'RESUMEN TOTAL'!Q239</f>
        <v>0</v>
      </c>
      <c r="I236">
        <f>'RESUMEN TOTAL'!R239</f>
        <v>0</v>
      </c>
      <c r="J236">
        <f>'RESUMEN TOTAL'!S239</f>
        <v>0</v>
      </c>
      <c r="K236">
        <f>'RESUMEN TOTAL'!T239</f>
        <v>0</v>
      </c>
      <c r="L236" t="str">
        <f>'RESUMEN TOTAL'!U239</f>
        <v>APAGADO</v>
      </c>
      <c r="M236">
        <f>'RESUMEN TOTAL'!V239</f>
        <v>0</v>
      </c>
      <c r="N236">
        <f>'RESUMEN TOTAL'!W239</f>
        <v>0</v>
      </c>
      <c r="O236">
        <f>'RESUMEN TOTAL'!X239</f>
        <v>0</v>
      </c>
      <c r="P236">
        <f>'RESUMEN TOTAL'!Y239</f>
        <v>0</v>
      </c>
      <c r="Q236">
        <f>'RESUMEN TOTAL'!Z239</f>
        <v>0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  <c r="AH236">
        <f>'RESUMEN TOTAL'!AQ239</f>
        <v>0</v>
      </c>
      <c r="AI236">
        <f>'RESUMEN TOTAL'!AR239</f>
        <v>0</v>
      </c>
    </row>
    <row r="237" spans="1:35" x14ac:dyDescent="0.25">
      <c r="A237" t="str">
        <f>'RESUMEN TOTAL'!A240</f>
        <v>RICARDO ROJAS</v>
      </c>
      <c r="B237" t="str">
        <f>'RESUMEN TOTAL'!B240</f>
        <v>RRJ03 (fija 1)</v>
      </c>
      <c r="C237" t="str">
        <f>'RESUMEN TOTAL'!D240</f>
        <v>RUBEN DARIO E/ FADER Y DIAG. LOS POETAS</v>
      </c>
      <c r="D237" t="str">
        <f>'RESUMEN TOTAL'!E240</f>
        <v>Fija</v>
      </c>
      <c r="E237" t="str">
        <f>'RESUMEN TOTAL'!F240</f>
        <v>Fibra Optica</v>
      </c>
      <c r="F237">
        <f>'RESUMEN TOTAL'!O240</f>
        <v>0</v>
      </c>
      <c r="G237">
        <f>'RESUMEN TOTAL'!P240</f>
        <v>0</v>
      </c>
      <c r="H237">
        <f>'RESUMEN TOTAL'!Q240</f>
        <v>0</v>
      </c>
      <c r="I237">
        <f>'RESUMEN TOTAL'!R240</f>
        <v>0</v>
      </c>
      <c r="J237">
        <f>'RESUMEN TOTAL'!S240</f>
        <v>0</v>
      </c>
      <c r="K237">
        <f>'RESUMEN TOTAL'!T240</f>
        <v>0</v>
      </c>
      <c r="L237" t="str">
        <f>'RESUMEN TOTAL'!U240</f>
        <v>APAGADO</v>
      </c>
      <c r="M237">
        <f>'RESUMEN TOTAL'!V240</f>
        <v>0</v>
      </c>
      <c r="N237">
        <f>'RESUMEN TOTAL'!W240</f>
        <v>0</v>
      </c>
      <c r="O237">
        <f>'RESUMEN TOTAL'!X240</f>
        <v>0</v>
      </c>
      <c r="P237">
        <f>'RESUMEN TOTAL'!Y240</f>
        <v>0</v>
      </c>
      <c r="Q237">
        <f>'RESUMEN TOTAL'!Z240</f>
        <v>0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>
        <f>'RESUMEN TOTAL'!AG240</f>
        <v>0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  <c r="AH237">
        <f>'RESUMEN TOTAL'!AQ240</f>
        <v>0</v>
      </c>
      <c r="AI237">
        <f>'RESUMEN TOTAL'!AR240</f>
        <v>0</v>
      </c>
    </row>
    <row r="238" spans="1:35" x14ac:dyDescent="0.25">
      <c r="A238" t="str">
        <f>'RESUMEN TOTAL'!A241</f>
        <v>RICARDO ROJAS</v>
      </c>
      <c r="B238" t="str">
        <f>'RESUMEN TOTAL'!B241</f>
        <v>RRJ04 (fija 2)</v>
      </c>
      <c r="C238" t="str">
        <f>'RESUMEN TOTAL'!D241</f>
        <v>RUBEN DARIO E/ FADER Y DIAG. LOS POETAS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 t="str">
        <f>'RESUMEN TOTAL'!U241</f>
        <v>APAGADO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>
        <f>'RESUMEN TOTAL'!Y241</f>
        <v>0</v>
      </c>
      <c r="Q238">
        <f>'RESUMEN TOTAL'!Z241</f>
        <v>0</v>
      </c>
      <c r="R238">
        <f>'RESUMEN TOTAL'!AA241</f>
        <v>0</v>
      </c>
      <c r="S238">
        <f>'RESUMEN TOTAL'!AB241</f>
        <v>0</v>
      </c>
      <c r="T238">
        <f>'RESUMEN TOTAL'!AC241</f>
        <v>0</v>
      </c>
      <c r="U238">
        <f>'RESUMEN TOTAL'!AD241</f>
        <v>0</v>
      </c>
      <c r="V238">
        <f>'RESUMEN TOTAL'!AE241</f>
        <v>0</v>
      </c>
      <c r="W238">
        <f>'RESUMEN TOTAL'!AF241</f>
        <v>0</v>
      </c>
      <c r="X238">
        <f>'RESUMEN TOTAL'!AG241</f>
        <v>0</v>
      </c>
      <c r="Y238">
        <f>'RESUMEN TOTAL'!AH241</f>
        <v>0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>
        <f>'RESUMEN TOTAL'!AL241</f>
        <v>0</v>
      </c>
      <c r="AD238">
        <f>'RESUMEN TOTAL'!AM241</f>
        <v>0</v>
      </c>
      <c r="AE238">
        <f>'RESUMEN TOTAL'!AN241</f>
        <v>0</v>
      </c>
      <c r="AF238">
        <f>'RESUMEN TOTAL'!AO241</f>
        <v>0</v>
      </c>
      <c r="AG238">
        <f>'RESUMEN TOTAL'!AP241</f>
        <v>0</v>
      </c>
      <c r="AH238">
        <f>'RESUMEN TOTAL'!AQ241</f>
        <v>0</v>
      </c>
      <c r="AI238">
        <f>'RESUMEN TOTAL'!AR241</f>
        <v>0</v>
      </c>
    </row>
    <row r="239" spans="1:35" x14ac:dyDescent="0.25">
      <c r="A239" t="str">
        <f>'RESUMEN TOTAL'!A242</f>
        <v>SANTA ANA</v>
      </c>
      <c r="B239" t="str">
        <f>'RESUMEN TOTAL'!B242</f>
        <v>SAN 02</v>
      </c>
      <c r="C239" t="str">
        <f>'RESUMEN TOTAL'!D242</f>
        <v>HUDSON Y SUIPACHA</v>
      </c>
      <c r="D239" t="str">
        <f>'RESUMEN TOTAL'!E242</f>
        <v>Fija 2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 t="str">
        <f>'RESUMEN TOTAL'!U242</f>
        <v>APAGADO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>
        <f>'RESUMEN TOTAL'!Z242</f>
        <v>0</v>
      </c>
      <c r="R239">
        <f>'RESUMEN TOTAL'!AA242</f>
        <v>0</v>
      </c>
      <c r="S239">
        <f>'RESUMEN TOTAL'!AB242</f>
        <v>0</v>
      </c>
      <c r="T239">
        <f>'RESUMEN TOTAL'!AC242</f>
        <v>0</v>
      </c>
      <c r="U239">
        <f>'RESUMEN TOTAL'!AD242</f>
        <v>0</v>
      </c>
      <c r="V239">
        <f>'RESUMEN TOTAL'!AE242</f>
        <v>0</v>
      </c>
      <c r="W239">
        <f>'RESUMEN TOTAL'!AF242</f>
        <v>0</v>
      </c>
      <c r="X239">
        <f>'RESUMEN TOTAL'!AG242</f>
        <v>0</v>
      </c>
      <c r="Y239">
        <f>'RESUMEN TOTAL'!AH242</f>
        <v>0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>
        <f>'RESUMEN TOTAL'!AL242</f>
        <v>0</v>
      </c>
      <c r="AD239">
        <f>'RESUMEN TOTAL'!AM242</f>
        <v>0</v>
      </c>
      <c r="AE239">
        <f>'RESUMEN TOTAL'!AN242</f>
        <v>0</v>
      </c>
      <c r="AF239">
        <f>'RESUMEN TOTAL'!AO242</f>
        <v>0</v>
      </c>
      <c r="AG239">
        <f>'RESUMEN TOTAL'!AP242</f>
        <v>0</v>
      </c>
      <c r="AH239">
        <f>'RESUMEN TOTAL'!AQ242</f>
        <v>0</v>
      </c>
      <c r="AI239">
        <f>'RESUMEN TOTAL'!AR242</f>
        <v>0</v>
      </c>
    </row>
    <row r="240" spans="1:35" x14ac:dyDescent="0.25">
      <c r="A240" t="str">
        <f>'RESUMEN TOTAL'!A243</f>
        <v>SANTA ANA</v>
      </c>
      <c r="B240" t="str">
        <f>'RESUMEN TOTAL'!B243</f>
        <v>SAN01</v>
      </c>
      <c r="C240" t="str">
        <f>'RESUMEN TOTAL'!D243</f>
        <v>HUDSON Y SUIPACHA</v>
      </c>
      <c r="D240" t="str">
        <f>'RESUMEN TOTAL'!E243</f>
        <v>Fija 1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 t="str">
        <f>'RESUMEN TOTAL'!T243</f>
        <v>APAGADO</v>
      </c>
      <c r="L240" t="str">
        <f>'RESUMEN TOTAL'!U243</f>
        <v>APAGADO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>
        <f>'RESUMEN TOTAL'!Z243</f>
        <v>0</v>
      </c>
      <c r="R240">
        <f>'RESUMEN TOTAL'!AA243</f>
        <v>0</v>
      </c>
      <c r="S240">
        <f>'RESUMEN TOTAL'!AB243</f>
        <v>0</v>
      </c>
      <c r="T240">
        <f>'RESUMEN TOTAL'!AC243</f>
        <v>0</v>
      </c>
      <c r="U240">
        <f>'RESUMEN TOTAL'!AD243</f>
        <v>0</v>
      </c>
      <c r="V240">
        <f>'RESUMEN TOTAL'!AE243</f>
        <v>0</v>
      </c>
      <c r="W240">
        <f>'RESUMEN TOTAL'!AF243</f>
        <v>0</v>
      </c>
      <c r="X240">
        <f>'RESUMEN TOTAL'!AG243</f>
        <v>0</v>
      </c>
      <c r="Y240">
        <f>'RESUMEN TOTAL'!AH243</f>
        <v>0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>
        <f>'RESUMEN TOTAL'!AL243</f>
        <v>0</v>
      </c>
      <c r="AD240">
        <f>'RESUMEN TOTAL'!AM243</f>
        <v>0</v>
      </c>
      <c r="AE240">
        <f>'RESUMEN TOTAL'!AN243</f>
        <v>0</v>
      </c>
      <c r="AF240">
        <f>'RESUMEN TOTAL'!AO243</f>
        <v>0</v>
      </c>
      <c r="AG240">
        <f>'RESUMEN TOTAL'!AP243</f>
        <v>0</v>
      </c>
      <c r="AH240">
        <f>'RESUMEN TOTAL'!AQ243</f>
        <v>0</v>
      </c>
      <c r="AI240">
        <f>'RESUMEN TOTAL'!AR243</f>
        <v>0</v>
      </c>
    </row>
    <row r="241" spans="1:35" x14ac:dyDescent="0.25">
      <c r="A241" t="str">
        <f>'RESUMEN TOTAL'!A244</f>
        <v>PRESIDENTE SARMIENTO</v>
      </c>
      <c r="B241" t="str">
        <f>'RESUMEN TOTAL'!B244</f>
        <v>SAR 02 (fija 1)</v>
      </c>
      <c r="C241" t="str">
        <f>'RESUMEN TOTAL'!D244</f>
        <v>DARDO ROCHA Y GABRIELA MISTRAL</v>
      </c>
      <c r="D241" t="str">
        <f>'RESUMEN TOTAL'!E244</f>
        <v>Fija</v>
      </c>
      <c r="E241" t="str">
        <f>'RESUMEN TOTAL'!F244</f>
        <v>Fibra Optica</v>
      </c>
      <c r="F241" t="str">
        <f>'RESUMEN TOTAL'!O244</f>
        <v>APAGADO</v>
      </c>
      <c r="G241" t="str">
        <f>'RESUMEN TOTAL'!P244</f>
        <v>APAGADO</v>
      </c>
      <c r="H241" t="str">
        <f>'RESUMEN TOTAL'!Q244</f>
        <v>APAGADO</v>
      </c>
      <c r="I241" t="str">
        <f>'RESUMEN TOTAL'!R244</f>
        <v>APAGADO</v>
      </c>
      <c r="J241" t="str">
        <f>'RESUMEN TOTAL'!S244</f>
        <v>APAGADO</v>
      </c>
      <c r="K241" t="str">
        <f>'RESUMEN TOTAL'!T244</f>
        <v>APAGADO</v>
      </c>
      <c r="L241" t="str">
        <f>'RESUMEN TOTAL'!U244</f>
        <v>APAGADO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>
        <f>'RESUMEN TOTAL'!Y244</f>
        <v>0</v>
      </c>
      <c r="Q241">
        <f>'RESUMEN TOTAL'!Z244</f>
        <v>0</v>
      </c>
      <c r="R241">
        <f>'RESUMEN TOTAL'!AA244</f>
        <v>0</v>
      </c>
      <c r="S241">
        <f>'RESUMEN TOTAL'!AB244</f>
        <v>0</v>
      </c>
      <c r="T241">
        <f>'RESUMEN TOTAL'!AC244</f>
        <v>0</v>
      </c>
      <c r="U241">
        <f>'RESUMEN TOTAL'!AD244</f>
        <v>0</v>
      </c>
      <c r="V241">
        <f>'RESUMEN TOTAL'!AE244</f>
        <v>0</v>
      </c>
      <c r="W241">
        <f>'RESUMEN TOTAL'!AF244</f>
        <v>0</v>
      </c>
      <c r="X241">
        <f>'RESUMEN TOTAL'!AG244</f>
        <v>0</v>
      </c>
      <c r="Y241">
        <f>'RESUMEN TOTAL'!AH244</f>
        <v>0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>
        <f>'RESUMEN TOTAL'!AL244</f>
        <v>0</v>
      </c>
      <c r="AD241">
        <f>'RESUMEN TOTAL'!AM244</f>
        <v>0</v>
      </c>
      <c r="AE241">
        <f>'RESUMEN TOTAL'!AN244</f>
        <v>0</v>
      </c>
      <c r="AF241">
        <f>'RESUMEN TOTAL'!AO244</f>
        <v>0</v>
      </c>
      <c r="AG241">
        <f>'RESUMEN TOTAL'!AP244</f>
        <v>0</v>
      </c>
      <c r="AH241">
        <f>'RESUMEN TOTAL'!AQ244</f>
        <v>0</v>
      </c>
      <c r="AI241">
        <f>'RESUMEN TOTAL'!AR244</f>
        <v>0</v>
      </c>
    </row>
    <row r="242" spans="1:35" x14ac:dyDescent="0.25">
      <c r="A242" t="str">
        <f>'RESUMEN TOTAL'!A245</f>
        <v>PRESIDENTE SARMIENTO</v>
      </c>
      <c r="B242" t="str">
        <f>'RESUMEN TOTAL'!B245</f>
        <v>SAR 03 (fija 2)</v>
      </c>
      <c r="C242" t="str">
        <f>'RESUMEN TOTAL'!D245</f>
        <v>DARDO ROCHA Y GABRIELA MISTRAL</v>
      </c>
      <c r="D242" t="str">
        <f>'RESUMEN TOTAL'!E245</f>
        <v>Fija</v>
      </c>
      <c r="E242" t="str">
        <f>'RESUMEN TOTAL'!F245</f>
        <v>Fibra Optica</v>
      </c>
      <c r="F242" t="str">
        <f>'RESUMEN TOTAL'!O245</f>
        <v>APAGADO</v>
      </c>
      <c r="G242" t="str">
        <f>'RESUMEN TOTAL'!P245</f>
        <v>APAGADO</v>
      </c>
      <c r="H242" t="str">
        <f>'RESUMEN TOTAL'!Q245</f>
        <v>APAGADO</v>
      </c>
      <c r="I242" t="str">
        <f>'RESUMEN TOTAL'!R245</f>
        <v>APAGADO</v>
      </c>
      <c r="J242" t="str">
        <f>'RESUMEN TOTAL'!S245</f>
        <v>APAGADO</v>
      </c>
      <c r="K242" t="str">
        <f>'RESUMEN TOTAL'!T245</f>
        <v>APAGADO</v>
      </c>
      <c r="L242" t="str">
        <f>'RESUMEN TOTAL'!U245</f>
        <v>APAGADO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>
        <f>'RESUMEN TOTAL'!Y245</f>
        <v>0</v>
      </c>
      <c r="Q242">
        <f>'RESUMEN TOTAL'!Z245</f>
        <v>0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>
        <f>'RESUMEN TOTAL'!AE245</f>
        <v>0</v>
      </c>
      <c r="W242">
        <f>'RESUMEN TOTAL'!AF245</f>
        <v>0</v>
      </c>
      <c r="X242">
        <f>'RESUMEN TOTAL'!AG245</f>
        <v>0</v>
      </c>
      <c r="Y242">
        <f>'RESUMEN TOTAL'!AH245</f>
        <v>0</v>
      </c>
      <c r="Z242">
        <f>'RESUMEN TOTAL'!AI245</f>
        <v>0</v>
      </c>
      <c r="AA242">
        <f>'RESUMEN TOTAL'!AJ245</f>
        <v>0</v>
      </c>
      <c r="AB242">
        <f>'RESUMEN TOTAL'!AK245</f>
        <v>0</v>
      </c>
      <c r="AC242">
        <f>'RESUMEN TOTAL'!AL245</f>
        <v>0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  <c r="AH242">
        <f>'RESUMEN TOTAL'!AQ245</f>
        <v>0</v>
      </c>
      <c r="AI242">
        <f>'RESUMEN TOTAL'!AR245</f>
        <v>0</v>
      </c>
    </row>
    <row r="243" spans="1:35" x14ac:dyDescent="0.25">
      <c r="A243" t="str">
        <f>'RESUMEN TOTAL'!A246</f>
        <v>PRESIDENTE SARMIENTO</v>
      </c>
      <c r="B243" t="str">
        <f>'RESUMEN TOTAL'!B246</f>
        <v>SAR 04</v>
      </c>
      <c r="C243" t="str">
        <f>'RESUMEN TOTAL'!D246</f>
        <v>MONTES DE OCA Y ALVARADO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>
        <f>'RESUMEN TOTAL'!Y246</f>
        <v>0</v>
      </c>
      <c r="Q243">
        <f>'RESUMEN TOTAL'!Z246</f>
        <v>0</v>
      </c>
      <c r="R243">
        <f>'RESUMEN TOTAL'!AA246</f>
        <v>0</v>
      </c>
      <c r="S243">
        <f>'RESUMEN TOTAL'!AB246</f>
        <v>0</v>
      </c>
      <c r="T243">
        <f>'RESUMEN TOTAL'!AC246</f>
        <v>0</v>
      </c>
      <c r="U243">
        <f>'RESUMEN TOTAL'!AD246</f>
        <v>0</v>
      </c>
      <c r="V243">
        <f>'RESUMEN TOTAL'!AE246</f>
        <v>0</v>
      </c>
      <c r="W243">
        <f>'RESUMEN TOTAL'!AF246</f>
        <v>0</v>
      </c>
      <c r="X243">
        <f>'RESUMEN TOTAL'!AG246</f>
        <v>0</v>
      </c>
      <c r="Y243">
        <f>'RESUMEN TOTAL'!AH246</f>
        <v>0</v>
      </c>
      <c r="Z243">
        <f>'RESUMEN TOTAL'!AI246</f>
        <v>0</v>
      </c>
      <c r="AA243">
        <f>'RESUMEN TOTAL'!AJ246</f>
        <v>0</v>
      </c>
      <c r="AB243">
        <f>'RESUMEN TOTAL'!AK246</f>
        <v>0</v>
      </c>
      <c r="AC243">
        <f>'RESUMEN TOTAL'!AL246</f>
        <v>0</v>
      </c>
      <c r="AD243">
        <f>'RESUMEN TOTAL'!AM246</f>
        <v>0</v>
      </c>
      <c r="AE243">
        <f>'RESUMEN TOTAL'!AN246</f>
        <v>0</v>
      </c>
      <c r="AF243">
        <f>'RESUMEN TOTAL'!AO246</f>
        <v>0</v>
      </c>
      <c r="AG243">
        <f>'RESUMEN TOTAL'!AP246</f>
        <v>0</v>
      </c>
      <c r="AH243">
        <f>'RESUMEN TOTAL'!AQ246</f>
        <v>0</v>
      </c>
      <c r="AI243">
        <f>'RESUMEN TOTAL'!AR246</f>
        <v>0</v>
      </c>
    </row>
    <row r="244" spans="1:35" x14ac:dyDescent="0.25">
      <c r="A244" t="str">
        <f>'RESUMEN TOTAL'!A247</f>
        <v>PRESIDENTE SARMIENTO</v>
      </c>
      <c r="B244" t="str">
        <f>'RESUMEN TOTAL'!B247</f>
        <v>SAR 05</v>
      </c>
      <c r="C244" t="str">
        <f>'RESUMEN TOTAL'!D247</f>
        <v>ALVARADO Y ROCHA</v>
      </c>
      <c r="D244" t="str">
        <f>'RESUMEN TOTAL'!E247</f>
        <v>Domo</v>
      </c>
      <c r="E244" t="str">
        <f>'RESUMEN TOTAL'!F247</f>
        <v>Fibra Optica</v>
      </c>
      <c r="F244">
        <f>'RESUMEN TOTAL'!O247</f>
        <v>0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>
        <f>'RESUMEN TOTAL'!W247</f>
        <v>0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>
        <f>'RESUMEN TOTAL'!AE247</f>
        <v>0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  <c r="AH244">
        <f>'RESUMEN TOTAL'!AQ247</f>
        <v>0</v>
      </c>
      <c r="AI244">
        <f>'RESUMEN TOTAL'!AR247</f>
        <v>0</v>
      </c>
    </row>
    <row r="245" spans="1:35" x14ac:dyDescent="0.25">
      <c r="A245" t="str">
        <f>'RESUMEN TOTAL'!A248</f>
        <v>PRESIDENTE SARMIENTO</v>
      </c>
      <c r="B245" t="str">
        <f>'RESUMEN TOTAL'!B248</f>
        <v>SAR01</v>
      </c>
      <c r="C245" t="str">
        <f>'RESUMEN TOTAL'!D248</f>
        <v>Storni Y Sanchez de Loria</v>
      </c>
      <c r="D245" t="str">
        <f>'RESUMEN TOTAL'!E248</f>
        <v>Domo</v>
      </c>
      <c r="E245" t="str">
        <f>'RESUMEN TOTAL'!F248</f>
        <v>Fibra Optica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>
        <f>'RESUMEN TOTAL'!W248</f>
        <v>0</v>
      </c>
      <c r="O245">
        <f>'RESUMEN TOTAL'!X248</f>
        <v>0</v>
      </c>
      <c r="P245">
        <f>'RESUMEN TOTAL'!Y248</f>
        <v>0</v>
      </c>
      <c r="Q245">
        <f>'RESUMEN TOTAL'!Z248</f>
        <v>0</v>
      </c>
      <c r="R245">
        <f>'RESUMEN TOTAL'!AA248</f>
        <v>0</v>
      </c>
      <c r="S245">
        <f>'RESUMEN TOTAL'!AB248</f>
        <v>0</v>
      </c>
      <c r="T245">
        <f>'RESUMEN TOTAL'!AC248</f>
        <v>0</v>
      </c>
      <c r="U245">
        <f>'RESUMEN TOTAL'!AD248</f>
        <v>0</v>
      </c>
      <c r="V245">
        <f>'RESUMEN TOTAL'!AE248</f>
        <v>0</v>
      </c>
      <c r="W245">
        <f>'RESUMEN TOTAL'!AF248</f>
        <v>0</v>
      </c>
      <c r="X245">
        <f>'RESUMEN TOTAL'!AG248</f>
        <v>0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  <c r="AH245">
        <f>'RESUMEN TOTAL'!AQ248</f>
        <v>0</v>
      </c>
      <c r="AI245">
        <f>'RESUMEN TOTAL'!AR248</f>
        <v>0</v>
      </c>
    </row>
    <row r="246" spans="1:35" x14ac:dyDescent="0.25">
      <c r="A246" t="str">
        <f>'RESUMEN TOTAL'!A249</f>
        <v>SAN EDUARDO</v>
      </c>
      <c r="B246" t="str">
        <f>'RESUMEN TOTAL'!B249</f>
        <v>SEDU01</v>
      </c>
      <c r="C246" t="str">
        <f>'RESUMEN TOTAL'!D249</f>
        <v>San Martin y Sperandio</v>
      </c>
      <c r="D246" t="str">
        <f>'RESUMEN TOTAL'!E249</f>
        <v>Domo</v>
      </c>
      <c r="E246" t="str">
        <f>'RESUMEN TOTAL'!F249</f>
        <v>Fibra Optica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>
        <f>'RESUMEN TOTAL'!Y249</f>
        <v>0</v>
      </c>
      <c r="Q246">
        <f>'RESUMEN TOTAL'!Z249</f>
        <v>0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  <c r="AH246">
        <f>'RESUMEN TOTAL'!AQ249</f>
        <v>0</v>
      </c>
      <c r="AI246">
        <f>'RESUMEN TOTAL'!AR249</f>
        <v>0</v>
      </c>
    </row>
    <row r="247" spans="1:35" x14ac:dyDescent="0.25">
      <c r="A247" t="str">
        <f>'RESUMEN TOTAL'!A250</f>
        <v>SAN EDUARDO</v>
      </c>
      <c r="B247" t="str">
        <f>'RESUMEN TOTAL'!B250</f>
        <v>SEDU02</v>
      </c>
      <c r="C247" t="str">
        <f>'RESUMEN TOTAL'!D250</f>
        <v>Curva de Berraymundo</v>
      </c>
      <c r="D247" t="str">
        <f>'RESUMEN TOTAL'!E250</f>
        <v>Domo</v>
      </c>
      <c r="E247" t="str">
        <f>'RESUMEN TOTAL'!F250</f>
        <v>Fibra Optica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>
        <f>'RESUMEN TOTAL'!S250</f>
        <v>0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>
        <f>'RESUMEN TOTAL'!W250</f>
        <v>0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>
        <f>'RESUMEN TOTAL'!AG250</f>
        <v>0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>
        <f>'RESUMEN TOTAL'!AL250</f>
        <v>0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  <c r="AH247">
        <f>'RESUMEN TOTAL'!AQ250</f>
        <v>0</v>
      </c>
      <c r="AI247">
        <f>'RESUMEN TOTAL'!AR250</f>
        <v>0</v>
      </c>
    </row>
    <row r="248" spans="1:35" x14ac:dyDescent="0.25">
      <c r="A248" t="str">
        <f>'RESUMEN TOTAL'!A251</f>
        <v>VILLA CIRIO</v>
      </c>
      <c r="B248" t="str">
        <f>'RESUMEN TOTAL'!B251</f>
        <v>SEDU03</v>
      </c>
      <c r="C248" t="str">
        <f>'RESUMEN TOTAL'!D251</f>
        <v>Av. San Martin y Las Americas</v>
      </c>
      <c r="D248" t="str">
        <f>'RESUMEN TOTAL'!E251</f>
        <v>Domo</v>
      </c>
      <c r="E248" t="str">
        <f>'RESUMEN TOTAL'!F251</f>
        <v>Radio</v>
      </c>
      <c r="F248">
        <f>'RESUMEN TOTAL'!O251</f>
        <v>0</v>
      </c>
      <c r="G248">
        <f>'RESUMEN TOTAL'!P251</f>
        <v>0</v>
      </c>
      <c r="H248">
        <f>'RESUMEN TOTAL'!Q251</f>
        <v>0</v>
      </c>
      <c r="I248">
        <f>'RESUMEN TOTAL'!R251</f>
        <v>0</v>
      </c>
      <c r="J248">
        <f>'RESUMEN TOTAL'!S251</f>
        <v>0</v>
      </c>
      <c r="K248">
        <f>'RESUMEN TOTAL'!T251</f>
        <v>0</v>
      </c>
      <c r="L248">
        <f>'RESUMEN TOTAL'!U251</f>
        <v>0</v>
      </c>
      <c r="M248">
        <f>'RESUMEN TOTAL'!V251</f>
        <v>0</v>
      </c>
      <c r="N248">
        <f>'RESUMEN TOTAL'!W251</f>
        <v>0</v>
      </c>
      <c r="O248">
        <f>'RESUMEN TOTAL'!X251</f>
        <v>0</v>
      </c>
      <c r="P248">
        <f>'RESUMEN TOTAL'!Y251</f>
        <v>0</v>
      </c>
      <c r="Q248">
        <f>'RESUMEN TOTAL'!Z251</f>
        <v>0</v>
      </c>
      <c r="R248">
        <f>'RESUMEN TOTAL'!AA251</f>
        <v>0</v>
      </c>
      <c r="S248">
        <f>'RESUMEN TOTAL'!AB251</f>
        <v>0</v>
      </c>
      <c r="T248">
        <f>'RESUMEN TOTAL'!AC251</f>
        <v>0</v>
      </c>
      <c r="U248">
        <f>'RESUMEN TOTAL'!AD251</f>
        <v>0</v>
      </c>
      <c r="V248">
        <f>'RESUMEN TOTAL'!AE251</f>
        <v>0</v>
      </c>
      <c r="W248">
        <f>'RESUMEN TOTAL'!AF251</f>
        <v>0</v>
      </c>
      <c r="X248">
        <f>'RESUMEN TOTAL'!AG251</f>
        <v>0</v>
      </c>
      <c r="Y248">
        <f>'RESUMEN TOTAL'!AH251</f>
        <v>0</v>
      </c>
      <c r="Z248">
        <f>'RESUMEN TOTAL'!AI251</f>
        <v>0</v>
      </c>
      <c r="AA248">
        <f>'RESUMEN TOTAL'!AJ251</f>
        <v>0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  <c r="AH248">
        <f>'RESUMEN TOTAL'!AQ251</f>
        <v>0</v>
      </c>
      <c r="AI248">
        <f>'RESUMEN TOTAL'!AR251</f>
        <v>0</v>
      </c>
    </row>
    <row r="249" spans="1:35" x14ac:dyDescent="0.25">
      <c r="A249" t="str">
        <f>'RESUMEN TOTAL'!A252</f>
        <v>SAN EMILIO</v>
      </c>
      <c r="B249" t="str">
        <f>'RESUMEN TOTAL'!B252</f>
        <v>SEMI 02</v>
      </c>
      <c r="C249" t="str">
        <f>'RESUMEN TOTAL'!D252</f>
        <v>Cno. Gral. Belgrano y Francia</v>
      </c>
      <c r="D249" t="str">
        <f>'RESUMEN TOTAL'!E252</f>
        <v>Domo</v>
      </c>
      <c r="E249" t="str">
        <f>'RESUMEN TOTAL'!F252</f>
        <v>FIBRA OPTICA</v>
      </c>
      <c r="F249">
        <f>'RESUMEN TOTAL'!O252</f>
        <v>0</v>
      </c>
      <c r="G249">
        <f>'RESUMEN TOTAL'!P252</f>
        <v>0</v>
      </c>
      <c r="H249">
        <f>'RESUMEN TOTAL'!Q252</f>
        <v>0</v>
      </c>
      <c r="I249">
        <f>'RESUMEN TOTAL'!R252</f>
        <v>0</v>
      </c>
      <c r="J249">
        <f>'RESUMEN TOTAL'!S252</f>
        <v>0</v>
      </c>
      <c r="K249" t="str">
        <f>'RESUMEN TOTAL'!T252</f>
        <v>APAGADO</v>
      </c>
      <c r="L249" t="str">
        <f>'RESUMEN TOTAL'!U252</f>
        <v>APAGADO</v>
      </c>
      <c r="M249">
        <f>'RESUMEN TOTAL'!V252</f>
        <v>0</v>
      </c>
      <c r="N249">
        <f>'RESUMEN TOTAL'!W252</f>
        <v>0</v>
      </c>
      <c r="O249">
        <f>'RESUMEN TOTAL'!X252</f>
        <v>0</v>
      </c>
      <c r="P249">
        <f>'RESUMEN TOTAL'!Y252</f>
        <v>0</v>
      </c>
      <c r="Q249">
        <f>'RESUMEN TOTAL'!Z252</f>
        <v>0</v>
      </c>
      <c r="R249">
        <f>'RESUMEN TOTAL'!AA252</f>
        <v>0</v>
      </c>
      <c r="S249">
        <f>'RESUMEN TOTAL'!AB252</f>
        <v>0</v>
      </c>
      <c r="T249">
        <f>'RESUMEN TOTAL'!AC252</f>
        <v>0</v>
      </c>
      <c r="U249">
        <f>'RESUMEN TOTAL'!AD252</f>
        <v>0</v>
      </c>
      <c r="V249">
        <f>'RESUMEN TOTAL'!AE252</f>
        <v>0</v>
      </c>
      <c r="W249">
        <f>'RESUMEN TOTAL'!AF252</f>
        <v>0</v>
      </c>
      <c r="X249">
        <f>'RESUMEN TOTAL'!AG252</f>
        <v>0</v>
      </c>
      <c r="Y249">
        <f>'RESUMEN TOTAL'!AH252</f>
        <v>0</v>
      </c>
      <c r="Z249">
        <f>'RESUMEN TOTAL'!AI252</f>
        <v>0</v>
      </c>
      <c r="AA249">
        <f>'RESUMEN TOTAL'!AJ252</f>
        <v>0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  <c r="AH249">
        <f>'RESUMEN TOTAL'!AQ252</f>
        <v>0</v>
      </c>
      <c r="AI249">
        <f>'RESUMEN TOTAL'!AR252</f>
        <v>0</v>
      </c>
    </row>
    <row r="250" spans="1:35" x14ac:dyDescent="0.25">
      <c r="A250" t="str">
        <f>'RESUMEN TOTAL'!A253</f>
        <v>SAN EMILIO</v>
      </c>
      <c r="B250" t="str">
        <f>'RESUMEN TOTAL'!B253</f>
        <v>SEMI01</v>
      </c>
      <c r="C250" t="str">
        <f>'RESUMEN TOTAL'!D253</f>
        <v>San Martin y Av. del Trabajo</v>
      </c>
      <c r="D250" t="str">
        <f>'RESUMEN TOTAL'!E253</f>
        <v>Domo</v>
      </c>
      <c r="E250" t="str">
        <f>'RESUMEN TOTAL'!F253</f>
        <v>Fibra Optica</v>
      </c>
      <c r="F250">
        <f>'RESUMEN TOTAL'!O253</f>
        <v>0</v>
      </c>
      <c r="G250">
        <f>'RESUMEN TOTAL'!P253</f>
        <v>0</v>
      </c>
      <c r="H250">
        <f>'RESUMEN TOTAL'!Q253</f>
        <v>0</v>
      </c>
      <c r="I250">
        <f>'RESUMEN TOTAL'!R253</f>
        <v>0</v>
      </c>
      <c r="J250">
        <f>'RESUMEN TOTAL'!S253</f>
        <v>0</v>
      </c>
      <c r="K250">
        <f>'RESUMEN TOTAL'!T253</f>
        <v>0</v>
      </c>
      <c r="L250">
        <f>'RESUMEN TOTAL'!U253</f>
        <v>0</v>
      </c>
      <c r="M250">
        <f>'RESUMEN TOTAL'!V253</f>
        <v>0</v>
      </c>
      <c r="N250">
        <f>'RESUMEN TOTAL'!W253</f>
        <v>0</v>
      </c>
      <c r="O250">
        <f>'RESUMEN TOTAL'!X253</f>
        <v>0</v>
      </c>
      <c r="P250">
        <f>'RESUMEN TOTAL'!Y253</f>
        <v>0</v>
      </c>
      <c r="Q250">
        <f>'RESUMEN TOTAL'!Z253</f>
        <v>0</v>
      </c>
      <c r="R250">
        <f>'RESUMEN TOTAL'!AA253</f>
        <v>0</v>
      </c>
      <c r="S250">
        <f>'RESUMEN TOTAL'!AB253</f>
        <v>0</v>
      </c>
      <c r="T250">
        <f>'RESUMEN TOTAL'!AC253</f>
        <v>0</v>
      </c>
      <c r="U250">
        <f>'RESUMEN TOTAL'!AD253</f>
        <v>0</v>
      </c>
      <c r="V250">
        <f>'RESUMEN TOTAL'!AE253</f>
        <v>0</v>
      </c>
      <c r="W250">
        <f>'RESUMEN TOTAL'!AF253</f>
        <v>0</v>
      </c>
      <c r="X250">
        <f>'RESUMEN TOTAL'!AG253</f>
        <v>0</v>
      </c>
      <c r="Y250">
        <f>'RESUMEN TOTAL'!AH253</f>
        <v>0</v>
      </c>
      <c r="Z250">
        <f>'RESUMEN TOTAL'!AI253</f>
        <v>0</v>
      </c>
      <c r="AA250">
        <f>'RESUMEN TOTAL'!AJ253</f>
        <v>0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  <c r="AH250">
        <f>'RESUMEN TOTAL'!AQ253</f>
        <v>0</v>
      </c>
      <c r="AI250">
        <f>'RESUMEN TOTAL'!AR253</f>
        <v>0</v>
      </c>
    </row>
    <row r="251" spans="1:35" x14ac:dyDescent="0.25">
      <c r="A251" t="str">
        <f>'RESUMEN TOTAL'!A254</f>
        <v>SAN EMILIO</v>
      </c>
      <c r="B251" t="str">
        <f>'RESUMEN TOTAL'!B254</f>
        <v>SEMI03 (fija 1)</v>
      </c>
      <c r="C251" t="str">
        <f>'RESUMEN TOTAL'!D254</f>
        <v>GORRITI E/ GALARZA Y LOPE DE VEGA</v>
      </c>
      <c r="D251" t="str">
        <f>'RESUMEN TOTAL'!E254</f>
        <v>Fija</v>
      </c>
      <c r="E251" t="str">
        <f>'RESUMEN TOTAL'!F254</f>
        <v>Fibra Optica</v>
      </c>
      <c r="F251" t="str">
        <f>'RESUMEN TOTAL'!O254</f>
        <v>APAGADO</v>
      </c>
      <c r="G251" t="str">
        <f>'RESUMEN TOTAL'!P254</f>
        <v>APAGADO</v>
      </c>
      <c r="H251" t="str">
        <f>'RESUMEN TOTAL'!Q254</f>
        <v>APAGADO</v>
      </c>
      <c r="I251" t="str">
        <f>'RESUMEN TOTAL'!R254</f>
        <v>APAGADO</v>
      </c>
      <c r="J251" t="str">
        <f>'RESUMEN TOTAL'!S254</f>
        <v>APAGADO</v>
      </c>
      <c r="K251" t="str">
        <f>'RESUMEN TOTAL'!T254</f>
        <v>APAGADO</v>
      </c>
      <c r="L251" t="str">
        <f>'RESUMEN TOTAL'!U254</f>
        <v>APAGADO</v>
      </c>
      <c r="M251">
        <f>'RESUMEN TOTAL'!V254</f>
        <v>0</v>
      </c>
      <c r="N251">
        <f>'RESUMEN TOTAL'!W254</f>
        <v>0</v>
      </c>
      <c r="O251">
        <f>'RESUMEN TOTAL'!X254</f>
        <v>0</v>
      </c>
      <c r="P251">
        <f>'RESUMEN TOTAL'!Y254</f>
        <v>0</v>
      </c>
      <c r="Q251">
        <f>'RESUMEN TOTAL'!Z254</f>
        <v>0</v>
      </c>
      <c r="R251">
        <f>'RESUMEN TOTAL'!AA254</f>
        <v>0</v>
      </c>
      <c r="S251">
        <f>'RESUMEN TOTAL'!AB254</f>
        <v>0</v>
      </c>
      <c r="T251">
        <f>'RESUMEN TOTAL'!AC254</f>
        <v>0</v>
      </c>
      <c r="U251">
        <f>'RESUMEN TOTAL'!AD254</f>
        <v>0</v>
      </c>
      <c r="V251">
        <f>'RESUMEN TOTAL'!AE254</f>
        <v>0</v>
      </c>
      <c r="W251">
        <f>'RESUMEN TOTAL'!AF254</f>
        <v>0</v>
      </c>
      <c r="X251">
        <f>'RESUMEN TOTAL'!AG254</f>
        <v>0</v>
      </c>
      <c r="Y251">
        <f>'RESUMEN TOTAL'!AH254</f>
        <v>0</v>
      </c>
      <c r="Z251">
        <f>'RESUMEN TOTAL'!AI254</f>
        <v>0</v>
      </c>
      <c r="AA251">
        <f>'RESUMEN TOTAL'!AJ254</f>
        <v>0</v>
      </c>
      <c r="AB251">
        <f>'RESUMEN TOTAL'!AK254</f>
        <v>0</v>
      </c>
      <c r="AC251">
        <f>'RESUMEN TOTAL'!AL254</f>
        <v>0</v>
      </c>
      <c r="AD251">
        <f>'RESUMEN TOTAL'!AM254</f>
        <v>0</v>
      </c>
      <c r="AE251">
        <f>'RESUMEN TOTAL'!AN254</f>
        <v>0</v>
      </c>
      <c r="AF251">
        <f>'RESUMEN TOTAL'!AO254</f>
        <v>0</v>
      </c>
      <c r="AG251">
        <f>'RESUMEN TOTAL'!AP254</f>
        <v>0</v>
      </c>
      <c r="AH251">
        <f>'RESUMEN TOTAL'!AQ254</f>
        <v>0</v>
      </c>
      <c r="AI251">
        <f>'RESUMEN TOTAL'!AR254</f>
        <v>0</v>
      </c>
    </row>
    <row r="252" spans="1:35" x14ac:dyDescent="0.25">
      <c r="A252" t="str">
        <f>'RESUMEN TOTAL'!A255</f>
        <v>SAN EMILIO</v>
      </c>
      <c r="B252" t="str">
        <f>'RESUMEN TOTAL'!B255</f>
        <v>SEMI04 (fija 2)</v>
      </c>
      <c r="C252" t="str">
        <f>'RESUMEN TOTAL'!D255</f>
        <v>GORRITI E/ GALARZA Y LOPE DE VEGA</v>
      </c>
      <c r="D252" t="str">
        <f>'RESUMEN TOTAL'!E255</f>
        <v>Fija</v>
      </c>
      <c r="E252" t="str">
        <f>'RESUMEN TOTAL'!F255</f>
        <v>Fibra Optica</v>
      </c>
      <c r="F252" t="str">
        <f>'RESUMEN TOTAL'!O255</f>
        <v>APAGADO</v>
      </c>
      <c r="G252" t="str">
        <f>'RESUMEN TOTAL'!P255</f>
        <v>APAGADO</v>
      </c>
      <c r="H252" t="str">
        <f>'RESUMEN TOTAL'!Q255</f>
        <v>APAGADO</v>
      </c>
      <c r="I252" t="str">
        <f>'RESUMEN TOTAL'!R255</f>
        <v>APAGADO</v>
      </c>
      <c r="J252" t="str">
        <f>'RESUMEN TOTAL'!S255</f>
        <v>APAGADO</v>
      </c>
      <c r="K252" t="str">
        <f>'RESUMEN TOTAL'!T255</f>
        <v>APAGADO</v>
      </c>
      <c r="L252" t="str">
        <f>'RESUMEN TOTAL'!U255</f>
        <v>APAGADO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>
        <f>'RESUMEN TOTAL'!Y255</f>
        <v>0</v>
      </c>
      <c r="Q252">
        <f>'RESUMEN TOTAL'!Z255</f>
        <v>0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>
        <f>'RESUMEN TOTAL'!AH255</f>
        <v>0</v>
      </c>
      <c r="Z252">
        <f>'RESUMEN TOTAL'!AI255</f>
        <v>0</v>
      </c>
      <c r="AA252">
        <f>'RESUMEN TOTAL'!AJ255</f>
        <v>0</v>
      </c>
      <c r="AB252">
        <f>'RESUMEN TOTAL'!AK255</f>
        <v>0</v>
      </c>
      <c r="AC252">
        <f>'RESUMEN TOTAL'!AL255</f>
        <v>0</v>
      </c>
      <c r="AD252">
        <f>'RESUMEN TOTAL'!AM255</f>
        <v>0</v>
      </c>
      <c r="AE252">
        <f>'RESUMEN TOTAL'!AN255</f>
        <v>0</v>
      </c>
      <c r="AF252">
        <f>'RESUMEN TOTAL'!AO255</f>
        <v>0</v>
      </c>
      <c r="AG252">
        <f>'RESUMEN TOTAL'!AP255</f>
        <v>0</v>
      </c>
      <c r="AH252">
        <f>'RESUMEN TOTAL'!AQ255</f>
        <v>0</v>
      </c>
      <c r="AI252">
        <f>'RESUMEN TOTAL'!AR255</f>
        <v>0</v>
      </c>
    </row>
    <row r="253" spans="1:35" x14ac:dyDescent="0.25">
      <c r="A253" t="str">
        <f>'RESUMEN TOTAL'!A256</f>
        <v>SAN EDUARDO</v>
      </c>
      <c r="B253" t="str">
        <f>'RESUMEN TOTAL'!B256</f>
        <v>SIR 02</v>
      </c>
      <c r="C253" t="str">
        <f>'RESUMEN TOTAL'!D256</f>
        <v>Victorino de la Plaza y Argentina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>
        <f>'RESUMEN TOTAL'!Y256</f>
        <v>0</v>
      </c>
      <c r="Q253">
        <f>'RESUMEN TOTAL'!Z256</f>
        <v>0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  <c r="AH253">
        <f>'RESUMEN TOTAL'!AQ256</f>
        <v>0</v>
      </c>
      <c r="AI253">
        <f>'RESUMEN TOTAL'!AR256</f>
        <v>0</v>
      </c>
    </row>
    <row r="254" spans="1:35" x14ac:dyDescent="0.25">
      <c r="A254" t="str">
        <f>'RESUMEN TOTAL'!A257</f>
        <v>SAN EDUARDO</v>
      </c>
      <c r="B254" t="str">
        <f>'RESUMEN TOTAL'!B257</f>
        <v>SIR 03</v>
      </c>
      <c r="C254" t="str">
        <f>'RESUMEN TOTAL'!D257</f>
        <v>MONTES Y LONARDI</v>
      </c>
      <c r="D254" t="str">
        <f>'RESUMEN TOTAL'!E257</f>
        <v>DOMO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>
        <f>'RESUMEN TOTAL'!Y257</f>
        <v>0</v>
      </c>
      <c r="Q254">
        <f>'RESUMEN TOTAL'!Z257</f>
        <v>0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>
        <f>'RESUMEN TOTAL'!AL257</f>
        <v>0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  <c r="AH254">
        <f>'RESUMEN TOTAL'!AQ257</f>
        <v>0</v>
      </c>
      <c r="AI254">
        <f>'RESUMEN TOTAL'!AR257</f>
        <v>0</v>
      </c>
    </row>
    <row r="255" spans="1:35" x14ac:dyDescent="0.25">
      <c r="A255" t="str">
        <f>'RESUMEN TOTAL'!A258</f>
        <v>LA SIRENA</v>
      </c>
      <c r="B255" t="str">
        <f>'RESUMEN TOTAL'!B258</f>
        <v>SIR 04</v>
      </c>
      <c r="C255" t="str">
        <f>'RESUMEN TOTAL'!D258</f>
        <v>AV. MONTEVERDE Y MORAN</v>
      </c>
      <c r="D255" t="str">
        <f>'RESUMEN TOTAL'!E258</f>
        <v>Domo</v>
      </c>
      <c r="E255" t="str">
        <f>'RESUMEN TOTAL'!F258</f>
        <v>Fibra Optica</v>
      </c>
      <c r="F255">
        <f>'RESUMEN TOTAL'!O258</f>
        <v>0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>
        <f>'RESUMEN TOTAL'!Y258</f>
        <v>0</v>
      </c>
      <c r="Q255">
        <f>'RESUMEN TOTAL'!Z258</f>
        <v>0</v>
      </c>
      <c r="R255">
        <f>'RESUMEN TOTAL'!AA258</f>
        <v>0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  <c r="AH255">
        <f>'RESUMEN TOTAL'!AQ258</f>
        <v>0</v>
      </c>
      <c r="AI255">
        <f>'RESUMEN TOTAL'!AR258</f>
        <v>0</v>
      </c>
    </row>
    <row r="256" spans="1:35" x14ac:dyDescent="0.25">
      <c r="A256" t="str">
        <f>'RESUMEN TOTAL'!A259</f>
        <v>LA SIRENA</v>
      </c>
      <c r="B256" t="str">
        <f>'RESUMEN TOTAL'!B259</f>
        <v>SIR 05 (FIJA 01)</v>
      </c>
      <c r="C256" t="str">
        <f>'RESUMEN TOTAL'!D259</f>
        <v>AV. MONTEVERDE Y MORAN</v>
      </c>
      <c r="D256" t="str">
        <f>'RESUMEN TOTAL'!E259</f>
        <v>Fija</v>
      </c>
      <c r="E256" t="str">
        <f>'RESUMEN TOTAL'!F259</f>
        <v>Fibra Optica</v>
      </c>
      <c r="F256">
        <f>'RESUMEN TOTAL'!O259</f>
        <v>0</v>
      </c>
      <c r="G256">
        <f>'RESUMEN TOTAL'!P259</f>
        <v>0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  <c r="AH256">
        <f>'RESUMEN TOTAL'!AQ259</f>
        <v>0</v>
      </c>
      <c r="AI256">
        <f>'RESUMEN TOTAL'!AR259</f>
        <v>0</v>
      </c>
    </row>
    <row r="257" spans="1:35" x14ac:dyDescent="0.25">
      <c r="A257" t="str">
        <f>'RESUMEN TOTAL'!A260</f>
        <v>LA SIRENA</v>
      </c>
      <c r="B257" t="str">
        <f>'RESUMEN TOTAL'!B260</f>
        <v>SIR 06 (FIJA 02)</v>
      </c>
      <c r="C257" t="str">
        <f>'RESUMEN TOTAL'!D260</f>
        <v>AV. MONTEVERDE Y MORAN</v>
      </c>
      <c r="D257" t="str">
        <f>'RESUMEN TOTAL'!E260</f>
        <v>Fija</v>
      </c>
      <c r="E257" t="str">
        <f>'RESUMEN TOTAL'!F260</f>
        <v>Fibra Optica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>
        <f>'RESUMEN TOTAL'!AE260</f>
        <v>0</v>
      </c>
      <c r="W257">
        <f>'RESUMEN TOTAL'!AF260</f>
        <v>0</v>
      </c>
      <c r="X257">
        <f>'RESUMEN TOTAL'!AG260</f>
        <v>0</v>
      </c>
      <c r="Y257">
        <f>'RESUMEN TOTAL'!AH260</f>
        <v>0</v>
      </c>
      <c r="Z257">
        <f>'RESUMEN TOTAL'!AI260</f>
        <v>0</v>
      </c>
      <c r="AA257">
        <f>'RESUMEN TOTAL'!AJ260</f>
        <v>0</v>
      </c>
      <c r="AB257">
        <f>'RESUMEN TOTAL'!AK260</f>
        <v>0</v>
      </c>
      <c r="AC257">
        <f>'RESUMEN TOTAL'!AL260</f>
        <v>0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  <c r="AH257">
        <f>'RESUMEN TOTAL'!AQ260</f>
        <v>0</v>
      </c>
      <c r="AI257">
        <f>'RESUMEN TOTAL'!AR260</f>
        <v>0</v>
      </c>
    </row>
    <row r="258" spans="1:35" x14ac:dyDescent="0.25">
      <c r="A258" t="str">
        <f>'RESUMEN TOTAL'!A261</f>
        <v>VILLA AURORA</v>
      </c>
      <c r="B258" t="str">
        <f>'RESUMEN TOTAL'!B261</f>
        <v>SIR 13</v>
      </c>
      <c r="C258" t="str">
        <f>'RESUMEN TOTAL'!D261</f>
        <v>AV MONTEVERDE Y URIBURU</v>
      </c>
      <c r="D258" t="str">
        <f>'RESUMEN TOTAL'!E261</f>
        <v>Domo</v>
      </c>
      <c r="E258" t="str">
        <f>'RESUMEN TOTAL'!F261</f>
        <v>Fibra Optica</v>
      </c>
      <c r="F258">
        <f>'RESUMEN TOTAL'!O261</f>
        <v>0</v>
      </c>
      <c r="G258">
        <f>'RESUMEN TOTAL'!P261</f>
        <v>0</v>
      </c>
      <c r="H258">
        <f>'RESUMEN TOTAL'!Q261</f>
        <v>0</v>
      </c>
      <c r="I258">
        <f>'RESUMEN TOTAL'!R261</f>
        <v>0</v>
      </c>
      <c r="J258">
        <f>'RESUMEN TOTAL'!S261</f>
        <v>0</v>
      </c>
      <c r="K258">
        <f>'RESUMEN TOTAL'!T261</f>
        <v>0</v>
      </c>
      <c r="L258">
        <f>'RESUMEN TOTAL'!U261</f>
        <v>0</v>
      </c>
      <c r="M258">
        <f>'RESUMEN TOTAL'!V261</f>
        <v>0</v>
      </c>
      <c r="N258">
        <f>'RESUMEN TOTAL'!W261</f>
        <v>0</v>
      </c>
      <c r="O258">
        <f>'RESUMEN TOTAL'!X261</f>
        <v>0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>
        <f>'RESUMEN TOTAL'!AC261</f>
        <v>0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  <c r="AH258">
        <f>'RESUMEN TOTAL'!AQ261</f>
        <v>0</v>
      </c>
      <c r="AI258">
        <f>'RESUMEN TOTAL'!AR261</f>
        <v>0</v>
      </c>
    </row>
    <row r="259" spans="1:35" x14ac:dyDescent="0.25">
      <c r="A259" t="str">
        <f>'RESUMEN TOTAL'!A262</f>
        <v>LA SIRENA</v>
      </c>
      <c r="B259" t="str">
        <f>'RESUMEN TOTAL'!B262</f>
        <v>SIR 14</v>
      </c>
      <c r="C259" t="str">
        <f>'RESUMEN TOTAL'!D262</f>
        <v>MANUEL IGLESIAS Y PEDRAZA</v>
      </c>
      <c r="D259" t="str">
        <f>'RESUMEN TOTAL'!E262</f>
        <v>Domo</v>
      </c>
      <c r="E259" t="str">
        <f>'RESUMEN TOTAL'!F262</f>
        <v>Fibra Optica</v>
      </c>
      <c r="F259">
        <f>'RESUMEN TOTAL'!O262</f>
        <v>0</v>
      </c>
      <c r="G259" t="str">
        <f>'RESUMEN TOTAL'!P262</f>
        <v>APAGADO</v>
      </c>
      <c r="H259">
        <f>'RESUMEN TOTAL'!Q262</f>
        <v>0</v>
      </c>
      <c r="I259">
        <f>'RESUMEN TOTAL'!R262</f>
        <v>0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>
        <f>'RESUMEN TOTAL'!Y262</f>
        <v>0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>
        <f>'RESUMEN TOTAL'!AD262</f>
        <v>0</v>
      </c>
      <c r="V259">
        <f>'RESUMEN TOTAL'!AE262</f>
        <v>0</v>
      </c>
      <c r="W259">
        <f>'RESUMEN TOTAL'!AF262</f>
        <v>0</v>
      </c>
      <c r="X259">
        <f>'RESUMEN TOTAL'!AG262</f>
        <v>0</v>
      </c>
      <c r="Y259">
        <f>'RESUMEN TOTAL'!AH262</f>
        <v>0</v>
      </c>
      <c r="Z259">
        <f>'RESUMEN TOTAL'!AI262</f>
        <v>0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  <c r="AH259">
        <f>'RESUMEN TOTAL'!AQ262</f>
        <v>0</v>
      </c>
      <c r="AI259">
        <f>'RESUMEN TOTAL'!AR262</f>
        <v>0</v>
      </c>
    </row>
    <row r="260" spans="1:35" x14ac:dyDescent="0.25">
      <c r="A260" t="str">
        <f>'RESUMEN TOTAL'!A263</f>
        <v>LA SIRENA</v>
      </c>
      <c r="B260" t="str">
        <f>'RESUMEN TOTAL'!B263</f>
        <v>SIR 15</v>
      </c>
      <c r="C260" t="str">
        <f>'RESUMEN TOTAL'!D263</f>
        <v>Monteverde y Azara</v>
      </c>
      <c r="D260" t="str">
        <f>'RESUMEN TOTAL'!E263</f>
        <v>Domo</v>
      </c>
      <c r="E260" t="str">
        <f>'RESUMEN TOTAL'!F263</f>
        <v>Fibra Optica</v>
      </c>
      <c r="F260">
        <f>'RESUMEN TOTAL'!O263</f>
        <v>0</v>
      </c>
      <c r="G260">
        <f>'RESUMEN TOTAL'!P263</f>
        <v>0</v>
      </c>
      <c r="H260">
        <f>'RESUMEN TOTAL'!Q263</f>
        <v>0</v>
      </c>
      <c r="I260">
        <f>'RESUMEN TOTAL'!R263</f>
        <v>0</v>
      </c>
      <c r="J260">
        <f>'RESUMEN TOTAL'!S263</f>
        <v>0</v>
      </c>
      <c r="K260">
        <f>'RESUMEN TOTAL'!T263</f>
        <v>0</v>
      </c>
      <c r="L260">
        <f>'RESUMEN TOTAL'!U263</f>
        <v>0</v>
      </c>
      <c r="M260">
        <f>'RESUMEN TOTAL'!V263</f>
        <v>0</v>
      </c>
      <c r="N260">
        <f>'RESUMEN TOTAL'!W263</f>
        <v>0</v>
      </c>
      <c r="O260">
        <f>'RESUMEN TOTAL'!X263</f>
        <v>0</v>
      </c>
      <c r="P260">
        <f>'RESUMEN TOTAL'!Y263</f>
        <v>0</v>
      </c>
      <c r="Q260">
        <f>'RESUMEN TOTAL'!Z263</f>
        <v>0</v>
      </c>
      <c r="R260">
        <f>'RESUMEN TOTAL'!AA263</f>
        <v>0</v>
      </c>
      <c r="S260">
        <f>'RESUMEN TOTAL'!AB263</f>
        <v>0</v>
      </c>
      <c r="T260">
        <f>'RESUMEN TOTAL'!AC263</f>
        <v>0</v>
      </c>
      <c r="U260">
        <f>'RESUMEN TOTAL'!AD263</f>
        <v>0</v>
      </c>
      <c r="V260">
        <f>'RESUMEN TOTAL'!AE263</f>
        <v>0</v>
      </c>
      <c r="W260">
        <f>'RESUMEN TOTAL'!AF263</f>
        <v>0</v>
      </c>
      <c r="X260">
        <f>'RESUMEN TOTAL'!AG263</f>
        <v>0</v>
      </c>
      <c r="Y260">
        <f>'RESUMEN TOTAL'!AH263</f>
        <v>0</v>
      </c>
      <c r="Z260">
        <f>'RESUMEN TOTAL'!AI263</f>
        <v>0</v>
      </c>
      <c r="AA260">
        <f>'RESUMEN TOTAL'!AJ263</f>
        <v>0</v>
      </c>
      <c r="AB260">
        <f>'RESUMEN TOTAL'!AK263</f>
        <v>0</v>
      </c>
      <c r="AC260">
        <f>'RESUMEN TOTAL'!AL263</f>
        <v>0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  <c r="AH260">
        <f>'RESUMEN TOTAL'!AQ263</f>
        <v>0</v>
      </c>
      <c r="AI260">
        <f>'RESUMEN TOTAL'!AR263</f>
        <v>0</v>
      </c>
    </row>
    <row r="261" spans="1:35" x14ac:dyDescent="0.25">
      <c r="A261" t="str">
        <f>'RESUMEN TOTAL'!A264</f>
        <v>LA SIRENA</v>
      </c>
      <c r="B261" t="str">
        <f>'RESUMEN TOTAL'!B264</f>
        <v>SIR01</v>
      </c>
      <c r="C261" t="str">
        <f>'RESUMEN TOTAL'!D264</f>
        <v>Moran y Calle 14</v>
      </c>
      <c r="D261" t="str">
        <f>'RESUMEN TOTAL'!E264</f>
        <v>DOMO</v>
      </c>
      <c r="E261" t="str">
        <f>'RESUMEN TOTAL'!F264</f>
        <v>Radio</v>
      </c>
      <c r="F261">
        <f>'RESUMEN TOTAL'!O264</f>
        <v>0</v>
      </c>
      <c r="G261">
        <f>'RESUMEN TOTAL'!P264</f>
        <v>0</v>
      </c>
      <c r="H261">
        <f>'RESUMEN TOTAL'!Q264</f>
        <v>0</v>
      </c>
      <c r="I261">
        <f>'RESUMEN TOTAL'!R264</f>
        <v>0</v>
      </c>
      <c r="J261">
        <f>'RESUMEN TOTAL'!S264</f>
        <v>0</v>
      </c>
      <c r="K261">
        <f>'RESUMEN TOTAL'!T264</f>
        <v>0</v>
      </c>
      <c r="L261">
        <f>'RESUMEN TOTAL'!U264</f>
        <v>0</v>
      </c>
      <c r="M261">
        <f>'RESUMEN TOTAL'!V264</f>
        <v>0</v>
      </c>
      <c r="N261">
        <f>'RESUMEN TOTAL'!W264</f>
        <v>0</v>
      </c>
      <c r="O261">
        <f>'RESUMEN TOTAL'!X264</f>
        <v>0</v>
      </c>
      <c r="P261">
        <f>'RESUMEN TOTAL'!Y264</f>
        <v>0</v>
      </c>
      <c r="Q261">
        <f>'RESUMEN TOTAL'!Z264</f>
        <v>0</v>
      </c>
      <c r="R261">
        <f>'RESUMEN TOTAL'!AA264</f>
        <v>0</v>
      </c>
      <c r="S261">
        <f>'RESUMEN TOTAL'!AB264</f>
        <v>0</v>
      </c>
      <c r="T261">
        <f>'RESUMEN TOTAL'!AC264</f>
        <v>0</v>
      </c>
      <c r="U261">
        <f>'RESUMEN TOTAL'!AD264</f>
        <v>0</v>
      </c>
      <c r="V261">
        <f>'RESUMEN TOTAL'!AE264</f>
        <v>0</v>
      </c>
      <c r="W261">
        <f>'RESUMEN TOTAL'!AF264</f>
        <v>0</v>
      </c>
      <c r="X261">
        <f>'RESUMEN TOTAL'!AG264</f>
        <v>0</v>
      </c>
      <c r="Y261">
        <f>'RESUMEN TOTAL'!AH264</f>
        <v>0</v>
      </c>
      <c r="Z261">
        <f>'RESUMEN TOTAL'!AI264</f>
        <v>0</v>
      </c>
      <c r="AA261">
        <f>'RESUMEN TOTAL'!AJ264</f>
        <v>0</v>
      </c>
      <c r="AB261">
        <f>'RESUMEN TOTAL'!AK264</f>
        <v>0</v>
      </c>
      <c r="AC261">
        <f>'RESUMEN TOTAL'!AL264</f>
        <v>0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  <c r="AH261">
        <f>'RESUMEN TOTAL'!AQ264</f>
        <v>0</v>
      </c>
      <c r="AI261">
        <f>'RESUMEN TOTAL'!AR264</f>
        <v>0</v>
      </c>
    </row>
    <row r="262" spans="1:35" x14ac:dyDescent="0.25">
      <c r="A262" t="str">
        <f>'RESUMEN TOTAL'!A265</f>
        <v>VILLA AURORA</v>
      </c>
      <c r="B262" t="str">
        <f>'RESUMEN TOTAL'!B265</f>
        <v>SIR07 (fija 1)</v>
      </c>
      <c r="C262" t="str">
        <f>'RESUMEN TOTAL'!D265</f>
        <v>MONTEVERDE Y URIBURU</v>
      </c>
      <c r="D262" t="str">
        <f>'RESUMEN TOTAL'!E265</f>
        <v>Fija</v>
      </c>
      <c r="E262" t="str">
        <f>'RESUMEN TOTAL'!F265</f>
        <v>Fibra Optica</v>
      </c>
      <c r="F262">
        <f>'RESUMEN TOTAL'!O265</f>
        <v>0</v>
      </c>
      <c r="G262">
        <f>'RESUMEN TOTAL'!P265</f>
        <v>0</v>
      </c>
      <c r="H262">
        <f>'RESUMEN TOTAL'!Q265</f>
        <v>0</v>
      </c>
      <c r="I262">
        <f>'RESUMEN TOTAL'!R265</f>
        <v>0</v>
      </c>
      <c r="J262">
        <f>'RESUMEN TOTAL'!S265</f>
        <v>0</v>
      </c>
      <c r="K262">
        <f>'RESUMEN TOTAL'!T265</f>
        <v>0</v>
      </c>
      <c r="L262">
        <f>'RESUMEN TOTAL'!U265</f>
        <v>0</v>
      </c>
      <c r="M262">
        <f>'RESUMEN TOTAL'!V265</f>
        <v>0</v>
      </c>
      <c r="N262">
        <f>'RESUMEN TOTAL'!W265</f>
        <v>0</v>
      </c>
      <c r="O262">
        <f>'RESUMEN TOTAL'!X265</f>
        <v>0</v>
      </c>
      <c r="P262">
        <f>'RESUMEN TOTAL'!Y265</f>
        <v>0</v>
      </c>
      <c r="Q262">
        <f>'RESUMEN TOTAL'!Z265</f>
        <v>0</v>
      </c>
      <c r="R262">
        <f>'RESUMEN TOTAL'!AA265</f>
        <v>0</v>
      </c>
      <c r="S262">
        <f>'RESUMEN TOTAL'!AB265</f>
        <v>0</v>
      </c>
      <c r="T262">
        <f>'RESUMEN TOTAL'!AC265</f>
        <v>0</v>
      </c>
      <c r="U262">
        <f>'RESUMEN TOTAL'!AD265</f>
        <v>0</v>
      </c>
      <c r="V262">
        <f>'RESUMEN TOTAL'!AE265</f>
        <v>0</v>
      </c>
      <c r="W262">
        <f>'RESUMEN TOTAL'!AF265</f>
        <v>0</v>
      </c>
      <c r="X262">
        <f>'RESUMEN TOTAL'!AG265</f>
        <v>0</v>
      </c>
      <c r="Y262">
        <f>'RESUMEN TOTAL'!AH265</f>
        <v>0</v>
      </c>
      <c r="Z262">
        <f>'RESUMEN TOTAL'!AI265</f>
        <v>0</v>
      </c>
      <c r="AA262">
        <f>'RESUMEN TOTAL'!AJ265</f>
        <v>0</v>
      </c>
      <c r="AB262">
        <f>'RESUMEN TOTAL'!AK265</f>
        <v>0</v>
      </c>
      <c r="AC262">
        <f>'RESUMEN TOTAL'!AL265</f>
        <v>0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  <c r="AH262">
        <f>'RESUMEN TOTAL'!AQ265</f>
        <v>0</v>
      </c>
      <c r="AI262">
        <f>'RESUMEN TOTAL'!AR265</f>
        <v>0</v>
      </c>
    </row>
    <row r="263" spans="1:35" x14ac:dyDescent="0.25">
      <c r="A263" t="str">
        <f>'RESUMEN TOTAL'!A266</f>
        <v>VILLA AURORA</v>
      </c>
      <c r="B263" t="str">
        <f>'RESUMEN TOTAL'!B266</f>
        <v>SIR08 (fija 2)</v>
      </c>
      <c r="C263" t="str">
        <f>'RESUMEN TOTAL'!D266</f>
        <v>MONTEVERDE Y URIBURU</v>
      </c>
      <c r="D263" t="str">
        <f>'RESUMEN TOTAL'!E266</f>
        <v>Fija</v>
      </c>
      <c r="E263" t="str">
        <f>'RESUMEN TOTAL'!F266</f>
        <v>Fibra Optica</v>
      </c>
      <c r="F263">
        <f>'RESUMEN TOTAL'!O266</f>
        <v>0</v>
      </c>
      <c r="G263">
        <f>'RESUMEN TOTAL'!P266</f>
        <v>0</v>
      </c>
      <c r="H263">
        <f>'RESUMEN TOTAL'!Q266</f>
        <v>0</v>
      </c>
      <c r="I263">
        <f>'RESUMEN TOTAL'!R266</f>
        <v>0</v>
      </c>
      <c r="J263">
        <f>'RESUMEN TOTAL'!S266</f>
        <v>0</v>
      </c>
      <c r="K263">
        <f>'RESUMEN TOTAL'!T266</f>
        <v>0</v>
      </c>
      <c r="L263">
        <f>'RESUMEN TOTAL'!U266</f>
        <v>0</v>
      </c>
      <c r="M263">
        <f>'RESUMEN TOTAL'!V266</f>
        <v>0</v>
      </c>
      <c r="N263">
        <f>'RESUMEN TOTAL'!W266</f>
        <v>0</v>
      </c>
      <c r="O263">
        <f>'RESUMEN TOTAL'!X266</f>
        <v>0</v>
      </c>
      <c r="P263">
        <f>'RESUMEN TOTAL'!Y266</f>
        <v>0</v>
      </c>
      <c r="Q263">
        <f>'RESUMEN TOTAL'!Z266</f>
        <v>0</v>
      </c>
      <c r="R263">
        <f>'RESUMEN TOTAL'!AA266</f>
        <v>0</v>
      </c>
      <c r="S263">
        <f>'RESUMEN TOTAL'!AB266</f>
        <v>0</v>
      </c>
      <c r="T263">
        <f>'RESUMEN TOTAL'!AC266</f>
        <v>0</v>
      </c>
      <c r="U263">
        <f>'RESUMEN TOTAL'!AD266</f>
        <v>0</v>
      </c>
      <c r="V263">
        <f>'RESUMEN TOTAL'!AE266</f>
        <v>0</v>
      </c>
      <c r="W263">
        <f>'RESUMEN TOTAL'!AF266</f>
        <v>0</v>
      </c>
      <c r="X263">
        <f>'RESUMEN TOTAL'!AG266</f>
        <v>0</v>
      </c>
      <c r="Y263">
        <f>'RESUMEN TOTAL'!AH266</f>
        <v>0</v>
      </c>
      <c r="Z263">
        <f>'RESUMEN TOTAL'!AI266</f>
        <v>0</v>
      </c>
      <c r="AA263">
        <f>'RESUMEN TOTAL'!AJ266</f>
        <v>0</v>
      </c>
      <c r="AB263">
        <f>'RESUMEN TOTAL'!AK266</f>
        <v>0</v>
      </c>
      <c r="AC263">
        <f>'RESUMEN TOTAL'!AL266</f>
        <v>0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  <c r="AH263">
        <f>'RESUMEN TOTAL'!AQ266</f>
        <v>0</v>
      </c>
      <c r="AI263">
        <f>'RESUMEN TOTAL'!AR266</f>
        <v>0</v>
      </c>
    </row>
    <row r="264" spans="1:35" x14ac:dyDescent="0.25">
      <c r="A264" t="str">
        <f>'RESUMEN TOTAL'!A267</f>
        <v>LA SIRENA</v>
      </c>
      <c r="B264" t="str">
        <f>'RESUMEN TOTAL'!B267</f>
        <v>SIR09 (fija 1)</v>
      </c>
      <c r="C264" t="str">
        <f>'RESUMEN TOTAL'!D267</f>
        <v>GUIDO SPANO Y MORAN</v>
      </c>
      <c r="D264" t="str">
        <f>'RESUMEN TOTAL'!E267</f>
        <v>Fija</v>
      </c>
      <c r="E264" t="str">
        <f>'RESUMEN TOTAL'!F267</f>
        <v>Fibra Optica</v>
      </c>
      <c r="F264">
        <f>'RESUMEN TOTAL'!O267</f>
        <v>0</v>
      </c>
      <c r="G264" t="str">
        <f>'RESUMEN TOTAL'!P267</f>
        <v>APAGADO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  <c r="AH264">
        <f>'RESUMEN TOTAL'!AQ267</f>
        <v>0</v>
      </c>
      <c r="AI264">
        <f>'RESUMEN TOTAL'!AR267</f>
        <v>0</v>
      </c>
    </row>
    <row r="265" spans="1:35" x14ac:dyDescent="0.25">
      <c r="A265" t="str">
        <f>'RESUMEN TOTAL'!A268</f>
        <v>LA SIRENA</v>
      </c>
      <c r="B265" t="str">
        <f>'RESUMEN TOTAL'!B268</f>
        <v>SIR10 (fija 2)</v>
      </c>
      <c r="C265" t="str">
        <f>'RESUMEN TOTAL'!D268</f>
        <v>GUIDO SPANO Y MORAN</v>
      </c>
      <c r="D265" t="str">
        <f>'RESUMEN TOTAL'!E268</f>
        <v>Fija</v>
      </c>
      <c r="E265" t="str">
        <f>'RESUMEN TOTAL'!F268</f>
        <v>Fibra Optica</v>
      </c>
      <c r="F265">
        <f>'RESUMEN TOTAL'!O268</f>
        <v>0</v>
      </c>
      <c r="G265" t="str">
        <f>'RESUMEN TOTAL'!P268</f>
        <v>APAGADO</v>
      </c>
      <c r="H265">
        <f>'RESUMEN TOTAL'!Q268</f>
        <v>0</v>
      </c>
      <c r="I265">
        <f>'RESUMEN TOTAL'!R268</f>
        <v>0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  <c r="AH265">
        <f>'RESUMEN TOTAL'!AQ268</f>
        <v>0</v>
      </c>
      <c r="AI265">
        <f>'RESUMEN TOTAL'!AR268</f>
        <v>0</v>
      </c>
    </row>
    <row r="266" spans="1:35" x14ac:dyDescent="0.25">
      <c r="A266" t="str">
        <f>'RESUMEN TOTAL'!A269</f>
        <v>LA SIRENA</v>
      </c>
      <c r="B266" t="str">
        <f>'RESUMEN TOTAL'!B269</f>
        <v>SIR11 (fija 1)</v>
      </c>
      <c r="C266" t="str">
        <f>'RESUMEN TOTAL'!D269</f>
        <v>LARREA Y GUARDIA NACIONAL</v>
      </c>
      <c r="D266" t="str">
        <f>'RESUMEN TOTAL'!E269</f>
        <v>Fija</v>
      </c>
      <c r="E266" t="str">
        <f>'RESUMEN TOTAL'!F269</f>
        <v>Fibra Optica</v>
      </c>
      <c r="F266">
        <f>'RESUMEN TOTAL'!O269</f>
        <v>0</v>
      </c>
      <c r="G266" t="str">
        <f>'RESUMEN TOTAL'!P269</f>
        <v>APAGADO</v>
      </c>
      <c r="H266">
        <f>'RESUMEN TOTAL'!Q269</f>
        <v>0</v>
      </c>
      <c r="I266">
        <f>'RESUMEN TOTAL'!R269</f>
        <v>0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  <c r="AH266">
        <f>'RESUMEN TOTAL'!AQ269</f>
        <v>0</v>
      </c>
      <c r="AI266">
        <f>'RESUMEN TOTAL'!AR269</f>
        <v>0</v>
      </c>
    </row>
    <row r="267" spans="1:35" x14ac:dyDescent="0.25">
      <c r="A267" t="str">
        <f>'RESUMEN TOTAL'!A270</f>
        <v>LA SIRENA</v>
      </c>
      <c r="B267" t="str">
        <f>'RESUMEN TOTAL'!B270</f>
        <v>SIR12 (fija 2)</v>
      </c>
      <c r="C267" t="str">
        <f>'RESUMEN TOTAL'!D270</f>
        <v>LARREA Y GUARDIA NACIONAL</v>
      </c>
      <c r="D267" t="str">
        <f>'RESUMEN TOTAL'!E270</f>
        <v>Fija</v>
      </c>
      <c r="E267" t="str">
        <f>'RESUMEN TOTAL'!F270</f>
        <v>Fibra Optica</v>
      </c>
      <c r="F267">
        <f>'RESUMEN TOTAL'!O270</f>
        <v>0</v>
      </c>
      <c r="G267" t="str">
        <f>'RESUMEN TOTAL'!P270</f>
        <v>APAGADO</v>
      </c>
      <c r="H267">
        <f>'RESUMEN TOTAL'!Q270</f>
        <v>0</v>
      </c>
      <c r="I267">
        <f>'RESUMEN TOTAL'!R270</f>
        <v>0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>
        <f>'RESUMEN TOTAL'!AG270</f>
        <v>0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  <c r="AH267">
        <f>'RESUMEN TOTAL'!AQ270</f>
        <v>0</v>
      </c>
      <c r="AI267">
        <f>'RESUMEN TOTAL'!AR270</f>
        <v>0</v>
      </c>
    </row>
    <row r="268" spans="1:35" x14ac:dyDescent="0.25">
      <c r="A268" t="str">
        <f>'RESUMEN TOTAL'!A271</f>
        <v>SAN JORGE</v>
      </c>
      <c r="B268" t="str">
        <f>'RESUMEN TOTAL'!B271</f>
        <v>SJO 03</v>
      </c>
      <c r="C268" t="str">
        <f>'RESUMEN TOTAL'!D271</f>
        <v>517 Y 580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>
        <f>'RESUMEN TOTAL'!AL271</f>
        <v>0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  <c r="AH268">
        <f>'RESUMEN TOTAL'!AQ271</f>
        <v>0</v>
      </c>
      <c r="AI268">
        <f>'RESUMEN TOTAL'!AR271</f>
        <v>0</v>
      </c>
    </row>
    <row r="269" spans="1:35" x14ac:dyDescent="0.25">
      <c r="A269" t="str">
        <f>'RESUMEN TOTAL'!A272</f>
        <v>SAN JORGE</v>
      </c>
      <c r="B269" t="str">
        <f>'RESUMEN TOTAL'!B272</f>
        <v>SJO 04</v>
      </c>
      <c r="C269" t="str">
        <f>'RESUMEN TOTAL'!D272</f>
        <v>552 Y 519</v>
      </c>
      <c r="D269" t="str">
        <f>'RESUMEN TOTAL'!E272</f>
        <v>DOMO</v>
      </c>
      <c r="E269" t="str">
        <f>'RESUMEN TOTAL'!F272</f>
        <v>Radio</v>
      </c>
      <c r="F269">
        <f>'RESUMEN TOTAL'!O272</f>
        <v>0</v>
      </c>
      <c r="G269">
        <f>'RESUMEN TOTAL'!P272</f>
        <v>0</v>
      </c>
      <c r="H269">
        <f>'RESUMEN TOTAL'!Q272</f>
        <v>0</v>
      </c>
      <c r="I269">
        <f>'RESUMEN TOTAL'!R272</f>
        <v>0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>
        <f>'RESUMEN TOTAL'!X272</f>
        <v>0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>
        <f>'RESUMEN TOTAL'!AH272</f>
        <v>0</v>
      </c>
      <c r="Z269">
        <f>'RESUMEN TOTAL'!AI272</f>
        <v>0</v>
      </c>
      <c r="AA269">
        <f>'RESUMEN TOTAL'!AJ272</f>
        <v>0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  <c r="AH269">
        <f>'RESUMEN TOTAL'!AQ272</f>
        <v>0</v>
      </c>
      <c r="AI269">
        <f>'RESUMEN TOTAL'!AR272</f>
        <v>0</v>
      </c>
    </row>
    <row r="270" spans="1:35" x14ac:dyDescent="0.25">
      <c r="A270" t="str">
        <f>'RESUMEN TOTAL'!A273</f>
        <v>SAN JORGE</v>
      </c>
      <c r="B270" t="str">
        <f>'RESUMEN TOTAL'!B273</f>
        <v>SJO 09 (FIJA 1)</v>
      </c>
      <c r="C270" t="str">
        <f>'RESUMEN TOTAL'!D273</f>
        <v>515 Y 566</v>
      </c>
      <c r="D270" t="str">
        <f>'RESUMEN TOTAL'!E273</f>
        <v>Fija</v>
      </c>
      <c r="E270" t="str">
        <f>'RESUMEN TOTAL'!F273</f>
        <v>Radio</v>
      </c>
      <c r="F270">
        <f>'RESUMEN TOTAL'!O273</f>
        <v>0</v>
      </c>
      <c r="G270">
        <f>'RESUMEN TOTAL'!P273</f>
        <v>0</v>
      </c>
      <c r="H270">
        <f>'RESUMEN TOTAL'!Q273</f>
        <v>0</v>
      </c>
      <c r="I270">
        <f>'RESUMEN TOTAL'!R273</f>
        <v>0</v>
      </c>
      <c r="J270">
        <f>'RESUMEN TOTAL'!S273</f>
        <v>0</v>
      </c>
      <c r="K270">
        <f>'RESUMEN TOTAL'!T273</f>
        <v>0</v>
      </c>
      <c r="L270">
        <f>'RESUMEN TOTAL'!U273</f>
        <v>0</v>
      </c>
      <c r="M270">
        <f>'RESUMEN TOTAL'!V273</f>
        <v>0</v>
      </c>
      <c r="N270">
        <f>'RESUMEN TOTAL'!W273</f>
        <v>0</v>
      </c>
      <c r="O270">
        <f>'RESUMEN TOTAL'!X273</f>
        <v>0</v>
      </c>
      <c r="P270">
        <f>'RESUMEN TOTAL'!Y273</f>
        <v>0</v>
      </c>
      <c r="Q270">
        <f>'RESUMEN TOTAL'!Z273</f>
        <v>0</v>
      </c>
      <c r="R270">
        <f>'RESUMEN TOTAL'!AA273</f>
        <v>0</v>
      </c>
      <c r="S270">
        <f>'RESUMEN TOTAL'!AB273</f>
        <v>0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  <c r="AH270">
        <f>'RESUMEN TOTAL'!AQ273</f>
        <v>0</v>
      </c>
      <c r="AI270">
        <f>'RESUMEN TOTAL'!AR273</f>
        <v>0</v>
      </c>
    </row>
    <row r="271" spans="1:35" x14ac:dyDescent="0.25">
      <c r="A271" t="str">
        <f>'RESUMEN TOTAL'!A274</f>
        <v>SAN JORGE</v>
      </c>
      <c r="B271" t="str">
        <f>'RESUMEN TOTAL'!B274</f>
        <v>SJO 10 (FIJA 2)</v>
      </c>
      <c r="C271" t="str">
        <f>'RESUMEN TOTAL'!D274</f>
        <v>515 Y 566</v>
      </c>
      <c r="D271" t="str">
        <f>'RESUMEN TOTAL'!E274</f>
        <v>Fija</v>
      </c>
      <c r="E271" t="str">
        <f>'RESUMEN TOTAL'!F274</f>
        <v>Radio</v>
      </c>
      <c r="F271">
        <f>'RESUMEN TOTAL'!O274</f>
        <v>0</v>
      </c>
      <c r="G271">
        <f>'RESUMEN TOTAL'!P274</f>
        <v>0</v>
      </c>
      <c r="H271">
        <f>'RESUMEN TOTAL'!Q274</f>
        <v>0</v>
      </c>
      <c r="I271">
        <f>'RESUMEN TOTAL'!R274</f>
        <v>0</v>
      </c>
      <c r="J271">
        <f>'RESUMEN TOTAL'!S274</f>
        <v>0</v>
      </c>
      <c r="K271">
        <f>'RESUMEN TOTAL'!T274</f>
        <v>0</v>
      </c>
      <c r="L271">
        <f>'RESUMEN TOTAL'!U274</f>
        <v>0</v>
      </c>
      <c r="M271">
        <f>'RESUMEN TOTAL'!V274</f>
        <v>0</v>
      </c>
      <c r="N271">
        <f>'RESUMEN TOTAL'!W274</f>
        <v>0</v>
      </c>
      <c r="O271">
        <f>'RESUMEN TOTAL'!X274</f>
        <v>0</v>
      </c>
      <c r="P271">
        <f>'RESUMEN TOTAL'!Y274</f>
        <v>0</v>
      </c>
      <c r="Q271">
        <f>'RESUMEN TOTAL'!Z274</f>
        <v>0</v>
      </c>
      <c r="R271">
        <f>'RESUMEN TOTAL'!AA274</f>
        <v>0</v>
      </c>
      <c r="S271">
        <f>'RESUMEN TOTAL'!AB274</f>
        <v>0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  <c r="AH271">
        <f>'RESUMEN TOTAL'!AQ274</f>
        <v>0</v>
      </c>
      <c r="AI271">
        <f>'RESUMEN TOTAL'!AR274</f>
        <v>0</v>
      </c>
    </row>
    <row r="272" spans="1:35" x14ac:dyDescent="0.25">
      <c r="A272" t="str">
        <f>'RESUMEN TOTAL'!A275</f>
        <v>SAN JORGE</v>
      </c>
      <c r="B272" t="str">
        <f>'RESUMEN TOTAL'!B275</f>
        <v>SJO01</v>
      </c>
      <c r="C272" t="str">
        <f>'RESUMEN TOTAL'!D275</f>
        <v>Calle 554 y 527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>
        <f>'RESUMEN TOTAL'!U275</f>
        <v>0</v>
      </c>
      <c r="M272">
        <f>'RESUMEN TOTAL'!V275</f>
        <v>0</v>
      </c>
      <c r="N272">
        <f>'RESUMEN TOTAL'!W275</f>
        <v>0</v>
      </c>
      <c r="O272">
        <f>'RESUMEN TOTAL'!X275</f>
        <v>0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>
        <f>'RESUMEN TOTAL'!AL275</f>
        <v>0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  <c r="AH272">
        <f>'RESUMEN TOTAL'!AQ275</f>
        <v>0</v>
      </c>
      <c r="AI272">
        <f>'RESUMEN TOTAL'!AR275</f>
        <v>0</v>
      </c>
    </row>
    <row r="273" spans="1:35" x14ac:dyDescent="0.25">
      <c r="A273" t="str">
        <f>'RESUMEN TOTAL'!A276</f>
        <v>SAN JORGE</v>
      </c>
      <c r="B273" t="str">
        <f>'RESUMEN TOTAL'!B276</f>
        <v>SJO02</v>
      </c>
      <c r="C273" t="str">
        <f>'RESUMEN TOTAL'!D276</f>
        <v>Calle 554 y 511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  <c r="AH273">
        <f>'RESUMEN TOTAL'!AQ276</f>
        <v>0</v>
      </c>
      <c r="AI273">
        <f>'RESUMEN TOTAL'!AR276</f>
        <v>0</v>
      </c>
    </row>
    <row r="274" spans="1:35" x14ac:dyDescent="0.25">
      <c r="A274" t="str">
        <f>'RESUMEN TOTAL'!A277</f>
        <v>SAN JORGE</v>
      </c>
      <c r="B274" t="str">
        <f>'RESUMEN TOTAL'!B277</f>
        <v>SJO05 (fija 1)</v>
      </c>
      <c r="C274" t="str">
        <f>'RESUMEN TOTAL'!D277</f>
        <v>511 Y 560</v>
      </c>
      <c r="D274" t="str">
        <f>'RESUMEN TOTAL'!E277</f>
        <v>Fija</v>
      </c>
      <c r="E274" t="str">
        <f>'RESUMEN TOTAL'!F277</f>
        <v>Fibra Optica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>
        <f>'RESUMEN TOTAL'!R277</f>
        <v>0</v>
      </c>
      <c r="J274">
        <f>'RESUMEN TOTAL'!S277</f>
        <v>0</v>
      </c>
      <c r="K274">
        <f>'RESUMEN TOTAL'!T277</f>
        <v>0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>
        <f>'RESUMEN TOTAL'!X277</f>
        <v>0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  <c r="AH274">
        <f>'RESUMEN TOTAL'!AQ277</f>
        <v>0</v>
      </c>
      <c r="AI274">
        <f>'RESUMEN TOTAL'!AR277</f>
        <v>0</v>
      </c>
    </row>
    <row r="275" spans="1:35" x14ac:dyDescent="0.25">
      <c r="A275" t="str">
        <f>'RESUMEN TOTAL'!A278</f>
        <v>SAN JORGE</v>
      </c>
      <c r="B275" t="str">
        <f>'RESUMEN TOTAL'!B278</f>
        <v>SJO06 (fija 2)</v>
      </c>
      <c r="C275" t="str">
        <f>'RESUMEN TOTAL'!D278</f>
        <v>511 Y 560</v>
      </c>
      <c r="D275" t="str">
        <f>'RESUMEN TOTAL'!E278</f>
        <v>Fija</v>
      </c>
      <c r="E275" t="str">
        <f>'RESUMEN TOTAL'!F278</f>
        <v>Fibra Optica</v>
      </c>
      <c r="F275">
        <f>'RESUMEN TOTAL'!O278</f>
        <v>0</v>
      </c>
      <c r="G275">
        <f>'RESUMEN TOTAL'!P278</f>
        <v>0</v>
      </c>
      <c r="H275">
        <f>'RESUMEN TOTAL'!Q278</f>
        <v>0</v>
      </c>
      <c r="I275">
        <f>'RESUMEN TOTAL'!R278</f>
        <v>0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>
        <f>'RESUMEN TOTAL'!Y278</f>
        <v>0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>
        <f>'RESUMEN TOTAL'!AG278</f>
        <v>0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  <c r="AH275">
        <f>'RESUMEN TOTAL'!AQ278</f>
        <v>0</v>
      </c>
      <c r="AI275">
        <f>'RESUMEN TOTAL'!AR278</f>
        <v>0</v>
      </c>
    </row>
    <row r="276" spans="1:35" x14ac:dyDescent="0.25">
      <c r="A276" t="str">
        <f>'RESUMEN TOTAL'!A279</f>
        <v>SAN JORGE</v>
      </c>
      <c r="B276" t="str">
        <f>'RESUMEN TOTAL'!B279</f>
        <v>SJO07 (fija 1)</v>
      </c>
      <c r="C276" t="str">
        <f>'RESUMEN TOTAL'!D279</f>
        <v>503 Y 556</v>
      </c>
      <c r="D276" t="str">
        <f>'RESUMEN TOTAL'!E279</f>
        <v>Fija</v>
      </c>
      <c r="E276" t="str">
        <f>'RESUMEN TOTAL'!F279</f>
        <v>Fibra Optica</v>
      </c>
      <c r="F276">
        <f>'RESUMEN TOTAL'!O279</f>
        <v>0</v>
      </c>
      <c r="G276">
        <f>'RESUMEN TOTAL'!P279</f>
        <v>0</v>
      </c>
      <c r="H276">
        <f>'RESUMEN TOTAL'!Q279</f>
        <v>0</v>
      </c>
      <c r="I276">
        <f>'RESUMEN TOTAL'!R279</f>
        <v>0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>
        <f>'RESUMEN TOTAL'!X279</f>
        <v>0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>
        <f>'RESUMEN TOTAL'!AI279</f>
        <v>0</v>
      </c>
      <c r="AA276">
        <f>'RESUMEN TOTAL'!AJ279</f>
        <v>0</v>
      </c>
      <c r="AB276">
        <f>'RESUMEN TOTAL'!AK279</f>
        <v>0</v>
      </c>
      <c r="AC276">
        <f>'RESUMEN TOTAL'!AL279</f>
        <v>0</v>
      </c>
      <c r="AD276">
        <f>'RESUMEN TOTAL'!AM279</f>
        <v>0</v>
      </c>
      <c r="AE276">
        <f>'RESUMEN TOTAL'!AN279</f>
        <v>0</v>
      </c>
      <c r="AF276">
        <f>'RESUMEN TOTAL'!AO279</f>
        <v>0</v>
      </c>
      <c r="AG276">
        <f>'RESUMEN TOTAL'!AP279</f>
        <v>0</v>
      </c>
      <c r="AH276">
        <f>'RESUMEN TOTAL'!AQ279</f>
        <v>0</v>
      </c>
      <c r="AI276">
        <f>'RESUMEN TOTAL'!AR279</f>
        <v>0</v>
      </c>
    </row>
    <row r="277" spans="1:35" x14ac:dyDescent="0.25">
      <c r="A277" t="str">
        <f>'RESUMEN TOTAL'!A280</f>
        <v>SAN JORGE</v>
      </c>
      <c r="B277" t="str">
        <f>'RESUMEN TOTAL'!B280</f>
        <v>SJO08 (fija 2)</v>
      </c>
      <c r="C277" t="str">
        <f>'RESUMEN TOTAL'!D280</f>
        <v>503 Y 556</v>
      </c>
      <c r="D277" t="str">
        <f>'RESUMEN TOTAL'!E280</f>
        <v>Fija</v>
      </c>
      <c r="E277" t="str">
        <f>'RESUMEN TOTAL'!F280</f>
        <v>Fibra Optica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>
        <f>'RESUMEN TOTAL'!R280</f>
        <v>0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>
        <f>'RESUMEN TOTAL'!AO280</f>
        <v>0</v>
      </c>
      <c r="AG277">
        <f>'RESUMEN TOTAL'!AP280</f>
        <v>0</v>
      </c>
      <c r="AH277">
        <f>'RESUMEN TOTAL'!AQ280</f>
        <v>0</v>
      </c>
      <c r="AI277">
        <f>'RESUMEN TOTAL'!AR280</f>
        <v>0</v>
      </c>
    </row>
    <row r="278" spans="1:35" x14ac:dyDescent="0.25">
      <c r="A278" t="str">
        <f>'RESUMEN TOTAL'!A281</f>
        <v>SANTO TOMAS</v>
      </c>
      <c r="B278" t="str">
        <f>'RESUMEN TOTAL'!B281</f>
        <v>SJU01</v>
      </c>
      <c r="C278" t="str">
        <f>'RESUMEN TOTAL'!D281</f>
        <v>Ruta 36 y Pte.Peron</v>
      </c>
      <c r="D278" t="str">
        <f>'RESUMEN TOTAL'!E281</f>
        <v>Domo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>
        <f>'RESUMEN TOTAL'!R281</f>
        <v>0</v>
      </c>
      <c r="J278">
        <f>'RESUMEN TOTAL'!S281</f>
        <v>0</v>
      </c>
      <c r="K278">
        <f>'RESUMEN TOTAL'!T281</f>
        <v>0</v>
      </c>
      <c r="L278">
        <f>'RESUMEN TOTAL'!U281</f>
        <v>0</v>
      </c>
      <c r="M278">
        <f>'RESUMEN TOTAL'!V281</f>
        <v>0</v>
      </c>
      <c r="N278">
        <f>'RESUMEN TOTAL'!W281</f>
        <v>0</v>
      </c>
      <c r="O278">
        <f>'RESUMEN TOTAL'!X281</f>
        <v>0</v>
      </c>
      <c r="P278">
        <f>'RESUMEN TOTAL'!Y281</f>
        <v>0</v>
      </c>
      <c r="Q278">
        <f>'RESUMEN TOTAL'!Z281</f>
        <v>0</v>
      </c>
      <c r="R278">
        <f>'RESUMEN TOTAL'!AA281</f>
        <v>0</v>
      </c>
      <c r="S278">
        <f>'RESUMEN TOTAL'!AB281</f>
        <v>0</v>
      </c>
      <c r="T278">
        <f>'RESUMEN TOTAL'!AC281</f>
        <v>0</v>
      </c>
      <c r="U278">
        <f>'RESUMEN TOTAL'!AD281</f>
        <v>0</v>
      </c>
      <c r="V278">
        <f>'RESUMEN TOTAL'!AE281</f>
        <v>0</v>
      </c>
      <c r="W278">
        <f>'RESUMEN TOTAL'!AF281</f>
        <v>0</v>
      </c>
      <c r="X278">
        <f>'RESUMEN TOTAL'!AG281</f>
        <v>0</v>
      </c>
      <c r="Y278">
        <f>'RESUMEN TOTAL'!AH281</f>
        <v>0</v>
      </c>
      <c r="Z278">
        <f>'RESUMEN TOTAL'!AI281</f>
        <v>0</v>
      </c>
      <c r="AA278">
        <f>'RESUMEN TOTAL'!AJ281</f>
        <v>0</v>
      </c>
      <c r="AB278">
        <f>'RESUMEN TOTAL'!AK281</f>
        <v>0</v>
      </c>
      <c r="AC278">
        <f>'RESUMEN TOTAL'!AL281</f>
        <v>0</v>
      </c>
      <c r="AD278">
        <f>'RESUMEN TOTAL'!AM281</f>
        <v>0</v>
      </c>
      <c r="AE278">
        <f>'RESUMEN TOTAL'!AN281</f>
        <v>0</v>
      </c>
      <c r="AF278">
        <f>'RESUMEN TOTAL'!AO281</f>
        <v>0</v>
      </c>
      <c r="AG278">
        <f>'RESUMEN TOTAL'!AP281</f>
        <v>0</v>
      </c>
      <c r="AH278">
        <f>'RESUMEN TOTAL'!AQ281</f>
        <v>0</v>
      </c>
      <c r="AI278">
        <f>'RESUMEN TOTAL'!AR281</f>
        <v>0</v>
      </c>
    </row>
    <row r="279" spans="1:35" x14ac:dyDescent="0.25">
      <c r="A279" t="str">
        <f>'RESUMEN TOTAL'!A282</f>
        <v>VILLA GENERAL SAN MARTIN</v>
      </c>
      <c r="B279" t="str">
        <f>'RESUMEN TOTAL'!B282</f>
        <v>SMA 03</v>
      </c>
      <c r="C279" t="str">
        <f>'RESUMEN TOTAL'!D282</f>
        <v>ROSARIO Y SAN NICOLAS</v>
      </c>
      <c r="D279" t="str">
        <f>'RESUMEN TOTAL'!E282</f>
        <v>Domo</v>
      </c>
      <c r="E279" t="str">
        <f>'RESUMEN TOTAL'!F282</f>
        <v>Radio</v>
      </c>
      <c r="F279">
        <f>'RESUMEN TOTAL'!O282</f>
        <v>0</v>
      </c>
      <c r="G279">
        <f>'RESUMEN TOTAL'!P282</f>
        <v>0</v>
      </c>
      <c r="H279">
        <f>'RESUMEN TOTAL'!Q282</f>
        <v>0</v>
      </c>
      <c r="I279">
        <f>'RESUMEN TOTAL'!R282</f>
        <v>0</v>
      </c>
      <c r="J279">
        <f>'RESUMEN TOTAL'!S282</f>
        <v>0</v>
      </c>
      <c r="K279">
        <f>'RESUMEN TOTAL'!T282</f>
        <v>0</v>
      </c>
      <c r="L279">
        <f>'RESUMEN TOTAL'!U282</f>
        <v>0</v>
      </c>
      <c r="M279">
        <f>'RESUMEN TOTAL'!V282</f>
        <v>0</v>
      </c>
      <c r="N279">
        <f>'RESUMEN TOTAL'!W282</f>
        <v>0</v>
      </c>
      <c r="O279">
        <f>'RESUMEN TOTAL'!X282</f>
        <v>0</v>
      </c>
      <c r="P279">
        <f>'RESUMEN TOTAL'!Y282</f>
        <v>0</v>
      </c>
      <c r="Q279">
        <f>'RESUMEN TOTAL'!Z282</f>
        <v>0</v>
      </c>
      <c r="R279">
        <f>'RESUMEN TOTAL'!AA282</f>
        <v>0</v>
      </c>
      <c r="S279">
        <f>'RESUMEN TOTAL'!AB282</f>
        <v>0</v>
      </c>
      <c r="T279">
        <f>'RESUMEN TOTAL'!AC282</f>
        <v>0</v>
      </c>
      <c r="U279">
        <f>'RESUMEN TOTAL'!AD282</f>
        <v>0</v>
      </c>
      <c r="V279">
        <f>'RESUMEN TOTAL'!AE282</f>
        <v>0</v>
      </c>
      <c r="W279">
        <f>'RESUMEN TOTAL'!AF282</f>
        <v>0</v>
      </c>
      <c r="X279">
        <f>'RESUMEN TOTAL'!AG282</f>
        <v>0</v>
      </c>
      <c r="Y279">
        <f>'RESUMEN TOTAL'!AH282</f>
        <v>0</v>
      </c>
      <c r="Z279">
        <f>'RESUMEN TOTAL'!AI282</f>
        <v>0</v>
      </c>
      <c r="AA279">
        <f>'RESUMEN TOTAL'!AJ282</f>
        <v>0</v>
      </c>
      <c r="AB279">
        <f>'RESUMEN TOTAL'!AK282</f>
        <v>0</v>
      </c>
      <c r="AC279">
        <f>'RESUMEN TOTAL'!AL282</f>
        <v>0</v>
      </c>
      <c r="AD279">
        <f>'RESUMEN TOTAL'!AM282</f>
        <v>0</v>
      </c>
      <c r="AE279">
        <f>'RESUMEN TOTAL'!AN282</f>
        <v>0</v>
      </c>
      <c r="AF279">
        <f>'RESUMEN TOTAL'!AO282</f>
        <v>0</v>
      </c>
      <c r="AG279">
        <f>'RESUMEN TOTAL'!AP282</f>
        <v>0</v>
      </c>
      <c r="AH279">
        <f>'RESUMEN TOTAL'!AQ282</f>
        <v>0</v>
      </c>
      <c r="AI279">
        <f>'RESUMEN TOTAL'!AR282</f>
        <v>0</v>
      </c>
    </row>
    <row r="280" spans="1:35" x14ac:dyDescent="0.25">
      <c r="A280" t="str">
        <f>'RESUMEN TOTAL'!A283</f>
        <v>VILLA GENERAL SAN MARTIN</v>
      </c>
      <c r="B280" t="str">
        <f>'RESUMEN TOTAL'!B283</f>
        <v>SMA 04</v>
      </c>
      <c r="C280" t="str">
        <f>'RESUMEN TOTAL'!D283</f>
        <v>HUDSON Y MONTEVIDEO</v>
      </c>
      <c r="D280" t="str">
        <f>'RESUMEN TOTAL'!E283</f>
        <v>FIJA</v>
      </c>
      <c r="E280" t="str">
        <f>'RESUMEN TOTAL'!F283</f>
        <v>Radio</v>
      </c>
      <c r="F280">
        <f>'RESUMEN TOTAL'!O283</f>
        <v>0</v>
      </c>
      <c r="G280">
        <f>'RESUMEN TOTAL'!P283</f>
        <v>0</v>
      </c>
      <c r="H280">
        <f>'RESUMEN TOTAL'!Q283</f>
        <v>0</v>
      </c>
      <c r="I280">
        <f>'RESUMEN TOTAL'!R283</f>
        <v>0</v>
      </c>
      <c r="J280">
        <f>'RESUMEN TOTAL'!S283</f>
        <v>0</v>
      </c>
      <c r="K280">
        <f>'RESUMEN TOTAL'!T283</f>
        <v>0</v>
      </c>
      <c r="L280">
        <f>'RESUMEN TOTAL'!U283</f>
        <v>0</v>
      </c>
      <c r="M280">
        <f>'RESUMEN TOTAL'!V283</f>
        <v>0</v>
      </c>
      <c r="N280">
        <f>'RESUMEN TOTAL'!W283</f>
        <v>0</v>
      </c>
      <c r="O280">
        <f>'RESUMEN TOTAL'!X283</f>
        <v>0</v>
      </c>
      <c r="P280">
        <f>'RESUMEN TOTAL'!Y283</f>
        <v>0</v>
      </c>
      <c r="Q280">
        <f>'RESUMEN TOTAL'!Z283</f>
        <v>0</v>
      </c>
      <c r="R280">
        <f>'RESUMEN TOTAL'!AA283</f>
        <v>0</v>
      </c>
      <c r="S280">
        <f>'RESUMEN TOTAL'!AB283</f>
        <v>0</v>
      </c>
      <c r="T280">
        <f>'RESUMEN TOTAL'!AC283</f>
        <v>0</v>
      </c>
      <c r="U280">
        <f>'RESUMEN TOTAL'!AD283</f>
        <v>0</v>
      </c>
      <c r="V280">
        <f>'RESUMEN TOTAL'!AE283</f>
        <v>0</v>
      </c>
      <c r="W280">
        <f>'RESUMEN TOTAL'!AF283</f>
        <v>0</v>
      </c>
      <c r="X280">
        <f>'RESUMEN TOTAL'!AG283</f>
        <v>0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  <c r="AH280">
        <f>'RESUMEN TOTAL'!AQ283</f>
        <v>0</v>
      </c>
      <c r="AI280">
        <f>'RESUMEN TOTAL'!AR283</f>
        <v>0</v>
      </c>
    </row>
    <row r="281" spans="1:35" x14ac:dyDescent="0.25">
      <c r="A281" t="str">
        <f>'RESUMEN TOTAL'!A284</f>
        <v>VILLA GENERAL SAN MARTIN</v>
      </c>
      <c r="B281" t="str">
        <f>'RESUMEN TOTAL'!B284</f>
        <v>SMA 06</v>
      </c>
      <c r="C281" t="str">
        <f>'RESUMEN TOTAL'!D284</f>
        <v>AV. HUDSON Y RIO IGUAZU</v>
      </c>
      <c r="D281" t="str">
        <f>'RESUMEN TOTAL'!E284</f>
        <v>DOMO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>
        <f>'RESUMEN TOTAL'!R284</f>
        <v>0</v>
      </c>
      <c r="J281">
        <f>'RESUMEN TOTAL'!S284</f>
        <v>0</v>
      </c>
      <c r="K281">
        <f>'RESUMEN TOTAL'!T284</f>
        <v>0</v>
      </c>
      <c r="L281">
        <f>'RESUMEN TOTAL'!U284</f>
        <v>0</v>
      </c>
      <c r="M281">
        <f>'RESUMEN TOTAL'!V284</f>
        <v>0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>
        <f>'RESUMEN TOTAL'!AF284</f>
        <v>0</v>
      </c>
      <c r="X281">
        <f>'RESUMEN TOTAL'!AG284</f>
        <v>0</v>
      </c>
      <c r="Y281">
        <f>'RESUMEN TOTAL'!AH284</f>
        <v>0</v>
      </c>
      <c r="Z281">
        <f>'RESUMEN TOTAL'!AI284</f>
        <v>0</v>
      </c>
      <c r="AA281">
        <f>'RESUMEN TOTAL'!AJ284</f>
        <v>0</v>
      </c>
      <c r="AB281">
        <f>'RESUMEN TOTAL'!AK284</f>
        <v>0</v>
      </c>
      <c r="AC281">
        <f>'RESUMEN TOTAL'!AL284</f>
        <v>0</v>
      </c>
      <c r="AD281">
        <f>'RESUMEN TOTAL'!AM284</f>
        <v>0</v>
      </c>
      <c r="AE281">
        <f>'RESUMEN TOTAL'!AN284</f>
        <v>0</v>
      </c>
      <c r="AF281">
        <f>'RESUMEN TOTAL'!AO284</f>
        <v>0</v>
      </c>
      <c r="AG281">
        <f>'RESUMEN TOTAL'!AP284</f>
        <v>0</v>
      </c>
      <c r="AH281">
        <f>'RESUMEN TOTAL'!AQ284</f>
        <v>0</v>
      </c>
      <c r="AI281">
        <f>'RESUMEN TOTAL'!AR284</f>
        <v>0</v>
      </c>
    </row>
    <row r="282" spans="1:35" x14ac:dyDescent="0.25">
      <c r="A282" t="str">
        <f>'RESUMEN TOTAL'!A285</f>
        <v>VILLA GENERAL SAN MARTIN</v>
      </c>
      <c r="B282" t="str">
        <f>'RESUMEN TOTAL'!B285</f>
        <v>SMA 07</v>
      </c>
      <c r="C282" t="str">
        <f>'RESUMEN TOTAL'!D285</f>
        <v>AV. HUDSON Y RIO TURBIO</v>
      </c>
      <c r="D282" t="str">
        <f>'RESUMEN TOTAL'!E285</f>
        <v>DOMO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>
        <f>'RESUMEN TOTAL'!R285</f>
        <v>0</v>
      </c>
      <c r="J282">
        <f>'RESUMEN TOTAL'!S285</f>
        <v>0</v>
      </c>
      <c r="K282">
        <f>'RESUMEN TOTAL'!T285</f>
        <v>0</v>
      </c>
      <c r="L282">
        <f>'RESUMEN TOTAL'!U285</f>
        <v>0</v>
      </c>
      <c r="M282">
        <f>'RESUMEN TOTAL'!V285</f>
        <v>0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>
        <f>'RESUMEN TOTAL'!AF285</f>
        <v>0</v>
      </c>
      <c r="X282">
        <f>'RESUMEN TOTAL'!AG285</f>
        <v>0</v>
      </c>
      <c r="Y282">
        <f>'RESUMEN TOTAL'!AH285</f>
        <v>0</v>
      </c>
      <c r="Z282">
        <f>'RESUMEN TOTAL'!AI285</f>
        <v>0</v>
      </c>
      <c r="AA282">
        <f>'RESUMEN TOTAL'!AJ285</f>
        <v>0</v>
      </c>
      <c r="AB282">
        <f>'RESUMEN TOTAL'!AK285</f>
        <v>0</v>
      </c>
      <c r="AC282">
        <f>'RESUMEN TOTAL'!AL285</f>
        <v>0</v>
      </c>
      <c r="AD282">
        <f>'RESUMEN TOTAL'!AM285</f>
        <v>0</v>
      </c>
      <c r="AE282">
        <f>'RESUMEN TOTAL'!AN285</f>
        <v>0</v>
      </c>
      <c r="AF282">
        <f>'RESUMEN TOTAL'!AO285</f>
        <v>0</v>
      </c>
      <c r="AG282">
        <f>'RESUMEN TOTAL'!AP285</f>
        <v>0</v>
      </c>
      <c r="AH282">
        <f>'RESUMEN TOTAL'!AQ285</f>
        <v>0</v>
      </c>
      <c r="AI282">
        <f>'RESUMEN TOTAL'!AR285</f>
        <v>0</v>
      </c>
    </row>
    <row r="283" spans="1:35" x14ac:dyDescent="0.25">
      <c r="A283" t="str">
        <f>'RESUMEN TOTAL'!A286</f>
        <v>VILLA GENERAL SAN MARTIN</v>
      </c>
      <c r="B283" t="str">
        <f>'RESUMEN TOTAL'!B286</f>
        <v>SMA01</v>
      </c>
      <c r="C283" t="str">
        <f>'RESUMEN TOTAL'!D286</f>
        <v>Hudson y Montevideo</v>
      </c>
      <c r="D283" t="str">
        <f>'RESUMEN TOTAL'!E286</f>
        <v>DOMO</v>
      </c>
      <c r="E283" t="str">
        <f>'RESUMEN TOTAL'!F286</f>
        <v>Radio</v>
      </c>
      <c r="F283">
        <f>'RESUMEN TOTAL'!O286</f>
        <v>0</v>
      </c>
      <c r="G283">
        <f>'RESUMEN TOTAL'!P286</f>
        <v>0</v>
      </c>
      <c r="H283">
        <f>'RESUMEN TOTAL'!Q286</f>
        <v>0</v>
      </c>
      <c r="I283">
        <f>'RESUMEN TOTAL'!R286</f>
        <v>0</v>
      </c>
      <c r="J283">
        <f>'RESUMEN TOTAL'!S286</f>
        <v>0</v>
      </c>
      <c r="K283">
        <f>'RESUMEN TOTAL'!T286</f>
        <v>0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>
        <f>'RESUMEN TOTAL'!AE286</f>
        <v>0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>
        <f>'RESUMEN TOTAL'!AO286</f>
        <v>0</v>
      </c>
      <c r="AG283">
        <f>'RESUMEN TOTAL'!AP286</f>
        <v>0</v>
      </c>
      <c r="AH283">
        <f>'RESUMEN TOTAL'!AQ286</f>
        <v>0</v>
      </c>
      <c r="AI283">
        <f>'RESUMEN TOTAL'!AR286</f>
        <v>0</v>
      </c>
    </row>
    <row r="284" spans="1:35" x14ac:dyDescent="0.25">
      <c r="A284" t="str">
        <f>'RESUMEN TOTAL'!A287</f>
        <v>VILLA GENERAL SAN MARTIN</v>
      </c>
      <c r="B284" t="str">
        <f>'RESUMEN TOTAL'!B287</f>
        <v>SMA02</v>
      </c>
      <c r="C284" t="str">
        <f>'RESUMEN TOTAL'!D287</f>
        <v>Hudson y San Nicolas</v>
      </c>
      <c r="D284" t="str">
        <f>'RESUMEN TOTAL'!E287</f>
        <v>Domo</v>
      </c>
      <c r="E284" t="str">
        <f>'RESUMEN TOTAL'!F287</f>
        <v>Radio</v>
      </c>
      <c r="F284">
        <f>'RESUMEN TOTAL'!O287</f>
        <v>0</v>
      </c>
      <c r="G284">
        <f>'RESUMEN TOTAL'!P287</f>
        <v>0</v>
      </c>
      <c r="H284">
        <f>'RESUMEN TOTAL'!Q287</f>
        <v>0</v>
      </c>
      <c r="I284">
        <f>'RESUMEN TOTAL'!R287</f>
        <v>0</v>
      </c>
      <c r="J284">
        <f>'RESUMEN TOTAL'!S287</f>
        <v>0</v>
      </c>
      <c r="K284">
        <f>'RESUMEN TOTAL'!T287</f>
        <v>0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>
        <f>'RESUMEN TOTAL'!Y287</f>
        <v>0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>
        <f>'RESUMEN TOTAL'!AE287</f>
        <v>0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>
        <f>'RESUMEN TOTAL'!AO287</f>
        <v>0</v>
      </c>
      <c r="AG284">
        <f>'RESUMEN TOTAL'!AP287</f>
        <v>0</v>
      </c>
      <c r="AH284">
        <f>'RESUMEN TOTAL'!AQ287</f>
        <v>0</v>
      </c>
      <c r="AI284">
        <f>'RESUMEN TOTAL'!AR287</f>
        <v>0</v>
      </c>
    </row>
    <row r="285" spans="1:35" x14ac:dyDescent="0.25">
      <c r="A285" t="str">
        <f>'RESUMEN TOTAL'!A288</f>
        <v>VILLA GENERAL SAN MARTIN</v>
      </c>
      <c r="B285" t="str">
        <f>'RESUMEN TOTAL'!B288</f>
        <v>SMA05</v>
      </c>
      <c r="C285" t="str">
        <f>'RESUMEN TOTAL'!D288</f>
        <v>MONTEVIDEO Y VILLEGAS</v>
      </c>
      <c r="D285" t="str">
        <f>'RESUMEN TOTAL'!E288</f>
        <v>DOMO</v>
      </c>
      <c r="E285" t="str">
        <f>'RESUMEN TOTAL'!F288</f>
        <v>PTO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>
        <f>'RESUMEN TOTAL'!R288</f>
        <v>0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>
        <f>'RESUMEN TOTAL'!Y288</f>
        <v>0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>
        <f>'RESUMEN TOTAL'!AC288</f>
        <v>0</v>
      </c>
      <c r="U285">
        <f>'RESUMEN TOTAL'!AD288</f>
        <v>0</v>
      </c>
      <c r="V285">
        <f>'RESUMEN TOTAL'!AE288</f>
        <v>0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>
        <f>'RESUMEN TOTAL'!AL288</f>
        <v>0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  <c r="AH285">
        <f>'RESUMEN TOTAL'!AQ288</f>
        <v>0</v>
      </c>
      <c r="AI285">
        <f>'RESUMEN TOTAL'!AR288</f>
        <v>0</v>
      </c>
    </row>
    <row r="286" spans="1:35" x14ac:dyDescent="0.25">
      <c r="A286" t="str">
        <f>'RESUMEN TOTAL'!A289</f>
        <v>SAN NICOLAS</v>
      </c>
      <c r="B286" t="str">
        <f>'RESUMEN TOTAL'!B289</f>
        <v>SNI 03 (fija 1)</v>
      </c>
      <c r="C286" t="str">
        <f>'RESUMEN TOTAL'!D289</f>
        <v>SARRATEA Y LOS TREBOLES</v>
      </c>
      <c r="D286" t="str">
        <f>'RESUMEN TOTAL'!E289</f>
        <v>Fija</v>
      </c>
      <c r="E286" t="str">
        <f>'RESUMEN TOTAL'!F289</f>
        <v>Fibra Optica</v>
      </c>
      <c r="F286" t="str">
        <f>'RESUMEN TOTAL'!O289</f>
        <v>APAGADO</v>
      </c>
      <c r="G286" t="str">
        <f>'RESUMEN TOTAL'!P289</f>
        <v>APAGADO</v>
      </c>
      <c r="H286">
        <f>'RESUMEN TOTAL'!Q289</f>
        <v>0</v>
      </c>
      <c r="I286">
        <f>'RESUMEN TOTAL'!R289</f>
        <v>0</v>
      </c>
      <c r="J286">
        <f>'RESUMEN TOTAL'!S289</f>
        <v>0</v>
      </c>
      <c r="K286">
        <f>'RESUMEN TOTAL'!T289</f>
        <v>0</v>
      </c>
      <c r="L286">
        <f>'RESUMEN TOTAL'!U289</f>
        <v>0</v>
      </c>
      <c r="M286">
        <f>'RESUMEN TOTAL'!V289</f>
        <v>0</v>
      </c>
      <c r="N286">
        <f>'RESUMEN TOTAL'!W289</f>
        <v>0</v>
      </c>
      <c r="O286">
        <f>'RESUMEN TOTAL'!X289</f>
        <v>0</v>
      </c>
      <c r="P286">
        <f>'RESUMEN TOTAL'!Y289</f>
        <v>0</v>
      </c>
      <c r="Q286">
        <f>'RESUMEN TOTAL'!Z289</f>
        <v>0</v>
      </c>
      <c r="R286">
        <f>'RESUMEN TOTAL'!AA289</f>
        <v>0</v>
      </c>
      <c r="S286">
        <f>'RESUMEN TOTAL'!AB289</f>
        <v>0</v>
      </c>
      <c r="T286">
        <f>'RESUMEN TOTAL'!AC289</f>
        <v>0</v>
      </c>
      <c r="U286">
        <f>'RESUMEN TOTAL'!AD289</f>
        <v>0</v>
      </c>
      <c r="V286">
        <f>'RESUMEN TOTAL'!AE289</f>
        <v>0</v>
      </c>
      <c r="W286">
        <f>'RESUMEN TOTAL'!AF289</f>
        <v>0</v>
      </c>
      <c r="X286">
        <f>'RESUMEN TOTAL'!AG289</f>
        <v>0</v>
      </c>
      <c r="Y286">
        <f>'RESUMEN TOTAL'!AH289</f>
        <v>0</v>
      </c>
      <c r="Z286">
        <f>'RESUMEN TOTAL'!AI289</f>
        <v>0</v>
      </c>
      <c r="AA286">
        <f>'RESUMEN TOTAL'!AJ289</f>
        <v>0</v>
      </c>
      <c r="AB286">
        <f>'RESUMEN TOTAL'!AK289</f>
        <v>0</v>
      </c>
      <c r="AC286">
        <f>'RESUMEN TOTAL'!AL289</f>
        <v>0</v>
      </c>
      <c r="AD286">
        <f>'RESUMEN TOTAL'!AM289</f>
        <v>0</v>
      </c>
      <c r="AE286">
        <f>'RESUMEN TOTAL'!AN289</f>
        <v>0</v>
      </c>
      <c r="AF286">
        <f>'RESUMEN TOTAL'!AO289</f>
        <v>0</v>
      </c>
      <c r="AG286">
        <f>'RESUMEN TOTAL'!AP289</f>
        <v>0</v>
      </c>
      <c r="AH286">
        <f>'RESUMEN TOTAL'!AQ289</f>
        <v>0</v>
      </c>
      <c r="AI286">
        <f>'RESUMEN TOTAL'!AR289</f>
        <v>0</v>
      </c>
    </row>
    <row r="287" spans="1:35" x14ac:dyDescent="0.25">
      <c r="A287" t="str">
        <f>'RESUMEN TOTAL'!A290</f>
        <v>SAN NICOLAS</v>
      </c>
      <c r="B287" t="str">
        <f>'RESUMEN TOTAL'!B290</f>
        <v>SNI 04 (fija 2)</v>
      </c>
      <c r="C287" t="str">
        <f>'RESUMEN TOTAL'!D290</f>
        <v>SARRATEA Y LOS TREBOLES</v>
      </c>
      <c r="D287" t="str">
        <f>'RESUMEN TOTAL'!E290</f>
        <v>Fija</v>
      </c>
      <c r="E287" t="str">
        <f>'RESUMEN TOTAL'!F290</f>
        <v>Fibra Optica</v>
      </c>
      <c r="F287" t="str">
        <f>'RESUMEN TOTAL'!O290</f>
        <v>APAGADO</v>
      </c>
      <c r="G287" t="str">
        <f>'RESUMEN TOTAL'!P290</f>
        <v>APAGADO</v>
      </c>
      <c r="H287">
        <f>'RESUMEN TOTAL'!Q290</f>
        <v>0</v>
      </c>
      <c r="I287">
        <f>'RESUMEN TOTAL'!R290</f>
        <v>0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>
        <f>'RESUMEN TOTAL'!AK290</f>
        <v>0</v>
      </c>
      <c r="AC287">
        <f>'RESUMEN TOTAL'!AL290</f>
        <v>0</v>
      </c>
      <c r="AD287">
        <f>'RESUMEN TOTAL'!AM290</f>
        <v>0</v>
      </c>
      <c r="AE287">
        <f>'RESUMEN TOTAL'!AN290</f>
        <v>0</v>
      </c>
      <c r="AF287">
        <f>'RESUMEN TOTAL'!AO290</f>
        <v>0</v>
      </c>
      <c r="AG287">
        <f>'RESUMEN TOTAL'!AP290</f>
        <v>0</v>
      </c>
      <c r="AH287">
        <f>'RESUMEN TOTAL'!AQ290</f>
        <v>0</v>
      </c>
      <c r="AI287">
        <f>'RESUMEN TOTAL'!AR290</f>
        <v>0</v>
      </c>
    </row>
    <row r="288" spans="1:35" x14ac:dyDescent="0.25">
      <c r="A288" t="str">
        <f>'RESUMEN TOTAL'!A291</f>
        <v>SAN NICOLAS</v>
      </c>
      <c r="B288" t="str">
        <f>'RESUMEN TOTAL'!B291</f>
        <v>SNI01 (fija 1)</v>
      </c>
      <c r="C288" t="str">
        <f>'RESUMEN TOTAL'!D291</f>
        <v>SARRATEA E/ EEUU DE A. Y AGRELO</v>
      </c>
      <c r="D288" t="str">
        <f>'RESUMEN TOTAL'!E291</f>
        <v>Fija</v>
      </c>
      <c r="E288" t="str">
        <f>'RESUMEN TOTAL'!F291</f>
        <v>Fibra Optica</v>
      </c>
      <c r="F288" t="str">
        <f>'RESUMEN TOTAL'!O291</f>
        <v>APAGADO</v>
      </c>
      <c r="G288" t="str">
        <f>'RESUMEN TOTAL'!P291</f>
        <v>APAGADO</v>
      </c>
      <c r="H288">
        <f>'RESUMEN TOTAL'!Q291</f>
        <v>0</v>
      </c>
      <c r="I288">
        <f>'RESUMEN TOTAL'!R291</f>
        <v>0</v>
      </c>
      <c r="J288">
        <f>'RESUMEN TOTAL'!S291</f>
        <v>0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>
        <f>'RESUMEN TOTAL'!AK291</f>
        <v>0</v>
      </c>
      <c r="AC288">
        <f>'RESUMEN TOTAL'!AL291</f>
        <v>0</v>
      </c>
      <c r="AD288">
        <f>'RESUMEN TOTAL'!AM291</f>
        <v>0</v>
      </c>
      <c r="AE288">
        <f>'RESUMEN TOTAL'!AN291</f>
        <v>0</v>
      </c>
      <c r="AF288">
        <f>'RESUMEN TOTAL'!AO291</f>
        <v>0</v>
      </c>
      <c r="AG288">
        <f>'RESUMEN TOTAL'!AP291</f>
        <v>0</v>
      </c>
      <c r="AH288">
        <f>'RESUMEN TOTAL'!AQ291</f>
        <v>0</v>
      </c>
      <c r="AI288">
        <f>'RESUMEN TOTAL'!AR291</f>
        <v>0</v>
      </c>
    </row>
    <row r="289" spans="1:35" x14ac:dyDescent="0.25">
      <c r="A289" t="str">
        <f>'RESUMEN TOTAL'!A292</f>
        <v>SAN NICOLAS</v>
      </c>
      <c r="B289" t="str">
        <f>'RESUMEN TOTAL'!B292</f>
        <v>SNI02 (fija 2)</v>
      </c>
      <c r="C289" t="str">
        <f>'RESUMEN TOTAL'!D292</f>
        <v>SARRATEA E/ EEUU DE A. Y AGRELO</v>
      </c>
      <c r="D289" t="str">
        <f>'RESUMEN TOTAL'!E292</f>
        <v>Fija</v>
      </c>
      <c r="E289" t="str">
        <f>'RESUMEN TOTAL'!F292</f>
        <v>Fibra Optica</v>
      </c>
      <c r="F289" t="str">
        <f>'RESUMEN TOTAL'!O292</f>
        <v>APAGADO</v>
      </c>
      <c r="G289" t="str">
        <f>'RESUMEN TOTAL'!P292</f>
        <v>APAGADO</v>
      </c>
      <c r="H289">
        <f>'RESUMEN TOTAL'!Q292</f>
        <v>0</v>
      </c>
      <c r="I289">
        <f>'RESUMEN TOTAL'!R292</f>
        <v>0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>
        <f>'RESUMEN TOTAL'!AK292</f>
        <v>0</v>
      </c>
      <c r="AC289">
        <f>'RESUMEN TOTAL'!AL292</f>
        <v>0</v>
      </c>
      <c r="AD289">
        <f>'RESUMEN TOTAL'!AM292</f>
        <v>0</v>
      </c>
      <c r="AE289">
        <f>'RESUMEN TOTAL'!AN292</f>
        <v>0</v>
      </c>
      <c r="AF289">
        <f>'RESUMEN TOTAL'!AO292</f>
        <v>0</v>
      </c>
      <c r="AG289">
        <f>'RESUMEN TOTAL'!AP292</f>
        <v>0</v>
      </c>
      <c r="AH289">
        <f>'RESUMEN TOTAL'!AQ292</f>
        <v>0</v>
      </c>
      <c r="AI289">
        <f>'RESUMEN TOTAL'!AR292</f>
        <v>0</v>
      </c>
    </row>
    <row r="290" spans="1:35" x14ac:dyDescent="0.25">
      <c r="A290" t="str">
        <f>'RESUMEN TOTAL'!A293</f>
        <v>SANTA ROSA</v>
      </c>
      <c r="B290" t="str">
        <f>'RESUMEN TOTAL'!B293</f>
        <v>SRO 04</v>
      </c>
      <c r="C290" t="str">
        <f>'RESUMEN TOTAL'!D293</f>
        <v>Belgica y Andorra</v>
      </c>
      <c r="D290" t="str">
        <f>'RESUMEN TOTAL'!E293</f>
        <v>Domo</v>
      </c>
      <c r="E290" t="str">
        <f>'RESUMEN TOTAL'!F293</f>
        <v>Radio</v>
      </c>
      <c r="F290">
        <f>'RESUMEN TOTAL'!O293</f>
        <v>0</v>
      </c>
      <c r="G290">
        <f>'RESUMEN TOTAL'!P293</f>
        <v>0</v>
      </c>
      <c r="H290">
        <f>'RESUMEN TOTAL'!Q293</f>
        <v>0</v>
      </c>
      <c r="I290">
        <f>'RESUMEN TOTAL'!R293</f>
        <v>0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>
        <f>'RESUMEN TOTAL'!AL293</f>
        <v>0</v>
      </c>
      <c r="AD290">
        <f>'RESUMEN TOTAL'!AM293</f>
        <v>0</v>
      </c>
      <c r="AE290">
        <f>'RESUMEN TOTAL'!AN293</f>
        <v>0</v>
      </c>
      <c r="AF290">
        <f>'RESUMEN TOTAL'!AO293</f>
        <v>0</v>
      </c>
      <c r="AG290">
        <f>'RESUMEN TOTAL'!AP293</f>
        <v>0</v>
      </c>
      <c r="AH290">
        <f>'RESUMEN TOTAL'!AQ293</f>
        <v>0</v>
      </c>
      <c r="AI290">
        <f>'RESUMEN TOTAL'!AR293</f>
        <v>0</v>
      </c>
    </row>
    <row r="291" spans="1:35" x14ac:dyDescent="0.25">
      <c r="A291" t="str">
        <f>'RESUMEN TOTAL'!A294</f>
        <v>SANTA ROSA</v>
      </c>
      <c r="B291" t="str">
        <f>'RESUMEN TOTAL'!B294</f>
        <v>SRO 08</v>
      </c>
      <c r="C291" t="str">
        <f>'RESUMEN TOTAL'!D294</f>
        <v>NOVAK E/ DESSY Y BELGICA (POLIDEPORTIVO LA PATRIADA)</v>
      </c>
      <c r="D291" t="str">
        <f>'RESUMEN TOTAL'!E294</f>
        <v>Domo</v>
      </c>
      <c r="E291" t="str">
        <f>'RESUMEN TOTAL'!F294</f>
        <v>Fibra Optica</v>
      </c>
      <c r="F291">
        <f>'RESUMEN TOTAL'!O294</f>
        <v>0</v>
      </c>
      <c r="G291">
        <f>'RESUMEN TOTAL'!P294</f>
        <v>0</v>
      </c>
      <c r="H291">
        <f>'RESUMEN TOTAL'!Q294</f>
        <v>0</v>
      </c>
      <c r="I291">
        <f>'RESUMEN TOTAL'!R294</f>
        <v>0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>
        <f>'RESUMEN TOTAL'!AL294</f>
        <v>0</v>
      </c>
      <c r="AD291">
        <f>'RESUMEN TOTAL'!AM294</f>
        <v>0</v>
      </c>
      <c r="AE291">
        <f>'RESUMEN TOTAL'!AN294</f>
        <v>0</v>
      </c>
      <c r="AF291">
        <f>'RESUMEN TOTAL'!AO294</f>
        <v>0</v>
      </c>
      <c r="AG291">
        <f>'RESUMEN TOTAL'!AP294</f>
        <v>0</v>
      </c>
      <c r="AH291">
        <f>'RESUMEN TOTAL'!AQ294</f>
        <v>0</v>
      </c>
      <c r="AI291">
        <f>'RESUMEN TOTAL'!AR294</f>
        <v>0</v>
      </c>
    </row>
    <row r="292" spans="1:35" x14ac:dyDescent="0.25">
      <c r="A292" t="str">
        <f>'RESUMEN TOTAL'!A295</f>
        <v>SANTA ROSA</v>
      </c>
      <c r="B292" t="str">
        <f>'RESUMEN TOTAL'!B295</f>
        <v>SRO 11</v>
      </c>
      <c r="C292" t="str">
        <f>'RESUMEN TOTAL'!D295</f>
        <v>MILAN Y MALLORCA</v>
      </c>
      <c r="D292" t="str">
        <f>'RESUMEN TOTAL'!E295</f>
        <v>DOMO</v>
      </c>
      <c r="E292" t="str">
        <f>'RESUMEN TOTAL'!F295</f>
        <v>Radio</v>
      </c>
      <c r="F292">
        <f>'RESUMEN TOTAL'!O295</f>
        <v>0</v>
      </c>
      <c r="G292">
        <f>'RESUMEN TOTAL'!P295</f>
        <v>0</v>
      </c>
      <c r="H292">
        <f>'RESUMEN TOTAL'!Q295</f>
        <v>0</v>
      </c>
      <c r="I292">
        <f>'RESUMEN TOTAL'!R295</f>
        <v>0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>
        <f>'RESUMEN TOTAL'!AL295</f>
        <v>0</v>
      </c>
      <c r="AD292">
        <f>'RESUMEN TOTAL'!AM295</f>
        <v>0</v>
      </c>
      <c r="AE292">
        <f>'RESUMEN TOTAL'!AN295</f>
        <v>0</v>
      </c>
      <c r="AF292">
        <f>'RESUMEN TOTAL'!AO295</f>
        <v>0</v>
      </c>
      <c r="AG292">
        <f>'RESUMEN TOTAL'!AP295</f>
        <v>0</v>
      </c>
      <c r="AH292">
        <f>'RESUMEN TOTAL'!AQ295</f>
        <v>0</v>
      </c>
      <c r="AI292">
        <f>'RESUMEN TOTAL'!AR295</f>
        <v>0</v>
      </c>
    </row>
    <row r="293" spans="1:35" x14ac:dyDescent="0.25">
      <c r="A293" t="str">
        <f>'RESUMEN TOTAL'!A296</f>
        <v>ZONA RURAL SANTA ROSA</v>
      </c>
      <c r="B293" t="str">
        <f>'RESUMEN TOTAL'!B296</f>
        <v>SRO 13 (fija 1)</v>
      </c>
      <c r="C293" t="str">
        <f>'RESUMEN TOTAL'!D296</f>
        <v>BRUSELAS E/ GRECIA Y CHECOSLOVAQUIA</v>
      </c>
      <c r="D293" t="str">
        <f>'RESUMEN TOTAL'!E296</f>
        <v>Fija</v>
      </c>
      <c r="E293" t="str">
        <f>'RESUMEN TOTAL'!F296</f>
        <v>RADIO</v>
      </c>
      <c r="F293">
        <f>'RESUMEN TOTAL'!O296</f>
        <v>0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>
        <f>'RESUMEN TOTAL'!U296</f>
        <v>0</v>
      </c>
      <c r="M293">
        <f>'RESUMEN TOTAL'!V296</f>
        <v>0</v>
      </c>
      <c r="N293">
        <f>'RESUMEN TOTAL'!W296</f>
        <v>0</v>
      </c>
      <c r="O293">
        <f>'RESUMEN TOTAL'!X296</f>
        <v>0</v>
      </c>
      <c r="P293">
        <f>'RESUMEN TOTAL'!Y296</f>
        <v>0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>
        <f>'RESUMEN TOTAL'!AD296</f>
        <v>0</v>
      </c>
      <c r="V293">
        <f>'RESUMEN TOTAL'!AE296</f>
        <v>0</v>
      </c>
      <c r="W293">
        <f>'RESUMEN TOTAL'!AF296</f>
        <v>0</v>
      </c>
      <c r="X293">
        <f>'RESUMEN TOTAL'!AG296</f>
        <v>0</v>
      </c>
      <c r="Y293">
        <f>'RESUMEN TOTAL'!AH296</f>
        <v>0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>
        <f>'RESUMEN TOTAL'!AL296</f>
        <v>0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  <c r="AH293">
        <f>'RESUMEN TOTAL'!AQ296</f>
        <v>0</v>
      </c>
      <c r="AI293">
        <f>'RESUMEN TOTAL'!AR296</f>
        <v>0</v>
      </c>
    </row>
    <row r="294" spans="1:35" x14ac:dyDescent="0.25">
      <c r="A294" t="str">
        <f>'RESUMEN TOTAL'!A297</f>
        <v>ZONA RURAL SANTA ROSA</v>
      </c>
      <c r="B294" t="str">
        <f>'RESUMEN TOTAL'!B297</f>
        <v>SRO 14 (fija 2)</v>
      </c>
      <c r="C294" t="str">
        <f>'RESUMEN TOTAL'!D297</f>
        <v>BRUSELAS E/ GRECIA Y CHECOSLOVAQUIA</v>
      </c>
      <c r="D294" t="str">
        <f>'RESUMEN TOTAL'!E297</f>
        <v>Fija</v>
      </c>
      <c r="E294" t="str">
        <f>'RESUMEN TOTAL'!F297</f>
        <v>RADIO</v>
      </c>
      <c r="F294">
        <f>'RESUMEN TOTAL'!O297</f>
        <v>0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>
        <f>'RESUMEN TOTAL'!T297</f>
        <v>0</v>
      </c>
      <c r="L294">
        <f>'RESUMEN TOTAL'!U297</f>
        <v>0</v>
      </c>
      <c r="M294">
        <f>'RESUMEN TOTAL'!V297</f>
        <v>0</v>
      </c>
      <c r="N294">
        <f>'RESUMEN TOTAL'!W297</f>
        <v>0</v>
      </c>
      <c r="O294">
        <f>'RESUMEN TOTAL'!X297</f>
        <v>0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>
        <f>'RESUMEN TOTAL'!AL297</f>
        <v>0</v>
      </c>
      <c r="AD294">
        <f>'RESUMEN TOTAL'!AM297</f>
        <v>0</v>
      </c>
      <c r="AE294">
        <f>'RESUMEN TOTAL'!AN297</f>
        <v>0</v>
      </c>
      <c r="AF294">
        <f>'RESUMEN TOTAL'!AO297</f>
        <v>0</v>
      </c>
      <c r="AG294">
        <f>'RESUMEN TOTAL'!AP297</f>
        <v>0</v>
      </c>
      <c r="AH294">
        <f>'RESUMEN TOTAL'!AQ297</f>
        <v>0</v>
      </c>
      <c r="AI294">
        <f>'RESUMEN TOTAL'!AR297</f>
        <v>0</v>
      </c>
    </row>
    <row r="295" spans="1:35" x14ac:dyDescent="0.25">
      <c r="A295" t="str">
        <f>'RESUMEN TOTAL'!A298</f>
        <v>SANTA ROSA</v>
      </c>
      <c r="B295" t="str">
        <f>'RESUMEN TOTAL'!B298</f>
        <v>SRO 18 (fija 1)</v>
      </c>
      <c r="C295" t="str">
        <f>'RESUMEN TOTAL'!D298</f>
        <v>GRAN CANARIA Y BUDAPEST</v>
      </c>
      <c r="D295" t="str">
        <f>'RESUMEN TOTAL'!E298</f>
        <v>Fija</v>
      </c>
      <c r="E295" t="str">
        <f>'RESUMEN TOTAL'!F298</f>
        <v>Fibra Optica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  <c r="AH295">
        <f>'RESUMEN TOTAL'!AQ298</f>
        <v>0</v>
      </c>
      <c r="AI295">
        <f>'RESUMEN TOTAL'!AR298</f>
        <v>0</v>
      </c>
    </row>
    <row r="296" spans="1:35" x14ac:dyDescent="0.25">
      <c r="A296" t="str">
        <f>'RESUMEN TOTAL'!A299</f>
        <v>SANTA ROSA</v>
      </c>
      <c r="B296" t="str">
        <f>'RESUMEN TOTAL'!B299</f>
        <v>SRO 19 (fija 2)</v>
      </c>
      <c r="C296" t="str">
        <f>'RESUMEN TOTAL'!D299</f>
        <v>GRAN CANARIA Y BUDAPEST</v>
      </c>
      <c r="D296" t="str">
        <f>'RESUMEN TOTAL'!E299</f>
        <v>Fija</v>
      </c>
      <c r="E296" t="str">
        <f>'RESUMEN TOTAL'!F299</f>
        <v>Fibra Optica</v>
      </c>
      <c r="F296">
        <f>'RESUMEN TOTAL'!O299</f>
        <v>0</v>
      </c>
      <c r="G296">
        <f>'RESUMEN TOTAL'!P299</f>
        <v>0</v>
      </c>
      <c r="H296">
        <f>'RESUMEN TOTAL'!Q299</f>
        <v>0</v>
      </c>
      <c r="I296">
        <f>'RESUMEN TOTAL'!R299</f>
        <v>0</v>
      </c>
      <c r="J296">
        <f>'RESUMEN TOTAL'!S299</f>
        <v>0</v>
      </c>
      <c r="K296">
        <f>'RESUMEN TOTAL'!T299</f>
        <v>0</v>
      </c>
      <c r="L296">
        <f>'RESUMEN TOTAL'!U299</f>
        <v>0</v>
      </c>
      <c r="M296">
        <f>'RESUMEN TOTAL'!V299</f>
        <v>0</v>
      </c>
      <c r="N296">
        <f>'RESUMEN TOTAL'!W299</f>
        <v>0</v>
      </c>
      <c r="O296">
        <f>'RESUMEN TOTAL'!X299</f>
        <v>0</v>
      </c>
      <c r="P296">
        <f>'RESUMEN TOTAL'!Y299</f>
        <v>0</v>
      </c>
      <c r="Q296">
        <f>'RESUMEN TOTAL'!Z299</f>
        <v>0</v>
      </c>
      <c r="R296">
        <f>'RESUMEN TOTAL'!AA299</f>
        <v>0</v>
      </c>
      <c r="S296">
        <f>'RESUMEN TOTAL'!AB299</f>
        <v>0</v>
      </c>
      <c r="T296">
        <f>'RESUMEN TOTAL'!AC299</f>
        <v>0</v>
      </c>
      <c r="U296">
        <f>'RESUMEN TOTAL'!AD299</f>
        <v>0</v>
      </c>
      <c r="V296">
        <f>'RESUMEN TOTAL'!AE299</f>
        <v>0</v>
      </c>
      <c r="W296">
        <f>'RESUMEN TOTAL'!AF299</f>
        <v>0</v>
      </c>
      <c r="X296">
        <f>'RESUMEN TOTAL'!AG299</f>
        <v>0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  <c r="AH296">
        <f>'RESUMEN TOTAL'!AQ299</f>
        <v>0</v>
      </c>
      <c r="AI296">
        <f>'RESUMEN TOTAL'!AR299</f>
        <v>0</v>
      </c>
    </row>
    <row r="297" spans="1:35" x14ac:dyDescent="0.25">
      <c r="A297" t="str">
        <f>'RESUMEN TOTAL'!A300</f>
        <v>SANTA ROSA</v>
      </c>
      <c r="B297" t="str">
        <f>'RESUMEN TOTAL'!B300</f>
        <v>SRO01</v>
      </c>
      <c r="C297" t="str">
        <f>'RESUMEN TOTAL'!D300</f>
        <v>Yugoslavia y MilÃ¡n</v>
      </c>
      <c r="D297" t="str">
        <f>'RESUMEN TOTAL'!E300</f>
        <v>Domo</v>
      </c>
      <c r="E297" t="str">
        <f>'RESUMEN TOTAL'!F300</f>
        <v>Radio</v>
      </c>
      <c r="F297">
        <f>'RESUMEN TOTAL'!O300</f>
        <v>0</v>
      </c>
      <c r="G297">
        <f>'RESUMEN TOTAL'!P300</f>
        <v>0</v>
      </c>
      <c r="H297">
        <f>'RESUMEN TOTAL'!Q300</f>
        <v>0</v>
      </c>
      <c r="I297">
        <f>'RESUMEN TOTAL'!R300</f>
        <v>0</v>
      </c>
      <c r="J297">
        <f>'RESUMEN TOTAL'!S300</f>
        <v>0</v>
      </c>
      <c r="K297">
        <f>'RESUMEN TOTAL'!T300</f>
        <v>0</v>
      </c>
      <c r="L297">
        <f>'RESUMEN TOTAL'!U300</f>
        <v>0</v>
      </c>
      <c r="M297">
        <f>'RESUMEN TOTAL'!V300</f>
        <v>0</v>
      </c>
      <c r="N297">
        <f>'RESUMEN TOTAL'!W300</f>
        <v>0</v>
      </c>
      <c r="O297">
        <f>'RESUMEN TOTAL'!X300</f>
        <v>0</v>
      </c>
      <c r="P297">
        <f>'RESUMEN TOTAL'!Y300</f>
        <v>0</v>
      </c>
      <c r="Q297">
        <f>'RESUMEN TOTAL'!Z300</f>
        <v>0</v>
      </c>
      <c r="R297">
        <f>'RESUMEN TOTAL'!AA300</f>
        <v>0</v>
      </c>
      <c r="S297">
        <f>'RESUMEN TOTAL'!AB300</f>
        <v>0</v>
      </c>
      <c r="T297">
        <f>'RESUMEN TOTAL'!AC300</f>
        <v>0</v>
      </c>
      <c r="U297">
        <f>'RESUMEN TOTAL'!AD300</f>
        <v>0</v>
      </c>
      <c r="V297">
        <f>'RESUMEN TOTAL'!AE300</f>
        <v>0</v>
      </c>
      <c r="W297">
        <f>'RESUMEN TOTAL'!AF300</f>
        <v>0</v>
      </c>
      <c r="X297">
        <f>'RESUMEN TOTAL'!AG300</f>
        <v>0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  <c r="AH297">
        <f>'RESUMEN TOTAL'!AQ300</f>
        <v>0</v>
      </c>
      <c r="AI297">
        <f>'RESUMEN TOTAL'!AR300</f>
        <v>0</v>
      </c>
    </row>
    <row r="298" spans="1:35" x14ac:dyDescent="0.25">
      <c r="A298" t="str">
        <f>'RESUMEN TOTAL'!A301</f>
        <v>ZONA RURAL SANTA ROSA</v>
      </c>
      <c r="B298" t="str">
        <f>'RESUMEN TOTAL'!B301</f>
        <v>SRO02</v>
      </c>
      <c r="C298" t="str">
        <f>'RESUMEN TOTAL'!D301</f>
        <v>Bruselas y Calle 448</v>
      </c>
      <c r="D298" t="str">
        <f>'RESUMEN TOTAL'!E301</f>
        <v>Domo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>
        <f>'RESUMEN TOTAL'!R301</f>
        <v>0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>
        <f>'RESUMEN TOTAL'!Y301</f>
        <v>0</v>
      </c>
      <c r="Q298">
        <f>'RESUMEN TOTAL'!Z301</f>
        <v>0</v>
      </c>
      <c r="R298">
        <f>'RESUMEN TOTAL'!AA301</f>
        <v>0</v>
      </c>
      <c r="S298">
        <f>'RESUMEN TOTAL'!AB301</f>
        <v>0</v>
      </c>
      <c r="T298">
        <f>'RESUMEN TOTAL'!AC301</f>
        <v>0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  <c r="AH298">
        <f>'RESUMEN TOTAL'!AQ301</f>
        <v>0</v>
      </c>
      <c r="AI298">
        <f>'RESUMEN TOTAL'!AR301</f>
        <v>0</v>
      </c>
    </row>
    <row r="299" spans="1:35" x14ac:dyDescent="0.25">
      <c r="A299" t="str">
        <f>'RESUMEN TOTAL'!A302</f>
        <v>SANTA ROSA</v>
      </c>
      <c r="B299" t="str">
        <f>'RESUMEN TOTAL'!B302</f>
        <v>SRO03</v>
      </c>
      <c r="C299" t="str">
        <f>'RESUMEN TOTAL'!D302</f>
        <v>Eva Peron y Paysandu</v>
      </c>
      <c r="D299" t="str">
        <f>'RESUMEN TOTAL'!E302</f>
        <v>Domo</v>
      </c>
      <c r="E299" t="str">
        <f>'RESUMEN TOTAL'!F302</f>
        <v>Radio</v>
      </c>
      <c r="F299" t="str">
        <f>'RESUMEN TOTAL'!O302</f>
        <v>APAGADO</v>
      </c>
      <c r="G299" t="str">
        <f>'RESUMEN TOTAL'!P302</f>
        <v>APAGADO</v>
      </c>
      <c r="H299">
        <f>'RESUMEN TOTAL'!Q302</f>
        <v>0</v>
      </c>
      <c r="I299">
        <f>'RESUMEN TOTAL'!R302</f>
        <v>0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>
        <f>'RESUMEN TOTAL'!Y302</f>
        <v>0</v>
      </c>
      <c r="Q299">
        <f>'RESUMEN TOTAL'!Z302</f>
        <v>0</v>
      </c>
      <c r="R299">
        <f>'RESUMEN TOTAL'!AA302</f>
        <v>0</v>
      </c>
      <c r="S299">
        <f>'RESUMEN TOTAL'!AB302</f>
        <v>0</v>
      </c>
      <c r="T299">
        <f>'RESUMEN TOTAL'!AC302</f>
        <v>0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>
        <f>'RESUMEN TOTAL'!AO302</f>
        <v>0</v>
      </c>
      <c r="AG299">
        <f>'RESUMEN TOTAL'!AP302</f>
        <v>0</v>
      </c>
      <c r="AH299">
        <f>'RESUMEN TOTAL'!AQ302</f>
        <v>0</v>
      </c>
      <c r="AI299">
        <f>'RESUMEN TOTAL'!AR302</f>
        <v>0</v>
      </c>
    </row>
    <row r="300" spans="1:35" x14ac:dyDescent="0.25">
      <c r="A300" t="str">
        <f>'RESUMEN TOTAL'!A303</f>
        <v>SANTA ROSA</v>
      </c>
      <c r="B300" t="str">
        <f>'RESUMEN TOTAL'!B303</f>
        <v>SRO05</v>
      </c>
      <c r="C300" t="str">
        <f>'RESUMEN TOTAL'!D303</f>
        <v>CAFFERATA Y BONN</v>
      </c>
      <c r="D300" t="str">
        <f>'RESUMEN TOTAL'!E303</f>
        <v>DOMO</v>
      </c>
      <c r="E300" t="str">
        <f>'RESUMEN TOTAL'!F303</f>
        <v>Radio</v>
      </c>
      <c r="F300">
        <f>'RESUMEN TOTAL'!O303</f>
        <v>0</v>
      </c>
      <c r="G300">
        <f>'RESUMEN TOTAL'!P303</f>
        <v>0</v>
      </c>
      <c r="H300">
        <f>'RESUMEN TOTAL'!Q303</f>
        <v>0</v>
      </c>
      <c r="I300">
        <f>'RESUMEN TOTAL'!R303</f>
        <v>0</v>
      </c>
      <c r="J300">
        <f>'RESUMEN TOTAL'!S303</f>
        <v>0</v>
      </c>
      <c r="K300">
        <f>'RESUMEN TOTAL'!T303</f>
        <v>0</v>
      </c>
      <c r="L300">
        <f>'RESUMEN TOTAL'!U303</f>
        <v>0</v>
      </c>
      <c r="M300">
        <f>'RESUMEN TOTAL'!V303</f>
        <v>0</v>
      </c>
      <c r="N300">
        <f>'RESUMEN TOTAL'!W303</f>
        <v>0</v>
      </c>
      <c r="O300">
        <f>'RESUMEN TOTAL'!X303</f>
        <v>0</v>
      </c>
      <c r="P300">
        <f>'RESUMEN TOTAL'!Y303</f>
        <v>0</v>
      </c>
      <c r="Q300">
        <f>'RESUMEN TOTAL'!Z303</f>
        <v>0</v>
      </c>
      <c r="R300">
        <f>'RESUMEN TOTAL'!AA303</f>
        <v>0</v>
      </c>
      <c r="S300">
        <f>'RESUMEN TOTAL'!AB303</f>
        <v>0</v>
      </c>
      <c r="T300">
        <f>'RESUMEN TOTAL'!AC303</f>
        <v>0</v>
      </c>
      <c r="U300">
        <f>'RESUMEN TOTAL'!AD303</f>
        <v>0</v>
      </c>
      <c r="V300">
        <f>'RESUMEN TOTAL'!AE303</f>
        <v>0</v>
      </c>
      <c r="W300">
        <f>'RESUMEN TOTAL'!AF303</f>
        <v>0</v>
      </c>
      <c r="X300">
        <f>'RESUMEN TOTAL'!AG303</f>
        <v>0</v>
      </c>
      <c r="Y300">
        <f>'RESUMEN TOTAL'!AH303</f>
        <v>0</v>
      </c>
      <c r="Z300">
        <f>'RESUMEN TOTAL'!AI303</f>
        <v>0</v>
      </c>
      <c r="AA300">
        <f>'RESUMEN TOTAL'!AJ303</f>
        <v>0</v>
      </c>
      <c r="AB300">
        <f>'RESUMEN TOTAL'!AK303</f>
        <v>0</v>
      </c>
      <c r="AC300">
        <f>'RESUMEN TOTAL'!AL303</f>
        <v>0</v>
      </c>
      <c r="AD300">
        <f>'RESUMEN TOTAL'!AM303</f>
        <v>0</v>
      </c>
      <c r="AE300">
        <f>'RESUMEN TOTAL'!AN303</f>
        <v>0</v>
      </c>
      <c r="AF300">
        <f>'RESUMEN TOTAL'!AO303</f>
        <v>0</v>
      </c>
      <c r="AG300">
        <f>'RESUMEN TOTAL'!AP303</f>
        <v>0</v>
      </c>
      <c r="AH300">
        <f>'RESUMEN TOTAL'!AQ303</f>
        <v>0</v>
      </c>
      <c r="AI300">
        <f>'RESUMEN TOTAL'!AR303</f>
        <v>0</v>
      </c>
    </row>
    <row r="301" spans="1:35" x14ac:dyDescent="0.25">
      <c r="A301" t="str">
        <f>'RESUMEN TOTAL'!A304</f>
        <v>SANTA ROSA</v>
      </c>
      <c r="B301" t="str">
        <f>'RESUMEN TOTAL'!B304</f>
        <v>SRO06</v>
      </c>
      <c r="C301" t="str">
        <f>'RESUMEN TOTAL'!D304</f>
        <v>Novak y Bonn</v>
      </c>
      <c r="D301" t="str">
        <f>'RESUMEN TOTAL'!E304</f>
        <v>Domo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>
        <f>'RESUMEN TOTAL'!R304</f>
        <v>0</v>
      </c>
      <c r="J301">
        <f>'RESUMEN TOTAL'!S304</f>
        <v>0</v>
      </c>
      <c r="K301">
        <f>'RESUMEN TOTAL'!T304</f>
        <v>0</v>
      </c>
      <c r="L301">
        <f>'RESUMEN TOTAL'!U304</f>
        <v>0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>
        <f>'RESUMEN TOTAL'!Y304</f>
        <v>0</v>
      </c>
      <c r="Q301">
        <f>'RESUMEN TOTAL'!Z304</f>
        <v>0</v>
      </c>
      <c r="R301">
        <f>'RESUMEN TOTAL'!AA304</f>
        <v>0</v>
      </c>
      <c r="S301">
        <f>'RESUMEN TOTAL'!AB304</f>
        <v>0</v>
      </c>
      <c r="T301">
        <f>'RESUMEN TOTAL'!AC304</f>
        <v>0</v>
      </c>
      <c r="U301">
        <f>'RESUMEN TOTAL'!AD304</f>
        <v>0</v>
      </c>
      <c r="V301">
        <f>'RESUMEN TOTAL'!AE304</f>
        <v>0</v>
      </c>
      <c r="W301">
        <f>'RESUMEN TOTAL'!AF304</f>
        <v>0</v>
      </c>
      <c r="X301">
        <f>'RESUMEN TOTAL'!AG304</f>
        <v>0</v>
      </c>
      <c r="Y301">
        <f>'RESUMEN TOTAL'!AH304</f>
        <v>0</v>
      </c>
      <c r="Z301">
        <f>'RESUMEN TOTAL'!AI304</f>
        <v>0</v>
      </c>
      <c r="AA301">
        <f>'RESUMEN TOTAL'!AJ304</f>
        <v>0</v>
      </c>
      <c r="AB301">
        <f>'RESUMEN TOTAL'!AK304</f>
        <v>0</v>
      </c>
      <c r="AC301">
        <f>'RESUMEN TOTAL'!AL304</f>
        <v>0</v>
      </c>
      <c r="AD301">
        <f>'RESUMEN TOTAL'!AM304</f>
        <v>0</v>
      </c>
      <c r="AE301">
        <f>'RESUMEN TOTAL'!AN304</f>
        <v>0</v>
      </c>
      <c r="AF301">
        <f>'RESUMEN TOTAL'!AO304</f>
        <v>0</v>
      </c>
      <c r="AG301">
        <f>'RESUMEN TOTAL'!AP304</f>
        <v>0</v>
      </c>
      <c r="AH301">
        <f>'RESUMEN TOTAL'!AQ304</f>
        <v>0</v>
      </c>
      <c r="AI301">
        <f>'RESUMEN TOTAL'!AR304</f>
        <v>0</v>
      </c>
    </row>
    <row r="302" spans="1:35" x14ac:dyDescent="0.25">
      <c r="A302" t="str">
        <f>'RESUMEN TOTAL'!A305</f>
        <v>SANTA ROSA</v>
      </c>
      <c r="B302" t="str">
        <f>'RESUMEN TOTAL'!B305</f>
        <v>SRO07</v>
      </c>
      <c r="C302" t="str">
        <f>'RESUMEN TOTAL'!D305</f>
        <v>NOVAK Y BELGICA</v>
      </c>
      <c r="D302" t="str">
        <f>'RESUMEN TOTAL'!E305</f>
        <v>Domo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>
        <f>'RESUMEN TOTAL'!R305</f>
        <v>0</v>
      </c>
      <c r="J302">
        <f>'RESUMEN TOTAL'!S305</f>
        <v>0</v>
      </c>
      <c r="K302">
        <f>'RESUMEN TOTAL'!T305</f>
        <v>0</v>
      </c>
      <c r="L302">
        <f>'RESUMEN TOTAL'!U305</f>
        <v>0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>
        <f>'RESUMEN TOTAL'!Y305</f>
        <v>0</v>
      </c>
      <c r="Q302">
        <f>'RESUMEN TOTAL'!Z305</f>
        <v>0</v>
      </c>
      <c r="R302">
        <f>'RESUMEN TOTAL'!AA305</f>
        <v>0</v>
      </c>
      <c r="S302">
        <f>'RESUMEN TOTAL'!AB305</f>
        <v>0</v>
      </c>
      <c r="T302">
        <f>'RESUMEN TOTAL'!AC305</f>
        <v>0</v>
      </c>
      <c r="U302">
        <f>'RESUMEN TOTAL'!AD305</f>
        <v>0</v>
      </c>
      <c r="V302">
        <f>'RESUMEN TOTAL'!AE305</f>
        <v>0</v>
      </c>
      <c r="W302">
        <f>'RESUMEN TOTAL'!AF305</f>
        <v>0</v>
      </c>
      <c r="X302">
        <f>'RESUMEN TOTAL'!AG305</f>
        <v>0</v>
      </c>
      <c r="Y302">
        <f>'RESUMEN TOTAL'!AH305</f>
        <v>0</v>
      </c>
      <c r="Z302">
        <f>'RESUMEN TOTAL'!AI305</f>
        <v>0</v>
      </c>
      <c r="AA302">
        <f>'RESUMEN TOTAL'!AJ305</f>
        <v>0</v>
      </c>
      <c r="AB302">
        <f>'RESUMEN TOTAL'!AK305</f>
        <v>0</v>
      </c>
      <c r="AC302">
        <f>'RESUMEN TOTAL'!AL305</f>
        <v>0</v>
      </c>
      <c r="AD302">
        <f>'RESUMEN TOTAL'!AM305</f>
        <v>0</v>
      </c>
      <c r="AE302">
        <f>'RESUMEN TOTAL'!AN305</f>
        <v>0</v>
      </c>
      <c r="AF302">
        <f>'RESUMEN TOTAL'!AO305</f>
        <v>0</v>
      </c>
      <c r="AG302">
        <f>'RESUMEN TOTAL'!AP305</f>
        <v>0</v>
      </c>
      <c r="AH302">
        <f>'RESUMEN TOTAL'!AQ305</f>
        <v>0</v>
      </c>
      <c r="AI302">
        <f>'RESUMEN TOTAL'!AR305</f>
        <v>0</v>
      </c>
    </row>
    <row r="303" spans="1:35" x14ac:dyDescent="0.25">
      <c r="A303" t="str">
        <f>'RESUMEN TOTAL'!A306</f>
        <v>SANTA ROSA</v>
      </c>
      <c r="B303" t="str">
        <f>'RESUMEN TOTAL'!B306</f>
        <v>SRO09</v>
      </c>
      <c r="C303" t="str">
        <f>'RESUMEN TOTAL'!D306</f>
        <v>BUCAREST E/ ALEMANIA Y CAFFERATA</v>
      </c>
      <c r="D303" t="str">
        <f>'RESUMEN TOTAL'!E306</f>
        <v>DOMO</v>
      </c>
      <c r="E303" t="str">
        <f>'RESUMEN TOTAL'!F306</f>
        <v>Radio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>
        <f>'RESUMEN TOTAL'!R306</f>
        <v>0</v>
      </c>
      <c r="J303">
        <f>'RESUMEN TOTAL'!S306</f>
        <v>0</v>
      </c>
      <c r="K303">
        <f>'RESUMEN TOTAL'!T306</f>
        <v>0</v>
      </c>
      <c r="L303">
        <f>'RESUMEN TOTAL'!U306</f>
        <v>0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>
        <f>'RESUMEN TOTAL'!Y306</f>
        <v>0</v>
      </c>
      <c r="Q303">
        <f>'RESUMEN TOTAL'!Z306</f>
        <v>0</v>
      </c>
      <c r="R303">
        <f>'RESUMEN TOTAL'!AA306</f>
        <v>0</v>
      </c>
      <c r="S303">
        <f>'RESUMEN TOTAL'!AB306</f>
        <v>0</v>
      </c>
      <c r="T303">
        <f>'RESUMEN TOTAL'!AC306</f>
        <v>0</v>
      </c>
      <c r="U303">
        <f>'RESUMEN TOTAL'!AD306</f>
        <v>0</v>
      </c>
      <c r="V303">
        <f>'RESUMEN TOTAL'!AE306</f>
        <v>0</v>
      </c>
      <c r="W303">
        <f>'RESUMEN TOTAL'!AF306</f>
        <v>0</v>
      </c>
      <c r="X303">
        <f>'RESUMEN TOTAL'!AG306</f>
        <v>0</v>
      </c>
      <c r="Y303">
        <f>'RESUMEN TOTAL'!AH306</f>
        <v>0</v>
      </c>
      <c r="Z303">
        <f>'RESUMEN TOTAL'!AI306</f>
        <v>0</v>
      </c>
      <c r="AA303">
        <f>'RESUMEN TOTAL'!AJ306</f>
        <v>0</v>
      </c>
      <c r="AB303">
        <f>'RESUMEN TOTAL'!AK306</f>
        <v>0</v>
      </c>
      <c r="AC303">
        <f>'RESUMEN TOTAL'!AL306</f>
        <v>0</v>
      </c>
      <c r="AD303">
        <f>'RESUMEN TOTAL'!AM306</f>
        <v>0</v>
      </c>
      <c r="AE303">
        <f>'RESUMEN TOTAL'!AN306</f>
        <v>0</v>
      </c>
      <c r="AF303">
        <f>'RESUMEN TOTAL'!AO306</f>
        <v>0</v>
      </c>
      <c r="AG303">
        <f>'RESUMEN TOTAL'!AP306</f>
        <v>0</v>
      </c>
      <c r="AH303">
        <f>'RESUMEN TOTAL'!AQ306</f>
        <v>0</v>
      </c>
      <c r="AI303">
        <f>'RESUMEN TOTAL'!AR306</f>
        <v>0</v>
      </c>
    </row>
    <row r="304" spans="1:35" x14ac:dyDescent="0.25">
      <c r="A304" t="str">
        <f>'RESUMEN TOTAL'!A307</f>
        <v>SANTA ROSA</v>
      </c>
      <c r="B304" t="str">
        <f>'RESUMEN TOTAL'!B307</f>
        <v>SRO10</v>
      </c>
      <c r="C304" t="str">
        <f>'RESUMEN TOTAL'!D307</f>
        <v>DINAMARCA Y MILAN</v>
      </c>
      <c r="D304" t="str">
        <f>'RESUMEN TOTAL'!E307</f>
        <v>DOMO</v>
      </c>
      <c r="E304" t="str">
        <f>'RESUMEN TOTAL'!F307</f>
        <v>Radio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>
        <f>'RESUMEN TOTAL'!R307</f>
        <v>0</v>
      </c>
      <c r="J304">
        <f>'RESUMEN TOTAL'!S307</f>
        <v>0</v>
      </c>
      <c r="K304">
        <f>'RESUMEN TOTAL'!T307</f>
        <v>0</v>
      </c>
      <c r="L304">
        <f>'RESUMEN TOTAL'!U307</f>
        <v>0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>
        <f>'RESUMEN TOTAL'!Y307</f>
        <v>0</v>
      </c>
      <c r="Q304">
        <f>'RESUMEN TOTAL'!Z307</f>
        <v>0</v>
      </c>
      <c r="R304">
        <f>'RESUMEN TOTAL'!AA307</f>
        <v>0</v>
      </c>
      <c r="S304">
        <f>'RESUMEN TOTAL'!AB307</f>
        <v>0</v>
      </c>
      <c r="T304">
        <f>'RESUMEN TOTAL'!AC307</f>
        <v>0</v>
      </c>
      <c r="U304">
        <f>'RESUMEN TOTAL'!AD307</f>
        <v>0</v>
      </c>
      <c r="V304">
        <f>'RESUMEN TOTAL'!AE307</f>
        <v>0</v>
      </c>
      <c r="W304">
        <f>'RESUMEN TOTAL'!AF307</f>
        <v>0</v>
      </c>
      <c r="X304">
        <f>'RESUMEN TOTAL'!AG307</f>
        <v>0</v>
      </c>
      <c r="Y304">
        <f>'RESUMEN TOTAL'!AH307</f>
        <v>0</v>
      </c>
      <c r="Z304">
        <f>'RESUMEN TOTAL'!AI307</f>
        <v>0</v>
      </c>
      <c r="AA304">
        <f>'RESUMEN TOTAL'!AJ307</f>
        <v>0</v>
      </c>
      <c r="AB304">
        <f>'RESUMEN TOTAL'!AK307</f>
        <v>0</v>
      </c>
      <c r="AC304">
        <f>'RESUMEN TOTAL'!AL307</f>
        <v>0</v>
      </c>
      <c r="AD304">
        <f>'RESUMEN TOTAL'!AM307</f>
        <v>0</v>
      </c>
      <c r="AE304">
        <f>'RESUMEN TOTAL'!AN307</f>
        <v>0</v>
      </c>
      <c r="AF304">
        <f>'RESUMEN TOTAL'!AO307</f>
        <v>0</v>
      </c>
      <c r="AG304">
        <f>'RESUMEN TOTAL'!AP307</f>
        <v>0</v>
      </c>
      <c r="AH304">
        <f>'RESUMEN TOTAL'!AQ307</f>
        <v>0</v>
      </c>
      <c r="AI304">
        <f>'RESUMEN TOTAL'!AR307</f>
        <v>0</v>
      </c>
    </row>
    <row r="305" spans="1:35" x14ac:dyDescent="0.25">
      <c r="A305" t="str">
        <f>'RESUMEN TOTAL'!A308</f>
        <v>SANTA ROSA</v>
      </c>
      <c r="B305" t="str">
        <f>'RESUMEN TOTAL'!B308</f>
        <v>SRO12</v>
      </c>
      <c r="C305" t="str">
        <f>'RESUMEN TOTAL'!D308</f>
        <v>YUGOSLAVIA Y PAYSANDU</v>
      </c>
      <c r="D305" t="str">
        <f>'RESUMEN TOTAL'!E308</f>
        <v>DOMO</v>
      </c>
      <c r="E305" t="str">
        <f>'RESUMEN TOTAL'!F308</f>
        <v>Radio</v>
      </c>
      <c r="F305">
        <f>'RESUMEN TOTAL'!O308</f>
        <v>0</v>
      </c>
      <c r="G305">
        <f>'RESUMEN TOTAL'!P308</f>
        <v>0</v>
      </c>
      <c r="H305">
        <f>'RESUMEN TOTAL'!Q308</f>
        <v>0</v>
      </c>
      <c r="I305">
        <f>'RESUMEN TOTAL'!R308</f>
        <v>0</v>
      </c>
      <c r="J305">
        <f>'RESUMEN TOTAL'!S308</f>
        <v>0</v>
      </c>
      <c r="K305">
        <f>'RESUMEN TOTAL'!T308</f>
        <v>0</v>
      </c>
      <c r="L305">
        <f>'RESUMEN TOTAL'!U308</f>
        <v>0</v>
      </c>
      <c r="M305">
        <f>'RESUMEN TOTAL'!V308</f>
        <v>0</v>
      </c>
      <c r="N305">
        <f>'RESUMEN TOTAL'!W308</f>
        <v>0</v>
      </c>
      <c r="O305">
        <f>'RESUMEN TOTAL'!X308</f>
        <v>0</v>
      </c>
      <c r="P305">
        <f>'RESUMEN TOTAL'!Y308</f>
        <v>0</v>
      </c>
      <c r="Q305">
        <f>'RESUMEN TOTAL'!Z308</f>
        <v>0</v>
      </c>
      <c r="R305">
        <f>'RESUMEN TOTAL'!AA308</f>
        <v>0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>
        <f>'RESUMEN TOTAL'!AK308</f>
        <v>0</v>
      </c>
      <c r="AC305">
        <f>'RESUMEN TOTAL'!AL308</f>
        <v>0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  <c r="AH305">
        <f>'RESUMEN TOTAL'!AQ308</f>
        <v>0</v>
      </c>
      <c r="AI305">
        <f>'RESUMEN TOTAL'!AR308</f>
        <v>0</v>
      </c>
    </row>
    <row r="306" spans="1:35" x14ac:dyDescent="0.25">
      <c r="A306" t="str">
        <f>'RESUMEN TOTAL'!A309</f>
        <v>SANTA ROSA</v>
      </c>
      <c r="B306" t="str">
        <f>'RESUMEN TOTAL'!B309</f>
        <v>SRO15</v>
      </c>
      <c r="C306" t="str">
        <f>'RESUMEN TOTAL'!D309</f>
        <v>NOVAK Y TIRANA (614)</v>
      </c>
      <c r="D306" t="str">
        <f>'RESUMEN TOTAL'!E309</f>
        <v>DOMO</v>
      </c>
      <c r="E306" t="str">
        <f>'RESUMEN TOTAL'!F309</f>
        <v>Fibra Optica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>
        <f>'RESUMEN TOTAL'!R309</f>
        <v>0</v>
      </c>
      <c r="J306">
        <f>'RESUMEN TOTAL'!S309</f>
        <v>0</v>
      </c>
      <c r="K306">
        <f>'RESUMEN TOTAL'!T309</f>
        <v>0</v>
      </c>
      <c r="L306">
        <f>'RESUMEN TOTAL'!U309</f>
        <v>0</v>
      </c>
      <c r="M306">
        <f>'RESUMEN TOTAL'!V309</f>
        <v>0</v>
      </c>
      <c r="N306">
        <f>'RESUMEN TOTAL'!W309</f>
        <v>0</v>
      </c>
      <c r="O306">
        <f>'RESUMEN TOTAL'!X309</f>
        <v>0</v>
      </c>
      <c r="P306">
        <f>'RESUMEN TOTAL'!Y309</f>
        <v>0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>
        <f>'RESUMEN TOTAL'!AG309</f>
        <v>0</v>
      </c>
      <c r="Y306">
        <f>'RESUMEN TOTAL'!AH309</f>
        <v>0</v>
      </c>
      <c r="Z306">
        <f>'RESUMEN TOTAL'!AI309</f>
        <v>0</v>
      </c>
      <c r="AA306">
        <f>'RESUMEN TOTAL'!AJ309</f>
        <v>0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  <c r="AH306">
        <f>'RESUMEN TOTAL'!AQ309</f>
        <v>0</v>
      </c>
      <c r="AI306">
        <f>'RESUMEN TOTAL'!AR309</f>
        <v>0</v>
      </c>
    </row>
    <row r="307" spans="1:35" x14ac:dyDescent="0.25">
      <c r="A307" t="str">
        <f>'RESUMEN TOTAL'!A310</f>
        <v>SANTA ROSA</v>
      </c>
      <c r="B307" t="str">
        <f>'RESUMEN TOTAL'!B310</f>
        <v>SRO16 (fija 1)</v>
      </c>
      <c r="C307" t="str">
        <f>'RESUMEN TOTAL'!D310</f>
        <v>ANDORRA E/ BELGICA Y SAN MARINO</v>
      </c>
      <c r="D307" t="str">
        <f>'RESUMEN TOTAL'!E310</f>
        <v>Fija</v>
      </c>
      <c r="E307" t="str">
        <f>'RESUMEN TOTAL'!F310</f>
        <v>Fibra Optica</v>
      </c>
      <c r="F307">
        <f>'RESUMEN TOTAL'!O310</f>
        <v>0</v>
      </c>
      <c r="G307">
        <f>'RESUMEN TOTAL'!P310</f>
        <v>0</v>
      </c>
      <c r="H307">
        <f>'RESUMEN TOTAL'!Q310</f>
        <v>0</v>
      </c>
      <c r="I307">
        <f>'RESUMEN TOTAL'!R310</f>
        <v>0</v>
      </c>
      <c r="J307">
        <f>'RESUMEN TOTAL'!S310</f>
        <v>0</v>
      </c>
      <c r="K307">
        <f>'RESUMEN TOTAL'!T310</f>
        <v>0</v>
      </c>
      <c r="L307">
        <f>'RESUMEN TOTAL'!U310</f>
        <v>0</v>
      </c>
      <c r="M307">
        <f>'RESUMEN TOTAL'!V310</f>
        <v>0</v>
      </c>
      <c r="N307">
        <f>'RESUMEN TOTAL'!W310</f>
        <v>0</v>
      </c>
      <c r="O307">
        <f>'RESUMEN TOTAL'!X310</f>
        <v>0</v>
      </c>
      <c r="P307">
        <f>'RESUMEN TOTAL'!Y310</f>
        <v>0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>
        <f>'RESUMEN TOTAL'!AF310</f>
        <v>0</v>
      </c>
      <c r="X307">
        <f>'RESUMEN TOTAL'!AG310</f>
        <v>0</v>
      </c>
      <c r="Y307">
        <f>'RESUMEN TOTAL'!AH310</f>
        <v>0</v>
      </c>
      <c r="Z307">
        <f>'RESUMEN TOTAL'!AI310</f>
        <v>0</v>
      </c>
      <c r="AA307">
        <f>'RESUMEN TOTAL'!AJ310</f>
        <v>0</v>
      </c>
      <c r="AB307">
        <f>'RESUMEN TOTAL'!AK310</f>
        <v>0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  <c r="AH307">
        <f>'RESUMEN TOTAL'!AQ310</f>
        <v>0</v>
      </c>
      <c r="AI307">
        <f>'RESUMEN TOTAL'!AR310</f>
        <v>0</v>
      </c>
    </row>
    <row r="308" spans="1:35" x14ac:dyDescent="0.25">
      <c r="A308" t="str">
        <f>'RESUMEN TOTAL'!A311</f>
        <v>SANTA ROSA</v>
      </c>
      <c r="B308" t="str">
        <f>'RESUMEN TOTAL'!B311</f>
        <v>SRO17 (fija 2)</v>
      </c>
      <c r="C308" t="str">
        <f>'RESUMEN TOTAL'!D311</f>
        <v>ANDORRA E/ BELGICA Y SAN MARINO</v>
      </c>
      <c r="D308" t="str">
        <f>'RESUMEN TOTAL'!E311</f>
        <v>Fija</v>
      </c>
      <c r="E308" t="str">
        <f>'RESUMEN TOTAL'!F311</f>
        <v>Fibra Optica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>
        <f>'RESUMEN TOTAL'!AD311</f>
        <v>0</v>
      </c>
      <c r="V308">
        <f>'RESUMEN TOTAL'!AE311</f>
        <v>0</v>
      </c>
      <c r="W308">
        <f>'RESUMEN TOTAL'!AF311</f>
        <v>0</v>
      </c>
      <c r="X308">
        <f>'RESUMEN TOTAL'!AG311</f>
        <v>0</v>
      </c>
      <c r="Y308">
        <f>'RESUMEN TOTAL'!AH311</f>
        <v>0</v>
      </c>
      <c r="Z308">
        <f>'RESUMEN TOTAL'!AI311</f>
        <v>0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  <c r="AH308">
        <f>'RESUMEN TOTAL'!AQ311</f>
        <v>0</v>
      </c>
      <c r="AI308">
        <f>'RESUMEN TOTAL'!AR311</f>
        <v>0</v>
      </c>
    </row>
    <row r="309" spans="1:35" x14ac:dyDescent="0.25">
      <c r="A309" t="str">
        <f>'RESUMEN TOTAL'!A312</f>
        <v>SAN RUDECINDO</v>
      </c>
      <c r="B309" t="str">
        <f>'RESUMEN TOTAL'!B312</f>
        <v>SRU01 (fija 1)</v>
      </c>
      <c r="C309" t="str">
        <f>'RESUMEN TOTAL'!D312</f>
        <v>HERNANDARIAS Y AMBATO</v>
      </c>
      <c r="D309" t="str">
        <f>'RESUMEN TOTAL'!E312</f>
        <v>Fija</v>
      </c>
      <c r="E309" t="str">
        <f>'RESUMEN TOTAL'!F312</f>
        <v>Fibra Optica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 t="str">
        <f>'RESUMEN TOTAL'!U312</f>
        <v>APAGADO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>
        <f>'RESUMEN TOTAL'!AE312</f>
        <v>0</v>
      </c>
      <c r="W309">
        <f>'RESUMEN TOTAL'!AF312</f>
        <v>0</v>
      </c>
      <c r="X309">
        <f>'RESUMEN TOTAL'!AG312</f>
        <v>0</v>
      </c>
      <c r="Y309">
        <f>'RESUMEN TOTAL'!AH312</f>
        <v>0</v>
      </c>
      <c r="Z309">
        <f>'RESUMEN TOTAL'!AI312</f>
        <v>0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  <c r="AH309">
        <f>'RESUMEN TOTAL'!AQ312</f>
        <v>0</v>
      </c>
      <c r="AI309">
        <f>'RESUMEN TOTAL'!AR312</f>
        <v>0</v>
      </c>
    </row>
    <row r="310" spans="1:35" x14ac:dyDescent="0.25">
      <c r="A310" t="str">
        <f>'RESUMEN TOTAL'!A313</f>
        <v>SAN RUDECINDO</v>
      </c>
      <c r="B310" t="str">
        <f>'RESUMEN TOTAL'!B313</f>
        <v>SRU02 (fija 2)</v>
      </c>
      <c r="C310" t="str">
        <f>'RESUMEN TOTAL'!D313</f>
        <v>HERNANDARIAS Y AMBATO</v>
      </c>
      <c r="D310" t="str">
        <f>'RESUMEN TOTAL'!E313</f>
        <v>Fija</v>
      </c>
      <c r="E310" t="str">
        <f>'RESUMEN TOTAL'!F313</f>
        <v>Fibra Optica</v>
      </c>
      <c r="F310">
        <f>'RESUMEN TOTAL'!O313</f>
        <v>0</v>
      </c>
      <c r="G310">
        <f>'RESUMEN TOTAL'!P313</f>
        <v>0</v>
      </c>
      <c r="H310">
        <f>'RESUMEN TOTAL'!Q313</f>
        <v>0</v>
      </c>
      <c r="I310">
        <f>'RESUMEN TOTAL'!R313</f>
        <v>0</v>
      </c>
      <c r="J310">
        <f>'RESUMEN TOTAL'!S313</f>
        <v>0</v>
      </c>
      <c r="K310">
        <f>'RESUMEN TOTAL'!T313</f>
        <v>0</v>
      </c>
      <c r="L310" t="str">
        <f>'RESUMEN TOTAL'!U313</f>
        <v>APAGADO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>
        <f>'RESUMEN TOTAL'!AA313</f>
        <v>0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>
        <f>'RESUMEN TOTAL'!AE313</f>
        <v>0</v>
      </c>
      <c r="W310">
        <f>'RESUMEN TOTAL'!AF313</f>
        <v>0</v>
      </c>
      <c r="X310">
        <f>'RESUMEN TOTAL'!AG313</f>
        <v>0</v>
      </c>
      <c r="Y310">
        <f>'RESUMEN TOTAL'!AH313</f>
        <v>0</v>
      </c>
      <c r="Z310">
        <f>'RESUMEN TOTAL'!AI313</f>
        <v>0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  <c r="AH310">
        <f>'RESUMEN TOTAL'!AQ313</f>
        <v>0</v>
      </c>
      <c r="AI310">
        <f>'RESUMEN TOTAL'!AR313</f>
        <v>0</v>
      </c>
    </row>
    <row r="311" spans="1:35" x14ac:dyDescent="0.25">
      <c r="A311" t="str">
        <f>'RESUMEN TOTAL'!A314</f>
        <v>PRESIDENTE SARMIENTO</v>
      </c>
      <c r="B311" t="str">
        <f>'RESUMEN TOTAL'!B314</f>
        <v>VANG 09</v>
      </c>
      <c r="C311" t="str">
        <f>'RESUMEN TOTAL'!D314</f>
        <v>Ruta 36 y Senzabello</v>
      </c>
      <c r="D311" t="str">
        <f>'RESUMEN TOTAL'!E314</f>
        <v>Domo</v>
      </c>
      <c r="E311" t="str">
        <f>'RESUMEN TOTAL'!F314</f>
        <v>PTO A FO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>
        <f>'RESUMEN TOTAL'!R314</f>
        <v>0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>
        <f>'RESUMEN TOTAL'!AL314</f>
        <v>0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  <c r="AH311">
        <f>'RESUMEN TOTAL'!AQ314</f>
        <v>0</v>
      </c>
      <c r="AI311">
        <f>'RESUMEN TOTAL'!AR314</f>
        <v>0</v>
      </c>
    </row>
    <row r="312" spans="1:35" x14ac:dyDescent="0.25">
      <c r="A312" t="str">
        <f>'RESUMEN TOTAL'!A315</f>
        <v>VILLA ANGELICA</v>
      </c>
      <c r="B312" t="str">
        <f>'RESUMEN TOTAL'!B315</f>
        <v>VANG01</v>
      </c>
      <c r="C312" t="str">
        <f>'RESUMEN TOTAL'!D315</f>
        <v>Senzabello y Necochea</v>
      </c>
      <c r="D312" t="str">
        <f>'RESUMEN TOTAL'!E315</f>
        <v>Domo</v>
      </c>
      <c r="E312" t="str">
        <f>'RESUMEN TOTAL'!F315</f>
        <v>PTO A FO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>
        <f>'RESUMEN TOTAL'!Y315</f>
        <v>0</v>
      </c>
      <c r="Q312">
        <f>'RESUMEN TOTAL'!Z315</f>
        <v>0</v>
      </c>
      <c r="R312">
        <f>'RESUMEN TOTAL'!AA315</f>
        <v>0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  <c r="AH312">
        <f>'RESUMEN TOTAL'!AQ315</f>
        <v>0</v>
      </c>
      <c r="AI312">
        <f>'RESUMEN TOTAL'!AR315</f>
        <v>0</v>
      </c>
    </row>
    <row r="313" spans="1:35" x14ac:dyDescent="0.25">
      <c r="A313" t="str">
        <f>'RESUMEN TOTAL'!A316</f>
        <v>VILLA ANGELICA</v>
      </c>
      <c r="B313" t="str">
        <f>'RESUMEN TOTAL'!B316</f>
        <v>VANG02</v>
      </c>
      <c r="C313" t="str">
        <f>'RESUMEN TOTAL'!D316</f>
        <v>Thevenet y Ruta 36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>
        <f>'RESUMEN TOTAL'!R316</f>
        <v>0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  <c r="AH313">
        <f>'RESUMEN TOTAL'!AQ316</f>
        <v>0</v>
      </c>
      <c r="AI313">
        <f>'RESUMEN TOTAL'!AR316</f>
        <v>0</v>
      </c>
    </row>
    <row r="314" spans="1:35" x14ac:dyDescent="0.25">
      <c r="A314" t="str">
        <f>'RESUMEN TOTAL'!A317</f>
        <v>VILLA DEL PLATA</v>
      </c>
      <c r="B314" t="str">
        <f>'RESUMEN TOTAL'!B317</f>
        <v>VANG03</v>
      </c>
      <c r="C314" t="str">
        <f>'RESUMEN TOTAL'!D317</f>
        <v>Thevenet 1950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>
        <f>'RESUMEN TOTAL'!R317</f>
        <v>0</v>
      </c>
      <c r="J314">
        <f>'RESUMEN TOTAL'!S317</f>
        <v>0</v>
      </c>
      <c r="K314">
        <f>'RESUMEN TOTAL'!T317</f>
        <v>0</v>
      </c>
      <c r="L314">
        <f>'RESUMEN TOTAL'!U317</f>
        <v>0</v>
      </c>
      <c r="M314">
        <f>'RESUMEN TOTAL'!V317</f>
        <v>0</v>
      </c>
      <c r="N314">
        <f>'RESUMEN TOTAL'!W317</f>
        <v>0</v>
      </c>
      <c r="O314">
        <f>'RESUMEN TOTAL'!X317</f>
        <v>0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  <c r="AH314">
        <f>'RESUMEN TOTAL'!AQ317</f>
        <v>0</v>
      </c>
      <c r="AI314">
        <f>'RESUMEN TOTAL'!AR317</f>
        <v>0</v>
      </c>
    </row>
    <row r="315" spans="1:35" x14ac:dyDescent="0.25">
      <c r="A315" t="str">
        <f>'RESUMEN TOTAL'!A318</f>
        <v>VILLA ANGELICA</v>
      </c>
      <c r="B315" t="str">
        <f>'RESUMEN TOTAL'!B318</f>
        <v>VANG04</v>
      </c>
      <c r="C315" t="str">
        <f>'RESUMEN TOTAL'!D318</f>
        <v>Storni e/Thevenet y Calle 158</v>
      </c>
      <c r="D315" t="str">
        <f>'RESUMEN TOTAL'!E318</f>
        <v>DOMO</v>
      </c>
      <c r="E315" t="str">
        <f>'RESUMEN TOTAL'!F318</f>
        <v>Fibra Optica</v>
      </c>
      <c r="F315">
        <f>'RESUMEN TOTAL'!O318</f>
        <v>0</v>
      </c>
      <c r="G315">
        <f>'RESUMEN TOTAL'!P318</f>
        <v>0</v>
      </c>
      <c r="H315">
        <f>'RESUMEN TOTAL'!Q318</f>
        <v>0</v>
      </c>
      <c r="I315">
        <f>'RESUMEN TOTAL'!R318</f>
        <v>0</v>
      </c>
      <c r="J315">
        <f>'RESUMEN TOTAL'!S318</f>
        <v>0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  <c r="AH315">
        <f>'RESUMEN TOTAL'!AQ318</f>
        <v>0</v>
      </c>
      <c r="AI315">
        <f>'RESUMEN TOTAL'!AR318</f>
        <v>0</v>
      </c>
    </row>
    <row r="316" spans="1:35" x14ac:dyDescent="0.25">
      <c r="A316" t="str">
        <f>'RESUMEN TOTAL'!A319</f>
        <v>VILLA ANGELICA</v>
      </c>
      <c r="B316" t="str">
        <f>'RESUMEN TOTAL'!B319</f>
        <v>VANG05</v>
      </c>
      <c r="C316" t="str">
        <f>'RESUMEN TOTAL'!D319</f>
        <v>Storni y Thevenet</v>
      </c>
      <c r="D316" t="str">
        <f>'RESUMEN TOTAL'!E319</f>
        <v>Domo</v>
      </c>
      <c r="E316" t="str">
        <f>'RESUMEN TOTAL'!F319</f>
        <v>Fibra Optica</v>
      </c>
      <c r="F316">
        <f>'RESUMEN TOTAL'!O319</f>
        <v>0</v>
      </c>
      <c r="G316">
        <f>'RESUMEN TOTAL'!P319</f>
        <v>0</v>
      </c>
      <c r="H316">
        <f>'RESUMEN TOTAL'!Q319</f>
        <v>0</v>
      </c>
      <c r="I316">
        <f>'RESUMEN TOTAL'!R319</f>
        <v>0</v>
      </c>
      <c r="J316">
        <f>'RESUMEN TOTAL'!S319</f>
        <v>0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  <c r="AH316">
        <f>'RESUMEN TOTAL'!AQ319</f>
        <v>0</v>
      </c>
      <c r="AI316">
        <f>'RESUMEN TOTAL'!AR319</f>
        <v>0</v>
      </c>
    </row>
    <row r="317" spans="1:35" x14ac:dyDescent="0.25">
      <c r="A317" t="str">
        <f>'RESUMEN TOTAL'!A320</f>
        <v>VILLA ANGELICA</v>
      </c>
      <c r="B317" t="str">
        <f>'RESUMEN TOTAL'!B320</f>
        <v>VANG06</v>
      </c>
      <c r="C317" t="str">
        <f>'RESUMEN TOTAL'!D320</f>
        <v>Arenales e/Thevenet y Calle 158</v>
      </c>
      <c r="D317" t="str">
        <f>'RESUMEN TOTAL'!E320</f>
        <v>DOMO</v>
      </c>
      <c r="E317" t="str">
        <f>'RESUMEN TOTAL'!F320</f>
        <v>Fibra Optica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>
        <f>'RESUMEN TOTAL'!R320</f>
        <v>0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  <c r="AH317">
        <f>'RESUMEN TOTAL'!AQ320</f>
        <v>0</v>
      </c>
      <c r="AI317">
        <f>'RESUMEN TOTAL'!AR320</f>
        <v>0</v>
      </c>
    </row>
    <row r="318" spans="1:35" x14ac:dyDescent="0.25">
      <c r="A318" t="str">
        <f>'RESUMEN TOTAL'!A321</f>
        <v>VILLA ANGELICA</v>
      </c>
      <c r="B318" t="str">
        <f>'RESUMEN TOTAL'!B321</f>
        <v>VANG07</v>
      </c>
      <c r="C318" t="str">
        <f>'RESUMEN TOTAL'!D321</f>
        <v>Arenales y Thevenet</v>
      </c>
      <c r="D318" t="str">
        <f>'RESUMEN TOTAL'!E321</f>
        <v>Domo</v>
      </c>
      <c r="E318" t="str">
        <f>'RESUMEN TOTAL'!F321</f>
        <v>Fibra Optica</v>
      </c>
      <c r="F318">
        <f>'RESUMEN TOTAL'!O321</f>
        <v>0</v>
      </c>
      <c r="G318">
        <f>'RESUMEN TOTAL'!P321</f>
        <v>0</v>
      </c>
      <c r="H318">
        <f>'RESUMEN TOTAL'!Q321</f>
        <v>0</v>
      </c>
      <c r="I318">
        <f>'RESUMEN TOTAL'!R321</f>
        <v>0</v>
      </c>
      <c r="J318">
        <f>'RESUMEN TOTAL'!S321</f>
        <v>0</v>
      </c>
      <c r="K318">
        <f>'RESUMEN TOTAL'!T321</f>
        <v>0</v>
      </c>
      <c r="L318">
        <f>'RESUMEN TOTAL'!U321</f>
        <v>0</v>
      </c>
      <c r="M318">
        <f>'RESUMEN TOTAL'!V321</f>
        <v>0</v>
      </c>
      <c r="N318">
        <f>'RESUMEN TOTAL'!W321</f>
        <v>0</v>
      </c>
      <c r="O318">
        <f>'RESUMEN TOTAL'!X321</f>
        <v>0</v>
      </c>
      <c r="P318">
        <f>'RESUMEN TOTAL'!Y321</f>
        <v>0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>
        <f>'RESUMEN TOTAL'!AD321</f>
        <v>0</v>
      </c>
      <c r="V318">
        <f>'RESUMEN TOTAL'!AE321</f>
        <v>0</v>
      </c>
      <c r="W318">
        <f>'RESUMEN TOTAL'!AF321</f>
        <v>0</v>
      </c>
      <c r="X318">
        <f>'RESUMEN TOTAL'!AG321</f>
        <v>0</v>
      </c>
      <c r="Y318">
        <f>'RESUMEN TOTAL'!AH321</f>
        <v>0</v>
      </c>
      <c r="Z318">
        <f>'RESUMEN TOTAL'!AI321</f>
        <v>0</v>
      </c>
      <c r="AA318">
        <f>'RESUMEN TOTAL'!AJ321</f>
        <v>0</v>
      </c>
      <c r="AB318">
        <f>'RESUMEN TOTAL'!AK321</f>
        <v>0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  <c r="AH318">
        <f>'RESUMEN TOTAL'!AQ321</f>
        <v>0</v>
      </c>
      <c r="AI318">
        <f>'RESUMEN TOTAL'!AR321</f>
        <v>0</v>
      </c>
    </row>
    <row r="319" spans="1:35" x14ac:dyDescent="0.25">
      <c r="A319" t="str">
        <f>'RESUMEN TOTAL'!A322</f>
        <v>VILLA ANGELICA</v>
      </c>
      <c r="B319" t="str">
        <f>'RESUMEN TOTAL'!B322</f>
        <v>VANG08</v>
      </c>
      <c r="C319" t="str">
        <f>'RESUMEN TOTAL'!D322</f>
        <v>Calle 158 al 2200</v>
      </c>
      <c r="D319" t="str">
        <f>'RESUMEN TOTAL'!E322</f>
        <v>Domo</v>
      </c>
      <c r="E319" t="str">
        <f>'RESUMEN TOTAL'!F322</f>
        <v>PTO A FO</v>
      </c>
      <c r="F319">
        <f>'RESUMEN TOTAL'!O322</f>
        <v>0</v>
      </c>
      <c r="G319">
        <f>'RESUMEN TOTAL'!P322</f>
        <v>0</v>
      </c>
      <c r="H319">
        <f>'RESUMEN TOTAL'!Q322</f>
        <v>0</v>
      </c>
      <c r="I319">
        <f>'RESUMEN TOTAL'!R322</f>
        <v>0</v>
      </c>
      <c r="J319">
        <f>'RESUMEN TOTAL'!S322</f>
        <v>0</v>
      </c>
      <c r="K319">
        <f>'RESUMEN TOTAL'!T322</f>
        <v>0</v>
      </c>
      <c r="L319">
        <f>'RESUMEN TOTAL'!U322</f>
        <v>0</v>
      </c>
      <c r="M319">
        <f>'RESUMEN TOTAL'!V322</f>
        <v>0</v>
      </c>
      <c r="N319">
        <f>'RESUMEN TOTAL'!W322</f>
        <v>0</v>
      </c>
      <c r="O319">
        <f>'RESUMEN TOTAL'!X322</f>
        <v>0</v>
      </c>
      <c r="P319">
        <f>'RESUMEN TOTAL'!Y322</f>
        <v>0</v>
      </c>
      <c r="Q319">
        <f>'RESUMEN TOTAL'!Z322</f>
        <v>0</v>
      </c>
      <c r="R319">
        <f>'RESUMEN TOTAL'!AA322</f>
        <v>0</v>
      </c>
      <c r="S319">
        <f>'RESUMEN TOTAL'!AB322</f>
        <v>0</v>
      </c>
      <c r="T319">
        <f>'RESUMEN TOTAL'!AC322</f>
        <v>0</v>
      </c>
      <c r="U319">
        <f>'RESUMEN TOTAL'!AD322</f>
        <v>0</v>
      </c>
      <c r="V319">
        <f>'RESUMEN TOTAL'!AE322</f>
        <v>0</v>
      </c>
      <c r="W319">
        <f>'RESUMEN TOTAL'!AF322</f>
        <v>0</v>
      </c>
      <c r="X319">
        <f>'RESUMEN TOTAL'!AG322</f>
        <v>0</v>
      </c>
      <c r="Y319">
        <f>'RESUMEN TOTAL'!AH322</f>
        <v>0</v>
      </c>
      <c r="Z319">
        <f>'RESUMEN TOTAL'!AI322</f>
        <v>0</v>
      </c>
      <c r="AA319">
        <f>'RESUMEN TOTAL'!AJ322</f>
        <v>0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  <c r="AH319">
        <f>'RESUMEN TOTAL'!AQ322</f>
        <v>0</v>
      </c>
      <c r="AI319">
        <f>'RESUMEN TOTAL'!AR322</f>
        <v>0</v>
      </c>
    </row>
    <row r="320" spans="1:35" x14ac:dyDescent="0.25">
      <c r="A320" t="str">
        <f>'RESUMEN TOTAL'!A323</f>
        <v>VILLA ARGENTINA</v>
      </c>
      <c r="B320" t="str">
        <f>'RESUMEN TOTAL'!B323</f>
        <v>VAR 01</v>
      </c>
      <c r="C320" t="str">
        <f>'RESUMEN TOTAL'!D323</f>
        <v>Calle 519 y 546</v>
      </c>
      <c r="D320" t="str">
        <f>'RESUMEN TOTAL'!E323</f>
        <v>Domo</v>
      </c>
      <c r="E320" t="str">
        <f>'RESUMEN TOTAL'!F323</f>
        <v>Radio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>
        <f>'RESUMEN TOTAL'!R323</f>
        <v>0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>
        <f>'RESUMEN TOTAL'!AG323</f>
        <v>0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  <c r="AH320">
        <f>'RESUMEN TOTAL'!AQ323</f>
        <v>0</v>
      </c>
      <c r="AI320">
        <f>'RESUMEN TOTAL'!AR323</f>
        <v>0</v>
      </c>
    </row>
    <row r="321" spans="1:35" x14ac:dyDescent="0.25">
      <c r="A321" t="str">
        <f>'RESUMEN TOTAL'!A324</f>
        <v>VILLA ARGENTINA</v>
      </c>
      <c r="B321" t="str">
        <f>'RESUMEN TOTAL'!B324</f>
        <v>VAR 02</v>
      </c>
      <c r="C321" t="str">
        <f>'RESUMEN TOTAL'!D324</f>
        <v>DIAGONAL LOS TILOS Y 542</v>
      </c>
      <c r="D321" t="str">
        <f>'RESUMEN TOTAL'!E324</f>
        <v>DOMO</v>
      </c>
      <c r="E321" t="str">
        <f>'RESUMEN TOTAL'!F324</f>
        <v>Radio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>
        <f>'RESUMEN TOTAL'!R324</f>
        <v>0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>
        <f>'RESUMEN TOTAL'!Y324</f>
        <v>0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>
        <f>'RESUMEN TOTAL'!AD324</f>
        <v>0</v>
      </c>
      <c r="V321">
        <f>'RESUMEN TOTAL'!AE324</f>
        <v>0</v>
      </c>
      <c r="W321">
        <f>'RESUMEN TOTAL'!AF324</f>
        <v>0</v>
      </c>
      <c r="X321">
        <f>'RESUMEN TOTAL'!AG324</f>
        <v>0</v>
      </c>
      <c r="Y321">
        <f>'RESUMEN TOTAL'!AH324</f>
        <v>0</v>
      </c>
      <c r="Z321">
        <f>'RESUMEN TOTAL'!AI324</f>
        <v>0</v>
      </c>
      <c r="AA321">
        <f>'RESUMEN TOTAL'!AJ324</f>
        <v>0</v>
      </c>
      <c r="AB321">
        <f>'RESUMEN TOTAL'!AK324</f>
        <v>0</v>
      </c>
      <c r="AC321">
        <f>'RESUMEN TOTAL'!AL324</f>
        <v>0</v>
      </c>
      <c r="AD321">
        <f>'RESUMEN TOTAL'!AM324</f>
        <v>0</v>
      </c>
      <c r="AE321">
        <f>'RESUMEN TOTAL'!AN324</f>
        <v>0</v>
      </c>
      <c r="AF321">
        <f>'RESUMEN TOTAL'!AO324</f>
        <v>0</v>
      </c>
      <c r="AG321">
        <f>'RESUMEN TOTAL'!AP324</f>
        <v>0</v>
      </c>
      <c r="AH321">
        <f>'RESUMEN TOTAL'!AQ324</f>
        <v>0</v>
      </c>
      <c r="AI321">
        <f>'RESUMEN TOTAL'!AR324</f>
        <v>0</v>
      </c>
    </row>
    <row r="322" spans="1:35" x14ac:dyDescent="0.25">
      <c r="A322" t="str">
        <f>'RESUMEN TOTAL'!A325</f>
        <v>VILLA ARGENTINA</v>
      </c>
      <c r="B322" t="str">
        <f>'RESUMEN TOTAL'!B325</f>
        <v>VAR 08 (fija 1)</v>
      </c>
      <c r="C322" t="str">
        <f>'RESUMEN TOTAL'!D325</f>
        <v>534 Y 523</v>
      </c>
      <c r="D322" t="str">
        <f>'RESUMEN TOTAL'!E325</f>
        <v>Fija</v>
      </c>
      <c r="E322" t="str">
        <f>'RESUMEN TOTAL'!F325</f>
        <v>FIBRA OPTICA</v>
      </c>
      <c r="F322">
        <f>'RESUMEN TOTAL'!O325</f>
        <v>0</v>
      </c>
      <c r="G322">
        <f>'RESUMEN TOTAL'!P325</f>
        <v>0</v>
      </c>
      <c r="H322">
        <f>'RESUMEN TOTAL'!Q325</f>
        <v>0</v>
      </c>
      <c r="I322">
        <f>'RESUMEN TOTAL'!R325</f>
        <v>0</v>
      </c>
      <c r="J322">
        <f>'RESUMEN TOTAL'!S325</f>
        <v>0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>
        <f>'RESUMEN TOTAL'!AF325</f>
        <v>0</v>
      </c>
      <c r="X322">
        <f>'RESUMEN TOTAL'!AG325</f>
        <v>0</v>
      </c>
      <c r="Y322">
        <f>'RESUMEN TOTAL'!AH325</f>
        <v>0</v>
      </c>
      <c r="Z322">
        <f>'RESUMEN TOTAL'!AI325</f>
        <v>0</v>
      </c>
      <c r="AA322">
        <f>'RESUMEN TOTAL'!AJ325</f>
        <v>0</v>
      </c>
      <c r="AB322">
        <f>'RESUMEN TOTAL'!AK325</f>
        <v>0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  <c r="AH322">
        <f>'RESUMEN TOTAL'!AQ325</f>
        <v>0</v>
      </c>
      <c r="AI322">
        <f>'RESUMEN TOTAL'!AR325</f>
        <v>0</v>
      </c>
    </row>
    <row r="323" spans="1:35" x14ac:dyDescent="0.25">
      <c r="A323" t="str">
        <f>'RESUMEN TOTAL'!A326</f>
        <v>VILLA ARGENTINA</v>
      </c>
      <c r="B323" t="str">
        <f>'RESUMEN TOTAL'!B326</f>
        <v>VAR 09 (fija 2)</v>
      </c>
      <c r="C323" t="str">
        <f>'RESUMEN TOTAL'!D326</f>
        <v>534 Y 523</v>
      </c>
      <c r="D323" t="str">
        <f>'RESUMEN TOTAL'!E326</f>
        <v>Fija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>
        <f>'RESUMEN TOTAL'!R326</f>
        <v>0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  <c r="AH323">
        <f>'RESUMEN TOTAL'!AQ326</f>
        <v>0</v>
      </c>
      <c r="AI323">
        <f>'RESUMEN TOTAL'!AR326</f>
        <v>0</v>
      </c>
    </row>
    <row r="324" spans="1:35" x14ac:dyDescent="0.25">
      <c r="A324" t="str">
        <f>'RESUMEN TOTAL'!A327</f>
        <v>VILLA ARGENTINA</v>
      </c>
      <c r="B324" t="str">
        <f>'RESUMEN TOTAL'!B327</f>
        <v>VAR03 (fija 1)</v>
      </c>
      <c r="C324" t="str">
        <f>'RESUMEN TOTAL'!D327</f>
        <v>509 y 546</v>
      </c>
      <c r="D324" t="str">
        <f>'RESUMEN TOTAL'!E327</f>
        <v>Fija</v>
      </c>
      <c r="E324" t="str">
        <f>'RESUMEN TOTAL'!F327</f>
        <v>RADIO</v>
      </c>
      <c r="F324" t="str">
        <f>'RESUMEN TOTAL'!O327</f>
        <v>APAGADO</v>
      </c>
      <c r="G324" t="str">
        <f>'RESUMEN TOTAL'!P327</f>
        <v>APAGADO</v>
      </c>
      <c r="H324" t="str">
        <f>'RESUMEN TOTAL'!Q327</f>
        <v>APAGADO</v>
      </c>
      <c r="I324" t="str">
        <f>'RESUMEN TOTAL'!R327</f>
        <v>APAGADO</v>
      </c>
      <c r="J324" t="str">
        <f>'RESUMEN TOTAL'!S327</f>
        <v>APAGADO</v>
      </c>
      <c r="K324" t="str">
        <f>'RESUMEN TOTAL'!T327</f>
        <v>APAGADO</v>
      </c>
      <c r="L324" t="str">
        <f>'RESUMEN TOTAL'!U327</f>
        <v>APAGADO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>
        <f>'RESUMEN TOTAL'!AA327</f>
        <v>0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>
        <f>'RESUMEN TOTAL'!AG327</f>
        <v>0</v>
      </c>
      <c r="Y324">
        <f>'RESUMEN TOTAL'!AH327</f>
        <v>0</v>
      </c>
      <c r="Z324">
        <f>'RESUMEN TOTAL'!AI327</f>
        <v>0</v>
      </c>
      <c r="AA324">
        <f>'RESUMEN TOTAL'!AJ327</f>
        <v>0</v>
      </c>
      <c r="AB324">
        <f>'RESUMEN TOTAL'!AK327</f>
        <v>0</v>
      </c>
      <c r="AC324">
        <f>'RESUMEN TOTAL'!AL327</f>
        <v>0</v>
      </c>
      <c r="AD324">
        <f>'RESUMEN TOTAL'!AM327</f>
        <v>0</v>
      </c>
      <c r="AE324">
        <f>'RESUMEN TOTAL'!AN327</f>
        <v>0</v>
      </c>
      <c r="AF324">
        <f>'RESUMEN TOTAL'!AO327</f>
        <v>0</v>
      </c>
      <c r="AG324">
        <f>'RESUMEN TOTAL'!AP327</f>
        <v>0</v>
      </c>
      <c r="AH324">
        <f>'RESUMEN TOTAL'!AQ327</f>
        <v>0</v>
      </c>
      <c r="AI324">
        <f>'RESUMEN TOTAL'!AR327</f>
        <v>0</v>
      </c>
    </row>
    <row r="325" spans="1:35" x14ac:dyDescent="0.25">
      <c r="A325" t="str">
        <f>'RESUMEN TOTAL'!A328</f>
        <v>VILLA ARGENTINA</v>
      </c>
      <c r="B325" t="str">
        <f>'RESUMEN TOTAL'!B328</f>
        <v>VAR04 (fija 2)</v>
      </c>
      <c r="C325" t="str">
        <f>'RESUMEN TOTAL'!D328</f>
        <v>509 y 546</v>
      </c>
      <c r="D325" t="str">
        <f>'RESUMEN TOTAL'!E328</f>
        <v>Fija</v>
      </c>
      <c r="E325" t="str">
        <f>'RESUMEN TOTAL'!F328</f>
        <v>RADIO</v>
      </c>
      <c r="F325" t="str">
        <f>'RESUMEN TOTAL'!O328</f>
        <v>APAGADO</v>
      </c>
      <c r="G325" t="str">
        <f>'RESUMEN TOTAL'!P328</f>
        <v>APAGADO</v>
      </c>
      <c r="H325" t="str">
        <f>'RESUMEN TOTAL'!Q328</f>
        <v>APAGADO</v>
      </c>
      <c r="I325" t="str">
        <f>'RESUMEN TOTAL'!R328</f>
        <v>APAGADO</v>
      </c>
      <c r="J325" t="str">
        <f>'RESUMEN TOTAL'!S328</f>
        <v>APAGADO</v>
      </c>
      <c r="K325" t="str">
        <f>'RESUMEN TOTAL'!T328</f>
        <v>APAGADO</v>
      </c>
      <c r="L325" t="str">
        <f>'RESUMEN TOTAL'!U328</f>
        <v>APAGADO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>
        <f>'RESUMEN TOTAL'!AF328</f>
        <v>0</v>
      </c>
      <c r="X325">
        <f>'RESUMEN TOTAL'!AG328</f>
        <v>0</v>
      </c>
      <c r="Y325">
        <f>'RESUMEN TOTAL'!AH328</f>
        <v>0</v>
      </c>
      <c r="Z325">
        <f>'RESUMEN TOTAL'!AI328</f>
        <v>0</v>
      </c>
      <c r="AA325">
        <f>'RESUMEN TOTAL'!AJ328</f>
        <v>0</v>
      </c>
      <c r="AB325">
        <f>'RESUMEN TOTAL'!AK328</f>
        <v>0</v>
      </c>
      <c r="AC325">
        <f>'RESUMEN TOTAL'!AL328</f>
        <v>0</v>
      </c>
      <c r="AD325">
        <f>'RESUMEN TOTAL'!AM328</f>
        <v>0</v>
      </c>
      <c r="AE325">
        <f>'RESUMEN TOTAL'!AN328</f>
        <v>0</v>
      </c>
      <c r="AF325">
        <f>'RESUMEN TOTAL'!AO328</f>
        <v>0</v>
      </c>
      <c r="AG325">
        <f>'RESUMEN TOTAL'!AP328</f>
        <v>0</v>
      </c>
      <c r="AH325">
        <f>'RESUMEN TOTAL'!AQ328</f>
        <v>0</v>
      </c>
      <c r="AI325">
        <f>'RESUMEN TOTAL'!AR328</f>
        <v>0</v>
      </c>
    </row>
    <row r="326" spans="1:35" x14ac:dyDescent="0.25">
      <c r="A326" t="str">
        <f>'RESUMEN TOTAL'!A329</f>
        <v>VILLA ARGENTINA</v>
      </c>
      <c r="B326" t="str">
        <f>'RESUMEN TOTAL'!B329</f>
        <v>VAR05 (fija 1)</v>
      </c>
      <c r="C326" t="str">
        <f>'RESUMEN TOTAL'!D329</f>
        <v>511 E/ 544 Y 546</v>
      </c>
      <c r="D326" t="str">
        <f>'RESUMEN TOTAL'!E329</f>
        <v>Fija</v>
      </c>
      <c r="E326" t="str">
        <f>'RESUMEN TOTAL'!F329</f>
        <v>RADIO</v>
      </c>
      <c r="F326">
        <f>'RESUMEN TOTAL'!O329</f>
        <v>0</v>
      </c>
      <c r="G326">
        <f>'RESUMEN TOTAL'!P329</f>
        <v>0</v>
      </c>
      <c r="H326">
        <f>'RESUMEN TOTAL'!Q329</f>
        <v>0</v>
      </c>
      <c r="I326">
        <f>'RESUMEN TOTAL'!R329</f>
        <v>0</v>
      </c>
      <c r="J326">
        <f>'RESUMEN TOTAL'!S329</f>
        <v>0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>
        <f>'RESUMEN TOTAL'!Y329</f>
        <v>0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>
        <f>'RESUMEN TOTAL'!AF329</f>
        <v>0</v>
      </c>
      <c r="X326">
        <f>'RESUMEN TOTAL'!AG329</f>
        <v>0</v>
      </c>
      <c r="Y326">
        <f>'RESUMEN TOTAL'!AH329</f>
        <v>0</v>
      </c>
      <c r="Z326">
        <f>'RESUMEN TOTAL'!AI329</f>
        <v>0</v>
      </c>
      <c r="AA326">
        <f>'RESUMEN TOTAL'!AJ329</f>
        <v>0</v>
      </c>
      <c r="AB326">
        <f>'RESUMEN TOTAL'!AK329</f>
        <v>0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  <c r="AH326">
        <f>'RESUMEN TOTAL'!AQ329</f>
        <v>0</v>
      </c>
      <c r="AI326">
        <f>'RESUMEN TOTAL'!AR329</f>
        <v>0</v>
      </c>
    </row>
    <row r="327" spans="1:35" x14ac:dyDescent="0.25">
      <c r="A327" t="str">
        <f>'RESUMEN TOTAL'!A330</f>
        <v>VILLA ARGENTINA</v>
      </c>
      <c r="B327" t="str">
        <f>'RESUMEN TOTAL'!B330</f>
        <v>VAR06 (fija 2)</v>
      </c>
      <c r="C327" t="str">
        <f>'RESUMEN TOTAL'!D330</f>
        <v>511 E/ 544 Y 546</v>
      </c>
      <c r="D327" t="str">
        <f>'RESUMEN TOTAL'!E330</f>
        <v>Fija</v>
      </c>
      <c r="E327" t="str">
        <f>'RESUMEN TOTAL'!F330</f>
        <v>RADIO</v>
      </c>
      <c r="F327">
        <f>'RESUMEN TOTAL'!O330</f>
        <v>0</v>
      </c>
      <c r="G327">
        <f>'RESUMEN TOTAL'!P330</f>
        <v>0</v>
      </c>
      <c r="H327">
        <f>'RESUMEN TOTAL'!Q330</f>
        <v>0</v>
      </c>
      <c r="I327">
        <f>'RESUMEN TOTAL'!R330</f>
        <v>0</v>
      </c>
      <c r="J327">
        <f>'RESUMEN TOTAL'!S330</f>
        <v>0</v>
      </c>
      <c r="K327">
        <f>'RESUMEN TOTAL'!T330</f>
        <v>0</v>
      </c>
      <c r="L327">
        <f>'RESUMEN TOTAL'!U330</f>
        <v>0</v>
      </c>
      <c r="M327">
        <f>'RESUMEN TOTAL'!V330</f>
        <v>0</v>
      </c>
      <c r="N327">
        <f>'RESUMEN TOTAL'!W330</f>
        <v>0</v>
      </c>
      <c r="O327">
        <f>'RESUMEN TOTAL'!X330</f>
        <v>0</v>
      </c>
      <c r="P327">
        <f>'RESUMEN TOTAL'!Y330</f>
        <v>0</v>
      </c>
      <c r="Q327">
        <f>'RESUMEN TOTAL'!Z330</f>
        <v>0</v>
      </c>
      <c r="R327">
        <f>'RESUMEN TOTAL'!AA330</f>
        <v>0</v>
      </c>
      <c r="S327">
        <f>'RESUMEN TOTAL'!AB330</f>
        <v>0</v>
      </c>
      <c r="T327">
        <f>'RESUMEN TOTAL'!AC330</f>
        <v>0</v>
      </c>
      <c r="U327">
        <f>'RESUMEN TOTAL'!AD330</f>
        <v>0</v>
      </c>
      <c r="V327">
        <f>'RESUMEN TOTAL'!AE330</f>
        <v>0</v>
      </c>
      <c r="W327">
        <f>'RESUMEN TOTAL'!AF330</f>
        <v>0</v>
      </c>
      <c r="X327">
        <f>'RESUMEN TOTAL'!AG330</f>
        <v>0</v>
      </c>
      <c r="Y327">
        <f>'RESUMEN TOTAL'!AH330</f>
        <v>0</v>
      </c>
      <c r="Z327">
        <f>'RESUMEN TOTAL'!AI330</f>
        <v>0</v>
      </c>
      <c r="AA327">
        <f>'RESUMEN TOTAL'!AJ330</f>
        <v>0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  <c r="AH327">
        <f>'RESUMEN TOTAL'!AQ330</f>
        <v>0</v>
      </c>
      <c r="AI327">
        <f>'RESUMEN TOTAL'!AR330</f>
        <v>0</v>
      </c>
    </row>
    <row r="328" spans="1:35" x14ac:dyDescent="0.25">
      <c r="A328" t="str">
        <f>'RESUMEN TOTAL'!A331</f>
        <v>VILLA ARGENTINA</v>
      </c>
      <c r="B328" t="str">
        <f>'RESUMEN TOTAL'!B331</f>
        <v>VAR07</v>
      </c>
      <c r="C328" t="str">
        <f>'RESUMEN TOTAL'!D331</f>
        <v>DIAG. LOS TILOS Y 517</v>
      </c>
      <c r="D328" t="str">
        <f>'RESUMEN TOTAL'!E331</f>
        <v>DOMO</v>
      </c>
      <c r="E328" t="str">
        <f>'RESUMEN TOTAL'!F331</f>
        <v>Fibra Optica</v>
      </c>
      <c r="F328">
        <f>'RESUMEN TOTAL'!O331</f>
        <v>0</v>
      </c>
      <c r="G328">
        <f>'RESUMEN TOTAL'!P331</f>
        <v>0</v>
      </c>
      <c r="H328">
        <f>'RESUMEN TOTAL'!Q331</f>
        <v>0</v>
      </c>
      <c r="I328">
        <f>'RESUMEN TOTAL'!R331</f>
        <v>0</v>
      </c>
      <c r="J328">
        <f>'RESUMEN TOTAL'!S331</f>
        <v>0</v>
      </c>
      <c r="K328">
        <f>'RESUMEN TOTAL'!T331</f>
        <v>0</v>
      </c>
      <c r="L328">
        <f>'RESUMEN TOTAL'!U331</f>
        <v>0</v>
      </c>
      <c r="M328">
        <f>'RESUMEN TOTAL'!V331</f>
        <v>0</v>
      </c>
      <c r="N328">
        <f>'RESUMEN TOTAL'!W331</f>
        <v>0</v>
      </c>
      <c r="O328">
        <f>'RESUMEN TOTAL'!X331</f>
        <v>0</v>
      </c>
      <c r="P328">
        <f>'RESUMEN TOTAL'!Y331</f>
        <v>0</v>
      </c>
      <c r="Q328">
        <f>'RESUMEN TOTAL'!Z331</f>
        <v>0</v>
      </c>
      <c r="R328">
        <f>'RESUMEN TOTAL'!AA331</f>
        <v>0</v>
      </c>
      <c r="S328">
        <f>'RESUMEN TOTAL'!AB331</f>
        <v>0</v>
      </c>
      <c r="T328">
        <f>'RESUMEN TOTAL'!AC331</f>
        <v>0</v>
      </c>
      <c r="U328">
        <f>'RESUMEN TOTAL'!AD331</f>
        <v>0</v>
      </c>
      <c r="V328">
        <f>'RESUMEN TOTAL'!AE331</f>
        <v>0</v>
      </c>
      <c r="W328">
        <f>'RESUMEN TOTAL'!AF331</f>
        <v>0</v>
      </c>
      <c r="X328">
        <f>'RESUMEN TOTAL'!AG331</f>
        <v>0</v>
      </c>
      <c r="Y328">
        <f>'RESUMEN TOTAL'!AH331</f>
        <v>0</v>
      </c>
      <c r="Z328">
        <f>'RESUMEN TOTAL'!AI331</f>
        <v>0</v>
      </c>
      <c r="AA328">
        <f>'RESUMEN TOTAL'!AJ331</f>
        <v>0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  <c r="AH328">
        <f>'RESUMEN TOTAL'!AQ331</f>
        <v>0</v>
      </c>
      <c r="AI328">
        <f>'RESUMEN TOTAL'!AR331</f>
        <v>0</v>
      </c>
    </row>
    <row r="329" spans="1:35" x14ac:dyDescent="0.25">
      <c r="A329" t="str">
        <f>'RESUMEN TOTAL'!A332</f>
        <v>VILLA ARGENTINA</v>
      </c>
      <c r="B329" t="str">
        <f>'RESUMEN TOTAL'!B332</f>
        <v>VAR10 (fija 1)</v>
      </c>
      <c r="C329" t="str">
        <f>'RESUMEN TOTAL'!D332</f>
        <v>532 A Y 523</v>
      </c>
      <c r="D329" t="str">
        <f>'RESUMEN TOTAL'!E332</f>
        <v>Fija</v>
      </c>
      <c r="E329" t="str">
        <f>'RESUMEN TOTAL'!F332</f>
        <v>FIBRA OPTICA</v>
      </c>
      <c r="F329">
        <f>'RESUMEN TOTAL'!O332</f>
        <v>0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>
        <f>'RESUMEN TOTAL'!AL332</f>
        <v>0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  <c r="AH329">
        <f>'RESUMEN TOTAL'!AQ332</f>
        <v>0</v>
      </c>
      <c r="AI329">
        <f>'RESUMEN TOTAL'!AR332</f>
        <v>0</v>
      </c>
    </row>
    <row r="330" spans="1:35" x14ac:dyDescent="0.25">
      <c r="A330" t="str">
        <f>'RESUMEN TOTAL'!A333</f>
        <v>VILLA ARGENTINA</v>
      </c>
      <c r="B330" t="str">
        <f>'RESUMEN TOTAL'!B333</f>
        <v>VAR11 (fija 2)</v>
      </c>
      <c r="C330" t="str">
        <f>'RESUMEN TOTAL'!D333</f>
        <v>532 A Y 523</v>
      </c>
      <c r="D330" t="str">
        <f>'RESUMEN TOTAL'!E333</f>
        <v>Fija</v>
      </c>
      <c r="E330" t="str">
        <f>'RESUMEN TOTAL'!F333</f>
        <v>FIBRA OPTICA</v>
      </c>
      <c r="F330">
        <f>'RESUMEN TOTAL'!O333</f>
        <v>0</v>
      </c>
      <c r="G330">
        <f>'RESUMEN TOTAL'!P333</f>
        <v>0</v>
      </c>
      <c r="H330">
        <f>'RESUMEN TOTAL'!Q333</f>
        <v>0</v>
      </c>
      <c r="I330">
        <f>'RESUMEN TOTAL'!R333</f>
        <v>0</v>
      </c>
      <c r="J330">
        <f>'RESUMEN TOTAL'!S333</f>
        <v>0</v>
      </c>
      <c r="K330">
        <f>'RESUMEN TOTAL'!T333</f>
        <v>0</v>
      </c>
      <c r="L330">
        <f>'RESUMEN TOTAL'!U333</f>
        <v>0</v>
      </c>
      <c r="M330">
        <f>'RESUMEN TOTAL'!V333</f>
        <v>0</v>
      </c>
      <c r="N330">
        <f>'RESUMEN TOTAL'!W333</f>
        <v>0</v>
      </c>
      <c r="O330">
        <f>'RESUMEN TOTAL'!X333</f>
        <v>0</v>
      </c>
      <c r="P330">
        <f>'RESUMEN TOTAL'!Y333</f>
        <v>0</v>
      </c>
      <c r="Q330">
        <f>'RESUMEN TOTAL'!Z333</f>
        <v>0</v>
      </c>
      <c r="R330">
        <f>'RESUMEN TOTAL'!AA333</f>
        <v>0</v>
      </c>
      <c r="S330">
        <f>'RESUMEN TOTAL'!AB333</f>
        <v>0</v>
      </c>
      <c r="T330">
        <f>'RESUMEN TOTAL'!AC333</f>
        <v>0</v>
      </c>
      <c r="U330">
        <f>'RESUMEN TOTAL'!AD333</f>
        <v>0</v>
      </c>
      <c r="V330">
        <f>'RESUMEN TOTAL'!AE333</f>
        <v>0</v>
      </c>
      <c r="W330">
        <f>'RESUMEN TOTAL'!AF333</f>
        <v>0</v>
      </c>
      <c r="X330">
        <f>'RESUMEN TOTAL'!AG333</f>
        <v>0</v>
      </c>
      <c r="Y330">
        <f>'RESUMEN TOTAL'!AH333</f>
        <v>0</v>
      </c>
      <c r="Z330">
        <f>'RESUMEN TOTAL'!AI333</f>
        <v>0</v>
      </c>
      <c r="AA330">
        <f>'RESUMEN TOTAL'!AJ333</f>
        <v>0</v>
      </c>
      <c r="AB330">
        <f>'RESUMEN TOTAL'!AK333</f>
        <v>0</v>
      </c>
      <c r="AC330">
        <f>'RESUMEN TOTAL'!AL333</f>
        <v>0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  <c r="AH330">
        <f>'RESUMEN TOTAL'!AQ333</f>
        <v>0</v>
      </c>
      <c r="AI330">
        <f>'RESUMEN TOTAL'!AR333</f>
        <v>0</v>
      </c>
    </row>
    <row r="331" spans="1:35" x14ac:dyDescent="0.25">
      <c r="A331" t="str">
        <f>'RESUMEN TOTAL'!A334</f>
        <v>VILLA VATTEONE CENTRO</v>
      </c>
      <c r="B331" t="str">
        <f>'RESUMEN TOTAL'!B334</f>
        <v>VAT 10</v>
      </c>
      <c r="C331" t="str">
        <f>'RESUMEN TOTAL'!D334</f>
        <v>Belgrano y Quintana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>
        <f>'RESUMEN TOTAL'!AG334</f>
        <v>0</v>
      </c>
      <c r="Y331">
        <f>'RESUMEN TOTAL'!AH334</f>
        <v>0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  <c r="AH331">
        <f>'RESUMEN TOTAL'!AQ334</f>
        <v>0</v>
      </c>
      <c r="AI331">
        <f>'RESUMEN TOTAL'!AR334</f>
        <v>0</v>
      </c>
    </row>
    <row r="332" spans="1:35" x14ac:dyDescent="0.25">
      <c r="A332" t="str">
        <f>'RESUMEN TOTAL'!A335</f>
        <v>VILLA VATTEONE</v>
      </c>
      <c r="B332" t="str">
        <f>'RESUMEN TOTAL'!B335</f>
        <v>VAT 14</v>
      </c>
      <c r="C332" t="str">
        <f>'RESUMEN TOTAL'!D335</f>
        <v>FLORIDA Y MONTEVIDEO</v>
      </c>
      <c r="D332" t="str">
        <f>'RESUMEN TOTAL'!E335</f>
        <v>DOMO</v>
      </c>
      <c r="E332" t="str">
        <f>'RESUMEN TOTAL'!F335</f>
        <v>FIBRA OPTICA</v>
      </c>
      <c r="F332">
        <f>'RESUMEN TOTAL'!O335</f>
        <v>0</v>
      </c>
      <c r="G332">
        <f>'RESUMEN TOTAL'!P335</f>
        <v>0</v>
      </c>
      <c r="H332">
        <f>'RESUMEN TOTAL'!Q335</f>
        <v>0</v>
      </c>
      <c r="I332">
        <f>'RESUMEN TOTAL'!R335</f>
        <v>0</v>
      </c>
      <c r="J332" t="str">
        <f>'RESUMEN TOTAL'!S335</f>
        <v>APAGADO</v>
      </c>
      <c r="K332" t="str">
        <f>'RESUMEN TOTAL'!T335</f>
        <v>APAGADO</v>
      </c>
      <c r="L332" t="str">
        <f>'RESUMEN TOTAL'!U335</f>
        <v>APAGADO</v>
      </c>
      <c r="M332">
        <f>'RESUMEN TOTAL'!V335</f>
        <v>0</v>
      </c>
      <c r="N332">
        <f>'RESUMEN TOTAL'!W335</f>
        <v>0</v>
      </c>
      <c r="O332">
        <f>'RESUMEN TOTAL'!X335</f>
        <v>0</v>
      </c>
      <c r="P332">
        <f>'RESUMEN TOTAL'!Y335</f>
        <v>0</v>
      </c>
      <c r="Q332">
        <f>'RESUMEN TOTAL'!Z335</f>
        <v>0</v>
      </c>
      <c r="R332">
        <f>'RESUMEN TOTAL'!AA335</f>
        <v>0</v>
      </c>
      <c r="S332">
        <f>'RESUMEN TOTAL'!AB335</f>
        <v>0</v>
      </c>
      <c r="T332">
        <f>'RESUMEN TOTAL'!AC335</f>
        <v>0</v>
      </c>
      <c r="U332">
        <f>'RESUMEN TOTAL'!AD335</f>
        <v>0</v>
      </c>
      <c r="V332">
        <f>'RESUMEN TOTAL'!AE335</f>
        <v>0</v>
      </c>
      <c r="W332">
        <f>'RESUMEN TOTAL'!AF335</f>
        <v>0</v>
      </c>
      <c r="X332">
        <f>'RESUMEN TOTAL'!AG335</f>
        <v>0</v>
      </c>
      <c r="Y332">
        <f>'RESUMEN TOTAL'!AH335</f>
        <v>0</v>
      </c>
      <c r="Z332">
        <f>'RESUMEN TOTAL'!AI335</f>
        <v>0</v>
      </c>
      <c r="AA332">
        <f>'RESUMEN TOTAL'!AJ335</f>
        <v>0</v>
      </c>
      <c r="AB332">
        <f>'RESUMEN TOTAL'!AK335</f>
        <v>0</v>
      </c>
      <c r="AC332">
        <f>'RESUMEN TOTAL'!AL335</f>
        <v>0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  <c r="AH332">
        <f>'RESUMEN TOTAL'!AQ335</f>
        <v>0</v>
      </c>
      <c r="AI332">
        <f>'RESUMEN TOTAL'!AR335</f>
        <v>0</v>
      </c>
    </row>
    <row r="333" spans="1:35" x14ac:dyDescent="0.25">
      <c r="A333" t="str">
        <f>'RESUMEN TOTAL'!A336</f>
        <v>VILLA VATTEONE</v>
      </c>
      <c r="B333" t="str">
        <f>'RESUMEN TOTAL'!B336</f>
        <v>VAT 15</v>
      </c>
      <c r="C333" t="str">
        <f>'RESUMEN TOTAL'!D336</f>
        <v>CORRIENTES Y VICENTE LOPEZ</v>
      </c>
      <c r="D333" t="str">
        <f>'RESUMEN TOTAL'!E336</f>
        <v>DOMO</v>
      </c>
      <c r="E333" t="str">
        <f>'RESUMEN TOTAL'!F336</f>
        <v>PTO A FO</v>
      </c>
      <c r="F333">
        <f>'RESUMEN TOTAL'!O336</f>
        <v>0</v>
      </c>
      <c r="G333">
        <f>'RESUMEN TOTAL'!P336</f>
        <v>0</v>
      </c>
      <c r="H333">
        <f>'RESUMEN TOTAL'!Q336</f>
        <v>0</v>
      </c>
      <c r="I333">
        <f>'RESUMEN TOTAL'!R336</f>
        <v>0</v>
      </c>
      <c r="J333">
        <f>'RESUMEN TOTAL'!S336</f>
        <v>0</v>
      </c>
      <c r="K333">
        <f>'RESUMEN TOTAL'!T336</f>
        <v>0</v>
      </c>
      <c r="L333">
        <f>'RESUMEN TOTAL'!U336</f>
        <v>0</v>
      </c>
      <c r="M333">
        <f>'RESUMEN TOTAL'!V336</f>
        <v>0</v>
      </c>
      <c r="N333">
        <f>'RESUMEN TOTAL'!W336</f>
        <v>0</v>
      </c>
      <c r="O333">
        <f>'RESUMEN TOTAL'!X336</f>
        <v>0</v>
      </c>
      <c r="P333">
        <f>'RESUMEN TOTAL'!Y336</f>
        <v>0</v>
      </c>
      <c r="Q333">
        <f>'RESUMEN TOTAL'!Z336</f>
        <v>0</v>
      </c>
      <c r="R333">
        <f>'RESUMEN TOTAL'!AA336</f>
        <v>0</v>
      </c>
      <c r="S333">
        <f>'RESUMEN TOTAL'!AB336</f>
        <v>0</v>
      </c>
      <c r="T333">
        <f>'RESUMEN TOTAL'!AC336</f>
        <v>0</v>
      </c>
      <c r="U333">
        <f>'RESUMEN TOTAL'!AD336</f>
        <v>0</v>
      </c>
      <c r="V333">
        <f>'RESUMEN TOTAL'!AE336</f>
        <v>0</v>
      </c>
      <c r="W333">
        <f>'RESUMEN TOTAL'!AF336</f>
        <v>0</v>
      </c>
      <c r="X333">
        <f>'RESUMEN TOTAL'!AG336</f>
        <v>0</v>
      </c>
      <c r="Y333">
        <f>'RESUMEN TOTAL'!AH336</f>
        <v>0</v>
      </c>
      <c r="Z333">
        <f>'RESUMEN TOTAL'!AI336</f>
        <v>0</v>
      </c>
      <c r="AA333">
        <f>'RESUMEN TOTAL'!AJ336</f>
        <v>0</v>
      </c>
      <c r="AB333">
        <f>'RESUMEN TOTAL'!AK336</f>
        <v>0</v>
      </c>
      <c r="AC333">
        <f>'RESUMEN TOTAL'!AL336</f>
        <v>0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  <c r="AH333">
        <f>'RESUMEN TOTAL'!AQ336</f>
        <v>0</v>
      </c>
      <c r="AI333">
        <f>'RESUMEN TOTAL'!AR336</f>
        <v>0</v>
      </c>
    </row>
    <row r="334" spans="1:35" x14ac:dyDescent="0.25">
      <c r="A334" t="str">
        <f>'RESUMEN TOTAL'!A337</f>
        <v>VILLA VATTEONE</v>
      </c>
      <c r="B334" t="str">
        <f>'RESUMEN TOTAL'!B337</f>
        <v>VAT 16</v>
      </c>
      <c r="C334" t="str">
        <f>'RESUMEN TOTAL'!D337</f>
        <v>MONTEVIDEO Y CHACO</v>
      </c>
      <c r="D334" t="str">
        <f>'RESUMEN TOTAL'!E337</f>
        <v>DOMO</v>
      </c>
      <c r="E334" t="str">
        <f>'RESUMEN TOTAL'!F337</f>
        <v>PTO A FO</v>
      </c>
      <c r="F334">
        <f>'RESUMEN TOTAL'!O337</f>
        <v>0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>
        <f>'RESUMEN TOTAL'!AL337</f>
        <v>0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  <c r="AH334">
        <f>'RESUMEN TOTAL'!AQ337</f>
        <v>0</v>
      </c>
      <c r="AI334">
        <f>'RESUMEN TOTAL'!AR337</f>
        <v>0</v>
      </c>
    </row>
    <row r="335" spans="1:35" x14ac:dyDescent="0.25">
      <c r="A335" t="str">
        <f>'RESUMEN TOTAL'!A338</f>
        <v>VILLA VATTEONE</v>
      </c>
      <c r="B335" t="str">
        <f>'RESUMEN TOTAL'!B338</f>
        <v>VAT 17</v>
      </c>
      <c r="C335" t="str">
        <f>'RESUMEN TOTAL'!D338</f>
        <v>CHAÃ‘AR Y URUGUAY</v>
      </c>
      <c r="D335" t="str">
        <f>'RESUMEN TOTAL'!E338</f>
        <v>DOMO</v>
      </c>
      <c r="E335" t="str">
        <f>'RESUMEN TOTAL'!F338</f>
        <v>PTO A FO</v>
      </c>
      <c r="F335">
        <f>'RESUMEN TOTAL'!O338</f>
        <v>0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>
        <f>'RESUMEN TOTAL'!AL338</f>
        <v>0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  <c r="AH335">
        <f>'RESUMEN TOTAL'!AQ338</f>
        <v>0</v>
      </c>
      <c r="AI335">
        <f>'RESUMEN TOTAL'!AR338</f>
        <v>0</v>
      </c>
    </row>
    <row r="336" spans="1:35" x14ac:dyDescent="0.25">
      <c r="A336" t="str">
        <f>'RESUMEN TOTAL'!A339</f>
        <v>VILLA VATTEONE</v>
      </c>
      <c r="B336" t="str">
        <f>'RESUMEN TOTAL'!B339</f>
        <v>VAT 20</v>
      </c>
      <c r="C336" t="str">
        <f>'RESUMEN TOTAL'!D339</f>
        <v>URUGUAY Y PILCOMAYO</v>
      </c>
      <c r="D336" t="str">
        <f>'RESUMEN TOTAL'!E339</f>
        <v>FIJA</v>
      </c>
      <c r="E336" t="str">
        <f>'RESUMEN TOTAL'!F339</f>
        <v>Radio</v>
      </c>
      <c r="F336">
        <f>'RESUMEN TOTAL'!O339</f>
        <v>0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>
        <f>'RESUMEN TOTAL'!Y339</f>
        <v>0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>
        <f>'RESUMEN TOTAL'!AD339</f>
        <v>0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>
        <f>'RESUMEN TOTAL'!AL339</f>
        <v>0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  <c r="AH336">
        <f>'RESUMEN TOTAL'!AQ339</f>
        <v>0</v>
      </c>
      <c r="AI336">
        <f>'RESUMEN TOTAL'!AR339</f>
        <v>0</v>
      </c>
    </row>
    <row r="337" spans="1:35" x14ac:dyDescent="0.25">
      <c r="A337" t="str">
        <f>'RESUMEN TOTAL'!A340</f>
        <v>VILLA VATTEONE CENTRO</v>
      </c>
      <c r="B337" t="str">
        <f>'RESUMEN TOTAL'!B340</f>
        <v>VAT 21 (fija 1)</v>
      </c>
      <c r="C337" t="str">
        <f>'RESUMEN TOTAL'!D340</f>
        <v>QUINTANA E/ BELGRANO Y FONROUGE</v>
      </c>
      <c r="D337" t="str">
        <f>'RESUMEN TOTAL'!E340</f>
        <v>Fija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>
        <f>'RESUMEN TOTAL'!R340</f>
        <v>0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  <c r="AH337">
        <f>'RESUMEN TOTAL'!AQ340</f>
        <v>0</v>
      </c>
      <c r="AI337">
        <f>'RESUMEN TOTAL'!AR340</f>
        <v>0</v>
      </c>
    </row>
    <row r="338" spans="1:35" x14ac:dyDescent="0.25">
      <c r="A338" t="str">
        <f>'RESUMEN TOTAL'!A341</f>
        <v>VILLA VATTEONE CENTRO</v>
      </c>
      <c r="B338" t="str">
        <f>'RESUMEN TOTAL'!B341</f>
        <v>VAT 22 (fija 2)</v>
      </c>
      <c r="C338" t="str">
        <f>'RESUMEN TOTAL'!D341</f>
        <v>QUINTANA E/ BELGRANO Y FONROUGE</v>
      </c>
      <c r="D338" t="str">
        <f>'RESUMEN TOTAL'!E341</f>
        <v>Fija</v>
      </c>
      <c r="E338" t="str">
        <f>'RESUMEN TOTAL'!F341</f>
        <v>Fibra Optica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  <c r="AH338">
        <f>'RESUMEN TOTAL'!AQ341</f>
        <v>0</v>
      </c>
      <c r="AI338">
        <f>'RESUMEN TOTAL'!AR341</f>
        <v>0</v>
      </c>
    </row>
    <row r="339" spans="1:35" x14ac:dyDescent="0.25">
      <c r="A339" t="str">
        <f>'RESUMEN TOTAL'!A342</f>
        <v>VILLA VATTEONE</v>
      </c>
      <c r="B339" t="str">
        <f>'RESUMEN TOTAL'!B342</f>
        <v>VAT01</v>
      </c>
      <c r="C339" t="str">
        <f>'RESUMEN TOTAL'!D342</f>
        <v>Montevideo y El ChaÃ±ar</v>
      </c>
      <c r="D339" t="str">
        <f>'RESUMEN TOTAL'!E342</f>
        <v>Domo</v>
      </c>
      <c r="E339" t="str">
        <f>'RESUMEN TOTAL'!F342</f>
        <v>Fibra Optica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>
        <f>'RESUMEN TOTAL'!R342</f>
        <v>0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  <c r="AH339">
        <f>'RESUMEN TOTAL'!AQ342</f>
        <v>0</v>
      </c>
      <c r="AI339">
        <f>'RESUMEN TOTAL'!AR342</f>
        <v>0</v>
      </c>
    </row>
    <row r="340" spans="1:35" x14ac:dyDescent="0.25">
      <c r="A340" t="str">
        <f>'RESUMEN TOTAL'!A343</f>
        <v>VILLA VATTEONE CENTRO</v>
      </c>
      <c r="B340" t="str">
        <f>'RESUMEN TOTAL'!B343</f>
        <v>VAT02</v>
      </c>
      <c r="C340" t="str">
        <f>'RESUMEN TOTAL'!D343</f>
        <v>Eva PerÃ³n y 12 de Octubre</v>
      </c>
      <c r="D340" t="str">
        <f>'RESUMEN TOTAL'!E343</f>
        <v>Domo</v>
      </c>
      <c r="E340" t="str">
        <f>'RESUMEN TOTAL'!F343</f>
        <v>Fibra Optica</v>
      </c>
      <c r="F340">
        <f>'RESUMEN TOTAL'!O343</f>
        <v>0</v>
      </c>
      <c r="G340">
        <f>'RESUMEN TOTAL'!P343</f>
        <v>0</v>
      </c>
      <c r="H340">
        <f>'RESUMEN TOTAL'!Q343</f>
        <v>0</v>
      </c>
      <c r="I340">
        <f>'RESUMEN TOTAL'!R343</f>
        <v>0</v>
      </c>
      <c r="J340">
        <f>'RESUMEN TOTAL'!S343</f>
        <v>0</v>
      </c>
      <c r="K340">
        <f>'RESUMEN TOTAL'!T343</f>
        <v>0</v>
      </c>
      <c r="L340">
        <f>'RESUMEN TOTAL'!U343</f>
        <v>0</v>
      </c>
      <c r="M340">
        <f>'RESUMEN TOTAL'!V343</f>
        <v>0</v>
      </c>
      <c r="N340">
        <f>'RESUMEN TOTAL'!W343</f>
        <v>0</v>
      </c>
      <c r="O340">
        <f>'RESUMEN TOTAL'!X343</f>
        <v>0</v>
      </c>
      <c r="P340">
        <f>'RESUMEN TOTAL'!Y343</f>
        <v>0</v>
      </c>
      <c r="Q340">
        <f>'RESUMEN TOTAL'!Z343</f>
        <v>0</v>
      </c>
      <c r="R340">
        <f>'RESUMEN TOTAL'!AA343</f>
        <v>0</v>
      </c>
      <c r="S340">
        <f>'RESUMEN TOTAL'!AB343</f>
        <v>0</v>
      </c>
      <c r="T340">
        <f>'RESUMEN TOTAL'!AC343</f>
        <v>0</v>
      </c>
      <c r="U340">
        <f>'RESUMEN TOTAL'!AD343</f>
        <v>0</v>
      </c>
      <c r="V340">
        <f>'RESUMEN TOTAL'!AE343</f>
        <v>0</v>
      </c>
      <c r="W340">
        <f>'RESUMEN TOTAL'!AF343</f>
        <v>0</v>
      </c>
      <c r="X340">
        <f>'RESUMEN TOTAL'!AG343</f>
        <v>0</v>
      </c>
      <c r="Y340">
        <f>'RESUMEN TOTAL'!AH343</f>
        <v>0</v>
      </c>
      <c r="Z340">
        <f>'RESUMEN TOTAL'!AI343</f>
        <v>0</v>
      </c>
      <c r="AA340">
        <f>'RESUMEN TOTAL'!AJ343</f>
        <v>0</v>
      </c>
      <c r="AB340">
        <f>'RESUMEN TOTAL'!AK343</f>
        <v>0</v>
      </c>
      <c r="AC340">
        <f>'RESUMEN TOTAL'!AL343</f>
        <v>0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  <c r="AH340">
        <f>'RESUMEN TOTAL'!AQ343</f>
        <v>0</v>
      </c>
      <c r="AI340">
        <f>'RESUMEN TOTAL'!AR343</f>
        <v>0</v>
      </c>
    </row>
    <row r="341" spans="1:35" x14ac:dyDescent="0.25">
      <c r="A341" t="str">
        <f>'RESUMEN TOTAL'!A344</f>
        <v>VILLA VATTEONE CENTRO</v>
      </c>
      <c r="B341" t="str">
        <f>'RESUMEN TOTAL'!B344</f>
        <v>VAT03</v>
      </c>
      <c r="C341" t="str">
        <f>'RESUMEN TOTAL'!D344</f>
        <v>Lavalle y Belgrano</v>
      </c>
      <c r="D341" t="str">
        <f>'RESUMEN TOTAL'!E344</f>
        <v>Domo</v>
      </c>
      <c r="E341" t="str">
        <f>'RESUMEN TOTAL'!F344</f>
        <v>Fibra Optica</v>
      </c>
      <c r="F341">
        <f>'RESUMEN TOTAL'!O344</f>
        <v>0</v>
      </c>
      <c r="G341">
        <f>'RESUMEN TOTAL'!P344</f>
        <v>0</v>
      </c>
      <c r="H341">
        <f>'RESUMEN TOTAL'!Q344</f>
        <v>0</v>
      </c>
      <c r="I341">
        <f>'RESUMEN TOTAL'!R344</f>
        <v>0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>
        <f>'RESUMEN TOTAL'!AC344</f>
        <v>0</v>
      </c>
      <c r="U341">
        <f>'RESUMEN TOTAL'!AD344</f>
        <v>0</v>
      </c>
      <c r="V341">
        <f>'RESUMEN TOTAL'!AE344</f>
        <v>0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  <c r="AH341">
        <f>'RESUMEN TOTAL'!AQ344</f>
        <v>0</v>
      </c>
      <c r="AI341">
        <f>'RESUMEN TOTAL'!AR344</f>
        <v>0</v>
      </c>
    </row>
    <row r="342" spans="1:35" x14ac:dyDescent="0.25">
      <c r="A342" t="str">
        <f>'RESUMEN TOTAL'!A345</f>
        <v>VILLA VATTEONE CENTRO</v>
      </c>
      <c r="B342" t="str">
        <f>'RESUMEN TOTAL'!B345</f>
        <v>VAT04</v>
      </c>
      <c r="C342" t="str">
        <f>'RESUMEN TOTAL'!D345</f>
        <v>Lavalle y Entre Rios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>
        <f>'RESUMEN TOTAL'!P345</f>
        <v>0</v>
      </c>
      <c r="H342">
        <f>'RESUMEN TOTAL'!Q345</f>
        <v>0</v>
      </c>
      <c r="I342">
        <f>'RESUMEN TOTAL'!R345</f>
        <v>0</v>
      </c>
      <c r="J342">
        <f>'RESUMEN TOTAL'!S345</f>
        <v>0</v>
      </c>
      <c r="K342">
        <f>'RESUMEN TOTAL'!T345</f>
        <v>0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>
        <f>'RESUMEN TOTAL'!AE345</f>
        <v>0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>
        <f>'RESUMEN TOTAL'!AP345</f>
        <v>0</v>
      </c>
      <c r="AH342">
        <f>'RESUMEN TOTAL'!AQ345</f>
        <v>0</v>
      </c>
      <c r="AI342">
        <f>'RESUMEN TOTAL'!AR345</f>
        <v>0</v>
      </c>
    </row>
    <row r="343" spans="1:35" x14ac:dyDescent="0.25">
      <c r="A343" t="str">
        <f>'RESUMEN TOTAL'!A346</f>
        <v>VILLA VATTEONE CENTRO</v>
      </c>
      <c r="B343" t="str">
        <f>'RESUMEN TOTAL'!B346</f>
        <v>VAT05</v>
      </c>
      <c r="C343" t="str">
        <f>'RESUMEN TOTAL'!D346</f>
        <v>Lavalle y Colombia</v>
      </c>
      <c r="D343" t="str">
        <f>'RESUMEN TOTAL'!E346</f>
        <v>Domo</v>
      </c>
      <c r="E343" t="str">
        <f>'RESUMEN TOTAL'!F346</f>
        <v>Radio</v>
      </c>
      <c r="F343">
        <f>'RESUMEN TOTAL'!O346</f>
        <v>0</v>
      </c>
      <c r="G343">
        <f>'RESUMEN TOTAL'!P346</f>
        <v>0</v>
      </c>
      <c r="H343">
        <f>'RESUMEN TOTAL'!Q346</f>
        <v>0</v>
      </c>
      <c r="I343">
        <f>'RESUMEN TOTAL'!R346</f>
        <v>0</v>
      </c>
      <c r="J343">
        <f>'RESUMEN TOTAL'!S346</f>
        <v>0</v>
      </c>
      <c r="K343">
        <f>'RESUMEN TOTAL'!T346</f>
        <v>0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>
        <f>'RESUMEN TOTAL'!AE346</f>
        <v>0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>
        <f>'RESUMEN TOTAL'!AO346</f>
        <v>0</v>
      </c>
      <c r="AG343">
        <f>'RESUMEN TOTAL'!AP346</f>
        <v>0</v>
      </c>
      <c r="AH343">
        <f>'RESUMEN TOTAL'!AQ346</f>
        <v>0</v>
      </c>
      <c r="AI343">
        <f>'RESUMEN TOTAL'!AR346</f>
        <v>0</v>
      </c>
    </row>
    <row r="344" spans="1:35" x14ac:dyDescent="0.25">
      <c r="A344" t="str">
        <f>'RESUMEN TOTAL'!A347</f>
        <v>VILLA VATTEONE CENTRO</v>
      </c>
      <c r="B344" t="str">
        <f>'RESUMEN TOTAL'!B347</f>
        <v>VAT06</v>
      </c>
      <c r="C344" t="str">
        <f>'RESUMEN TOTAL'!D347</f>
        <v>Eva Peron y Pueyrredon</v>
      </c>
      <c r="D344" t="str">
        <f>'RESUMEN TOTAL'!E347</f>
        <v>Domo</v>
      </c>
      <c r="E344" t="str">
        <f>'RESUMEN TOTAL'!F347</f>
        <v>Fibra Optica</v>
      </c>
      <c r="F344">
        <f>'RESUMEN TOTAL'!O347</f>
        <v>0</v>
      </c>
      <c r="G344">
        <f>'RESUMEN TOTAL'!P347</f>
        <v>0</v>
      </c>
      <c r="H344">
        <f>'RESUMEN TOTAL'!Q347</f>
        <v>0</v>
      </c>
      <c r="I344">
        <f>'RESUMEN TOTAL'!R347</f>
        <v>0</v>
      </c>
      <c r="J344">
        <f>'RESUMEN TOTAL'!S347</f>
        <v>0</v>
      </c>
      <c r="K344">
        <f>'RESUMEN TOTAL'!T347</f>
        <v>0</v>
      </c>
      <c r="L344">
        <f>'RESUMEN TOTAL'!U347</f>
        <v>0</v>
      </c>
      <c r="M344">
        <f>'RESUMEN TOTAL'!V347</f>
        <v>0</v>
      </c>
      <c r="N344">
        <f>'RESUMEN TOTAL'!W347</f>
        <v>0</v>
      </c>
      <c r="O344">
        <f>'RESUMEN TOTAL'!X347</f>
        <v>0</v>
      </c>
      <c r="P344">
        <f>'RESUMEN TOTAL'!Y347</f>
        <v>0</v>
      </c>
      <c r="Q344">
        <f>'RESUMEN TOTAL'!Z347</f>
        <v>0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>
        <f>'RESUMEN TOTAL'!AE347</f>
        <v>0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>
        <f>'RESUMEN TOTAL'!AP347</f>
        <v>0</v>
      </c>
      <c r="AH344">
        <f>'RESUMEN TOTAL'!AQ347</f>
        <v>0</v>
      </c>
      <c r="AI344">
        <f>'RESUMEN TOTAL'!AR347</f>
        <v>0</v>
      </c>
    </row>
    <row r="345" spans="1:35" x14ac:dyDescent="0.25">
      <c r="A345" t="str">
        <f>'RESUMEN TOTAL'!A348</f>
        <v>VILLA VATTEONE CENTRO</v>
      </c>
      <c r="B345" t="str">
        <f>'RESUMEN TOTAL'!B348</f>
        <v>VAT07</v>
      </c>
      <c r="C345" t="str">
        <f>'RESUMEN TOTAL'!D348</f>
        <v>Eva Peron y Lavalle</v>
      </c>
      <c r="D345">
        <f>'RESUMEN TOTAL'!E348</f>
        <v>0</v>
      </c>
      <c r="E345" t="str">
        <f>'RESUMEN TOTAL'!F348</f>
        <v>PTO A FO</v>
      </c>
      <c r="F345" t="str">
        <f>'RESUMEN TOTAL'!O348</f>
        <v>APAGADO</v>
      </c>
      <c r="G345">
        <f>'RESUMEN TOTAL'!P348</f>
        <v>0</v>
      </c>
      <c r="H345" t="str">
        <f>'RESUMEN TOTAL'!Q348</f>
        <v>APAGADO</v>
      </c>
      <c r="I345" t="str">
        <f>'RESUMEN TOTAL'!R348</f>
        <v>APAGADO</v>
      </c>
      <c r="J345">
        <f>'RESUMEN TOTAL'!S348</f>
        <v>0</v>
      </c>
      <c r="K345" t="str">
        <f>'RESUMEN TOTAL'!T348</f>
        <v>APAGADO</v>
      </c>
      <c r="L345" t="str">
        <f>'RESUMEN TOTAL'!U348</f>
        <v>APAGADO</v>
      </c>
      <c r="M345">
        <f>'RESUMEN TOTAL'!V348</f>
        <v>0</v>
      </c>
      <c r="N345">
        <f>'RESUMEN TOTAL'!W348</f>
        <v>0</v>
      </c>
      <c r="O345">
        <f>'RESUMEN TOTAL'!X348</f>
        <v>0</v>
      </c>
      <c r="P345">
        <f>'RESUMEN TOTAL'!Y348</f>
        <v>0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>
        <f>'RESUMEN TOTAL'!AE348</f>
        <v>0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>
        <f>'RESUMEN TOTAL'!AP348</f>
        <v>0</v>
      </c>
      <c r="AH345">
        <f>'RESUMEN TOTAL'!AQ348</f>
        <v>0</v>
      </c>
      <c r="AI345">
        <f>'RESUMEN TOTAL'!AR348</f>
        <v>0</v>
      </c>
    </row>
    <row r="346" spans="1:35" x14ac:dyDescent="0.25">
      <c r="A346" t="str">
        <f>'RESUMEN TOTAL'!A349</f>
        <v>VILLA VATTEONE</v>
      </c>
      <c r="B346" t="str">
        <f>'RESUMEN TOTAL'!B349</f>
        <v>VAT08</v>
      </c>
      <c r="C346" t="str">
        <f>'RESUMEN TOTAL'!D349</f>
        <v>12 de Octubre y Florida</v>
      </c>
      <c r="D346" t="str">
        <f>'RESUMEN TOTAL'!E349</f>
        <v>Domo</v>
      </c>
      <c r="E346" t="str">
        <f>'RESUMEN TOTAL'!F349</f>
        <v>FIBRA OPTICA</v>
      </c>
      <c r="F346">
        <f>'RESUMEN TOTAL'!O349</f>
        <v>0</v>
      </c>
      <c r="G346">
        <f>'RESUMEN TOTAL'!P349</f>
        <v>0</v>
      </c>
      <c r="H346">
        <f>'RESUMEN TOTAL'!Q349</f>
        <v>0</v>
      </c>
      <c r="I346">
        <f>'RESUMEN TOTAL'!R349</f>
        <v>0</v>
      </c>
      <c r="J346">
        <f>'RESUMEN TOTAL'!S349</f>
        <v>0</v>
      </c>
      <c r="K346">
        <f>'RESUMEN TOTAL'!T349</f>
        <v>0</v>
      </c>
      <c r="L346">
        <f>'RESUMEN TOTAL'!U349</f>
        <v>0</v>
      </c>
      <c r="M346">
        <f>'RESUMEN TOTAL'!V349</f>
        <v>0</v>
      </c>
      <c r="N346">
        <f>'RESUMEN TOTAL'!W349</f>
        <v>0</v>
      </c>
      <c r="O346">
        <f>'RESUMEN TOTAL'!X349</f>
        <v>0</v>
      </c>
      <c r="P346">
        <f>'RESUMEN TOTAL'!Y349</f>
        <v>0</v>
      </c>
      <c r="Q346">
        <f>'RESUMEN TOTAL'!Z349</f>
        <v>0</v>
      </c>
      <c r="R346">
        <f>'RESUMEN TOTAL'!AA349</f>
        <v>0</v>
      </c>
      <c r="S346">
        <f>'RESUMEN TOTAL'!AB349</f>
        <v>0</v>
      </c>
      <c r="T346">
        <f>'RESUMEN TOTAL'!AC349</f>
        <v>0</v>
      </c>
      <c r="U346">
        <f>'RESUMEN TOTAL'!AD349</f>
        <v>0</v>
      </c>
      <c r="V346">
        <f>'RESUMEN TOTAL'!AE349</f>
        <v>0</v>
      </c>
      <c r="W346">
        <f>'RESUMEN TOTAL'!AF349</f>
        <v>0</v>
      </c>
      <c r="X346">
        <f>'RESUMEN TOTAL'!AG349</f>
        <v>0</v>
      </c>
      <c r="Y346">
        <f>'RESUMEN TOTAL'!AH349</f>
        <v>0</v>
      </c>
      <c r="Z346">
        <f>'RESUMEN TOTAL'!AI349</f>
        <v>0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  <c r="AH346">
        <f>'RESUMEN TOTAL'!AQ349</f>
        <v>0</v>
      </c>
      <c r="AI346">
        <f>'RESUMEN TOTAL'!AR349</f>
        <v>0</v>
      </c>
    </row>
    <row r="347" spans="1:35" x14ac:dyDescent="0.25">
      <c r="A347" t="str">
        <f>'RESUMEN TOTAL'!A350</f>
        <v>VILLA VATTEONE</v>
      </c>
      <c r="B347" t="str">
        <f>'RESUMEN TOTAL'!B350</f>
        <v>VAT09</v>
      </c>
      <c r="C347" t="str">
        <f>'RESUMEN TOTAL'!D350</f>
        <v>Montevideo y Alsina</v>
      </c>
      <c r="D347" t="str">
        <f>'RESUMEN TOTAL'!E350</f>
        <v>Domo</v>
      </c>
      <c r="E347" t="str">
        <f>'RESUMEN TOTAL'!F350</f>
        <v>Fibra Optica</v>
      </c>
      <c r="F347">
        <f>'RESUMEN TOTAL'!O350</f>
        <v>0</v>
      </c>
      <c r="G347">
        <f>'RESUMEN TOTAL'!P350</f>
        <v>0</v>
      </c>
      <c r="H347">
        <f>'RESUMEN TOTAL'!Q350</f>
        <v>0</v>
      </c>
      <c r="I347">
        <f>'RESUMEN TOTAL'!R350</f>
        <v>0</v>
      </c>
      <c r="J347">
        <f>'RESUMEN TOTAL'!S350</f>
        <v>0</v>
      </c>
      <c r="K347">
        <f>'RESUMEN TOTAL'!T350</f>
        <v>0</v>
      </c>
      <c r="L347">
        <f>'RESUMEN TOTAL'!U350</f>
        <v>0</v>
      </c>
      <c r="M347">
        <f>'RESUMEN TOTAL'!V350</f>
        <v>0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>
        <f>'RESUMEN TOTAL'!Z350</f>
        <v>0</v>
      </c>
      <c r="R347">
        <f>'RESUMEN TOTAL'!AA350</f>
        <v>0</v>
      </c>
      <c r="S347">
        <f>'RESUMEN TOTAL'!AB350</f>
        <v>0</v>
      </c>
      <c r="T347">
        <f>'RESUMEN TOTAL'!AC350</f>
        <v>0</v>
      </c>
      <c r="U347">
        <f>'RESUMEN TOTAL'!AD350</f>
        <v>0</v>
      </c>
      <c r="V347">
        <f>'RESUMEN TOTAL'!AE350</f>
        <v>0</v>
      </c>
      <c r="W347">
        <f>'RESUMEN TOTAL'!AF350</f>
        <v>0</v>
      </c>
      <c r="X347">
        <f>'RESUMEN TOTAL'!AG350</f>
        <v>0</v>
      </c>
      <c r="Y347">
        <f>'RESUMEN TOTAL'!AH350</f>
        <v>0</v>
      </c>
      <c r="Z347">
        <f>'RESUMEN TOTAL'!AI350</f>
        <v>0</v>
      </c>
      <c r="AA347">
        <f>'RESUMEN TOTAL'!AJ350</f>
        <v>0</v>
      </c>
      <c r="AB347">
        <f>'RESUMEN TOTAL'!AK350</f>
        <v>0</v>
      </c>
      <c r="AC347">
        <f>'RESUMEN TOTAL'!AL350</f>
        <v>0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  <c r="AH347">
        <f>'RESUMEN TOTAL'!AQ350</f>
        <v>0</v>
      </c>
      <c r="AI347">
        <f>'RESUMEN TOTAL'!AR350</f>
        <v>0</v>
      </c>
    </row>
    <row r="348" spans="1:35" x14ac:dyDescent="0.25">
      <c r="A348" t="str">
        <f>'RESUMEN TOTAL'!A351</f>
        <v>VILLA VATTEONE</v>
      </c>
      <c r="B348" t="str">
        <f>'RESUMEN TOTAL'!B351</f>
        <v>VAT11</v>
      </c>
      <c r="C348" t="str">
        <f>'RESUMEN TOTAL'!D351</f>
        <v>Mainini y Montevideo</v>
      </c>
      <c r="D348" t="str">
        <f>'RESUMEN TOTAL'!E351</f>
        <v>Domo</v>
      </c>
      <c r="E348" t="str">
        <f>'RESUMEN TOTAL'!F351</f>
        <v>Fibra Optica</v>
      </c>
      <c r="F348">
        <f>'RESUMEN TOTAL'!O351</f>
        <v>0</v>
      </c>
      <c r="G348">
        <f>'RESUMEN TOTAL'!P351</f>
        <v>0</v>
      </c>
      <c r="H348">
        <f>'RESUMEN TOTAL'!Q351</f>
        <v>0</v>
      </c>
      <c r="I348">
        <f>'RESUMEN TOTAL'!R351</f>
        <v>0</v>
      </c>
      <c r="J348">
        <f>'RESUMEN TOTAL'!S351</f>
        <v>0</v>
      </c>
      <c r="K348">
        <f>'RESUMEN TOTAL'!T351</f>
        <v>0</v>
      </c>
      <c r="L348">
        <f>'RESUMEN TOTAL'!U351</f>
        <v>0</v>
      </c>
      <c r="M348">
        <f>'RESUMEN TOTAL'!V351</f>
        <v>0</v>
      </c>
      <c r="N348">
        <f>'RESUMEN TOTAL'!W351</f>
        <v>0</v>
      </c>
      <c r="O348">
        <f>'RESUMEN TOTAL'!X351</f>
        <v>0</v>
      </c>
      <c r="P348">
        <f>'RESUMEN TOTAL'!Y351</f>
        <v>0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  <c r="AH348">
        <f>'RESUMEN TOTAL'!AQ351</f>
        <v>0</v>
      </c>
      <c r="AI348">
        <f>'RESUMEN TOTAL'!AR351</f>
        <v>0</v>
      </c>
    </row>
    <row r="349" spans="1:35" x14ac:dyDescent="0.25">
      <c r="A349" t="str">
        <f>'RESUMEN TOTAL'!A352</f>
        <v>VILLA VATTEONE</v>
      </c>
      <c r="B349" t="str">
        <f>'RESUMEN TOTAL'!B352</f>
        <v>VAT12</v>
      </c>
      <c r="C349" t="str">
        <f>'RESUMEN TOTAL'!D352</f>
        <v>12 DE OCTUBRE Y CHACO</v>
      </c>
      <c r="D349" t="str">
        <f>'RESUMEN TOTAL'!E352</f>
        <v>DOMO</v>
      </c>
      <c r="E349" t="str">
        <f>'RESUMEN TOTAL'!F352</f>
        <v>PTO A FO</v>
      </c>
      <c r="F349">
        <f>'RESUMEN TOTAL'!O352</f>
        <v>0</v>
      </c>
      <c r="G349">
        <f>'RESUMEN TOTAL'!P352</f>
        <v>0</v>
      </c>
      <c r="H349">
        <f>'RESUMEN TOTAL'!Q352</f>
        <v>0</v>
      </c>
      <c r="I349">
        <f>'RESUMEN TOTAL'!R352</f>
        <v>0</v>
      </c>
      <c r="J349">
        <f>'RESUMEN TOTAL'!S352</f>
        <v>0</v>
      </c>
      <c r="K349">
        <f>'RESUMEN TOTAL'!T352</f>
        <v>0</v>
      </c>
      <c r="L349">
        <f>'RESUMEN TOTAL'!U352</f>
        <v>0</v>
      </c>
      <c r="M349">
        <f>'RESUMEN TOTAL'!V352</f>
        <v>0</v>
      </c>
      <c r="N349">
        <f>'RESUMEN TOTAL'!W352</f>
        <v>0</v>
      </c>
      <c r="O349">
        <f>'RESUMEN TOTAL'!X352</f>
        <v>0</v>
      </c>
      <c r="P349">
        <f>'RESUMEN TOTAL'!Y352</f>
        <v>0</v>
      </c>
      <c r="Q349">
        <f>'RESUMEN TOTAL'!Z352</f>
        <v>0</v>
      </c>
      <c r="R349">
        <f>'RESUMEN TOTAL'!AA352</f>
        <v>0</v>
      </c>
      <c r="S349">
        <f>'RESUMEN TOTAL'!AB352</f>
        <v>0</v>
      </c>
      <c r="T349">
        <f>'RESUMEN TOTAL'!AC352</f>
        <v>0</v>
      </c>
      <c r="U349">
        <f>'RESUMEN TOTAL'!AD352</f>
        <v>0</v>
      </c>
      <c r="V349">
        <f>'RESUMEN TOTAL'!AE352</f>
        <v>0</v>
      </c>
      <c r="W349">
        <f>'RESUMEN TOTAL'!AF352</f>
        <v>0</v>
      </c>
      <c r="X349">
        <f>'RESUMEN TOTAL'!AG352</f>
        <v>0</v>
      </c>
      <c r="Y349">
        <f>'RESUMEN TOTAL'!AH352</f>
        <v>0</v>
      </c>
      <c r="Z349">
        <f>'RESUMEN TOTAL'!AI352</f>
        <v>0</v>
      </c>
      <c r="AA349">
        <f>'RESUMEN TOTAL'!AJ352</f>
        <v>0</v>
      </c>
      <c r="AB349">
        <f>'RESUMEN TOTAL'!AK352</f>
        <v>0</v>
      </c>
      <c r="AC349">
        <f>'RESUMEN TOTAL'!AL352</f>
        <v>0</v>
      </c>
      <c r="AD349">
        <f>'RESUMEN TOTAL'!AM352</f>
        <v>0</v>
      </c>
      <c r="AE349">
        <f>'RESUMEN TOTAL'!AN352</f>
        <v>0</v>
      </c>
      <c r="AF349">
        <f>'RESUMEN TOTAL'!AO352</f>
        <v>0</v>
      </c>
      <c r="AG349">
        <f>'RESUMEN TOTAL'!AP352</f>
        <v>0</v>
      </c>
      <c r="AH349">
        <f>'RESUMEN TOTAL'!AQ352</f>
        <v>0</v>
      </c>
      <c r="AI349">
        <f>'RESUMEN TOTAL'!AR352</f>
        <v>0</v>
      </c>
    </row>
    <row r="350" spans="1:35" x14ac:dyDescent="0.25">
      <c r="A350" t="str">
        <f>'RESUMEN TOTAL'!A353</f>
        <v>VILLA VATTEONE CENTRO</v>
      </c>
      <c r="B350" t="str">
        <f>'RESUMEN TOTAL'!B353</f>
        <v>VAT13</v>
      </c>
      <c r="C350" t="str">
        <f>'RESUMEN TOTAL'!D353</f>
        <v>Av.12 de Octubre y Belgrano</v>
      </c>
      <c r="D350" t="str">
        <f>'RESUMEN TOTAL'!E353</f>
        <v>Domo</v>
      </c>
      <c r="E350" t="str">
        <f>'RESUMEN TOTAL'!F353</f>
        <v>PTO A FO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>
        <f>'RESUMEN TOTAL'!AL353</f>
        <v>0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  <c r="AH350">
        <f>'RESUMEN TOTAL'!AQ353</f>
        <v>0</v>
      </c>
      <c r="AI350">
        <f>'RESUMEN TOTAL'!AR353</f>
        <v>0</v>
      </c>
    </row>
    <row r="351" spans="1:35" x14ac:dyDescent="0.25">
      <c r="A351" t="str">
        <f>'RESUMEN TOTAL'!A354</f>
        <v>VILLA VATTEONE CENTRO</v>
      </c>
      <c r="B351" t="str">
        <f>'RESUMEN TOTAL'!B354</f>
        <v>VAT18</v>
      </c>
      <c r="C351" t="str">
        <f>'RESUMEN TOTAL'!D354</f>
        <v>LAVALLE Y FONROUGE</v>
      </c>
      <c r="D351" t="str">
        <f>'RESUMEN TOTAL'!E354</f>
        <v>DOMO</v>
      </c>
      <c r="E351" t="str">
        <f>'RESUMEN TOTAL'!F354</f>
        <v>PTO A FO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  <c r="AH351">
        <f>'RESUMEN TOTAL'!AQ354</f>
        <v>0</v>
      </c>
      <c r="AI351">
        <f>'RESUMEN TOTAL'!AR354</f>
        <v>0</v>
      </c>
    </row>
    <row r="352" spans="1:35" x14ac:dyDescent="0.25">
      <c r="A352" t="str">
        <f>'RESUMEN TOTAL'!A355</f>
        <v>VILLA VATTEONE CENTRO</v>
      </c>
      <c r="B352" t="str">
        <f>'RESUMEN TOTAL'!B355</f>
        <v>VAT19</v>
      </c>
      <c r="C352" t="str">
        <f>'RESUMEN TOTAL'!D355</f>
        <v>QUINTANA Y FONROUGE ( TUCUMAN )</v>
      </c>
      <c r="D352" t="str">
        <f>'RESUMEN TOTAL'!E355</f>
        <v>DOMO</v>
      </c>
      <c r="E352" t="str">
        <f>'RESUMEN TOTAL'!F355</f>
        <v>Radio</v>
      </c>
      <c r="F352">
        <f>'RESUMEN TOTAL'!O355</f>
        <v>0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>
        <f>'RESUMEN TOTAL'!S355</f>
        <v>0</v>
      </c>
      <c r="K352">
        <f>'RESUMEN TOTAL'!T355</f>
        <v>0</v>
      </c>
      <c r="L352">
        <f>'RESUMEN TOTAL'!U355</f>
        <v>0</v>
      </c>
      <c r="M352">
        <f>'RESUMEN TOTAL'!V355</f>
        <v>0</v>
      </c>
      <c r="N352">
        <f>'RESUMEN TOTAL'!W355</f>
        <v>0</v>
      </c>
      <c r="O352">
        <f>'RESUMEN TOTAL'!X355</f>
        <v>0</v>
      </c>
      <c r="P352">
        <f>'RESUMEN TOTAL'!Y355</f>
        <v>0</v>
      </c>
      <c r="Q352">
        <f>'RESUMEN TOTAL'!Z355</f>
        <v>0</v>
      </c>
      <c r="R352">
        <f>'RESUMEN TOTAL'!AA355</f>
        <v>0</v>
      </c>
      <c r="S352">
        <f>'RESUMEN TOTAL'!AB355</f>
        <v>0</v>
      </c>
      <c r="T352">
        <f>'RESUMEN TOTAL'!AC355</f>
        <v>0</v>
      </c>
      <c r="U352">
        <f>'RESUMEN TOTAL'!AD355</f>
        <v>0</v>
      </c>
      <c r="V352">
        <f>'RESUMEN TOTAL'!AE355</f>
        <v>0</v>
      </c>
      <c r="W352">
        <f>'RESUMEN TOTAL'!AF355</f>
        <v>0</v>
      </c>
      <c r="X352">
        <f>'RESUMEN TOTAL'!AG355</f>
        <v>0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>
        <f>'RESUMEN TOTAL'!AL355</f>
        <v>0</v>
      </c>
      <c r="AD352">
        <f>'RESUMEN TOTAL'!AM355</f>
        <v>0</v>
      </c>
      <c r="AE352">
        <f>'RESUMEN TOTAL'!AN355</f>
        <v>0</v>
      </c>
      <c r="AF352">
        <f>'RESUMEN TOTAL'!AO355</f>
        <v>0</v>
      </c>
      <c r="AG352">
        <f>'RESUMEN TOTAL'!AP355</f>
        <v>0</v>
      </c>
      <c r="AH352">
        <f>'RESUMEN TOTAL'!AQ355</f>
        <v>0</v>
      </c>
      <c r="AI352">
        <f>'RESUMEN TOTAL'!AR355</f>
        <v>0</v>
      </c>
    </row>
    <row r="353" spans="1:35" x14ac:dyDescent="0.25">
      <c r="A353" t="str">
        <f>'RESUMEN TOTAL'!A356</f>
        <v>VILLA VATTEONE CENTRO</v>
      </c>
      <c r="B353" t="str">
        <f>'RESUMEN TOTAL'!B356</f>
        <v>VAT23 (fija 1)</v>
      </c>
      <c r="C353" t="str">
        <f>'RESUMEN TOTAL'!D356</f>
        <v>EVA PERON Y "EL TUNEL" (BAJO NIVEL)</v>
      </c>
      <c r="D353" t="str">
        <f>'RESUMEN TOTAL'!E356</f>
        <v>Fija</v>
      </c>
      <c r="E353" t="str">
        <f>'RESUMEN TOTAL'!F356</f>
        <v>Fibra Optica</v>
      </c>
      <c r="F353" t="str">
        <f>'RESUMEN TOTAL'!O356</f>
        <v>APAGADO</v>
      </c>
      <c r="G353">
        <f>'RESUMEN TOTAL'!P356</f>
        <v>0</v>
      </c>
      <c r="H353" t="str">
        <f>'RESUMEN TOTAL'!Q356</f>
        <v>APAGADO</v>
      </c>
      <c r="I353" t="str">
        <f>'RESUMEN TOTAL'!R356</f>
        <v>APAGADO</v>
      </c>
      <c r="J353">
        <f>'RESUMEN TOTAL'!S356</f>
        <v>0</v>
      </c>
      <c r="K353" t="str">
        <f>'RESUMEN TOTAL'!T356</f>
        <v>APAGADO</v>
      </c>
      <c r="L353" t="str">
        <f>'RESUMEN TOTAL'!U356</f>
        <v>APAGADO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>
        <f>'RESUMEN TOTAL'!AL356</f>
        <v>0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  <c r="AH353">
        <f>'RESUMEN TOTAL'!AQ356</f>
        <v>0</v>
      </c>
      <c r="AI353">
        <f>'RESUMEN TOTAL'!AR356</f>
        <v>0</v>
      </c>
    </row>
    <row r="354" spans="1:35" x14ac:dyDescent="0.25">
      <c r="A354" t="str">
        <f>'RESUMEN TOTAL'!A357</f>
        <v>VILLA VATTEONE CENTRO</v>
      </c>
      <c r="B354" t="str">
        <f>'RESUMEN TOTAL'!B357</f>
        <v>VAT24 (fija 2)</v>
      </c>
      <c r="C354" t="str">
        <f>'RESUMEN TOTAL'!D357</f>
        <v>EVA PERON Y "EL TUNEL" (BAJO NIVEL)</v>
      </c>
      <c r="D354" t="str">
        <f>'RESUMEN TOTAL'!E357</f>
        <v>Fija</v>
      </c>
      <c r="E354" t="str">
        <f>'RESUMEN TOTAL'!F357</f>
        <v>Fibra Optica</v>
      </c>
      <c r="F354" t="str">
        <f>'RESUMEN TOTAL'!O357</f>
        <v>APAGADO</v>
      </c>
      <c r="G354">
        <f>'RESUMEN TOTAL'!P357</f>
        <v>0</v>
      </c>
      <c r="H354" t="str">
        <f>'RESUMEN TOTAL'!Q357</f>
        <v>APAGADO</v>
      </c>
      <c r="I354" t="str">
        <f>'RESUMEN TOTAL'!R357</f>
        <v>APAGADO</v>
      </c>
      <c r="J354">
        <f>'RESUMEN TOTAL'!S357</f>
        <v>0</v>
      </c>
      <c r="K354" t="str">
        <f>'RESUMEN TOTAL'!T357</f>
        <v>APAGADO</v>
      </c>
      <c r="L354" t="str">
        <f>'RESUMEN TOTAL'!U357</f>
        <v>APAGADO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>
        <f>'RESUMEN TOTAL'!AL357</f>
        <v>0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  <c r="AH354">
        <f>'RESUMEN TOTAL'!AQ357</f>
        <v>0</v>
      </c>
      <c r="AI354">
        <f>'RESUMEN TOTAL'!AR357</f>
        <v>0</v>
      </c>
    </row>
    <row r="355" spans="1:35" x14ac:dyDescent="0.25">
      <c r="A355" t="str">
        <f>'RESUMEN TOTAL'!A358</f>
        <v>VILLA AURORA</v>
      </c>
      <c r="B355" t="str">
        <f>'RESUMEN TOTAL'!B358</f>
        <v>VAU 01</v>
      </c>
      <c r="C355" t="str">
        <f>'RESUMEN TOTAL'!D358</f>
        <v>San Martin y Monteverde</v>
      </c>
      <c r="D355" t="str">
        <f>'RESUMEN TOTAL'!E358</f>
        <v>Domo</v>
      </c>
      <c r="E355" t="str">
        <f>'RESUMEN TOTAL'!F358</f>
        <v>Fibra Optica</v>
      </c>
      <c r="F355">
        <f>'RESUMEN TOTAL'!O358</f>
        <v>0</v>
      </c>
      <c r="G355">
        <f>'RESUMEN TOTAL'!P358</f>
        <v>0</v>
      </c>
      <c r="H355">
        <f>'RESUMEN TOTAL'!Q358</f>
        <v>0</v>
      </c>
      <c r="I355">
        <f>'RESUMEN TOTAL'!R358</f>
        <v>0</v>
      </c>
      <c r="J355">
        <f>'RESUMEN TOTAL'!S358</f>
        <v>0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>
        <f>'RESUMEN TOTAL'!AL358</f>
        <v>0</v>
      </c>
      <c r="AD355">
        <f>'RESUMEN TOTAL'!AM358</f>
        <v>0</v>
      </c>
      <c r="AE355">
        <f>'RESUMEN TOTAL'!AN358</f>
        <v>0</v>
      </c>
      <c r="AF355">
        <f>'RESUMEN TOTAL'!AO358</f>
        <v>0</v>
      </c>
      <c r="AG355">
        <f>'RESUMEN TOTAL'!AP358</f>
        <v>0</v>
      </c>
      <c r="AH355">
        <f>'RESUMEN TOTAL'!AQ358</f>
        <v>0</v>
      </c>
      <c r="AI355">
        <f>'RESUMEN TOTAL'!AR358</f>
        <v>0</v>
      </c>
    </row>
    <row r="356" spans="1:35" x14ac:dyDescent="0.25">
      <c r="A356" t="str">
        <f>'RESUMEN TOTAL'!A359</f>
        <v>SAN EMILIO</v>
      </c>
      <c r="B356" t="str">
        <f>'RESUMEN TOTAL'!B359</f>
        <v>VAU 02</v>
      </c>
      <c r="C356" t="str">
        <f>'RESUMEN TOTAL'!D359</f>
        <v>San Martin y Lope de Vega</v>
      </c>
      <c r="D356" t="str">
        <f>'RESUMEN TOTAL'!E359</f>
        <v>Domo</v>
      </c>
      <c r="E356" t="str">
        <f>'RESUMEN TOTAL'!F359</f>
        <v>Fibra Optica</v>
      </c>
      <c r="F356">
        <f>'RESUMEN TOTAL'!O359</f>
        <v>0</v>
      </c>
      <c r="G356">
        <f>'RESUMEN TOTAL'!P359</f>
        <v>0</v>
      </c>
      <c r="H356">
        <f>'RESUMEN TOTAL'!Q359</f>
        <v>0</v>
      </c>
      <c r="I356">
        <f>'RESUMEN TOTAL'!R359</f>
        <v>0</v>
      </c>
      <c r="J356">
        <f>'RESUMEN TOTAL'!S359</f>
        <v>0</v>
      </c>
      <c r="K356">
        <f>'RESUMEN TOTAL'!T359</f>
        <v>0</v>
      </c>
      <c r="L356">
        <f>'RESUMEN TOTAL'!U359</f>
        <v>0</v>
      </c>
      <c r="M356">
        <f>'RESUMEN TOTAL'!V359</f>
        <v>0</v>
      </c>
      <c r="N356">
        <f>'RESUMEN TOTAL'!W359</f>
        <v>0</v>
      </c>
      <c r="O356">
        <f>'RESUMEN TOTAL'!X359</f>
        <v>0</v>
      </c>
      <c r="P356">
        <f>'RESUMEN TOTAL'!Y359</f>
        <v>0</v>
      </c>
      <c r="Q356">
        <f>'RESUMEN TOTAL'!Z359</f>
        <v>0</v>
      </c>
      <c r="R356">
        <f>'RESUMEN TOTAL'!AA359</f>
        <v>0</v>
      </c>
      <c r="S356">
        <f>'RESUMEN TOTAL'!AB359</f>
        <v>0</v>
      </c>
      <c r="T356">
        <f>'RESUMEN TOTAL'!AC359</f>
        <v>0</v>
      </c>
      <c r="U356">
        <f>'RESUMEN TOTAL'!AD359</f>
        <v>0</v>
      </c>
      <c r="V356">
        <f>'RESUMEN TOTAL'!AE359</f>
        <v>0</v>
      </c>
      <c r="W356">
        <f>'RESUMEN TOTAL'!AF359</f>
        <v>0</v>
      </c>
      <c r="X356">
        <f>'RESUMEN TOTAL'!AG359</f>
        <v>0</v>
      </c>
      <c r="Y356">
        <f>'RESUMEN TOTAL'!AH359</f>
        <v>0</v>
      </c>
      <c r="Z356">
        <f>'RESUMEN TOTAL'!AI359</f>
        <v>0</v>
      </c>
      <c r="AA356">
        <f>'RESUMEN TOTAL'!AJ359</f>
        <v>0</v>
      </c>
      <c r="AB356">
        <f>'RESUMEN TOTAL'!AK359</f>
        <v>0</v>
      </c>
      <c r="AC356">
        <f>'RESUMEN TOTAL'!AL359</f>
        <v>0</v>
      </c>
      <c r="AD356">
        <f>'RESUMEN TOTAL'!AM359</f>
        <v>0</v>
      </c>
      <c r="AE356">
        <f>'RESUMEN TOTAL'!AN359</f>
        <v>0</v>
      </c>
      <c r="AF356">
        <f>'RESUMEN TOTAL'!AO359</f>
        <v>0</v>
      </c>
      <c r="AG356">
        <f>'RESUMEN TOTAL'!AP359</f>
        <v>0</v>
      </c>
      <c r="AH356">
        <f>'RESUMEN TOTAL'!AQ359</f>
        <v>0</v>
      </c>
      <c r="AI356">
        <f>'RESUMEN TOTAL'!AR359</f>
        <v>0</v>
      </c>
    </row>
    <row r="357" spans="1:35" x14ac:dyDescent="0.25">
      <c r="A357" t="str">
        <f>'RESUMEN TOTAL'!A360</f>
        <v>VILLA AURORA</v>
      </c>
      <c r="B357" t="str">
        <f>'RESUMEN TOTAL'!B360</f>
        <v>VAU 07</v>
      </c>
      <c r="C357" t="str">
        <f>'RESUMEN TOTAL'!D360</f>
        <v>VICTORINO DE LA PLAZA Y MONTEVERDE</v>
      </c>
      <c r="D357" t="str">
        <f>'RESUMEN TOTAL'!E360</f>
        <v>Domo</v>
      </c>
      <c r="E357" t="str">
        <f>'RESUMEN TOTAL'!F360</f>
        <v>Fibra Optica</v>
      </c>
      <c r="F357">
        <f>'RESUMEN TOTAL'!O360</f>
        <v>0</v>
      </c>
      <c r="G357">
        <f>'RESUMEN TOTAL'!P360</f>
        <v>0</v>
      </c>
      <c r="H357">
        <f>'RESUMEN TOTAL'!Q360</f>
        <v>0</v>
      </c>
      <c r="I357">
        <f>'RESUMEN TOTAL'!R360</f>
        <v>0</v>
      </c>
      <c r="J357">
        <f>'RESUMEN TOTAL'!S360</f>
        <v>0</v>
      </c>
      <c r="K357">
        <f>'RESUMEN TOTAL'!T360</f>
        <v>0</v>
      </c>
      <c r="L357">
        <f>'RESUMEN TOTAL'!U360</f>
        <v>0</v>
      </c>
      <c r="M357">
        <f>'RESUMEN TOTAL'!V360</f>
        <v>0</v>
      </c>
      <c r="N357">
        <f>'RESUMEN TOTAL'!W360</f>
        <v>0</v>
      </c>
      <c r="O357">
        <f>'RESUMEN TOTAL'!X360</f>
        <v>0</v>
      </c>
      <c r="P357">
        <f>'RESUMEN TOTAL'!Y360</f>
        <v>0</v>
      </c>
      <c r="Q357">
        <f>'RESUMEN TOTAL'!Z360</f>
        <v>0</v>
      </c>
      <c r="R357">
        <f>'RESUMEN TOTAL'!AA360</f>
        <v>0</v>
      </c>
      <c r="S357">
        <f>'RESUMEN TOTAL'!AB360</f>
        <v>0</v>
      </c>
      <c r="T357">
        <f>'RESUMEN TOTAL'!AC360</f>
        <v>0</v>
      </c>
      <c r="U357">
        <f>'RESUMEN TOTAL'!AD360</f>
        <v>0</v>
      </c>
      <c r="V357">
        <f>'RESUMEN TOTAL'!AE360</f>
        <v>0</v>
      </c>
      <c r="W357">
        <f>'RESUMEN TOTAL'!AF360</f>
        <v>0</v>
      </c>
      <c r="X357">
        <f>'RESUMEN TOTAL'!AG360</f>
        <v>0</v>
      </c>
      <c r="Y357">
        <f>'RESUMEN TOTAL'!AH360</f>
        <v>0</v>
      </c>
      <c r="Z357">
        <f>'RESUMEN TOTAL'!AI360</f>
        <v>0</v>
      </c>
      <c r="AA357">
        <f>'RESUMEN TOTAL'!AJ360</f>
        <v>0</v>
      </c>
      <c r="AB357">
        <f>'RESUMEN TOTAL'!AK360</f>
        <v>0</v>
      </c>
      <c r="AC357">
        <f>'RESUMEN TOTAL'!AL360</f>
        <v>0</v>
      </c>
      <c r="AD357">
        <f>'RESUMEN TOTAL'!AM360</f>
        <v>0</v>
      </c>
      <c r="AE357">
        <f>'RESUMEN TOTAL'!AN360</f>
        <v>0</v>
      </c>
      <c r="AF357">
        <f>'RESUMEN TOTAL'!AO360</f>
        <v>0</v>
      </c>
      <c r="AG357">
        <f>'RESUMEN TOTAL'!AP360</f>
        <v>0</v>
      </c>
      <c r="AH357">
        <f>'RESUMEN TOTAL'!AQ360</f>
        <v>0</v>
      </c>
      <c r="AI357">
        <f>'RESUMEN TOTAL'!AR360</f>
        <v>0</v>
      </c>
    </row>
    <row r="358" spans="1:35" x14ac:dyDescent="0.25">
      <c r="A358" t="str">
        <f>'RESUMEN TOTAL'!A361</f>
        <v>VILLA AURORA</v>
      </c>
      <c r="B358" t="str">
        <f>'RESUMEN TOTAL'!B361</f>
        <v>VAU03 (fija 1)</v>
      </c>
      <c r="C358" t="str">
        <f>'RESUMEN TOTAL'!D361</f>
        <v>PIZZURNO Y NUESTRAS MALVINAS</v>
      </c>
      <c r="D358" t="str">
        <f>'RESUMEN TOTAL'!E361</f>
        <v>Fija</v>
      </c>
      <c r="E358" t="str">
        <f>'RESUMEN TOTAL'!F361</f>
        <v>Fibra Optica</v>
      </c>
      <c r="F358" t="str">
        <f>'RESUMEN TOTAL'!O361</f>
        <v>APAGADO</v>
      </c>
      <c r="G358">
        <f>'RESUMEN TOTAL'!P361</f>
        <v>0</v>
      </c>
      <c r="H358" t="str">
        <f>'RESUMEN TOTAL'!Q361</f>
        <v>APAGADO</v>
      </c>
      <c r="I358" t="str">
        <f>'RESUMEN TOTAL'!R361</f>
        <v>APAGADO</v>
      </c>
      <c r="J358" t="str">
        <f>'RESUMEN TOTAL'!S361</f>
        <v>APAGADO</v>
      </c>
      <c r="K358" t="str">
        <f>'RESUMEN TOTAL'!T361</f>
        <v>APAGADO</v>
      </c>
      <c r="L358" t="str">
        <f>'RESUMEN TOTAL'!U361</f>
        <v>APAGADO</v>
      </c>
      <c r="M358">
        <f>'RESUMEN TOTAL'!V361</f>
        <v>0</v>
      </c>
      <c r="N358">
        <f>'RESUMEN TOTAL'!W361</f>
        <v>0</v>
      </c>
      <c r="O358">
        <f>'RESUMEN TOTAL'!X361</f>
        <v>0</v>
      </c>
      <c r="P358">
        <f>'RESUMEN TOTAL'!Y361</f>
        <v>0</v>
      </c>
      <c r="Q358">
        <f>'RESUMEN TOTAL'!Z361</f>
        <v>0</v>
      </c>
      <c r="R358">
        <f>'RESUMEN TOTAL'!AA361</f>
        <v>0</v>
      </c>
      <c r="S358">
        <f>'RESUMEN TOTAL'!AB361</f>
        <v>0</v>
      </c>
      <c r="T358">
        <f>'RESUMEN TOTAL'!AC361</f>
        <v>0</v>
      </c>
      <c r="U358">
        <f>'RESUMEN TOTAL'!AD361</f>
        <v>0</v>
      </c>
      <c r="V358">
        <f>'RESUMEN TOTAL'!AE361</f>
        <v>0</v>
      </c>
      <c r="W358">
        <f>'RESUMEN TOTAL'!AF361</f>
        <v>0</v>
      </c>
      <c r="X358">
        <f>'RESUMEN TOTAL'!AG361</f>
        <v>0</v>
      </c>
      <c r="Y358">
        <f>'RESUMEN TOTAL'!AH361</f>
        <v>0</v>
      </c>
      <c r="Z358">
        <f>'RESUMEN TOTAL'!AI361</f>
        <v>0</v>
      </c>
      <c r="AA358">
        <f>'RESUMEN TOTAL'!AJ361</f>
        <v>0</v>
      </c>
      <c r="AB358">
        <f>'RESUMEN TOTAL'!AK361</f>
        <v>0</v>
      </c>
      <c r="AC358">
        <f>'RESUMEN TOTAL'!AL361</f>
        <v>0</v>
      </c>
      <c r="AD358">
        <f>'RESUMEN TOTAL'!AM361</f>
        <v>0</v>
      </c>
      <c r="AE358">
        <f>'RESUMEN TOTAL'!AN361</f>
        <v>0</v>
      </c>
      <c r="AF358">
        <f>'RESUMEN TOTAL'!AO361</f>
        <v>0</v>
      </c>
      <c r="AG358">
        <f>'RESUMEN TOTAL'!AP361</f>
        <v>0</v>
      </c>
      <c r="AH358">
        <f>'RESUMEN TOTAL'!AQ361</f>
        <v>0</v>
      </c>
      <c r="AI358">
        <f>'RESUMEN TOTAL'!AR361</f>
        <v>0</v>
      </c>
    </row>
    <row r="359" spans="1:35" x14ac:dyDescent="0.25">
      <c r="A359" t="str">
        <f>'RESUMEN TOTAL'!A362</f>
        <v>VILLA AURORA</v>
      </c>
      <c r="B359" t="str">
        <f>'RESUMEN TOTAL'!B362</f>
        <v>VAU04 (fija 2)</v>
      </c>
      <c r="C359" t="str">
        <f>'RESUMEN TOTAL'!D362</f>
        <v>PIZZURNO Y NUESTRAS MALVINAS</v>
      </c>
      <c r="D359" t="str">
        <f>'RESUMEN TOTAL'!E362</f>
        <v>Fija</v>
      </c>
      <c r="E359" t="str">
        <f>'RESUMEN TOTAL'!F362</f>
        <v>Fibra Optica</v>
      </c>
      <c r="F359" t="str">
        <f>'RESUMEN TOTAL'!O362</f>
        <v>APAGADO</v>
      </c>
      <c r="G359">
        <f>'RESUMEN TOTAL'!P362</f>
        <v>0</v>
      </c>
      <c r="H359" t="str">
        <f>'RESUMEN TOTAL'!Q362</f>
        <v>APAGADO</v>
      </c>
      <c r="I359" t="str">
        <f>'RESUMEN TOTAL'!R362</f>
        <v>APAGADO</v>
      </c>
      <c r="J359" t="str">
        <f>'RESUMEN TOTAL'!S362</f>
        <v>APAGADO</v>
      </c>
      <c r="K359" t="str">
        <f>'RESUMEN TOTAL'!T362</f>
        <v>APAGADO</v>
      </c>
      <c r="L359" t="str">
        <f>'RESUMEN TOTAL'!U362</f>
        <v>APAGADO</v>
      </c>
      <c r="M359">
        <f>'RESUMEN TOTAL'!V362</f>
        <v>0</v>
      </c>
      <c r="N359">
        <f>'RESUMEN TOTAL'!W362</f>
        <v>0</v>
      </c>
      <c r="O359">
        <f>'RESUMEN TOTAL'!X362</f>
        <v>0</v>
      </c>
      <c r="P359">
        <f>'RESUMEN TOTAL'!Y362</f>
        <v>0</v>
      </c>
      <c r="Q359">
        <f>'RESUMEN TOTAL'!Z362</f>
        <v>0</v>
      </c>
      <c r="R359">
        <f>'RESUMEN TOTAL'!AA362</f>
        <v>0</v>
      </c>
      <c r="S359">
        <f>'RESUMEN TOTAL'!AB362</f>
        <v>0</v>
      </c>
      <c r="T359">
        <f>'RESUMEN TOTAL'!AC362</f>
        <v>0</v>
      </c>
      <c r="U359">
        <f>'RESUMEN TOTAL'!AD362</f>
        <v>0</v>
      </c>
      <c r="V359">
        <f>'RESUMEN TOTAL'!AE362</f>
        <v>0</v>
      </c>
      <c r="W359">
        <f>'RESUMEN TOTAL'!AF362</f>
        <v>0</v>
      </c>
      <c r="X359">
        <f>'RESUMEN TOTAL'!AG362</f>
        <v>0</v>
      </c>
      <c r="Y359">
        <f>'RESUMEN TOTAL'!AH362</f>
        <v>0</v>
      </c>
      <c r="Z359">
        <f>'RESUMEN TOTAL'!AI362</f>
        <v>0</v>
      </c>
      <c r="AA359">
        <f>'RESUMEN TOTAL'!AJ362</f>
        <v>0</v>
      </c>
      <c r="AB359">
        <f>'RESUMEN TOTAL'!AK362</f>
        <v>0</v>
      </c>
      <c r="AC359">
        <f>'RESUMEN TOTAL'!AL362</f>
        <v>0</v>
      </c>
      <c r="AD359">
        <f>'RESUMEN TOTAL'!AM362</f>
        <v>0</v>
      </c>
      <c r="AE359">
        <f>'RESUMEN TOTAL'!AN362</f>
        <v>0</v>
      </c>
      <c r="AF359">
        <f>'RESUMEN TOTAL'!AO362</f>
        <v>0</v>
      </c>
      <c r="AG359">
        <f>'RESUMEN TOTAL'!AP362</f>
        <v>0</v>
      </c>
      <c r="AH359">
        <f>'RESUMEN TOTAL'!AQ362</f>
        <v>0</v>
      </c>
      <c r="AI359">
        <f>'RESUMEN TOTAL'!AR362</f>
        <v>0</v>
      </c>
    </row>
    <row r="360" spans="1:35" x14ac:dyDescent="0.25">
      <c r="A360" t="str">
        <f>'RESUMEN TOTAL'!A363</f>
        <v>VILLA AURORA</v>
      </c>
      <c r="B360" t="str">
        <f>'RESUMEN TOTAL'!B363</f>
        <v>VAU05 (fija 1)</v>
      </c>
      <c r="C360" t="str">
        <f>'RESUMEN TOTAL'!D363</f>
        <v>GUIDO SPANO Y VICTORINO DE LA PLAZA</v>
      </c>
      <c r="D360" t="str">
        <f>'RESUMEN TOTAL'!E363</f>
        <v>Fija</v>
      </c>
      <c r="E360" t="str">
        <f>'RESUMEN TOTAL'!F363</f>
        <v>Fibra Optica</v>
      </c>
      <c r="F360">
        <f>'RESUMEN TOTAL'!O363</f>
        <v>0</v>
      </c>
      <c r="G360">
        <f>'RESUMEN TOTAL'!P363</f>
        <v>0</v>
      </c>
      <c r="H360">
        <f>'RESUMEN TOTAL'!Q363</f>
        <v>0</v>
      </c>
      <c r="I360">
        <f>'RESUMEN TOTAL'!R363</f>
        <v>0</v>
      </c>
      <c r="J360">
        <f>'RESUMEN TOTAL'!S363</f>
        <v>0</v>
      </c>
      <c r="K360">
        <f>'RESUMEN TOTAL'!T363</f>
        <v>0</v>
      </c>
      <c r="L360">
        <f>'RESUMEN TOTAL'!U363</f>
        <v>0</v>
      </c>
      <c r="M360">
        <f>'RESUMEN TOTAL'!V363</f>
        <v>0</v>
      </c>
      <c r="N360">
        <f>'RESUMEN TOTAL'!W363</f>
        <v>0</v>
      </c>
      <c r="O360">
        <f>'RESUMEN TOTAL'!X363</f>
        <v>0</v>
      </c>
      <c r="P360">
        <f>'RESUMEN TOTAL'!Y363</f>
        <v>0</v>
      </c>
      <c r="Q360">
        <f>'RESUMEN TOTAL'!Z363</f>
        <v>0</v>
      </c>
      <c r="R360">
        <f>'RESUMEN TOTAL'!AA363</f>
        <v>0</v>
      </c>
      <c r="S360">
        <f>'RESUMEN TOTAL'!AB363</f>
        <v>0</v>
      </c>
      <c r="T360">
        <f>'RESUMEN TOTAL'!AC363</f>
        <v>0</v>
      </c>
      <c r="U360">
        <f>'RESUMEN TOTAL'!AD363</f>
        <v>0</v>
      </c>
      <c r="V360">
        <f>'RESUMEN TOTAL'!AE363</f>
        <v>0</v>
      </c>
      <c r="W360">
        <f>'RESUMEN TOTAL'!AF363</f>
        <v>0</v>
      </c>
      <c r="X360">
        <f>'RESUMEN TOTAL'!AG363</f>
        <v>0</v>
      </c>
      <c r="Y360">
        <f>'RESUMEN TOTAL'!AH363</f>
        <v>0</v>
      </c>
      <c r="Z360">
        <f>'RESUMEN TOTAL'!AI363</f>
        <v>0</v>
      </c>
      <c r="AA360">
        <f>'RESUMEN TOTAL'!AJ363</f>
        <v>0</v>
      </c>
      <c r="AB360">
        <f>'RESUMEN TOTAL'!AK363</f>
        <v>0</v>
      </c>
      <c r="AC360">
        <f>'RESUMEN TOTAL'!AL363</f>
        <v>0</v>
      </c>
      <c r="AD360">
        <f>'RESUMEN TOTAL'!AM363</f>
        <v>0</v>
      </c>
      <c r="AE360">
        <f>'RESUMEN TOTAL'!AN363</f>
        <v>0</v>
      </c>
      <c r="AF360">
        <f>'RESUMEN TOTAL'!AO363</f>
        <v>0</v>
      </c>
      <c r="AG360">
        <f>'RESUMEN TOTAL'!AP363</f>
        <v>0</v>
      </c>
      <c r="AH360">
        <f>'RESUMEN TOTAL'!AQ363</f>
        <v>0</v>
      </c>
      <c r="AI360">
        <f>'RESUMEN TOTAL'!AR363</f>
        <v>0</v>
      </c>
    </row>
    <row r="361" spans="1:35" x14ac:dyDescent="0.25">
      <c r="A361" t="str">
        <f>'RESUMEN TOTAL'!A364</f>
        <v>VILLA AURORA</v>
      </c>
      <c r="B361" t="str">
        <f>'RESUMEN TOTAL'!B364</f>
        <v>VAU06 (fija 2)</v>
      </c>
      <c r="C361" t="str">
        <f>'RESUMEN TOTAL'!D364</f>
        <v>GUIDO SPANO Y VICTORINO DE LA PLAZA</v>
      </c>
      <c r="D361" t="str">
        <f>'RESUMEN TOTAL'!E364</f>
        <v>Fija</v>
      </c>
      <c r="E361" t="str">
        <f>'RESUMEN TOTAL'!F364</f>
        <v>Fibra Optica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>
        <f>'RESUMEN TOTAL'!R364</f>
        <v>0</v>
      </c>
      <c r="J361">
        <f>'RESUMEN TOTAL'!S364</f>
        <v>0</v>
      </c>
      <c r="K361">
        <f>'RESUMEN TOTAL'!T364</f>
        <v>0</v>
      </c>
      <c r="L361">
        <f>'RESUMEN TOTAL'!U364</f>
        <v>0</v>
      </c>
      <c r="M361">
        <f>'RESUMEN TOTAL'!V364</f>
        <v>0</v>
      </c>
      <c r="N361">
        <f>'RESUMEN TOTAL'!W364</f>
        <v>0</v>
      </c>
      <c r="O361">
        <f>'RESUMEN TOTAL'!X364</f>
        <v>0</v>
      </c>
      <c r="P361">
        <f>'RESUMEN TOTAL'!Y364</f>
        <v>0</v>
      </c>
      <c r="Q361">
        <f>'RESUMEN TOTAL'!Z364</f>
        <v>0</v>
      </c>
      <c r="R361">
        <f>'RESUMEN TOTAL'!AA364</f>
        <v>0</v>
      </c>
      <c r="S361">
        <f>'RESUMEN TOTAL'!AB364</f>
        <v>0</v>
      </c>
      <c r="T361">
        <f>'RESUMEN TOTAL'!AC364</f>
        <v>0</v>
      </c>
      <c r="U361">
        <f>'RESUMEN TOTAL'!AD364</f>
        <v>0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>
        <f>'RESUMEN TOTAL'!AK364</f>
        <v>0</v>
      </c>
      <c r="AC361">
        <f>'RESUMEN TOTAL'!AL364</f>
        <v>0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  <c r="AH361">
        <f>'RESUMEN TOTAL'!AQ364</f>
        <v>0</v>
      </c>
      <c r="AI361">
        <f>'RESUMEN TOTAL'!AR364</f>
        <v>0</v>
      </c>
    </row>
    <row r="362" spans="1:35" x14ac:dyDescent="0.25">
      <c r="A362" t="str">
        <f>'RESUMEN TOTAL'!A365</f>
        <v>VILLA AURORA</v>
      </c>
      <c r="B362" t="str">
        <f>'RESUMEN TOTAL'!B365</f>
        <v>VAU08</v>
      </c>
      <c r="C362" t="str">
        <f>'RESUMEN TOTAL'!D365</f>
        <v>MONTEVERDE Y WASHINGTON</v>
      </c>
      <c r="D362" t="str">
        <f>'RESUMEN TOTAL'!E365</f>
        <v>DOMO</v>
      </c>
      <c r="E362" t="str">
        <f>'RESUMEN TOTAL'!F365</f>
        <v>Fibra Optica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  <c r="AH362">
        <f>'RESUMEN TOTAL'!AQ365</f>
        <v>0</v>
      </c>
      <c r="AI362">
        <f>'RESUMEN TOTAL'!AR365</f>
        <v>0</v>
      </c>
    </row>
    <row r="363" spans="1:35" x14ac:dyDescent="0.25">
      <c r="A363" t="str">
        <f>'RESUMEN TOTAL'!A366</f>
        <v>VILLA DEL PLATA</v>
      </c>
      <c r="B363" t="str">
        <f>'RESUMEN TOTAL'!B366</f>
        <v>VDPL02</v>
      </c>
      <c r="C363" t="str">
        <f>'RESUMEN TOTAL'!D366</f>
        <v>Thevenet y Berutti</v>
      </c>
      <c r="D363" t="str">
        <f>'RESUMEN TOTAL'!E366</f>
        <v>Domo</v>
      </c>
      <c r="E363" t="str">
        <f>'RESUMEN TOTAL'!F366</f>
        <v>Fibra Optica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  <c r="AH363">
        <f>'RESUMEN TOTAL'!AQ366</f>
        <v>0</v>
      </c>
      <c r="AI363">
        <f>'RESUMEN TOTAL'!AR366</f>
        <v>0</v>
      </c>
    </row>
    <row r="364" spans="1:35" x14ac:dyDescent="0.25">
      <c r="A364" t="str">
        <f>'RESUMEN TOTAL'!A367</f>
        <v>VILLA DEL PLATA</v>
      </c>
      <c r="B364" t="str">
        <f>'RESUMEN TOTAL'!B367</f>
        <v>VDPL03</v>
      </c>
      <c r="C364" t="str">
        <f>'RESUMEN TOTAL'!D367</f>
        <v>Neuquen y Alvarado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  <c r="AH364">
        <f>'RESUMEN TOTAL'!AQ367</f>
        <v>0</v>
      </c>
      <c r="AI364">
        <f>'RESUMEN TOTAL'!AR367</f>
        <v>0</v>
      </c>
    </row>
    <row r="365" spans="1:35" x14ac:dyDescent="0.25">
      <c r="A365" t="str">
        <f>'RESUMEN TOTAL'!A368</f>
        <v>VILLA DEL PLATA</v>
      </c>
      <c r="B365" t="str">
        <f>'RESUMEN TOTAL'!B368</f>
        <v>VDPL04</v>
      </c>
      <c r="C365" t="str">
        <f>'RESUMEN TOTAL'!D368</f>
        <v>Neuquen y Diagonal Guemes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>
        <f>'RESUMEN TOTAL'!U368</f>
        <v>0</v>
      </c>
      <c r="M365">
        <f>'RESUMEN TOTAL'!V368</f>
        <v>0</v>
      </c>
      <c r="N365">
        <f>'RESUMEN TOTAL'!W368</f>
        <v>0</v>
      </c>
      <c r="O365">
        <f>'RESUMEN TOTAL'!X368</f>
        <v>0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  <c r="AH365">
        <f>'RESUMEN TOTAL'!AQ368</f>
        <v>0</v>
      </c>
      <c r="AI365">
        <f>'RESUMEN TOTAL'!AR368</f>
        <v>0</v>
      </c>
    </row>
    <row r="366" spans="1:35" x14ac:dyDescent="0.25">
      <c r="A366" t="str">
        <f>'RESUMEN TOTAL'!A369</f>
        <v>VILLA DEL PLATA</v>
      </c>
      <c r="B366" t="str">
        <f>'RESUMEN TOTAL'!B369</f>
        <v>VDPL05</v>
      </c>
      <c r="C366" t="str">
        <f>'RESUMEN TOTAL'!D369</f>
        <v>Ruta 36 y Abraham</v>
      </c>
      <c r="D366" t="str">
        <f>'RESUMEN TOTAL'!E369</f>
        <v>Domo</v>
      </c>
      <c r="E366" t="str">
        <f>'RESUMEN TOTAL'!F369</f>
        <v>PTO A FO</v>
      </c>
      <c r="F366">
        <f>'RESUMEN TOTAL'!O369</f>
        <v>0</v>
      </c>
      <c r="G366">
        <f>'RESUMEN TOTAL'!P369</f>
        <v>0</v>
      </c>
      <c r="H366">
        <f>'RESUMEN TOTAL'!Q369</f>
        <v>0</v>
      </c>
      <c r="I366">
        <f>'RESUMEN TOTAL'!R369</f>
        <v>0</v>
      </c>
      <c r="J366">
        <f>'RESUMEN TOTAL'!S369</f>
        <v>0</v>
      </c>
      <c r="K366">
        <f>'RESUMEN TOTAL'!T369</f>
        <v>0</v>
      </c>
      <c r="L366">
        <f>'RESUMEN TOTAL'!U369</f>
        <v>0</v>
      </c>
      <c r="M366">
        <f>'RESUMEN TOTAL'!V369</f>
        <v>0</v>
      </c>
      <c r="N366">
        <f>'RESUMEN TOTAL'!W369</f>
        <v>0</v>
      </c>
      <c r="O366">
        <f>'RESUMEN TOTAL'!X369</f>
        <v>0</v>
      </c>
      <c r="P366">
        <f>'RESUMEN TOTAL'!Y369</f>
        <v>0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>
        <f>'RESUMEN TOTAL'!AJ369</f>
        <v>0</v>
      </c>
      <c r="AB366">
        <f>'RESUMEN TOTAL'!AK369</f>
        <v>0</v>
      </c>
      <c r="AC366">
        <f>'RESUMEN TOTAL'!AL369</f>
        <v>0</v>
      </c>
      <c r="AD366">
        <f>'RESUMEN TOTAL'!AM369</f>
        <v>0</v>
      </c>
      <c r="AE366">
        <f>'RESUMEN TOTAL'!AN369</f>
        <v>0</v>
      </c>
      <c r="AF366">
        <f>'RESUMEN TOTAL'!AO369</f>
        <v>0</v>
      </c>
      <c r="AG366">
        <f>'RESUMEN TOTAL'!AP369</f>
        <v>0</v>
      </c>
      <c r="AH366">
        <f>'RESUMEN TOTAL'!AQ369</f>
        <v>0</v>
      </c>
      <c r="AI366">
        <f>'RESUMEN TOTAL'!AR369</f>
        <v>0</v>
      </c>
    </row>
    <row r="367" spans="1:35" x14ac:dyDescent="0.25">
      <c r="A367" t="str">
        <f>'RESUMEN TOTAL'!A370</f>
        <v>VILLA ANGELICA</v>
      </c>
      <c r="B367" t="str">
        <f>'RESUMEN TOTAL'!B370</f>
        <v>VDPL06</v>
      </c>
      <c r="C367" t="str">
        <f>'RESUMEN TOTAL'!D370</f>
        <v>Thevenet e/ Islas Orcadas y Gardel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 t="str">
        <f>'RESUMEN TOTAL'!T370</f>
        <v>APAGADO</v>
      </c>
      <c r="L367" t="str">
        <f>'RESUMEN TOTAL'!U370</f>
        <v>APAGADO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>
        <f>'RESUMEN TOTAL'!AD370</f>
        <v>0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  <c r="AH367">
        <f>'RESUMEN TOTAL'!AQ370</f>
        <v>0</v>
      </c>
      <c r="AI367">
        <f>'RESUMEN TOTAL'!AR370</f>
        <v>0</v>
      </c>
    </row>
    <row r="368" spans="1:35" x14ac:dyDescent="0.25">
      <c r="A368" t="str">
        <f>'RESUMEN TOTAL'!A371</f>
        <v>VILLA HUDSON</v>
      </c>
      <c r="B368" t="str">
        <f>'RESUMEN TOTAL'!B371</f>
        <v>VHS 01</v>
      </c>
      <c r="C368" t="str">
        <f>'RESUMEN TOTAL'!D371</f>
        <v>AV. HUDSON Y AV. LUJAN</v>
      </c>
      <c r="D368" t="str">
        <f>'RESUMEN TOTAL'!E371</f>
        <v>DOMO</v>
      </c>
      <c r="E368" t="str">
        <f>'RESUMEN TOTAL'!F371</f>
        <v>Fibra Optica</v>
      </c>
      <c r="F368">
        <f>'RESUMEN TOTAL'!O371</f>
        <v>0</v>
      </c>
      <c r="G368">
        <f>'RESUMEN TOTAL'!P371</f>
        <v>0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 t="str">
        <f>'RESUMEN TOTAL'!U371</f>
        <v>APAGADO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>
        <f>'RESUMEN TOTAL'!AL371</f>
        <v>0</v>
      </c>
      <c r="AD368">
        <f>'RESUMEN TOTAL'!AM371</f>
        <v>0</v>
      </c>
      <c r="AE368">
        <f>'RESUMEN TOTAL'!AN371</f>
        <v>0</v>
      </c>
      <c r="AF368">
        <f>'RESUMEN TOTAL'!AO371</f>
        <v>0</v>
      </c>
      <c r="AG368">
        <f>'RESUMEN TOTAL'!AP371</f>
        <v>0</v>
      </c>
      <c r="AH368">
        <f>'RESUMEN TOTAL'!AQ371</f>
        <v>0</v>
      </c>
      <c r="AI368">
        <f>'RESUMEN TOTAL'!AR371</f>
        <v>0</v>
      </c>
    </row>
    <row r="369" spans="1:35" x14ac:dyDescent="0.25">
      <c r="A369" t="str">
        <f>'RESUMEN TOTAL'!A372</f>
        <v>VILLA HUDSON</v>
      </c>
      <c r="B369" t="str">
        <f>'RESUMEN TOTAL'!B372</f>
        <v>VHS 02</v>
      </c>
      <c r="C369" t="str">
        <f>'RESUMEN TOTAL'!D372</f>
        <v>AV. LUJAN Y CALLE 909 A</v>
      </c>
      <c r="D369" t="str">
        <f>'RESUMEN TOTAL'!E372</f>
        <v>DOMO</v>
      </c>
      <c r="E369" t="str">
        <f>'RESUMEN TOTAL'!F372</f>
        <v>Fibra Optica</v>
      </c>
      <c r="F369">
        <f>'RESUMEN TOTAL'!O372</f>
        <v>0</v>
      </c>
      <c r="G369">
        <f>'RESUMEN TOTAL'!P372</f>
        <v>0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 t="str">
        <f>'RESUMEN TOTAL'!U372</f>
        <v>APAGADO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>
        <f>'RESUMEN TOTAL'!AL372</f>
        <v>0</v>
      </c>
      <c r="AD369">
        <f>'RESUMEN TOTAL'!AM372</f>
        <v>0</v>
      </c>
      <c r="AE369">
        <f>'RESUMEN TOTAL'!AN372</f>
        <v>0</v>
      </c>
      <c r="AF369">
        <f>'RESUMEN TOTAL'!AO372</f>
        <v>0</v>
      </c>
      <c r="AG369">
        <f>'RESUMEN TOTAL'!AP372</f>
        <v>0</v>
      </c>
      <c r="AH369">
        <f>'RESUMEN TOTAL'!AQ372</f>
        <v>0</v>
      </c>
      <c r="AI369">
        <f>'RESUMEN TOTAL'!AR372</f>
        <v>0</v>
      </c>
    </row>
    <row r="370" spans="1:35" x14ac:dyDescent="0.25">
      <c r="A370" t="str">
        <f>'RESUMEN TOTAL'!A373</f>
        <v>VILLA HUDSON</v>
      </c>
      <c r="B370" t="str">
        <f>'RESUMEN TOTAL'!B373</f>
        <v>VHS 03 (fija 1)</v>
      </c>
      <c r="C370" t="str">
        <f>'RESUMEN TOTAL'!D373</f>
        <v>AV. HUDSON Y LOS INMIGRANTES</v>
      </c>
      <c r="D370" t="str">
        <f>'RESUMEN TOTAL'!E373</f>
        <v>Fija</v>
      </c>
      <c r="E370" t="str">
        <f>'RESUMEN TOTAL'!F373</f>
        <v>Fibra Optica</v>
      </c>
      <c r="F370">
        <f>'RESUMEN TOTAL'!O373</f>
        <v>0</v>
      </c>
      <c r="G370">
        <f>'RESUMEN TOTAL'!P373</f>
        <v>0</v>
      </c>
      <c r="H370">
        <f>'RESUMEN TOTAL'!Q373</f>
        <v>0</v>
      </c>
      <c r="I370">
        <f>'RESUMEN TOTAL'!R373</f>
        <v>0</v>
      </c>
      <c r="J370">
        <f>'RESUMEN TOTAL'!S373</f>
        <v>0</v>
      </c>
      <c r="K370">
        <f>'RESUMEN TOTAL'!T373</f>
        <v>0</v>
      </c>
      <c r="L370" t="str">
        <f>'RESUMEN TOTAL'!U373</f>
        <v>APAGADO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>
        <f>'RESUMEN TOTAL'!AE373</f>
        <v>0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>
        <f>'RESUMEN TOTAL'!AO373</f>
        <v>0</v>
      </c>
      <c r="AG370">
        <f>'RESUMEN TOTAL'!AP373</f>
        <v>0</v>
      </c>
      <c r="AH370">
        <f>'RESUMEN TOTAL'!AQ373</f>
        <v>0</v>
      </c>
      <c r="AI370">
        <f>'RESUMEN TOTAL'!AR373</f>
        <v>0</v>
      </c>
    </row>
    <row r="371" spans="1:35" x14ac:dyDescent="0.25">
      <c r="A371" t="str">
        <f>'RESUMEN TOTAL'!A374</f>
        <v>VILLA HUDSON</v>
      </c>
      <c r="B371" t="str">
        <f>'RESUMEN TOTAL'!B374</f>
        <v>VHS 04 (fija 2)</v>
      </c>
      <c r="C371" t="str">
        <f>'RESUMEN TOTAL'!D374</f>
        <v>AV. HUDSON Y LOS INMIGRANTES</v>
      </c>
      <c r="D371" t="str">
        <f>'RESUMEN TOTAL'!E374</f>
        <v>Fija</v>
      </c>
      <c r="E371" t="str">
        <f>'RESUMEN TOTAL'!F374</f>
        <v>Fibra Optica</v>
      </c>
      <c r="F371">
        <f>'RESUMEN TOTAL'!O374</f>
        <v>0</v>
      </c>
      <c r="G371">
        <f>'RESUMEN TOTAL'!P374</f>
        <v>0</v>
      </c>
      <c r="H371">
        <f>'RESUMEN TOTAL'!Q374</f>
        <v>0</v>
      </c>
      <c r="I371">
        <f>'RESUMEN TOTAL'!R374</f>
        <v>0</v>
      </c>
      <c r="J371">
        <f>'RESUMEN TOTAL'!S374</f>
        <v>0</v>
      </c>
      <c r="K371">
        <f>'RESUMEN TOTAL'!T374</f>
        <v>0</v>
      </c>
      <c r="L371" t="str">
        <f>'RESUMEN TOTAL'!U374</f>
        <v>APAGADO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>
        <f>'RESUMEN TOTAL'!AE374</f>
        <v>0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>
        <f>'RESUMEN TOTAL'!AO374</f>
        <v>0</v>
      </c>
      <c r="AG371">
        <f>'RESUMEN TOTAL'!AP374</f>
        <v>0</v>
      </c>
      <c r="AH371">
        <f>'RESUMEN TOTAL'!AQ374</f>
        <v>0</v>
      </c>
      <c r="AI371">
        <f>'RESUMEN TOTAL'!AR374</f>
        <v>0</v>
      </c>
    </row>
    <row r="372" spans="1:35" x14ac:dyDescent="0.25">
      <c r="A372" t="str">
        <f>'RESUMEN TOTAL'!A375</f>
        <v>VILLA ARIAS</v>
      </c>
      <c r="B372" t="str">
        <f>'RESUMEN TOTAL'!B375</f>
        <v>VLA 01 (fija 1)</v>
      </c>
      <c r="C372" t="str">
        <f>'RESUMEN TOTAL'!D375</f>
        <v>820 Y SOLER</v>
      </c>
      <c r="D372" t="str">
        <f>'RESUMEN TOTAL'!E375</f>
        <v>Fija</v>
      </c>
      <c r="E372" t="str">
        <f>'RESUMEN TOTAL'!F375</f>
        <v>Fibra Optica</v>
      </c>
      <c r="F372">
        <f>'RESUMEN TOTAL'!O375</f>
        <v>0</v>
      </c>
      <c r="G372">
        <f>'RESUMEN TOTAL'!P375</f>
        <v>0</v>
      </c>
      <c r="H372">
        <f>'RESUMEN TOTAL'!Q375</f>
        <v>0</v>
      </c>
      <c r="I372">
        <f>'RESUMEN TOTAL'!R375</f>
        <v>0</v>
      </c>
      <c r="J372">
        <f>'RESUMEN TOTAL'!S375</f>
        <v>0</v>
      </c>
      <c r="K372">
        <f>'RESUMEN TOTAL'!T375</f>
        <v>0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>
        <f>'RESUMEN TOTAL'!AE375</f>
        <v>0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>
        <f>'RESUMEN TOTAL'!AO375</f>
        <v>0</v>
      </c>
      <c r="AG372">
        <f>'RESUMEN TOTAL'!AP375</f>
        <v>0</v>
      </c>
      <c r="AH372">
        <f>'RESUMEN TOTAL'!AQ375</f>
        <v>0</v>
      </c>
      <c r="AI372">
        <f>'RESUMEN TOTAL'!AR375</f>
        <v>0</v>
      </c>
    </row>
    <row r="373" spans="1:35" x14ac:dyDescent="0.25">
      <c r="A373" t="str">
        <f>'RESUMEN TOTAL'!A376</f>
        <v>VILLA ARIAS</v>
      </c>
      <c r="B373" t="str">
        <f>'RESUMEN TOTAL'!B376</f>
        <v>VLA 02</v>
      </c>
      <c r="C373" t="str">
        <f>'RESUMEN TOTAL'!D376</f>
        <v>ESPORA Y HUDSON</v>
      </c>
      <c r="D373" t="str">
        <f>'RESUMEN TOTAL'!E376</f>
        <v>DOMO</v>
      </c>
      <c r="E373" t="str">
        <f>'RESUMEN TOTAL'!F376</f>
        <v>Fibra Optica</v>
      </c>
      <c r="F373">
        <f>'RESUMEN TOTAL'!O376</f>
        <v>0</v>
      </c>
      <c r="G373">
        <f>'RESUMEN TOTAL'!P376</f>
        <v>0</v>
      </c>
      <c r="H373">
        <f>'RESUMEN TOTAL'!Q376</f>
        <v>0</v>
      </c>
      <c r="I373">
        <f>'RESUMEN TOTAL'!R376</f>
        <v>0</v>
      </c>
      <c r="J373">
        <f>'RESUMEN TOTAL'!S376</f>
        <v>0</v>
      </c>
      <c r="K373">
        <f>'RESUMEN TOTAL'!T376</f>
        <v>0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>
        <f>'RESUMEN TOTAL'!AE376</f>
        <v>0</v>
      </c>
      <c r="W373">
        <f>'RESUMEN TOTAL'!AF376</f>
        <v>0</v>
      </c>
      <c r="X373">
        <f>'RESUMEN TOTAL'!AG376</f>
        <v>0</v>
      </c>
      <c r="Y373">
        <f>'RESUMEN TOTAL'!AH376</f>
        <v>0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>
        <f>'RESUMEN TOTAL'!AO376</f>
        <v>0</v>
      </c>
      <c r="AG373">
        <f>'RESUMEN TOTAL'!AP376</f>
        <v>0</v>
      </c>
      <c r="AH373">
        <f>'RESUMEN TOTAL'!AQ376</f>
        <v>0</v>
      </c>
      <c r="AI373">
        <f>'RESUMEN TOTAL'!AR376</f>
        <v>0</v>
      </c>
    </row>
    <row r="374" spans="1:35" x14ac:dyDescent="0.25">
      <c r="A374" t="str">
        <f>'RESUMEN TOTAL'!A377</f>
        <v>VILLA ARIAS</v>
      </c>
      <c r="B374" t="str">
        <f>'RESUMEN TOTAL'!B377</f>
        <v>VLA03 (fija 2)</v>
      </c>
      <c r="C374" t="str">
        <f>'RESUMEN TOTAL'!D377</f>
        <v>820 y SOLER</v>
      </c>
      <c r="D374" t="str">
        <f>'RESUMEN TOTAL'!E377</f>
        <v>Fija</v>
      </c>
      <c r="E374" t="str">
        <f>'RESUMEN TOTAL'!F377</f>
        <v>Fibra Optica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>
        <f>'RESUMEN TOTAL'!AN377</f>
        <v>0</v>
      </c>
      <c r="AF374">
        <f>'RESUMEN TOTAL'!AO377</f>
        <v>0</v>
      </c>
      <c r="AG374">
        <f>'RESUMEN TOTAL'!AP377</f>
        <v>0</v>
      </c>
      <c r="AH374">
        <f>'RESUMEN TOTAL'!AQ377</f>
        <v>0</v>
      </c>
      <c r="AI374">
        <f>'RESUMEN TOTAL'!AR377</f>
        <v>0</v>
      </c>
    </row>
    <row r="375" spans="1:35" x14ac:dyDescent="0.25">
      <c r="A375" s="51" t="str">
        <f>'RESUMEN TOTAL'!A378</f>
        <v>VILLA ARIAS</v>
      </c>
      <c r="B375" s="51" t="str">
        <f>'RESUMEN TOTAL'!B378</f>
        <v>VLA04</v>
      </c>
      <c r="C375" s="51" t="str">
        <f>'RESUMEN TOTAL'!D378</f>
        <v>ESPORA Y MARTIN GRASS</v>
      </c>
      <c r="D375" s="51" t="str">
        <f>'RESUMEN TOTAL'!E378</f>
        <v>DOMO</v>
      </c>
      <c r="E375" s="51" t="str">
        <f>'RESUMEN TOTAL'!F378</f>
        <v>Fibra Optica</v>
      </c>
      <c r="F375" s="51">
        <f>'RESUMEN TOTAL'!O378</f>
        <v>0</v>
      </c>
      <c r="G375" s="51">
        <f>'RESUMEN TOTAL'!P378</f>
        <v>0</v>
      </c>
      <c r="H375" s="51">
        <f>'RESUMEN TOTAL'!Q378</f>
        <v>0</v>
      </c>
      <c r="I375" s="51">
        <f>'RESUMEN TOTAL'!R378</f>
        <v>0</v>
      </c>
      <c r="J375" s="51">
        <f>'RESUMEN TOTAL'!S378</f>
        <v>0</v>
      </c>
      <c r="K375" s="51">
        <f>'RESUMEN TOTAL'!T378</f>
        <v>0</v>
      </c>
      <c r="L375" s="51">
        <f>'RESUMEN TOTAL'!U378</f>
        <v>0</v>
      </c>
      <c r="M375" s="51">
        <f>'RESUMEN TOTAL'!V378</f>
        <v>0</v>
      </c>
      <c r="N375" s="51">
        <f>'RESUMEN TOTAL'!W378</f>
        <v>0</v>
      </c>
      <c r="O375" s="51">
        <f>'RESUMEN TOTAL'!X378</f>
        <v>0</v>
      </c>
      <c r="P375" s="51">
        <f>'RESUMEN TOTAL'!Y378</f>
        <v>0</v>
      </c>
      <c r="Q375" s="51">
        <f>'RESUMEN TOTAL'!Z378</f>
        <v>0</v>
      </c>
      <c r="R375" s="51">
        <f>'RESUMEN TOTAL'!AA378</f>
        <v>0</v>
      </c>
      <c r="S375" s="51">
        <f>'RESUMEN TOTAL'!AB378</f>
        <v>0</v>
      </c>
      <c r="T375" s="51">
        <f>'RESUMEN TOTAL'!AC378</f>
        <v>0</v>
      </c>
      <c r="U375" s="51">
        <f>'RESUMEN TOTAL'!AD378</f>
        <v>0</v>
      </c>
      <c r="V375" s="51">
        <f>'RESUMEN TOTAL'!AE378</f>
        <v>0</v>
      </c>
      <c r="W375" s="51">
        <f>'RESUMEN TOTAL'!AF378</f>
        <v>0</v>
      </c>
      <c r="X375" s="51">
        <f>'RESUMEN TOTAL'!AG378</f>
        <v>0</v>
      </c>
      <c r="Y375" s="51">
        <f>'RESUMEN TOTAL'!AH378</f>
        <v>0</v>
      </c>
      <c r="Z375" s="51">
        <f>'RESUMEN TOTAL'!AI378</f>
        <v>0</v>
      </c>
      <c r="AA375" s="51">
        <f>'RESUMEN TOTAL'!AJ378</f>
        <v>0</v>
      </c>
      <c r="AB375" s="51">
        <f>'RESUMEN TOTAL'!AK378</f>
        <v>0</v>
      </c>
      <c r="AC375" s="51">
        <f>'RESUMEN TOTAL'!AL378</f>
        <v>0</v>
      </c>
      <c r="AD375" s="51">
        <f>'RESUMEN TOTAL'!AM378</f>
        <v>0</v>
      </c>
      <c r="AE375" s="51">
        <f>'RESUMEN TOTAL'!AN378</f>
        <v>0</v>
      </c>
      <c r="AF375" s="51">
        <f>'RESUMEN TOTAL'!AO378</f>
        <v>0</v>
      </c>
      <c r="AG375" s="51">
        <f>'RESUMEN TOTAL'!AP378</f>
        <v>0</v>
      </c>
      <c r="AH375" s="51">
        <f>'RESUMEN TOTAL'!AQ378</f>
        <v>0</v>
      </c>
      <c r="AI375" s="51">
        <f>'RESUMEN TOTAL'!AR378</f>
        <v>0</v>
      </c>
    </row>
    <row r="376" spans="1:35" x14ac:dyDescent="0.25">
      <c r="A376" s="51" t="str">
        <f>'RESUMEN TOTAL'!A379</f>
        <v>VILLA ARIAS</v>
      </c>
      <c r="B376" s="51" t="str">
        <f>'RESUMEN TOTAL'!B379</f>
        <v>VLA05</v>
      </c>
      <c r="C376" s="51" t="str">
        <f>'RESUMEN TOTAL'!D379</f>
        <v>ESPORA Y 802</v>
      </c>
      <c r="D376" s="51" t="str">
        <f>'RESUMEN TOTAL'!E379</f>
        <v>DOMO</v>
      </c>
      <c r="E376" s="51" t="str">
        <f>'RESUMEN TOTAL'!F379</f>
        <v>Fibra Optica</v>
      </c>
      <c r="F376" s="51">
        <f>'RESUMEN TOTAL'!O379</f>
        <v>0</v>
      </c>
      <c r="G376" s="51">
        <f>'RESUMEN TOTAL'!P379</f>
        <v>0</v>
      </c>
      <c r="H376" s="51">
        <f>'RESUMEN TOTAL'!Q379</f>
        <v>0</v>
      </c>
      <c r="I376" s="51">
        <f>'RESUMEN TOTAL'!R379</f>
        <v>0</v>
      </c>
      <c r="J376" s="51">
        <f>'RESUMEN TOTAL'!S379</f>
        <v>0</v>
      </c>
      <c r="K376" s="51">
        <f>'RESUMEN TOTAL'!T379</f>
        <v>0</v>
      </c>
      <c r="L376" s="51">
        <f>'RESUMEN TOTAL'!U379</f>
        <v>0</v>
      </c>
      <c r="M376" s="51">
        <f>'RESUMEN TOTAL'!V379</f>
        <v>0</v>
      </c>
      <c r="N376" s="51">
        <f>'RESUMEN TOTAL'!W379</f>
        <v>0</v>
      </c>
      <c r="O376" s="51">
        <f>'RESUMEN TOTAL'!X379</f>
        <v>0</v>
      </c>
      <c r="P376" s="51">
        <f>'RESUMEN TOTAL'!Y379</f>
        <v>0</v>
      </c>
      <c r="Q376" s="51">
        <f>'RESUMEN TOTAL'!Z379</f>
        <v>0</v>
      </c>
      <c r="R376" s="51">
        <f>'RESUMEN TOTAL'!AA379</f>
        <v>0</v>
      </c>
      <c r="S376" s="51">
        <f>'RESUMEN TOTAL'!AB379</f>
        <v>0</v>
      </c>
      <c r="T376" s="51">
        <f>'RESUMEN TOTAL'!AC379</f>
        <v>0</v>
      </c>
      <c r="U376" s="51">
        <f>'RESUMEN TOTAL'!AD379</f>
        <v>0</v>
      </c>
      <c r="V376" s="51">
        <f>'RESUMEN TOTAL'!AE379</f>
        <v>0</v>
      </c>
      <c r="W376" s="51">
        <f>'RESUMEN TOTAL'!AF379</f>
        <v>0</v>
      </c>
      <c r="X376" s="51">
        <f>'RESUMEN TOTAL'!AG379</f>
        <v>0</v>
      </c>
      <c r="Y376" s="51">
        <f>'RESUMEN TOTAL'!AH379</f>
        <v>0</v>
      </c>
      <c r="Z376" s="51">
        <f>'RESUMEN TOTAL'!AI379</f>
        <v>0</v>
      </c>
      <c r="AA376" s="51">
        <f>'RESUMEN TOTAL'!AJ379</f>
        <v>0</v>
      </c>
      <c r="AB376" s="51">
        <f>'RESUMEN TOTAL'!AK379</f>
        <v>0</v>
      </c>
      <c r="AC376" s="51">
        <f>'RESUMEN TOTAL'!AL379</f>
        <v>0</v>
      </c>
      <c r="AD376" s="51">
        <f>'RESUMEN TOTAL'!AM379</f>
        <v>0</v>
      </c>
      <c r="AE376" s="51">
        <f>'RESUMEN TOTAL'!AN379</f>
        <v>0</v>
      </c>
      <c r="AF376" s="51">
        <f>'RESUMEN TOTAL'!AO379</f>
        <v>0</v>
      </c>
      <c r="AG376" s="51">
        <f>'RESUMEN TOTAL'!AP379</f>
        <v>0</v>
      </c>
      <c r="AH376" s="51">
        <f>'RESUMEN TOTAL'!AQ379</f>
        <v>0</v>
      </c>
      <c r="AI376" s="51">
        <f>'RESUMEN TOTAL'!AR379</f>
        <v>0</v>
      </c>
    </row>
    <row r="377" spans="1:35" x14ac:dyDescent="0.25">
      <c r="A377" s="51" t="str">
        <f>'RESUMEN TOTAL'!A380</f>
        <v>VILLA MONICA NUEVA</v>
      </c>
      <c r="B377" s="51" t="str">
        <f>'RESUMEN TOTAL'!B380</f>
        <v>VMO 02</v>
      </c>
      <c r="C377" s="51" t="str">
        <f>'RESUMEN TOTAL'!D380</f>
        <v>RÃ­o Carapachay y OroÃ±o</v>
      </c>
      <c r="D377" s="51" t="str">
        <f>'RESUMEN TOTAL'!E380</f>
        <v>Domo</v>
      </c>
      <c r="E377" s="51" t="str">
        <f>'RESUMEN TOTAL'!F380</f>
        <v>Radio</v>
      </c>
      <c r="F377" s="51">
        <f>'RESUMEN TOTAL'!O380</f>
        <v>0</v>
      </c>
      <c r="G377" s="51">
        <f>'RESUMEN TOTAL'!P380</f>
        <v>0</v>
      </c>
      <c r="H377" s="51">
        <f>'RESUMEN TOTAL'!Q380</f>
        <v>0</v>
      </c>
      <c r="I377" s="51">
        <f>'RESUMEN TOTAL'!R380</f>
        <v>0</v>
      </c>
      <c r="J377" s="51">
        <f>'RESUMEN TOTAL'!S380</f>
        <v>0</v>
      </c>
      <c r="K377" s="51">
        <f>'RESUMEN TOTAL'!T380</f>
        <v>0</v>
      </c>
      <c r="L377" s="51">
        <f>'RESUMEN TOTAL'!U380</f>
        <v>0</v>
      </c>
      <c r="M377" s="51">
        <f>'RESUMEN TOTAL'!V380</f>
        <v>0</v>
      </c>
      <c r="N377" s="51">
        <f>'RESUMEN TOTAL'!W380</f>
        <v>0</v>
      </c>
      <c r="O377" s="51">
        <f>'RESUMEN TOTAL'!X380</f>
        <v>0</v>
      </c>
      <c r="P377" s="51">
        <f>'RESUMEN TOTAL'!Y380</f>
        <v>0</v>
      </c>
      <c r="Q377" s="51">
        <f>'RESUMEN TOTAL'!Z380</f>
        <v>0</v>
      </c>
      <c r="R377" s="51">
        <f>'RESUMEN TOTAL'!AA380</f>
        <v>0</v>
      </c>
      <c r="S377" s="51">
        <f>'RESUMEN TOTAL'!AB380</f>
        <v>0</v>
      </c>
      <c r="T377" s="51">
        <f>'RESUMEN TOTAL'!AC380</f>
        <v>0</v>
      </c>
      <c r="U377" s="51">
        <f>'RESUMEN TOTAL'!AD380</f>
        <v>0</v>
      </c>
      <c r="V377" s="51">
        <f>'RESUMEN TOTAL'!AE380</f>
        <v>0</v>
      </c>
      <c r="W377" s="51">
        <f>'RESUMEN TOTAL'!AF380</f>
        <v>0</v>
      </c>
      <c r="X377" s="51">
        <f>'RESUMEN TOTAL'!AG380</f>
        <v>0</v>
      </c>
      <c r="Y377" s="51">
        <f>'RESUMEN TOTAL'!AH380</f>
        <v>0</v>
      </c>
      <c r="Z377" s="51">
        <f>'RESUMEN TOTAL'!AI380</f>
        <v>0</v>
      </c>
      <c r="AA377" s="51">
        <f>'RESUMEN TOTAL'!AJ380</f>
        <v>0</v>
      </c>
      <c r="AB377" s="51">
        <f>'RESUMEN TOTAL'!AK380</f>
        <v>0</v>
      </c>
      <c r="AC377" s="51">
        <f>'RESUMEN TOTAL'!AL380</f>
        <v>0</v>
      </c>
      <c r="AD377" s="51">
        <f>'RESUMEN TOTAL'!AM380</f>
        <v>0</v>
      </c>
      <c r="AE377" s="51">
        <f>'RESUMEN TOTAL'!AN380</f>
        <v>0</v>
      </c>
      <c r="AF377" s="51">
        <f>'RESUMEN TOTAL'!AO380</f>
        <v>0</v>
      </c>
      <c r="AG377" s="51">
        <f>'RESUMEN TOTAL'!AP380</f>
        <v>0</v>
      </c>
      <c r="AH377" s="51">
        <f>'RESUMEN TOTAL'!AQ380</f>
        <v>0</v>
      </c>
      <c r="AI377" s="51">
        <f>'RESUMEN TOTAL'!AR380</f>
        <v>0</v>
      </c>
    </row>
    <row r="378" spans="1:35" x14ac:dyDescent="0.25">
      <c r="A378" s="51" t="str">
        <f>'RESUMEN TOTAL'!A381</f>
        <v>VILLA MONICA NUEVA</v>
      </c>
      <c r="B378" s="51" t="str">
        <f>'RESUMEN TOTAL'!B381</f>
        <v>VMO 03 (fija 1)</v>
      </c>
      <c r="C378" s="51" t="str">
        <f>'RESUMEN TOTAL'!D381</f>
        <v>EVA PERON E/ OROÃ‘O Y 734 A</v>
      </c>
      <c r="D378" s="51" t="str">
        <f>'RESUMEN TOTAL'!E381</f>
        <v>Fija</v>
      </c>
      <c r="E378" s="51" t="str">
        <f>'RESUMEN TOTAL'!F381</f>
        <v>Fibra Optica</v>
      </c>
      <c r="F378" s="51">
        <f>'RESUMEN TOTAL'!O381</f>
        <v>0</v>
      </c>
      <c r="G378" s="51">
        <f>'RESUMEN TOTAL'!P381</f>
        <v>0</v>
      </c>
      <c r="H378" s="51">
        <f>'RESUMEN TOTAL'!Q381</f>
        <v>0</v>
      </c>
      <c r="I378" s="51">
        <f>'RESUMEN TOTAL'!R381</f>
        <v>0</v>
      </c>
      <c r="J378" s="51">
        <f>'RESUMEN TOTAL'!S381</f>
        <v>0</v>
      </c>
      <c r="K378" s="51">
        <f>'RESUMEN TOTAL'!T381</f>
        <v>0</v>
      </c>
      <c r="L378" s="51">
        <f>'RESUMEN TOTAL'!U381</f>
        <v>0</v>
      </c>
      <c r="M378" s="51">
        <f>'RESUMEN TOTAL'!V381</f>
        <v>0</v>
      </c>
      <c r="N378" s="51">
        <f>'RESUMEN TOTAL'!W381</f>
        <v>0</v>
      </c>
      <c r="O378" s="51">
        <f>'RESUMEN TOTAL'!X381</f>
        <v>0</v>
      </c>
      <c r="P378" s="51">
        <f>'RESUMEN TOTAL'!Y381</f>
        <v>0</v>
      </c>
      <c r="Q378" s="51">
        <f>'RESUMEN TOTAL'!Z381</f>
        <v>0</v>
      </c>
      <c r="R378" s="51">
        <f>'RESUMEN TOTAL'!AA381</f>
        <v>0</v>
      </c>
      <c r="S378" s="51">
        <f>'RESUMEN TOTAL'!AB381</f>
        <v>0</v>
      </c>
      <c r="T378" s="51">
        <f>'RESUMEN TOTAL'!AC381</f>
        <v>0</v>
      </c>
      <c r="U378" s="51">
        <f>'RESUMEN TOTAL'!AD381</f>
        <v>0</v>
      </c>
      <c r="V378" s="51">
        <f>'RESUMEN TOTAL'!AE381</f>
        <v>0</v>
      </c>
      <c r="W378" s="51">
        <f>'RESUMEN TOTAL'!AF381</f>
        <v>0</v>
      </c>
      <c r="X378" s="51">
        <f>'RESUMEN TOTAL'!AG381</f>
        <v>0</v>
      </c>
      <c r="Y378" s="51">
        <f>'RESUMEN TOTAL'!AH381</f>
        <v>0</v>
      </c>
      <c r="Z378" s="51">
        <f>'RESUMEN TOTAL'!AI381</f>
        <v>0</v>
      </c>
      <c r="AA378" s="51">
        <f>'RESUMEN TOTAL'!AJ381</f>
        <v>0</v>
      </c>
      <c r="AB378" s="51">
        <f>'RESUMEN TOTAL'!AK381</f>
        <v>0</v>
      </c>
      <c r="AC378" s="51">
        <f>'RESUMEN TOTAL'!AL381</f>
        <v>0</v>
      </c>
      <c r="AD378" s="51">
        <f>'RESUMEN TOTAL'!AM381</f>
        <v>0</v>
      </c>
      <c r="AE378" s="51">
        <f>'RESUMEN TOTAL'!AN381</f>
        <v>0</v>
      </c>
      <c r="AF378" s="51">
        <f>'RESUMEN TOTAL'!AO381</f>
        <v>0</v>
      </c>
      <c r="AG378" s="51">
        <f>'RESUMEN TOTAL'!AP381</f>
        <v>0</v>
      </c>
      <c r="AH378" s="51">
        <f>'RESUMEN TOTAL'!AQ381</f>
        <v>0</v>
      </c>
      <c r="AI378" s="51">
        <f>'RESUMEN TOTAL'!AR381</f>
        <v>0</v>
      </c>
    </row>
    <row r="379" spans="1:35" x14ac:dyDescent="0.25">
      <c r="A379" s="51" t="str">
        <f>'RESUMEN TOTAL'!A382</f>
        <v>VILLA MONICA NUEVA</v>
      </c>
      <c r="B379" s="51" t="str">
        <f>'RESUMEN TOTAL'!B382</f>
        <v>VMO 04 (fija 2)</v>
      </c>
      <c r="C379" s="51" t="str">
        <f>'RESUMEN TOTAL'!D382</f>
        <v>EVA PERON E/ OROÃ‘O Y 734 A</v>
      </c>
      <c r="D379" s="51" t="str">
        <f>'RESUMEN TOTAL'!E382</f>
        <v>Fija</v>
      </c>
      <c r="E379" s="51" t="str">
        <f>'RESUMEN TOTAL'!F382</f>
        <v>Fibra Optica</v>
      </c>
      <c r="F379" s="51">
        <f>'RESUMEN TOTAL'!O382</f>
        <v>0</v>
      </c>
      <c r="G379" s="51">
        <f>'RESUMEN TOTAL'!P382</f>
        <v>0</v>
      </c>
      <c r="H379" s="51">
        <f>'RESUMEN TOTAL'!Q382</f>
        <v>0</v>
      </c>
      <c r="I379" s="51">
        <f>'RESUMEN TOTAL'!R382</f>
        <v>0</v>
      </c>
      <c r="J379" s="51">
        <f>'RESUMEN TOTAL'!S382</f>
        <v>0</v>
      </c>
      <c r="K379" s="51">
        <f>'RESUMEN TOTAL'!T382</f>
        <v>0</v>
      </c>
      <c r="L379" s="51">
        <f>'RESUMEN TOTAL'!U382</f>
        <v>0</v>
      </c>
      <c r="M379" s="51">
        <f>'RESUMEN TOTAL'!V382</f>
        <v>0</v>
      </c>
      <c r="N379" s="51">
        <f>'RESUMEN TOTAL'!W382</f>
        <v>0</v>
      </c>
      <c r="O379" s="51">
        <f>'RESUMEN TOTAL'!X382</f>
        <v>0</v>
      </c>
      <c r="P379" s="51">
        <f>'RESUMEN TOTAL'!Y382</f>
        <v>0</v>
      </c>
      <c r="Q379" s="51">
        <f>'RESUMEN TOTAL'!Z382</f>
        <v>0</v>
      </c>
      <c r="R379" s="51">
        <f>'RESUMEN TOTAL'!AA382</f>
        <v>0</v>
      </c>
      <c r="S379" s="51">
        <f>'RESUMEN TOTAL'!AB382</f>
        <v>0</v>
      </c>
      <c r="T379" s="51">
        <f>'RESUMEN TOTAL'!AC382</f>
        <v>0</v>
      </c>
      <c r="U379" s="51">
        <f>'RESUMEN TOTAL'!AD382</f>
        <v>0</v>
      </c>
      <c r="V379" s="51">
        <f>'RESUMEN TOTAL'!AE382</f>
        <v>0</v>
      </c>
      <c r="W379" s="51">
        <f>'RESUMEN TOTAL'!AF382</f>
        <v>0</v>
      </c>
      <c r="X379" s="51">
        <f>'RESUMEN TOTAL'!AG382</f>
        <v>0</v>
      </c>
      <c r="Y379" s="51">
        <f>'RESUMEN TOTAL'!AH382</f>
        <v>0</v>
      </c>
      <c r="Z379" s="51">
        <f>'RESUMEN TOTAL'!AI382</f>
        <v>0</v>
      </c>
      <c r="AA379" s="51">
        <f>'RESUMEN TOTAL'!AJ382</f>
        <v>0</v>
      </c>
      <c r="AB379" s="51">
        <f>'RESUMEN TOTAL'!AK382</f>
        <v>0</v>
      </c>
      <c r="AC379" s="51">
        <f>'RESUMEN TOTAL'!AL382</f>
        <v>0</v>
      </c>
      <c r="AD379" s="51">
        <f>'RESUMEN TOTAL'!AM382</f>
        <v>0</v>
      </c>
      <c r="AE379" s="51">
        <f>'RESUMEN TOTAL'!AN382</f>
        <v>0</v>
      </c>
      <c r="AF379" s="51">
        <f>'RESUMEN TOTAL'!AO382</f>
        <v>0</v>
      </c>
      <c r="AG379" s="51">
        <f>'RESUMEN TOTAL'!AP382</f>
        <v>0</v>
      </c>
      <c r="AH379" s="51">
        <f>'RESUMEN TOTAL'!AQ382</f>
        <v>0</v>
      </c>
      <c r="AI379" s="51">
        <f>'RESUMEN TOTAL'!AR382</f>
        <v>0</v>
      </c>
    </row>
    <row r="380" spans="1:35" x14ac:dyDescent="0.25">
      <c r="A380" s="51" t="str">
        <f>'RESUMEN TOTAL'!A383</f>
        <v>VILLA MONICA NUEVA</v>
      </c>
      <c r="B380" s="51" t="str">
        <f>'RESUMEN TOTAL'!B383</f>
        <v>VMO 05</v>
      </c>
      <c r="C380" s="51" t="str">
        <f>'RESUMEN TOTAL'!D383</f>
        <v>OROÃ‘O Y EVA PERON</v>
      </c>
      <c r="D380" s="51" t="str">
        <f>'RESUMEN TOTAL'!E383</f>
        <v>DOMO</v>
      </c>
      <c r="E380" s="51" t="str">
        <f>'RESUMEN TOTAL'!F383</f>
        <v>Fibra Optica</v>
      </c>
      <c r="F380" s="51">
        <f>'RESUMEN TOTAL'!O383</f>
        <v>0</v>
      </c>
      <c r="G380" s="51">
        <f>'RESUMEN TOTAL'!P383</f>
        <v>0</v>
      </c>
      <c r="H380" s="51">
        <f>'RESUMEN TOTAL'!Q383</f>
        <v>0</v>
      </c>
      <c r="I380" s="51">
        <f>'RESUMEN TOTAL'!R383</f>
        <v>0</v>
      </c>
      <c r="J380" s="51">
        <f>'RESUMEN TOTAL'!S383</f>
        <v>0</v>
      </c>
      <c r="K380" s="51">
        <f>'RESUMEN TOTAL'!T383</f>
        <v>0</v>
      </c>
      <c r="L380" s="51">
        <f>'RESUMEN TOTAL'!U383</f>
        <v>0</v>
      </c>
      <c r="M380" s="51">
        <f>'RESUMEN TOTAL'!V383</f>
        <v>0</v>
      </c>
      <c r="N380" s="51">
        <f>'RESUMEN TOTAL'!W383</f>
        <v>0</v>
      </c>
      <c r="O380" s="51">
        <f>'RESUMEN TOTAL'!X383</f>
        <v>0</v>
      </c>
      <c r="P380" s="51">
        <f>'RESUMEN TOTAL'!Y383</f>
        <v>0</v>
      </c>
      <c r="Q380" s="51">
        <f>'RESUMEN TOTAL'!Z383</f>
        <v>0</v>
      </c>
      <c r="R380" s="51">
        <f>'RESUMEN TOTAL'!AA383</f>
        <v>0</v>
      </c>
      <c r="S380" s="51">
        <f>'RESUMEN TOTAL'!AB383</f>
        <v>0</v>
      </c>
      <c r="T380" s="51">
        <f>'RESUMEN TOTAL'!AC383</f>
        <v>0</v>
      </c>
      <c r="U380" s="51">
        <f>'RESUMEN TOTAL'!AD383</f>
        <v>0</v>
      </c>
      <c r="V380" s="51">
        <f>'RESUMEN TOTAL'!AE383</f>
        <v>0</v>
      </c>
      <c r="W380" s="51">
        <f>'RESUMEN TOTAL'!AF383</f>
        <v>0</v>
      </c>
      <c r="X380" s="51">
        <f>'RESUMEN TOTAL'!AG383</f>
        <v>0</v>
      </c>
      <c r="Y380" s="51">
        <f>'RESUMEN TOTAL'!AH383</f>
        <v>0</v>
      </c>
      <c r="Z380" s="51">
        <f>'RESUMEN TOTAL'!AI383</f>
        <v>0</v>
      </c>
      <c r="AA380" s="51">
        <f>'RESUMEN TOTAL'!AJ383</f>
        <v>0</v>
      </c>
      <c r="AB380" s="51">
        <f>'RESUMEN TOTAL'!AK383</f>
        <v>0</v>
      </c>
      <c r="AC380" s="51">
        <f>'RESUMEN TOTAL'!AL383</f>
        <v>0</v>
      </c>
      <c r="AD380" s="51">
        <f>'RESUMEN TOTAL'!AM383</f>
        <v>0</v>
      </c>
      <c r="AE380" s="51">
        <f>'RESUMEN TOTAL'!AN383</f>
        <v>0</v>
      </c>
      <c r="AF380" s="51">
        <f>'RESUMEN TOTAL'!AO383</f>
        <v>0</v>
      </c>
      <c r="AG380" s="51">
        <f>'RESUMEN TOTAL'!AP383</f>
        <v>0</v>
      </c>
      <c r="AH380" s="51">
        <f>'RESUMEN TOTAL'!AQ383</f>
        <v>0</v>
      </c>
      <c r="AI380" s="51">
        <f>'RESUMEN TOTAL'!AR383</f>
        <v>0</v>
      </c>
    </row>
    <row r="381" spans="1:35" x14ac:dyDescent="0.25">
      <c r="A381" s="51" t="str">
        <f>'RESUMEN TOTAL'!A384</f>
        <v>VILLA MONICA NUEVA</v>
      </c>
      <c r="B381" s="51" t="str">
        <f>'RESUMEN TOTAL'!B384</f>
        <v>VMO01</v>
      </c>
      <c r="C381" s="51" t="str">
        <f>'RESUMEN TOTAL'!D384</f>
        <v>Eva Peron y MonseÃ±or de las Casas</v>
      </c>
      <c r="D381" s="51" t="str">
        <f>'RESUMEN TOTAL'!E384</f>
        <v>DOMO</v>
      </c>
      <c r="E381" s="51" t="str">
        <f>'RESUMEN TOTAL'!F384</f>
        <v>Fibra Optica</v>
      </c>
      <c r="F381" s="51">
        <f>'RESUMEN TOTAL'!O384</f>
        <v>0</v>
      </c>
      <c r="G381" s="51">
        <f>'RESUMEN TOTAL'!P384</f>
        <v>0</v>
      </c>
      <c r="H381" s="51">
        <f>'RESUMEN TOTAL'!Q384</f>
        <v>0</v>
      </c>
      <c r="I381" s="51">
        <f>'RESUMEN TOTAL'!R384</f>
        <v>0</v>
      </c>
      <c r="J381" s="51">
        <f>'RESUMEN TOTAL'!S384</f>
        <v>0</v>
      </c>
      <c r="K381" s="51">
        <f>'RESUMEN TOTAL'!T384</f>
        <v>0</v>
      </c>
      <c r="L381" s="51">
        <f>'RESUMEN TOTAL'!U384</f>
        <v>0</v>
      </c>
      <c r="M381" s="51">
        <f>'RESUMEN TOTAL'!V384</f>
        <v>0</v>
      </c>
      <c r="N381" s="51">
        <f>'RESUMEN TOTAL'!W384</f>
        <v>0</v>
      </c>
      <c r="O381" s="51">
        <f>'RESUMEN TOTAL'!X384</f>
        <v>0</v>
      </c>
      <c r="P381" s="51">
        <f>'RESUMEN TOTAL'!Y384</f>
        <v>0</v>
      </c>
      <c r="Q381" s="51">
        <f>'RESUMEN TOTAL'!Z384</f>
        <v>0</v>
      </c>
      <c r="R381" s="51">
        <f>'RESUMEN TOTAL'!AA384</f>
        <v>0</v>
      </c>
      <c r="S381" s="51">
        <f>'RESUMEN TOTAL'!AB384</f>
        <v>0</v>
      </c>
      <c r="T381" s="51">
        <f>'RESUMEN TOTAL'!AC384</f>
        <v>0</v>
      </c>
      <c r="U381" s="51">
        <f>'RESUMEN TOTAL'!AD384</f>
        <v>0</v>
      </c>
      <c r="V381" s="51">
        <f>'RESUMEN TOTAL'!AE384</f>
        <v>0</v>
      </c>
      <c r="W381" s="51">
        <f>'RESUMEN TOTAL'!AF384</f>
        <v>0</v>
      </c>
      <c r="X381" s="51">
        <f>'RESUMEN TOTAL'!AG384</f>
        <v>0</v>
      </c>
      <c r="Y381" s="51">
        <f>'RESUMEN TOTAL'!AH384</f>
        <v>0</v>
      </c>
      <c r="Z381" s="51">
        <f>'RESUMEN TOTAL'!AI384</f>
        <v>0</v>
      </c>
      <c r="AA381" s="51">
        <f>'RESUMEN TOTAL'!AJ384</f>
        <v>0</v>
      </c>
      <c r="AB381" s="51">
        <f>'RESUMEN TOTAL'!AK384</f>
        <v>0</v>
      </c>
      <c r="AC381" s="51">
        <f>'RESUMEN TOTAL'!AL384</f>
        <v>0</v>
      </c>
      <c r="AD381" s="51">
        <f>'RESUMEN TOTAL'!AM384</f>
        <v>0</v>
      </c>
      <c r="AE381" s="51">
        <f>'RESUMEN TOTAL'!AN384</f>
        <v>0</v>
      </c>
      <c r="AF381" s="51">
        <f>'RESUMEN TOTAL'!AO384</f>
        <v>0</v>
      </c>
      <c r="AG381" s="51">
        <f>'RESUMEN TOTAL'!AP384</f>
        <v>0</v>
      </c>
      <c r="AH381" s="51">
        <f>'RESUMEN TOTAL'!AQ384</f>
        <v>0</v>
      </c>
      <c r="AI381" s="51">
        <f>'RESUMEN TOTAL'!AR384</f>
        <v>0</v>
      </c>
    </row>
    <row r="382" spans="1:35" x14ac:dyDescent="0.25">
      <c r="A382" s="51" t="str">
        <f>'RESUMEN TOTAL'!A385</f>
        <v>VILLA MONICA VIEJA</v>
      </c>
      <c r="B382" s="51" t="str">
        <f>'RESUMEN TOTAL'!B385</f>
        <v>VMOV 02 (fija 2)</v>
      </c>
      <c r="C382" s="51" t="str">
        <f>'RESUMEN TOTAL'!D385</f>
        <v>ATENAS E/ CAFFERATA Y ALEMANIA</v>
      </c>
      <c r="D382" s="51" t="str">
        <f>'RESUMEN TOTAL'!E385</f>
        <v>Fija</v>
      </c>
      <c r="E382" s="51" t="str">
        <f>'RESUMEN TOTAL'!F385</f>
        <v>Fibra Optica</v>
      </c>
      <c r="F382" s="51" t="str">
        <f>'RESUMEN TOTAL'!O385</f>
        <v>APAGADO</v>
      </c>
      <c r="G382" s="51" t="str">
        <f>'RESUMEN TOTAL'!P385</f>
        <v>APAGADO</v>
      </c>
      <c r="H382" s="51" t="str">
        <f>'RESUMEN TOTAL'!Q385</f>
        <v>APAGADO</v>
      </c>
      <c r="I382" s="51" t="str">
        <f>'RESUMEN TOTAL'!R385</f>
        <v>APAGADO</v>
      </c>
      <c r="J382" s="51" t="str">
        <f>'RESUMEN TOTAL'!S385</f>
        <v>APAGADO</v>
      </c>
      <c r="K382" s="51" t="str">
        <f>'RESUMEN TOTAL'!T385</f>
        <v>APAGADO</v>
      </c>
      <c r="L382" s="51" t="str">
        <f>'RESUMEN TOTAL'!U385</f>
        <v>APAGADO</v>
      </c>
      <c r="M382" s="51">
        <f>'RESUMEN TOTAL'!V385</f>
        <v>0</v>
      </c>
      <c r="N382" s="51">
        <f>'RESUMEN TOTAL'!W385</f>
        <v>0</v>
      </c>
      <c r="O382" s="51">
        <f>'RESUMEN TOTAL'!X385</f>
        <v>0</v>
      </c>
      <c r="P382" s="51">
        <f>'RESUMEN TOTAL'!Y385</f>
        <v>0</v>
      </c>
      <c r="Q382" s="51">
        <f>'RESUMEN TOTAL'!Z385</f>
        <v>0</v>
      </c>
      <c r="R382" s="51">
        <f>'RESUMEN TOTAL'!AA385</f>
        <v>0</v>
      </c>
      <c r="S382" s="51">
        <f>'RESUMEN TOTAL'!AB385</f>
        <v>0</v>
      </c>
      <c r="T382" s="51">
        <f>'RESUMEN TOTAL'!AC385</f>
        <v>0</v>
      </c>
      <c r="U382" s="51">
        <f>'RESUMEN TOTAL'!AD385</f>
        <v>0</v>
      </c>
      <c r="V382" s="51">
        <f>'RESUMEN TOTAL'!AE385</f>
        <v>0</v>
      </c>
      <c r="W382" s="51">
        <f>'RESUMEN TOTAL'!AF385</f>
        <v>0</v>
      </c>
      <c r="X382" s="51">
        <f>'RESUMEN TOTAL'!AG385</f>
        <v>0</v>
      </c>
      <c r="Y382" s="51">
        <f>'RESUMEN TOTAL'!AH385</f>
        <v>0</v>
      </c>
      <c r="Z382" s="51">
        <f>'RESUMEN TOTAL'!AI385</f>
        <v>0</v>
      </c>
      <c r="AA382" s="51">
        <f>'RESUMEN TOTAL'!AJ385</f>
        <v>0</v>
      </c>
      <c r="AB382" s="51">
        <f>'RESUMEN TOTAL'!AK385</f>
        <v>0</v>
      </c>
      <c r="AC382" s="51">
        <f>'RESUMEN TOTAL'!AL385</f>
        <v>0</v>
      </c>
      <c r="AD382" s="51">
        <f>'RESUMEN TOTAL'!AM385</f>
        <v>0</v>
      </c>
      <c r="AE382" s="51">
        <f>'RESUMEN TOTAL'!AN385</f>
        <v>0</v>
      </c>
      <c r="AF382" s="51">
        <f>'RESUMEN TOTAL'!AO385</f>
        <v>0</v>
      </c>
      <c r="AG382" s="51">
        <f>'RESUMEN TOTAL'!AP385</f>
        <v>0</v>
      </c>
      <c r="AH382" s="51">
        <f>'RESUMEN TOTAL'!AQ385</f>
        <v>0</v>
      </c>
      <c r="AI382" s="51">
        <f>'RESUMEN TOTAL'!AR385</f>
        <v>0</v>
      </c>
    </row>
    <row r="383" spans="1:35" x14ac:dyDescent="0.25">
      <c r="A383" s="51" t="str">
        <f>'RESUMEN TOTAL'!A386</f>
        <v>VILLA MONICA VIEJA</v>
      </c>
      <c r="B383" s="51" t="str">
        <f>'RESUMEN TOTAL'!B386</f>
        <v>VMOV 03 (fija 1)</v>
      </c>
      <c r="C383" s="51" t="str">
        <f>'RESUMEN TOTAL'!D386</f>
        <v>ROMA E/ HOLANDA Y CAFFERATA</v>
      </c>
      <c r="D383" s="51" t="str">
        <f>'RESUMEN TOTAL'!E386</f>
        <v>Fija</v>
      </c>
      <c r="E383" s="51" t="str">
        <f>'RESUMEN TOTAL'!F386</f>
        <v>Fibra Optica</v>
      </c>
      <c r="F383" s="51" t="str">
        <f>'RESUMEN TOTAL'!O386</f>
        <v>APAGADO</v>
      </c>
      <c r="G383" s="51" t="str">
        <f>'RESUMEN TOTAL'!P386</f>
        <v>APAGADO</v>
      </c>
      <c r="H383" s="51" t="str">
        <f>'RESUMEN TOTAL'!Q386</f>
        <v>APAGADO</v>
      </c>
      <c r="I383" s="51" t="str">
        <f>'RESUMEN TOTAL'!R386</f>
        <v>APAGADO</v>
      </c>
      <c r="J383" s="51" t="str">
        <f>'RESUMEN TOTAL'!S386</f>
        <v>APAGADO</v>
      </c>
      <c r="K383" s="51" t="str">
        <f>'RESUMEN TOTAL'!T386</f>
        <v>APAGADO</v>
      </c>
      <c r="L383" s="51" t="str">
        <f>'RESUMEN TOTAL'!U386</f>
        <v>APAGADO</v>
      </c>
      <c r="M383" s="51">
        <f>'RESUMEN TOTAL'!V386</f>
        <v>0</v>
      </c>
      <c r="N383" s="51">
        <f>'RESUMEN TOTAL'!W386</f>
        <v>0</v>
      </c>
      <c r="O383" s="51">
        <f>'RESUMEN TOTAL'!X386</f>
        <v>0</v>
      </c>
      <c r="P383" s="51">
        <f>'RESUMEN TOTAL'!Y386</f>
        <v>0</v>
      </c>
      <c r="Q383" s="51">
        <f>'RESUMEN TOTAL'!Z386</f>
        <v>0</v>
      </c>
      <c r="R383" s="51">
        <f>'RESUMEN TOTAL'!AA386</f>
        <v>0</v>
      </c>
      <c r="S383" s="51">
        <f>'RESUMEN TOTAL'!AB386</f>
        <v>0</v>
      </c>
      <c r="T383" s="51">
        <f>'RESUMEN TOTAL'!AC386</f>
        <v>0</v>
      </c>
      <c r="U383" s="51">
        <f>'RESUMEN TOTAL'!AD386</f>
        <v>0</v>
      </c>
      <c r="V383" s="51">
        <f>'RESUMEN TOTAL'!AE386</f>
        <v>0</v>
      </c>
      <c r="W383" s="51">
        <f>'RESUMEN TOTAL'!AF386</f>
        <v>0</v>
      </c>
      <c r="X383" s="51">
        <f>'RESUMEN TOTAL'!AG386</f>
        <v>0</v>
      </c>
      <c r="Y383" s="51">
        <f>'RESUMEN TOTAL'!AH386</f>
        <v>0</v>
      </c>
      <c r="Z383" s="51">
        <f>'RESUMEN TOTAL'!AI386</f>
        <v>0</v>
      </c>
      <c r="AA383" s="51">
        <f>'RESUMEN TOTAL'!AJ386</f>
        <v>0</v>
      </c>
      <c r="AB383" s="51">
        <f>'RESUMEN TOTAL'!AK386</f>
        <v>0</v>
      </c>
      <c r="AC383" s="51">
        <f>'RESUMEN TOTAL'!AL386</f>
        <v>0</v>
      </c>
      <c r="AD383" s="51">
        <f>'RESUMEN TOTAL'!AM386</f>
        <v>0</v>
      </c>
      <c r="AE383" s="51">
        <f>'RESUMEN TOTAL'!AN386</f>
        <v>0</v>
      </c>
      <c r="AF383" s="51">
        <f>'RESUMEN TOTAL'!AO386</f>
        <v>0</v>
      </c>
      <c r="AG383" s="51">
        <f>'RESUMEN TOTAL'!AP386</f>
        <v>0</v>
      </c>
      <c r="AH383" s="51">
        <f>'RESUMEN TOTAL'!AQ386</f>
        <v>0</v>
      </c>
      <c r="AI383" s="51">
        <f>'RESUMEN TOTAL'!AR386</f>
        <v>0</v>
      </c>
    </row>
    <row r="384" spans="1:35" x14ac:dyDescent="0.25">
      <c r="A384" s="51" t="str">
        <f>'RESUMEN TOTAL'!A387</f>
        <v>VILLA MONICA VIEJA</v>
      </c>
      <c r="B384" s="51" t="str">
        <f>'RESUMEN TOTAL'!B387</f>
        <v>VMOV01 (fija 1)</v>
      </c>
      <c r="C384" s="51" t="str">
        <f>'RESUMEN TOTAL'!D387</f>
        <v>ATENAS E/ CAFFERATA Y ALEMANIA</v>
      </c>
      <c r="D384" s="51" t="str">
        <f>'RESUMEN TOTAL'!E387</f>
        <v>Fija</v>
      </c>
      <c r="E384" s="51" t="str">
        <f>'RESUMEN TOTAL'!F387</f>
        <v>Fibra Optica</v>
      </c>
      <c r="F384" s="51" t="str">
        <f>'RESUMEN TOTAL'!O387</f>
        <v>APAGADO</v>
      </c>
      <c r="G384" s="51" t="str">
        <f>'RESUMEN TOTAL'!P387</f>
        <v>APAGADO</v>
      </c>
      <c r="H384" s="51" t="str">
        <f>'RESUMEN TOTAL'!Q387</f>
        <v>APAGADO</v>
      </c>
      <c r="I384" s="51" t="str">
        <f>'RESUMEN TOTAL'!R387</f>
        <v>APAGADO</v>
      </c>
      <c r="J384" s="51" t="str">
        <f>'RESUMEN TOTAL'!S387</f>
        <v>APAGADO</v>
      </c>
      <c r="K384" s="51" t="str">
        <f>'RESUMEN TOTAL'!T387</f>
        <v>APAGADO</v>
      </c>
      <c r="L384" s="51" t="str">
        <f>'RESUMEN TOTAL'!U387</f>
        <v>APAGADO</v>
      </c>
      <c r="M384" s="51">
        <f>'RESUMEN TOTAL'!V387</f>
        <v>0</v>
      </c>
      <c r="N384" s="51">
        <f>'RESUMEN TOTAL'!W387</f>
        <v>0</v>
      </c>
      <c r="O384" s="51">
        <f>'RESUMEN TOTAL'!X387</f>
        <v>0</v>
      </c>
      <c r="P384" s="51">
        <f>'RESUMEN TOTAL'!Y387</f>
        <v>0</v>
      </c>
      <c r="Q384" s="51">
        <f>'RESUMEN TOTAL'!Z387</f>
        <v>0</v>
      </c>
      <c r="R384" s="51">
        <f>'RESUMEN TOTAL'!AA387</f>
        <v>0</v>
      </c>
      <c r="S384" s="51">
        <f>'RESUMEN TOTAL'!AB387</f>
        <v>0</v>
      </c>
      <c r="T384" s="51">
        <f>'RESUMEN TOTAL'!AC387</f>
        <v>0</v>
      </c>
      <c r="U384" s="51">
        <f>'RESUMEN TOTAL'!AD387</f>
        <v>0</v>
      </c>
      <c r="V384" s="51">
        <f>'RESUMEN TOTAL'!AE387</f>
        <v>0</v>
      </c>
      <c r="W384" s="51">
        <f>'RESUMEN TOTAL'!AF387</f>
        <v>0</v>
      </c>
      <c r="X384" s="51">
        <f>'RESUMEN TOTAL'!AG387</f>
        <v>0</v>
      </c>
      <c r="Y384" s="51">
        <f>'RESUMEN TOTAL'!AH387</f>
        <v>0</v>
      </c>
      <c r="Z384" s="51">
        <f>'RESUMEN TOTAL'!AI387</f>
        <v>0</v>
      </c>
      <c r="AA384" s="51">
        <f>'RESUMEN TOTAL'!AJ387</f>
        <v>0</v>
      </c>
      <c r="AB384" s="51">
        <f>'RESUMEN TOTAL'!AK387</f>
        <v>0</v>
      </c>
      <c r="AC384" s="51">
        <f>'RESUMEN TOTAL'!AL387</f>
        <v>0</v>
      </c>
      <c r="AD384" s="51">
        <f>'RESUMEN TOTAL'!AM387</f>
        <v>0</v>
      </c>
      <c r="AE384" s="51">
        <f>'RESUMEN TOTAL'!AN387</f>
        <v>0</v>
      </c>
      <c r="AF384" s="51">
        <f>'RESUMEN TOTAL'!AO387</f>
        <v>0</v>
      </c>
      <c r="AG384" s="51">
        <f>'RESUMEN TOTAL'!AP387</f>
        <v>0</v>
      </c>
      <c r="AH384" s="51">
        <f>'RESUMEN TOTAL'!AQ387</f>
        <v>0</v>
      </c>
      <c r="AI384" s="51">
        <f>'RESUMEN TOTAL'!AR387</f>
        <v>0</v>
      </c>
    </row>
    <row r="385" spans="1:35" x14ac:dyDescent="0.25">
      <c r="A385" s="51" t="str">
        <f>'RESUMEN TOTAL'!A388</f>
        <v>VILLA MONICA VIEJA</v>
      </c>
      <c r="B385" s="51" t="str">
        <f>'RESUMEN TOTAL'!B388</f>
        <v>VMOV04 (fija 2)</v>
      </c>
      <c r="C385" s="51" t="str">
        <f>'RESUMEN TOTAL'!D388</f>
        <v>ROMA E/ HOLANDA Y CAFFERATA</v>
      </c>
      <c r="D385" s="51" t="str">
        <f>'RESUMEN TOTAL'!E388</f>
        <v>Fija</v>
      </c>
      <c r="E385" s="51" t="str">
        <f>'RESUMEN TOTAL'!F388</f>
        <v>Fibra Optica</v>
      </c>
      <c r="F385" s="51" t="str">
        <f>'RESUMEN TOTAL'!O388</f>
        <v>APAGADO</v>
      </c>
      <c r="G385" s="51" t="str">
        <f>'RESUMEN TOTAL'!P388</f>
        <v>APAGADO</v>
      </c>
      <c r="H385" s="51" t="str">
        <f>'RESUMEN TOTAL'!Q388</f>
        <v>APAGADO</v>
      </c>
      <c r="I385" s="51" t="str">
        <f>'RESUMEN TOTAL'!R388</f>
        <v>APAGADO</v>
      </c>
      <c r="J385" s="51" t="str">
        <f>'RESUMEN TOTAL'!S388</f>
        <v>APAGADO</v>
      </c>
      <c r="K385" s="51" t="str">
        <f>'RESUMEN TOTAL'!T388</f>
        <v>APAGADO</v>
      </c>
      <c r="L385" s="51" t="str">
        <f>'RESUMEN TOTAL'!U388</f>
        <v>APAGADO</v>
      </c>
      <c r="M385" s="51">
        <f>'RESUMEN TOTAL'!V388</f>
        <v>0</v>
      </c>
      <c r="N385" s="51">
        <f>'RESUMEN TOTAL'!W388</f>
        <v>0</v>
      </c>
      <c r="O385" s="51">
        <f>'RESUMEN TOTAL'!X388</f>
        <v>0</v>
      </c>
      <c r="P385" s="51">
        <f>'RESUMEN TOTAL'!Y388</f>
        <v>0</v>
      </c>
      <c r="Q385" s="51">
        <f>'RESUMEN TOTAL'!Z388</f>
        <v>0</v>
      </c>
      <c r="R385" s="51">
        <f>'RESUMEN TOTAL'!AA388</f>
        <v>0</v>
      </c>
      <c r="S385" s="51">
        <f>'RESUMEN TOTAL'!AB388</f>
        <v>0</v>
      </c>
      <c r="T385" s="51">
        <f>'RESUMEN TOTAL'!AC388</f>
        <v>0</v>
      </c>
      <c r="U385" s="51">
        <f>'RESUMEN TOTAL'!AD388</f>
        <v>0</v>
      </c>
      <c r="V385" s="51">
        <f>'RESUMEN TOTAL'!AE388</f>
        <v>0</v>
      </c>
      <c r="W385" s="51">
        <f>'RESUMEN TOTAL'!AF388</f>
        <v>0</v>
      </c>
      <c r="X385" s="51">
        <f>'RESUMEN TOTAL'!AG388</f>
        <v>0</v>
      </c>
      <c r="Y385" s="51">
        <f>'RESUMEN TOTAL'!AH388</f>
        <v>0</v>
      </c>
      <c r="Z385" s="51">
        <f>'RESUMEN TOTAL'!AI388</f>
        <v>0</v>
      </c>
      <c r="AA385" s="51">
        <f>'RESUMEN TOTAL'!AJ388</f>
        <v>0</v>
      </c>
      <c r="AB385" s="51">
        <f>'RESUMEN TOTAL'!AK388</f>
        <v>0</v>
      </c>
      <c r="AC385" s="51">
        <f>'RESUMEN TOTAL'!AL388</f>
        <v>0</v>
      </c>
      <c r="AD385" s="51">
        <f>'RESUMEN TOTAL'!AM388</f>
        <v>0</v>
      </c>
      <c r="AE385" s="51">
        <f>'RESUMEN TOTAL'!AN388</f>
        <v>0</v>
      </c>
      <c r="AF385" s="51">
        <f>'RESUMEN TOTAL'!AO388</f>
        <v>0</v>
      </c>
      <c r="AG385" s="51">
        <f>'RESUMEN TOTAL'!AP388</f>
        <v>0</v>
      </c>
      <c r="AH385" s="51">
        <f>'RESUMEN TOTAL'!AQ388</f>
        <v>0</v>
      </c>
      <c r="AI385" s="51">
        <f>'RESUMEN TOTAL'!AR388</f>
        <v>0</v>
      </c>
    </row>
    <row r="386" spans="1:35" x14ac:dyDescent="0.25">
      <c r="A386" s="51" t="str">
        <f>'RESUMEN TOTAL'!A389</f>
        <v>VILLA SAN LUIS</v>
      </c>
      <c r="B386" s="51" t="str">
        <f>'RESUMEN TOTAL'!B389</f>
        <v>VSL 01</v>
      </c>
      <c r="C386" s="51" t="str">
        <f>'RESUMEN TOTAL'!D389</f>
        <v>AV. HUDSON Y CACHEUTA</v>
      </c>
      <c r="D386" s="51" t="str">
        <f>'RESUMEN TOTAL'!E389</f>
        <v>DOMO</v>
      </c>
      <c r="E386" s="51" t="str">
        <f>'RESUMEN TOTAL'!F389</f>
        <v>Fibra Optica</v>
      </c>
      <c r="F386" s="51">
        <f>'RESUMEN TOTAL'!O389</f>
        <v>0</v>
      </c>
      <c r="G386" s="51">
        <f>'RESUMEN TOTAL'!P389</f>
        <v>0</v>
      </c>
      <c r="H386" s="51">
        <f>'RESUMEN TOTAL'!Q389</f>
        <v>0</v>
      </c>
      <c r="I386" s="51">
        <f>'RESUMEN TOTAL'!R389</f>
        <v>0</v>
      </c>
      <c r="J386" s="51">
        <f>'RESUMEN TOTAL'!S389</f>
        <v>0</v>
      </c>
      <c r="K386" s="51">
        <f>'RESUMEN TOTAL'!T389</f>
        <v>0</v>
      </c>
      <c r="L386" s="51">
        <f>'RESUMEN TOTAL'!U389</f>
        <v>0</v>
      </c>
      <c r="M386" s="51">
        <f>'RESUMEN TOTAL'!V389</f>
        <v>0</v>
      </c>
      <c r="N386" s="51">
        <f>'RESUMEN TOTAL'!W389</f>
        <v>0</v>
      </c>
      <c r="O386" s="51">
        <f>'RESUMEN TOTAL'!X389</f>
        <v>0</v>
      </c>
      <c r="P386" s="51">
        <f>'RESUMEN TOTAL'!Y389</f>
        <v>0</v>
      </c>
      <c r="Q386" s="51">
        <f>'RESUMEN TOTAL'!Z389</f>
        <v>0</v>
      </c>
      <c r="R386" s="51">
        <f>'RESUMEN TOTAL'!AA389</f>
        <v>0</v>
      </c>
      <c r="S386" s="51">
        <f>'RESUMEN TOTAL'!AB389</f>
        <v>0</v>
      </c>
      <c r="T386" s="51">
        <f>'RESUMEN TOTAL'!AC389</f>
        <v>0</v>
      </c>
      <c r="U386" s="51">
        <f>'RESUMEN TOTAL'!AD389</f>
        <v>0</v>
      </c>
      <c r="V386" s="51">
        <f>'RESUMEN TOTAL'!AE389</f>
        <v>0</v>
      </c>
      <c r="W386" s="51">
        <f>'RESUMEN TOTAL'!AF389</f>
        <v>0</v>
      </c>
      <c r="X386" s="51">
        <f>'RESUMEN TOTAL'!AG389</f>
        <v>0</v>
      </c>
      <c r="Y386" s="51">
        <f>'RESUMEN TOTAL'!AH389</f>
        <v>0</v>
      </c>
      <c r="Z386" s="51">
        <f>'RESUMEN TOTAL'!AI389</f>
        <v>0</v>
      </c>
      <c r="AA386" s="51">
        <f>'RESUMEN TOTAL'!AJ389</f>
        <v>0</v>
      </c>
      <c r="AB386" s="51">
        <f>'RESUMEN TOTAL'!AK389</f>
        <v>0</v>
      </c>
      <c r="AC386" s="51">
        <f>'RESUMEN TOTAL'!AL389</f>
        <v>0</v>
      </c>
      <c r="AD386" s="51">
        <f>'RESUMEN TOTAL'!AM389</f>
        <v>0</v>
      </c>
      <c r="AE386" s="51">
        <f>'RESUMEN TOTAL'!AN389</f>
        <v>0</v>
      </c>
      <c r="AF386" s="51">
        <f>'RESUMEN TOTAL'!AO389</f>
        <v>0</v>
      </c>
      <c r="AG386" s="51">
        <f>'RESUMEN TOTAL'!AP389</f>
        <v>0</v>
      </c>
      <c r="AH386" s="51">
        <f>'RESUMEN TOTAL'!AQ389</f>
        <v>0</v>
      </c>
      <c r="AI386" s="51">
        <f>'RESUMEN TOTAL'!AR389</f>
        <v>0</v>
      </c>
    </row>
    <row r="387" spans="1:35" x14ac:dyDescent="0.25">
      <c r="A387" s="51" t="str">
        <f>'RESUMEN TOTAL'!A390</f>
        <v>VILLA SUSANA</v>
      </c>
      <c r="B387" s="51" t="str">
        <f>'RESUMEN TOTAL'!B390</f>
        <v>VSU 02</v>
      </c>
      <c r="C387" s="51" t="str">
        <f>'RESUMEN TOTAL'!D390</f>
        <v>CABELLO Y SANTA FE</v>
      </c>
      <c r="D387" s="51" t="str">
        <f>'RESUMEN TOTAL'!E390</f>
        <v>DOMO</v>
      </c>
      <c r="E387" s="51" t="str">
        <f>'RESUMEN TOTAL'!F390</f>
        <v>Radio</v>
      </c>
      <c r="F387" s="51">
        <f>'RESUMEN TOTAL'!O390</f>
        <v>0</v>
      </c>
      <c r="G387" s="51">
        <f>'RESUMEN TOTAL'!P390</f>
        <v>0</v>
      </c>
      <c r="H387" s="51">
        <f>'RESUMEN TOTAL'!Q390</f>
        <v>0</v>
      </c>
      <c r="I387" s="51">
        <f>'RESUMEN TOTAL'!R390</f>
        <v>0</v>
      </c>
      <c r="J387" s="51">
        <f>'RESUMEN TOTAL'!S390</f>
        <v>0</v>
      </c>
      <c r="K387" s="51">
        <f>'RESUMEN TOTAL'!T390</f>
        <v>0</v>
      </c>
      <c r="L387" s="51">
        <f>'RESUMEN TOTAL'!U390</f>
        <v>0</v>
      </c>
      <c r="M387" s="51">
        <f>'RESUMEN TOTAL'!V390</f>
        <v>0</v>
      </c>
      <c r="N387" s="51">
        <f>'RESUMEN TOTAL'!W390</f>
        <v>0</v>
      </c>
      <c r="O387" s="51">
        <f>'RESUMEN TOTAL'!X390</f>
        <v>0</v>
      </c>
      <c r="P387" s="51">
        <f>'RESUMEN TOTAL'!Y390</f>
        <v>0</v>
      </c>
      <c r="Q387" s="51">
        <f>'RESUMEN TOTAL'!Z390</f>
        <v>0</v>
      </c>
      <c r="R387" s="51">
        <f>'RESUMEN TOTAL'!AA390</f>
        <v>0</v>
      </c>
      <c r="S387" s="51">
        <f>'RESUMEN TOTAL'!AB390</f>
        <v>0</v>
      </c>
      <c r="T387" s="51">
        <f>'RESUMEN TOTAL'!AC390</f>
        <v>0</v>
      </c>
      <c r="U387" s="51">
        <f>'RESUMEN TOTAL'!AD390</f>
        <v>0</v>
      </c>
      <c r="V387" s="51">
        <f>'RESUMEN TOTAL'!AE390</f>
        <v>0</v>
      </c>
      <c r="W387" s="51">
        <f>'RESUMEN TOTAL'!AF390</f>
        <v>0</v>
      </c>
      <c r="X387" s="51">
        <f>'RESUMEN TOTAL'!AG390</f>
        <v>0</v>
      </c>
      <c r="Y387" s="51">
        <f>'RESUMEN TOTAL'!AH390</f>
        <v>0</v>
      </c>
      <c r="Z387" s="51">
        <f>'RESUMEN TOTAL'!AI390</f>
        <v>0</v>
      </c>
      <c r="AA387" s="51">
        <f>'RESUMEN TOTAL'!AJ390</f>
        <v>0</v>
      </c>
      <c r="AB387" s="51">
        <f>'RESUMEN TOTAL'!AK390</f>
        <v>0</v>
      </c>
      <c r="AC387" s="51">
        <f>'RESUMEN TOTAL'!AL390</f>
        <v>0</v>
      </c>
      <c r="AD387" s="51">
        <f>'RESUMEN TOTAL'!AM390</f>
        <v>0</v>
      </c>
      <c r="AE387" s="51">
        <f>'RESUMEN TOTAL'!AN390</f>
        <v>0</v>
      </c>
      <c r="AF387" s="51">
        <f>'RESUMEN TOTAL'!AO390</f>
        <v>0</v>
      </c>
      <c r="AG387" s="51">
        <f>'RESUMEN TOTAL'!AP390</f>
        <v>0</v>
      </c>
      <c r="AH387" s="51">
        <f>'RESUMEN TOTAL'!AQ390</f>
        <v>0</v>
      </c>
      <c r="AI387" s="51">
        <f>'RESUMEN TOTAL'!AR390</f>
        <v>0</v>
      </c>
    </row>
    <row r="388" spans="1:35" x14ac:dyDescent="0.25">
      <c r="A388" s="51" t="str">
        <f>'RESUMEN TOTAL'!A391</f>
        <v>VILLA SUSANA</v>
      </c>
      <c r="B388" s="51" t="str">
        <f>'RESUMEN TOTAL'!B391</f>
        <v>VSU 03</v>
      </c>
      <c r="C388" s="51" t="str">
        <f>'RESUMEN TOTAL'!D391</f>
        <v>EE.UU Y SERRANO</v>
      </c>
      <c r="D388" s="51" t="str">
        <f>'RESUMEN TOTAL'!E391</f>
        <v>DOMO</v>
      </c>
      <c r="E388" s="51" t="str">
        <f>'RESUMEN TOTAL'!F391</f>
        <v>Radio</v>
      </c>
      <c r="F388" s="51">
        <f>'RESUMEN TOTAL'!O391</f>
        <v>0</v>
      </c>
      <c r="G388" s="51">
        <f>'RESUMEN TOTAL'!P391</f>
        <v>0</v>
      </c>
      <c r="H388" s="51">
        <f>'RESUMEN TOTAL'!Q391</f>
        <v>0</v>
      </c>
      <c r="I388" s="51">
        <f>'RESUMEN TOTAL'!R391</f>
        <v>0</v>
      </c>
      <c r="J388" s="51">
        <f>'RESUMEN TOTAL'!S391</f>
        <v>0</v>
      </c>
      <c r="K388" s="51">
        <f>'RESUMEN TOTAL'!T391</f>
        <v>0</v>
      </c>
      <c r="L388" s="51">
        <f>'RESUMEN TOTAL'!U391</f>
        <v>0</v>
      </c>
      <c r="M388" s="51">
        <f>'RESUMEN TOTAL'!V391</f>
        <v>0</v>
      </c>
      <c r="N388" s="51">
        <f>'RESUMEN TOTAL'!W391</f>
        <v>0</v>
      </c>
      <c r="O388" s="51">
        <f>'RESUMEN TOTAL'!X391</f>
        <v>0</v>
      </c>
      <c r="P388" s="51">
        <f>'RESUMEN TOTAL'!Y391</f>
        <v>0</v>
      </c>
      <c r="Q388" s="51">
        <f>'RESUMEN TOTAL'!Z391</f>
        <v>0</v>
      </c>
      <c r="R388" s="51">
        <f>'RESUMEN TOTAL'!AA391</f>
        <v>0</v>
      </c>
      <c r="S388" s="51">
        <f>'RESUMEN TOTAL'!AB391</f>
        <v>0</v>
      </c>
      <c r="T388" s="51">
        <f>'RESUMEN TOTAL'!AC391</f>
        <v>0</v>
      </c>
      <c r="U388" s="51">
        <f>'RESUMEN TOTAL'!AD391</f>
        <v>0</v>
      </c>
      <c r="V388" s="51">
        <f>'RESUMEN TOTAL'!AE391</f>
        <v>0</v>
      </c>
      <c r="W388" s="51">
        <f>'RESUMEN TOTAL'!AF391</f>
        <v>0</v>
      </c>
      <c r="X388" s="51">
        <f>'RESUMEN TOTAL'!AG391</f>
        <v>0</v>
      </c>
      <c r="Y388" s="51">
        <f>'RESUMEN TOTAL'!AH391</f>
        <v>0</v>
      </c>
      <c r="Z388" s="51">
        <f>'RESUMEN TOTAL'!AI391</f>
        <v>0</v>
      </c>
      <c r="AA388" s="51">
        <f>'RESUMEN TOTAL'!AJ391</f>
        <v>0</v>
      </c>
      <c r="AB388" s="51">
        <f>'RESUMEN TOTAL'!AK391</f>
        <v>0</v>
      </c>
      <c r="AC388" s="51">
        <f>'RESUMEN TOTAL'!AL391</f>
        <v>0</v>
      </c>
      <c r="AD388" s="51">
        <f>'RESUMEN TOTAL'!AM391</f>
        <v>0</v>
      </c>
      <c r="AE388" s="51">
        <f>'RESUMEN TOTAL'!AN391</f>
        <v>0</v>
      </c>
      <c r="AF388" s="51">
        <f>'RESUMEN TOTAL'!AO391</f>
        <v>0</v>
      </c>
      <c r="AG388" s="51">
        <f>'RESUMEN TOTAL'!AP391</f>
        <v>0</v>
      </c>
      <c r="AH388" s="51">
        <f>'RESUMEN TOTAL'!AQ391</f>
        <v>0</v>
      </c>
      <c r="AI388" s="51">
        <f>'RESUMEN TOTAL'!AR391</f>
        <v>0</v>
      </c>
    </row>
    <row r="389" spans="1:35" x14ac:dyDescent="0.25">
      <c r="A389" s="51" t="str">
        <f>'RESUMEN TOTAL'!A392</f>
        <v>VILLA SUSANA</v>
      </c>
      <c r="B389" s="51" t="str">
        <f>'RESUMEN TOTAL'!B392</f>
        <v>VSU01</v>
      </c>
      <c r="C389" s="51" t="str">
        <f>'RESUMEN TOTAL'!D392</f>
        <v>CJAL. JUAN BROWN Y SANTA FE</v>
      </c>
      <c r="D389" s="51" t="str">
        <f>'RESUMEN TOTAL'!E392</f>
        <v>DOMO</v>
      </c>
      <c r="E389" s="51" t="str">
        <f>'RESUMEN TOTAL'!F392</f>
        <v>Radio</v>
      </c>
      <c r="F389" s="51">
        <f>'RESUMEN TOTAL'!O392</f>
        <v>0</v>
      </c>
      <c r="G389" s="51">
        <f>'RESUMEN TOTAL'!P392</f>
        <v>0</v>
      </c>
      <c r="H389" s="51">
        <f>'RESUMEN TOTAL'!Q392</f>
        <v>0</v>
      </c>
      <c r="I389" s="51">
        <f>'RESUMEN TOTAL'!R392</f>
        <v>0</v>
      </c>
      <c r="J389" s="51">
        <f>'RESUMEN TOTAL'!S392</f>
        <v>0</v>
      </c>
      <c r="K389" s="51">
        <f>'RESUMEN TOTAL'!T392</f>
        <v>0</v>
      </c>
      <c r="L389" s="51">
        <f>'RESUMEN TOTAL'!U392</f>
        <v>0</v>
      </c>
      <c r="M389" s="51">
        <f>'RESUMEN TOTAL'!V392</f>
        <v>0</v>
      </c>
      <c r="N389" s="51">
        <f>'RESUMEN TOTAL'!W392</f>
        <v>0</v>
      </c>
      <c r="O389" s="51">
        <f>'RESUMEN TOTAL'!X392</f>
        <v>0</v>
      </c>
      <c r="P389" s="51">
        <f>'RESUMEN TOTAL'!Y392</f>
        <v>0</v>
      </c>
      <c r="Q389" s="51">
        <f>'RESUMEN TOTAL'!Z392</f>
        <v>0</v>
      </c>
      <c r="R389" s="51">
        <f>'RESUMEN TOTAL'!AA392</f>
        <v>0</v>
      </c>
      <c r="S389" s="51">
        <f>'RESUMEN TOTAL'!AB392</f>
        <v>0</v>
      </c>
      <c r="T389" s="51">
        <f>'RESUMEN TOTAL'!AC392</f>
        <v>0</v>
      </c>
      <c r="U389" s="51">
        <f>'RESUMEN TOTAL'!AD392</f>
        <v>0</v>
      </c>
      <c r="V389" s="51">
        <f>'RESUMEN TOTAL'!AE392</f>
        <v>0</v>
      </c>
      <c r="W389" s="51">
        <f>'RESUMEN TOTAL'!AF392</f>
        <v>0</v>
      </c>
      <c r="X389" s="51">
        <f>'RESUMEN TOTAL'!AG392</f>
        <v>0</v>
      </c>
      <c r="Y389" s="51">
        <f>'RESUMEN TOTAL'!AH392</f>
        <v>0</v>
      </c>
      <c r="Z389" s="51">
        <f>'RESUMEN TOTAL'!AI392</f>
        <v>0</v>
      </c>
      <c r="AA389" s="51">
        <f>'RESUMEN TOTAL'!AJ392</f>
        <v>0</v>
      </c>
      <c r="AB389" s="51">
        <f>'RESUMEN TOTAL'!AK392</f>
        <v>0</v>
      </c>
      <c r="AC389" s="51">
        <f>'RESUMEN TOTAL'!AL392</f>
        <v>0</v>
      </c>
      <c r="AD389" s="51">
        <f>'RESUMEN TOTAL'!AM392</f>
        <v>0</v>
      </c>
      <c r="AE389" s="51">
        <f>'RESUMEN TOTAL'!AN392</f>
        <v>0</v>
      </c>
      <c r="AF389" s="51">
        <f>'RESUMEN TOTAL'!AO392</f>
        <v>0</v>
      </c>
      <c r="AG389" s="51">
        <f>'RESUMEN TOTAL'!AP392</f>
        <v>0</v>
      </c>
      <c r="AH389" s="51">
        <f>'RESUMEN TOTAL'!AQ392</f>
        <v>0</v>
      </c>
      <c r="AI389" s="51">
        <f>'RESUMEN TOTAL'!AR392</f>
        <v>0</v>
      </c>
    </row>
    <row r="390" spans="1:35" x14ac:dyDescent="0.25">
      <c r="A390" s="51" t="str">
        <f>'RESUMEN TOTAL'!A393</f>
        <v>ZEBALLOS</v>
      </c>
      <c r="B390" s="51" t="str">
        <f>'RESUMEN TOTAL'!B393</f>
        <v>ZEB 05</v>
      </c>
      <c r="C390" s="51" t="str">
        <f>'RESUMEN TOTAL'!D393</f>
        <v>DIAG. GRANADEROS Y 214 BIS</v>
      </c>
      <c r="D390" s="51" t="str">
        <f>'RESUMEN TOTAL'!E393</f>
        <v>Domo</v>
      </c>
      <c r="E390" s="51" t="str">
        <f>'RESUMEN TOTAL'!F393</f>
        <v>Radio</v>
      </c>
      <c r="F390" s="51">
        <f>'RESUMEN TOTAL'!O393</f>
        <v>0</v>
      </c>
      <c r="G390" s="51">
        <f>'RESUMEN TOTAL'!P393</f>
        <v>0</v>
      </c>
      <c r="H390" s="51">
        <f>'RESUMEN TOTAL'!Q393</f>
        <v>0</v>
      </c>
      <c r="I390" s="51">
        <f>'RESUMEN TOTAL'!R393</f>
        <v>0</v>
      </c>
      <c r="J390" s="51">
        <f>'RESUMEN TOTAL'!S393</f>
        <v>0</v>
      </c>
      <c r="K390" s="51">
        <f>'RESUMEN TOTAL'!T393</f>
        <v>0</v>
      </c>
      <c r="L390" s="51">
        <f>'RESUMEN TOTAL'!U393</f>
        <v>0</v>
      </c>
      <c r="M390" s="51">
        <f>'RESUMEN TOTAL'!V393</f>
        <v>0</v>
      </c>
      <c r="N390" s="51">
        <f>'RESUMEN TOTAL'!W393</f>
        <v>0</v>
      </c>
      <c r="O390" s="51">
        <f>'RESUMEN TOTAL'!X393</f>
        <v>0</v>
      </c>
      <c r="P390" s="51">
        <f>'RESUMEN TOTAL'!Y393</f>
        <v>0</v>
      </c>
      <c r="Q390" s="51">
        <f>'RESUMEN TOTAL'!Z393</f>
        <v>0</v>
      </c>
      <c r="R390" s="51">
        <f>'RESUMEN TOTAL'!AA393</f>
        <v>0</v>
      </c>
      <c r="S390" s="51">
        <f>'RESUMEN TOTAL'!AB393</f>
        <v>0</v>
      </c>
      <c r="T390" s="51">
        <f>'RESUMEN TOTAL'!AC393</f>
        <v>0</v>
      </c>
      <c r="U390" s="51">
        <f>'RESUMEN TOTAL'!AD393</f>
        <v>0</v>
      </c>
      <c r="V390" s="51">
        <f>'RESUMEN TOTAL'!AE393</f>
        <v>0</v>
      </c>
      <c r="W390" s="51">
        <f>'RESUMEN TOTAL'!AF393</f>
        <v>0</v>
      </c>
      <c r="X390" s="51">
        <f>'RESUMEN TOTAL'!AG393</f>
        <v>0</v>
      </c>
      <c r="Y390" s="51">
        <f>'RESUMEN TOTAL'!AH393</f>
        <v>0</v>
      </c>
      <c r="Z390" s="51">
        <f>'RESUMEN TOTAL'!AI393</f>
        <v>0</v>
      </c>
      <c r="AA390" s="51">
        <f>'RESUMEN TOTAL'!AJ393</f>
        <v>0</v>
      </c>
      <c r="AB390" s="51">
        <f>'RESUMEN TOTAL'!AK393</f>
        <v>0</v>
      </c>
      <c r="AC390" s="51">
        <f>'RESUMEN TOTAL'!AL393</f>
        <v>0</v>
      </c>
      <c r="AD390" s="51">
        <f>'RESUMEN TOTAL'!AM393</f>
        <v>0</v>
      </c>
      <c r="AE390" s="51">
        <f>'RESUMEN TOTAL'!AN393</f>
        <v>0</v>
      </c>
      <c r="AF390" s="51">
        <f>'RESUMEN TOTAL'!AO393</f>
        <v>0</v>
      </c>
      <c r="AG390" s="51">
        <f>'RESUMEN TOTAL'!AP393</f>
        <v>0</v>
      </c>
      <c r="AH390" s="51">
        <f>'RESUMEN TOTAL'!AQ393</f>
        <v>0</v>
      </c>
      <c r="AI390" s="51">
        <f>'RESUMEN TOTAL'!AR393</f>
        <v>0</v>
      </c>
    </row>
    <row r="391" spans="1:35" x14ac:dyDescent="0.25">
      <c r="A391" s="51" t="str">
        <f>'RESUMEN TOTAL'!A394</f>
        <v>ZEBALLOS</v>
      </c>
      <c r="B391" s="51" t="str">
        <f>'RESUMEN TOTAL'!B394</f>
        <v>ZEB02</v>
      </c>
      <c r="C391" s="51" t="str">
        <f>'RESUMEN TOTAL'!D394</f>
        <v>Quinquela Martin y Sgo. del Estero</v>
      </c>
      <c r="D391" s="51" t="str">
        <f>'RESUMEN TOTAL'!E394</f>
        <v>Domo</v>
      </c>
      <c r="E391" s="51" t="str">
        <f>'RESUMEN TOTAL'!F394</f>
        <v>Radio</v>
      </c>
      <c r="F391" s="51">
        <f>'RESUMEN TOTAL'!O394</f>
        <v>0</v>
      </c>
      <c r="G391" s="51">
        <f>'RESUMEN TOTAL'!P394</f>
        <v>0</v>
      </c>
      <c r="H391" s="51">
        <f>'RESUMEN TOTAL'!Q394</f>
        <v>0</v>
      </c>
      <c r="I391" s="51">
        <f>'RESUMEN TOTAL'!R394</f>
        <v>0</v>
      </c>
      <c r="J391" s="51">
        <f>'RESUMEN TOTAL'!S394</f>
        <v>0</v>
      </c>
      <c r="K391" s="51">
        <f>'RESUMEN TOTAL'!T394</f>
        <v>0</v>
      </c>
      <c r="L391" s="51">
        <f>'RESUMEN TOTAL'!U394</f>
        <v>0</v>
      </c>
      <c r="M391" s="51">
        <f>'RESUMEN TOTAL'!V394</f>
        <v>0</v>
      </c>
      <c r="N391" s="51">
        <f>'RESUMEN TOTAL'!W394</f>
        <v>0</v>
      </c>
      <c r="O391" s="51">
        <f>'RESUMEN TOTAL'!X394</f>
        <v>0</v>
      </c>
      <c r="P391" s="51">
        <f>'RESUMEN TOTAL'!Y394</f>
        <v>0</v>
      </c>
      <c r="Q391" s="51">
        <f>'RESUMEN TOTAL'!Z394</f>
        <v>0</v>
      </c>
      <c r="R391" s="51">
        <f>'RESUMEN TOTAL'!AA394</f>
        <v>0</v>
      </c>
      <c r="S391" s="51">
        <f>'RESUMEN TOTAL'!AB394</f>
        <v>0</v>
      </c>
      <c r="T391" s="51">
        <f>'RESUMEN TOTAL'!AC394</f>
        <v>0</v>
      </c>
      <c r="U391" s="51">
        <f>'RESUMEN TOTAL'!AD394</f>
        <v>0</v>
      </c>
      <c r="V391" s="51">
        <f>'RESUMEN TOTAL'!AE394</f>
        <v>0</v>
      </c>
      <c r="W391" s="51">
        <f>'RESUMEN TOTAL'!AF394</f>
        <v>0</v>
      </c>
      <c r="X391" s="51">
        <f>'RESUMEN TOTAL'!AG394</f>
        <v>0</v>
      </c>
      <c r="Y391" s="51">
        <f>'RESUMEN TOTAL'!AH394</f>
        <v>0</v>
      </c>
      <c r="Z391" s="51">
        <f>'RESUMEN TOTAL'!AI394</f>
        <v>0</v>
      </c>
      <c r="AA391" s="51">
        <f>'RESUMEN TOTAL'!AJ394</f>
        <v>0</v>
      </c>
      <c r="AB391" s="51">
        <f>'RESUMEN TOTAL'!AK394</f>
        <v>0</v>
      </c>
      <c r="AC391" s="51">
        <f>'RESUMEN TOTAL'!AL394</f>
        <v>0</v>
      </c>
      <c r="AD391" s="51">
        <f>'RESUMEN TOTAL'!AM394</f>
        <v>0</v>
      </c>
      <c r="AE391" s="51">
        <f>'RESUMEN TOTAL'!AN394</f>
        <v>0</v>
      </c>
      <c r="AF391" s="51">
        <f>'RESUMEN TOTAL'!AO394</f>
        <v>0</v>
      </c>
      <c r="AG391" s="51">
        <f>'RESUMEN TOTAL'!AP394</f>
        <v>0</v>
      </c>
      <c r="AH391" s="51">
        <f>'RESUMEN TOTAL'!AQ394</f>
        <v>0</v>
      </c>
      <c r="AI391" s="51">
        <f>'RESUMEN TOTAL'!AR394</f>
        <v>0</v>
      </c>
    </row>
    <row r="392" spans="1:35" x14ac:dyDescent="0.25">
      <c r="A392" s="51" t="str">
        <f>'RESUMEN TOTAL'!A395</f>
        <v>9 DE JULIO</v>
      </c>
      <c r="B392" s="51" t="str">
        <f>'RESUMEN TOTAL'!B395</f>
        <v>ZEB03</v>
      </c>
      <c r="C392" s="51" t="str">
        <f>'RESUMEN TOTAL'!D395</f>
        <v>Quinquela Martin y Pte. Peron</v>
      </c>
      <c r="D392" s="51" t="str">
        <f>'RESUMEN TOTAL'!E395</f>
        <v>Domo</v>
      </c>
      <c r="E392" s="51" t="str">
        <f>'RESUMEN TOTAL'!F395</f>
        <v>Radio</v>
      </c>
      <c r="F392" s="51">
        <f>'RESUMEN TOTAL'!O395</f>
        <v>0</v>
      </c>
      <c r="G392" s="51">
        <f>'RESUMEN TOTAL'!P395</f>
        <v>0</v>
      </c>
      <c r="H392" s="51">
        <f>'RESUMEN TOTAL'!Q395</f>
        <v>0</v>
      </c>
      <c r="I392" s="51">
        <f>'RESUMEN TOTAL'!R395</f>
        <v>0</v>
      </c>
      <c r="J392" s="51">
        <f>'RESUMEN TOTAL'!S395</f>
        <v>0</v>
      </c>
      <c r="K392" s="51">
        <f>'RESUMEN TOTAL'!T395</f>
        <v>0</v>
      </c>
      <c r="L392" s="51">
        <f>'RESUMEN TOTAL'!U395</f>
        <v>0</v>
      </c>
      <c r="M392" s="51">
        <f>'RESUMEN TOTAL'!V395</f>
        <v>0</v>
      </c>
      <c r="N392" s="51">
        <f>'RESUMEN TOTAL'!W395</f>
        <v>0</v>
      </c>
      <c r="O392" s="51">
        <f>'RESUMEN TOTAL'!X395</f>
        <v>0</v>
      </c>
      <c r="P392" s="51">
        <f>'RESUMEN TOTAL'!Y395</f>
        <v>0</v>
      </c>
      <c r="Q392" s="51">
        <f>'RESUMEN TOTAL'!Z395</f>
        <v>0</v>
      </c>
      <c r="R392" s="51">
        <f>'RESUMEN TOTAL'!AA395</f>
        <v>0</v>
      </c>
      <c r="S392" s="51">
        <f>'RESUMEN TOTAL'!AB395</f>
        <v>0</v>
      </c>
      <c r="T392" s="51">
        <f>'RESUMEN TOTAL'!AC395</f>
        <v>0</v>
      </c>
      <c r="U392" s="51">
        <f>'RESUMEN TOTAL'!AD395</f>
        <v>0</v>
      </c>
      <c r="V392" s="51">
        <f>'RESUMEN TOTAL'!AE395</f>
        <v>0</v>
      </c>
      <c r="W392" s="51">
        <f>'RESUMEN TOTAL'!AF395</f>
        <v>0</v>
      </c>
      <c r="X392" s="51">
        <f>'RESUMEN TOTAL'!AG395</f>
        <v>0</v>
      </c>
      <c r="Y392" s="51">
        <f>'RESUMEN TOTAL'!AH395</f>
        <v>0</v>
      </c>
      <c r="Z392" s="51">
        <f>'RESUMEN TOTAL'!AI395</f>
        <v>0</v>
      </c>
      <c r="AA392" s="51">
        <f>'RESUMEN TOTAL'!AJ395</f>
        <v>0</v>
      </c>
      <c r="AB392" s="51">
        <f>'RESUMEN TOTAL'!AK395</f>
        <v>0</v>
      </c>
      <c r="AC392" s="51">
        <f>'RESUMEN TOTAL'!AL395</f>
        <v>0</v>
      </c>
      <c r="AD392" s="51">
        <f>'RESUMEN TOTAL'!AM395</f>
        <v>0</v>
      </c>
      <c r="AE392" s="51">
        <f>'RESUMEN TOTAL'!AN395</f>
        <v>0</v>
      </c>
      <c r="AF392" s="51">
        <f>'RESUMEN TOTAL'!AO395</f>
        <v>0</v>
      </c>
      <c r="AG392" s="51">
        <f>'RESUMEN TOTAL'!AP395</f>
        <v>0</v>
      </c>
      <c r="AH392" s="51">
        <f>'RESUMEN TOTAL'!AQ395</f>
        <v>0</v>
      </c>
      <c r="AI392" s="51">
        <f>'RESUMEN TOTAL'!AR395</f>
        <v>0</v>
      </c>
    </row>
    <row r="393" spans="1:35" x14ac:dyDescent="0.25">
      <c r="A393" s="51" t="str">
        <f>'RESUMEN TOTAL'!A396</f>
        <v>ZEBALLOS</v>
      </c>
      <c r="B393" s="51" t="str">
        <f>'RESUMEN TOTAL'!B396</f>
        <v>ZEB04</v>
      </c>
      <c r="C393" s="51" t="str">
        <f>'RESUMEN TOTAL'!D396</f>
        <v>THEVENET Y DIAGONAL GRANADEROS</v>
      </c>
      <c r="D393" s="51" t="str">
        <f>'RESUMEN TOTAL'!E396</f>
        <v>DOMO</v>
      </c>
      <c r="E393" s="51" t="str">
        <f>'RESUMEN TOTAL'!F396</f>
        <v>Radio</v>
      </c>
      <c r="F393" s="51">
        <f>'RESUMEN TOTAL'!O396</f>
        <v>0</v>
      </c>
      <c r="G393" s="51">
        <f>'RESUMEN TOTAL'!P396</f>
        <v>0</v>
      </c>
      <c r="H393" s="51">
        <f>'RESUMEN TOTAL'!Q396</f>
        <v>0</v>
      </c>
      <c r="I393" s="51">
        <f>'RESUMEN TOTAL'!R396</f>
        <v>0</v>
      </c>
      <c r="J393" s="51">
        <f>'RESUMEN TOTAL'!S396</f>
        <v>0</v>
      </c>
      <c r="K393" s="51">
        <f>'RESUMEN TOTAL'!T396</f>
        <v>0</v>
      </c>
      <c r="L393" s="51">
        <f>'RESUMEN TOTAL'!U396</f>
        <v>0</v>
      </c>
      <c r="M393" s="51">
        <f>'RESUMEN TOTAL'!V396</f>
        <v>0</v>
      </c>
      <c r="N393" s="51">
        <f>'RESUMEN TOTAL'!W396</f>
        <v>0</v>
      </c>
      <c r="O393" s="51">
        <f>'RESUMEN TOTAL'!X396</f>
        <v>0</v>
      </c>
      <c r="P393" s="51">
        <f>'RESUMEN TOTAL'!Y396</f>
        <v>0</v>
      </c>
      <c r="Q393" s="51">
        <f>'RESUMEN TOTAL'!Z396</f>
        <v>0</v>
      </c>
      <c r="R393" s="51">
        <f>'RESUMEN TOTAL'!AA396</f>
        <v>0</v>
      </c>
      <c r="S393" s="51">
        <f>'RESUMEN TOTAL'!AB396</f>
        <v>0</v>
      </c>
      <c r="T393" s="51">
        <f>'RESUMEN TOTAL'!AC396</f>
        <v>0</v>
      </c>
      <c r="U393" s="51">
        <f>'RESUMEN TOTAL'!AD396</f>
        <v>0</v>
      </c>
      <c r="V393" s="51">
        <f>'RESUMEN TOTAL'!AE396</f>
        <v>0</v>
      </c>
      <c r="W393" s="51">
        <f>'RESUMEN TOTAL'!AF396</f>
        <v>0</v>
      </c>
      <c r="X393" s="51">
        <f>'RESUMEN TOTAL'!AG396</f>
        <v>0</v>
      </c>
      <c r="Y393" s="51">
        <f>'RESUMEN TOTAL'!AH396</f>
        <v>0</v>
      </c>
      <c r="Z393" s="51">
        <f>'RESUMEN TOTAL'!AI396</f>
        <v>0</v>
      </c>
      <c r="AA393" s="51">
        <f>'RESUMEN TOTAL'!AJ396</f>
        <v>0</v>
      </c>
      <c r="AB393" s="51">
        <f>'RESUMEN TOTAL'!AK396</f>
        <v>0</v>
      </c>
      <c r="AC393" s="51">
        <f>'RESUMEN TOTAL'!AL396</f>
        <v>0</v>
      </c>
      <c r="AD393" s="51">
        <f>'RESUMEN TOTAL'!AM396</f>
        <v>0</v>
      </c>
      <c r="AE393" s="51">
        <f>'RESUMEN TOTAL'!AN396</f>
        <v>0</v>
      </c>
      <c r="AF393" s="51">
        <f>'RESUMEN TOTAL'!AO396</f>
        <v>0</v>
      </c>
      <c r="AG393" s="51">
        <f>'RESUMEN TOTAL'!AP396</f>
        <v>0</v>
      </c>
      <c r="AH393" s="51">
        <f>'RESUMEN TOTAL'!AQ396</f>
        <v>0</v>
      </c>
      <c r="AI393" s="51">
        <f>'RESUMEN TOTAL'!AR396</f>
        <v>0</v>
      </c>
    </row>
    <row r="394" spans="1:35" x14ac:dyDescent="0.25">
      <c r="A394" s="51">
        <f>'RESUMEN TOTAL'!A397</f>
        <v>0</v>
      </c>
      <c r="B394" s="51">
        <f>'RESUMEN TOTAL'!B397</f>
        <v>0</v>
      </c>
      <c r="C394" s="51">
        <f>'RESUMEN TOTAL'!D397</f>
        <v>0</v>
      </c>
      <c r="D394" s="51">
        <f>'RESUMEN TOTAL'!E397</f>
        <v>0</v>
      </c>
      <c r="E394" s="51">
        <f>'RESUMEN TOTAL'!F397</f>
        <v>0</v>
      </c>
      <c r="F394" s="51">
        <f>'RESUMEN TOTAL'!O397</f>
        <v>0</v>
      </c>
      <c r="G394" s="51">
        <f>'RESUMEN TOTAL'!P397</f>
        <v>0</v>
      </c>
      <c r="H394" s="51">
        <f>'RESUMEN TOTAL'!Q397</f>
        <v>0</v>
      </c>
      <c r="I394" s="51">
        <f>'RESUMEN TOTAL'!R397</f>
        <v>0</v>
      </c>
      <c r="J394" s="51">
        <f>'RESUMEN TOTAL'!S397</f>
        <v>0</v>
      </c>
      <c r="K394" s="51">
        <f>'RESUMEN TOTAL'!T397</f>
        <v>0</v>
      </c>
      <c r="L394" s="51">
        <f>'RESUMEN TOTAL'!U397</f>
        <v>0</v>
      </c>
      <c r="M394" s="51">
        <f>'RESUMEN TOTAL'!V397</f>
        <v>0</v>
      </c>
      <c r="N394" s="51">
        <f>'RESUMEN TOTAL'!W397</f>
        <v>0</v>
      </c>
      <c r="O394" s="51">
        <f>'RESUMEN TOTAL'!X397</f>
        <v>0</v>
      </c>
      <c r="P394" s="51">
        <f>'RESUMEN TOTAL'!Y397</f>
        <v>0</v>
      </c>
      <c r="Q394" s="51">
        <f>'RESUMEN TOTAL'!Z397</f>
        <v>0</v>
      </c>
      <c r="R394" s="51">
        <f>'RESUMEN TOTAL'!AA397</f>
        <v>0</v>
      </c>
      <c r="S394" s="51">
        <f>'RESUMEN TOTAL'!AB397</f>
        <v>0</v>
      </c>
      <c r="T394" s="51">
        <f>'RESUMEN TOTAL'!AC397</f>
        <v>0</v>
      </c>
      <c r="U394" s="51">
        <f>'RESUMEN TOTAL'!AD397</f>
        <v>0</v>
      </c>
      <c r="V394" s="51">
        <f>'RESUMEN TOTAL'!AE397</f>
        <v>0</v>
      </c>
      <c r="W394" s="51">
        <f>'RESUMEN TOTAL'!AF397</f>
        <v>0</v>
      </c>
      <c r="X394" s="51">
        <f>'RESUMEN TOTAL'!AG397</f>
        <v>0</v>
      </c>
      <c r="Y394" s="51">
        <f>'RESUMEN TOTAL'!AH397</f>
        <v>0</v>
      </c>
      <c r="Z394" s="51">
        <f>'RESUMEN TOTAL'!AI397</f>
        <v>0</v>
      </c>
      <c r="AA394" s="51">
        <f>'RESUMEN TOTAL'!AJ397</f>
        <v>0</v>
      </c>
      <c r="AB394" s="51">
        <f>'RESUMEN TOTAL'!AK397</f>
        <v>0</v>
      </c>
      <c r="AC394" s="51">
        <f>'RESUMEN TOTAL'!AL397</f>
        <v>0</v>
      </c>
      <c r="AD394" s="51">
        <f>'RESUMEN TOTAL'!AM397</f>
        <v>0</v>
      </c>
      <c r="AE394" s="51">
        <f>'RESUMEN TOTAL'!AN397</f>
        <v>0</v>
      </c>
      <c r="AF394" s="51">
        <f>'RESUMEN TOTAL'!AO397</f>
        <v>0</v>
      </c>
      <c r="AG394" s="51">
        <f>'RESUMEN TOTAL'!AP397</f>
        <v>0</v>
      </c>
      <c r="AH394" s="51">
        <f>'RESUMEN TOTAL'!AQ397</f>
        <v>0</v>
      </c>
      <c r="AI394" s="51">
        <f>'RESUMEN TOTAL'!AR397</f>
        <v>0</v>
      </c>
    </row>
    <row r="395" spans="1:35" x14ac:dyDescent="0.25">
      <c r="A395" s="51">
        <f>'RESUMEN TOTAL'!A398</f>
        <v>0</v>
      </c>
      <c r="B395" s="51">
        <f>'RESUMEN TOTAL'!B398</f>
        <v>0</v>
      </c>
      <c r="C395" s="51">
        <f>'RESUMEN TOTAL'!D398</f>
        <v>0</v>
      </c>
      <c r="D395" s="51">
        <f>'RESUMEN TOTAL'!E398</f>
        <v>0</v>
      </c>
      <c r="E395" s="51">
        <f>'RESUMEN TOTAL'!F398</f>
        <v>0</v>
      </c>
      <c r="F395" s="51">
        <f>'RESUMEN TOTAL'!O398</f>
        <v>0</v>
      </c>
      <c r="G395" s="51">
        <f>'RESUMEN TOTAL'!P398</f>
        <v>0</v>
      </c>
      <c r="H395" s="51">
        <f>'RESUMEN TOTAL'!Q398</f>
        <v>0</v>
      </c>
      <c r="I395" s="51">
        <f>'RESUMEN TOTAL'!R398</f>
        <v>0</v>
      </c>
      <c r="J395" s="51">
        <f>'RESUMEN TOTAL'!S398</f>
        <v>0</v>
      </c>
      <c r="K395" s="51">
        <f>'RESUMEN TOTAL'!T398</f>
        <v>0</v>
      </c>
      <c r="L395" s="51">
        <f>'RESUMEN TOTAL'!U398</f>
        <v>0</v>
      </c>
      <c r="M395" s="51">
        <f>'RESUMEN TOTAL'!V398</f>
        <v>0</v>
      </c>
      <c r="N395" s="51">
        <f>'RESUMEN TOTAL'!W398</f>
        <v>0</v>
      </c>
      <c r="O395" s="51">
        <f>'RESUMEN TOTAL'!X398</f>
        <v>0</v>
      </c>
      <c r="P395" s="51">
        <f>'RESUMEN TOTAL'!Y398</f>
        <v>0</v>
      </c>
      <c r="Q395" s="51">
        <f>'RESUMEN TOTAL'!Z398</f>
        <v>0</v>
      </c>
      <c r="R395" s="51">
        <f>'RESUMEN TOTAL'!AA398</f>
        <v>0</v>
      </c>
      <c r="S395" s="51">
        <f>'RESUMEN TOTAL'!AB398</f>
        <v>0</v>
      </c>
      <c r="T395" s="51">
        <f>'RESUMEN TOTAL'!AC398</f>
        <v>0</v>
      </c>
      <c r="U395" s="51">
        <f>'RESUMEN TOTAL'!AD398</f>
        <v>0</v>
      </c>
      <c r="V395" s="51">
        <f>'RESUMEN TOTAL'!AE398</f>
        <v>0</v>
      </c>
      <c r="W395" s="51">
        <f>'RESUMEN TOTAL'!AF398</f>
        <v>0</v>
      </c>
      <c r="X395" s="51">
        <f>'RESUMEN TOTAL'!AG398</f>
        <v>0</v>
      </c>
      <c r="Y395" s="51">
        <f>'RESUMEN TOTAL'!AH398</f>
        <v>0</v>
      </c>
      <c r="Z395" s="51">
        <f>'RESUMEN TOTAL'!AI398</f>
        <v>0</v>
      </c>
      <c r="AA395" s="51">
        <f>'RESUMEN TOTAL'!AJ398</f>
        <v>0</v>
      </c>
      <c r="AB395" s="51">
        <f>'RESUMEN TOTAL'!AK398</f>
        <v>0</v>
      </c>
      <c r="AC395" s="51">
        <f>'RESUMEN TOTAL'!AL398</f>
        <v>0</v>
      </c>
      <c r="AD395" s="51">
        <f>'RESUMEN TOTAL'!AM398</f>
        <v>0</v>
      </c>
      <c r="AE395" s="51">
        <f>'RESUMEN TOTAL'!AN398</f>
        <v>0</v>
      </c>
      <c r="AF395" s="51">
        <f>'RESUMEN TOTAL'!AO398</f>
        <v>0</v>
      </c>
      <c r="AG395" s="51">
        <f>'RESUMEN TOTAL'!AP398</f>
        <v>0</v>
      </c>
      <c r="AH395" s="51">
        <f>'RESUMEN TOTAL'!AQ398</f>
        <v>0</v>
      </c>
      <c r="AI395" s="51">
        <f>'RESUMEN TOTAL'!AR398</f>
        <v>0</v>
      </c>
    </row>
    <row r="396" spans="1:35" x14ac:dyDescent="0.25">
      <c r="A396" s="51">
        <f>'RESUMEN TOTAL'!A399</f>
        <v>0</v>
      </c>
      <c r="B396" s="51">
        <f>'RESUMEN TOTAL'!B399</f>
        <v>0</v>
      </c>
      <c r="C396" s="51">
        <f>'RESUMEN TOTAL'!D399</f>
        <v>0</v>
      </c>
      <c r="D396" s="51">
        <f>'RESUMEN TOTAL'!E399</f>
        <v>0</v>
      </c>
      <c r="E396" s="51">
        <f>'RESUMEN TOTAL'!F399</f>
        <v>0</v>
      </c>
      <c r="F396" s="51">
        <f>'RESUMEN TOTAL'!O399</f>
        <v>0</v>
      </c>
      <c r="G396" s="51">
        <f>'RESUMEN TOTAL'!P399</f>
        <v>0</v>
      </c>
      <c r="H396" s="51">
        <f>'RESUMEN TOTAL'!Q399</f>
        <v>0</v>
      </c>
      <c r="I396" s="51">
        <f>'RESUMEN TOTAL'!R399</f>
        <v>0</v>
      </c>
      <c r="J396" s="51">
        <f>'RESUMEN TOTAL'!S399</f>
        <v>0</v>
      </c>
      <c r="K396" s="51">
        <f>'RESUMEN TOTAL'!T399</f>
        <v>0</v>
      </c>
      <c r="L396" s="51">
        <f>'RESUMEN TOTAL'!U399</f>
        <v>0</v>
      </c>
      <c r="M396" s="51">
        <f>'RESUMEN TOTAL'!V399</f>
        <v>0</v>
      </c>
      <c r="N396" s="51">
        <f>'RESUMEN TOTAL'!W399</f>
        <v>0</v>
      </c>
      <c r="O396" s="51">
        <f>'RESUMEN TOTAL'!X399</f>
        <v>0</v>
      </c>
      <c r="P396" s="51">
        <f>'RESUMEN TOTAL'!Y399</f>
        <v>0</v>
      </c>
      <c r="Q396" s="51">
        <f>'RESUMEN TOTAL'!Z399</f>
        <v>0</v>
      </c>
      <c r="R396" s="51">
        <f>'RESUMEN TOTAL'!AA399</f>
        <v>0</v>
      </c>
      <c r="S396" s="51">
        <f>'RESUMEN TOTAL'!AB399</f>
        <v>0</v>
      </c>
      <c r="T396" s="51">
        <f>'RESUMEN TOTAL'!AC399</f>
        <v>0</v>
      </c>
      <c r="U396" s="51">
        <f>'RESUMEN TOTAL'!AD399</f>
        <v>0</v>
      </c>
      <c r="V396" s="51">
        <f>'RESUMEN TOTAL'!AE399</f>
        <v>0</v>
      </c>
      <c r="W396" s="51">
        <f>'RESUMEN TOTAL'!AF399</f>
        <v>0</v>
      </c>
      <c r="X396" s="51">
        <f>'RESUMEN TOTAL'!AG399</f>
        <v>0</v>
      </c>
      <c r="Y396" s="51">
        <f>'RESUMEN TOTAL'!AH399</f>
        <v>0</v>
      </c>
      <c r="Z396" s="51">
        <f>'RESUMEN TOTAL'!AI399</f>
        <v>0</v>
      </c>
      <c r="AA396" s="51">
        <f>'RESUMEN TOTAL'!AJ399</f>
        <v>0</v>
      </c>
      <c r="AB396" s="51">
        <f>'RESUMEN TOTAL'!AK399</f>
        <v>0</v>
      </c>
      <c r="AC396" s="51">
        <f>'RESUMEN TOTAL'!AL399</f>
        <v>0</v>
      </c>
      <c r="AD396" s="51">
        <f>'RESUMEN TOTAL'!AM399</f>
        <v>0</v>
      </c>
      <c r="AE396" s="51">
        <f>'RESUMEN TOTAL'!AN399</f>
        <v>0</v>
      </c>
      <c r="AF396" s="51">
        <f>'RESUMEN TOTAL'!AO399</f>
        <v>0</v>
      </c>
      <c r="AG396" s="51">
        <f>'RESUMEN TOTAL'!AP399</f>
        <v>0</v>
      </c>
      <c r="AH396" s="51">
        <f>'RESUMEN TOTAL'!AQ399</f>
        <v>0</v>
      </c>
      <c r="AI396" s="51">
        <f>'RESUMEN TOTAL'!AR399</f>
        <v>0</v>
      </c>
    </row>
    <row r="397" spans="1:35" x14ac:dyDescent="0.25">
      <c r="A397" s="51">
        <f>'RESUMEN TOTAL'!A400</f>
        <v>0</v>
      </c>
      <c r="B397" s="51">
        <f>'RESUMEN TOTAL'!B400</f>
        <v>0</v>
      </c>
      <c r="C397" s="51">
        <f>'RESUMEN TOTAL'!D400</f>
        <v>0</v>
      </c>
      <c r="D397" s="51">
        <f>'RESUMEN TOTAL'!E400</f>
        <v>0</v>
      </c>
      <c r="E397" s="51">
        <f>'RESUMEN TOTAL'!F400</f>
        <v>0</v>
      </c>
      <c r="F397" s="51">
        <f>'RESUMEN TOTAL'!O400</f>
        <v>0</v>
      </c>
      <c r="G397" s="51">
        <f>'RESUMEN TOTAL'!P400</f>
        <v>0</v>
      </c>
      <c r="H397" s="51">
        <f>'RESUMEN TOTAL'!Q400</f>
        <v>0</v>
      </c>
      <c r="I397" s="51">
        <f>'RESUMEN TOTAL'!R400</f>
        <v>0</v>
      </c>
      <c r="J397" s="51">
        <f>'RESUMEN TOTAL'!S400</f>
        <v>0</v>
      </c>
      <c r="K397" s="51">
        <f>'RESUMEN TOTAL'!T400</f>
        <v>0</v>
      </c>
      <c r="L397" s="51">
        <f>'RESUMEN TOTAL'!U400</f>
        <v>0</v>
      </c>
      <c r="M397" s="51">
        <f>'RESUMEN TOTAL'!V400</f>
        <v>0</v>
      </c>
      <c r="N397" s="51">
        <f>'RESUMEN TOTAL'!W400</f>
        <v>0</v>
      </c>
      <c r="O397" s="51">
        <f>'RESUMEN TOTAL'!X400</f>
        <v>0</v>
      </c>
      <c r="P397" s="51">
        <f>'RESUMEN TOTAL'!Y400</f>
        <v>0</v>
      </c>
      <c r="Q397" s="51">
        <f>'RESUMEN TOTAL'!Z400</f>
        <v>0</v>
      </c>
      <c r="R397" s="51">
        <f>'RESUMEN TOTAL'!AA400</f>
        <v>0</v>
      </c>
      <c r="S397" s="51">
        <f>'RESUMEN TOTAL'!AB400</f>
        <v>0</v>
      </c>
      <c r="T397" s="51">
        <f>'RESUMEN TOTAL'!AC400</f>
        <v>0</v>
      </c>
      <c r="U397" s="51">
        <f>'RESUMEN TOTAL'!AD400</f>
        <v>0</v>
      </c>
      <c r="V397" s="51">
        <f>'RESUMEN TOTAL'!AE400</f>
        <v>0</v>
      </c>
      <c r="W397" s="51">
        <f>'RESUMEN TOTAL'!AF400</f>
        <v>0</v>
      </c>
      <c r="X397" s="51">
        <f>'RESUMEN TOTAL'!AG400</f>
        <v>0</v>
      </c>
      <c r="Y397" s="51">
        <f>'RESUMEN TOTAL'!AH400</f>
        <v>0</v>
      </c>
      <c r="Z397" s="51">
        <f>'RESUMEN TOTAL'!AI400</f>
        <v>0</v>
      </c>
      <c r="AA397" s="51">
        <f>'RESUMEN TOTAL'!AJ400</f>
        <v>0</v>
      </c>
      <c r="AB397" s="51">
        <f>'RESUMEN TOTAL'!AK400</f>
        <v>0</v>
      </c>
      <c r="AC397" s="51">
        <f>'RESUMEN TOTAL'!AL400</f>
        <v>0</v>
      </c>
      <c r="AD397" s="51">
        <f>'RESUMEN TOTAL'!AM400</f>
        <v>0</v>
      </c>
      <c r="AE397" s="51">
        <f>'RESUMEN TOTAL'!AN400</f>
        <v>0</v>
      </c>
      <c r="AF397" s="51">
        <f>'RESUMEN TOTAL'!AO400</f>
        <v>0</v>
      </c>
      <c r="AG397" s="51">
        <f>'RESUMEN TOTAL'!AP400</f>
        <v>0</v>
      </c>
      <c r="AH397" s="51">
        <f>'RESUMEN TOTAL'!AQ400</f>
        <v>0</v>
      </c>
      <c r="AI397" s="51">
        <f>'RESUMEN TOTAL'!AR400</f>
        <v>0</v>
      </c>
    </row>
    <row r="398" spans="1:35" x14ac:dyDescent="0.25">
      <c r="A398" s="51">
        <f>'RESUMEN TOTAL'!A401</f>
        <v>0</v>
      </c>
      <c r="B398" s="51">
        <f>'RESUMEN TOTAL'!B401</f>
        <v>0</v>
      </c>
      <c r="C398" s="51">
        <f>'RESUMEN TOTAL'!D401</f>
        <v>0</v>
      </c>
      <c r="D398" s="51">
        <f>'RESUMEN TOTAL'!E401</f>
        <v>0</v>
      </c>
      <c r="E398" s="51">
        <f>'RESUMEN TOTAL'!F401</f>
        <v>0</v>
      </c>
      <c r="F398" s="51">
        <f>'RESUMEN TOTAL'!O401</f>
        <v>0</v>
      </c>
      <c r="G398" s="51">
        <f>'RESUMEN TOTAL'!P401</f>
        <v>0</v>
      </c>
      <c r="H398" s="51">
        <f>'RESUMEN TOTAL'!Q401</f>
        <v>0</v>
      </c>
      <c r="I398" s="51">
        <f>'RESUMEN TOTAL'!R401</f>
        <v>0</v>
      </c>
      <c r="J398" s="51">
        <f>'RESUMEN TOTAL'!S401</f>
        <v>0</v>
      </c>
      <c r="K398" s="51">
        <f>'RESUMEN TOTAL'!T401</f>
        <v>0</v>
      </c>
      <c r="L398" s="51">
        <f>'RESUMEN TOTAL'!U401</f>
        <v>0</v>
      </c>
      <c r="M398" s="51">
        <f>'RESUMEN TOTAL'!V401</f>
        <v>0</v>
      </c>
      <c r="N398" s="51">
        <f>'RESUMEN TOTAL'!W401</f>
        <v>0</v>
      </c>
      <c r="O398" s="51">
        <f>'RESUMEN TOTAL'!X401</f>
        <v>0</v>
      </c>
      <c r="P398" s="51">
        <f>'RESUMEN TOTAL'!Y401</f>
        <v>0</v>
      </c>
      <c r="Q398" s="51">
        <f>'RESUMEN TOTAL'!Z401</f>
        <v>0</v>
      </c>
      <c r="R398" s="51">
        <f>'RESUMEN TOTAL'!AA401</f>
        <v>0</v>
      </c>
      <c r="S398" s="51">
        <f>'RESUMEN TOTAL'!AB401</f>
        <v>0</v>
      </c>
      <c r="T398" s="51">
        <f>'RESUMEN TOTAL'!AC401</f>
        <v>0</v>
      </c>
      <c r="U398" s="51">
        <f>'RESUMEN TOTAL'!AD401</f>
        <v>0</v>
      </c>
      <c r="V398" s="51">
        <f>'RESUMEN TOTAL'!AE401</f>
        <v>0</v>
      </c>
      <c r="W398" s="51">
        <f>'RESUMEN TOTAL'!AF401</f>
        <v>0</v>
      </c>
      <c r="X398" s="51">
        <f>'RESUMEN TOTAL'!AG401</f>
        <v>0</v>
      </c>
      <c r="Y398" s="51">
        <f>'RESUMEN TOTAL'!AH401</f>
        <v>0</v>
      </c>
      <c r="Z398" s="51">
        <f>'RESUMEN TOTAL'!AI401</f>
        <v>0</v>
      </c>
      <c r="AA398" s="51">
        <f>'RESUMEN TOTAL'!AJ401</f>
        <v>0</v>
      </c>
      <c r="AB398" s="51">
        <f>'RESUMEN TOTAL'!AK401</f>
        <v>0</v>
      </c>
      <c r="AC398" s="51">
        <f>'RESUMEN TOTAL'!AL401</f>
        <v>0</v>
      </c>
      <c r="AD398" s="51">
        <f>'RESUMEN TOTAL'!AM401</f>
        <v>0</v>
      </c>
      <c r="AE398" s="51">
        <f>'RESUMEN TOTAL'!AN401</f>
        <v>0</v>
      </c>
      <c r="AF398" s="51">
        <f>'RESUMEN TOTAL'!AO401</f>
        <v>0</v>
      </c>
      <c r="AG398" s="51">
        <f>'RESUMEN TOTAL'!AP401</f>
        <v>0</v>
      </c>
      <c r="AH398" s="51">
        <f>'RESUMEN TOTAL'!AQ401</f>
        <v>0</v>
      </c>
      <c r="AI398" s="51">
        <f>'RESUMEN TOTAL'!AR401</f>
        <v>0</v>
      </c>
    </row>
    <row r="399" spans="1:35" x14ac:dyDescent="0.25">
      <c r="A399" s="51">
        <f>'RESUMEN TOTAL'!A402</f>
        <v>0</v>
      </c>
      <c r="B399" s="51">
        <f>'RESUMEN TOTAL'!B402</f>
        <v>0</v>
      </c>
      <c r="C399" s="51">
        <f>'RESUMEN TOTAL'!D402</f>
        <v>0</v>
      </c>
      <c r="D399" s="51">
        <f>'RESUMEN TOTAL'!E402</f>
        <v>0</v>
      </c>
      <c r="E399" s="51">
        <f>'RESUMEN TOTAL'!F402</f>
        <v>0</v>
      </c>
      <c r="F399" s="51">
        <f>'RESUMEN TOTAL'!O402</f>
        <v>0</v>
      </c>
      <c r="G399" s="51">
        <f>'RESUMEN TOTAL'!P402</f>
        <v>0</v>
      </c>
      <c r="H399" s="51">
        <f>'RESUMEN TOTAL'!Q402</f>
        <v>0</v>
      </c>
      <c r="I399" s="51">
        <f>'RESUMEN TOTAL'!R402</f>
        <v>0</v>
      </c>
      <c r="J399" s="51">
        <f>'RESUMEN TOTAL'!S402</f>
        <v>0</v>
      </c>
      <c r="K399" s="51">
        <f>'RESUMEN TOTAL'!T402</f>
        <v>0</v>
      </c>
      <c r="L399" s="51">
        <f>'RESUMEN TOTAL'!U402</f>
        <v>0</v>
      </c>
      <c r="M399" s="51">
        <f>'RESUMEN TOTAL'!V402</f>
        <v>0</v>
      </c>
      <c r="N399" s="51">
        <f>'RESUMEN TOTAL'!W402</f>
        <v>0</v>
      </c>
      <c r="O399" s="51">
        <f>'RESUMEN TOTAL'!X402</f>
        <v>0</v>
      </c>
      <c r="P399" s="51">
        <f>'RESUMEN TOTAL'!Y402</f>
        <v>0</v>
      </c>
      <c r="Q399" s="51">
        <f>'RESUMEN TOTAL'!Z402</f>
        <v>0</v>
      </c>
      <c r="R399" s="51">
        <f>'RESUMEN TOTAL'!AA402</f>
        <v>0</v>
      </c>
      <c r="S399" s="51">
        <f>'RESUMEN TOTAL'!AB402</f>
        <v>0</v>
      </c>
      <c r="T399" s="51">
        <f>'RESUMEN TOTAL'!AC402</f>
        <v>0</v>
      </c>
      <c r="U399" s="51">
        <f>'RESUMEN TOTAL'!AD402</f>
        <v>0</v>
      </c>
      <c r="V399" s="51">
        <f>'RESUMEN TOTAL'!AE402</f>
        <v>0</v>
      </c>
      <c r="W399" s="51">
        <f>'RESUMEN TOTAL'!AF402</f>
        <v>0</v>
      </c>
      <c r="X399" s="51">
        <f>'RESUMEN TOTAL'!AG402</f>
        <v>0</v>
      </c>
      <c r="Y399" s="51">
        <f>'RESUMEN TOTAL'!AH402</f>
        <v>0</v>
      </c>
      <c r="Z399" s="51">
        <f>'RESUMEN TOTAL'!AI402</f>
        <v>0</v>
      </c>
      <c r="AA399" s="51">
        <f>'RESUMEN TOTAL'!AJ402</f>
        <v>0</v>
      </c>
      <c r="AB399" s="51">
        <f>'RESUMEN TOTAL'!AK402</f>
        <v>0</v>
      </c>
      <c r="AC399" s="51">
        <f>'RESUMEN TOTAL'!AL402</f>
        <v>0</v>
      </c>
      <c r="AD399" s="51">
        <f>'RESUMEN TOTAL'!AM402</f>
        <v>0</v>
      </c>
      <c r="AE399" s="51">
        <f>'RESUMEN TOTAL'!AN402</f>
        <v>0</v>
      </c>
      <c r="AF399" s="51">
        <f>'RESUMEN TOTAL'!AO402</f>
        <v>0</v>
      </c>
      <c r="AG399" s="51">
        <f>'RESUMEN TOTAL'!AP402</f>
        <v>0</v>
      </c>
      <c r="AH399" s="51">
        <f>'RESUMEN TOTAL'!AQ402</f>
        <v>0</v>
      </c>
      <c r="AI399" s="51">
        <f>'RESUMEN TOTAL'!AR402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dimension ref="A1:AI401"/>
  <sheetViews>
    <sheetView workbookViewId="0">
      <pane xSplit="5" ySplit="2" topLeftCell="Z3" activePane="bottomRight" state="frozen"/>
      <selection pane="topRight" activeCell="F1" sqref="F1"/>
      <selection pane="bottomLeft" activeCell="A3" sqref="A3"/>
      <selection pane="bottomRight" activeCell="AK8" sqref="AK8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5" width="11.5703125" style="51"/>
  </cols>
  <sheetData>
    <row r="1" spans="1:35" ht="21" x14ac:dyDescent="0.35">
      <c r="E1" s="26" t="s">
        <v>821</v>
      </c>
      <c r="F1" s="26">
        <f>COUNTIF(F3:F400, "APAGADO")</f>
        <v>38</v>
      </c>
      <c r="G1" s="26">
        <f t="shared" ref="G1:AG1" si="0">COUNTIF(G3:G400, "APAGADO")</f>
        <v>41</v>
      </c>
      <c r="H1" s="26">
        <f t="shared" si="0"/>
        <v>31</v>
      </c>
      <c r="I1" s="26">
        <f t="shared" si="0"/>
        <v>34</v>
      </c>
      <c r="J1" s="26">
        <f t="shared" si="0"/>
        <v>30</v>
      </c>
      <c r="K1" s="26">
        <f t="shared" si="0"/>
        <v>52</v>
      </c>
      <c r="L1" s="26">
        <f t="shared" si="0"/>
        <v>73</v>
      </c>
      <c r="M1" s="26">
        <f t="shared" si="0"/>
        <v>0</v>
      </c>
      <c r="N1" s="26">
        <f t="shared" si="0"/>
        <v>0</v>
      </c>
      <c r="O1" s="26">
        <f t="shared" si="0"/>
        <v>0</v>
      </c>
      <c r="P1" s="26">
        <f t="shared" si="0"/>
        <v>0</v>
      </c>
      <c r="Q1" s="26">
        <f t="shared" si="0"/>
        <v>0</v>
      </c>
      <c r="R1" s="26">
        <f t="shared" si="0"/>
        <v>0</v>
      </c>
      <c r="S1" s="26">
        <f t="shared" si="0"/>
        <v>0</v>
      </c>
      <c r="T1" s="26">
        <f t="shared" si="0"/>
        <v>0</v>
      </c>
      <c r="U1" s="26">
        <f t="shared" si="0"/>
        <v>0</v>
      </c>
      <c r="V1" s="26">
        <f t="shared" si="0"/>
        <v>0</v>
      </c>
      <c r="W1" s="26">
        <f t="shared" si="0"/>
        <v>0</v>
      </c>
      <c r="X1" s="26">
        <f t="shared" si="0"/>
        <v>0</v>
      </c>
      <c r="Y1" s="26">
        <f t="shared" si="0"/>
        <v>0</v>
      </c>
      <c r="Z1" s="26">
        <f t="shared" si="0"/>
        <v>0</v>
      </c>
      <c r="AA1" s="26">
        <f t="shared" si="0"/>
        <v>0</v>
      </c>
      <c r="AB1" s="26">
        <f t="shared" si="0"/>
        <v>0</v>
      </c>
      <c r="AC1" s="26">
        <f t="shared" si="0"/>
        <v>0</v>
      </c>
      <c r="AD1" s="26">
        <f t="shared" si="0"/>
        <v>0</v>
      </c>
      <c r="AE1" s="26">
        <f t="shared" si="0"/>
        <v>0</v>
      </c>
      <c r="AF1" s="26">
        <f t="shared" si="0"/>
        <v>0</v>
      </c>
      <c r="AG1" s="26">
        <f t="shared" si="0"/>
        <v>0</v>
      </c>
      <c r="AH1" s="26">
        <f t="shared" ref="AH1:AI1" si="1">COUNTIF(AH3:AH400, "APAGADO")</f>
        <v>0</v>
      </c>
      <c r="AI1" s="26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56">
        <f>ESTADISTICA!F1</f>
        <v>44774</v>
      </c>
      <c r="G2" s="56">
        <f>ESTADISTICA!G1</f>
        <v>44775</v>
      </c>
      <c r="H2" s="56">
        <f>ESTADISTICA!H1</f>
        <v>44776</v>
      </c>
      <c r="I2" s="56">
        <f>ESTADISTICA!I1</f>
        <v>44777</v>
      </c>
      <c r="J2" s="56">
        <f>ESTADISTICA!J1</f>
        <v>44778</v>
      </c>
      <c r="K2" s="56">
        <f>ESTADISTICA!K1</f>
        <v>44779</v>
      </c>
      <c r="L2" s="56">
        <f>ESTADISTICA!L1</f>
        <v>44780</v>
      </c>
      <c r="M2" s="56">
        <f>ESTADISTICA!M1</f>
        <v>44781</v>
      </c>
      <c r="N2" s="56">
        <f>ESTADISTICA!N1</f>
        <v>44782</v>
      </c>
      <c r="O2" s="56">
        <f>ESTADISTICA!O1</f>
        <v>44783</v>
      </c>
      <c r="P2" s="56">
        <f>ESTADISTICA!P1</f>
        <v>44784</v>
      </c>
      <c r="Q2" s="56">
        <f>ESTADISTICA!Q1</f>
        <v>44785</v>
      </c>
      <c r="R2" s="56">
        <f>ESTADISTICA!R1</f>
        <v>44786</v>
      </c>
      <c r="S2" s="56">
        <f>ESTADISTICA!S1</f>
        <v>44787</v>
      </c>
      <c r="T2" s="56">
        <f>ESTADISTICA!T1</f>
        <v>44788</v>
      </c>
      <c r="U2" s="56">
        <f>ESTADISTICA!U1</f>
        <v>44789</v>
      </c>
      <c r="V2" s="56">
        <f>ESTADISTICA!V1</f>
        <v>44790</v>
      </c>
      <c r="W2" s="56">
        <f>ESTADISTICA!W1</f>
        <v>44791</v>
      </c>
      <c r="X2" s="56">
        <f>ESTADISTICA!X1</f>
        <v>44792</v>
      </c>
      <c r="Y2" s="56">
        <f>ESTADISTICA!Y1</f>
        <v>44793</v>
      </c>
      <c r="Z2" s="56">
        <f>ESTADISTICA!Z1</f>
        <v>44794</v>
      </c>
      <c r="AA2" s="56">
        <f>ESTADISTICA!AA1</f>
        <v>44795</v>
      </c>
      <c r="AB2" s="56">
        <f>ESTADISTICA!AB1</f>
        <v>44796</v>
      </c>
      <c r="AC2" s="56">
        <f>ESTADISTICA!AC1</f>
        <v>44797</v>
      </c>
      <c r="AD2" s="56">
        <f>ESTADISTICA!AD1</f>
        <v>44798</v>
      </c>
      <c r="AE2" s="56">
        <f>ESTADISTICA!AE1</f>
        <v>44799</v>
      </c>
      <c r="AF2" s="56">
        <f>ESTADISTICA!AF1</f>
        <v>44800</v>
      </c>
      <c r="AG2" s="56">
        <f>ESTADISTICA!AG1</f>
        <v>44801</v>
      </c>
      <c r="AH2" s="56">
        <f>ESTADISTICA!AH1</f>
        <v>44802</v>
      </c>
      <c r="AI2" s="56">
        <f>ESTADISTICA!AI1</f>
        <v>44803</v>
      </c>
    </row>
    <row r="3" spans="1:35" x14ac:dyDescent="0.25">
      <c r="A3" t="str">
        <f>ESTADISTICA!A2</f>
        <v>ALTAMIRA</v>
      </c>
      <c r="B3" t="str">
        <f>ESTADISTICA!B2</f>
        <v>ALT 03</v>
      </c>
      <c r="C3" t="str">
        <f>ESTADISTICA!C2</f>
        <v>Bombero Galarza y Necochea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 t="str">
        <f>ESTADISTICA!K2</f>
        <v>APAGADO</v>
      </c>
      <c r="L3" t="str">
        <f>ESTADISTICA!L2</f>
        <v>APAGADO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s="51">
        <f>ESTADISTICA!AH2</f>
        <v>0</v>
      </c>
      <c r="AI3" s="51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 04</v>
      </c>
      <c r="C4" t="str">
        <f>ESTADISTICA!C3</f>
        <v>Francia y Necochea</v>
      </c>
      <c r="D4" t="str">
        <f>ESTADISTICA!D3</f>
        <v>Domo</v>
      </c>
      <c r="E4" t="str">
        <f>ESTADISTICA!E3</f>
        <v>FIBRA OPTICA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 t="str">
        <f>ESTADISTICA!K3</f>
        <v>APAGADO</v>
      </c>
      <c r="L4" t="str">
        <f>ESTADISTICA!L3</f>
        <v>APAGADO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s="51">
        <f>ESTADISTICA!AH3</f>
        <v>0</v>
      </c>
      <c r="AI4" s="51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06</v>
      </c>
      <c r="C5" t="str">
        <f>ESTADISTICA!C4</f>
        <v>LOPE DE VEGA Y NECOCHEA</v>
      </c>
      <c r="D5" t="str">
        <f>ESTADISTICA!D4</f>
        <v>Domo</v>
      </c>
      <c r="E5" t="str">
        <f>ESTADISTICA!E4</f>
        <v>PTO A FO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 t="str">
        <f>ESTADISTICA!K4</f>
        <v>APAGADO</v>
      </c>
      <c r="L5" t="str">
        <f>ESTADISTICA!L4</f>
        <v>APAGADO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s="51">
        <f>ESTADISTICA!AH4</f>
        <v>0</v>
      </c>
      <c r="AI5" s="51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08</v>
      </c>
      <c r="C6" t="str">
        <f>ESTADISTICA!C5</f>
        <v>HUMAITA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 t="str">
        <f>ESTADISTICA!K5</f>
        <v>APAGADO</v>
      </c>
      <c r="L6" t="str">
        <f>ESTADISTICA!L5</f>
        <v>APAGADO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s="51">
        <f>ESTADISTICA!AH5</f>
        <v>0</v>
      </c>
      <c r="AI6" s="51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 09</v>
      </c>
      <c r="C7" t="str">
        <f>ESTADISTICA!C6</f>
        <v>NECOCHEA Y CURUPAITY</v>
      </c>
      <c r="D7" t="str">
        <f>ESTADISTICA!D6</f>
        <v>DOMO</v>
      </c>
      <c r="E7" t="str">
        <f>ESTADISTICA!E6</f>
        <v>Fibra Optica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 t="str">
        <f>ESTADISTICA!K6</f>
        <v>APAGADO</v>
      </c>
      <c r="L7" t="str">
        <f>ESTADISTICA!L6</f>
        <v>APAGADO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s="51">
        <f>ESTADISTICA!AH6</f>
        <v>0</v>
      </c>
      <c r="AI7" s="51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10</v>
      </c>
      <c r="C8" t="str">
        <f>ESTADISTICA!C7</f>
        <v>Calchaqui y Francia</v>
      </c>
      <c r="D8" t="str">
        <f>ESTADISTICA!D7</f>
        <v>Domo</v>
      </c>
      <c r="E8" t="str">
        <f>ESTADISTICA!E7</f>
        <v>Radio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s="51">
        <f>ESTADISTICA!AH7</f>
        <v>0</v>
      </c>
      <c r="AI8" s="51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s="51">
        <f>ESTADISTICA!AH8</f>
        <v>0</v>
      </c>
      <c r="AI9" s="51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PTO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s="51">
        <f>ESTADISTICA!AH9</f>
        <v>0</v>
      </c>
      <c r="AI10" s="51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ALT05</v>
      </c>
      <c r="C11" t="str">
        <f>ESTADISTICA!C10</f>
        <v>Av. Calchaqui y Bombero Galarza</v>
      </c>
      <c r="D11" t="str">
        <f>ESTADISTICA!D10</f>
        <v>Domo</v>
      </c>
      <c r="E11" t="str">
        <f>ESTADISTICA!E10</f>
        <v>PTO A FO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 s="51">
        <f>ESTADISTICA!AH10</f>
        <v>0</v>
      </c>
      <c r="AI11" s="5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ALT07</v>
      </c>
      <c r="C12" t="str">
        <f>ESTADISTICA!C11</f>
        <v>AV. CALCHAQUI Y AV. DEL TRABAJO</v>
      </c>
      <c r="D12" t="str">
        <f>ESTADISTICA!D11</f>
        <v>DOMO</v>
      </c>
      <c r="E12" t="str">
        <f>ESTADISTICA!E11</f>
        <v>PTO A FO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s="51">
        <f>ESTADISTICA!AH11</f>
        <v>0</v>
      </c>
      <c r="AI12" s="51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 t="str">
        <f>ESTADISTICA!G12</f>
        <v>APAGADO</v>
      </c>
      <c r="H13">
        <f>ESTADISTICA!H12</f>
        <v>0</v>
      </c>
      <c r="I13">
        <f>ESTADISTICA!I12</f>
        <v>0</v>
      </c>
      <c r="J13">
        <f>ESTADISTICA!J12</f>
        <v>0</v>
      </c>
      <c r="K13" t="str">
        <f>ESTADISTICA!K12</f>
        <v>APAGADO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s="51">
        <f>ESTADISTICA!AH12</f>
        <v>0</v>
      </c>
      <c r="AI13" s="51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 t="str">
        <f>ESTADISTICA!G13</f>
        <v>APAGADO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 s="51">
        <f>ESTADISTICA!AH13</f>
        <v>0</v>
      </c>
      <c r="AI14" s="51">
        <f>ESTADISTICA!AI13</f>
        <v>0</v>
      </c>
    </row>
    <row r="15" spans="1:35" x14ac:dyDescent="0.25">
      <c r="A15" t="str">
        <f>ESTADISTICA!A14</f>
        <v>CENTRO</v>
      </c>
      <c r="B15" t="str">
        <f>ESTADISTICA!B14</f>
        <v>CEN 05</v>
      </c>
      <c r="C15" t="str">
        <f>ESTADISTICA!C14</f>
        <v>Bocuzzi e/EspaÃ±a y San Martin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s="51">
        <f>ESTADISTICA!AH14</f>
        <v>0</v>
      </c>
      <c r="AI15" s="51">
        <f>ESTADISTICA!AI14</f>
        <v>0</v>
      </c>
    </row>
    <row r="16" spans="1:35" x14ac:dyDescent="0.25">
      <c r="A16" t="str">
        <f>ESTADISTICA!A15</f>
        <v>CENTRO</v>
      </c>
      <c r="B16" t="str">
        <f>ESTADISTICA!B15</f>
        <v>CEN 12</v>
      </c>
      <c r="C16" t="str">
        <f>ESTADISTICA!C15</f>
        <v>Monteagudo y Mitre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s="51">
        <f>ESTADISTICA!AH15</f>
        <v>0</v>
      </c>
      <c r="AI16" s="51">
        <f>ESTADISTICA!AI15</f>
        <v>0</v>
      </c>
    </row>
    <row r="17" spans="1:35" x14ac:dyDescent="0.25">
      <c r="A17" t="str">
        <f>ESTADISTICA!A16</f>
        <v>CENTRO</v>
      </c>
      <c r="B17" t="str">
        <f>ESTADISTICA!B16</f>
        <v>CEN 13</v>
      </c>
      <c r="C17" t="str">
        <f>ESTADISTICA!C16</f>
        <v>25 de Mayo y Maipu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s="51">
        <f>ESTADISTICA!AH16</f>
        <v>0</v>
      </c>
      <c r="AI17" s="51">
        <f>ESTADISTICA!AI16</f>
        <v>0</v>
      </c>
    </row>
    <row r="18" spans="1:35" x14ac:dyDescent="0.25">
      <c r="A18" t="str">
        <f>ESTADISTICA!A17</f>
        <v>CENTRO</v>
      </c>
      <c r="B18" t="str">
        <f>ESTADISTICA!B17</f>
        <v>CEN 37</v>
      </c>
      <c r="C18" t="str">
        <f>ESTADISTICA!C17</f>
        <v>Diagonal Granaderos y Monteagudo</v>
      </c>
      <c r="D18" t="str">
        <f>ESTADISTICA!D17</f>
        <v>Domo</v>
      </c>
      <c r="E18" t="str">
        <f>ESTADISTICA!E17</f>
        <v>Fibra Optica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s="51">
        <f>ESTADISTICA!AH17</f>
        <v>0</v>
      </c>
      <c r="AI18" s="51">
        <f>ESTADISTICA!AI17</f>
        <v>0</v>
      </c>
    </row>
    <row r="19" spans="1:35" x14ac:dyDescent="0.25">
      <c r="A19" t="str">
        <f>ESTADISTICA!A18</f>
        <v>CENTRO</v>
      </c>
      <c r="B19" t="str">
        <f>ESTADISTICA!B18</f>
        <v>CEN 50</v>
      </c>
      <c r="C19" t="str">
        <f>ESTADISTICA!C18</f>
        <v>Av. San Martin y Newbery</v>
      </c>
      <c r="D19" t="str">
        <f>ESTADISTICA!D18</f>
        <v>Domo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s="51">
        <f>ESTADISTICA!AH18</f>
        <v>0</v>
      </c>
      <c r="AI19" s="51">
        <f>ESTADISTICA!AI18</f>
        <v>0</v>
      </c>
    </row>
    <row r="20" spans="1:35" x14ac:dyDescent="0.25">
      <c r="A20" t="str">
        <f>ESTADISTICA!A19</f>
        <v>CENTRO</v>
      </c>
      <c r="B20" t="str">
        <f>ESTADISTICA!B19</f>
        <v>CEN 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s="51">
        <f>ESTADISTICA!AH19</f>
        <v>0</v>
      </c>
      <c r="AI20" s="51">
        <f>ESTADISTICA!AI19</f>
        <v>0</v>
      </c>
    </row>
    <row r="21" spans="1:35" x14ac:dyDescent="0.25">
      <c r="A21" t="str">
        <f>ESTADISTICA!A20</f>
        <v>CENTRO</v>
      </c>
      <c r="B21" t="str">
        <f>ESTADISTICA!B20</f>
        <v>CEN 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s="51">
        <f>ESTADISTICA!AH20</f>
        <v>0</v>
      </c>
      <c r="AI21" s="5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s="51">
        <f>ESTADISTICA!AH21</f>
        <v>0</v>
      </c>
      <c r="AI22" s="51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s="51">
        <f>ESTADISTICA!AH22</f>
        <v>0</v>
      </c>
      <c r="AI23" s="51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 t="str">
        <f>ESTADISTICA!K23</f>
        <v>APAGADO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s="51">
        <f>ESTADISTICA!AH23</f>
        <v>0</v>
      </c>
      <c r="AI24" s="51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s="51">
        <f>ESTADISTICA!AH24</f>
        <v>0</v>
      </c>
      <c r="AI25" s="51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s="51">
        <f>ESTADISTICA!AH25</f>
        <v>0</v>
      </c>
      <c r="AI26" s="51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 60</v>
      </c>
      <c r="C27" t="str">
        <f>ESTADISTICA!C26</f>
        <v>RECONQUISTA Y ILLIA</v>
      </c>
      <c r="D27" t="str">
        <f>ESTADISTICA!D26</f>
        <v>DOMO</v>
      </c>
      <c r="E27" t="str">
        <f>ESTADISTICA!E26</f>
        <v>PTO A FO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s="51">
        <f>ESTADISTICA!AH26</f>
        <v>0</v>
      </c>
      <c r="AI27" s="51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 61</v>
      </c>
      <c r="C28" t="str">
        <f>ESTADISTICA!C27</f>
        <v>BOUREL Y MAIPU</v>
      </c>
      <c r="D28" t="str">
        <f>ESTADISTICA!D27</f>
        <v>DOMO</v>
      </c>
      <c r="E28" t="str">
        <f>ESTADISTICA!E27</f>
        <v>Radio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s="51">
        <f>ESTADISTICA!AH27</f>
        <v>0</v>
      </c>
      <c r="AI28" s="51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 65</v>
      </c>
      <c r="C29" t="str">
        <f>ESTADISTICA!C28</f>
        <v>SAN MARTIN Y JUAN PERON</v>
      </c>
      <c r="D29" t="str">
        <f>ESTADISTICA!D28</f>
        <v>FIJA</v>
      </c>
      <c r="E29" t="str">
        <f>ESTADISTICA!E28</f>
        <v>Fibra Optica</v>
      </c>
      <c r="F29" t="str">
        <f>ESTADISTICA!F28</f>
        <v>APAGADO</v>
      </c>
      <c r="G29" t="str">
        <f>ESTADISTICA!G28</f>
        <v>APAGADO</v>
      </c>
      <c r="H29" t="str">
        <f>ESTADISTICA!H28</f>
        <v>APAGADO</v>
      </c>
      <c r="I29" t="str">
        <f>ESTADISTICA!I28</f>
        <v>APAGADO</v>
      </c>
      <c r="J29">
        <f>ESTADISTICA!J28</f>
        <v>0</v>
      </c>
      <c r="K29" t="str">
        <f>ESTADISTICA!K28</f>
        <v>APAGADO</v>
      </c>
      <c r="L29" t="str">
        <f>ESTADISTICA!L28</f>
        <v>APAGADO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s="51">
        <f>ESTADISTICA!AH28</f>
        <v>0</v>
      </c>
      <c r="AI29" s="51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 70</v>
      </c>
      <c r="C30" t="str">
        <f>ESTADISTICA!C29</f>
        <v>RIVADAVIA Y 25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s="51">
        <f>ESTADISTICA!AH29</f>
        <v>0</v>
      </c>
      <c r="AI30" s="51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 71</v>
      </c>
      <c r="C31" t="str">
        <f>ESTADISTICA!C30</f>
        <v>MORENO Y BOUREL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s="51">
        <f>ESTADISTICA!AH30</f>
        <v>0</v>
      </c>
      <c r="AI31" s="5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 72</v>
      </c>
      <c r="C32" t="str">
        <f>ESTADISTICA!C31</f>
        <v>MORENO Y 25 DE MAYO</v>
      </c>
      <c r="D32" t="str">
        <f>ESTADISTICA!D31</f>
        <v>Domo</v>
      </c>
      <c r="E32" t="str">
        <f>ESTADISTICA!E31</f>
        <v>Fibra Optica</v>
      </c>
      <c r="F32" t="str">
        <f>ESTADISTICA!F31</f>
        <v>APAGADO</v>
      </c>
      <c r="G32" t="str">
        <f>ESTADISTICA!G31</f>
        <v>APAGADO</v>
      </c>
      <c r="H32" t="str">
        <f>ESTADISTICA!H31</f>
        <v>APAGADO</v>
      </c>
      <c r="I32" t="str">
        <f>ESTADISTICA!I31</f>
        <v>APAGADO</v>
      </c>
      <c r="J32" t="str">
        <f>ESTADISTICA!J31</f>
        <v>APAGADO</v>
      </c>
      <c r="K32" t="str">
        <f>ESTADISTICA!K31</f>
        <v>APAGADO</v>
      </c>
      <c r="L32" t="str">
        <f>ESTADISTICA!L31</f>
        <v>APAGADO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s="51">
        <f>ESTADISTICA!AH31</f>
        <v>0</v>
      </c>
      <c r="AI32" s="51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75</v>
      </c>
      <c r="C33" t="str">
        <f>ESTADISTICA!C32</f>
        <v>25 DE MAYO Y CASTELLI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s="51">
        <f>ESTADISTICA!AH32</f>
        <v>0</v>
      </c>
      <c r="AI33" s="51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76</v>
      </c>
      <c r="C34" t="str">
        <f>ESTADISTICA!C33</f>
        <v>ESPAÃ‘A E/MITRE Y BOCUZZI</v>
      </c>
      <c r="D34" t="str">
        <f>ESTADISTICA!D33</f>
        <v>Fija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s="51">
        <f>ESTADISTICA!AH33</f>
        <v>0</v>
      </c>
      <c r="AI34" s="51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s="51">
        <f>ESTADISTICA!AH34</f>
        <v>0</v>
      </c>
      <c r="AI35" s="51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s="51">
        <f>ESTADISTICA!AH35</f>
        <v>0</v>
      </c>
      <c r="AI36" s="51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s="51">
        <f>ESTADISTICA!AH36</f>
        <v>0</v>
      </c>
      <c r="AI37" s="51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s="51">
        <f>ESTADISTICA!AH37</f>
        <v>0</v>
      </c>
      <c r="AI38" s="51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CEN06</v>
      </c>
      <c r="C39" t="str">
        <f>ESTADISTICA!C38</f>
        <v>Monteagudo y A.del Valle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s="51">
        <f>ESTADISTICA!AH38</f>
        <v>0</v>
      </c>
      <c r="AI39" s="51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CEN07</v>
      </c>
      <c r="C40" t="str">
        <f>ESTADISTICA!C39</f>
        <v>San Martin y GÃ¼emes</v>
      </c>
      <c r="D40" t="str">
        <f>ESTADISTICA!D39</f>
        <v>DOMO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s="51">
        <f>ESTADISTICA!AH39</f>
        <v>0</v>
      </c>
      <c r="AI40" s="51">
        <f>ESTADISTICA!AI39</f>
        <v>0</v>
      </c>
    </row>
    <row r="41" spans="1:35" x14ac:dyDescent="0.25">
      <c r="A41" t="str">
        <f>ESTADISTICA!A40</f>
        <v>CENTRO</v>
      </c>
      <c r="B41" t="str">
        <f>ESTADISTICA!B40</f>
        <v>CEN08</v>
      </c>
      <c r="C41" t="str">
        <f>ESTADISTICA!C40</f>
        <v>San Martin y Pte.PerÃ³n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s="51">
        <f>ESTADISTICA!AH40</f>
        <v>0</v>
      </c>
      <c r="AI41" s="5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CEN09</v>
      </c>
      <c r="C42" t="str">
        <f>ESTADISTICA!C41</f>
        <v>Chacabuco y 25 de Mayo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s="51">
        <f>ESTADISTICA!AH41</f>
        <v>0</v>
      </c>
      <c r="AI42" s="51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CEN10</v>
      </c>
      <c r="C43" t="str">
        <f>ESTADISTICA!C42</f>
        <v>Monteagudo y Pte. PerÃ³n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s="51">
        <f>ESTADISTICA!AH42</f>
        <v>0</v>
      </c>
      <c r="AI43" s="51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CEN11</v>
      </c>
      <c r="C44" t="str">
        <f>ESTADISTICA!C43</f>
        <v>Monteagudo y Bocuzzi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s="51">
        <f>ESTADISTICA!AH43</f>
        <v>0</v>
      </c>
      <c r="AI44" s="51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CEN14</v>
      </c>
      <c r="C45" t="str">
        <f>ESTADISTICA!C44</f>
        <v>Pte.PerÃ³n e/Pringles y Brown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s="51">
        <f>ESTADISTICA!AH44</f>
        <v>0</v>
      </c>
      <c r="AI45" s="51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CEN15</v>
      </c>
      <c r="C46" t="str">
        <f>ESTADISTICA!C45</f>
        <v>Alberdi y A.del Valle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s="51">
        <f>ESTADISTICA!AH45</f>
        <v>0</v>
      </c>
      <c r="AI46" s="51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CEN16</v>
      </c>
      <c r="C47" t="str">
        <f>ESTADISTICA!C46</f>
        <v>San Martin y Pte. Peron</v>
      </c>
      <c r="D47" t="str">
        <f>ESTADISTICA!D46</f>
        <v>Fija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s="51">
        <f>ESTADISTICA!AH46</f>
        <v>0</v>
      </c>
      <c r="AI47" s="51">
        <f>ESTADISTICA!AI46</f>
        <v>0</v>
      </c>
    </row>
    <row r="48" spans="1:35" x14ac:dyDescent="0.25">
      <c r="A48">
        <f>ESTADISTICA!A47</f>
        <v>0</v>
      </c>
      <c r="B48" t="str">
        <f>ESTADISTICA!B47</f>
        <v>CEN17</v>
      </c>
      <c r="C48" t="str">
        <f>ESTADISTICA!C47</f>
        <v>San Martin y Mitre</v>
      </c>
      <c r="D48" t="str">
        <f>ESTADISTICA!D47</f>
        <v>Domo</v>
      </c>
      <c r="E48" t="str">
        <f>ESTADISTICA!E47</f>
        <v>PTO A FO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s="51">
        <f>ESTADISTICA!AH47</f>
        <v>0</v>
      </c>
      <c r="AI48" s="51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CEN18</v>
      </c>
      <c r="C49" t="str">
        <f>ESTADISTICA!C48</f>
        <v>Monteagudo e/Mitre y Sallares</v>
      </c>
      <c r="D49" t="str">
        <f>ESTADISTICA!D48</f>
        <v>Fija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s="51">
        <f>ESTADISTICA!AH48</f>
        <v>0</v>
      </c>
      <c r="AI49" s="51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CEN19</v>
      </c>
      <c r="C50" t="str">
        <f>ESTADISTICA!C49</f>
        <v>Chacabuco y 25 de Mayo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s="51">
        <f>ESTADISTICA!AH49</f>
        <v>0</v>
      </c>
      <c r="AI50" s="51">
        <f>ESTADISTICA!AI49</f>
        <v>0</v>
      </c>
    </row>
    <row r="51" spans="1:35" x14ac:dyDescent="0.25">
      <c r="A51" t="str">
        <f>ESTADISTICA!A50</f>
        <v>LOMAS DE MONTEVERDE</v>
      </c>
      <c r="B51" t="str">
        <f>ESTADISTICA!B50</f>
        <v>CEN20</v>
      </c>
      <c r="C51" t="str">
        <f>ESTADISTICA!C50</f>
        <v>Pte. Illia y Las Heras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s="51">
        <f>ESTADISTICA!AH50</f>
        <v>0</v>
      </c>
      <c r="AI51" s="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CEN21</v>
      </c>
      <c r="C52" t="str">
        <f>ESTADISTICA!C51</f>
        <v>Misiones y Urquiza</v>
      </c>
      <c r="D52" t="str">
        <f>ESTADISTICA!D51</f>
        <v>Fija</v>
      </c>
      <c r="E52" t="str">
        <f>ESTADISTICA!E51</f>
        <v>Radio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s="51">
        <f>ESTADISTICA!AH51</f>
        <v>0</v>
      </c>
      <c r="AI52" s="51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CEN22</v>
      </c>
      <c r="C53" t="str">
        <f>ESTADISTICA!C52</f>
        <v>Las Heras y Chacabuco</v>
      </c>
      <c r="D53" t="str">
        <f>ESTADISTICA!D52</f>
        <v>Domo</v>
      </c>
      <c r="E53" t="str">
        <f>ESTADISTICA!E52</f>
        <v>Radio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s="51">
        <f>ESTADISTICA!AH52</f>
        <v>0</v>
      </c>
      <c r="AI53" s="51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CEN23</v>
      </c>
      <c r="C54" t="str">
        <f>ESTADISTICA!C53</f>
        <v>Sallares y Monteagudo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s="51">
        <f>ESTADISTICA!AH53</f>
        <v>0</v>
      </c>
      <c r="AI54" s="51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CEN24</v>
      </c>
      <c r="C55" t="str">
        <f>ESTADISTICA!C54</f>
        <v>Sallares y EspaÃ±a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s="51">
        <f>ESTADISTICA!AH54</f>
        <v>0</v>
      </c>
      <c r="AI55" s="51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CEN25</v>
      </c>
      <c r="C56" t="str">
        <f>ESTADISTICA!C55</f>
        <v>SAN MARTIN Y 9 DE JULIO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s="51">
        <f>ESTADISTICA!AH55</f>
        <v>0</v>
      </c>
      <c r="AI56" s="51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CEN26</v>
      </c>
      <c r="C57" t="str">
        <f>ESTADISTICA!C56</f>
        <v>Mitre y EspaÃ±a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s="51">
        <f>ESTADISTICA!AH56</f>
        <v>0</v>
      </c>
      <c r="AI57" s="51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CEN27</v>
      </c>
      <c r="C58" t="str">
        <f>ESTADISTICA!C57</f>
        <v>San Juan y EspaÃ±a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s="51">
        <f>ESTADISTICA!AH57</f>
        <v>0</v>
      </c>
      <c r="AI58" s="51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CEN28</v>
      </c>
      <c r="C59" t="str">
        <f>ESTADISTICA!C58</f>
        <v>Mitre y Alberdi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s="51">
        <f>ESTADISTICA!AH58</f>
        <v>0</v>
      </c>
      <c r="AI59" s="51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CEN29</v>
      </c>
      <c r="C60" t="str">
        <f>ESTADISTICA!C59</f>
        <v>Alberdi y San Juan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s="51">
        <f>ESTADISTICA!AH59</f>
        <v>0</v>
      </c>
      <c r="AI60" s="51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CEN30</v>
      </c>
      <c r="C61" t="str">
        <f>ESTADISTICA!C60</f>
        <v>Mitre y Pringles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s="51">
        <f>ESTADISTICA!AH60</f>
        <v>0</v>
      </c>
      <c r="AI61" s="5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CEN31</v>
      </c>
      <c r="C62" t="str">
        <f>ESTADISTICA!C61</f>
        <v>Mitre e/Monteagudo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s="51">
        <f>ESTADISTICA!AH61</f>
        <v>0</v>
      </c>
      <c r="AI62" s="51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CEN32</v>
      </c>
      <c r="C63" t="str">
        <f>ESTADISTICA!C62</f>
        <v>Aristobulo del Valle y EspaÃ±a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s="51">
        <f>ESTADISTICA!AH62</f>
        <v>0</v>
      </c>
      <c r="AI63" s="51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CEN33</v>
      </c>
      <c r="C64" t="str">
        <f>ESTADISTICA!C63</f>
        <v>Peron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s="51">
        <f>ESTADISTICA!AH63</f>
        <v>0</v>
      </c>
      <c r="AI64" s="51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CEN34</v>
      </c>
      <c r="C65" t="str">
        <f>ESTADISTICA!C64</f>
        <v>Peron y España</v>
      </c>
      <c r="D65" t="str">
        <f>ESTADISTICA!D64</f>
        <v>Domo</v>
      </c>
      <c r="E65" t="str">
        <f>ESTADISTICA!E64</f>
        <v>Fibra Optica</v>
      </c>
      <c r="F65" t="str">
        <f>ESTADISTICA!F64</f>
        <v>APAGADO</v>
      </c>
      <c r="G65" t="str">
        <f>ESTADISTICA!G64</f>
        <v>APAGADO</v>
      </c>
      <c r="H65" t="str">
        <f>ESTADISTICA!H64</f>
        <v>APAGADO</v>
      </c>
      <c r="I65" t="str">
        <f>ESTADISTICA!I64</f>
        <v>APAGADO</v>
      </c>
      <c r="J65" t="str">
        <f>ESTADISTICA!J64</f>
        <v>APAGADO</v>
      </c>
      <c r="K65" t="str">
        <f>ESTADISTICA!K64</f>
        <v>APAGADO</v>
      </c>
      <c r="L65" t="str">
        <f>ESTADISTICA!L64</f>
        <v>APAGADO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s="51">
        <f>ESTADISTICA!AH64</f>
        <v>0</v>
      </c>
      <c r="AI65" s="51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CEN35</v>
      </c>
      <c r="C66" t="str">
        <f>ESTADISTICA!C65</f>
        <v>España y Marmol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s="51">
        <f>ESTADISTICA!AH65</f>
        <v>0</v>
      </c>
      <c r="AI66" s="51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CEN36</v>
      </c>
      <c r="C67" t="str">
        <f>ESTADISTICA!C66</f>
        <v>España y 9 de Julio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s="51">
        <f>ESTADISTICA!AH66</f>
        <v>0</v>
      </c>
      <c r="AI67" s="51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CEN38</v>
      </c>
      <c r="C68" t="str">
        <f>ESTADISTICA!C67</f>
        <v>Diagonal Constituyentes y Almafuerte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s="51">
        <f>ESTADISTICA!AH67</f>
        <v>0</v>
      </c>
      <c r="AI68" s="51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CEN39</v>
      </c>
      <c r="C69" t="str">
        <f>ESTADISTICA!C68</f>
        <v>San Martin y Alem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s="51">
        <f>ESTADISTICA!AH68</f>
        <v>0</v>
      </c>
      <c r="AI69" s="51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CEN40</v>
      </c>
      <c r="C70" t="str">
        <f>ESTADISTICA!C69</f>
        <v>Contreras y Monteagudo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s="51">
        <f>ESTADISTICA!AH69</f>
        <v>0</v>
      </c>
      <c r="AI70" s="51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CEN41</v>
      </c>
      <c r="C71" t="str">
        <f>ESTADISTICA!C70</f>
        <v>Contreras y Alberdi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s="51">
        <f>ESTADISTICA!AH70</f>
        <v>0</v>
      </c>
      <c r="AI71" s="5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CEN42</v>
      </c>
      <c r="C72" t="str">
        <f>ESTADISTICA!C71</f>
        <v>Diagonal Constituyentes y Alem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s="51">
        <f>ESTADISTICA!AH71</f>
        <v>0</v>
      </c>
      <c r="AI72" s="51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CEN43</v>
      </c>
      <c r="C73" t="str">
        <f>ESTADISTICA!C72</f>
        <v>Sallares y Alberdi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s="51">
        <f>ESTADISTICA!AH72</f>
        <v>0</v>
      </c>
      <c r="AI73" s="51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CEN44</v>
      </c>
      <c r="C74" t="str">
        <f>ESTADISTICA!C73</f>
        <v>Mitre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s="51">
        <f>ESTADISTICA!AH73</f>
        <v>0</v>
      </c>
      <c r="AI74" s="51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CEN45 (fija 1)</v>
      </c>
      <c r="C75" t="str">
        <f>ESTADISTICA!C74</f>
        <v>EEUU Y MORENO</v>
      </c>
      <c r="D75" t="str">
        <f>ESTADISTICA!D74</f>
        <v>Fija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s="51">
        <f>ESTADISTICA!AH74</f>
        <v>0</v>
      </c>
      <c r="AI75" s="51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CEN46 (fija 2)</v>
      </c>
      <c r="C76" t="str">
        <f>ESTADISTICA!C75</f>
        <v>EEUU Y MORENO</v>
      </c>
      <c r="D76" t="str">
        <f>ESTADISTICA!D75</f>
        <v>Fija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s="51">
        <f>ESTADISTICA!AH75</f>
        <v>0</v>
      </c>
      <c r="AI76" s="51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CEN47</v>
      </c>
      <c r="C77" t="str">
        <f>ESTADISTICA!C76</f>
        <v>Sallares y Brown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s="51">
        <f>ESTADISTICA!AH76</f>
        <v>0</v>
      </c>
      <c r="AI77" s="51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CEN48</v>
      </c>
      <c r="C78" t="str">
        <f>ESTADISTICA!C77</f>
        <v>Velez Sarsfield y Las Heras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51">
        <f>ESTADISTICA!AH77</f>
        <v>0</v>
      </c>
      <c r="AI78" s="51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CEN49</v>
      </c>
      <c r="C79" t="str">
        <f>ESTADISTICA!C78</f>
        <v>Av. San Martin y Florencio Sanchez</v>
      </c>
      <c r="D79" t="str">
        <f>ESTADISTICA!D78</f>
        <v>Domo</v>
      </c>
      <c r="E79" t="str">
        <f>ESTADISTICA!E78</f>
        <v>Radio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s="51">
        <f>ESTADISTICA!AH78</f>
        <v>0</v>
      </c>
      <c r="AI79" s="51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CEN52</v>
      </c>
      <c r="C80" t="str">
        <f>ESTADISTICA!C79</f>
        <v>San Martin y Almafuerte (ex San Martin y Dorrego)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s="51">
        <f>ESTADISTICA!AH79</f>
        <v>0</v>
      </c>
      <c r="AI80" s="51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CEN59</v>
      </c>
      <c r="C81" t="str">
        <f>ESTADISTICA!C80</f>
        <v>CHACABUCO Y BOUREL</v>
      </c>
      <c r="D81" t="str">
        <f>ESTADISTICA!D80</f>
        <v>DOMO</v>
      </c>
      <c r="E81" t="str">
        <f>ESTADISTICA!E80</f>
        <v>Radio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s="51">
        <f>ESTADISTICA!AH80</f>
        <v>0</v>
      </c>
      <c r="AI81" s="5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CEN62</v>
      </c>
      <c r="C82" t="str">
        <f>ESTADISTICA!C81</f>
        <v>ESPAÃ‘A Y ALEM</v>
      </c>
      <c r="D82" t="str">
        <f>ESTADISTICA!D81</f>
        <v>DOMO</v>
      </c>
      <c r="E82" t="str">
        <f>ESTADISTICA!E81</f>
        <v>PTO A FO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s="51">
        <f>ESTADISTICA!AH81</f>
        <v>0</v>
      </c>
      <c r="AI82" s="51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CEN63</v>
      </c>
      <c r="C83" t="str">
        <f>ESTADISTICA!C82</f>
        <v>SAN MARTIN Y URQUIZA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s="51">
        <f>ESTADISTICA!AH82</f>
        <v>0</v>
      </c>
      <c r="AI83" s="51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CEN64</v>
      </c>
      <c r="C84" t="str">
        <f>ESTADISTICA!C83</f>
        <v>SAN MARTIN Y BOCCUZZI</v>
      </c>
      <c r="D84" t="str">
        <f>ESTADISTICA!D83</f>
        <v>FIJA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s="51">
        <f>ESTADISTICA!AH83</f>
        <v>0</v>
      </c>
      <c r="AI84" s="51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CEN66</v>
      </c>
      <c r="C85" t="str">
        <f>ESTADISTICA!C84</f>
        <v>SAN MARTIN Y JUAN PERON</v>
      </c>
      <c r="D85" t="str">
        <f>ESTADISTICA!D84</f>
        <v>FIJA</v>
      </c>
      <c r="E85" t="str">
        <f>ESTADISTICA!E84</f>
        <v>Fibra Optica</v>
      </c>
      <c r="F85" t="str">
        <f>ESTADISTICA!F84</f>
        <v>APAGADO</v>
      </c>
      <c r="G85" t="str">
        <f>ESTADISTICA!G84</f>
        <v>APAGADO</v>
      </c>
      <c r="H85" t="str">
        <f>ESTADISTICA!H84</f>
        <v>APAGADO</v>
      </c>
      <c r="I85" t="str">
        <f>ESTADISTICA!I84</f>
        <v>APAGADO</v>
      </c>
      <c r="J85">
        <f>ESTADISTICA!J84</f>
        <v>0</v>
      </c>
      <c r="K85" t="str">
        <f>ESTADISTICA!K84</f>
        <v>APAGADO</v>
      </c>
      <c r="L85" t="str">
        <f>ESTADISTICA!L84</f>
        <v>APAGADO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s="51">
        <f>ESTADISTICA!AH84</f>
        <v>0</v>
      </c>
      <c r="AI85" s="51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CEN67 (fija 1)</v>
      </c>
      <c r="C86" t="str">
        <f>ESTADISTICA!C85</f>
        <v>9 DE JULIO Y BROWN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s="51">
        <f>ESTADISTICA!AH85</f>
        <v>0</v>
      </c>
      <c r="AI86" s="51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CEN68 (fija 2)</v>
      </c>
      <c r="C87" t="str">
        <f>ESTADISTICA!C86</f>
        <v>9 DE JULIO Y BROWN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1">
        <f>ESTADISTICA!AH86</f>
        <v>0</v>
      </c>
      <c r="AI87" s="51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CEN69</v>
      </c>
      <c r="C88" t="str">
        <f>ESTADISTICA!C87</f>
        <v>RIVADAVIA Y BOUREL</v>
      </c>
      <c r="D88" t="str">
        <f>ESTADISTICA!D87</f>
        <v>DOMO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1">
        <f>ESTADISTICA!AH87</f>
        <v>0</v>
      </c>
      <c r="AI88" s="51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CEN73</v>
      </c>
      <c r="C89" t="str">
        <f>ESTADISTICA!C88</f>
        <v>BOUREL Y DEFENSA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51">
        <f>ESTADISTICA!AH88</f>
        <v>0</v>
      </c>
      <c r="AI89" s="51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CEN74</v>
      </c>
      <c r="C90" t="str">
        <f>ESTADISTICA!C89</f>
        <v>Las Heras y Maipu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1">
        <f>ESTADISTICA!AH89</f>
        <v>0</v>
      </c>
      <c r="AI90" s="51">
        <f>ESTADISTICA!AI89</f>
        <v>0</v>
      </c>
    </row>
    <row r="91" spans="1:35" x14ac:dyDescent="0.25">
      <c r="A91" t="str">
        <f>ESTADISTICA!A90</f>
        <v>SAN NICOLAS</v>
      </c>
      <c r="B91" t="str">
        <f>ESTADISTICA!B90</f>
        <v>CHA01</v>
      </c>
      <c r="C91" t="str">
        <f>ESTADISTICA!C90</f>
        <v>Novak y Pte Illia</v>
      </c>
      <c r="D91" t="str">
        <f>ESTADISTICA!D90</f>
        <v>Domo</v>
      </c>
      <c r="E91" t="str">
        <f>ESTADISTICA!E90</f>
        <v>Radio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s="51">
        <f>ESTADISTICA!AH90</f>
        <v>0</v>
      </c>
      <c r="AI91" s="51">
        <f>ESTADISTICA!AI90</f>
        <v>0</v>
      </c>
    </row>
    <row r="92" spans="1:35" x14ac:dyDescent="0.25">
      <c r="A92" t="str">
        <f>ESTADISTICA!A91</f>
        <v>CHACABUCO</v>
      </c>
      <c r="B92" t="str">
        <f>ESTADISTICA!B91</f>
        <v>CHA02</v>
      </c>
      <c r="C92" t="str">
        <f>ESTADISTICA!C91</f>
        <v>Pte. Illia y Posadas</v>
      </c>
      <c r="D92" t="str">
        <f>ESTADISTICA!D91</f>
        <v>Domo</v>
      </c>
      <c r="E92" t="str">
        <f>ESTADISTICA!E91</f>
        <v>Radio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s="51">
        <f>ESTADISTICA!AH91</f>
        <v>0</v>
      </c>
      <c r="AI92" s="51">
        <f>ESTADISTICA!AI91</f>
        <v>0</v>
      </c>
    </row>
    <row r="93" spans="1:35" x14ac:dyDescent="0.25">
      <c r="A93" t="str">
        <f>ESTADISTICA!A92</f>
        <v>CHACABUCO</v>
      </c>
      <c r="B93" t="str">
        <f>ESTADISTICA!B92</f>
        <v>CHA03</v>
      </c>
      <c r="C93" t="str">
        <f>ESTADISTICA!C92</f>
        <v>MAIPU Y ALVAREZ THOMAS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 s="51">
        <f>ESTADISTICA!AH92</f>
        <v>0</v>
      </c>
      <c r="AI93" s="51">
        <f>ESTADISTICA!AI92</f>
        <v>0</v>
      </c>
    </row>
    <row r="94" spans="1:35" x14ac:dyDescent="0.25">
      <c r="A94" t="str">
        <f>ESTADISTICA!A93</f>
        <v>CHACABUCO</v>
      </c>
      <c r="B94" t="str">
        <f>ESTADISTICA!B93</f>
        <v>CHA04</v>
      </c>
      <c r="C94" t="str">
        <f>ESTADISTICA!C93</f>
        <v>ESTADOS UNIDOS DE A. E ILLIA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s="51">
        <f>ESTADISTICA!AH93</f>
        <v>0</v>
      </c>
      <c r="AI94" s="51">
        <f>ESTADISTICA!AI93</f>
        <v>0</v>
      </c>
    </row>
    <row r="95" spans="1:35" x14ac:dyDescent="0.25">
      <c r="A95" t="str">
        <f>ESTADISTICA!A94</f>
        <v>LA COLORADA ESTE</v>
      </c>
      <c r="B95" t="str">
        <f>ESTADISTICA!B94</f>
        <v>COL 03</v>
      </c>
      <c r="C95" t="str">
        <f>ESTADISTICA!C94</f>
        <v>CARIBONI Y LA ANCIANIDAD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 t="str">
        <f>ESTADISTICA!L94</f>
        <v>APAGADO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s="51">
        <f>ESTADISTICA!AH94</f>
        <v>0</v>
      </c>
      <c r="AI95" s="51">
        <f>ESTADISTICA!AI94</f>
        <v>0</v>
      </c>
    </row>
    <row r="96" spans="1:35" x14ac:dyDescent="0.25">
      <c r="A96" t="str">
        <f>ESTADISTICA!A95</f>
        <v>VILLA MONICA NUEVA</v>
      </c>
      <c r="B96" t="str">
        <f>ESTADISTICA!B95</f>
        <v>COL01</v>
      </c>
      <c r="C96" t="str">
        <f>ESTADISTICA!C95</f>
        <v>Eva Peron y Cariboni</v>
      </c>
      <c r="D96" t="str">
        <f>ESTADISTICA!D95</f>
        <v>Domo</v>
      </c>
      <c r="E96" t="str">
        <f>ESTADISTICA!E95</f>
        <v>Radio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s="51">
        <f>ESTADISTICA!AH95</f>
        <v>0</v>
      </c>
      <c r="AI96" s="51">
        <f>ESTADISTICA!AI95</f>
        <v>0</v>
      </c>
    </row>
    <row r="97" spans="1:35" x14ac:dyDescent="0.25">
      <c r="A97" t="str">
        <f>ESTADISTICA!A96</f>
        <v>LA COLORADA ESTE</v>
      </c>
      <c r="B97" t="str">
        <f>ESTADISTICA!B96</f>
        <v>COL02</v>
      </c>
      <c r="C97" t="str">
        <f>ESTADISTICA!C96</f>
        <v>Av. Eva Peron y Pompeya</v>
      </c>
      <c r="D97" t="str">
        <f>ESTADISTICA!D96</f>
        <v>Domo</v>
      </c>
      <c r="E97" t="str">
        <f>ESTADISTICA!E96</f>
        <v>Radio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s="51">
        <f>ESTADISTICA!AH96</f>
        <v>0</v>
      </c>
      <c r="AI97" s="51">
        <f>ESTADISTICA!AI96</f>
        <v>0</v>
      </c>
    </row>
    <row r="98" spans="1:35" x14ac:dyDescent="0.25">
      <c r="A98" t="str">
        <f>ESTADISTICA!A97</f>
        <v>DON JOSE</v>
      </c>
      <c r="B98" t="str">
        <f>ESTADISTICA!B97</f>
        <v>DJO 02 (fija 1)</v>
      </c>
      <c r="C98" t="str">
        <f>ESTADISTICA!C97</f>
        <v>DONATO ALVAREZ Y EL APERO</v>
      </c>
      <c r="D98" t="str">
        <f>ESTADISTICA!D97</f>
        <v>Fija</v>
      </c>
      <c r="E98" t="str">
        <f>ESTADISTICA!E97</f>
        <v>PTO A FO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 t="str">
        <f>ESTADISTICA!J97</f>
        <v xml:space="preserve"> 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s="51">
        <f>ESTADISTICA!AH97</f>
        <v>0</v>
      </c>
      <c r="AI98" s="51">
        <f>ESTADISTICA!AI97</f>
        <v>0</v>
      </c>
    </row>
    <row r="99" spans="1:35" x14ac:dyDescent="0.25">
      <c r="A99" t="str">
        <f>ESTADISTICA!A98</f>
        <v>DON JOSE</v>
      </c>
      <c r="B99" t="str">
        <f>ESTADISTICA!B98</f>
        <v>DJO 03 (fija 2)</v>
      </c>
      <c r="C99" t="str">
        <f>ESTADISTICA!C98</f>
        <v>DONATO ALVAREZ Y EL APERO</v>
      </c>
      <c r="D99" t="str">
        <f>ESTADISTICA!D98</f>
        <v>Fija</v>
      </c>
      <c r="E99" t="str">
        <f>ESTADISTICA!E98</f>
        <v>PTO A FO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s="51">
        <f>ESTADISTICA!AH98</f>
        <v>0</v>
      </c>
      <c r="AI99" s="51">
        <f>ESTADISTICA!AI98</f>
        <v>0</v>
      </c>
    </row>
    <row r="100" spans="1:35" x14ac:dyDescent="0.25">
      <c r="A100" t="str">
        <f>ESTADISTICA!A99</f>
        <v>DON JOSE</v>
      </c>
      <c r="B100" t="str">
        <f>ESTADISTICA!B99</f>
        <v>DJO 04 (Fija 1)</v>
      </c>
      <c r="C100" t="str">
        <f>ESTADISTICA!C99</f>
        <v>MONTEVERDE Y EL INDIO</v>
      </c>
      <c r="D100" t="str">
        <f>ESTADISTICA!D99</f>
        <v>Fija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s="51">
        <f>ESTADISTICA!AH99</f>
        <v>0</v>
      </c>
      <c r="AI100" s="51">
        <f>ESTADISTICA!AI99</f>
        <v>0</v>
      </c>
    </row>
    <row r="101" spans="1:35" x14ac:dyDescent="0.25">
      <c r="A101" t="str">
        <f>ESTADISTICA!A100</f>
        <v>DON JOSE</v>
      </c>
      <c r="B101" t="str">
        <f>ESTADISTICA!B100</f>
        <v>DJO 05 (Fija 2)</v>
      </c>
      <c r="C101" t="str">
        <f>ESTADISTICA!C100</f>
        <v>MONTEVERDE Y EL INDIO</v>
      </c>
      <c r="D101" t="str">
        <f>ESTADISTICA!D100</f>
        <v>Fija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s="51">
        <f>ESTADISTICA!AH100</f>
        <v>0</v>
      </c>
      <c r="AI101" s="51">
        <f>ESTADISTICA!AI100</f>
        <v>0</v>
      </c>
    </row>
    <row r="102" spans="1:35" x14ac:dyDescent="0.25">
      <c r="A102" t="str">
        <f>ESTADISTICA!A101</f>
        <v>DON JOSE</v>
      </c>
      <c r="B102" t="str">
        <f>ESTADISTICA!B101</f>
        <v>DJO01</v>
      </c>
      <c r="C102" t="str">
        <f>ESTADISTICA!C101</f>
        <v>Monteverde y Donato Alvarez</v>
      </c>
      <c r="D102" t="str">
        <f>ESTADISTICA!D101</f>
        <v>Domo</v>
      </c>
      <c r="E102" t="str">
        <f>ESTADISTICA!E101</f>
        <v>RADIO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1">
        <f>ESTADISTICA!AH101</f>
        <v>0</v>
      </c>
      <c r="AI102" s="51">
        <f>ESTADISTICA!AI101</f>
        <v>0</v>
      </c>
    </row>
    <row r="103" spans="1:35" x14ac:dyDescent="0.25">
      <c r="A103" t="str">
        <f>ESTADISTICA!A102</f>
        <v>EL PARQUE</v>
      </c>
      <c r="B103" t="str">
        <f>ESTADISTICA!B102</f>
        <v>EPQ 01</v>
      </c>
      <c r="C103" t="str">
        <f>ESTADISTICA!C102</f>
        <v>1282 Y GRIERSON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1">
        <f>ESTADISTICA!AH102</f>
        <v>0</v>
      </c>
      <c r="AI103" s="51">
        <f>ESTADISTICA!AI102</f>
        <v>0</v>
      </c>
    </row>
    <row r="104" spans="1:35" x14ac:dyDescent="0.25">
      <c r="A104" t="str">
        <f>ESTADISTICA!A103</f>
        <v>EL PARQUE</v>
      </c>
      <c r="B104" t="str">
        <f>ESTADISTICA!B103</f>
        <v>EPQ 02</v>
      </c>
      <c r="C104" t="str">
        <f>ESTADISTICA!C103</f>
        <v>1282 Y MASSE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s="51">
        <f>ESTADISTICA!AH103</f>
        <v>0</v>
      </c>
      <c r="AI104" s="51">
        <f>ESTADISTICA!AI103</f>
        <v>0</v>
      </c>
    </row>
    <row r="105" spans="1:35" x14ac:dyDescent="0.25">
      <c r="A105" t="str">
        <f>ESTADISTICA!A104</f>
        <v>EL PARQUE</v>
      </c>
      <c r="B105" t="str">
        <f>ESTADISTICA!B104</f>
        <v>EPQ 03</v>
      </c>
      <c r="C105" t="str">
        <f>ESTADISTICA!C104</f>
        <v>1282 Y RP 36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s="51">
        <f>ESTADISTICA!AH104</f>
        <v>0</v>
      </c>
      <c r="AI105" s="51">
        <f>ESTADISTICA!AI104</f>
        <v>0</v>
      </c>
    </row>
    <row r="106" spans="1:35" x14ac:dyDescent="0.25">
      <c r="A106" t="str">
        <f>ESTADISTICA!A105</f>
        <v>EL PARQUE</v>
      </c>
      <c r="B106" t="str">
        <f>ESTADISTICA!B105</f>
        <v>EPQ 04</v>
      </c>
      <c r="C106" t="str">
        <f>ESTADISTICA!C105</f>
        <v>1282 Y MORENO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s="51">
        <f>ESTADISTICA!AH105</f>
        <v>0</v>
      </c>
      <c r="AI106" s="51">
        <f>ESTADISTICA!AI105</f>
        <v>0</v>
      </c>
    </row>
    <row r="107" spans="1:35" x14ac:dyDescent="0.25">
      <c r="A107" t="str">
        <f>ESTADISTICA!A106</f>
        <v>LA ESMERALDA</v>
      </c>
      <c r="B107" t="str">
        <f>ESTADISTICA!B106</f>
        <v>ESM 08</v>
      </c>
      <c r="C107" t="str">
        <f>ESTADISTICA!C106</f>
        <v>DAVINSON Y MORANCHEL</v>
      </c>
      <c r="D107" t="str">
        <f>ESTADISTICA!D106</f>
        <v>FIJA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s="51">
        <f>ESTADISTICA!AH106</f>
        <v>0</v>
      </c>
      <c r="AI107" s="51">
        <f>ESTADISTICA!AI106</f>
        <v>0</v>
      </c>
    </row>
    <row r="108" spans="1:35" x14ac:dyDescent="0.25">
      <c r="A108" t="str">
        <f>ESTADISTICA!A107</f>
        <v>LA ESMERALDA</v>
      </c>
      <c r="B108" t="str">
        <f>ESTADISTICA!B107</f>
        <v>ESM01</v>
      </c>
      <c r="C108" t="str">
        <f>ESTADISTICA!C107</f>
        <v>Cabello y Brasil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s="51">
        <f>ESTADISTICA!AH107</f>
        <v>0</v>
      </c>
      <c r="AI108" s="51">
        <f>ESTADISTICA!AI107</f>
        <v>0</v>
      </c>
    </row>
    <row r="109" spans="1:35" x14ac:dyDescent="0.25">
      <c r="A109" t="str">
        <f>ESTADISTICA!A108</f>
        <v>SAN JORGE</v>
      </c>
      <c r="B109" t="str">
        <f>ESTADISTICA!B108</f>
        <v>ESM02</v>
      </c>
      <c r="C109" t="str">
        <f>ESTADISTICA!C108</f>
        <v>Novak y Cabello</v>
      </c>
      <c r="D109" t="str">
        <f>ESTADISTICA!D108</f>
        <v>Domo</v>
      </c>
      <c r="E109" t="str">
        <f>ESTADISTICA!E108</f>
        <v>PTO A FO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s="51">
        <f>ESTADISTICA!AH108</f>
        <v>0</v>
      </c>
      <c r="AI109" s="51">
        <f>ESTADISTICA!AI108</f>
        <v>0</v>
      </c>
    </row>
    <row r="110" spans="1:35" x14ac:dyDescent="0.25">
      <c r="A110" t="str">
        <f>ESTADISTICA!A109</f>
        <v>LIBERTAD</v>
      </c>
      <c r="B110" t="str">
        <f>ESTADISTICA!B109</f>
        <v>ESM03</v>
      </c>
      <c r="C110" t="str">
        <f>ESTADISTICA!C109</f>
        <v>Novak y Humahuaca</v>
      </c>
      <c r="D110" t="str">
        <f>ESTADISTICA!D109</f>
        <v>DOMO</v>
      </c>
      <c r="E110" t="str">
        <f>ESTADISTICA!E109</f>
        <v>PTO A FO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s="51">
        <f>ESTADISTICA!AH109</f>
        <v>0</v>
      </c>
      <c r="AI110" s="51">
        <f>ESTADISTICA!AI109</f>
        <v>0</v>
      </c>
    </row>
    <row r="111" spans="1:35" x14ac:dyDescent="0.25">
      <c r="A111" t="str">
        <f>ESTADISTICA!A110</f>
        <v>LA ESMERALDA</v>
      </c>
      <c r="B111" t="str">
        <f>ESTADISTICA!B110</f>
        <v>ESM04</v>
      </c>
      <c r="C111" t="str">
        <f>ESTADISTICA!C110</f>
        <v>Basualdo y Bengochea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s="51">
        <f>ESTADISTICA!AH110</f>
        <v>0</v>
      </c>
      <c r="AI111" s="51">
        <f>ESTADISTICA!AI110</f>
        <v>0</v>
      </c>
    </row>
    <row r="112" spans="1:35" x14ac:dyDescent="0.25">
      <c r="A112" t="str">
        <f>ESTADISTICA!A111</f>
        <v>LA ESMERALDA</v>
      </c>
      <c r="B112" t="str">
        <f>ESTADISTICA!B111</f>
        <v>ESM05</v>
      </c>
      <c r="C112" t="str">
        <f>ESTADISTICA!C111</f>
        <v>Aniceto Diaz y Villar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s="51">
        <f>ESTADISTICA!AH111</f>
        <v>0</v>
      </c>
      <c r="AI112" s="51">
        <f>ESTADISTICA!AI111</f>
        <v>0</v>
      </c>
    </row>
    <row r="113" spans="1:35" x14ac:dyDescent="0.25">
      <c r="A113" t="str">
        <f>ESTADISTICA!A112</f>
        <v>LA ESMERALDA</v>
      </c>
      <c r="B113" t="str">
        <f>ESTADISTICA!B112</f>
        <v>ESM06</v>
      </c>
      <c r="C113" t="str">
        <f>ESTADISTICA!C112</f>
        <v>Roselli y Cabello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1">
        <f>ESTADISTICA!AH112</f>
        <v>0</v>
      </c>
      <c r="AI113" s="51">
        <f>ESTADISTICA!AI112</f>
        <v>0</v>
      </c>
    </row>
    <row r="114" spans="1:35" x14ac:dyDescent="0.25">
      <c r="A114" t="str">
        <f>ESTADISTICA!A113</f>
        <v>LA ESMERALDA</v>
      </c>
      <c r="B114" t="str">
        <f>ESTADISTICA!B113</f>
        <v>ESM07</v>
      </c>
      <c r="C114" t="str">
        <f>ESTADISTICA!C113</f>
        <v>AV. NOVAK Y SERRANO</v>
      </c>
      <c r="D114" t="str">
        <f>ESTADISTICA!D113</f>
        <v>DOMO</v>
      </c>
      <c r="E114" t="str">
        <f>ESTADISTICA!E113</f>
        <v>PTO A FO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1">
        <f>ESTADISTICA!AH113</f>
        <v>0</v>
      </c>
      <c r="AI114" s="51">
        <f>ESTADISTICA!AI113</f>
        <v>0</v>
      </c>
    </row>
    <row r="115" spans="1:35" x14ac:dyDescent="0.25">
      <c r="A115" t="str">
        <f>ESTADISTICA!A114</f>
        <v>LA ESMERALDA</v>
      </c>
      <c r="B115" t="str">
        <f>ESTADISTICA!B114</f>
        <v>ESM09 (fija 1)</v>
      </c>
      <c r="C115" t="str">
        <f>ESTADISTICA!C114</f>
        <v>EEUU Y CABELLO</v>
      </c>
      <c r="D115" t="str">
        <f>ESTADISTICA!D114</f>
        <v>Fija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s="51">
        <f>ESTADISTICA!AH114</f>
        <v>0</v>
      </c>
      <c r="AI115" s="51">
        <f>ESTADISTICA!AI114</f>
        <v>0</v>
      </c>
    </row>
    <row r="116" spans="1:35" x14ac:dyDescent="0.25">
      <c r="A116" t="str">
        <f>ESTADISTICA!A115</f>
        <v>LA ESMERALDA</v>
      </c>
      <c r="B116" t="str">
        <f>ESTADISTICA!B115</f>
        <v>ESM10 (fija 2)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s="51">
        <f>ESTADISTICA!AH115</f>
        <v>0</v>
      </c>
      <c r="AI116" s="51">
        <f>ESTADISTICA!AI115</f>
        <v>0</v>
      </c>
    </row>
    <row r="117" spans="1:35" x14ac:dyDescent="0.25">
      <c r="A117" t="str">
        <f>ESTADISTICA!A116</f>
        <v>LA ESMERALDA</v>
      </c>
      <c r="B117" t="str">
        <f>ESTADISTICA!B116</f>
        <v>ESM11 (fija 1)</v>
      </c>
      <c r="C117" t="str">
        <f>ESTADISTICA!C116</f>
        <v>NOVAK Y LAMBARDI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s="51">
        <f>ESTADISTICA!AH116</f>
        <v>0</v>
      </c>
      <c r="AI117" s="51">
        <f>ESTADISTICA!AI116</f>
        <v>0</v>
      </c>
    </row>
    <row r="118" spans="1:35" x14ac:dyDescent="0.25">
      <c r="A118" t="str">
        <f>ESTADISTICA!A117</f>
        <v>LA ESMERALDA</v>
      </c>
      <c r="B118" t="str">
        <f>ESTADISTICA!B117</f>
        <v>ESM12 (fija 2)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s="51">
        <f>ESTADISTICA!AH117</f>
        <v>0</v>
      </c>
      <c r="AI118" s="51">
        <f>ESTADISTICA!AI117</f>
        <v>0</v>
      </c>
    </row>
    <row r="119" spans="1:35" x14ac:dyDescent="0.25">
      <c r="A119" t="str">
        <f>ESTADISTICA!A118</f>
        <v>INGENIERO ALLAN</v>
      </c>
      <c r="B119" t="str">
        <f>ESTADISTICA!B118</f>
        <v>INA 01</v>
      </c>
      <c r="C119" t="str">
        <f>ESTADISTICA!C118</f>
        <v>1138 Y 1155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s="51">
        <f>ESTADISTICA!AH118</f>
        <v>0</v>
      </c>
      <c r="AI119" s="51">
        <f>ESTADISTICA!AI118</f>
        <v>0</v>
      </c>
    </row>
    <row r="120" spans="1:35" x14ac:dyDescent="0.25">
      <c r="A120" t="str">
        <f>ESTADISTICA!A119</f>
        <v>INGENIERO ALLAN</v>
      </c>
      <c r="B120" t="str">
        <f>ESTADISTICA!B119</f>
        <v>INA 02</v>
      </c>
      <c r="C120" t="str">
        <f>ESTADISTICA!C119</f>
        <v>1144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s="51">
        <f>ESTADISTICA!AH119</f>
        <v>0</v>
      </c>
      <c r="AI120" s="51">
        <f>ESTADISTICA!AI119</f>
        <v>0</v>
      </c>
    </row>
    <row r="121" spans="1:35" x14ac:dyDescent="0.25">
      <c r="A121" t="str">
        <f>ESTADISTICA!A120</f>
        <v>INFICO</v>
      </c>
      <c r="B121" t="str">
        <f>ESTADISTICA!B120</f>
        <v>INF 01</v>
      </c>
      <c r="C121" t="str">
        <f>ESTADISTICA!C120</f>
        <v>AV. HUDSON Y CARIBONI</v>
      </c>
      <c r="D121">
        <f>ESTADISTICA!D120</f>
        <v>0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s="51">
        <f>ESTADISTICA!AH120</f>
        <v>0</v>
      </c>
      <c r="AI121" s="51">
        <f>ESTADISTICA!AI120</f>
        <v>0</v>
      </c>
    </row>
    <row r="122" spans="1:35" x14ac:dyDescent="0.25">
      <c r="A122" t="str">
        <f>ESTADISTICA!A121</f>
        <v>KM 26700 (JULIO A. COSTA)</v>
      </c>
      <c r="B122" t="str">
        <f>ESTADISTICA!B121</f>
        <v>KM 07</v>
      </c>
      <c r="C122" t="str">
        <f>ESTADISTICA!C121</f>
        <v>EL ALJIBE E/ EL ZONDA Y DON SEGUNDO SOMBRA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s="51">
        <f>ESTADISTICA!AH121</f>
        <v>0</v>
      </c>
      <c r="AI122" s="51">
        <f>ESTADISTICA!AI121</f>
        <v>0</v>
      </c>
    </row>
    <row r="123" spans="1:35" x14ac:dyDescent="0.25">
      <c r="A123" t="str">
        <f>ESTADISTICA!A122</f>
        <v>KM 26700 (JULIO A. COSTA)</v>
      </c>
      <c r="B123" t="str">
        <f>ESTADISTICA!B122</f>
        <v>KM 10 / UPA 2</v>
      </c>
      <c r="C123" t="str">
        <f>ESTADISTICA!C122</f>
        <v>PLAYA DE ESTACIONAMIENTO INTERNA E/ HOSP. MODULAR Y UPA 11.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s="51">
        <f>ESTADISTICA!AH122</f>
        <v>0</v>
      </c>
      <c r="AI123" s="51">
        <f>ESTADISTICA!AI122</f>
        <v>0</v>
      </c>
    </row>
    <row r="124" spans="1:35" x14ac:dyDescent="0.25">
      <c r="A124" t="str">
        <f>ESTADISTICA!A123</f>
        <v>KM 26700 (JULIO A. COSTA)</v>
      </c>
      <c r="B124" t="str">
        <f>ESTADISTICA!B123</f>
        <v>KM 12 FIJA 1</v>
      </c>
      <c r="C124" t="str">
        <f>ESTADISTICA!C123</f>
        <v>BLANDENGUES Y LA ZAMBA</v>
      </c>
      <c r="D124" t="str">
        <f>ESTADISTICA!D123</f>
        <v>Fija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s="51">
        <f>ESTADISTICA!AH123</f>
        <v>0</v>
      </c>
      <c r="AI124" s="51">
        <f>ESTADISTICA!AI123</f>
        <v>0</v>
      </c>
    </row>
    <row r="125" spans="1:35" x14ac:dyDescent="0.25">
      <c r="A125" t="str">
        <f>ESTADISTICA!A124</f>
        <v>KM 26700 (JULIO A. COSTA)</v>
      </c>
      <c r="B125" t="str">
        <f>ESTADISTICA!B124</f>
        <v>KM 13 FIJA 2</v>
      </c>
      <c r="C125" t="str">
        <f>ESTADISTICA!C124</f>
        <v>BLANDENGUES Y LA ZAMBA</v>
      </c>
      <c r="D125" t="str">
        <f>ESTADISTICA!D124</f>
        <v>Fija</v>
      </c>
      <c r="E125" t="str">
        <f>ESTADISTICA!E124</f>
        <v>PTO A FO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s="51">
        <f>ESTADISTICA!AH124</f>
        <v>0</v>
      </c>
      <c r="AI125" s="51">
        <f>ESTADISTICA!AI124</f>
        <v>0</v>
      </c>
    </row>
    <row r="126" spans="1:35" x14ac:dyDescent="0.25">
      <c r="A126" t="str">
        <f>ESTADISTICA!A125</f>
        <v>KM 26700 (JULIO A. COSTA)</v>
      </c>
      <c r="B126" t="str">
        <f>ESTADISTICA!B125</f>
        <v>KM 14 (fija 1)</v>
      </c>
      <c r="C126" t="str">
        <f>ESTADISTICA!C125</f>
        <v>EL GAUCHO Y EL ZONDA</v>
      </c>
      <c r="D126" t="str">
        <f>ESTADISTICA!D125</f>
        <v>Fija</v>
      </c>
      <c r="E126" t="str">
        <f>ESTADISTICA!E125</f>
        <v>PTO A FO</v>
      </c>
      <c r="F126" t="str">
        <f>ESTADISTICA!F125</f>
        <v>APAGADO</v>
      </c>
      <c r="G126" t="str">
        <f>ESTADISTICA!G125</f>
        <v>APAGADO</v>
      </c>
      <c r="H126" t="str">
        <f>ESTADISTICA!H125</f>
        <v>APAGADO</v>
      </c>
      <c r="I126" t="str">
        <f>ESTADISTICA!I125</f>
        <v>APAGADO</v>
      </c>
      <c r="J126" t="str">
        <f>ESTADISTICA!J125</f>
        <v>APAGADO</v>
      </c>
      <c r="K126" t="str">
        <f>ESTADISTICA!K125</f>
        <v>APAGADO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s="51">
        <f>ESTADISTICA!AH125</f>
        <v>0</v>
      </c>
      <c r="AI126" s="51">
        <f>ESTADISTICA!AI125</f>
        <v>0</v>
      </c>
    </row>
    <row r="127" spans="1:35" x14ac:dyDescent="0.25">
      <c r="A127" t="str">
        <f>ESTADISTICA!A126</f>
        <v>KM 26700 (JULIO A. COSTA)</v>
      </c>
      <c r="B127" t="str">
        <f>ESTADISTICA!B126</f>
        <v>KM 15 (fija 2)</v>
      </c>
      <c r="C127" t="str">
        <f>ESTADISTICA!C126</f>
        <v>EL GAUCHO Y EL ZONDA</v>
      </c>
      <c r="D127" t="str">
        <f>ESTADISTICA!D126</f>
        <v>Fija</v>
      </c>
      <c r="E127" t="str">
        <f>ESTADISTICA!E126</f>
        <v>PTO A FO</v>
      </c>
      <c r="F127" t="str">
        <f>ESTADISTICA!F126</f>
        <v>APAGADO</v>
      </c>
      <c r="G127" t="str">
        <f>ESTADISTICA!G126</f>
        <v>APAGADO</v>
      </c>
      <c r="H127" t="str">
        <f>ESTADISTICA!H126</f>
        <v>APAGADO</v>
      </c>
      <c r="I127" t="str">
        <f>ESTADISTICA!I126</f>
        <v>APAGADO</v>
      </c>
      <c r="J127" t="str">
        <f>ESTADISTICA!J126</f>
        <v>APAGADO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51">
        <f>ESTADISTICA!AH126</f>
        <v>0</v>
      </c>
      <c r="AI127" s="51">
        <f>ESTADISTICA!AI126</f>
        <v>0</v>
      </c>
    </row>
    <row r="128" spans="1:35" x14ac:dyDescent="0.25">
      <c r="A128" t="str">
        <f>ESTADISTICA!A127</f>
        <v>KM 26700 (JULIO A. COSTA)</v>
      </c>
      <c r="B128" t="str">
        <f>ESTADISTICA!B127</f>
        <v>KM 16 (fija 1)</v>
      </c>
      <c r="C128" t="str">
        <f>ESTADISTICA!C127</f>
        <v>EL GAUCHO Y MARTIN FIERRO</v>
      </c>
      <c r="D128" t="str">
        <f>ESTADISTICA!D127</f>
        <v>Fija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1">
        <f>ESTADISTICA!AH127</f>
        <v>0</v>
      </c>
      <c r="AI128" s="51">
        <f>ESTADISTICA!AI127</f>
        <v>0</v>
      </c>
    </row>
    <row r="129" spans="1:35" x14ac:dyDescent="0.25">
      <c r="A129" t="str">
        <f>ESTADISTICA!A128</f>
        <v>KM 26700 (JULIO A. COSTA)</v>
      </c>
      <c r="B129" t="str">
        <f>ESTADISTICA!B128</f>
        <v>KM 17 (fija 2)</v>
      </c>
      <c r="C129" t="str">
        <f>ESTADISTICA!C128</f>
        <v>EL GAUCHO Y MARTIN FIERRO</v>
      </c>
      <c r="D129" t="str">
        <f>ESTADISTICA!D128</f>
        <v>Fija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s="51">
        <f>ESTADISTICA!AH128</f>
        <v>0</v>
      </c>
      <c r="AI129" s="51">
        <f>ESTADISTICA!AI128</f>
        <v>0</v>
      </c>
    </row>
    <row r="130" spans="1:35" x14ac:dyDescent="0.25">
      <c r="A130" t="str">
        <f>ESTADISTICA!A129</f>
        <v>VILLA ARGENTINA</v>
      </c>
      <c r="B130" t="str">
        <f>ESTADISTICA!B129</f>
        <v>KM01</v>
      </c>
      <c r="C130" t="str">
        <f>ESTADISTICA!C129</f>
        <v>Vias FFCC y La Pulperia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s="51">
        <f>ESTADISTICA!AH129</f>
        <v>0</v>
      </c>
      <c r="AI130" s="51">
        <f>ESTADISTICA!AI129</f>
        <v>0</v>
      </c>
    </row>
    <row r="131" spans="1:35" x14ac:dyDescent="0.25">
      <c r="A131" t="str">
        <f>ESTADISTICA!A130</f>
        <v>CHACABUCO</v>
      </c>
      <c r="B131" t="str">
        <f>ESTADISTICA!B130</f>
        <v>KM02</v>
      </c>
      <c r="C131" t="str">
        <f>ESTADISTICA!C130</f>
        <v>Novak e/El Overo y el Mangrullo</v>
      </c>
      <c r="D131" t="str">
        <f>ESTADISTICA!D130</f>
        <v>Domo</v>
      </c>
      <c r="E131" t="str">
        <f>ESTADISTICA!E130</f>
        <v>Radio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1">
        <f>ESTADISTICA!AH130</f>
        <v>0</v>
      </c>
      <c r="AI131" s="51">
        <f>ESTADISTICA!AI130</f>
        <v>0</v>
      </c>
    </row>
    <row r="132" spans="1:35" x14ac:dyDescent="0.25">
      <c r="A132" t="str">
        <f>ESTADISTICA!A131</f>
        <v>KM 26700 (JULIO A. COSTA)</v>
      </c>
      <c r="B132" t="str">
        <f>ESTADISTICA!B131</f>
        <v>KM03</v>
      </c>
      <c r="C132" t="str">
        <f>ESTADISTICA!C131</f>
        <v>Novak y La Pulperia</v>
      </c>
      <c r="D132" t="str">
        <f>ESTADISTICA!D131</f>
        <v>Domo</v>
      </c>
      <c r="E132" t="str">
        <f>ESTADISTICA!E131</f>
        <v>Radio</v>
      </c>
      <c r="F132" t="str">
        <f>ESTADISTICA!F131</f>
        <v>APAGADO</v>
      </c>
      <c r="G132" t="str">
        <f>ESTADISTICA!G131</f>
        <v>APAGADO</v>
      </c>
      <c r="H132" t="str">
        <f>ESTADISTICA!H131</f>
        <v>APAGADO</v>
      </c>
      <c r="I132" t="str">
        <f>ESTADISTICA!I131</f>
        <v>APAGADO</v>
      </c>
      <c r="J132" t="str">
        <f>ESTADISTICA!J131</f>
        <v>APAGADO</v>
      </c>
      <c r="K132" t="str">
        <f>ESTADISTICA!K131</f>
        <v>APAGADO</v>
      </c>
      <c r="L132" t="str">
        <f>ESTADISTICA!L131</f>
        <v>APAGADO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s="51">
        <f>ESTADISTICA!AH131</f>
        <v>0</v>
      </c>
      <c r="AI132" s="51">
        <f>ESTADISTICA!AI131</f>
        <v>0</v>
      </c>
    </row>
    <row r="133" spans="1:35" x14ac:dyDescent="0.25">
      <c r="A133" t="str">
        <f>ESTADISTICA!A132</f>
        <v>KM 26700 (JULIO A. COSTA)</v>
      </c>
      <c r="B133" t="str">
        <f>ESTADISTICA!B132</f>
        <v>KM04</v>
      </c>
      <c r="C133" t="str">
        <f>ESTADISTICA!C132</f>
        <v>El Ombu y El Zonda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s="51">
        <f>ESTADISTICA!AH132</f>
        <v>0</v>
      </c>
      <c r="AI133" s="51">
        <f>ESTADISTICA!AI132</f>
        <v>0</v>
      </c>
    </row>
    <row r="134" spans="1:35" x14ac:dyDescent="0.25">
      <c r="A134" t="str">
        <f>ESTADISTICA!A133</f>
        <v>KM 26700 (JULIO A. COSTA)</v>
      </c>
      <c r="B134" t="str">
        <f>ESTADISTICA!B133</f>
        <v>KM05</v>
      </c>
      <c r="C134" t="str">
        <f>ESTADISTICA!C133</f>
        <v>El Ombu y Los Charruas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s="51">
        <f>ESTADISTICA!AH133</f>
        <v>0</v>
      </c>
      <c r="AI134" s="51">
        <f>ESTADISTICA!AI133</f>
        <v>0</v>
      </c>
    </row>
    <row r="135" spans="1:35" x14ac:dyDescent="0.25">
      <c r="A135" t="str">
        <f>ESTADISTICA!A134</f>
        <v>KM 26700 (JULIO A. COSTA)</v>
      </c>
      <c r="B135" t="str">
        <f>ESTADISTICA!B134</f>
        <v>KM06</v>
      </c>
      <c r="C135" t="str">
        <f>ESTADISTICA!C134</f>
        <v>El Ombu y La Cautiva</v>
      </c>
      <c r="D135" t="str">
        <f>ESTADISTICA!D134</f>
        <v>DOMO</v>
      </c>
      <c r="E135" t="str">
        <f>ESTADISTICA!E134</f>
        <v>Radio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s="51">
        <f>ESTADISTICA!AH134</f>
        <v>0</v>
      </c>
      <c r="AI135" s="51">
        <f>ESTADISTICA!AI134</f>
        <v>0</v>
      </c>
    </row>
    <row r="136" spans="1:35" x14ac:dyDescent="0.25">
      <c r="A136" t="str">
        <f>ESTADISTICA!A135</f>
        <v>KM 26700 (JULIO A. COSTA)</v>
      </c>
      <c r="B136" t="str">
        <f>ESTADISTICA!B135</f>
        <v>KM08 / UPA 03</v>
      </c>
      <c r="C136" t="str">
        <f>ESTADISTICA!C135</f>
        <v>LOS CHARRUAS Y BLANDENGUES</v>
      </c>
      <c r="D136" t="str">
        <f>ESTADISTICA!D135</f>
        <v>DOMO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1">
        <f>ESTADISTICA!AH135</f>
        <v>0</v>
      </c>
      <c r="AI136" s="51">
        <f>ESTADISTICA!AI135</f>
        <v>0</v>
      </c>
    </row>
    <row r="137" spans="1:35" x14ac:dyDescent="0.25">
      <c r="A137" t="str">
        <f>ESTADISTICA!A136</f>
        <v>KM 26700 (JULIO A. COSTA)</v>
      </c>
      <c r="B137" t="str">
        <f>ESTADISTICA!B136</f>
        <v>KM09 / UPA 1</v>
      </c>
      <c r="C137" t="str">
        <f>ESTADISTICA!C136</f>
        <v>NOVAK Y LA POSTA</v>
      </c>
      <c r="D137" t="str">
        <f>ESTADISTICA!D136</f>
        <v>DOMO</v>
      </c>
      <c r="E137" t="str">
        <f>ESTADISTICA!E136</f>
        <v>Radio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1">
        <f>ESTADISTICA!AH136</f>
        <v>0</v>
      </c>
      <c r="AI137" s="51">
        <f>ESTADISTICA!AI136</f>
        <v>0</v>
      </c>
    </row>
    <row r="138" spans="1:35" x14ac:dyDescent="0.25">
      <c r="A138" t="str">
        <f>ESTADISTICA!A137</f>
        <v>KM 26700 (JULIO A. COSTA)</v>
      </c>
      <c r="B138" t="str">
        <f>ESTADISTICA!B137</f>
        <v>KM11</v>
      </c>
      <c r="C138" t="str">
        <f>ESTADISTICA!C137</f>
        <v>NOVAK Y EL OVERO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51">
        <f>ESTADISTICA!AH137</f>
        <v>0</v>
      </c>
      <c r="AI138" s="51">
        <f>ESTADISTICA!AI137</f>
        <v>0</v>
      </c>
    </row>
    <row r="139" spans="1:35" x14ac:dyDescent="0.25">
      <c r="A139" t="str">
        <f>ESTADISTICA!A138</f>
        <v>LOMAS DE MONTEVERDE</v>
      </c>
      <c r="B139" t="str">
        <f>ESTADISTICA!B138</f>
        <v>LDM 01</v>
      </c>
      <c r="C139" t="str">
        <f>ESTADISTICA!C138</f>
        <v>ILLIA Y BOUREL</v>
      </c>
      <c r="D139" t="str">
        <f>ESTADISTICA!D138</f>
        <v>DOMO</v>
      </c>
      <c r="E139" t="str">
        <f>ESTADISTICA!E138</f>
        <v>PTO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51">
        <f>ESTADISTICA!AH138</f>
        <v>0</v>
      </c>
      <c r="AI139" s="51">
        <f>ESTADISTICA!AI138</f>
        <v>0</v>
      </c>
    </row>
    <row r="140" spans="1:35" x14ac:dyDescent="0.25">
      <c r="A140" t="str">
        <f>ESTADISTICA!A139</f>
        <v>LOMAS DE MONTEVERDE</v>
      </c>
      <c r="B140" t="str">
        <f>ESTADISTICA!B139</f>
        <v>LDM 02</v>
      </c>
      <c r="C140" t="str">
        <f>ESTADISTICA!C139</f>
        <v>LAS HERAS Y EDISON</v>
      </c>
      <c r="D140" t="str">
        <f>ESTADISTICA!D139</f>
        <v>DOMO</v>
      </c>
      <c r="E140" t="str">
        <f>ESTADISTICA!E139</f>
        <v>PTO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s="51">
        <f>ESTADISTICA!AH139</f>
        <v>0</v>
      </c>
      <c r="AI140" s="51">
        <f>ESTADISTICA!AI139</f>
        <v>0</v>
      </c>
    </row>
    <row r="141" spans="1:35" x14ac:dyDescent="0.25">
      <c r="A141" t="str">
        <f>ESTADISTICA!A140</f>
        <v>LOMAS DE MONTEVERDE</v>
      </c>
      <c r="B141" t="str">
        <f>ESTADISTICA!B140</f>
        <v>LDM 03</v>
      </c>
      <c r="C141" t="str">
        <f>ESTADISTICA!C140</f>
        <v>LAS HERAS Y FRANKLIN</v>
      </c>
      <c r="D141" t="str">
        <f>ESTADISTICA!D140</f>
        <v>DOMO</v>
      </c>
      <c r="E141" t="str">
        <f>ESTADISTICA!E140</f>
        <v>PTO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s="51">
        <f>ESTADISTICA!AH140</f>
        <v>0</v>
      </c>
      <c r="AI141" s="51">
        <f>ESTADISTICA!AI140</f>
        <v>0</v>
      </c>
    </row>
    <row r="142" spans="1:35" x14ac:dyDescent="0.25">
      <c r="A142" t="str">
        <f>ESTADISTICA!A141</f>
        <v>CHACABUCO</v>
      </c>
      <c r="B142" t="str">
        <f>ESTADISTICA!B141</f>
        <v>LPI 01</v>
      </c>
      <c r="C142" t="str">
        <f>ESTADISTICA!C141</f>
        <v>MaipÃº y Posadas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s="51">
        <f>ESTADISTICA!AH141</f>
        <v>0</v>
      </c>
      <c r="AI142" s="51">
        <f>ESTADISTICA!AI141</f>
        <v>0</v>
      </c>
    </row>
    <row r="143" spans="1:35" x14ac:dyDescent="0.25">
      <c r="A143" t="str">
        <f>ESTADISTICA!A142</f>
        <v>CHACABUCO</v>
      </c>
      <c r="B143" t="str">
        <f>ESTADISTICA!B142</f>
        <v>LPI02</v>
      </c>
      <c r="C143" t="str">
        <f>ESTADISTICA!C142</f>
        <v>EE.UU y Ayacucho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s="51">
        <f>ESTADISTICA!AH142</f>
        <v>0</v>
      </c>
      <c r="AI143" s="51">
        <f>ESTADISTICA!AI142</f>
        <v>0</v>
      </c>
    </row>
    <row r="144" spans="1:35" x14ac:dyDescent="0.25">
      <c r="A144" t="str">
        <f>ESTADISTICA!A143</f>
        <v>LA PILETA</v>
      </c>
      <c r="B144" t="str">
        <f>ESTADISTICA!B143</f>
        <v>LPI03 (fija 2)</v>
      </c>
      <c r="C144" t="str">
        <f>ESTADISTICA!C143</f>
        <v>MAIPU Y POSADAS</v>
      </c>
      <c r="D144" t="str">
        <f>ESTADISTICA!D143</f>
        <v>Fija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s="51">
        <f>ESTADISTICA!AH143</f>
        <v>0</v>
      </c>
      <c r="AI144" s="51">
        <f>ESTADISTICA!AI143</f>
        <v>0</v>
      </c>
    </row>
    <row r="145" spans="1:35" x14ac:dyDescent="0.25">
      <c r="A145" t="str">
        <f>ESTADISTICA!A144</f>
        <v>LA PILETA</v>
      </c>
      <c r="B145" t="str">
        <f>ESTADISTICA!B144</f>
        <v>LPI04 (fija 1)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s="51">
        <f>ESTADISTICA!AH144</f>
        <v>0</v>
      </c>
      <c r="AI145" s="51">
        <f>ESTADISTICA!AI144</f>
        <v>0</v>
      </c>
    </row>
    <row r="146" spans="1:35" x14ac:dyDescent="0.25">
      <c r="A146" t="str">
        <f>ESTADISTICA!A145</f>
        <v>LOS PILARES</v>
      </c>
      <c r="B146" t="str">
        <f>ESTADISTICA!B145</f>
        <v>LPR 01</v>
      </c>
      <c r="C146" t="str">
        <f>ESTADISTICA!C145</f>
        <v>EVA PERON E/ CACHEUTA Y 1406</v>
      </c>
      <c r="D146" t="str">
        <f>ESTADISTICA!D145</f>
        <v>DOMO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s="51">
        <f>ESTADISTICA!AH145</f>
        <v>0</v>
      </c>
      <c r="AI146" s="51">
        <f>ESTADISTICA!AI145</f>
        <v>0</v>
      </c>
    </row>
    <row r="147" spans="1:35" x14ac:dyDescent="0.25">
      <c r="A147" t="str">
        <f>ESTADISTICA!A146</f>
        <v>LOS PILARES</v>
      </c>
      <c r="B147" t="str">
        <f>ESTADISTICA!B146</f>
        <v>LPR02 (fija 1)</v>
      </c>
      <c r="C147" t="str">
        <f>ESTADISTICA!C146</f>
        <v>EVA PERON Y CACHEUTA</v>
      </c>
      <c r="D147" t="str">
        <f>ESTADISTICA!D146</f>
        <v>Fija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s="51">
        <f>ESTADISTICA!AH146</f>
        <v>0</v>
      </c>
      <c r="AI147" s="51">
        <f>ESTADISTICA!AI146</f>
        <v>0</v>
      </c>
    </row>
    <row r="148" spans="1:35" x14ac:dyDescent="0.25">
      <c r="A148" t="str">
        <f>ESTADISTICA!A147</f>
        <v>LOS PILARES</v>
      </c>
      <c r="B148" t="str">
        <f>ESTADISTICA!B147</f>
        <v>LPR03 (fija 2)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s="51">
        <f>ESTADISTICA!AH147</f>
        <v>0</v>
      </c>
      <c r="AI148" s="51">
        <f>ESTADISTICA!AI147</f>
        <v>0</v>
      </c>
    </row>
    <row r="149" spans="1:35" x14ac:dyDescent="0.25">
      <c r="A149" t="str">
        <f>ESTADISTICA!A148</f>
        <v>LOPEZ ROMERO</v>
      </c>
      <c r="B149" t="str">
        <f>ESTADISTICA!B148</f>
        <v>LRO 05</v>
      </c>
      <c r="C149" t="str">
        <f>ESTADISTICA!C148</f>
        <v>Calchaqui y Las Americas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s="51">
        <f>ESTADISTICA!AH148</f>
        <v>0</v>
      </c>
      <c r="AI149" s="51">
        <f>ESTADISTICA!AI148</f>
        <v>0</v>
      </c>
    </row>
    <row r="150" spans="1:35" x14ac:dyDescent="0.25">
      <c r="A150" t="str">
        <f>ESTADISTICA!A149</f>
        <v>LOPEZ ROMERO</v>
      </c>
      <c r="B150" t="str">
        <f>ESTADISTICA!B149</f>
        <v>LRO 09</v>
      </c>
      <c r="C150" t="str">
        <f>ESTADISTICA!C149</f>
        <v>Las AmÃ©ricas y Braile</v>
      </c>
      <c r="D150" t="str">
        <f>ESTADISTICA!D149</f>
        <v>Domo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s="51">
        <f>ESTADISTICA!AH149</f>
        <v>0</v>
      </c>
      <c r="AI150" s="51">
        <f>ESTADISTICA!AI149</f>
        <v>0</v>
      </c>
    </row>
    <row r="151" spans="1:35" x14ac:dyDescent="0.25">
      <c r="A151" t="str">
        <f>ESTADISTICA!A150</f>
        <v>LOPEZ ROMERO</v>
      </c>
      <c r="B151" t="str">
        <f>ESTADISTICA!B150</f>
        <v>LRO 10</v>
      </c>
      <c r="C151" t="str">
        <f>ESTADISTICA!C150</f>
        <v>Con. Gral. Belgrano y Balcarce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1">
        <f>ESTADISTICA!AH150</f>
        <v>0</v>
      </c>
      <c r="AI151" s="51">
        <f>ESTADISTICA!AI150</f>
        <v>0</v>
      </c>
    </row>
    <row r="152" spans="1:35" x14ac:dyDescent="0.25">
      <c r="A152" t="str">
        <f>ESTADISTICA!A151</f>
        <v>LOPEZ ROMERO</v>
      </c>
      <c r="B152" t="str">
        <f>ESTADISTICA!B151</f>
        <v>LRO 12 (fija 1)</v>
      </c>
      <c r="C152" t="str">
        <f>ESTADISTICA!C151</f>
        <v>LAS AMERICAS E/ BRAILLE Y ALVARADO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s="51">
        <f>ESTADISTICA!AH151</f>
        <v>0</v>
      </c>
      <c r="AI152" s="51">
        <f>ESTADISTICA!AI151</f>
        <v>0</v>
      </c>
    </row>
    <row r="153" spans="1:35" x14ac:dyDescent="0.25">
      <c r="A153" t="str">
        <f>ESTADISTICA!A152</f>
        <v>LOPEZ ROMERO</v>
      </c>
      <c r="B153" t="str">
        <f>ESTADISTICA!B152</f>
        <v>LRO 13 (fija 2)</v>
      </c>
      <c r="C153" t="str">
        <f>ESTADISTICA!C152</f>
        <v>LAS AMERICAS E/ BRAILLE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s="51">
        <f>ESTADISTICA!AH152</f>
        <v>0</v>
      </c>
      <c r="AI153" s="51">
        <f>ESTADISTICA!AI152</f>
        <v>0</v>
      </c>
    </row>
    <row r="154" spans="1:35" x14ac:dyDescent="0.25">
      <c r="A154" t="str">
        <f>ESTADISTICA!A153</f>
        <v>LOPEZ ROMERO</v>
      </c>
      <c r="B154" t="str">
        <f>ESTADISTICA!B153</f>
        <v>LRO01</v>
      </c>
      <c r="C154" t="str">
        <f>ESTADISTICA!C153</f>
        <v>H. IRIGOYEN Y BRAILE</v>
      </c>
      <c r="D154" t="str">
        <f>ESTADISTICA!D153</f>
        <v>FIJA</v>
      </c>
      <c r="E154" t="str">
        <f>ESTADISTICA!E153</f>
        <v>FIBRA OPTICA</v>
      </c>
      <c r="F154" t="str">
        <f>ESTADISTICA!F153</f>
        <v>APAGADO</v>
      </c>
      <c r="G154" t="str">
        <f>ESTADISTICA!G153</f>
        <v>APAGADO</v>
      </c>
      <c r="H154" t="str">
        <f>ESTADISTICA!H153</f>
        <v>APAGADO</v>
      </c>
      <c r="I154" t="str">
        <f>ESTADISTICA!I153</f>
        <v>APAGADO</v>
      </c>
      <c r="J154" t="str">
        <f>ESTADISTICA!J153</f>
        <v>APAGADO</v>
      </c>
      <c r="K154" t="str">
        <f>ESTADISTICA!K153</f>
        <v>APAGADO</v>
      </c>
      <c r="L154" t="str">
        <f>ESTADISTICA!L153</f>
        <v>APAGADO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51">
        <f>ESTADISTICA!AH153</f>
        <v>0</v>
      </c>
      <c r="AI154" s="51">
        <f>ESTADISTICA!AI153</f>
        <v>0</v>
      </c>
    </row>
    <row r="155" spans="1:35" x14ac:dyDescent="0.25">
      <c r="A155" t="str">
        <f>ESTADISTICA!A154</f>
        <v>PRESIDENTE SARMIENTO</v>
      </c>
      <c r="B155" t="str">
        <f>ESTADISTICA!B154</f>
        <v>LRO02</v>
      </c>
      <c r="C155" t="str">
        <f>ESTADISTICA!C154</f>
        <v>H. Irigoyen e Islas Orcadas</v>
      </c>
      <c r="D155" t="str">
        <f>ESTADISTICA!D154</f>
        <v>Domo</v>
      </c>
      <c r="E155" t="str">
        <f>ESTADISTICA!E154</f>
        <v>FIBRA OPTICA</v>
      </c>
      <c r="F155" t="str">
        <f>ESTADISTICA!F154</f>
        <v>APAGADO</v>
      </c>
      <c r="G155" t="str">
        <f>ESTADISTICA!G154</f>
        <v>APAGADO</v>
      </c>
      <c r="H155" t="str">
        <f>ESTADISTICA!H154</f>
        <v>APAGADO</v>
      </c>
      <c r="I155" t="str">
        <f>ESTADISTICA!I154</f>
        <v>APAGADO</v>
      </c>
      <c r="J155" t="str">
        <f>ESTADISTICA!J154</f>
        <v>APAGADO</v>
      </c>
      <c r="K155" t="str">
        <f>ESTADISTICA!K154</f>
        <v>APAGADO</v>
      </c>
      <c r="L155" t="str">
        <f>ESTADISTICA!L154</f>
        <v>APAGADO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s="51">
        <f>ESTADISTICA!AH154</f>
        <v>0</v>
      </c>
      <c r="AI155" s="51">
        <f>ESTADISTICA!AI154</f>
        <v>0</v>
      </c>
    </row>
    <row r="156" spans="1:35" x14ac:dyDescent="0.25">
      <c r="A156" t="str">
        <f>ESTADISTICA!A155</f>
        <v>LOPEZ ROMERO</v>
      </c>
      <c r="B156" t="str">
        <f>ESTADISTICA!B155</f>
        <v>LRO03</v>
      </c>
      <c r="C156" t="str">
        <f>ESTADISTICA!C155</f>
        <v>H. Irigoyen y Parravicini</v>
      </c>
      <c r="D156" t="str">
        <f>ESTADISTICA!D155</f>
        <v>Fija</v>
      </c>
      <c r="E156" t="str">
        <f>ESTADISTICA!E155</f>
        <v>Fibra Optica</v>
      </c>
      <c r="F156" t="str">
        <f>ESTADISTICA!F155</f>
        <v>APAGADO</v>
      </c>
      <c r="G156" t="str">
        <f>ESTADISTICA!G155</f>
        <v>APAGADO</v>
      </c>
      <c r="H156" t="str">
        <f>ESTADISTICA!H155</f>
        <v>APAGADO</v>
      </c>
      <c r="I156" t="str">
        <f>ESTADISTICA!I155</f>
        <v>APAGADO</v>
      </c>
      <c r="J156" t="str">
        <f>ESTADISTICA!J155</f>
        <v>APAGADO</v>
      </c>
      <c r="K156" t="str">
        <f>ESTADISTICA!K155</f>
        <v>APAGADO</v>
      </c>
      <c r="L156" t="str">
        <f>ESTADISTICA!L155</f>
        <v>APAGADO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s="51">
        <f>ESTADISTICA!AH155</f>
        <v>0</v>
      </c>
      <c r="AI156" s="51">
        <f>ESTADISTICA!AI155</f>
        <v>0</v>
      </c>
    </row>
    <row r="157" spans="1:35" x14ac:dyDescent="0.25">
      <c r="A157" t="str">
        <f>ESTADISTICA!A156</f>
        <v>LOPEZ ROMERO</v>
      </c>
      <c r="B157" t="str">
        <f>ESTADISTICA!B156</f>
        <v>LRO04</v>
      </c>
      <c r="C157" t="str">
        <f>ESTADISTICA!C156</f>
        <v>H. Irigoyen y Alvarado</v>
      </c>
      <c r="D157" t="str">
        <f>ESTADISTICA!D156</f>
        <v>FIJA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1">
        <f>ESTADISTICA!AH156</f>
        <v>0</v>
      </c>
      <c r="AI157" s="51">
        <f>ESTADISTICA!AI156</f>
        <v>0</v>
      </c>
    </row>
    <row r="158" spans="1:35" x14ac:dyDescent="0.25">
      <c r="A158" t="str">
        <f>ESTADISTICA!A157</f>
        <v>PRESIDENTE SARMIENTO</v>
      </c>
      <c r="B158" t="str">
        <f>ESTADISTICA!B157</f>
        <v>LRO06</v>
      </c>
      <c r="C158" t="str">
        <f>ESTADISTICA!C157</f>
        <v>H. Irigoyen y Belgrano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 t="str">
        <f>ESTADISTICA!K157</f>
        <v>APAGADO</v>
      </c>
      <c r="L158" t="str">
        <f>ESTADISTICA!L157</f>
        <v>APAGADO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s="51">
        <f>ESTADISTICA!AH157</f>
        <v>0</v>
      </c>
      <c r="AI158" s="51">
        <f>ESTADISTICA!AI157</f>
        <v>0</v>
      </c>
    </row>
    <row r="159" spans="1:35" x14ac:dyDescent="0.25">
      <c r="A159" t="str">
        <f>ESTADISTICA!A158</f>
        <v>LOPEZ ROMERO</v>
      </c>
      <c r="B159" t="str">
        <f>ESTADISTICA!B158</f>
        <v>LRO07</v>
      </c>
      <c r="C159" t="str">
        <f>ESTADISTICA!C158</f>
        <v>H. Irigoyen y Remedios de Escalada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s="51">
        <f>ESTADISTICA!AH158</f>
        <v>0</v>
      </c>
      <c r="AI159" s="51">
        <f>ESTADISTICA!AI158</f>
        <v>0</v>
      </c>
    </row>
    <row r="160" spans="1:35" x14ac:dyDescent="0.25">
      <c r="A160" t="str">
        <f>ESTADISTICA!A159</f>
        <v>LOPEZ ROMERO</v>
      </c>
      <c r="B160" t="str">
        <f>ESTADISTICA!B159</f>
        <v>LRO08</v>
      </c>
      <c r="C160" t="str">
        <f>ESTADISTICA!C159</f>
        <v>Remedios de Escalada y Finochieto</v>
      </c>
      <c r="D160" t="str">
        <f>ESTADISTICA!D159</f>
        <v>Domo</v>
      </c>
      <c r="E160" t="str">
        <f>ESTADISTICA!E159</f>
        <v>Fibra Optica</v>
      </c>
      <c r="F160" t="str">
        <f>ESTADISTICA!F159</f>
        <v>APAGADO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 t="str">
        <f>ESTADISTICA!K159</f>
        <v>APAGADO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s="51">
        <f>ESTADISTICA!AH159</f>
        <v>0</v>
      </c>
      <c r="AI160" s="51">
        <f>ESTADISTICA!AI159</f>
        <v>0</v>
      </c>
    </row>
    <row r="161" spans="1:35" x14ac:dyDescent="0.25">
      <c r="A161" t="str">
        <f>ESTADISTICA!A160</f>
        <v>LOPEZ ROMERO</v>
      </c>
      <c r="B161" t="str">
        <f>ESTADISTICA!B160</f>
        <v>LRO11</v>
      </c>
      <c r="C161" t="str">
        <f>ESTADISTICA!C160</f>
        <v>Av. Yrigoyen y Braile</v>
      </c>
      <c r="D161" t="str">
        <f>ESTADISTICA!D160</f>
        <v>Domo</v>
      </c>
      <c r="E161" t="str">
        <f>ESTADISTICA!E160</f>
        <v>FIBRA OPTICA</v>
      </c>
      <c r="F161" t="str">
        <f>ESTADISTICA!F160</f>
        <v>APAGADO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 t="str">
        <f>ESTADISTICA!K160</f>
        <v>APAGADO</v>
      </c>
      <c r="L161" t="str">
        <f>ESTADISTICA!L160</f>
        <v>APAGADO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s="51">
        <f>ESTADISTICA!AH160</f>
        <v>0</v>
      </c>
      <c r="AI161" s="51">
        <f>ESTADISTICA!AI160</f>
        <v>0</v>
      </c>
    </row>
    <row r="162" spans="1:35" x14ac:dyDescent="0.25">
      <c r="A162" t="str">
        <f>ESTADISTICA!A161</f>
        <v>LOPEZ ROMERO</v>
      </c>
      <c r="B162" t="str">
        <f>ESTADISTICA!B161</f>
        <v>LRO14</v>
      </c>
      <c r="C162" t="str">
        <f>ESTADISTICA!C161</f>
        <v>YRIGOYEN Y STORNI</v>
      </c>
      <c r="D162" t="str">
        <f>ESTADISTICA!D161</f>
        <v>DOMO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s="51">
        <f>ESTADISTICA!AH161</f>
        <v>0</v>
      </c>
      <c r="AI162" s="51">
        <f>ESTADISTICA!AI161</f>
        <v>0</v>
      </c>
    </row>
    <row r="163" spans="1:35" x14ac:dyDescent="0.25">
      <c r="A163" t="str">
        <f>ESTADISTICA!A162</f>
        <v>LUJAN</v>
      </c>
      <c r="B163" t="str">
        <f>ESTADISTICA!B162</f>
        <v>LUJ 01</v>
      </c>
      <c r="C163" t="str">
        <f>ESTADISTICA!C162</f>
        <v>Ã‘andu y Los Pinos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s="51">
        <f>ESTADISTICA!AH162</f>
        <v>0</v>
      </c>
      <c r="AI163" s="51">
        <f>ESTADISTICA!AI162</f>
        <v>0</v>
      </c>
    </row>
    <row r="164" spans="1:35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Fibra Optica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s="51">
        <f>ESTADISTICA!AH163</f>
        <v>0</v>
      </c>
      <c r="AI164" s="51">
        <f>ESTADISTICA!AI163</f>
        <v>0</v>
      </c>
    </row>
    <row r="165" spans="1:35" x14ac:dyDescent="0.25">
      <c r="A165" t="str">
        <f>ESTADISTICA!A164</f>
        <v>LUJAN</v>
      </c>
      <c r="B165" t="str">
        <f>ESTADISTICA!B164</f>
        <v>LUJ03</v>
      </c>
      <c r="C165" t="str">
        <f>ESTADISTICA!C164</f>
        <v>LOS PINOS Y LOS TILOS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s="51">
        <f>ESTADISTICA!AH164</f>
        <v>0</v>
      </c>
      <c r="AI165" s="51">
        <f>ESTADISTICA!AI164</f>
        <v>0</v>
      </c>
    </row>
    <row r="166" spans="1:35" x14ac:dyDescent="0.25">
      <c r="A166" t="str">
        <f>ESTADISTICA!A165</f>
        <v>PRESIDENTE PERON (PEPSI)</v>
      </c>
      <c r="B166" t="str">
        <f>ESTADISTICA!B165</f>
        <v>MAR 01</v>
      </c>
      <c r="C166" t="str">
        <f>ESTADISTICA!C165</f>
        <v>RP36 Y LA ESMERALDA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 t="str">
        <f>ESTADISTICA!L165</f>
        <v>APAGADO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s="51">
        <f>ESTADISTICA!AH165</f>
        <v>0</v>
      </c>
      <c r="AI166" s="51">
        <f>ESTADISTICA!AI165</f>
        <v>0</v>
      </c>
    </row>
    <row r="167" spans="1:35" x14ac:dyDescent="0.25">
      <c r="A167" t="str">
        <f>ESTADISTICA!A166</f>
        <v>RICARDO ROJAS</v>
      </c>
      <c r="B167" t="str">
        <f>ESTADISTICA!B166</f>
        <v>MAR 02 (FIJA1)</v>
      </c>
      <c r="C167" t="str">
        <f>ESTADISTICA!C166</f>
        <v>LUJAN Y PATAGONES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 t="str">
        <f>ESTADISTICA!L166</f>
        <v>APAGADO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s="51">
        <f>ESTADISTICA!AH166</f>
        <v>0</v>
      </c>
      <c r="AI167" s="51">
        <f>ESTADISTICA!AI166</f>
        <v>0</v>
      </c>
    </row>
    <row r="168" spans="1:35" x14ac:dyDescent="0.25">
      <c r="A168" t="str">
        <f>ESTADISTICA!A167</f>
        <v>LAS MARGARITAS</v>
      </c>
      <c r="B168" t="str">
        <f>ESTADISTICA!B167</f>
        <v>MAR 03(FIJA 2)</v>
      </c>
      <c r="C168" t="str">
        <f>ESTADISTICA!C167</f>
        <v>LUJAN Y PATAGONES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 t="str">
        <f>ESTADISTICA!L167</f>
        <v>APAGADO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s="51">
        <f>ESTADISTICA!AH167</f>
        <v>0</v>
      </c>
      <c r="AI168" s="51">
        <f>ESTADISTICA!AI167</f>
        <v>0</v>
      </c>
    </row>
    <row r="169" spans="1:35" x14ac:dyDescent="0.25">
      <c r="A169" t="str">
        <f>ESTADISTICA!A168</f>
        <v>MAYOL</v>
      </c>
      <c r="B169" t="str">
        <f>ESTADISTICA!B168</f>
        <v>MAY 01</v>
      </c>
      <c r="C169" t="str">
        <f>ESTADISTICA!C168</f>
        <v>Eva PerÃ³n y Cabildo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s="51">
        <f>ESTADISTICA!AH168</f>
        <v>0</v>
      </c>
      <c r="AI169" s="51">
        <f>ESTADISTICA!AI168</f>
        <v>0</v>
      </c>
    </row>
    <row r="170" spans="1:35" x14ac:dyDescent="0.25">
      <c r="A170" t="str">
        <f>ESTADISTICA!A169</f>
        <v>MAYOL</v>
      </c>
      <c r="B170" t="str">
        <f>ESTADISTICA!B169</f>
        <v>MAY 02</v>
      </c>
      <c r="C170" t="str">
        <f>ESTADISTICA!C169</f>
        <v>EVA PERON Y MONTEVIDEO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s="51">
        <f>ESTADISTICA!AH169</f>
        <v>0</v>
      </c>
      <c r="AI170" s="51">
        <f>ESTADISTICA!AI169</f>
        <v>0</v>
      </c>
    </row>
    <row r="171" spans="1:35" x14ac:dyDescent="0.25">
      <c r="A171" t="str">
        <f>ESTADISTICA!A170</f>
        <v>MAYOL</v>
      </c>
      <c r="B171" t="str">
        <f>ESTADISTICA!B170</f>
        <v>MAY 03</v>
      </c>
      <c r="C171" t="str">
        <f>ESTADISTICA!C170</f>
        <v>CHAÃ‘AR Y SAN NICOLAS</v>
      </c>
      <c r="D171" t="str">
        <f>ESTADISTICA!D170</f>
        <v>DOMO</v>
      </c>
      <c r="E171" t="str">
        <f>ESTADISTICA!E170</f>
        <v>PTO A FO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s="51">
        <f>ESTADISTICA!AH170</f>
        <v>0</v>
      </c>
      <c r="AI171" s="51">
        <f>ESTADISTICA!AI170</f>
        <v>0</v>
      </c>
    </row>
    <row r="172" spans="1:35" x14ac:dyDescent="0.25">
      <c r="A172" t="str">
        <f>ESTADISTICA!A171</f>
        <v>MAYOL</v>
      </c>
      <c r="B172" t="str">
        <f>ESTADISTICA!B171</f>
        <v>MAY 04</v>
      </c>
      <c r="C172" t="str">
        <f>ESTADISTICA!C171</f>
        <v>MAR CHIQUITA Y RIO JACHAL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s="51">
        <f>ESTADISTICA!AH171</f>
        <v>0</v>
      </c>
      <c r="AI172" s="51">
        <f>ESTADISTICA!AI171</f>
        <v>0</v>
      </c>
    </row>
    <row r="173" spans="1:35" x14ac:dyDescent="0.25">
      <c r="A173" t="str">
        <f>ESTADISTICA!A172</f>
        <v>MARTIN FIERRO</v>
      </c>
      <c r="B173" t="str">
        <f>ESTADISTICA!B172</f>
        <v>MFI 01</v>
      </c>
      <c r="C173" t="str">
        <f>ESTADISTICA!C172</f>
        <v>Belgrano y Sgto. Cabral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 t="str">
        <f>ESTADISTICA!K172</f>
        <v>APAGADO</v>
      </c>
      <c r="L173" t="str">
        <f>ESTADISTICA!L172</f>
        <v>APAGADO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s="51">
        <f>ESTADISTICA!AH172</f>
        <v>0</v>
      </c>
      <c r="AI173" s="51">
        <f>ESTADISTICA!AI172</f>
        <v>0</v>
      </c>
    </row>
    <row r="174" spans="1:35" x14ac:dyDescent="0.25">
      <c r="A174" t="str">
        <f>ESTADISTICA!A173</f>
        <v>SAN EMILIO</v>
      </c>
      <c r="B174" t="str">
        <f>ESTADISTICA!B173</f>
        <v>MFI 03</v>
      </c>
      <c r="C174" t="str">
        <f>ESTADISTICA!C173</f>
        <v>Cno. Gral. Belgrano y Av. del Trabajo</v>
      </c>
      <c r="D174" t="str">
        <f>ESTADISTICA!D173</f>
        <v>Domo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 t="str">
        <f>ESTADISTICA!K173</f>
        <v>APAGADO</v>
      </c>
      <c r="L174" t="str">
        <f>ESTADISTICA!L173</f>
        <v>APAGADO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s="51">
        <f>ESTADISTICA!AH173</f>
        <v>0</v>
      </c>
      <c r="AI174" s="51">
        <f>ESTADISTICA!AI173</f>
        <v>0</v>
      </c>
    </row>
    <row r="175" spans="1:35" x14ac:dyDescent="0.25">
      <c r="A175" t="str">
        <f>ESTADISTICA!A174</f>
        <v>SAN EMILIO</v>
      </c>
      <c r="B175" t="str">
        <f>ESTADISTICA!B174</f>
        <v>MFI 05</v>
      </c>
      <c r="C175" t="str">
        <f>ESTADISTICA!C174</f>
        <v>Cno. Gral. Belgrano y Guayaquil</v>
      </c>
      <c r="D175" t="str">
        <f>ESTADISTICA!D174</f>
        <v>Domo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 t="str">
        <f>ESTADISTICA!K174</f>
        <v>APAGADO</v>
      </c>
      <c r="L175" t="str">
        <f>ESTADISTICA!L174</f>
        <v>APAGADO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s="51">
        <f>ESTADISTICA!AH174</f>
        <v>0</v>
      </c>
      <c r="AI175" s="51">
        <f>ESTADISTICA!AI174</f>
        <v>0</v>
      </c>
    </row>
    <row r="176" spans="1:35" x14ac:dyDescent="0.25">
      <c r="A176" t="str">
        <f>ESTADISTICA!A175</f>
        <v>LOPEZ ROMERO</v>
      </c>
      <c r="B176" t="str">
        <f>ESTADISTICA!B175</f>
        <v>MFI02</v>
      </c>
      <c r="C176" t="str">
        <f>ESTADISTICA!C175</f>
        <v>Calchaqui y Balcarce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s="51">
        <f>ESTADISTICA!AH175</f>
        <v>0</v>
      </c>
      <c r="AI176" s="51">
        <f>ESTADISTICA!AI175</f>
        <v>0</v>
      </c>
    </row>
    <row r="177" spans="1:35" x14ac:dyDescent="0.25">
      <c r="A177" t="str">
        <f>ESTADISTICA!A176</f>
        <v>MARTIN FIERRO</v>
      </c>
      <c r="B177" t="str">
        <f>ESTADISTICA!B176</f>
        <v>MFI04</v>
      </c>
      <c r="C177" t="str">
        <f>ESTADISTICA!C176</f>
        <v>Calchaqui y balcarce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s="51">
        <f>ESTADISTICA!AH176</f>
        <v>0</v>
      </c>
      <c r="AI177" s="51">
        <f>ESTADISTICA!AI176</f>
        <v>0</v>
      </c>
    </row>
    <row r="178" spans="1:35" x14ac:dyDescent="0.25">
      <c r="A178" t="str">
        <f>ESTADISTICA!A177</f>
        <v>SAN EMILIO</v>
      </c>
      <c r="B178" t="str">
        <f>ESTADISTICA!B177</f>
        <v>MFI06</v>
      </c>
      <c r="C178" t="str">
        <f>ESTADISTICA!C177</f>
        <v>Con. Gral. Belgrano y Bombero Galarza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 t="str">
        <f>ESTADISTICA!K177</f>
        <v>APAGADO</v>
      </c>
      <c r="L178" t="str">
        <f>ESTADISTICA!L177</f>
        <v>APAGADO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s="51">
        <f>ESTADISTICA!AH177</f>
        <v>0</v>
      </c>
      <c r="AI178" s="51">
        <f>ESTADISTICA!AI177</f>
        <v>0</v>
      </c>
    </row>
    <row r="179" spans="1:35" x14ac:dyDescent="0.25">
      <c r="A179" t="str">
        <f>ESTADISTICA!A178</f>
        <v>GOBERNADOR MONTEVERDE</v>
      </c>
      <c r="B179" t="str">
        <f>ESTADISTICA!B178</f>
        <v>MON01</v>
      </c>
      <c r="C179" t="str">
        <f>ESTADISTICA!C178</f>
        <v>San Martin y Patricias Argentinas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s="51">
        <f>ESTADISTICA!AH178</f>
        <v>0</v>
      </c>
      <c r="AI179" s="51">
        <f>ESTADISTICA!AI178</f>
        <v>0</v>
      </c>
    </row>
    <row r="180" spans="1:35" x14ac:dyDescent="0.25">
      <c r="A180" t="str">
        <f>ESTADISTICA!A179</f>
        <v>GOBERNADOR MONTEVERDE</v>
      </c>
      <c r="B180" t="str">
        <f>ESTADISTICA!B179</f>
        <v>MON02</v>
      </c>
      <c r="C180" t="str">
        <f>ESTADISTICA!C179</f>
        <v>Senzabello y Famatina</v>
      </c>
      <c r="D180" t="str">
        <f>ESTADISTICA!D179</f>
        <v>Domo</v>
      </c>
      <c r="E180" t="str">
        <f>ESTADISTICA!E179</f>
        <v>Radio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s="51">
        <f>ESTADISTICA!AH179</f>
        <v>0</v>
      </c>
      <c r="AI180" s="51">
        <f>ESTADISTICA!AI179</f>
        <v>0</v>
      </c>
    </row>
    <row r="181" spans="1:35" x14ac:dyDescent="0.25">
      <c r="A181" t="str">
        <f>ESTADISTICA!A180</f>
        <v>GOBERNADOR MONTEVERDE</v>
      </c>
      <c r="B181" t="str">
        <f>ESTADISTICA!B180</f>
        <v>MON03</v>
      </c>
      <c r="C181" t="str">
        <f>ESTADISTICA!C180</f>
        <v>Senzabello y Guemes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 s="51">
        <f>ESTADISTICA!AH180</f>
        <v>0</v>
      </c>
      <c r="AI181" s="51">
        <f>ESTADISTICA!AI180</f>
        <v>0</v>
      </c>
    </row>
    <row r="182" spans="1:35" x14ac:dyDescent="0.25">
      <c r="A182" t="str">
        <f>ESTADISTICA!A181</f>
        <v>GOBERNADOR MONTEVERDE</v>
      </c>
      <c r="B182" t="str">
        <f>ESTADISTICA!B181</f>
        <v>MON04</v>
      </c>
      <c r="C182" t="str">
        <f>ESTADISTICA!C181</f>
        <v>Av. Yrigoyen y San Lorenzo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s="51">
        <f>ESTADISTICA!AH181</f>
        <v>0</v>
      </c>
      <c r="AI182" s="51">
        <f>ESTADISTICA!AI181</f>
        <v>0</v>
      </c>
    </row>
    <row r="183" spans="1:35" x14ac:dyDescent="0.25">
      <c r="A183" t="str">
        <f>ESTADISTICA!A182</f>
        <v>9 DE JULIO</v>
      </c>
      <c r="B183" t="str">
        <f>ESTADISTICA!B182</f>
        <v>NJU 01</v>
      </c>
      <c r="C183" t="str">
        <f>ESTADISTICA!C182</f>
        <v>Sallares y Parrillo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s="51">
        <f>ESTADISTICA!AH182</f>
        <v>0</v>
      </c>
      <c r="AI183" s="51">
        <f>ESTADISTICA!AI182</f>
        <v>0</v>
      </c>
    </row>
    <row r="184" spans="1:35" x14ac:dyDescent="0.25">
      <c r="A184" t="str">
        <f>ESTADISTICA!A183</f>
        <v>9 DE JULIO</v>
      </c>
      <c r="B184" t="str">
        <f>ESTADISTICA!B183</f>
        <v>NJU 08</v>
      </c>
      <c r="C184" t="str">
        <f>ESTADISTICA!C183</f>
        <v>BOCCUZZI Y O HIGGINS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 s="51">
        <f>ESTADISTICA!AH183</f>
        <v>0</v>
      </c>
      <c r="AI184" s="51">
        <f>ESTADISTICA!AI183</f>
        <v>0</v>
      </c>
    </row>
    <row r="185" spans="1:35" x14ac:dyDescent="0.25">
      <c r="A185" t="str">
        <f>ESTADISTICA!A184</f>
        <v>9 DE JULIO</v>
      </c>
      <c r="B185" t="str">
        <f>ESTADISTICA!B184</f>
        <v>NJU02</v>
      </c>
      <c r="C185" t="str">
        <f>ESTADISTICA!C184</f>
        <v>Ituzaingo y Boccuzzi</v>
      </c>
      <c r="D185" t="str">
        <f>ESTADISTICA!D184</f>
        <v>Domo</v>
      </c>
      <c r="E185" t="str">
        <f>ESTADISTICA!E184</f>
        <v>Radio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s="51">
        <f>ESTADISTICA!AH184</f>
        <v>0</v>
      </c>
      <c r="AI185" s="51">
        <f>ESTADISTICA!AI184</f>
        <v>0</v>
      </c>
    </row>
    <row r="186" spans="1:35" x14ac:dyDescent="0.25">
      <c r="A186" t="str">
        <f>ESTADISTICA!A185</f>
        <v>9 DE JULIO</v>
      </c>
      <c r="B186" t="str">
        <f>ESTADISTICA!B185</f>
        <v>NJU03</v>
      </c>
      <c r="C186" t="str">
        <f>ESTADISTICA!C185</f>
        <v>San Juan y Parrillo</v>
      </c>
      <c r="D186" t="str">
        <f>ESTADISTICA!D185</f>
        <v>Domo</v>
      </c>
      <c r="E186" t="str">
        <f>ESTADISTICA!E185</f>
        <v>PTO A FO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s="51">
        <f>ESTADISTICA!AH185</f>
        <v>0</v>
      </c>
      <c r="AI186" s="51">
        <f>ESTADISTICA!AI185</f>
        <v>0</v>
      </c>
    </row>
    <row r="187" spans="1:35" x14ac:dyDescent="0.25">
      <c r="A187" t="str">
        <f>ESTADISTICA!A186</f>
        <v>9 DE JULIO</v>
      </c>
      <c r="B187" t="str">
        <f>ESTADISTICA!B186</f>
        <v>NJU04</v>
      </c>
      <c r="C187" t="str">
        <f>ESTADISTICA!C186</f>
        <v>Ituzaingo y 214 A</v>
      </c>
      <c r="D187" t="str">
        <f>ESTADISTICA!D186</f>
        <v>Domo</v>
      </c>
      <c r="E187" t="str">
        <f>ESTADISTICA!E186</f>
        <v>Radio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s="51">
        <f>ESTADISTICA!AH186</f>
        <v>0</v>
      </c>
      <c r="AI187" s="51">
        <f>ESTADISTICA!AI186</f>
        <v>0</v>
      </c>
    </row>
    <row r="188" spans="1:35" x14ac:dyDescent="0.25">
      <c r="A188" t="str">
        <f>ESTADISTICA!A187</f>
        <v>ZEBALLOS CENTRO</v>
      </c>
      <c r="B188" t="str">
        <f>ESTADISTICA!B187</f>
        <v>NJU05</v>
      </c>
      <c r="C188" t="str">
        <f>ESTADISTICA!C187</f>
        <v>Ituzaingo y Alem</v>
      </c>
      <c r="D188" t="str">
        <f>ESTADISTICA!D187</f>
        <v>Domo</v>
      </c>
      <c r="E188" t="str">
        <f>ESTADISTICA!E187</f>
        <v>Radio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s="51">
        <f>ESTADISTICA!AH187</f>
        <v>0</v>
      </c>
      <c r="AI188" s="51">
        <f>ESTADISTICA!AI187</f>
        <v>0</v>
      </c>
    </row>
    <row r="189" spans="1:35" x14ac:dyDescent="0.25">
      <c r="A189" t="str">
        <f>ESTADISTICA!A188</f>
        <v>CENTRO</v>
      </c>
      <c r="B189" t="str">
        <f>ESTADISTICA!B188</f>
        <v>NJU06</v>
      </c>
      <c r="C189" t="str">
        <f>ESTADISTICA!C188</f>
        <v>Sallares y Rodo</v>
      </c>
      <c r="D189" t="str">
        <f>ESTADISTICA!D188</f>
        <v>Domo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51">
        <f>ESTADISTICA!AH188</f>
        <v>0</v>
      </c>
      <c r="AI189" s="51">
        <f>ESTADISTICA!AI188</f>
        <v>0</v>
      </c>
    </row>
    <row r="190" spans="1:35" x14ac:dyDescent="0.25">
      <c r="A190" t="str">
        <f>ESTADISTICA!A189</f>
        <v>9 DE JULIO</v>
      </c>
      <c r="B190" t="str">
        <f>ESTADISTICA!B189</f>
        <v>NJU07</v>
      </c>
      <c r="C190" t="str">
        <f>ESTADISTICA!C189</f>
        <v>Gral. Juan Domingo Peron y Parrillo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1">
        <f>ESTADISTICA!AH189</f>
        <v>0</v>
      </c>
      <c r="AI190" s="51">
        <f>ESTADISTICA!AI189</f>
        <v>0</v>
      </c>
    </row>
    <row r="191" spans="1:35" x14ac:dyDescent="0.25">
      <c r="A191" t="str">
        <f>ESTADISTICA!A190</f>
        <v>9 DE JULIO</v>
      </c>
      <c r="B191" t="str">
        <f>ESTADISTICA!B190</f>
        <v>NJU09</v>
      </c>
      <c r="C191" t="str">
        <f>ESTADISTICA!C190</f>
        <v>PARRILLO Y CONTRERAS</v>
      </c>
      <c r="D191" t="str">
        <f>ESTADISTICA!D190</f>
        <v>DOMO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1">
        <f>ESTADISTICA!AH190</f>
        <v>0</v>
      </c>
      <c r="AI191" s="51">
        <f>ESTADISTICA!AI190</f>
        <v>0</v>
      </c>
    </row>
    <row r="192" spans="1:35" x14ac:dyDescent="0.25">
      <c r="A192" t="str">
        <f>ESTADISTICA!A191</f>
        <v>PICO DE ORO</v>
      </c>
      <c r="B192" t="str">
        <f>ESTADISTICA!B191</f>
        <v>PCO 01</v>
      </c>
      <c r="C192" t="str">
        <f>ESTADISTICA!C191</f>
        <v>CEMENTERIO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1">
        <f>ESTADISTICA!AH191</f>
        <v>0</v>
      </c>
      <c r="AI192" s="51">
        <f>ESTADISTICA!AI191</f>
        <v>0</v>
      </c>
    </row>
    <row r="193" spans="1:35" x14ac:dyDescent="0.25">
      <c r="A193" t="str">
        <f>ESTADISTICA!A192</f>
        <v>PICO DE ORO</v>
      </c>
      <c r="B193" t="str">
        <f>ESTADISTICA!B192</f>
        <v>PCO02 (fija 1)</v>
      </c>
      <c r="C193" t="str">
        <f>ESTADISTICA!C192</f>
        <v>SICILIA E/ VIENA Y VARSOVIA</v>
      </c>
      <c r="D193" t="str">
        <f>ESTADISTICA!D192</f>
        <v>Fija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s="51">
        <f>ESTADISTICA!AH192</f>
        <v>0</v>
      </c>
      <c r="AI193" s="51">
        <f>ESTADISTICA!AI192</f>
        <v>0</v>
      </c>
    </row>
    <row r="194" spans="1:35" x14ac:dyDescent="0.25">
      <c r="A194" t="str">
        <f>ESTADISTICA!A193</f>
        <v>PICO DE ORO</v>
      </c>
      <c r="B194" t="str">
        <f>ESTADISTICA!B193</f>
        <v>PCO03 (fija 2)</v>
      </c>
      <c r="C194" t="str">
        <f>ESTADISTICA!C193</f>
        <v>SICILIA E/ VIENA Y VARSOVIA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s="51">
        <f>ESTADISTICA!AH193</f>
        <v>0</v>
      </c>
      <c r="AI194" s="51">
        <f>ESTADISTICA!AI193</f>
        <v>0</v>
      </c>
    </row>
    <row r="195" spans="1:35" x14ac:dyDescent="0.25">
      <c r="A195" t="str">
        <f>ESTADISTICA!A194</f>
        <v>PICO DE ORO</v>
      </c>
      <c r="B195" t="str">
        <f>ESTADISTICA!B194</f>
        <v>PCO04 (fija 1)</v>
      </c>
      <c r="C195" t="str">
        <f>ESTADISTICA!C194</f>
        <v>BERNA Y POLONIA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s="51">
        <f>ESTADISTICA!AH194</f>
        <v>0</v>
      </c>
      <c r="AI195" s="51">
        <f>ESTADISTICA!AI194</f>
        <v>0</v>
      </c>
    </row>
    <row r="196" spans="1:35" x14ac:dyDescent="0.25">
      <c r="A196" t="str">
        <f>ESTADISTICA!A195</f>
        <v>PICO DE ORO</v>
      </c>
      <c r="B196" t="str">
        <f>ESTADISTICA!B195</f>
        <v>PCO05 (fija 2)</v>
      </c>
      <c r="C196" t="str">
        <f>ESTADISTICA!C195</f>
        <v>BERNA Y POLONIA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s="51">
        <f>ESTADISTICA!AH195</f>
        <v>0</v>
      </c>
      <c r="AI196" s="51">
        <f>ESTADISTICA!AI195</f>
        <v>0</v>
      </c>
    </row>
    <row r="197" spans="1:35" x14ac:dyDescent="0.25">
      <c r="A197" t="str">
        <f>ESTADISTICA!A196</f>
        <v>AGUSTIN RAMIREZ</v>
      </c>
      <c r="B197" t="str">
        <f>ESTADISTICA!B196</f>
        <v>PUNTO SEGURO - AGUSTIN RAMIREZ (domo)</v>
      </c>
      <c r="C197" t="str">
        <f>ESTADISTICA!C196</f>
        <v>EL MALAMBO Y LA TRANQUERA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 t="str">
        <f>ESTADISTICA!G196</f>
        <v>APAGADO</v>
      </c>
      <c r="H197">
        <f>ESTADISTICA!H196</f>
        <v>0</v>
      </c>
      <c r="I197">
        <f>ESTADISTICA!I196</f>
        <v>0</v>
      </c>
      <c r="J197">
        <f>ESTADISTICA!J196</f>
        <v>0</v>
      </c>
      <c r="K197" t="str">
        <f>ESTADISTICA!K196</f>
        <v>APAGADO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s="51">
        <f>ESTADISTICA!AH196</f>
        <v>0</v>
      </c>
      <c r="AI197" s="51">
        <f>ESTADISTICA!AI196</f>
        <v>0</v>
      </c>
    </row>
    <row r="198" spans="1:35" x14ac:dyDescent="0.25">
      <c r="A198" t="str">
        <f>ESTADISTICA!A197</f>
        <v>AGUSTIN RAMIREZ</v>
      </c>
      <c r="B198" t="str">
        <f>ESTADISTICA!B197</f>
        <v>PUNTO SEGURO - AGUSTIN RAMIREZ (fija)</v>
      </c>
      <c r="C198" t="str">
        <f>ESTADISTICA!C197</f>
        <v>EL MALAMBO Y LA TRANQUERA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 t="str">
        <f>ESTADISTICA!G197</f>
        <v>APAGADO</v>
      </c>
      <c r="H198">
        <f>ESTADISTICA!H197</f>
        <v>0</v>
      </c>
      <c r="I198">
        <f>ESTADISTICA!I197</f>
        <v>0</v>
      </c>
      <c r="J198">
        <f>ESTADISTICA!J197</f>
        <v>0</v>
      </c>
      <c r="K198" t="str">
        <f>ESTADISTICA!K197</f>
        <v>APAGADO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s="51">
        <f>ESTADISTICA!AH197</f>
        <v>0</v>
      </c>
      <c r="AI198" s="51">
        <f>ESTADISTICA!AI197</f>
        <v>0</v>
      </c>
    </row>
    <row r="199" spans="1:35" x14ac:dyDescent="0.25">
      <c r="A199" t="str">
        <f>ESTADISTICA!A198</f>
        <v>EL PARQUE</v>
      </c>
      <c r="B199" t="str">
        <f>ESTADISTICA!B198</f>
        <v>PUNTO SEGURO - EL PARQUE (domo)</v>
      </c>
      <c r="C199" t="str">
        <f>ESTADISTICA!C198</f>
        <v>CALLE 1282 Y 1201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s="51">
        <f>ESTADISTICA!AH198</f>
        <v>0</v>
      </c>
      <c r="AI199" s="51">
        <f>ESTADISTICA!AI198</f>
        <v>0</v>
      </c>
    </row>
    <row r="200" spans="1:35" x14ac:dyDescent="0.25">
      <c r="A200" t="str">
        <f>ESTADISTICA!A199</f>
        <v>EL PARQUE</v>
      </c>
      <c r="B200" t="str">
        <f>ESTADISTICA!B199</f>
        <v>PUNTO SEGURO - EL PARQUE (fija)</v>
      </c>
      <c r="C200" t="str">
        <f>ESTADISTICA!C199</f>
        <v>CALLE 1282 Y 1201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s="51">
        <f>ESTADISTICA!AH199</f>
        <v>0</v>
      </c>
      <c r="AI200" s="51">
        <f>ESTADISTICA!AI199</f>
        <v>0</v>
      </c>
    </row>
    <row r="201" spans="1:35" x14ac:dyDescent="0.25">
      <c r="A201" t="str">
        <f>ESTADISTICA!A200</f>
        <v>INGENIERO ALLAN</v>
      </c>
      <c r="B201" t="str">
        <f>ESTADISTICA!B200</f>
        <v>PUNTO SEGURO - ING. ALLAN (domo)</v>
      </c>
      <c r="C201" t="str">
        <f>ESTADISTICA!C200</f>
        <v>DIAG. LOS YAGANES Y 1148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s="51">
        <f>ESTADISTICA!AH200</f>
        <v>0</v>
      </c>
      <c r="AI201" s="51">
        <f>ESTADISTICA!AI200</f>
        <v>0</v>
      </c>
    </row>
    <row r="202" spans="1:35" x14ac:dyDescent="0.25">
      <c r="A202" t="str">
        <f>ESTADISTICA!A201</f>
        <v>INGENIERO ALLAN</v>
      </c>
      <c r="B202" t="str">
        <f>ESTADISTICA!B201</f>
        <v>PUNTO SEGURO - ING. ALLAN (fija)</v>
      </c>
      <c r="C202" t="str">
        <f>ESTADISTICA!C201</f>
        <v>DIAG. LOS YAGANES Y 1148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s="51">
        <f>ESTADISTICA!AH201</f>
        <v>0</v>
      </c>
      <c r="AI202" s="51">
        <f>ESTADISTICA!AI201</f>
        <v>0</v>
      </c>
    </row>
    <row r="203" spans="1:35" x14ac:dyDescent="0.25">
      <c r="A203" t="str">
        <f>ESTADISTICA!A202</f>
        <v>VILLA ARGENTINA</v>
      </c>
      <c r="B203" t="str">
        <f>ESTADISTICA!B202</f>
        <v>PUNTO SEGURO - KM 26 (domo)</v>
      </c>
      <c r="C203" t="str">
        <f>ESTADISTICA!C202</f>
        <v>513 Y PORTELA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s="51">
        <f>ESTADISTICA!AH202</f>
        <v>0</v>
      </c>
      <c r="AI203" s="51">
        <f>ESTADISTICA!AI202</f>
        <v>0</v>
      </c>
    </row>
    <row r="204" spans="1:35" x14ac:dyDescent="0.25">
      <c r="A204" t="str">
        <f>ESTADISTICA!A203</f>
        <v>VILLA ARGENTINA</v>
      </c>
      <c r="B204" t="str">
        <f>ESTADISTICA!B203</f>
        <v>PUNTO SEGURO - KM 26 (fija)</v>
      </c>
      <c r="C204" t="str">
        <f>ESTADISTICA!C203</f>
        <v>513 Y PORTELA</v>
      </c>
      <c r="D204" t="str">
        <f>ESTADISTICA!D203</f>
        <v>Fija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 t="str">
        <f>ESTADISTICA!L203</f>
        <v>APAGADO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1">
        <f>ESTADISTICA!AH203</f>
        <v>0</v>
      </c>
      <c r="AI204" s="51">
        <f>ESTADISTICA!AI203</f>
        <v>0</v>
      </c>
    </row>
    <row r="205" spans="1:35" x14ac:dyDescent="0.25">
      <c r="A205" t="str">
        <f>ESTADISTICA!A204</f>
        <v>LUJAN</v>
      </c>
      <c r="B205" t="str">
        <f>ESTADISTICA!B204</f>
        <v>PUNTO SEGURO - LUJAN (fija)</v>
      </c>
      <c r="C205" t="str">
        <f>ESTADISTICA!C204</f>
        <v>DIAG. LOS TILOS Y LOS ALGARROBOS</v>
      </c>
      <c r="D205" t="str">
        <f>ESTADISTICA!D204</f>
        <v>Fija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s="51">
        <f>ESTADISTICA!AH204</f>
        <v>0</v>
      </c>
      <c r="AI205" s="51">
        <f>ESTADISTICA!AI204</f>
        <v>0</v>
      </c>
    </row>
    <row r="206" spans="1:35" x14ac:dyDescent="0.25">
      <c r="A206" t="str">
        <f>ESTADISTICA!A205</f>
        <v>ZONA RURAL SANTA ROSA</v>
      </c>
      <c r="B206" t="str">
        <f>ESTADISTICA!B205</f>
        <v>PUNTO SEGURO - PICO DE ORO (domo)</v>
      </c>
      <c r="C206" t="str">
        <f>ESTADISTICA!C205</f>
        <v>PISANI Y BULGARIA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s="51">
        <f>ESTADISTICA!AH205</f>
        <v>0</v>
      </c>
      <c r="AI206" s="51">
        <f>ESTADISTICA!AI205</f>
        <v>0</v>
      </c>
    </row>
    <row r="207" spans="1:35" x14ac:dyDescent="0.25">
      <c r="A207" t="str">
        <f>ESTADISTICA!A206</f>
        <v>ZONA RURAL SANTA ROSA</v>
      </c>
      <c r="B207" t="str">
        <f>ESTADISTICA!B206</f>
        <v>PUNTO SEGURO - PICO DE ORO (fija)</v>
      </c>
      <c r="C207" t="str">
        <f>ESTADISTICA!C206</f>
        <v>PISANI Y BULGARIA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s="51">
        <f>ESTADISTICA!AH206</f>
        <v>0</v>
      </c>
      <c r="AI207" s="51">
        <f>ESTADISTICA!AI206</f>
        <v>0</v>
      </c>
    </row>
    <row r="208" spans="1:35" x14ac:dyDescent="0.25">
      <c r="A208" t="str">
        <f>ESTADISTICA!A207</f>
        <v>SAN FRANCISCO ESTE (CHICO)</v>
      </c>
      <c r="B208" t="str">
        <f>ESTADISTICA!B207</f>
        <v>PUNTO SEGURO - SAN FRANCISCO (domo)</v>
      </c>
      <c r="C208" t="str">
        <f>ESTADISTICA!C207</f>
        <v>RP 53 Y 1332</v>
      </c>
      <c r="D208" t="str">
        <f>ESTADISTICA!D207</f>
        <v>DOMO</v>
      </c>
      <c r="E208" t="str">
        <f>ESTADISTICA!E207</f>
        <v>Fibra Optica</v>
      </c>
      <c r="F208" t="str">
        <f>ESTADISTICA!F207</f>
        <v>APAGADO</v>
      </c>
      <c r="G208" t="str">
        <f>ESTADISTICA!G207</f>
        <v>APAGADO</v>
      </c>
      <c r="H208" t="str">
        <f>ESTADISTICA!H207</f>
        <v>APAGADO</v>
      </c>
      <c r="I208" t="str">
        <f>ESTADISTICA!I207</f>
        <v>APAGADO</v>
      </c>
      <c r="J208" t="str">
        <f>ESTADISTICA!J207</f>
        <v>APAGADO</v>
      </c>
      <c r="K208" t="str">
        <f>ESTADISTICA!K207</f>
        <v>APAGADO</v>
      </c>
      <c r="L208" t="str">
        <f>ESTADISTICA!L207</f>
        <v>APAGADO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s="51">
        <f>ESTADISTICA!AH207</f>
        <v>0</v>
      </c>
      <c r="AI208" s="51">
        <f>ESTADISTICA!AI207</f>
        <v>0</v>
      </c>
    </row>
    <row r="209" spans="1:35" x14ac:dyDescent="0.25">
      <c r="A209" t="str">
        <f>ESTADISTICA!A208</f>
        <v>SAN JORGE</v>
      </c>
      <c r="B209" t="str">
        <f>ESTADISTICA!B208</f>
        <v>Punto Seguro - San Jorge (Domo)</v>
      </c>
      <c r="C209" t="str">
        <f>ESTADISTICA!C208</f>
        <v>CALLE 523 E/ 554 Y 556</v>
      </c>
      <c r="D209" t="str">
        <f>ESTADISTICA!D208</f>
        <v>DOMO</v>
      </c>
      <c r="E209" t="str">
        <f>ESTADISTICA!E208</f>
        <v>PTO A FO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51">
        <f>ESTADISTICA!AH208</f>
        <v>0</v>
      </c>
      <c r="AI209" s="51">
        <f>ESTADISTICA!AI208</f>
        <v>0</v>
      </c>
    </row>
    <row r="210" spans="1:35" x14ac:dyDescent="0.25">
      <c r="A210" t="str">
        <f>ESTADISTICA!A209</f>
        <v>SAN JORGE</v>
      </c>
      <c r="B210" t="str">
        <f>ESTADISTICA!B209</f>
        <v>Punto Seguro - San Jorge (Fija)</v>
      </c>
      <c r="C210" t="str">
        <f>ESTADISTICA!C209</f>
        <v>CALLE 523 E/ 554 Y 556</v>
      </c>
      <c r="D210" t="str">
        <f>ESTADISTICA!D209</f>
        <v>Fija</v>
      </c>
      <c r="E210" t="str">
        <f>ESTADISTICA!E209</f>
        <v>PTO A FO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51">
        <f>ESTADISTICA!AH209</f>
        <v>0</v>
      </c>
      <c r="AI210" s="51">
        <f>ESTADISTICA!AI209</f>
        <v>0</v>
      </c>
    </row>
    <row r="211" spans="1:35" x14ac:dyDescent="0.25">
      <c r="A211" t="str">
        <f>ESTADISTICA!A210</f>
        <v>SAN RUDECINDO</v>
      </c>
      <c r="B211" t="str">
        <f>ESTADISTICA!B210</f>
        <v>PUNTO SEGURO - SAN RUDECINDO (domo)</v>
      </c>
      <c r="C211" t="str">
        <f>ESTADISTICA!C210</f>
        <v>SANTA SOFIA Y ALVAR NUÃ‘EZ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 t="str">
        <f>ESTADISTICA!I210</f>
        <v>APAGADO</v>
      </c>
      <c r="J211" t="str">
        <f>ESTADISTICA!J210</f>
        <v>APAGADO</v>
      </c>
      <c r="K211" t="str">
        <f>ESTADISTICA!K210</f>
        <v>APAGADO</v>
      </c>
      <c r="L211" t="str">
        <f>ESTADISTICA!L210</f>
        <v>APAGADO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s="51">
        <f>ESTADISTICA!AH210</f>
        <v>0</v>
      </c>
      <c r="AI211" s="51">
        <f>ESTADISTICA!AI210</f>
        <v>0</v>
      </c>
    </row>
    <row r="212" spans="1:35" x14ac:dyDescent="0.25">
      <c r="A212" t="str">
        <f>ESTADISTICA!A211</f>
        <v>SAN RUDECINDO</v>
      </c>
      <c r="B212" t="str">
        <f>ESTADISTICA!B211</f>
        <v>PUNTO SEGURO - SAN RUDECINDO (fija)</v>
      </c>
      <c r="C212" t="str">
        <f>ESTADISTICA!C211</f>
        <v>SANTA SOFIA Y ALVAR NUÃ‘EZ</v>
      </c>
      <c r="D212" t="str">
        <f>ESTADISTICA!D211</f>
        <v>Fija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 t="str">
        <f>ESTADISTICA!I211</f>
        <v>APAGADO</v>
      </c>
      <c r="J212" t="str">
        <f>ESTADISTICA!J211</f>
        <v>APAGADO</v>
      </c>
      <c r="K212" t="str">
        <f>ESTADISTICA!K211</f>
        <v>APAGADO</v>
      </c>
      <c r="L212" t="str">
        <f>ESTADISTICA!L211</f>
        <v>APAGADO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s="51">
        <f>ESTADISTICA!AH211</f>
        <v>0</v>
      </c>
      <c r="AI212" s="51">
        <f>ESTADISTICA!AI211</f>
        <v>0</v>
      </c>
    </row>
    <row r="213" spans="1:35" x14ac:dyDescent="0.25">
      <c r="A213" t="str">
        <f>ESTADISTICA!A212</f>
        <v>ZONA RURAL SANTA ROSA</v>
      </c>
      <c r="B213" t="str">
        <f>ESTADISTICA!B212</f>
        <v>PUNTO SEGURO - SANTA ROSA (domo)</v>
      </c>
      <c r="C213" t="str">
        <f>ESTADISTICA!C212</f>
        <v>BRUSELAS Y SICILIA</v>
      </c>
      <c r="D213" t="str">
        <f>ESTADISTICA!D212</f>
        <v>DOMO</v>
      </c>
      <c r="E213" t="str">
        <f>ESTADISTICA!E212</f>
        <v>Fibra Optica</v>
      </c>
      <c r="F213" t="str">
        <f>ESTADISTICA!F212</f>
        <v>APAGADO</v>
      </c>
      <c r="G213" t="str">
        <f>ESTADISTICA!G212</f>
        <v>APAGADO</v>
      </c>
      <c r="H213" t="str">
        <f>ESTADISTICA!H212</f>
        <v>APAGADO</v>
      </c>
      <c r="I213" t="str">
        <f>ESTADISTICA!I212</f>
        <v>APAGADO</v>
      </c>
      <c r="J213" t="str">
        <f>ESTADISTICA!J212</f>
        <v>APAGADO</v>
      </c>
      <c r="K213" t="str">
        <f>ESTADISTICA!K212</f>
        <v>APAGADO</v>
      </c>
      <c r="L213" t="str">
        <f>ESTADISTICA!L212</f>
        <v>APAGADO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 s="51">
        <f>ESTADISTICA!AH212</f>
        <v>0</v>
      </c>
      <c r="AI213" s="51">
        <f>ESTADISTICA!AI212</f>
        <v>0</v>
      </c>
    </row>
    <row r="214" spans="1:35" x14ac:dyDescent="0.25">
      <c r="A214" t="str">
        <f>ESTADISTICA!A213</f>
        <v>ZONA RURAL SANTA ROSA</v>
      </c>
      <c r="B214" t="str">
        <f>ESTADISTICA!B213</f>
        <v>PUNTO SEGURO - SANTA ROSA (fija)</v>
      </c>
      <c r="C214" t="str">
        <f>ESTADISTICA!C213</f>
        <v>BRUSELAS Y SICILIA</v>
      </c>
      <c r="D214" t="str">
        <f>ESTADISTICA!D213</f>
        <v>Fija</v>
      </c>
      <c r="E214" t="str">
        <f>ESTADISTICA!E213</f>
        <v>Fibra Optica</v>
      </c>
      <c r="F214" t="str">
        <f>ESTADISTICA!F213</f>
        <v>APAGADO</v>
      </c>
      <c r="G214" t="str">
        <f>ESTADISTICA!G213</f>
        <v>APAGADO</v>
      </c>
      <c r="H214" t="str">
        <f>ESTADISTICA!H213</f>
        <v>APAGADO</v>
      </c>
      <c r="I214" t="str">
        <f>ESTADISTICA!I213</f>
        <v>APAGADO</v>
      </c>
      <c r="J214" t="str">
        <f>ESTADISTICA!J213</f>
        <v>APAGADO</v>
      </c>
      <c r="K214" t="str">
        <f>ESTADISTICA!K213</f>
        <v>APAGADO</v>
      </c>
      <c r="L214" t="str">
        <f>ESTADISTICA!L213</f>
        <v>APAGADO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 s="51">
        <f>ESTADISTICA!AH213</f>
        <v>0</v>
      </c>
      <c r="AI214" s="51">
        <f>ESTADISTICA!AI213</f>
        <v>0</v>
      </c>
    </row>
    <row r="215" spans="1:35" x14ac:dyDescent="0.25">
      <c r="A215" t="str">
        <f>ESTADISTICA!A214</f>
        <v>DON JOSE</v>
      </c>
      <c r="B215" t="str">
        <f>ESTADISTICA!B214</f>
        <v>PUNTO SEGURO AGUSTIN RAMIREZ INTERCOMUNICADOR</v>
      </c>
      <c r="C215" t="str">
        <f>ESTADISTICA!C214</f>
        <v>MALAMBO Y LA TRANQUERA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 t="str">
        <f>ESTADISTICA!G214</f>
        <v>APAGADO</v>
      </c>
      <c r="H215">
        <f>ESTADISTICA!H214</f>
        <v>0</v>
      </c>
      <c r="I215" t="str">
        <f>ESTADISTICA!I214</f>
        <v>APAGADO</v>
      </c>
      <c r="J215" t="str">
        <f>ESTADISTICA!J214</f>
        <v>APAGADO</v>
      </c>
      <c r="K215" t="str">
        <f>ESTADISTICA!K214</f>
        <v>APAGADO</v>
      </c>
      <c r="L215" t="str">
        <f>ESTADISTICA!L214</f>
        <v>APAGADO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s="51">
        <f>ESTADISTICA!AH214</f>
        <v>0</v>
      </c>
      <c r="AI215" s="51">
        <f>ESTADISTICA!AI214</f>
        <v>0</v>
      </c>
    </row>
    <row r="216" spans="1:35" x14ac:dyDescent="0.25">
      <c r="A216" t="str">
        <f>ESTADISTICA!A215</f>
        <v>EL PARQUE</v>
      </c>
      <c r="B216" t="str">
        <f>ESTADISTICA!B215</f>
        <v>PUNTO SEGURO EL PARQUE INTERCOMUNICADOR</v>
      </c>
      <c r="C216" t="str">
        <f>ESTADISTICA!C215</f>
        <v>1282 Y 1201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s="51">
        <f>ESTADISTICA!AH215</f>
        <v>0</v>
      </c>
      <c r="AI216" s="51">
        <f>ESTADISTICA!AI215</f>
        <v>0</v>
      </c>
    </row>
    <row r="217" spans="1:35" x14ac:dyDescent="0.25">
      <c r="A217" t="str">
        <f>ESTADISTICA!A216</f>
        <v>INGENIERO ALLAN</v>
      </c>
      <c r="B217" t="str">
        <f>ESTADISTICA!B216</f>
        <v>PUNTO SEGURO INGENIERO ALLAN INTERCOMUNICADOR</v>
      </c>
      <c r="C217" t="str">
        <f>ESTADISTICA!C216</f>
        <v>DIAG LOS YAGANES Y 1148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s="51">
        <f>ESTADISTICA!AH216</f>
        <v>0</v>
      </c>
      <c r="AI217" s="51">
        <f>ESTADISTICA!AI216</f>
        <v>0</v>
      </c>
    </row>
    <row r="218" spans="1:35" x14ac:dyDescent="0.25">
      <c r="A218" t="str">
        <f>ESTADISTICA!A217</f>
        <v>LUJAN</v>
      </c>
      <c r="B218" t="str">
        <f>ESTADISTICA!B217</f>
        <v>PUNTO SEGURO LUJAN (domo)</v>
      </c>
      <c r="C218" t="str">
        <f>ESTADISTICA!C217</f>
        <v>DIAG. LOS TILOS Y LOS ALGARROBOS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s="51">
        <f>ESTADISTICA!AH217</f>
        <v>0</v>
      </c>
      <c r="AI218" s="51">
        <f>ESTADISTICA!AI217</f>
        <v>0</v>
      </c>
    </row>
    <row r="219" spans="1:35" x14ac:dyDescent="0.25">
      <c r="A219" t="str">
        <f>ESTADISTICA!A218</f>
        <v>LUJAN</v>
      </c>
      <c r="B219" t="str">
        <f>ESTADISTICA!B218</f>
        <v>PUNTO SEGURO LUJAN INTERCOMUNICADOR</v>
      </c>
      <c r="C219" t="str">
        <f>ESTADISTICA!C218</f>
        <v>DIAG LOS TILOS Y LOS ALGARROBOS</v>
      </c>
      <c r="D219" t="str">
        <f>ESTADISTICA!D218</f>
        <v>Fija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s="51">
        <f>ESTADISTICA!AH218</f>
        <v>0</v>
      </c>
      <c r="AI219" s="51">
        <f>ESTADISTICA!AI218</f>
        <v>0</v>
      </c>
    </row>
    <row r="220" spans="1:35" x14ac:dyDescent="0.25">
      <c r="A220" t="str">
        <f>ESTADISTICA!A219</f>
        <v>ZONA RURAL SANTA ROSA</v>
      </c>
      <c r="B220" t="str">
        <f>ESTADISTICA!B219</f>
        <v>PUNTO SEGURO PICO DE ORO INTERCOMUNICADOR</v>
      </c>
      <c r="C220" t="str">
        <f>ESTADISTICA!C219</f>
        <v>PISANI Y BULGARIA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s="51">
        <f>ESTADISTICA!AH219</f>
        <v>0</v>
      </c>
      <c r="AI220" s="51">
        <f>ESTADISTICA!AI219</f>
        <v>0</v>
      </c>
    </row>
    <row r="221" spans="1:35" x14ac:dyDescent="0.25">
      <c r="A221" t="str">
        <f>ESTADISTICA!A220</f>
        <v>SAN JORGE</v>
      </c>
      <c r="B221" t="str">
        <f>ESTADISTICA!B220</f>
        <v>PUNTO SEGURO SAN JORGE INTERCOMUNICADOR</v>
      </c>
      <c r="C221" t="str">
        <f>ESTADISTICA!C220</f>
        <v>CALLE 554 Y 523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 s="51">
        <f>ESTADISTICA!AH220</f>
        <v>0</v>
      </c>
      <c r="AI221" s="51">
        <f>ESTADISTICA!AI220</f>
        <v>0</v>
      </c>
    </row>
    <row r="222" spans="1:35" x14ac:dyDescent="0.25">
      <c r="A222" t="str">
        <f>ESTADISTICA!A221</f>
        <v>SAN RUDECINDO</v>
      </c>
      <c r="B222" t="str">
        <f>ESTADISTICA!B221</f>
        <v>PUNTO SEGURO SAN RUDECINDO INTERCOMUNICADOR</v>
      </c>
      <c r="C222" t="str">
        <f>ESTADISTICA!C221</f>
        <v>SABTA SOFIA Y ALVAR NUÃ‘EZ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 t="str">
        <f>ESTADISTICA!I221</f>
        <v>APAGADO</v>
      </c>
      <c r="J222" t="str">
        <f>ESTADISTICA!J221</f>
        <v>APAGADO</v>
      </c>
      <c r="K222" t="str">
        <f>ESTADISTICA!K221</f>
        <v>APAGADO</v>
      </c>
      <c r="L222" t="str">
        <f>ESTADISTICA!L221</f>
        <v>APAGADO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s="51">
        <f>ESTADISTICA!AH221</f>
        <v>0</v>
      </c>
      <c r="AI222" s="51">
        <f>ESTADISTICA!AI221</f>
        <v>0</v>
      </c>
    </row>
    <row r="223" spans="1:35" x14ac:dyDescent="0.25">
      <c r="A223" t="str">
        <f>ESTADISTICA!A222</f>
        <v>ZONA RURAL SANTA ROSA</v>
      </c>
      <c r="B223" t="str">
        <f>ESTADISTICA!B222</f>
        <v>PUNTO SEGURO SANTA ROSA INTERCOMUNICADOR</v>
      </c>
      <c r="C223" t="str">
        <f>ESTADISTICA!C222</f>
        <v>Bruselas y sicilia</v>
      </c>
      <c r="D223" t="str">
        <f>ESTADISTICA!D222</f>
        <v>Fija</v>
      </c>
      <c r="E223" t="str">
        <f>ESTADISTICA!E222</f>
        <v>Fibra Optica</v>
      </c>
      <c r="F223" t="str">
        <f>ESTADISTICA!F222</f>
        <v>APAGADO</v>
      </c>
      <c r="G223">
        <f>ESTADISTICA!G222</f>
        <v>0</v>
      </c>
      <c r="H223" t="str">
        <f>ESTADISTICA!H222</f>
        <v>APAGADO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s="51">
        <f>ESTADISTICA!AH222</f>
        <v>0</v>
      </c>
      <c r="AI223" s="51">
        <f>ESTADISTICA!AI222</f>
        <v>0</v>
      </c>
    </row>
    <row r="224" spans="1:35" x14ac:dyDescent="0.25">
      <c r="A224" t="str">
        <f>ESTADISTICA!A223</f>
        <v>VILLA ARGENTINA</v>
      </c>
      <c r="B224" t="str">
        <f>ESTADISTICA!B223</f>
        <v>PUNTO SEGURO VILLA ARGENTINA INTERCOMUNICADOR</v>
      </c>
      <c r="C224" t="str">
        <f>ESTADISTICA!C223</f>
        <v>CALLE 513 Y DIAG PORTELA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s="51">
        <f>ESTADISTICA!AH223</f>
        <v>0</v>
      </c>
      <c r="AI224" s="51">
        <f>ESTADISTICA!AI223</f>
        <v>0</v>
      </c>
    </row>
    <row r="225" spans="1:35" x14ac:dyDescent="0.25">
      <c r="A225" t="str">
        <f>ESTADISTICA!A224</f>
        <v>EL ROCIO</v>
      </c>
      <c r="B225" t="str">
        <f>ESTADISTICA!B224</f>
        <v>RCO 01</v>
      </c>
      <c r="C225" t="str">
        <f>ESTADISTICA!C224</f>
        <v>AV. LUJAN Y LOBOS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 t="str">
        <f>ESTADISTICA!L224</f>
        <v>APAGADO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s="51">
        <f>ESTADISTICA!AH224</f>
        <v>0</v>
      </c>
      <c r="AI225" s="51">
        <f>ESTADISTICA!AI224</f>
        <v>0</v>
      </c>
    </row>
    <row r="226" spans="1:35" x14ac:dyDescent="0.25">
      <c r="A226" t="str">
        <f>ESTADISTICA!A225</f>
        <v>EL ROCIO</v>
      </c>
      <c r="B226" t="str">
        <f>ESTADISTICA!B225</f>
        <v>RCO02</v>
      </c>
      <c r="C226" t="str">
        <f>ESTADISTICA!C225</f>
        <v>AV. LUJAN Y BRANDSEN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 t="str">
        <f>ESTADISTICA!L225</f>
        <v>APAGADO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s="51">
        <f>ESTADISTICA!AH225</f>
        <v>0</v>
      </c>
      <c r="AI226" s="51">
        <f>ESTADISTICA!AI225</f>
        <v>0</v>
      </c>
    </row>
    <row r="227" spans="1:35" x14ac:dyDescent="0.25">
      <c r="A227" t="str">
        <f>ESTADISTICA!A226</f>
        <v>EL ROCIO</v>
      </c>
      <c r="B227" t="str">
        <f>ESTADISTICA!B226</f>
        <v>RCO03 (fija 1)</v>
      </c>
      <c r="C227" t="str">
        <f>ESTADISTICA!C226</f>
        <v>OLAVARRIA Y CONCORDIA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 t="str">
        <f>ESTADISTICA!L226</f>
        <v>APAGADO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s="51">
        <f>ESTADISTICA!AH226</f>
        <v>0</v>
      </c>
      <c r="AI227" s="51">
        <f>ESTADISTICA!AI226</f>
        <v>0</v>
      </c>
    </row>
    <row r="228" spans="1:35" x14ac:dyDescent="0.25">
      <c r="A228" t="str">
        <f>ESTADISTICA!A227</f>
        <v>EL ROCIO</v>
      </c>
      <c r="B228" t="str">
        <f>ESTADISTICA!B227</f>
        <v>RCO04 (fija 2)</v>
      </c>
      <c r="C228" t="str">
        <f>ESTADISTICA!C227</f>
        <v>OLAVARRIA Y CONCORDIA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 t="str">
        <f>ESTADISTICA!L227</f>
        <v>APAGADO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s="51">
        <f>ESTADISTICA!AH227</f>
        <v>0</v>
      </c>
      <c r="AI228" s="51">
        <f>ESTADISTICA!AI227</f>
        <v>0</v>
      </c>
    </row>
    <row r="229" spans="1:35" x14ac:dyDescent="0.25">
      <c r="A229" t="str">
        <f>ESTADISTICA!A228</f>
        <v>EL ROCIO</v>
      </c>
      <c r="B229" t="str">
        <f>ESTADISTICA!B228</f>
        <v>RCO05 (fija 1)</v>
      </c>
      <c r="C229" t="str">
        <f>ESTADISTICA!C228</f>
        <v>LOBOS Y CHASCOMUS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 t="str">
        <f>ESTADISTICA!L228</f>
        <v>APAGADO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s="51">
        <f>ESTADISTICA!AH228</f>
        <v>0</v>
      </c>
      <c r="AI229" s="51">
        <f>ESTADISTICA!AI228</f>
        <v>0</v>
      </c>
    </row>
    <row r="230" spans="1:35" x14ac:dyDescent="0.25">
      <c r="A230" t="str">
        <f>ESTADISTICA!A229</f>
        <v>EL ROCIO</v>
      </c>
      <c r="B230" t="str">
        <f>ESTADISTICA!B229</f>
        <v>RCO06 (fija 2)</v>
      </c>
      <c r="C230" t="str">
        <f>ESTADISTICA!C229</f>
        <v>LOBOS Y CHASCOMUS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 t="str">
        <f>ESTADISTICA!L229</f>
        <v>APAGADO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s="51">
        <f>ESTADISTICA!AH229</f>
        <v>0</v>
      </c>
      <c r="AI230" s="51">
        <f>ESTADISTICA!AI229</f>
        <v>0</v>
      </c>
    </row>
    <row r="231" spans="1:35" x14ac:dyDescent="0.25">
      <c r="A231" t="str">
        <f>ESTADISTICA!A230</f>
        <v>RICARDO ROJAS</v>
      </c>
      <c r="B231" t="str">
        <f>ESTADISTICA!B230</f>
        <v>RRJ 05</v>
      </c>
      <c r="C231" t="str">
        <f>ESTADISTICA!C230</f>
        <v>LUJAN Y RUTA 36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 t="str">
        <f>ESTADISTICA!L230</f>
        <v>APAGADO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s="51">
        <f>ESTADISTICA!AH230</f>
        <v>0</v>
      </c>
      <c r="AI231" s="51">
        <f>ESTADISTICA!AI230</f>
        <v>0</v>
      </c>
    </row>
    <row r="232" spans="1:35" x14ac:dyDescent="0.25">
      <c r="A232" t="str">
        <f>ESTADISTICA!A231</f>
        <v>RICARDO ROJAS</v>
      </c>
      <c r="B232" t="str">
        <f>ESTADISTICA!B231</f>
        <v>RRJ 06</v>
      </c>
      <c r="C232" t="str">
        <f>ESTADISTICA!C231</f>
        <v>Constancio Vigil y Pablo Groussac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 t="str">
        <f>ESTADISTICA!L231</f>
        <v>APAGADO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s="51">
        <f>ESTADISTICA!AH231</f>
        <v>0</v>
      </c>
      <c r="AI232" s="51">
        <f>ESTADISTICA!AI231</f>
        <v>0</v>
      </c>
    </row>
    <row r="233" spans="1:35" x14ac:dyDescent="0.25">
      <c r="A233" t="str">
        <f>ESTADISTICA!A232</f>
        <v>RICARDO ROJAS</v>
      </c>
      <c r="B233" t="str">
        <f>ESTADISTICA!B232</f>
        <v>RRJ 07</v>
      </c>
      <c r="C233" t="str">
        <f>ESTADISTICA!C232</f>
        <v>Constancio Vigil y Estanislao del Campo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 t="str">
        <f>ESTADISTICA!L232</f>
        <v>APAGADO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s="51">
        <f>ESTADISTICA!AH232</f>
        <v>0</v>
      </c>
      <c r="AI233" s="51">
        <f>ESTADISTICA!AI232</f>
        <v>0</v>
      </c>
    </row>
    <row r="234" spans="1:35" x14ac:dyDescent="0.25">
      <c r="A234" t="str">
        <f>ESTADISTICA!A233</f>
        <v>RICARDO ROJAS</v>
      </c>
      <c r="B234" t="str">
        <f>ESTADISTICA!B233</f>
        <v>RRJ 08</v>
      </c>
      <c r="C234" t="str">
        <f>ESTADISTICA!C233</f>
        <v>Constancio Vigil y Pablo Podesta</v>
      </c>
      <c r="D234" t="str">
        <f>ESTADISTICA!D233</f>
        <v>Domo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 t="str">
        <f>ESTADISTICA!L233</f>
        <v>APAGADO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s="51">
        <f>ESTADISTICA!AH233</f>
        <v>0</v>
      </c>
      <c r="AI234" s="51">
        <f>ESTADISTICA!AI233</f>
        <v>0</v>
      </c>
    </row>
    <row r="235" spans="1:35" x14ac:dyDescent="0.25">
      <c r="A235" t="str">
        <f>ESTADISTICA!A234</f>
        <v>RICARDO ROJAS</v>
      </c>
      <c r="B235" t="str">
        <f>ESTADISTICA!B234</f>
        <v>RRJ 09</v>
      </c>
      <c r="C235" t="str">
        <f>ESTADISTICA!C234</f>
        <v>Constancio Vigil y Jose Ingeniero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 t="str">
        <f>ESTADISTICA!L234</f>
        <v>APAGADO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s="51">
        <f>ESTADISTICA!AH234</f>
        <v>0</v>
      </c>
      <c r="AI235" s="51">
        <f>ESTADISTICA!AI234</f>
        <v>0</v>
      </c>
    </row>
    <row r="236" spans="1:35" x14ac:dyDescent="0.25">
      <c r="A236" t="str">
        <f>ESTADISTICA!A235</f>
        <v>RICARDO ROJAS</v>
      </c>
      <c r="B236" t="str">
        <f>ESTADISTICA!B235</f>
        <v>RRJ01</v>
      </c>
      <c r="C236" t="str">
        <f>ESTADISTICA!C235</f>
        <v>AV. LUJAN Y BRAGADO</v>
      </c>
      <c r="D236" t="str">
        <f>ESTADISTICA!D235</f>
        <v>DOMO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 t="str">
        <f>ESTADISTICA!L235</f>
        <v>APAGADO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s="51">
        <f>ESTADISTICA!AH235</f>
        <v>0</v>
      </c>
      <c r="AI236" s="51">
        <f>ESTADISTICA!AI235</f>
        <v>0</v>
      </c>
    </row>
    <row r="237" spans="1:35" x14ac:dyDescent="0.25">
      <c r="A237" t="str">
        <f>ESTADISTICA!A236</f>
        <v>RICARDO ROJAS</v>
      </c>
      <c r="B237" t="str">
        <f>ESTADISTICA!B236</f>
        <v>RRJ02</v>
      </c>
      <c r="C237" t="str">
        <f>ESTADISTICA!C236</f>
        <v>AV. LUJAN Y DIAG. LOS POETAS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 t="str">
        <f>ESTADISTICA!L236</f>
        <v>APAGADO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s="51">
        <f>ESTADISTICA!AH236</f>
        <v>0</v>
      </c>
      <c r="AI237" s="51">
        <f>ESTADISTICA!AI236</f>
        <v>0</v>
      </c>
    </row>
    <row r="238" spans="1:35" x14ac:dyDescent="0.25">
      <c r="A238" t="str">
        <f>ESTADISTICA!A237</f>
        <v>RICARDO ROJAS</v>
      </c>
      <c r="B238" t="str">
        <f>ESTADISTICA!B237</f>
        <v>RRJ03 (fija 1)</v>
      </c>
      <c r="C238" t="str">
        <f>ESTADISTICA!C237</f>
        <v>RUBEN DARIO E/ FADER Y DIAG. LOS POETAS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 t="str">
        <f>ESTADISTICA!L237</f>
        <v>APAGADO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s="51">
        <f>ESTADISTICA!AH237</f>
        <v>0</v>
      </c>
      <c r="AI238" s="51">
        <f>ESTADISTICA!AI237</f>
        <v>0</v>
      </c>
    </row>
    <row r="239" spans="1:35" x14ac:dyDescent="0.25">
      <c r="A239" t="str">
        <f>ESTADISTICA!A238</f>
        <v>RICARDO ROJAS</v>
      </c>
      <c r="B239" t="str">
        <f>ESTADISTICA!B238</f>
        <v>RRJ04 (fija 2)</v>
      </c>
      <c r="C239" t="str">
        <f>ESTADISTICA!C238</f>
        <v>RUBEN DARIO E/ FADER Y DIAG. LOS POETAS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 t="str">
        <f>ESTADISTICA!L238</f>
        <v>APAGADO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s="51">
        <f>ESTADISTICA!AH238</f>
        <v>0</v>
      </c>
      <c r="AI239" s="51">
        <f>ESTADISTICA!AI238</f>
        <v>0</v>
      </c>
    </row>
    <row r="240" spans="1:35" x14ac:dyDescent="0.25">
      <c r="A240" t="str">
        <f>ESTADISTICA!A239</f>
        <v>SANTA ANA</v>
      </c>
      <c r="B240" t="str">
        <f>ESTADISTICA!B239</f>
        <v>SAN 02</v>
      </c>
      <c r="C240" t="str">
        <f>ESTADISTICA!C239</f>
        <v>HUDSON Y SUIPACHA</v>
      </c>
      <c r="D240" t="str">
        <f>ESTADISTICA!D239</f>
        <v>Fija 2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 t="str">
        <f>ESTADISTICA!L239</f>
        <v>APAGADO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s="51">
        <f>ESTADISTICA!AH239</f>
        <v>0</v>
      </c>
      <c r="AI240" s="51">
        <f>ESTADISTICA!AI239</f>
        <v>0</v>
      </c>
    </row>
    <row r="241" spans="1:35" x14ac:dyDescent="0.25">
      <c r="A241" t="str">
        <f>ESTADISTICA!A240</f>
        <v>SANTA ANA</v>
      </c>
      <c r="B241" t="str">
        <f>ESTADISTICA!B240</f>
        <v>SAN01</v>
      </c>
      <c r="C241" t="str">
        <f>ESTADISTICA!C240</f>
        <v>HUDSON Y SUIPACHA</v>
      </c>
      <c r="D241" t="str">
        <f>ESTADISTICA!D240</f>
        <v>Fija 1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 t="str">
        <f>ESTADISTICA!K240</f>
        <v>APAGADO</v>
      </c>
      <c r="L241" t="str">
        <f>ESTADISTICA!L240</f>
        <v>APAGADO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s="51">
        <f>ESTADISTICA!AH240</f>
        <v>0</v>
      </c>
      <c r="AI241" s="51">
        <f>ESTADISTICA!AI240</f>
        <v>0</v>
      </c>
    </row>
    <row r="242" spans="1:35" x14ac:dyDescent="0.25">
      <c r="A242" t="str">
        <f>ESTADISTICA!A241</f>
        <v>PRESIDENTE SARMIENTO</v>
      </c>
      <c r="B242" t="str">
        <f>ESTADISTICA!B241</f>
        <v>SAR 02 (fija 1)</v>
      </c>
      <c r="C242" t="str">
        <f>ESTADISTICA!C241</f>
        <v>DARDO ROCHA Y GABRIELA MISTRAL</v>
      </c>
      <c r="D242" t="str">
        <f>ESTADISTICA!D241</f>
        <v>Fija</v>
      </c>
      <c r="E242" t="str">
        <f>ESTADISTICA!E241</f>
        <v>Fibra Optica</v>
      </c>
      <c r="F242" t="str">
        <f>ESTADISTICA!F241</f>
        <v>APAGADO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s="51">
        <f>ESTADISTICA!AH241</f>
        <v>0</v>
      </c>
      <c r="AI242" s="51">
        <f>ESTADISTICA!AI241</f>
        <v>0</v>
      </c>
    </row>
    <row r="243" spans="1:35" x14ac:dyDescent="0.25">
      <c r="A243" t="str">
        <f>ESTADISTICA!A242</f>
        <v>PRESIDENTE SARMIENTO</v>
      </c>
      <c r="B243" t="str">
        <f>ESTADISTICA!B242</f>
        <v>SAR 03 (fija 2)</v>
      </c>
      <c r="C243" t="str">
        <f>ESTADISTICA!C242</f>
        <v>DARDO ROCHA Y GABRIELA MISTRAL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 t="str">
        <f>ESTADISTICA!J242</f>
        <v>APAGADO</v>
      </c>
      <c r="K243" t="str">
        <f>ESTADISTICA!K242</f>
        <v>APAGADO</v>
      </c>
      <c r="L243" t="str">
        <f>ESTADISTICA!L242</f>
        <v>APAGADO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51">
        <f>ESTADISTICA!AH242</f>
        <v>0</v>
      </c>
      <c r="AI243" s="51">
        <f>ESTADISTICA!AI242</f>
        <v>0</v>
      </c>
    </row>
    <row r="244" spans="1:35" x14ac:dyDescent="0.25">
      <c r="A244" t="str">
        <f>ESTADISTICA!A243</f>
        <v>PRESIDENTE SARMIENTO</v>
      </c>
      <c r="B244" t="str">
        <f>ESTADISTICA!B243</f>
        <v>SAR 04</v>
      </c>
      <c r="C244" t="str">
        <f>ESTADISTICA!C243</f>
        <v>MONTES DE OCA Y ALVARADO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1">
        <f>ESTADISTICA!AH243</f>
        <v>0</v>
      </c>
      <c r="AI244" s="51">
        <f>ESTADISTICA!AI243</f>
        <v>0</v>
      </c>
    </row>
    <row r="245" spans="1:35" x14ac:dyDescent="0.25">
      <c r="A245" t="str">
        <f>ESTADISTICA!A244</f>
        <v>PRESIDENTE SARMIENTO</v>
      </c>
      <c r="B245" t="str">
        <f>ESTADISTICA!B244</f>
        <v>SAR 05</v>
      </c>
      <c r="C245" t="str">
        <f>ESTADISTICA!C244</f>
        <v>ALVARADO Y ROCHA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s="51">
        <f>ESTADISTICA!AH244</f>
        <v>0</v>
      </c>
      <c r="AI245" s="51">
        <f>ESTADISTICA!AI244</f>
        <v>0</v>
      </c>
    </row>
    <row r="246" spans="1:35" x14ac:dyDescent="0.25">
      <c r="A246" t="str">
        <f>ESTADISTICA!A245</f>
        <v>PRESIDENTE SARMIENTO</v>
      </c>
      <c r="B246" t="str">
        <f>ESTADISTICA!B245</f>
        <v>SAR01</v>
      </c>
      <c r="C246" t="str">
        <f>ESTADISTICA!C245</f>
        <v>Storni Y Sanchez de Loria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s="51">
        <f>ESTADISTICA!AH245</f>
        <v>0</v>
      </c>
      <c r="AI246" s="51">
        <f>ESTADISTICA!AI245</f>
        <v>0</v>
      </c>
    </row>
    <row r="247" spans="1:35" x14ac:dyDescent="0.25">
      <c r="A247" t="str">
        <f>ESTADISTICA!A246</f>
        <v>SAN EDUARDO</v>
      </c>
      <c r="B247" t="str">
        <f>ESTADISTICA!B246</f>
        <v>SEDU01</v>
      </c>
      <c r="C247" t="str">
        <f>ESTADISTICA!C246</f>
        <v>San Martin y Sperandio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s="51">
        <f>ESTADISTICA!AH246</f>
        <v>0</v>
      </c>
      <c r="AI247" s="51">
        <f>ESTADISTICA!AI246</f>
        <v>0</v>
      </c>
    </row>
    <row r="248" spans="1:35" x14ac:dyDescent="0.25">
      <c r="A248" t="str">
        <f>ESTADISTICA!A247</f>
        <v>SAN EDUARDO</v>
      </c>
      <c r="B248" t="str">
        <f>ESTADISTICA!B247</f>
        <v>SEDU02</v>
      </c>
      <c r="C248" t="str">
        <f>ESTADISTICA!C247</f>
        <v>Curva de Berraymundo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s="51">
        <f>ESTADISTICA!AH247</f>
        <v>0</v>
      </c>
      <c r="AI248" s="51">
        <f>ESTADISTICA!AI247</f>
        <v>0</v>
      </c>
    </row>
    <row r="249" spans="1:35" x14ac:dyDescent="0.25">
      <c r="A249" t="str">
        <f>ESTADISTICA!A248</f>
        <v>VILLA CIRIO</v>
      </c>
      <c r="B249" t="str">
        <f>ESTADISTICA!B248</f>
        <v>SEDU03</v>
      </c>
      <c r="C249" t="str">
        <f>ESTADISTICA!C248</f>
        <v>Av. San Martin y Las Americas</v>
      </c>
      <c r="D249" t="str">
        <f>ESTADISTICA!D248</f>
        <v>Domo</v>
      </c>
      <c r="E249" t="str">
        <f>ESTADISTICA!E248</f>
        <v>Radio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1">
        <f>ESTADISTICA!AH248</f>
        <v>0</v>
      </c>
      <c r="AI249" s="51">
        <f>ESTADISTICA!AI248</f>
        <v>0</v>
      </c>
    </row>
    <row r="250" spans="1:35" x14ac:dyDescent="0.25">
      <c r="A250" t="str">
        <f>ESTADISTICA!A249</f>
        <v>SAN EMILIO</v>
      </c>
      <c r="B250" t="str">
        <f>ESTADISTICA!B249</f>
        <v>SEMI 02</v>
      </c>
      <c r="C250" t="str">
        <f>ESTADISTICA!C249</f>
        <v>Cno. Gral. Belgrano y Francia</v>
      </c>
      <c r="D250" t="str">
        <f>ESTADISTICA!D249</f>
        <v>Domo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 t="str">
        <f>ESTADISTICA!K249</f>
        <v>APAGADO</v>
      </c>
      <c r="L250" t="str">
        <f>ESTADISTICA!L249</f>
        <v>APAGADO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1">
        <f>ESTADISTICA!AH249</f>
        <v>0</v>
      </c>
      <c r="AI250" s="51">
        <f>ESTADISTICA!AI249</f>
        <v>0</v>
      </c>
    </row>
    <row r="251" spans="1:35" x14ac:dyDescent="0.25">
      <c r="A251" t="str">
        <f>ESTADISTICA!A250</f>
        <v>SAN EMILIO</v>
      </c>
      <c r="B251" t="str">
        <f>ESTADISTICA!B250</f>
        <v>SEMI01</v>
      </c>
      <c r="C251" t="str">
        <f>ESTADISTICA!C250</f>
        <v>San Martin y Av. del Trabajo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1">
        <f>ESTADISTICA!AH250</f>
        <v>0</v>
      </c>
      <c r="AI251" s="51">
        <f>ESTADISTICA!AI250</f>
        <v>0</v>
      </c>
    </row>
    <row r="252" spans="1:35" x14ac:dyDescent="0.25">
      <c r="A252" t="str">
        <f>ESTADISTICA!A251</f>
        <v>SAN EMILIO</v>
      </c>
      <c r="B252" t="str">
        <f>ESTADISTICA!B251</f>
        <v>SEMI03 (fija 1)</v>
      </c>
      <c r="C252" t="str">
        <f>ESTADISTICA!C251</f>
        <v>GORRITI E/ GALARZA Y LOPE DE VEGA</v>
      </c>
      <c r="D252" t="str">
        <f>ESTADISTICA!D251</f>
        <v>Fija</v>
      </c>
      <c r="E252" t="str">
        <f>ESTADISTICA!E251</f>
        <v>Fibra Optica</v>
      </c>
      <c r="F252" t="str">
        <f>ESTADISTICA!F251</f>
        <v>APAGADO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 t="str">
        <f>ESTADISTICA!J251</f>
        <v>APAGADO</v>
      </c>
      <c r="K252" t="str">
        <f>ESTADISTICA!K251</f>
        <v>APAGADO</v>
      </c>
      <c r="L252" t="str">
        <f>ESTADISTICA!L251</f>
        <v>APAGADO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51">
        <f>ESTADISTICA!AH251</f>
        <v>0</v>
      </c>
      <c r="AI252" s="51">
        <f>ESTADISTICA!AI251</f>
        <v>0</v>
      </c>
    </row>
    <row r="253" spans="1:35" x14ac:dyDescent="0.25">
      <c r="A253" t="str">
        <f>ESTADISTICA!A252</f>
        <v>SAN EMILIO</v>
      </c>
      <c r="B253" t="str">
        <f>ESTADISTICA!B252</f>
        <v>SEMI04 (fija 2)</v>
      </c>
      <c r="C253" t="str">
        <f>ESTADISTICA!C252</f>
        <v>GORRITI E/ GALARZA Y LOPE DE VEGA</v>
      </c>
      <c r="D253" t="str">
        <f>ESTADISTICA!D252</f>
        <v>Fija</v>
      </c>
      <c r="E253" t="str">
        <f>ESTADISTICA!E252</f>
        <v>Fibra Optica</v>
      </c>
      <c r="F253" t="str">
        <f>ESTADISTICA!F252</f>
        <v>APAGADO</v>
      </c>
      <c r="G253" t="str">
        <f>ESTADISTICA!G252</f>
        <v>APAGADO</v>
      </c>
      <c r="H253" t="str">
        <f>ESTADISTICA!H252</f>
        <v>APAGADO</v>
      </c>
      <c r="I253" t="str">
        <f>ESTADISTICA!I252</f>
        <v>APAGADO</v>
      </c>
      <c r="J253" t="str">
        <f>ESTADISTICA!J252</f>
        <v>APAGADO</v>
      </c>
      <c r="K253" t="str">
        <f>ESTADISTICA!K252</f>
        <v>APAGADO</v>
      </c>
      <c r="L253" t="str">
        <f>ESTADISTICA!L252</f>
        <v>APAGADO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s="51">
        <f>ESTADISTICA!AH252</f>
        <v>0</v>
      </c>
      <c r="AI253" s="51">
        <f>ESTADISTICA!AI252</f>
        <v>0</v>
      </c>
    </row>
    <row r="254" spans="1:35" x14ac:dyDescent="0.25">
      <c r="A254" t="str">
        <f>ESTADISTICA!A253</f>
        <v>SAN EDUARDO</v>
      </c>
      <c r="B254" t="str">
        <f>ESTADISTICA!B253</f>
        <v>SIR 02</v>
      </c>
      <c r="C254" t="str">
        <f>ESTADISTICA!C253</f>
        <v>Victorino de la Plaza y Argentina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s="51">
        <f>ESTADISTICA!AH253</f>
        <v>0</v>
      </c>
      <c r="AI254" s="51">
        <f>ESTADISTICA!AI253</f>
        <v>0</v>
      </c>
    </row>
    <row r="255" spans="1:35" x14ac:dyDescent="0.25">
      <c r="A255" t="str">
        <f>ESTADISTICA!A254</f>
        <v>SAN EDUARDO</v>
      </c>
      <c r="B255" t="str">
        <f>ESTADISTICA!B254</f>
        <v>SIR 03</v>
      </c>
      <c r="C255" t="str">
        <f>ESTADISTICA!C254</f>
        <v>MONTES Y LONARDI</v>
      </c>
      <c r="D255" t="str">
        <f>ESTADISTICA!D254</f>
        <v>DOMO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s="51">
        <f>ESTADISTICA!AH254</f>
        <v>0</v>
      </c>
      <c r="AI255" s="51">
        <f>ESTADISTICA!AI254</f>
        <v>0</v>
      </c>
    </row>
    <row r="256" spans="1:35" x14ac:dyDescent="0.25">
      <c r="A256" t="str">
        <f>ESTADISTICA!A255</f>
        <v>LA SIRENA</v>
      </c>
      <c r="B256" t="str">
        <f>ESTADISTICA!B255</f>
        <v>SIR 04</v>
      </c>
      <c r="C256" t="str">
        <f>ESTADISTICA!C255</f>
        <v>AV. MONTEVERDE Y MORAN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s="51">
        <f>ESTADISTICA!AH255</f>
        <v>0</v>
      </c>
      <c r="AI256" s="51">
        <f>ESTADISTICA!AI255</f>
        <v>0</v>
      </c>
    </row>
    <row r="257" spans="1:35" x14ac:dyDescent="0.25">
      <c r="A257" t="str">
        <f>ESTADISTICA!A256</f>
        <v>LA SIRENA</v>
      </c>
      <c r="B257" t="str">
        <f>ESTADISTICA!B256</f>
        <v>SIR 05 (FIJA 01)</v>
      </c>
      <c r="C257" t="str">
        <f>ESTADISTICA!C256</f>
        <v>AV. MONTEVERDE Y MORAN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s="51">
        <f>ESTADISTICA!AH256</f>
        <v>0</v>
      </c>
      <c r="AI257" s="51">
        <f>ESTADISTICA!AI256</f>
        <v>0</v>
      </c>
    </row>
    <row r="258" spans="1:35" x14ac:dyDescent="0.25">
      <c r="A258" t="str">
        <f>ESTADISTICA!A257</f>
        <v>LA SIRENA</v>
      </c>
      <c r="B258" t="str">
        <f>ESTADISTICA!B257</f>
        <v>SIR 06 (FIJA 02)</v>
      </c>
      <c r="C258" t="str">
        <f>ESTADISTICA!C257</f>
        <v>AV. MONTEVERDE Y MORAN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s="51">
        <f>ESTADISTICA!AH257</f>
        <v>0</v>
      </c>
      <c r="AI258" s="51">
        <f>ESTADISTICA!AI257</f>
        <v>0</v>
      </c>
    </row>
    <row r="259" spans="1:35" x14ac:dyDescent="0.25">
      <c r="A259" t="str">
        <f>ESTADISTICA!A258</f>
        <v>VILLA AURORA</v>
      </c>
      <c r="B259" t="str">
        <f>ESTADISTICA!B258</f>
        <v>SIR 13</v>
      </c>
      <c r="C259" t="str">
        <f>ESTADISTICA!C258</f>
        <v>AV MONTEVERDE Y URIBURU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s="51">
        <f>ESTADISTICA!AH258</f>
        <v>0</v>
      </c>
      <c r="AI259" s="51">
        <f>ESTADISTICA!AI258</f>
        <v>0</v>
      </c>
    </row>
    <row r="260" spans="1:35" x14ac:dyDescent="0.25">
      <c r="A260" t="str">
        <f>ESTADISTICA!A259</f>
        <v>LA SIRENA</v>
      </c>
      <c r="B260" t="str">
        <f>ESTADISTICA!B259</f>
        <v>SIR 14</v>
      </c>
      <c r="C260" t="str">
        <f>ESTADISTICA!C259</f>
        <v>MANUEL IGLESIAS Y PEDRAZA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 t="str">
        <f>ESTADISTICA!G259</f>
        <v>APAGADO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1">
        <f>ESTADISTICA!AH259</f>
        <v>0</v>
      </c>
      <c r="AI260" s="51">
        <f>ESTADISTICA!AI259</f>
        <v>0</v>
      </c>
    </row>
    <row r="261" spans="1:35" x14ac:dyDescent="0.25">
      <c r="A261" t="str">
        <f>ESTADISTICA!A260</f>
        <v>LA SIRENA</v>
      </c>
      <c r="B261" t="str">
        <f>ESTADISTICA!B260</f>
        <v>SIR 15</v>
      </c>
      <c r="C261" t="str">
        <f>ESTADISTICA!C260</f>
        <v>Monteverde y Azara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1">
        <f>ESTADISTICA!AH260</f>
        <v>0</v>
      </c>
      <c r="AI261" s="51">
        <f>ESTADISTICA!AI260</f>
        <v>0</v>
      </c>
    </row>
    <row r="262" spans="1:35" x14ac:dyDescent="0.25">
      <c r="A262" t="str">
        <f>ESTADISTICA!A261</f>
        <v>LA SIRENA</v>
      </c>
      <c r="B262" t="str">
        <f>ESTADISTICA!B261</f>
        <v>SIR01</v>
      </c>
      <c r="C262" t="str">
        <f>ESTADISTICA!C261</f>
        <v>Moran y Calle 14</v>
      </c>
      <c r="D262" t="str">
        <f>ESTADISTICA!D261</f>
        <v>DOMO</v>
      </c>
      <c r="E262" t="str">
        <f>ESTADISTICA!E261</f>
        <v>Radio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1">
        <f>ESTADISTICA!AH261</f>
        <v>0</v>
      </c>
      <c r="AI262" s="51">
        <f>ESTADISTICA!AI261</f>
        <v>0</v>
      </c>
    </row>
    <row r="263" spans="1:35" x14ac:dyDescent="0.25">
      <c r="A263" t="str">
        <f>ESTADISTICA!A262</f>
        <v>VILLA AURORA</v>
      </c>
      <c r="B263" t="str">
        <f>ESTADISTICA!B262</f>
        <v>SIR07 (fija 1)</v>
      </c>
      <c r="C263" t="str">
        <f>ESTADISTICA!C262</f>
        <v>MONTEVERDE Y URIBURU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1">
        <f>ESTADISTICA!AH262</f>
        <v>0</v>
      </c>
      <c r="AI263" s="51">
        <f>ESTADISTICA!AI262</f>
        <v>0</v>
      </c>
    </row>
    <row r="264" spans="1:35" x14ac:dyDescent="0.25">
      <c r="A264" t="str">
        <f>ESTADISTICA!A263</f>
        <v>VILLA AURORA</v>
      </c>
      <c r="B264" t="str">
        <f>ESTADISTICA!B263</f>
        <v>SIR08 (fija 2)</v>
      </c>
      <c r="C264" t="str">
        <f>ESTADISTICA!C263</f>
        <v>MONTEVERDE Y URIBURU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1">
        <f>ESTADISTICA!AH263</f>
        <v>0</v>
      </c>
      <c r="AI264" s="51">
        <f>ESTADISTICA!AI263</f>
        <v>0</v>
      </c>
    </row>
    <row r="265" spans="1:35" x14ac:dyDescent="0.25">
      <c r="A265" t="str">
        <f>ESTADISTICA!A264</f>
        <v>LA SIRENA</v>
      </c>
      <c r="B265" t="str">
        <f>ESTADISTICA!B264</f>
        <v>SIR09 (fija 1)</v>
      </c>
      <c r="C265" t="str">
        <f>ESTADISTICA!C264</f>
        <v>GUIDO SPANO Y MORAN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 t="str">
        <f>ESTADISTICA!G264</f>
        <v>APAGADO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s="51">
        <f>ESTADISTICA!AH264</f>
        <v>0</v>
      </c>
      <c r="AI265" s="51">
        <f>ESTADISTICA!AI264</f>
        <v>0</v>
      </c>
    </row>
    <row r="266" spans="1:35" x14ac:dyDescent="0.25">
      <c r="A266" t="str">
        <f>ESTADISTICA!A265</f>
        <v>LA SIRENA</v>
      </c>
      <c r="B266" t="str">
        <f>ESTADISTICA!B265</f>
        <v>SIR10 (fija 2)</v>
      </c>
      <c r="C266" t="str">
        <f>ESTADISTICA!C265</f>
        <v>GUIDO SPANO Y MORAN</v>
      </c>
      <c r="D266" t="str">
        <f>ESTADISTICA!D265</f>
        <v>Fija</v>
      </c>
      <c r="E266" t="str">
        <f>ESTADISTICA!E265</f>
        <v>Fibra Optica</v>
      </c>
      <c r="F266">
        <f>ESTADISTICA!F265</f>
        <v>0</v>
      </c>
      <c r="G266" t="str">
        <f>ESTADISTICA!G265</f>
        <v>APAGADO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s="51">
        <f>ESTADISTICA!AH265</f>
        <v>0</v>
      </c>
      <c r="AI266" s="51">
        <f>ESTADISTICA!AI265</f>
        <v>0</v>
      </c>
    </row>
    <row r="267" spans="1:35" x14ac:dyDescent="0.25">
      <c r="A267" t="str">
        <f>ESTADISTICA!A266</f>
        <v>LA SIRENA</v>
      </c>
      <c r="B267" t="str">
        <f>ESTADISTICA!B266</f>
        <v>SIR11 (fija 1)</v>
      </c>
      <c r="C267" t="str">
        <f>ESTADISTICA!C266</f>
        <v>LARREA Y GUARDIA NACIONAL</v>
      </c>
      <c r="D267" t="str">
        <f>ESTADISTICA!D266</f>
        <v>Fija</v>
      </c>
      <c r="E267" t="str">
        <f>ESTADISTICA!E266</f>
        <v>Fibra Optica</v>
      </c>
      <c r="F267">
        <f>ESTADISTICA!F266</f>
        <v>0</v>
      </c>
      <c r="G267" t="str">
        <f>ESTADISTICA!G266</f>
        <v>APAGADO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s="51">
        <f>ESTADISTICA!AH266</f>
        <v>0</v>
      </c>
      <c r="AI267" s="51">
        <f>ESTADISTICA!AI266</f>
        <v>0</v>
      </c>
    </row>
    <row r="268" spans="1:35" x14ac:dyDescent="0.25">
      <c r="A268" t="str">
        <f>ESTADISTICA!A267</f>
        <v>LA SIRENA</v>
      </c>
      <c r="B268" t="str">
        <f>ESTADISTICA!B267</f>
        <v>SIR12 (fija 2)</v>
      </c>
      <c r="C268" t="str">
        <f>ESTADISTICA!C267</f>
        <v>LARREA Y GUARDIA NACIONAL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 t="str">
        <f>ESTADISTICA!G267</f>
        <v>APAGADO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s="51">
        <f>ESTADISTICA!AH267</f>
        <v>0</v>
      </c>
      <c r="AI268" s="51">
        <f>ESTADISTICA!AI267</f>
        <v>0</v>
      </c>
    </row>
    <row r="269" spans="1:35" x14ac:dyDescent="0.25">
      <c r="A269" t="str">
        <f>ESTADISTICA!A268</f>
        <v>SAN JORGE</v>
      </c>
      <c r="B269" t="str">
        <f>ESTADISTICA!B268</f>
        <v>SJO 03</v>
      </c>
      <c r="C269" t="str">
        <f>ESTADISTICA!C268</f>
        <v>517 Y 580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s="51">
        <f>ESTADISTICA!AH268</f>
        <v>0</v>
      </c>
      <c r="AI269" s="51">
        <f>ESTADISTICA!AI268</f>
        <v>0</v>
      </c>
    </row>
    <row r="270" spans="1:35" x14ac:dyDescent="0.25">
      <c r="A270" t="str">
        <f>ESTADISTICA!A269</f>
        <v>SAN JORGE</v>
      </c>
      <c r="B270" t="str">
        <f>ESTADISTICA!B269</f>
        <v>SJO 04</v>
      </c>
      <c r="C270" t="str">
        <f>ESTADISTICA!C269</f>
        <v>552 Y 519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s="51">
        <f>ESTADISTICA!AH269</f>
        <v>0</v>
      </c>
      <c r="AI270" s="51">
        <f>ESTADISTICA!AI269</f>
        <v>0</v>
      </c>
    </row>
    <row r="271" spans="1:35" x14ac:dyDescent="0.25">
      <c r="A271" t="str">
        <f>ESTADISTICA!A270</f>
        <v>SAN JORGE</v>
      </c>
      <c r="B271" t="str">
        <f>ESTADISTICA!B270</f>
        <v>SJO 09 (FIJA 1)</v>
      </c>
      <c r="C271" t="str">
        <f>ESTADISTICA!C270</f>
        <v>515 Y 566</v>
      </c>
      <c r="D271" t="str">
        <f>ESTADISTICA!D270</f>
        <v>Fija</v>
      </c>
      <c r="E271" t="str">
        <f>ESTADISTICA!E270</f>
        <v>Radio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s="51">
        <f>ESTADISTICA!AH270</f>
        <v>0</v>
      </c>
      <c r="AI271" s="51">
        <f>ESTADISTICA!AI270</f>
        <v>0</v>
      </c>
    </row>
    <row r="272" spans="1:35" x14ac:dyDescent="0.25">
      <c r="A272" t="str">
        <f>ESTADISTICA!A271</f>
        <v>SAN JORGE</v>
      </c>
      <c r="B272" t="str">
        <f>ESTADISTICA!B271</f>
        <v>SJO 10 (FIJA 2)</v>
      </c>
      <c r="C272" t="str">
        <f>ESTADISTICA!C271</f>
        <v>515 Y 566</v>
      </c>
      <c r="D272" t="str">
        <f>ESTADISTICA!D271</f>
        <v>Fija</v>
      </c>
      <c r="E272" t="str">
        <f>ESTADISTICA!E271</f>
        <v>Radio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s="51">
        <f>ESTADISTICA!AH271</f>
        <v>0</v>
      </c>
      <c r="AI272" s="51">
        <f>ESTADISTICA!AI271</f>
        <v>0</v>
      </c>
    </row>
    <row r="273" spans="1:35" x14ac:dyDescent="0.25">
      <c r="A273" t="str">
        <f>ESTADISTICA!A272</f>
        <v>SAN JORGE</v>
      </c>
      <c r="B273" t="str">
        <f>ESTADISTICA!B272</f>
        <v>SJO01</v>
      </c>
      <c r="C273" t="str">
        <f>ESTADISTICA!C272</f>
        <v>Calle 554 y 527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s="51">
        <f>ESTADISTICA!AH272</f>
        <v>0</v>
      </c>
      <c r="AI273" s="51">
        <f>ESTADISTICA!AI272</f>
        <v>0</v>
      </c>
    </row>
    <row r="274" spans="1:35" x14ac:dyDescent="0.25">
      <c r="A274" t="str">
        <f>ESTADISTICA!A273</f>
        <v>SAN JORGE</v>
      </c>
      <c r="B274" t="str">
        <f>ESTADISTICA!B273</f>
        <v>SJO02</v>
      </c>
      <c r="C274" t="str">
        <f>ESTADISTICA!C273</f>
        <v>Calle 554 y 511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s="51">
        <f>ESTADISTICA!AH273</f>
        <v>0</v>
      </c>
      <c r="AI274" s="51">
        <f>ESTADISTICA!AI273</f>
        <v>0</v>
      </c>
    </row>
    <row r="275" spans="1:35" x14ac:dyDescent="0.25">
      <c r="A275" t="str">
        <f>ESTADISTICA!A274</f>
        <v>SAN JORGE</v>
      </c>
      <c r="B275" t="str">
        <f>ESTADISTICA!B274</f>
        <v>SJO05 (fija 1)</v>
      </c>
      <c r="C275" t="str">
        <f>ESTADISTICA!C274</f>
        <v>511 Y 560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s="51">
        <f>ESTADISTICA!AH274</f>
        <v>0</v>
      </c>
      <c r="AI275" s="51">
        <f>ESTADISTICA!AI274</f>
        <v>0</v>
      </c>
    </row>
    <row r="276" spans="1:35" x14ac:dyDescent="0.25">
      <c r="A276" t="str">
        <f>ESTADISTICA!A275</f>
        <v>SAN JORGE</v>
      </c>
      <c r="B276" t="str">
        <f>ESTADISTICA!B275</f>
        <v>SJO06 (fija 2)</v>
      </c>
      <c r="C276" t="str">
        <f>ESTADISTICA!C275</f>
        <v>511 Y 560</v>
      </c>
      <c r="D276" t="str">
        <f>ESTADISTICA!D275</f>
        <v>Fija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s="51">
        <f>ESTADISTICA!AH275</f>
        <v>0</v>
      </c>
      <c r="AI276" s="51">
        <f>ESTADISTICA!AI275</f>
        <v>0</v>
      </c>
    </row>
    <row r="277" spans="1:35" x14ac:dyDescent="0.25">
      <c r="A277" t="str">
        <f>ESTADISTICA!A276</f>
        <v>SAN JORGE</v>
      </c>
      <c r="B277" t="str">
        <f>ESTADISTICA!B276</f>
        <v>SJO07 (fija 1)</v>
      </c>
      <c r="C277" t="str">
        <f>ESTADISTICA!C276</f>
        <v>503 Y 556</v>
      </c>
      <c r="D277" t="str">
        <f>ESTADISTICA!D276</f>
        <v>Fija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s="51">
        <f>ESTADISTICA!AH276</f>
        <v>0</v>
      </c>
      <c r="AI277" s="51">
        <f>ESTADISTICA!AI276</f>
        <v>0</v>
      </c>
    </row>
    <row r="278" spans="1:35" x14ac:dyDescent="0.25">
      <c r="A278" t="str">
        <f>ESTADISTICA!A277</f>
        <v>SAN JORGE</v>
      </c>
      <c r="B278" t="str">
        <f>ESTADISTICA!B277</f>
        <v>SJO08 (fija 2)</v>
      </c>
      <c r="C278" t="str">
        <f>ESTADISTICA!C277</f>
        <v>503 Y 556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s="51">
        <f>ESTADISTICA!AH277</f>
        <v>0</v>
      </c>
      <c r="AI278" s="51">
        <f>ESTADISTICA!AI277</f>
        <v>0</v>
      </c>
    </row>
    <row r="279" spans="1:35" x14ac:dyDescent="0.25">
      <c r="A279" t="str">
        <f>ESTADISTICA!A278</f>
        <v>SANTO TOMAS</v>
      </c>
      <c r="B279" t="str">
        <f>ESTADISTICA!B278</f>
        <v>SJU01</v>
      </c>
      <c r="C279" t="str">
        <f>ESTADISTICA!C278</f>
        <v>Ruta 36 y Pte.Peron</v>
      </c>
      <c r="D279" t="str">
        <f>ESTADISTICA!D278</f>
        <v>Domo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1">
        <f>ESTADISTICA!AH278</f>
        <v>0</v>
      </c>
      <c r="AI279" s="51">
        <f>ESTADISTICA!AI278</f>
        <v>0</v>
      </c>
    </row>
    <row r="280" spans="1:35" x14ac:dyDescent="0.25">
      <c r="A280" t="str">
        <f>ESTADISTICA!A279</f>
        <v>VILLA GENERAL SAN MARTIN</v>
      </c>
      <c r="B280" t="str">
        <f>ESTADISTICA!B279</f>
        <v>SMA 03</v>
      </c>
      <c r="C280" t="str">
        <f>ESTADISTICA!C279</f>
        <v>ROSARIO Y SAN NICOLAS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1">
        <f>ESTADISTICA!AH279</f>
        <v>0</v>
      </c>
      <c r="AI280" s="51">
        <f>ESTADISTICA!AI279</f>
        <v>0</v>
      </c>
    </row>
    <row r="281" spans="1:35" x14ac:dyDescent="0.25">
      <c r="A281" t="str">
        <f>ESTADISTICA!A280</f>
        <v>VILLA GENERAL SAN MARTIN</v>
      </c>
      <c r="B281" t="str">
        <f>ESTADISTICA!B280</f>
        <v>SMA 04</v>
      </c>
      <c r="C281" t="str">
        <f>ESTADISTICA!C280</f>
        <v>HUDSON Y MONTEVIDEO</v>
      </c>
      <c r="D281" t="str">
        <f>ESTADISTICA!D280</f>
        <v>FIJA</v>
      </c>
      <c r="E281" t="str">
        <f>ESTADISTICA!E280</f>
        <v>Radio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s="51">
        <f>ESTADISTICA!AH280</f>
        <v>0</v>
      </c>
      <c r="AI281" s="51">
        <f>ESTADISTICA!AI280</f>
        <v>0</v>
      </c>
    </row>
    <row r="282" spans="1:35" x14ac:dyDescent="0.25">
      <c r="A282" t="str">
        <f>ESTADISTICA!A281</f>
        <v>VILLA GENERAL SAN MARTIN</v>
      </c>
      <c r="B282" t="str">
        <f>ESTADISTICA!B281</f>
        <v>SMA 06</v>
      </c>
      <c r="C282" t="str">
        <f>ESTADISTICA!C281</f>
        <v>AV. HUDSON Y RIO IGUAZU</v>
      </c>
      <c r="D282" t="str">
        <f>ESTADISTICA!D281</f>
        <v>DOMO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1">
        <f>ESTADISTICA!AH281</f>
        <v>0</v>
      </c>
      <c r="AI282" s="51">
        <f>ESTADISTICA!AI281</f>
        <v>0</v>
      </c>
    </row>
    <row r="283" spans="1:35" x14ac:dyDescent="0.25">
      <c r="A283" t="str">
        <f>ESTADISTICA!A282</f>
        <v>VILLA GENERAL SAN MARTIN</v>
      </c>
      <c r="B283" t="str">
        <f>ESTADISTICA!B282</f>
        <v>SMA 07</v>
      </c>
      <c r="C283" t="str">
        <f>ESTADISTICA!C282</f>
        <v>AV. HUDSON Y RIO TURBIO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1">
        <f>ESTADISTICA!AH282</f>
        <v>0</v>
      </c>
      <c r="AI283" s="51">
        <f>ESTADISTICA!AI282</f>
        <v>0</v>
      </c>
    </row>
    <row r="284" spans="1:35" x14ac:dyDescent="0.25">
      <c r="A284" t="str">
        <f>ESTADISTICA!A283</f>
        <v>VILLA GENERAL SAN MARTIN</v>
      </c>
      <c r="B284" t="str">
        <f>ESTADISTICA!B283</f>
        <v>SMA01</v>
      </c>
      <c r="C284" t="str">
        <f>ESTADISTICA!C283</f>
        <v>Hudson y Montevideo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s="51">
        <f>ESTADISTICA!AH283</f>
        <v>0</v>
      </c>
      <c r="AI284" s="51">
        <f>ESTADISTICA!AI283</f>
        <v>0</v>
      </c>
    </row>
    <row r="285" spans="1:35" x14ac:dyDescent="0.25">
      <c r="A285" t="str">
        <f>ESTADISTICA!A284</f>
        <v>VILLA GENERAL SAN MARTIN</v>
      </c>
      <c r="B285" t="str">
        <f>ESTADISTICA!B284</f>
        <v>SMA02</v>
      </c>
      <c r="C285" t="str">
        <f>ESTADISTICA!C284</f>
        <v>Hudson y San Nicolas</v>
      </c>
      <c r="D285" t="str">
        <f>ESTADISTICA!D284</f>
        <v>Domo</v>
      </c>
      <c r="E285" t="str">
        <f>ESTADISTICA!E284</f>
        <v>Radio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s="51">
        <f>ESTADISTICA!AH284</f>
        <v>0</v>
      </c>
      <c r="AI285" s="51">
        <f>ESTADISTICA!AI284</f>
        <v>0</v>
      </c>
    </row>
    <row r="286" spans="1:35" x14ac:dyDescent="0.25">
      <c r="A286" t="str">
        <f>ESTADISTICA!A285</f>
        <v>VILLA GENERAL SAN MARTIN</v>
      </c>
      <c r="B286" t="str">
        <f>ESTADISTICA!B285</f>
        <v>SMA05</v>
      </c>
      <c r="C286" t="str">
        <f>ESTADISTICA!C285</f>
        <v>MONTEVIDEO Y VILLEGAS</v>
      </c>
      <c r="D286" t="str">
        <f>ESTADISTICA!D285</f>
        <v>DOMO</v>
      </c>
      <c r="E286" t="str">
        <f>ESTADISTICA!E285</f>
        <v>PTO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s="51">
        <f>ESTADISTICA!AH285</f>
        <v>0</v>
      </c>
      <c r="AI286" s="51">
        <f>ESTADISTICA!AI285</f>
        <v>0</v>
      </c>
    </row>
    <row r="287" spans="1:35" x14ac:dyDescent="0.25">
      <c r="A287" t="str">
        <f>ESTADISTICA!A286</f>
        <v>SAN NICOLAS</v>
      </c>
      <c r="B287" t="str">
        <f>ESTADISTICA!B286</f>
        <v>SNI 03 (fija 1)</v>
      </c>
      <c r="C287" t="str">
        <f>ESTADISTICA!C286</f>
        <v>SARRATEA Y LOS TREBOLES</v>
      </c>
      <c r="D287" t="str">
        <f>ESTADISTICA!D286</f>
        <v>Fija</v>
      </c>
      <c r="E287" t="str">
        <f>ESTADISTICA!E286</f>
        <v>Fibra Optica</v>
      </c>
      <c r="F287" t="str">
        <f>ESTADISTICA!F286</f>
        <v>APAGADO</v>
      </c>
      <c r="G287" t="str">
        <f>ESTADISTICA!G286</f>
        <v>APAGADO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s="51">
        <f>ESTADISTICA!AH286</f>
        <v>0</v>
      </c>
      <c r="AI287" s="51">
        <f>ESTADISTICA!AI286</f>
        <v>0</v>
      </c>
    </row>
    <row r="288" spans="1:35" x14ac:dyDescent="0.25">
      <c r="A288" t="str">
        <f>ESTADISTICA!A287</f>
        <v>SAN NICOLAS</v>
      </c>
      <c r="B288" t="str">
        <f>ESTADISTICA!B287</f>
        <v>SNI 04 (fija 2)</v>
      </c>
      <c r="C288" t="str">
        <f>ESTADISTICA!C287</f>
        <v>SARRATEA Y LOS TREBOLES</v>
      </c>
      <c r="D288" t="str">
        <f>ESTADISTICA!D287</f>
        <v>Fija</v>
      </c>
      <c r="E288" t="str">
        <f>ESTADISTICA!E287</f>
        <v>Fibra Optica</v>
      </c>
      <c r="F288" t="str">
        <f>ESTADISTICA!F287</f>
        <v>APAGADO</v>
      </c>
      <c r="G288" t="str">
        <f>ESTADISTICA!G287</f>
        <v>APAGADO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s="51">
        <f>ESTADISTICA!AH287</f>
        <v>0</v>
      </c>
      <c r="AI288" s="51">
        <f>ESTADISTICA!AI287</f>
        <v>0</v>
      </c>
    </row>
    <row r="289" spans="1:35" x14ac:dyDescent="0.25">
      <c r="A289" t="str">
        <f>ESTADISTICA!A288</f>
        <v>SAN NICOLAS</v>
      </c>
      <c r="B289" t="str">
        <f>ESTADISTICA!B288</f>
        <v>SNI01 (fija 1)</v>
      </c>
      <c r="C289" t="str">
        <f>ESTADISTICA!C288</f>
        <v>SARRATEA E/ EEUU DE A. Y AGRELO</v>
      </c>
      <c r="D289" t="str">
        <f>ESTADISTICA!D288</f>
        <v>Fija</v>
      </c>
      <c r="E289" t="str">
        <f>ESTADISTICA!E288</f>
        <v>Fibra Optica</v>
      </c>
      <c r="F289" t="str">
        <f>ESTADISTICA!F288</f>
        <v>APAGADO</v>
      </c>
      <c r="G289" t="str">
        <f>ESTADISTICA!G288</f>
        <v>APAGADO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s="51">
        <f>ESTADISTICA!AH288</f>
        <v>0</v>
      </c>
      <c r="AI289" s="51">
        <f>ESTADISTICA!AI288</f>
        <v>0</v>
      </c>
    </row>
    <row r="290" spans="1:35" x14ac:dyDescent="0.25">
      <c r="A290" t="str">
        <f>ESTADISTICA!A289</f>
        <v>SAN NICOLAS</v>
      </c>
      <c r="B290" t="str">
        <f>ESTADISTICA!B289</f>
        <v>SNI02 (fija 2)</v>
      </c>
      <c r="C290" t="str">
        <f>ESTADISTICA!C289</f>
        <v>SARRATEA E/ EEUU DE A. Y AGRELO</v>
      </c>
      <c r="D290" t="str">
        <f>ESTADISTICA!D289</f>
        <v>Fija</v>
      </c>
      <c r="E290" t="str">
        <f>ESTADISTICA!E289</f>
        <v>Fibra Optica</v>
      </c>
      <c r="F290" t="str">
        <f>ESTADISTICA!F289</f>
        <v>APAGADO</v>
      </c>
      <c r="G290" t="str">
        <f>ESTADISTICA!G289</f>
        <v>APAGADO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s="51">
        <f>ESTADISTICA!AH289</f>
        <v>0</v>
      </c>
      <c r="AI290" s="51">
        <f>ESTADISTICA!AI289</f>
        <v>0</v>
      </c>
    </row>
    <row r="291" spans="1:35" x14ac:dyDescent="0.25">
      <c r="A291" t="str">
        <f>ESTADISTICA!A290</f>
        <v>SANTA ROSA</v>
      </c>
      <c r="B291" t="str">
        <f>ESTADISTICA!B290</f>
        <v>SRO 04</v>
      </c>
      <c r="C291" t="str">
        <f>ESTADISTICA!C290</f>
        <v>Belgica y Andorra</v>
      </c>
      <c r="D291" t="str">
        <f>ESTADISTICA!D290</f>
        <v>Domo</v>
      </c>
      <c r="E291" t="str">
        <f>ESTADISTICA!E290</f>
        <v>Radio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s="51">
        <f>ESTADISTICA!AH290</f>
        <v>0</v>
      </c>
      <c r="AI291" s="51">
        <f>ESTADISTICA!AI290</f>
        <v>0</v>
      </c>
    </row>
    <row r="292" spans="1:35" x14ac:dyDescent="0.25">
      <c r="A292" t="str">
        <f>ESTADISTICA!A291</f>
        <v>SANTA ROSA</v>
      </c>
      <c r="B292" t="str">
        <f>ESTADISTICA!B291</f>
        <v>SRO 08</v>
      </c>
      <c r="C292" t="str">
        <f>ESTADISTICA!C291</f>
        <v>NOVAK E/ DESSY Y BELGICA (POLIDEPORTIVO LA PATRIADA)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s="51">
        <f>ESTADISTICA!AH291</f>
        <v>0</v>
      </c>
      <c r="AI292" s="51">
        <f>ESTADISTICA!AI291</f>
        <v>0</v>
      </c>
    </row>
    <row r="293" spans="1:35" x14ac:dyDescent="0.25">
      <c r="A293" t="str">
        <f>ESTADISTICA!A292</f>
        <v>SANTA ROSA</v>
      </c>
      <c r="B293" t="str">
        <f>ESTADISTICA!B292</f>
        <v>SRO 11</v>
      </c>
      <c r="C293" t="str">
        <f>ESTADISTICA!C292</f>
        <v>MILAN Y MALLORCA</v>
      </c>
      <c r="D293" t="str">
        <f>ESTADISTICA!D292</f>
        <v>DOMO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s="51">
        <f>ESTADISTICA!AH292</f>
        <v>0</v>
      </c>
      <c r="AI293" s="51">
        <f>ESTADISTICA!AI292</f>
        <v>0</v>
      </c>
    </row>
    <row r="294" spans="1:35" x14ac:dyDescent="0.25">
      <c r="A294" t="str">
        <f>ESTADISTICA!A293</f>
        <v>ZONA RURAL SANTA ROSA</v>
      </c>
      <c r="B294" t="str">
        <f>ESTADISTICA!B293</f>
        <v>SRO 13 (fija 1)</v>
      </c>
      <c r="C294" t="str">
        <f>ESTADISTICA!C293</f>
        <v>BRUSELAS E/ GRECIA Y CHECOSLOVAQUIA</v>
      </c>
      <c r="D294" t="str">
        <f>ESTADISTICA!D293</f>
        <v>Fija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s="51">
        <f>ESTADISTICA!AH293</f>
        <v>0</v>
      </c>
      <c r="AI294" s="51">
        <f>ESTADISTICA!AI293</f>
        <v>0</v>
      </c>
    </row>
    <row r="295" spans="1:35" x14ac:dyDescent="0.25">
      <c r="A295" t="str">
        <f>ESTADISTICA!A294</f>
        <v>ZONA RURAL SANTA ROSA</v>
      </c>
      <c r="B295" t="str">
        <f>ESTADISTICA!B294</f>
        <v>SRO 14 (fija 2)</v>
      </c>
      <c r="C295" t="str">
        <f>ESTADISTICA!C294</f>
        <v>BRUSELAS E/ GRECIA Y CHECOSLOVAQUIA</v>
      </c>
      <c r="D295" t="str">
        <f>ESTADISTICA!D294</f>
        <v>Fija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s="51">
        <f>ESTADISTICA!AH294</f>
        <v>0</v>
      </c>
      <c r="AI295" s="51">
        <f>ESTADISTICA!AI294</f>
        <v>0</v>
      </c>
    </row>
    <row r="296" spans="1:35" x14ac:dyDescent="0.25">
      <c r="A296" t="str">
        <f>ESTADISTICA!A295</f>
        <v>SANTA ROSA</v>
      </c>
      <c r="B296" t="str">
        <f>ESTADISTICA!B295</f>
        <v>SRO 18 (fija 1)</v>
      </c>
      <c r="C296" t="str">
        <f>ESTADISTICA!C295</f>
        <v>GRAN CANARIA Y BUDAPEST</v>
      </c>
      <c r="D296" t="str">
        <f>ESTADISTICA!D295</f>
        <v>Fija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s="51">
        <f>ESTADISTICA!AH295</f>
        <v>0</v>
      </c>
      <c r="AI296" s="51">
        <f>ESTADISTICA!AI295</f>
        <v>0</v>
      </c>
    </row>
    <row r="297" spans="1:35" x14ac:dyDescent="0.25">
      <c r="A297" t="str">
        <f>ESTADISTICA!A296</f>
        <v>SANTA ROSA</v>
      </c>
      <c r="B297" t="str">
        <f>ESTADISTICA!B296</f>
        <v>SRO 19 (fija 2)</v>
      </c>
      <c r="C297" t="str">
        <f>ESTADISTICA!C296</f>
        <v>GRAN CANARIA Y BUDAPEST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s="51">
        <f>ESTADISTICA!AH296</f>
        <v>0</v>
      </c>
      <c r="AI297" s="51">
        <f>ESTADISTICA!AI296</f>
        <v>0</v>
      </c>
    </row>
    <row r="298" spans="1:35" x14ac:dyDescent="0.25">
      <c r="A298" t="str">
        <f>ESTADISTICA!A297</f>
        <v>SANTA ROSA</v>
      </c>
      <c r="B298" t="str">
        <f>ESTADISTICA!B297</f>
        <v>SRO01</v>
      </c>
      <c r="C298" t="str">
        <f>ESTADISTICA!C297</f>
        <v>Yugoslavia y MilÃ¡n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s="51">
        <f>ESTADISTICA!AH297</f>
        <v>0</v>
      </c>
      <c r="AI298" s="51">
        <f>ESTADISTICA!AI297</f>
        <v>0</v>
      </c>
    </row>
    <row r="299" spans="1:35" x14ac:dyDescent="0.25">
      <c r="A299" t="str">
        <f>ESTADISTICA!A298</f>
        <v>ZONA RURAL SANTA ROSA</v>
      </c>
      <c r="B299" t="str">
        <f>ESTADISTICA!B298</f>
        <v>SRO02</v>
      </c>
      <c r="C299" t="str">
        <f>ESTADISTICA!C298</f>
        <v>Bruselas y Calle 448</v>
      </c>
      <c r="D299" t="str">
        <f>ESTADISTICA!D298</f>
        <v>Domo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s="51">
        <f>ESTADISTICA!AH298</f>
        <v>0</v>
      </c>
      <c r="AI299" s="51">
        <f>ESTADISTICA!AI298</f>
        <v>0</v>
      </c>
    </row>
    <row r="300" spans="1:35" x14ac:dyDescent="0.25">
      <c r="A300" t="str">
        <f>ESTADISTICA!A299</f>
        <v>SANTA ROSA</v>
      </c>
      <c r="B300" t="str">
        <f>ESTADISTICA!B299</f>
        <v>SRO03</v>
      </c>
      <c r="C300" t="str">
        <f>ESTADISTICA!C299</f>
        <v>Eva Peron y Paysandu</v>
      </c>
      <c r="D300" t="str">
        <f>ESTADISTICA!D299</f>
        <v>Domo</v>
      </c>
      <c r="E300" t="str">
        <f>ESTADISTICA!E299</f>
        <v>Radio</v>
      </c>
      <c r="F300" t="str">
        <f>ESTADISTICA!F299</f>
        <v>APAGADO</v>
      </c>
      <c r="G300" t="str">
        <f>ESTADISTICA!G299</f>
        <v>APAGADO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s="51">
        <f>ESTADISTICA!AH299</f>
        <v>0</v>
      </c>
      <c r="AI300" s="51">
        <f>ESTADISTICA!AI299</f>
        <v>0</v>
      </c>
    </row>
    <row r="301" spans="1:35" x14ac:dyDescent="0.25">
      <c r="A301" t="str">
        <f>ESTADISTICA!A300</f>
        <v>SANTA ROSA</v>
      </c>
      <c r="B301" t="str">
        <f>ESTADISTICA!B300</f>
        <v>SRO05</v>
      </c>
      <c r="C301" t="str">
        <f>ESTADISTICA!C300</f>
        <v>CAFFERATA Y BONN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s="51">
        <f>ESTADISTICA!AH300</f>
        <v>0</v>
      </c>
      <c r="AI301" s="51">
        <f>ESTADISTICA!AI300</f>
        <v>0</v>
      </c>
    </row>
    <row r="302" spans="1:35" x14ac:dyDescent="0.25">
      <c r="A302" t="str">
        <f>ESTADISTICA!A301</f>
        <v>SANTA ROSA</v>
      </c>
      <c r="B302" t="str">
        <f>ESTADISTICA!B301</f>
        <v>SRO06</v>
      </c>
      <c r="C302" t="str">
        <f>ESTADISTICA!C301</f>
        <v>Novak y Bonn</v>
      </c>
      <c r="D302" t="str">
        <f>ESTADISTICA!D301</f>
        <v>Domo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51">
        <f>ESTADISTICA!AH301</f>
        <v>0</v>
      </c>
      <c r="AI302" s="51">
        <f>ESTADISTICA!AI301</f>
        <v>0</v>
      </c>
    </row>
    <row r="303" spans="1:35" x14ac:dyDescent="0.25">
      <c r="A303" t="str">
        <f>ESTADISTICA!A302</f>
        <v>SANTA ROSA</v>
      </c>
      <c r="B303" t="str">
        <f>ESTADISTICA!B302</f>
        <v>SRO07</v>
      </c>
      <c r="C303" t="str">
        <f>ESTADISTICA!C302</f>
        <v>NOVAK Y BELGICA</v>
      </c>
      <c r="D303" t="str">
        <f>ESTADISTICA!D302</f>
        <v>Domo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51">
        <f>ESTADISTICA!AH302</f>
        <v>0</v>
      </c>
      <c r="AI303" s="51">
        <f>ESTADISTICA!AI302</f>
        <v>0</v>
      </c>
    </row>
    <row r="304" spans="1:35" x14ac:dyDescent="0.25">
      <c r="A304" t="str">
        <f>ESTADISTICA!A303</f>
        <v>SANTA ROSA</v>
      </c>
      <c r="B304" t="str">
        <f>ESTADISTICA!B303</f>
        <v>SRO09</v>
      </c>
      <c r="C304" t="str">
        <f>ESTADISTICA!C303</f>
        <v>BUCAREST E/ ALEMANIA Y CAFFERATA</v>
      </c>
      <c r="D304" t="str">
        <f>ESTADISTICA!D303</f>
        <v>DOMO</v>
      </c>
      <c r="E304" t="str">
        <f>ESTADISTICA!E303</f>
        <v>Radio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51">
        <f>ESTADISTICA!AH303</f>
        <v>0</v>
      </c>
      <c r="AI304" s="51">
        <f>ESTADISTICA!AI303</f>
        <v>0</v>
      </c>
    </row>
    <row r="305" spans="1:35" x14ac:dyDescent="0.25">
      <c r="A305" t="str">
        <f>ESTADISTICA!A304</f>
        <v>SANTA ROSA</v>
      </c>
      <c r="B305" t="str">
        <f>ESTADISTICA!B304</f>
        <v>SRO10</v>
      </c>
      <c r="C305" t="str">
        <f>ESTADISTICA!C304</f>
        <v>DINAMARCA Y MILAN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1">
        <f>ESTADISTICA!AH304</f>
        <v>0</v>
      </c>
      <c r="AI305" s="51">
        <f>ESTADISTICA!AI304</f>
        <v>0</v>
      </c>
    </row>
    <row r="306" spans="1:35" x14ac:dyDescent="0.25">
      <c r="A306" t="str">
        <f>ESTADISTICA!A305</f>
        <v>SANTA ROSA</v>
      </c>
      <c r="B306" t="str">
        <f>ESTADISTICA!B305</f>
        <v>SRO12</v>
      </c>
      <c r="C306" t="str">
        <f>ESTADISTICA!C305</f>
        <v>YUGOSLAVIA Y PAYSANDU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s="51">
        <f>ESTADISTICA!AH305</f>
        <v>0</v>
      </c>
      <c r="AI306" s="51">
        <f>ESTADISTICA!AI305</f>
        <v>0</v>
      </c>
    </row>
    <row r="307" spans="1:35" x14ac:dyDescent="0.25">
      <c r="A307" t="str">
        <f>ESTADISTICA!A306</f>
        <v>SANTA ROSA</v>
      </c>
      <c r="B307" t="str">
        <f>ESTADISTICA!B306</f>
        <v>SRO15</v>
      </c>
      <c r="C307" t="str">
        <f>ESTADISTICA!C306</f>
        <v>NOVAK Y TIRANA (614)</v>
      </c>
      <c r="D307" t="str">
        <f>ESTADISTICA!D306</f>
        <v>DOMO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s="51">
        <f>ESTADISTICA!AH306</f>
        <v>0</v>
      </c>
      <c r="AI307" s="51">
        <f>ESTADISTICA!AI306</f>
        <v>0</v>
      </c>
    </row>
    <row r="308" spans="1:35" x14ac:dyDescent="0.25">
      <c r="A308" t="str">
        <f>ESTADISTICA!A307</f>
        <v>SANTA ROSA</v>
      </c>
      <c r="B308" t="str">
        <f>ESTADISTICA!B307</f>
        <v>SRO16 (fija 1)</v>
      </c>
      <c r="C308" t="str">
        <f>ESTADISTICA!C307</f>
        <v>ANDORRA E/ BELGICA Y SAN MARINO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s="51">
        <f>ESTADISTICA!AH307</f>
        <v>0</v>
      </c>
      <c r="AI308" s="51">
        <f>ESTADISTICA!AI307</f>
        <v>0</v>
      </c>
    </row>
    <row r="309" spans="1:35" x14ac:dyDescent="0.25">
      <c r="A309" t="str">
        <f>ESTADISTICA!A308</f>
        <v>SANTA ROSA</v>
      </c>
      <c r="B309" t="str">
        <f>ESTADISTICA!B308</f>
        <v>SRO17 (fija 2)</v>
      </c>
      <c r="C309" t="str">
        <f>ESTADISTICA!C308</f>
        <v>ANDORRA E/ BELGICA Y SAN MARINO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1">
        <f>ESTADISTICA!AH308</f>
        <v>0</v>
      </c>
      <c r="AI309" s="51">
        <f>ESTADISTICA!AI308</f>
        <v>0</v>
      </c>
    </row>
    <row r="310" spans="1:35" x14ac:dyDescent="0.25">
      <c r="A310" t="str">
        <f>ESTADISTICA!A309</f>
        <v>SAN RUDECINDO</v>
      </c>
      <c r="B310" t="str">
        <f>ESTADISTICA!B309</f>
        <v>SRU01 (fija 1)</v>
      </c>
      <c r="C310" t="str">
        <f>ESTADISTICA!C309</f>
        <v>HERNANDARIAS Y AMBATO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 t="str">
        <f>ESTADISTICA!L309</f>
        <v>APAGADO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1">
        <f>ESTADISTICA!AH309</f>
        <v>0</v>
      </c>
      <c r="AI310" s="51">
        <f>ESTADISTICA!AI309</f>
        <v>0</v>
      </c>
    </row>
    <row r="311" spans="1:35" x14ac:dyDescent="0.25">
      <c r="A311" t="str">
        <f>ESTADISTICA!A310</f>
        <v>SAN RUDECINDO</v>
      </c>
      <c r="B311" t="str">
        <f>ESTADISTICA!B310</f>
        <v>SRU02 (fija 2)</v>
      </c>
      <c r="C311" t="str">
        <f>ESTADISTICA!C310</f>
        <v>HERNANDARIAS Y AMBATO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 t="str">
        <f>ESTADISTICA!L310</f>
        <v>APAGADO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1">
        <f>ESTADISTICA!AH310</f>
        <v>0</v>
      </c>
      <c r="AI311" s="51">
        <f>ESTADISTICA!AI310</f>
        <v>0</v>
      </c>
    </row>
    <row r="312" spans="1:35" x14ac:dyDescent="0.25">
      <c r="A312" t="str">
        <f>ESTADISTICA!A311</f>
        <v>PRESIDENTE SARMIENTO</v>
      </c>
      <c r="B312" t="str">
        <f>ESTADISTICA!B311</f>
        <v>VANG 09</v>
      </c>
      <c r="C312" t="str">
        <f>ESTADISTICA!C311</f>
        <v>Ruta 36 y Senzabello</v>
      </c>
      <c r="D312" t="str">
        <f>ESTADISTICA!D311</f>
        <v>Domo</v>
      </c>
      <c r="E312" t="str">
        <f>ESTADISTICA!E311</f>
        <v>PTO A FO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s="51">
        <f>ESTADISTICA!AH311</f>
        <v>0</v>
      </c>
      <c r="AI312" s="51">
        <f>ESTADISTICA!AI311</f>
        <v>0</v>
      </c>
    </row>
    <row r="313" spans="1:35" x14ac:dyDescent="0.25">
      <c r="A313" t="str">
        <f>ESTADISTICA!A312</f>
        <v>VILLA ANGELICA</v>
      </c>
      <c r="B313" t="str">
        <f>ESTADISTICA!B312</f>
        <v>VANG01</v>
      </c>
      <c r="C313" t="str">
        <f>ESTADISTICA!C312</f>
        <v>Senzabello y Necochea</v>
      </c>
      <c r="D313" t="str">
        <f>ESTADISTICA!D312</f>
        <v>Domo</v>
      </c>
      <c r="E313" t="str">
        <f>ESTADISTICA!E312</f>
        <v>PTO A FO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s="51">
        <f>ESTADISTICA!AH312</f>
        <v>0</v>
      </c>
      <c r="AI313" s="51">
        <f>ESTADISTICA!AI312</f>
        <v>0</v>
      </c>
    </row>
    <row r="314" spans="1:35" x14ac:dyDescent="0.25">
      <c r="A314" t="str">
        <f>ESTADISTICA!A313</f>
        <v>VILLA ANGELICA</v>
      </c>
      <c r="B314" t="str">
        <f>ESTADISTICA!B313</f>
        <v>VANG02</v>
      </c>
      <c r="C314" t="str">
        <f>ESTADISTICA!C313</f>
        <v>Thevenet y Ruta 36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s="51">
        <f>ESTADISTICA!AH313</f>
        <v>0</v>
      </c>
      <c r="AI314" s="51">
        <f>ESTADISTICA!AI313</f>
        <v>0</v>
      </c>
    </row>
    <row r="315" spans="1:35" x14ac:dyDescent="0.25">
      <c r="A315" t="str">
        <f>ESTADISTICA!A314</f>
        <v>VILLA DEL PLATA</v>
      </c>
      <c r="B315" t="str">
        <f>ESTADISTICA!B314</f>
        <v>VANG03</v>
      </c>
      <c r="C315" t="str">
        <f>ESTADISTICA!C314</f>
        <v>Thevenet 1950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s="51">
        <f>ESTADISTICA!AH314</f>
        <v>0</v>
      </c>
      <c r="AI315" s="51">
        <f>ESTADISTICA!AI314</f>
        <v>0</v>
      </c>
    </row>
    <row r="316" spans="1:35" x14ac:dyDescent="0.25">
      <c r="A316" t="str">
        <f>ESTADISTICA!A315</f>
        <v>VILLA ANGELICA</v>
      </c>
      <c r="B316" t="str">
        <f>ESTADISTICA!B315</f>
        <v>VANG04</v>
      </c>
      <c r="C316" t="str">
        <f>ESTADISTICA!C315</f>
        <v>Storni e/Thevenet y Calle 158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s="51">
        <f>ESTADISTICA!AH315</f>
        <v>0</v>
      </c>
      <c r="AI316" s="51">
        <f>ESTADISTICA!AI315</f>
        <v>0</v>
      </c>
    </row>
    <row r="317" spans="1:35" x14ac:dyDescent="0.25">
      <c r="A317" t="str">
        <f>ESTADISTICA!A316</f>
        <v>VILLA ANGELICA</v>
      </c>
      <c r="B317" t="str">
        <f>ESTADISTICA!B316</f>
        <v>VANG05</v>
      </c>
      <c r="C317" t="str">
        <f>ESTADISTICA!C316</f>
        <v>Storni y Thevenet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s="51">
        <f>ESTADISTICA!AH316</f>
        <v>0</v>
      </c>
      <c r="AI317" s="51">
        <f>ESTADISTICA!AI316</f>
        <v>0</v>
      </c>
    </row>
    <row r="318" spans="1:35" x14ac:dyDescent="0.25">
      <c r="A318" t="str">
        <f>ESTADISTICA!A317</f>
        <v>VILLA ANGELICA</v>
      </c>
      <c r="B318" t="str">
        <f>ESTADISTICA!B317</f>
        <v>VANG06</v>
      </c>
      <c r="C318" t="str">
        <f>ESTADISTICA!C317</f>
        <v>Arenales e/Thevenet y Calle 158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s="51">
        <f>ESTADISTICA!AH317</f>
        <v>0</v>
      </c>
      <c r="AI318" s="51">
        <f>ESTADISTICA!AI317</f>
        <v>0</v>
      </c>
    </row>
    <row r="319" spans="1:35" x14ac:dyDescent="0.25">
      <c r="A319" t="str">
        <f>ESTADISTICA!A318</f>
        <v>VILLA ANGELICA</v>
      </c>
      <c r="B319" t="str">
        <f>ESTADISTICA!B318</f>
        <v>VANG07</v>
      </c>
      <c r="C319" t="str">
        <f>ESTADISTICA!C318</f>
        <v>Arenales y Thevenet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1">
        <f>ESTADISTICA!AH318</f>
        <v>0</v>
      </c>
      <c r="AI319" s="51">
        <f>ESTADISTICA!AI318</f>
        <v>0</v>
      </c>
    </row>
    <row r="320" spans="1:35" x14ac:dyDescent="0.25">
      <c r="A320" t="str">
        <f>ESTADISTICA!A319</f>
        <v>VILLA ANGELICA</v>
      </c>
      <c r="B320" t="str">
        <f>ESTADISTICA!B319</f>
        <v>VANG08</v>
      </c>
      <c r="C320" t="str">
        <f>ESTADISTICA!C319</f>
        <v>Calle 158 al 2200</v>
      </c>
      <c r="D320" t="str">
        <f>ESTADISTICA!D319</f>
        <v>Domo</v>
      </c>
      <c r="E320" t="str">
        <f>ESTADISTICA!E319</f>
        <v>PTO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s="51">
        <f>ESTADISTICA!AH319</f>
        <v>0</v>
      </c>
      <c r="AI320" s="51">
        <f>ESTADISTICA!AI319</f>
        <v>0</v>
      </c>
    </row>
    <row r="321" spans="1:35" x14ac:dyDescent="0.25">
      <c r="A321" t="str">
        <f>ESTADISTICA!A320</f>
        <v>VILLA ARGENTINA</v>
      </c>
      <c r="B321" t="str">
        <f>ESTADISTICA!B320</f>
        <v>VAR 01</v>
      </c>
      <c r="C321" t="str">
        <f>ESTADISTICA!C320</f>
        <v>Calle 519 y 546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s="51">
        <f>ESTADISTICA!AH320</f>
        <v>0</v>
      </c>
      <c r="AI321" s="51">
        <f>ESTADISTICA!AI320</f>
        <v>0</v>
      </c>
    </row>
    <row r="322" spans="1:35" x14ac:dyDescent="0.25">
      <c r="A322" t="str">
        <f>ESTADISTICA!A321</f>
        <v>VILLA ARGENTINA</v>
      </c>
      <c r="B322" t="str">
        <f>ESTADISTICA!B321</f>
        <v>VAR 02</v>
      </c>
      <c r="C322" t="str">
        <f>ESTADISTICA!C321</f>
        <v>DIAGONAL LOS TILOS Y 542</v>
      </c>
      <c r="D322" t="str">
        <f>ESTADISTICA!D321</f>
        <v>DOMO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1">
        <f>ESTADISTICA!AH321</f>
        <v>0</v>
      </c>
      <c r="AI322" s="51">
        <f>ESTADISTICA!AI321</f>
        <v>0</v>
      </c>
    </row>
    <row r="323" spans="1:35" x14ac:dyDescent="0.25">
      <c r="A323" t="str">
        <f>ESTADISTICA!A322</f>
        <v>VILLA ARGENTINA</v>
      </c>
      <c r="B323" t="str">
        <f>ESTADISTICA!B322</f>
        <v>VAR 08 (fija 1)</v>
      </c>
      <c r="C323" t="str">
        <f>ESTADISTICA!C322</f>
        <v>534 Y 523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s="51">
        <f>ESTADISTICA!AH322</f>
        <v>0</v>
      </c>
      <c r="AI323" s="51">
        <f>ESTADISTICA!AI322</f>
        <v>0</v>
      </c>
    </row>
    <row r="324" spans="1:35" x14ac:dyDescent="0.25">
      <c r="A324" t="str">
        <f>ESTADISTICA!A323</f>
        <v>VILLA ARGENTINA</v>
      </c>
      <c r="B324" t="str">
        <f>ESTADISTICA!B323</f>
        <v>VAR 09 (fija 2)</v>
      </c>
      <c r="C324" t="str">
        <f>ESTADISTICA!C323</f>
        <v>534 Y 523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s="51">
        <f>ESTADISTICA!AH323</f>
        <v>0</v>
      </c>
      <c r="AI324" s="51">
        <f>ESTADISTICA!AI323</f>
        <v>0</v>
      </c>
    </row>
    <row r="325" spans="1:35" x14ac:dyDescent="0.25">
      <c r="A325" t="str">
        <f>ESTADISTICA!A324</f>
        <v>VILLA ARGENTINA</v>
      </c>
      <c r="B325" t="str">
        <f>ESTADISTICA!B324</f>
        <v>VAR03 (fija 1)</v>
      </c>
      <c r="C325" t="str">
        <f>ESTADISTICA!C324</f>
        <v>509 y 546</v>
      </c>
      <c r="D325" t="str">
        <f>ESTADISTICA!D324</f>
        <v>Fija</v>
      </c>
      <c r="E325" t="str">
        <f>ESTADISTICA!E324</f>
        <v>RADIO</v>
      </c>
      <c r="F325" t="str">
        <f>ESTADISTICA!F324</f>
        <v>APAGADO</v>
      </c>
      <c r="G325" t="str">
        <f>ESTADISTICA!G324</f>
        <v>APAGADO</v>
      </c>
      <c r="H325" t="str">
        <f>ESTADISTICA!H324</f>
        <v>APAGADO</v>
      </c>
      <c r="I325" t="str">
        <f>ESTADISTICA!I324</f>
        <v>APAGADO</v>
      </c>
      <c r="J325" t="str">
        <f>ESTADISTICA!J324</f>
        <v>APAGADO</v>
      </c>
      <c r="K325" t="str">
        <f>ESTADISTICA!K324</f>
        <v>APAGADO</v>
      </c>
      <c r="L325" t="str">
        <f>ESTADISTICA!L324</f>
        <v>APAGADO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s="51">
        <f>ESTADISTICA!AH324</f>
        <v>0</v>
      </c>
      <c r="AI325" s="51">
        <f>ESTADISTICA!AI324</f>
        <v>0</v>
      </c>
    </row>
    <row r="326" spans="1:35" x14ac:dyDescent="0.25">
      <c r="A326" t="str">
        <f>ESTADISTICA!A325</f>
        <v>VILLA ARGENTINA</v>
      </c>
      <c r="B326" t="str">
        <f>ESTADISTICA!B325</f>
        <v>VAR04 (fija 2)</v>
      </c>
      <c r="C326" t="str">
        <f>ESTADISTICA!C325</f>
        <v>509 y 546</v>
      </c>
      <c r="D326" t="str">
        <f>ESTADISTICA!D325</f>
        <v>Fija</v>
      </c>
      <c r="E326" t="str">
        <f>ESTADISTICA!E325</f>
        <v>RADIO</v>
      </c>
      <c r="F326" t="str">
        <f>ESTADISTICA!F325</f>
        <v>APAGADO</v>
      </c>
      <c r="G326" t="str">
        <f>ESTADISTICA!G325</f>
        <v>APAGADO</v>
      </c>
      <c r="H326" t="str">
        <f>ESTADISTICA!H325</f>
        <v>APAGADO</v>
      </c>
      <c r="I326" t="str">
        <f>ESTADISTICA!I325</f>
        <v>APAGADO</v>
      </c>
      <c r="J326" t="str">
        <f>ESTADISTICA!J325</f>
        <v>APAGADO</v>
      </c>
      <c r="K326" t="str">
        <f>ESTADISTICA!K325</f>
        <v>APAGADO</v>
      </c>
      <c r="L326" t="str">
        <f>ESTADISTICA!L325</f>
        <v>APAGADO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s="51">
        <f>ESTADISTICA!AH325</f>
        <v>0</v>
      </c>
      <c r="AI326" s="51">
        <f>ESTADISTICA!AI325</f>
        <v>0</v>
      </c>
    </row>
    <row r="327" spans="1:35" x14ac:dyDescent="0.25">
      <c r="A327" t="str">
        <f>ESTADISTICA!A326</f>
        <v>VILLA ARGENTINA</v>
      </c>
      <c r="B327" t="str">
        <f>ESTADISTICA!B326</f>
        <v>VAR05 (fija 1)</v>
      </c>
      <c r="C327" t="str">
        <f>ESTADISTICA!C326</f>
        <v>511 E/ 544 Y 546</v>
      </c>
      <c r="D327" t="str">
        <f>ESTADISTICA!D326</f>
        <v>Fija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s="51">
        <f>ESTADISTICA!AH326</f>
        <v>0</v>
      </c>
      <c r="AI327" s="51">
        <f>ESTADISTICA!AI326</f>
        <v>0</v>
      </c>
    </row>
    <row r="328" spans="1:35" x14ac:dyDescent="0.25">
      <c r="A328" t="str">
        <f>ESTADISTICA!A327</f>
        <v>VILLA ARGENTINA</v>
      </c>
      <c r="B328" t="str">
        <f>ESTADISTICA!B327</f>
        <v>VAR06 (fija 2)</v>
      </c>
      <c r="C328" t="str">
        <f>ESTADISTICA!C327</f>
        <v>511 E/ 544 Y 546</v>
      </c>
      <c r="D328" t="str">
        <f>ESTADISTICA!D327</f>
        <v>Fija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s="51">
        <f>ESTADISTICA!AH327</f>
        <v>0</v>
      </c>
      <c r="AI328" s="51">
        <f>ESTADISTICA!AI327</f>
        <v>0</v>
      </c>
    </row>
    <row r="329" spans="1:35" x14ac:dyDescent="0.25">
      <c r="A329" t="str">
        <f>ESTADISTICA!A328</f>
        <v>VILLA ARGENTINA</v>
      </c>
      <c r="B329" t="str">
        <f>ESTADISTICA!B328</f>
        <v>VAR07</v>
      </c>
      <c r="C329" t="str">
        <f>ESTADISTICA!C328</f>
        <v>DIAG. LOS TILOS Y 517</v>
      </c>
      <c r="D329" t="str">
        <f>ESTADISTICA!D328</f>
        <v>DOMO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s="51">
        <f>ESTADISTICA!AH328</f>
        <v>0</v>
      </c>
      <c r="AI329" s="51">
        <f>ESTADISTICA!AI328</f>
        <v>0</v>
      </c>
    </row>
    <row r="330" spans="1:35" x14ac:dyDescent="0.25">
      <c r="A330" t="str">
        <f>ESTADISTICA!A329</f>
        <v>VILLA ARGENTINA</v>
      </c>
      <c r="B330" t="str">
        <f>ESTADISTICA!B329</f>
        <v>VAR10 (fija 1)</v>
      </c>
      <c r="C330" t="str">
        <f>ESTADISTICA!C329</f>
        <v>532 A Y 523</v>
      </c>
      <c r="D330" t="str">
        <f>ESTADISTICA!D329</f>
        <v>Fija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s="51">
        <f>ESTADISTICA!AH329</f>
        <v>0</v>
      </c>
      <c r="AI330" s="51">
        <f>ESTADISTICA!AI329</f>
        <v>0</v>
      </c>
    </row>
    <row r="331" spans="1:35" x14ac:dyDescent="0.25">
      <c r="A331" t="str">
        <f>ESTADISTICA!A330</f>
        <v>VILLA ARGENTINA</v>
      </c>
      <c r="B331" t="str">
        <f>ESTADISTICA!B330</f>
        <v>VAR11 (fija 2)</v>
      </c>
      <c r="C331" t="str">
        <f>ESTADISTICA!C330</f>
        <v>532 A Y 523</v>
      </c>
      <c r="D331" t="str">
        <f>ESTADISTICA!D330</f>
        <v>Fija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s="51">
        <f>ESTADISTICA!AH330</f>
        <v>0</v>
      </c>
      <c r="AI331" s="51">
        <f>ESTADISTICA!AI330</f>
        <v>0</v>
      </c>
    </row>
    <row r="332" spans="1:35" x14ac:dyDescent="0.25">
      <c r="A332" t="str">
        <f>ESTADISTICA!A331</f>
        <v>VILLA VATTEONE CENTRO</v>
      </c>
      <c r="B332" t="str">
        <f>ESTADISTICA!B331</f>
        <v>VAT 10</v>
      </c>
      <c r="C332" t="str">
        <f>ESTADISTICA!C331</f>
        <v>Belgrano y Quintana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s="51">
        <f>ESTADISTICA!AH331</f>
        <v>0</v>
      </c>
      <c r="AI332" s="51">
        <f>ESTADISTICA!AI331</f>
        <v>0</v>
      </c>
    </row>
    <row r="333" spans="1:35" x14ac:dyDescent="0.25">
      <c r="A333" t="str">
        <f>ESTADISTICA!A332</f>
        <v>VILLA VATTEONE</v>
      </c>
      <c r="B333" t="str">
        <f>ESTADISTICA!B332</f>
        <v>VAT 14</v>
      </c>
      <c r="C333" t="str">
        <f>ESTADISTICA!C332</f>
        <v>FLORIDA Y MONTEVIDEO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 t="str">
        <f>ESTADISTICA!J332</f>
        <v>APAGADO</v>
      </c>
      <c r="K333" t="str">
        <f>ESTADISTICA!K332</f>
        <v>APAGADO</v>
      </c>
      <c r="L333" t="str">
        <f>ESTADISTICA!L332</f>
        <v>APAGADO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s="51">
        <f>ESTADISTICA!AH332</f>
        <v>0</v>
      </c>
      <c r="AI333" s="51">
        <f>ESTADISTICA!AI332</f>
        <v>0</v>
      </c>
    </row>
    <row r="334" spans="1:35" x14ac:dyDescent="0.25">
      <c r="A334" t="str">
        <f>ESTADISTICA!A333</f>
        <v>VILLA VATTEONE</v>
      </c>
      <c r="B334" t="str">
        <f>ESTADISTICA!B333</f>
        <v>VAT 15</v>
      </c>
      <c r="C334" t="str">
        <f>ESTADISTICA!C333</f>
        <v>CORRIENTES Y VICENTE LOPEZ</v>
      </c>
      <c r="D334" t="str">
        <f>ESTADISTICA!D333</f>
        <v>DOMO</v>
      </c>
      <c r="E334" t="str">
        <f>ESTADISTICA!E333</f>
        <v>PTO A FO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s="51">
        <f>ESTADISTICA!AH333</f>
        <v>0</v>
      </c>
      <c r="AI334" s="51">
        <f>ESTADISTICA!AI333</f>
        <v>0</v>
      </c>
    </row>
    <row r="335" spans="1:35" x14ac:dyDescent="0.25">
      <c r="A335" t="str">
        <f>ESTADISTICA!A334</f>
        <v>VILLA VATTEONE</v>
      </c>
      <c r="B335" t="str">
        <f>ESTADISTICA!B334</f>
        <v>VAT 16</v>
      </c>
      <c r="C335" t="str">
        <f>ESTADISTICA!C334</f>
        <v>MONTEVIDEO Y CHACO</v>
      </c>
      <c r="D335" t="str">
        <f>ESTADISTICA!D334</f>
        <v>DOMO</v>
      </c>
      <c r="E335" t="str">
        <f>ESTADISTICA!E334</f>
        <v>PTO A FO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s="51">
        <f>ESTADISTICA!AH334</f>
        <v>0</v>
      </c>
      <c r="AI335" s="51">
        <f>ESTADISTICA!AI334</f>
        <v>0</v>
      </c>
    </row>
    <row r="336" spans="1:35" x14ac:dyDescent="0.25">
      <c r="A336" t="str">
        <f>ESTADISTICA!A335</f>
        <v>VILLA VATTEONE</v>
      </c>
      <c r="B336" t="str">
        <f>ESTADISTICA!B335</f>
        <v>VAT 17</v>
      </c>
      <c r="C336" t="str">
        <f>ESTADISTICA!C335</f>
        <v>CHAÃ‘AR Y URUGUAY</v>
      </c>
      <c r="D336" t="str">
        <f>ESTADISTICA!D335</f>
        <v>DOMO</v>
      </c>
      <c r="E336" t="str">
        <f>ESTADISTICA!E335</f>
        <v>PTO A FO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s="51">
        <f>ESTADISTICA!AH335</f>
        <v>0</v>
      </c>
      <c r="AI336" s="51">
        <f>ESTADISTICA!AI335</f>
        <v>0</v>
      </c>
    </row>
    <row r="337" spans="1:35" x14ac:dyDescent="0.25">
      <c r="A337" t="str">
        <f>ESTADISTICA!A336</f>
        <v>VILLA VATTEONE</v>
      </c>
      <c r="B337" t="str">
        <f>ESTADISTICA!B336</f>
        <v>VAT 20</v>
      </c>
      <c r="C337" t="str">
        <f>ESTADISTICA!C336</f>
        <v>URUGUAY Y PILCOMAYO</v>
      </c>
      <c r="D337" t="str">
        <f>ESTADISTICA!D336</f>
        <v>FIJA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s="51">
        <f>ESTADISTICA!AH336</f>
        <v>0</v>
      </c>
      <c r="AI337" s="51">
        <f>ESTADISTICA!AI336</f>
        <v>0</v>
      </c>
    </row>
    <row r="338" spans="1:35" x14ac:dyDescent="0.25">
      <c r="A338" t="str">
        <f>ESTADISTICA!A337</f>
        <v>VILLA VATTEONE CENTRO</v>
      </c>
      <c r="B338" t="str">
        <f>ESTADISTICA!B337</f>
        <v>VAT 21 (fija 1)</v>
      </c>
      <c r="C338" t="str">
        <f>ESTADISTICA!C337</f>
        <v>QUINTANA E/ BELGRANO Y FONROUGE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s="51">
        <f>ESTADISTICA!AH337</f>
        <v>0</v>
      </c>
      <c r="AI338" s="51">
        <f>ESTADISTICA!AI337</f>
        <v>0</v>
      </c>
    </row>
    <row r="339" spans="1:35" x14ac:dyDescent="0.25">
      <c r="A339" t="str">
        <f>ESTADISTICA!A338</f>
        <v>VILLA VATTEONE CENTRO</v>
      </c>
      <c r="B339" t="str">
        <f>ESTADISTICA!B338</f>
        <v>VAT 22 (fija 2)</v>
      </c>
      <c r="C339" t="str">
        <f>ESTADISTICA!C338</f>
        <v>QUINTANA E/ BELGRANO Y FONROUGE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s="51">
        <f>ESTADISTICA!AH338</f>
        <v>0</v>
      </c>
      <c r="AI339" s="51">
        <f>ESTADISTICA!AI338</f>
        <v>0</v>
      </c>
    </row>
    <row r="340" spans="1:35" x14ac:dyDescent="0.25">
      <c r="A340" t="str">
        <f>ESTADISTICA!A339</f>
        <v>VILLA VATTEONE</v>
      </c>
      <c r="B340" t="str">
        <f>ESTADISTICA!B339</f>
        <v>VAT01</v>
      </c>
      <c r="C340" t="str">
        <f>ESTADISTICA!C339</f>
        <v>Montevideo y El ChaÃ±ar</v>
      </c>
      <c r="D340" t="str">
        <f>ESTADISTICA!D339</f>
        <v>Domo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s="51">
        <f>ESTADISTICA!AH339</f>
        <v>0</v>
      </c>
      <c r="AI340" s="51">
        <f>ESTADISTICA!AI339</f>
        <v>0</v>
      </c>
    </row>
    <row r="341" spans="1:35" x14ac:dyDescent="0.25">
      <c r="A341" t="str">
        <f>ESTADISTICA!A340</f>
        <v>VILLA VATTEONE CENTRO</v>
      </c>
      <c r="B341" t="str">
        <f>ESTADISTICA!B340</f>
        <v>VAT02</v>
      </c>
      <c r="C341" t="str">
        <f>ESTADISTICA!C340</f>
        <v>Eva PerÃ³n y 12 de Octubre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s="51">
        <f>ESTADISTICA!AH340</f>
        <v>0</v>
      </c>
      <c r="AI341" s="51">
        <f>ESTADISTICA!AI340</f>
        <v>0</v>
      </c>
    </row>
    <row r="342" spans="1:35" x14ac:dyDescent="0.25">
      <c r="A342" t="str">
        <f>ESTADISTICA!A341</f>
        <v>VILLA VATTEONE CENTRO</v>
      </c>
      <c r="B342" t="str">
        <f>ESTADISTICA!B341</f>
        <v>VAT03</v>
      </c>
      <c r="C342" t="str">
        <f>ESTADISTICA!C341</f>
        <v>Lavalle y Belgrano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s="51">
        <f>ESTADISTICA!AH341</f>
        <v>0</v>
      </c>
      <c r="AI342" s="51">
        <f>ESTADISTICA!AI341</f>
        <v>0</v>
      </c>
    </row>
    <row r="343" spans="1:35" x14ac:dyDescent="0.25">
      <c r="A343" t="str">
        <f>ESTADISTICA!A342</f>
        <v>VILLA VATTEONE CENTRO</v>
      </c>
      <c r="B343" t="str">
        <f>ESTADISTICA!B342</f>
        <v>VAT04</v>
      </c>
      <c r="C343" t="str">
        <f>ESTADISTICA!C342</f>
        <v>Lavalle y Entre Rios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s="51">
        <f>ESTADISTICA!AH342</f>
        <v>0</v>
      </c>
      <c r="AI343" s="51">
        <f>ESTADISTICA!AI342</f>
        <v>0</v>
      </c>
    </row>
    <row r="344" spans="1:35" x14ac:dyDescent="0.25">
      <c r="A344" t="str">
        <f>ESTADISTICA!A343</f>
        <v>VILLA VATTEONE CENTRO</v>
      </c>
      <c r="B344" t="str">
        <f>ESTADISTICA!B343</f>
        <v>VAT05</v>
      </c>
      <c r="C344" t="str">
        <f>ESTADISTICA!C343</f>
        <v>Lavalle y Colombia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s="51">
        <f>ESTADISTICA!AH343</f>
        <v>0</v>
      </c>
      <c r="AI344" s="51">
        <f>ESTADISTICA!AI343</f>
        <v>0</v>
      </c>
    </row>
    <row r="345" spans="1:35" x14ac:dyDescent="0.25">
      <c r="A345" t="str">
        <f>ESTADISTICA!A344</f>
        <v>VILLA VATTEONE CENTRO</v>
      </c>
      <c r="B345" t="str">
        <f>ESTADISTICA!B344</f>
        <v>VAT06</v>
      </c>
      <c r="C345" t="str">
        <f>ESTADISTICA!C344</f>
        <v>Eva Peron y Pueyrredon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s="51">
        <f>ESTADISTICA!AH344</f>
        <v>0</v>
      </c>
      <c r="AI345" s="51">
        <f>ESTADISTICA!AI344</f>
        <v>0</v>
      </c>
    </row>
    <row r="346" spans="1:35" x14ac:dyDescent="0.25">
      <c r="A346" t="str">
        <f>ESTADISTICA!A345</f>
        <v>VILLA VATTEONE CENTRO</v>
      </c>
      <c r="B346" t="str">
        <f>ESTADISTICA!B345</f>
        <v>VAT07</v>
      </c>
      <c r="C346" t="str">
        <f>ESTADISTICA!C345</f>
        <v>Eva Peron y Lavalle</v>
      </c>
      <c r="D346">
        <f>ESTADISTICA!D345</f>
        <v>0</v>
      </c>
      <c r="E346" t="str">
        <f>ESTADISTICA!E345</f>
        <v>PTO A FO</v>
      </c>
      <c r="F346" t="str">
        <f>ESTADISTICA!F345</f>
        <v>APAGADO</v>
      </c>
      <c r="G346">
        <f>ESTADISTICA!G345</f>
        <v>0</v>
      </c>
      <c r="H346" t="str">
        <f>ESTADISTICA!H345</f>
        <v>APAGADO</v>
      </c>
      <c r="I346" t="str">
        <f>ESTADISTICA!I345</f>
        <v>APAGADO</v>
      </c>
      <c r="J346">
        <f>ESTADISTICA!J345</f>
        <v>0</v>
      </c>
      <c r="K346" t="str">
        <f>ESTADISTICA!K345</f>
        <v>APAGADO</v>
      </c>
      <c r="L346" t="str">
        <f>ESTADISTICA!L345</f>
        <v>APAGADO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s="51">
        <f>ESTADISTICA!AH345</f>
        <v>0</v>
      </c>
      <c r="AI346" s="51">
        <f>ESTADISTICA!AI345</f>
        <v>0</v>
      </c>
    </row>
    <row r="347" spans="1:35" x14ac:dyDescent="0.25">
      <c r="A347" t="str">
        <f>ESTADISTICA!A346</f>
        <v>VILLA VATTEONE</v>
      </c>
      <c r="B347" t="str">
        <f>ESTADISTICA!B346</f>
        <v>VAT08</v>
      </c>
      <c r="C347" t="str">
        <f>ESTADISTICA!C346</f>
        <v>12 de Octubre y Florida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1">
        <f>ESTADISTICA!AH346</f>
        <v>0</v>
      </c>
      <c r="AI347" s="51">
        <f>ESTADISTICA!AI346</f>
        <v>0</v>
      </c>
    </row>
    <row r="348" spans="1:35" x14ac:dyDescent="0.25">
      <c r="A348" t="str">
        <f>ESTADISTICA!A347</f>
        <v>VILLA VATTEONE</v>
      </c>
      <c r="B348" t="str">
        <f>ESTADISTICA!B347</f>
        <v>VAT09</v>
      </c>
      <c r="C348" t="str">
        <f>ESTADISTICA!C347</f>
        <v>Montevideo y Alsina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1">
        <f>ESTADISTICA!AH347</f>
        <v>0</v>
      </c>
      <c r="AI348" s="51">
        <f>ESTADISTICA!AI347</f>
        <v>0</v>
      </c>
    </row>
    <row r="349" spans="1:35" x14ac:dyDescent="0.25">
      <c r="A349" t="str">
        <f>ESTADISTICA!A348</f>
        <v>VILLA VATTEONE</v>
      </c>
      <c r="B349" t="str">
        <f>ESTADISTICA!B348</f>
        <v>VAT11</v>
      </c>
      <c r="C349" t="str">
        <f>ESTADISTICA!C348</f>
        <v>Mainini y Montevideo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s="51">
        <f>ESTADISTICA!AH348</f>
        <v>0</v>
      </c>
      <c r="AI349" s="51">
        <f>ESTADISTICA!AI348</f>
        <v>0</v>
      </c>
    </row>
    <row r="350" spans="1:35" x14ac:dyDescent="0.25">
      <c r="A350" t="str">
        <f>ESTADISTICA!A349</f>
        <v>VILLA VATTEONE</v>
      </c>
      <c r="B350" t="str">
        <f>ESTADISTICA!B349</f>
        <v>VAT12</v>
      </c>
      <c r="C350" t="str">
        <f>ESTADISTICA!C349</f>
        <v>12 DE OCTUBRE Y CHACO</v>
      </c>
      <c r="D350" t="str">
        <f>ESTADISTICA!D349</f>
        <v>DOMO</v>
      </c>
      <c r="E350" t="str">
        <f>ESTADISTICA!E349</f>
        <v>PTO A FO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s="51">
        <f>ESTADISTICA!AH349</f>
        <v>0</v>
      </c>
      <c r="AI350" s="51">
        <f>ESTADISTICA!AI349</f>
        <v>0</v>
      </c>
    </row>
    <row r="351" spans="1:35" x14ac:dyDescent="0.25">
      <c r="A351" t="str">
        <f>ESTADISTICA!A350</f>
        <v>VILLA VATTEONE CENTRO</v>
      </c>
      <c r="B351" t="str">
        <f>ESTADISTICA!B350</f>
        <v>VAT13</v>
      </c>
      <c r="C351" t="str">
        <f>ESTADISTICA!C350</f>
        <v>Av.12 de Octubre y Belgrano</v>
      </c>
      <c r="D351" t="str">
        <f>ESTADISTICA!D350</f>
        <v>Domo</v>
      </c>
      <c r="E351" t="str">
        <f>ESTADISTICA!E350</f>
        <v>PTO A FO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s="51">
        <f>ESTADISTICA!AH350</f>
        <v>0</v>
      </c>
      <c r="AI351" s="51">
        <f>ESTADISTICA!AI350</f>
        <v>0</v>
      </c>
    </row>
    <row r="352" spans="1:35" x14ac:dyDescent="0.25">
      <c r="A352" t="str">
        <f>ESTADISTICA!A351</f>
        <v>VILLA VATTEONE CENTRO</v>
      </c>
      <c r="B352" t="str">
        <f>ESTADISTICA!B351</f>
        <v>VAT18</v>
      </c>
      <c r="C352" t="str">
        <f>ESTADISTICA!C351</f>
        <v>LAVALLE Y FONROUGE</v>
      </c>
      <c r="D352" t="str">
        <f>ESTADISTICA!D351</f>
        <v>DOMO</v>
      </c>
      <c r="E352" t="str">
        <f>ESTADISTICA!E351</f>
        <v>PTO A FO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s="51">
        <f>ESTADISTICA!AH351</f>
        <v>0</v>
      </c>
      <c r="AI352" s="51">
        <f>ESTADISTICA!AI351</f>
        <v>0</v>
      </c>
    </row>
    <row r="353" spans="1:35" x14ac:dyDescent="0.25">
      <c r="A353" t="str">
        <f>ESTADISTICA!A352</f>
        <v>VILLA VATTEONE CENTRO</v>
      </c>
      <c r="B353" t="str">
        <f>ESTADISTICA!B352</f>
        <v>VAT19</v>
      </c>
      <c r="C353" t="str">
        <f>ESTADISTICA!C352</f>
        <v>QUINTANA Y FONROUGE ( TUCUMAN )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s="51">
        <f>ESTADISTICA!AH352</f>
        <v>0</v>
      </c>
      <c r="AI353" s="51">
        <f>ESTADISTICA!AI352</f>
        <v>0</v>
      </c>
    </row>
    <row r="354" spans="1:35" x14ac:dyDescent="0.25">
      <c r="A354" t="str">
        <f>ESTADISTICA!A353</f>
        <v>VILLA VATTEONE CENTRO</v>
      </c>
      <c r="B354" t="str">
        <f>ESTADISTICA!B353</f>
        <v>VAT23 (fija 1)</v>
      </c>
      <c r="C354" t="str">
        <f>ESTADISTICA!C353</f>
        <v>EVA PERON Y "EL TUNEL" (BAJO NIVEL)</v>
      </c>
      <c r="D354" t="str">
        <f>ESTADISTICA!D353</f>
        <v>Fija</v>
      </c>
      <c r="E354" t="str">
        <f>ESTADISTICA!E353</f>
        <v>Fibra Optica</v>
      </c>
      <c r="F354" t="str">
        <f>ESTADISTICA!F353</f>
        <v>APAGADO</v>
      </c>
      <c r="G354">
        <f>ESTADISTICA!G353</f>
        <v>0</v>
      </c>
      <c r="H354" t="str">
        <f>ESTADISTICA!H353</f>
        <v>APAGADO</v>
      </c>
      <c r="I354" t="str">
        <f>ESTADISTICA!I353</f>
        <v>APAGADO</v>
      </c>
      <c r="J354">
        <f>ESTADISTICA!J353</f>
        <v>0</v>
      </c>
      <c r="K354" t="str">
        <f>ESTADISTICA!K353</f>
        <v>APAGADO</v>
      </c>
      <c r="L354" t="str">
        <f>ESTADISTICA!L353</f>
        <v>APAGADO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s="51">
        <f>ESTADISTICA!AH353</f>
        <v>0</v>
      </c>
      <c r="AI354" s="51">
        <f>ESTADISTICA!AI353</f>
        <v>0</v>
      </c>
    </row>
    <row r="355" spans="1:35" x14ac:dyDescent="0.25">
      <c r="A355" t="str">
        <f>ESTADISTICA!A354</f>
        <v>VILLA VATTEONE CENTRO</v>
      </c>
      <c r="B355" t="str">
        <f>ESTADISTICA!B354</f>
        <v>VAT24 (fija 2)</v>
      </c>
      <c r="C355" t="str">
        <f>ESTADISTICA!C354</f>
        <v>EVA PERON Y "EL TUNEL" (BAJO NIVEL)</v>
      </c>
      <c r="D355" t="str">
        <f>ESTADISTICA!D354</f>
        <v>Fija</v>
      </c>
      <c r="E355" t="str">
        <f>ESTADISTICA!E354</f>
        <v>Fibra Optica</v>
      </c>
      <c r="F355" t="str">
        <f>ESTADISTICA!F354</f>
        <v>APAGADO</v>
      </c>
      <c r="G355">
        <f>ESTADISTICA!G354</f>
        <v>0</v>
      </c>
      <c r="H355" t="str">
        <f>ESTADISTICA!H354</f>
        <v>APAGADO</v>
      </c>
      <c r="I355" t="str">
        <f>ESTADISTICA!I354</f>
        <v>APAGADO</v>
      </c>
      <c r="J355">
        <f>ESTADISTICA!J354</f>
        <v>0</v>
      </c>
      <c r="K355" t="str">
        <f>ESTADISTICA!K354</f>
        <v>APAGADO</v>
      </c>
      <c r="L355" t="str">
        <f>ESTADISTICA!L354</f>
        <v>APAGADO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s="51">
        <f>ESTADISTICA!AH354</f>
        <v>0</v>
      </c>
      <c r="AI355" s="51">
        <f>ESTADISTICA!AI354</f>
        <v>0</v>
      </c>
    </row>
    <row r="356" spans="1:35" x14ac:dyDescent="0.25">
      <c r="A356" t="str">
        <f>ESTADISTICA!A355</f>
        <v>VILLA AURORA</v>
      </c>
      <c r="B356" t="str">
        <f>ESTADISTICA!B355</f>
        <v>VAU 01</v>
      </c>
      <c r="C356" t="str">
        <f>ESTADISTICA!C355</f>
        <v>San Martin y Monteverde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s="51">
        <f>ESTADISTICA!AH355</f>
        <v>0</v>
      </c>
      <c r="AI356" s="51">
        <f>ESTADISTICA!AI355</f>
        <v>0</v>
      </c>
    </row>
    <row r="357" spans="1:35" x14ac:dyDescent="0.25">
      <c r="A357" t="str">
        <f>ESTADISTICA!A356</f>
        <v>SAN EMILIO</v>
      </c>
      <c r="B357" t="str">
        <f>ESTADISTICA!B356</f>
        <v>VAU 02</v>
      </c>
      <c r="C357" t="str">
        <f>ESTADISTICA!C356</f>
        <v>San Martin y Lope de Vega</v>
      </c>
      <c r="D357" t="str">
        <f>ESTADISTICA!D356</f>
        <v>Domo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s="51">
        <f>ESTADISTICA!AH356</f>
        <v>0</v>
      </c>
      <c r="AI357" s="51">
        <f>ESTADISTICA!AI356</f>
        <v>0</v>
      </c>
    </row>
    <row r="358" spans="1:35" x14ac:dyDescent="0.25">
      <c r="A358" t="str">
        <f>ESTADISTICA!A357</f>
        <v>VILLA AURORA</v>
      </c>
      <c r="B358" t="str">
        <f>ESTADISTICA!B357</f>
        <v>VAU 07</v>
      </c>
      <c r="C358" t="str">
        <f>ESTADISTICA!C357</f>
        <v>VICTORINO DE LA PLAZA Y MONTEVERDE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s="51">
        <f>ESTADISTICA!AH357</f>
        <v>0</v>
      </c>
      <c r="AI358" s="51">
        <f>ESTADISTICA!AI357</f>
        <v>0</v>
      </c>
    </row>
    <row r="359" spans="1:35" x14ac:dyDescent="0.25">
      <c r="A359" t="str">
        <f>ESTADISTICA!A358</f>
        <v>VILLA AURORA</v>
      </c>
      <c r="B359" t="str">
        <f>ESTADISTICA!B358</f>
        <v>VAU03 (fija 1)</v>
      </c>
      <c r="C359" t="str">
        <f>ESTADISTICA!C358</f>
        <v>PIZZURNO Y NUESTRAS MALVINAS</v>
      </c>
      <c r="D359" t="str">
        <f>ESTADISTICA!D358</f>
        <v>Fija</v>
      </c>
      <c r="E359" t="str">
        <f>ESTADISTICA!E358</f>
        <v>Fibra Optica</v>
      </c>
      <c r="F359" t="str">
        <f>ESTADISTICA!F358</f>
        <v>APAGADO</v>
      </c>
      <c r="G359">
        <f>ESTADISTICA!G358</f>
        <v>0</v>
      </c>
      <c r="H359" t="str">
        <f>ESTADISTICA!H358</f>
        <v>APAGADO</v>
      </c>
      <c r="I359" t="str">
        <f>ESTADISTICA!I358</f>
        <v>APAGADO</v>
      </c>
      <c r="J359" t="str">
        <f>ESTADISTICA!J358</f>
        <v>APAGADO</v>
      </c>
      <c r="K359" t="str">
        <f>ESTADISTICA!K358</f>
        <v>APAGADO</v>
      </c>
      <c r="L359" t="str">
        <f>ESTADISTICA!L358</f>
        <v>APAGADO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s="51">
        <f>ESTADISTICA!AH358</f>
        <v>0</v>
      </c>
      <c r="AI359" s="51">
        <f>ESTADISTICA!AI358</f>
        <v>0</v>
      </c>
    </row>
    <row r="360" spans="1:35" x14ac:dyDescent="0.25">
      <c r="A360" t="str">
        <f>ESTADISTICA!A359</f>
        <v>VILLA AURORA</v>
      </c>
      <c r="B360" t="str">
        <f>ESTADISTICA!B359</f>
        <v>VAU04 (fija 2)</v>
      </c>
      <c r="C360" t="str">
        <f>ESTADISTICA!C359</f>
        <v>PIZZURNO Y NUESTRAS MALVINAS</v>
      </c>
      <c r="D360" t="str">
        <f>ESTADISTICA!D359</f>
        <v>Fija</v>
      </c>
      <c r="E360" t="str">
        <f>ESTADISTICA!E359</f>
        <v>Fibra Optica</v>
      </c>
      <c r="F360" t="str">
        <f>ESTADISTICA!F359</f>
        <v>APAGADO</v>
      </c>
      <c r="G360">
        <f>ESTADISTICA!G359</f>
        <v>0</v>
      </c>
      <c r="H360" t="str">
        <f>ESTADISTICA!H359</f>
        <v>APAGADO</v>
      </c>
      <c r="I360" t="str">
        <f>ESTADISTICA!I359</f>
        <v>APAGADO</v>
      </c>
      <c r="J360" t="str">
        <f>ESTADISTICA!J359</f>
        <v>APAGADO</v>
      </c>
      <c r="K360" t="str">
        <f>ESTADISTICA!K359</f>
        <v>APAGADO</v>
      </c>
      <c r="L360" t="str">
        <f>ESTADISTICA!L359</f>
        <v>APAGADO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s="51">
        <f>ESTADISTICA!AH359</f>
        <v>0</v>
      </c>
      <c r="AI360" s="51">
        <f>ESTADISTICA!AI359</f>
        <v>0</v>
      </c>
    </row>
    <row r="361" spans="1:35" x14ac:dyDescent="0.25">
      <c r="A361" t="str">
        <f>ESTADISTICA!A360</f>
        <v>VILLA AURORA</v>
      </c>
      <c r="B361" t="str">
        <f>ESTADISTICA!B360</f>
        <v>VAU05 (fija 1)</v>
      </c>
      <c r="C361" t="str">
        <f>ESTADISTICA!C360</f>
        <v>GUIDO SPANO Y VICTORINO DE LA PLAZA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s="51">
        <f>ESTADISTICA!AH360</f>
        <v>0</v>
      </c>
      <c r="AI361" s="51">
        <f>ESTADISTICA!AI360</f>
        <v>0</v>
      </c>
    </row>
    <row r="362" spans="1:35" x14ac:dyDescent="0.25">
      <c r="A362" t="str">
        <f>ESTADISTICA!A361</f>
        <v>VILLA AURORA</v>
      </c>
      <c r="B362" t="str">
        <f>ESTADISTICA!B361</f>
        <v>VAU06 (fija 2)</v>
      </c>
      <c r="C362" t="str">
        <f>ESTADISTICA!C361</f>
        <v>GUIDO SPANO Y VICTORINO DE LA PLAZA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s="51">
        <f>ESTADISTICA!AH361</f>
        <v>0</v>
      </c>
      <c r="AI362" s="51">
        <f>ESTADISTICA!AI361</f>
        <v>0</v>
      </c>
    </row>
    <row r="363" spans="1:35" x14ac:dyDescent="0.25">
      <c r="A363" t="str">
        <f>ESTADISTICA!A362</f>
        <v>VILLA AURORA</v>
      </c>
      <c r="B363" t="str">
        <f>ESTADISTICA!B362</f>
        <v>VAU08</v>
      </c>
      <c r="C363" t="str">
        <f>ESTADISTICA!C362</f>
        <v>MONTEVERDE Y WASHINGTON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s="51">
        <f>ESTADISTICA!AH362</f>
        <v>0</v>
      </c>
      <c r="AI363" s="51">
        <f>ESTADISTICA!AI362</f>
        <v>0</v>
      </c>
    </row>
    <row r="364" spans="1:35" x14ac:dyDescent="0.25">
      <c r="A364" t="str">
        <f>ESTADISTICA!A363</f>
        <v>VILLA DEL PLATA</v>
      </c>
      <c r="B364" t="str">
        <f>ESTADISTICA!B363</f>
        <v>VDPL02</v>
      </c>
      <c r="C364" t="str">
        <f>ESTADISTICA!C363</f>
        <v>Thevenet y Berutti</v>
      </c>
      <c r="D364" t="str">
        <f>ESTADISTICA!D363</f>
        <v>Domo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s="51">
        <f>ESTADISTICA!AH363</f>
        <v>0</v>
      </c>
      <c r="AI364" s="51">
        <f>ESTADISTICA!AI363</f>
        <v>0</v>
      </c>
    </row>
    <row r="365" spans="1:35" x14ac:dyDescent="0.25">
      <c r="A365" t="str">
        <f>ESTADISTICA!A364</f>
        <v>VILLA DEL PLATA</v>
      </c>
      <c r="B365" t="str">
        <f>ESTADISTICA!B364</f>
        <v>VDPL03</v>
      </c>
      <c r="C365" t="str">
        <f>ESTADISTICA!C364</f>
        <v>Neuquen y Alvarado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s="51">
        <f>ESTADISTICA!AH364</f>
        <v>0</v>
      </c>
      <c r="AI365" s="51">
        <f>ESTADISTICA!AI364</f>
        <v>0</v>
      </c>
    </row>
    <row r="366" spans="1:35" x14ac:dyDescent="0.25">
      <c r="A366" t="str">
        <f>ESTADISTICA!A365</f>
        <v>VILLA DEL PLATA</v>
      </c>
      <c r="B366" t="str">
        <f>ESTADISTICA!B365</f>
        <v>VDPL04</v>
      </c>
      <c r="C366" t="str">
        <f>ESTADISTICA!C365</f>
        <v>Neuquen y Diagonal Guemes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s="51">
        <f>ESTADISTICA!AH365</f>
        <v>0</v>
      </c>
      <c r="AI366" s="51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VDPL05</v>
      </c>
      <c r="C367" t="str">
        <f>ESTADISTICA!C366</f>
        <v>Ruta 36 y Abraham</v>
      </c>
      <c r="D367" t="str">
        <f>ESTADISTICA!D366</f>
        <v>Domo</v>
      </c>
      <c r="E367" t="str">
        <f>ESTADISTICA!E366</f>
        <v>PTO A FO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s="51">
        <f>ESTADISTICA!AH366</f>
        <v>0</v>
      </c>
      <c r="AI367" s="51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VDPL06</v>
      </c>
      <c r="C368" t="str">
        <f>ESTADISTICA!C367</f>
        <v>Thevenet e/ Islas Orcadas y Gardel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 t="str">
        <f>ESTADISTICA!K367</f>
        <v>APAGADO</v>
      </c>
      <c r="L368" t="str">
        <f>ESTADISTICA!L367</f>
        <v>APAGADO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s="51">
        <f>ESTADISTICA!AH367</f>
        <v>0</v>
      </c>
      <c r="AI368" s="51">
        <f>ESTADISTICA!AI367</f>
        <v>0</v>
      </c>
    </row>
    <row r="369" spans="1:35" x14ac:dyDescent="0.25">
      <c r="A369" t="str">
        <f>ESTADISTICA!A368</f>
        <v>VILLA HUDSON</v>
      </c>
      <c r="B369" t="str">
        <f>ESTADISTICA!B368</f>
        <v>VHS 01</v>
      </c>
      <c r="C369" t="str">
        <f>ESTADISTICA!C368</f>
        <v>AV. HUDSON Y AV. LUJAN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 t="str">
        <f>ESTADISTICA!L368</f>
        <v>APAGADO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s="51">
        <f>ESTADISTICA!AH368</f>
        <v>0</v>
      </c>
      <c r="AI369" s="51">
        <f>ESTADISTICA!AI368</f>
        <v>0</v>
      </c>
    </row>
    <row r="370" spans="1:35" x14ac:dyDescent="0.25">
      <c r="A370" t="str">
        <f>ESTADISTICA!A369</f>
        <v>VILLA HUDSON</v>
      </c>
      <c r="B370" t="str">
        <f>ESTADISTICA!B369</f>
        <v>VHS 02</v>
      </c>
      <c r="C370" t="str">
        <f>ESTADISTICA!C369</f>
        <v>AV. LUJAN Y CALLE 909 A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 t="str">
        <f>ESTADISTICA!L369</f>
        <v>APAGADO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s="51">
        <f>ESTADISTICA!AH369</f>
        <v>0</v>
      </c>
      <c r="AI370" s="51">
        <f>ESTADISTICA!AI369</f>
        <v>0</v>
      </c>
    </row>
    <row r="371" spans="1:35" x14ac:dyDescent="0.25">
      <c r="A371" t="str">
        <f>ESTADISTICA!A370</f>
        <v>VILLA HUDSON</v>
      </c>
      <c r="B371" t="str">
        <f>ESTADISTICA!B370</f>
        <v>VHS 03 (fija 1)</v>
      </c>
      <c r="C371" t="str">
        <f>ESTADISTICA!C370</f>
        <v>AV. HUDSON Y LOS INMIGRANTES</v>
      </c>
      <c r="D371" t="str">
        <f>ESTADISTICA!D370</f>
        <v>Fija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 t="str">
        <f>ESTADISTICA!L370</f>
        <v>APAGADO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s="51">
        <f>ESTADISTICA!AH370</f>
        <v>0</v>
      </c>
      <c r="AI371" s="51">
        <f>ESTADISTICA!AI370</f>
        <v>0</v>
      </c>
    </row>
    <row r="372" spans="1:35" x14ac:dyDescent="0.25">
      <c r="A372" t="str">
        <f>ESTADISTICA!A371</f>
        <v>VILLA HUDSON</v>
      </c>
      <c r="B372" t="str">
        <f>ESTADISTICA!B371</f>
        <v>VHS 04 (fija 2)</v>
      </c>
      <c r="C372" t="str">
        <f>ESTADISTICA!C371</f>
        <v>AV. HUDSON Y LOS INMIGRANTES</v>
      </c>
      <c r="D372" t="str">
        <f>ESTADISTICA!D371</f>
        <v>Fija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 t="str">
        <f>ESTADISTICA!L371</f>
        <v>APAGADO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s="51">
        <f>ESTADISTICA!AH371</f>
        <v>0</v>
      </c>
      <c r="AI372" s="51">
        <f>ESTADISTICA!AI371</f>
        <v>0</v>
      </c>
    </row>
    <row r="373" spans="1:35" x14ac:dyDescent="0.25">
      <c r="A373" t="str">
        <f>ESTADISTICA!A372</f>
        <v>VILLA ARIAS</v>
      </c>
      <c r="B373" t="str">
        <f>ESTADISTICA!B372</f>
        <v>VLA 01 (fija 1)</v>
      </c>
      <c r="C373" t="str">
        <f>ESTADISTICA!C372</f>
        <v>820 Y SOLER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s="51">
        <f>ESTADISTICA!AH372</f>
        <v>0</v>
      </c>
      <c r="AI373" s="51">
        <f>ESTADISTICA!AI372</f>
        <v>0</v>
      </c>
    </row>
    <row r="374" spans="1:35" x14ac:dyDescent="0.25">
      <c r="A374" t="str">
        <f>ESTADISTICA!A373</f>
        <v>VILLA ARIAS</v>
      </c>
      <c r="B374" t="str">
        <f>ESTADISTICA!B373</f>
        <v>VLA 02</v>
      </c>
      <c r="C374" t="str">
        <f>ESTADISTICA!C373</f>
        <v>ESPORA Y HUDSON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s="51">
        <f>ESTADISTICA!AH373</f>
        <v>0</v>
      </c>
      <c r="AI374" s="51">
        <f>ESTADISTICA!AI373</f>
        <v>0</v>
      </c>
    </row>
    <row r="375" spans="1:35" x14ac:dyDescent="0.25">
      <c r="A375" t="str">
        <f>ESTADISTICA!A374</f>
        <v>VILLA ARIAS</v>
      </c>
      <c r="B375" t="str">
        <f>ESTADISTICA!B374</f>
        <v>VLA03 (fija 2)</v>
      </c>
      <c r="C375" t="str">
        <f>ESTADISTICA!C374</f>
        <v>820 y SOLER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s="51">
        <f>ESTADISTICA!AH374</f>
        <v>0</v>
      </c>
      <c r="AI375" s="51">
        <f>ESTADISTICA!AI374</f>
        <v>0</v>
      </c>
    </row>
    <row r="376" spans="1:35" x14ac:dyDescent="0.25">
      <c r="A376" t="str">
        <f>ESTADISTICA!A375</f>
        <v>VILLA ARIAS</v>
      </c>
      <c r="B376" t="str">
        <f>ESTADISTICA!B375</f>
        <v>VLA04</v>
      </c>
      <c r="C376" t="str">
        <f>ESTADISTICA!C375</f>
        <v>ESPORA Y MARTIN GRASS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s="51">
        <f>ESTADISTICA!AH375</f>
        <v>0</v>
      </c>
      <c r="AI376" s="51">
        <f>ESTADISTICA!AI375</f>
        <v>0</v>
      </c>
    </row>
    <row r="377" spans="1:35" x14ac:dyDescent="0.25">
      <c r="A377" t="str">
        <f>ESTADISTICA!A376</f>
        <v>VILLA ARIAS</v>
      </c>
      <c r="B377" t="str">
        <f>ESTADISTICA!B376</f>
        <v>VLA05</v>
      </c>
      <c r="C377" t="str">
        <f>ESTADISTICA!C376</f>
        <v>ESPORA Y 802</v>
      </c>
      <c r="D377" t="str">
        <f>ESTADISTICA!D376</f>
        <v>DOMO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s="51">
        <f>ESTADISTICA!AH376</f>
        <v>0</v>
      </c>
      <c r="AI377" s="51">
        <f>ESTADISTICA!AI376</f>
        <v>0</v>
      </c>
    </row>
    <row r="378" spans="1:35" x14ac:dyDescent="0.25">
      <c r="A378" t="str">
        <f>ESTADISTICA!A377</f>
        <v>VILLA MONICA NUEVA</v>
      </c>
      <c r="B378" t="str">
        <f>ESTADISTICA!B377</f>
        <v>VMO 02</v>
      </c>
      <c r="C378" t="str">
        <f>ESTADISTICA!C377</f>
        <v>RÃ­o Carapachay y OroÃ±o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s="51">
        <f>ESTADISTICA!AH377</f>
        <v>0</v>
      </c>
      <c r="AI378" s="51">
        <f>ESTADISTICA!AI377</f>
        <v>0</v>
      </c>
    </row>
    <row r="379" spans="1:35" x14ac:dyDescent="0.25">
      <c r="A379" t="str">
        <f>ESTADISTICA!A378</f>
        <v>VILLA MONICA NUEVA</v>
      </c>
      <c r="B379" t="str">
        <f>ESTADISTICA!B378</f>
        <v>VMO 03 (fija 1)</v>
      </c>
      <c r="C379" t="str">
        <f>ESTADISTICA!C378</f>
        <v>EVA PERON E/ OROÃ‘O Y 734 A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s="51">
        <f>ESTADISTICA!AH378</f>
        <v>0</v>
      </c>
      <c r="AI379" s="51">
        <f>ESTADISTICA!AI378</f>
        <v>0</v>
      </c>
    </row>
    <row r="380" spans="1:35" x14ac:dyDescent="0.25">
      <c r="A380" s="51" t="str">
        <f>ESTADISTICA!A379</f>
        <v>VILLA MONICA NUEVA</v>
      </c>
      <c r="B380" s="51" t="str">
        <f>ESTADISTICA!B379</f>
        <v>VMO 04 (fija 2)</v>
      </c>
      <c r="C380" s="51" t="str">
        <f>ESTADISTICA!C379</f>
        <v>EVA PERON E/ OROÃ‘O Y 734 A</v>
      </c>
      <c r="D380" s="51" t="str">
        <f>ESTADISTICA!D379</f>
        <v>Fija</v>
      </c>
      <c r="E380" s="51" t="str">
        <f>ESTADISTICA!E379</f>
        <v>Fibra Optica</v>
      </c>
      <c r="F380" s="51">
        <f>ESTADISTICA!F379</f>
        <v>0</v>
      </c>
      <c r="G380" s="51">
        <f>ESTADISTICA!G379</f>
        <v>0</v>
      </c>
      <c r="H380" s="51">
        <f>ESTADISTICA!H379</f>
        <v>0</v>
      </c>
      <c r="I380" s="51">
        <f>ESTADISTICA!I379</f>
        <v>0</v>
      </c>
      <c r="J380" s="51">
        <f>ESTADISTICA!J379</f>
        <v>0</v>
      </c>
      <c r="K380" s="51">
        <f>ESTADISTICA!K379</f>
        <v>0</v>
      </c>
      <c r="L380" s="51">
        <f>ESTADISTICA!L379</f>
        <v>0</v>
      </c>
      <c r="M380" s="51">
        <f>ESTADISTICA!M379</f>
        <v>0</v>
      </c>
      <c r="N380" s="51">
        <f>ESTADISTICA!N379</f>
        <v>0</v>
      </c>
      <c r="O380" s="51">
        <f>ESTADISTICA!O379</f>
        <v>0</v>
      </c>
      <c r="P380" s="51">
        <f>ESTADISTICA!P379</f>
        <v>0</v>
      </c>
      <c r="Q380" s="51">
        <f>ESTADISTICA!Q379</f>
        <v>0</v>
      </c>
      <c r="R380" s="51">
        <f>ESTADISTICA!R379</f>
        <v>0</v>
      </c>
      <c r="S380" s="51">
        <f>ESTADISTICA!S379</f>
        <v>0</v>
      </c>
      <c r="T380" s="51">
        <f>ESTADISTICA!T379</f>
        <v>0</v>
      </c>
      <c r="U380" s="51">
        <f>ESTADISTICA!U379</f>
        <v>0</v>
      </c>
      <c r="V380" s="51">
        <f>ESTADISTICA!V379</f>
        <v>0</v>
      </c>
      <c r="W380" s="51">
        <f>ESTADISTICA!W379</f>
        <v>0</v>
      </c>
      <c r="X380" s="51">
        <f>ESTADISTICA!X379</f>
        <v>0</v>
      </c>
      <c r="Y380" s="51">
        <f>ESTADISTICA!Y379</f>
        <v>0</v>
      </c>
      <c r="Z380" s="51">
        <f>ESTADISTICA!Z379</f>
        <v>0</v>
      </c>
      <c r="AA380" s="51">
        <f>ESTADISTICA!AA379</f>
        <v>0</v>
      </c>
      <c r="AB380" s="51">
        <f>ESTADISTICA!AB379</f>
        <v>0</v>
      </c>
      <c r="AC380" s="51">
        <f>ESTADISTICA!AC379</f>
        <v>0</v>
      </c>
      <c r="AD380" s="51">
        <f>ESTADISTICA!AD379</f>
        <v>0</v>
      </c>
      <c r="AE380" s="51">
        <f>ESTADISTICA!AE379</f>
        <v>0</v>
      </c>
      <c r="AF380" s="51">
        <f>ESTADISTICA!AF379</f>
        <v>0</v>
      </c>
      <c r="AG380" s="51">
        <f>ESTADISTICA!AG379</f>
        <v>0</v>
      </c>
      <c r="AH380" s="51">
        <f>ESTADISTICA!AH379</f>
        <v>0</v>
      </c>
      <c r="AI380" s="51">
        <f>ESTADISTICA!AI379</f>
        <v>0</v>
      </c>
    </row>
    <row r="381" spans="1:35" x14ac:dyDescent="0.25">
      <c r="A381" s="51" t="str">
        <f>ESTADISTICA!A380</f>
        <v>VILLA MONICA NUEVA</v>
      </c>
      <c r="B381" s="51" t="str">
        <f>ESTADISTICA!B380</f>
        <v>VMO 05</v>
      </c>
      <c r="C381" s="51" t="str">
        <f>ESTADISTICA!C380</f>
        <v>OROÃ‘O Y EVA PERON</v>
      </c>
      <c r="D381" s="51" t="str">
        <f>ESTADISTICA!D380</f>
        <v>DOMO</v>
      </c>
      <c r="E381" s="51" t="str">
        <f>ESTADISTICA!E380</f>
        <v>Fibra Optica</v>
      </c>
      <c r="F381" s="51">
        <f>ESTADISTICA!F380</f>
        <v>0</v>
      </c>
      <c r="G381" s="51">
        <f>ESTADISTICA!G380</f>
        <v>0</v>
      </c>
      <c r="H381" s="51">
        <f>ESTADISTICA!H380</f>
        <v>0</v>
      </c>
      <c r="I381" s="51">
        <f>ESTADISTICA!I380</f>
        <v>0</v>
      </c>
      <c r="J381" s="51">
        <f>ESTADISTICA!J380</f>
        <v>0</v>
      </c>
      <c r="K381" s="51">
        <f>ESTADISTICA!K380</f>
        <v>0</v>
      </c>
      <c r="L381" s="51">
        <f>ESTADISTICA!L380</f>
        <v>0</v>
      </c>
      <c r="M381" s="51">
        <f>ESTADISTICA!M380</f>
        <v>0</v>
      </c>
      <c r="N381" s="51">
        <f>ESTADISTICA!N380</f>
        <v>0</v>
      </c>
      <c r="O381" s="51">
        <f>ESTADISTICA!O380</f>
        <v>0</v>
      </c>
      <c r="P381" s="51">
        <f>ESTADISTICA!P380</f>
        <v>0</v>
      </c>
      <c r="Q381" s="51">
        <f>ESTADISTICA!Q380</f>
        <v>0</v>
      </c>
      <c r="R381" s="51">
        <f>ESTADISTICA!R380</f>
        <v>0</v>
      </c>
      <c r="S381" s="51">
        <f>ESTADISTICA!S380</f>
        <v>0</v>
      </c>
      <c r="T381" s="51">
        <f>ESTADISTICA!T380</f>
        <v>0</v>
      </c>
      <c r="U381" s="51">
        <f>ESTADISTICA!U380</f>
        <v>0</v>
      </c>
      <c r="V381" s="51">
        <f>ESTADISTICA!V380</f>
        <v>0</v>
      </c>
      <c r="W381" s="51">
        <f>ESTADISTICA!W380</f>
        <v>0</v>
      </c>
      <c r="X381" s="51">
        <f>ESTADISTICA!X380</f>
        <v>0</v>
      </c>
      <c r="Y381" s="51">
        <f>ESTADISTICA!Y380</f>
        <v>0</v>
      </c>
      <c r="Z381" s="51">
        <f>ESTADISTICA!Z380</f>
        <v>0</v>
      </c>
      <c r="AA381" s="51">
        <f>ESTADISTICA!AA380</f>
        <v>0</v>
      </c>
      <c r="AB381" s="51">
        <f>ESTADISTICA!AB380</f>
        <v>0</v>
      </c>
      <c r="AC381" s="51">
        <f>ESTADISTICA!AC380</f>
        <v>0</v>
      </c>
      <c r="AD381" s="51">
        <f>ESTADISTICA!AD380</f>
        <v>0</v>
      </c>
      <c r="AE381" s="51">
        <f>ESTADISTICA!AE380</f>
        <v>0</v>
      </c>
      <c r="AF381" s="51">
        <f>ESTADISTICA!AF380</f>
        <v>0</v>
      </c>
      <c r="AG381" s="51">
        <f>ESTADISTICA!AG380</f>
        <v>0</v>
      </c>
      <c r="AH381" s="51">
        <f>ESTADISTICA!AH380</f>
        <v>0</v>
      </c>
      <c r="AI381" s="51">
        <f>ESTADISTICA!AI380</f>
        <v>0</v>
      </c>
    </row>
    <row r="382" spans="1:35" x14ac:dyDescent="0.25">
      <c r="A382" s="51" t="str">
        <f>ESTADISTICA!A381</f>
        <v>VILLA MONICA NUEVA</v>
      </c>
      <c r="B382" s="51" t="str">
        <f>ESTADISTICA!B381</f>
        <v>VMO01</v>
      </c>
      <c r="C382" s="51" t="str">
        <f>ESTADISTICA!C381</f>
        <v>Eva Peron y MonseÃ±or de las Casas</v>
      </c>
      <c r="D382" s="51" t="str">
        <f>ESTADISTICA!D381</f>
        <v>DOMO</v>
      </c>
      <c r="E382" s="51" t="str">
        <f>ESTADISTICA!E381</f>
        <v>Fibra Optica</v>
      </c>
      <c r="F382" s="51">
        <f>ESTADISTICA!F381</f>
        <v>0</v>
      </c>
      <c r="G382" s="51">
        <f>ESTADISTICA!G381</f>
        <v>0</v>
      </c>
      <c r="H382" s="51">
        <f>ESTADISTICA!H381</f>
        <v>0</v>
      </c>
      <c r="I382" s="51">
        <f>ESTADISTICA!I381</f>
        <v>0</v>
      </c>
      <c r="J382" s="51">
        <f>ESTADISTICA!J381</f>
        <v>0</v>
      </c>
      <c r="K382" s="51">
        <f>ESTADISTICA!K381</f>
        <v>0</v>
      </c>
      <c r="L382" s="51">
        <f>ESTADISTICA!L381</f>
        <v>0</v>
      </c>
      <c r="M382" s="51">
        <f>ESTADISTICA!M381</f>
        <v>0</v>
      </c>
      <c r="N382" s="51">
        <f>ESTADISTICA!N381</f>
        <v>0</v>
      </c>
      <c r="O382" s="51">
        <f>ESTADISTICA!O381</f>
        <v>0</v>
      </c>
      <c r="P382" s="51">
        <f>ESTADISTICA!P381</f>
        <v>0</v>
      </c>
      <c r="Q382" s="51">
        <f>ESTADISTICA!Q381</f>
        <v>0</v>
      </c>
      <c r="R382" s="51">
        <f>ESTADISTICA!R381</f>
        <v>0</v>
      </c>
      <c r="S382" s="51">
        <f>ESTADISTICA!S381</f>
        <v>0</v>
      </c>
      <c r="T382" s="51">
        <f>ESTADISTICA!T381</f>
        <v>0</v>
      </c>
      <c r="U382" s="51">
        <f>ESTADISTICA!U381</f>
        <v>0</v>
      </c>
      <c r="V382" s="51">
        <f>ESTADISTICA!V381</f>
        <v>0</v>
      </c>
      <c r="W382" s="51">
        <f>ESTADISTICA!W381</f>
        <v>0</v>
      </c>
      <c r="X382" s="51">
        <f>ESTADISTICA!X381</f>
        <v>0</v>
      </c>
      <c r="Y382" s="51">
        <f>ESTADISTICA!Y381</f>
        <v>0</v>
      </c>
      <c r="Z382" s="51">
        <f>ESTADISTICA!Z381</f>
        <v>0</v>
      </c>
      <c r="AA382" s="51">
        <f>ESTADISTICA!AA381</f>
        <v>0</v>
      </c>
      <c r="AB382" s="51">
        <f>ESTADISTICA!AB381</f>
        <v>0</v>
      </c>
      <c r="AC382" s="51">
        <f>ESTADISTICA!AC381</f>
        <v>0</v>
      </c>
      <c r="AD382" s="51">
        <f>ESTADISTICA!AD381</f>
        <v>0</v>
      </c>
      <c r="AE382" s="51">
        <f>ESTADISTICA!AE381</f>
        <v>0</v>
      </c>
      <c r="AF382" s="51">
        <f>ESTADISTICA!AF381</f>
        <v>0</v>
      </c>
      <c r="AG382" s="51">
        <f>ESTADISTICA!AG381</f>
        <v>0</v>
      </c>
      <c r="AH382" s="51">
        <f>ESTADISTICA!AH381</f>
        <v>0</v>
      </c>
      <c r="AI382" s="51">
        <f>ESTADISTICA!AI381</f>
        <v>0</v>
      </c>
    </row>
    <row r="383" spans="1:35" x14ac:dyDescent="0.25">
      <c r="A383" s="51" t="str">
        <f>ESTADISTICA!A382</f>
        <v>VILLA MONICA VIEJA</v>
      </c>
      <c r="B383" s="51" t="str">
        <f>ESTADISTICA!B382</f>
        <v>VMOV 02 (fija 2)</v>
      </c>
      <c r="C383" s="51" t="str">
        <f>ESTADISTICA!C382</f>
        <v>ATENAS E/ CAFFERATA Y ALEMANIA</v>
      </c>
      <c r="D383" s="51" t="str">
        <f>ESTADISTICA!D382</f>
        <v>Fija</v>
      </c>
      <c r="E383" s="51" t="str">
        <f>ESTADISTICA!E382</f>
        <v>Fibra Optica</v>
      </c>
      <c r="F383" s="51" t="str">
        <f>ESTADISTICA!F382</f>
        <v>APAGADO</v>
      </c>
      <c r="G383" s="51" t="str">
        <f>ESTADISTICA!G382</f>
        <v>APAGADO</v>
      </c>
      <c r="H383" s="51" t="str">
        <f>ESTADISTICA!H382</f>
        <v>APAGADO</v>
      </c>
      <c r="I383" s="51" t="str">
        <f>ESTADISTICA!I382</f>
        <v>APAGADO</v>
      </c>
      <c r="J383" s="51" t="str">
        <f>ESTADISTICA!J382</f>
        <v>APAGADO</v>
      </c>
      <c r="K383" s="51" t="str">
        <f>ESTADISTICA!K382</f>
        <v>APAGADO</v>
      </c>
      <c r="L383" s="51" t="str">
        <f>ESTADISTICA!L382</f>
        <v>APAGADO</v>
      </c>
      <c r="M383" s="51">
        <f>ESTADISTICA!M382</f>
        <v>0</v>
      </c>
      <c r="N383" s="51">
        <f>ESTADISTICA!N382</f>
        <v>0</v>
      </c>
      <c r="O383" s="51">
        <f>ESTADISTICA!O382</f>
        <v>0</v>
      </c>
      <c r="P383" s="51">
        <f>ESTADISTICA!P382</f>
        <v>0</v>
      </c>
      <c r="Q383" s="51">
        <f>ESTADISTICA!Q382</f>
        <v>0</v>
      </c>
      <c r="R383" s="51">
        <f>ESTADISTICA!R382</f>
        <v>0</v>
      </c>
      <c r="S383" s="51">
        <f>ESTADISTICA!S382</f>
        <v>0</v>
      </c>
      <c r="T383" s="51">
        <f>ESTADISTICA!T382</f>
        <v>0</v>
      </c>
      <c r="U383" s="51">
        <f>ESTADISTICA!U382</f>
        <v>0</v>
      </c>
      <c r="V383" s="51">
        <f>ESTADISTICA!V382</f>
        <v>0</v>
      </c>
      <c r="W383" s="51">
        <f>ESTADISTICA!W382</f>
        <v>0</v>
      </c>
      <c r="X383" s="51">
        <f>ESTADISTICA!X382</f>
        <v>0</v>
      </c>
      <c r="Y383" s="51">
        <f>ESTADISTICA!Y382</f>
        <v>0</v>
      </c>
      <c r="Z383" s="51">
        <f>ESTADISTICA!Z382</f>
        <v>0</v>
      </c>
      <c r="AA383" s="51">
        <f>ESTADISTICA!AA382</f>
        <v>0</v>
      </c>
      <c r="AB383" s="51">
        <f>ESTADISTICA!AB382</f>
        <v>0</v>
      </c>
      <c r="AC383" s="51">
        <f>ESTADISTICA!AC382</f>
        <v>0</v>
      </c>
      <c r="AD383" s="51">
        <f>ESTADISTICA!AD382</f>
        <v>0</v>
      </c>
      <c r="AE383" s="51">
        <f>ESTADISTICA!AE382</f>
        <v>0</v>
      </c>
      <c r="AF383" s="51">
        <f>ESTADISTICA!AF382</f>
        <v>0</v>
      </c>
      <c r="AG383" s="51">
        <f>ESTADISTICA!AG382</f>
        <v>0</v>
      </c>
      <c r="AH383" s="51">
        <f>ESTADISTICA!AH382</f>
        <v>0</v>
      </c>
      <c r="AI383" s="51">
        <f>ESTADISTICA!AI382</f>
        <v>0</v>
      </c>
    </row>
    <row r="384" spans="1:35" x14ac:dyDescent="0.25">
      <c r="A384" s="51" t="str">
        <f>ESTADISTICA!A383</f>
        <v>VILLA MONICA VIEJA</v>
      </c>
      <c r="B384" s="51" t="str">
        <f>ESTADISTICA!B383</f>
        <v>VMOV 03 (fija 1)</v>
      </c>
      <c r="C384" s="51" t="str">
        <f>ESTADISTICA!C383</f>
        <v>ROMA E/ HOLANDA Y CAFFERATA</v>
      </c>
      <c r="D384" s="51" t="str">
        <f>ESTADISTICA!D383</f>
        <v>Fija</v>
      </c>
      <c r="E384" s="51" t="str">
        <f>ESTADISTICA!E383</f>
        <v>Fibra Optica</v>
      </c>
      <c r="F384" s="51" t="str">
        <f>ESTADISTICA!F383</f>
        <v>APAGADO</v>
      </c>
      <c r="G384" s="51" t="str">
        <f>ESTADISTICA!G383</f>
        <v>APAGADO</v>
      </c>
      <c r="H384" s="51" t="str">
        <f>ESTADISTICA!H383</f>
        <v>APAGADO</v>
      </c>
      <c r="I384" s="51" t="str">
        <f>ESTADISTICA!I383</f>
        <v>APAGADO</v>
      </c>
      <c r="J384" s="51" t="str">
        <f>ESTADISTICA!J383</f>
        <v>APAGADO</v>
      </c>
      <c r="K384" s="51" t="str">
        <f>ESTADISTICA!K383</f>
        <v>APAGADO</v>
      </c>
      <c r="L384" s="51" t="str">
        <f>ESTADISTICA!L383</f>
        <v>APAGADO</v>
      </c>
      <c r="M384" s="51">
        <f>ESTADISTICA!M383</f>
        <v>0</v>
      </c>
      <c r="N384" s="51">
        <f>ESTADISTICA!N383</f>
        <v>0</v>
      </c>
      <c r="O384" s="51">
        <f>ESTADISTICA!O383</f>
        <v>0</v>
      </c>
      <c r="P384" s="51">
        <f>ESTADISTICA!P383</f>
        <v>0</v>
      </c>
      <c r="Q384" s="51">
        <f>ESTADISTICA!Q383</f>
        <v>0</v>
      </c>
      <c r="R384" s="51">
        <f>ESTADISTICA!R383</f>
        <v>0</v>
      </c>
      <c r="S384" s="51">
        <f>ESTADISTICA!S383</f>
        <v>0</v>
      </c>
      <c r="T384" s="51">
        <f>ESTADISTICA!T383</f>
        <v>0</v>
      </c>
      <c r="U384" s="51">
        <f>ESTADISTICA!U383</f>
        <v>0</v>
      </c>
      <c r="V384" s="51">
        <f>ESTADISTICA!V383</f>
        <v>0</v>
      </c>
      <c r="W384" s="51">
        <f>ESTADISTICA!W383</f>
        <v>0</v>
      </c>
      <c r="X384" s="51">
        <f>ESTADISTICA!X383</f>
        <v>0</v>
      </c>
      <c r="Y384" s="51">
        <f>ESTADISTICA!Y383</f>
        <v>0</v>
      </c>
      <c r="Z384" s="51">
        <f>ESTADISTICA!Z383</f>
        <v>0</v>
      </c>
      <c r="AA384" s="51">
        <f>ESTADISTICA!AA383</f>
        <v>0</v>
      </c>
      <c r="AB384" s="51">
        <f>ESTADISTICA!AB383</f>
        <v>0</v>
      </c>
      <c r="AC384" s="51">
        <f>ESTADISTICA!AC383</f>
        <v>0</v>
      </c>
      <c r="AD384" s="51">
        <f>ESTADISTICA!AD383</f>
        <v>0</v>
      </c>
      <c r="AE384" s="51">
        <f>ESTADISTICA!AE383</f>
        <v>0</v>
      </c>
      <c r="AF384" s="51">
        <f>ESTADISTICA!AF383</f>
        <v>0</v>
      </c>
      <c r="AG384" s="51">
        <f>ESTADISTICA!AG383</f>
        <v>0</v>
      </c>
      <c r="AH384" s="51">
        <f>ESTADISTICA!AH383</f>
        <v>0</v>
      </c>
      <c r="AI384" s="51">
        <f>ESTADISTICA!AI383</f>
        <v>0</v>
      </c>
    </row>
    <row r="385" spans="1:35" x14ac:dyDescent="0.25">
      <c r="A385" s="51" t="str">
        <f>ESTADISTICA!A384</f>
        <v>VILLA MONICA VIEJA</v>
      </c>
      <c r="B385" s="51" t="str">
        <f>ESTADISTICA!B384</f>
        <v>VMOV01 (fija 1)</v>
      </c>
      <c r="C385" s="51" t="str">
        <f>ESTADISTICA!C384</f>
        <v>ATENAS E/ CAFFERATA Y ALEMANIA</v>
      </c>
      <c r="D385" s="51" t="str">
        <f>ESTADISTICA!D384</f>
        <v>Fija</v>
      </c>
      <c r="E385" s="51" t="str">
        <f>ESTADISTICA!E384</f>
        <v>Fibra Optica</v>
      </c>
      <c r="F385" s="51" t="str">
        <f>ESTADISTICA!F384</f>
        <v>APAGADO</v>
      </c>
      <c r="G385" s="51" t="str">
        <f>ESTADISTICA!G384</f>
        <v>APAGADO</v>
      </c>
      <c r="H385" s="51" t="str">
        <f>ESTADISTICA!H384</f>
        <v>APAGADO</v>
      </c>
      <c r="I385" s="51" t="str">
        <f>ESTADISTICA!I384</f>
        <v>APAGADO</v>
      </c>
      <c r="J385" s="51" t="str">
        <f>ESTADISTICA!J384</f>
        <v>APAGADO</v>
      </c>
      <c r="K385" s="51" t="str">
        <f>ESTADISTICA!K384</f>
        <v>APAGADO</v>
      </c>
      <c r="L385" s="51" t="str">
        <f>ESTADISTICA!L384</f>
        <v>APAGADO</v>
      </c>
      <c r="M385" s="51">
        <f>ESTADISTICA!M384</f>
        <v>0</v>
      </c>
      <c r="N385" s="51">
        <f>ESTADISTICA!N384</f>
        <v>0</v>
      </c>
      <c r="O385" s="51">
        <f>ESTADISTICA!O384</f>
        <v>0</v>
      </c>
      <c r="P385" s="51">
        <f>ESTADISTICA!P384</f>
        <v>0</v>
      </c>
      <c r="Q385" s="51">
        <f>ESTADISTICA!Q384</f>
        <v>0</v>
      </c>
      <c r="R385" s="51">
        <f>ESTADISTICA!R384</f>
        <v>0</v>
      </c>
      <c r="S385" s="51">
        <f>ESTADISTICA!S384</f>
        <v>0</v>
      </c>
      <c r="T385" s="51">
        <f>ESTADISTICA!T384</f>
        <v>0</v>
      </c>
      <c r="U385" s="51">
        <f>ESTADISTICA!U384</f>
        <v>0</v>
      </c>
      <c r="V385" s="51">
        <f>ESTADISTICA!V384</f>
        <v>0</v>
      </c>
      <c r="W385" s="51">
        <f>ESTADISTICA!W384</f>
        <v>0</v>
      </c>
      <c r="X385" s="51">
        <f>ESTADISTICA!X384</f>
        <v>0</v>
      </c>
      <c r="Y385" s="51">
        <f>ESTADISTICA!Y384</f>
        <v>0</v>
      </c>
      <c r="Z385" s="51">
        <f>ESTADISTICA!Z384</f>
        <v>0</v>
      </c>
      <c r="AA385" s="51">
        <f>ESTADISTICA!AA384</f>
        <v>0</v>
      </c>
      <c r="AB385" s="51">
        <f>ESTADISTICA!AB384</f>
        <v>0</v>
      </c>
      <c r="AC385" s="51">
        <f>ESTADISTICA!AC384</f>
        <v>0</v>
      </c>
      <c r="AD385" s="51">
        <f>ESTADISTICA!AD384</f>
        <v>0</v>
      </c>
      <c r="AE385" s="51">
        <f>ESTADISTICA!AE384</f>
        <v>0</v>
      </c>
      <c r="AF385" s="51">
        <f>ESTADISTICA!AF384</f>
        <v>0</v>
      </c>
      <c r="AG385" s="51">
        <f>ESTADISTICA!AG384</f>
        <v>0</v>
      </c>
      <c r="AH385" s="51">
        <f>ESTADISTICA!AH384</f>
        <v>0</v>
      </c>
      <c r="AI385" s="51">
        <f>ESTADISTICA!AI384</f>
        <v>0</v>
      </c>
    </row>
    <row r="386" spans="1:35" x14ac:dyDescent="0.25">
      <c r="A386" s="51" t="str">
        <f>ESTADISTICA!A385</f>
        <v>VILLA MONICA VIEJA</v>
      </c>
      <c r="B386" s="51" t="str">
        <f>ESTADISTICA!B385</f>
        <v>VMOV04 (fija 2)</v>
      </c>
      <c r="C386" s="51" t="str">
        <f>ESTADISTICA!C385</f>
        <v>ROMA E/ HOLANDA Y CAFFERATA</v>
      </c>
      <c r="D386" s="51" t="str">
        <f>ESTADISTICA!D385</f>
        <v>Fija</v>
      </c>
      <c r="E386" s="51" t="str">
        <f>ESTADISTICA!E385</f>
        <v>Fibra Optica</v>
      </c>
      <c r="F386" s="51" t="str">
        <f>ESTADISTICA!F385</f>
        <v>APAGADO</v>
      </c>
      <c r="G386" s="51" t="str">
        <f>ESTADISTICA!G385</f>
        <v>APAGADO</v>
      </c>
      <c r="H386" s="51" t="str">
        <f>ESTADISTICA!H385</f>
        <v>APAGADO</v>
      </c>
      <c r="I386" s="51" t="str">
        <f>ESTADISTICA!I385</f>
        <v>APAGADO</v>
      </c>
      <c r="J386" s="51" t="str">
        <f>ESTADISTICA!J385</f>
        <v>APAGADO</v>
      </c>
      <c r="K386" s="51" t="str">
        <f>ESTADISTICA!K385</f>
        <v>APAGADO</v>
      </c>
      <c r="L386" s="51" t="str">
        <f>ESTADISTICA!L385</f>
        <v>APAGADO</v>
      </c>
      <c r="M386" s="51">
        <f>ESTADISTICA!M385</f>
        <v>0</v>
      </c>
      <c r="N386" s="51">
        <f>ESTADISTICA!N385</f>
        <v>0</v>
      </c>
      <c r="O386" s="51">
        <f>ESTADISTICA!O385</f>
        <v>0</v>
      </c>
      <c r="P386" s="51">
        <f>ESTADISTICA!P385</f>
        <v>0</v>
      </c>
      <c r="Q386" s="51">
        <f>ESTADISTICA!Q385</f>
        <v>0</v>
      </c>
      <c r="R386" s="51">
        <f>ESTADISTICA!R385</f>
        <v>0</v>
      </c>
      <c r="S386" s="51">
        <f>ESTADISTICA!S385</f>
        <v>0</v>
      </c>
      <c r="T386" s="51">
        <f>ESTADISTICA!T385</f>
        <v>0</v>
      </c>
      <c r="U386" s="51">
        <f>ESTADISTICA!U385</f>
        <v>0</v>
      </c>
      <c r="V386" s="51">
        <f>ESTADISTICA!V385</f>
        <v>0</v>
      </c>
      <c r="W386" s="51">
        <f>ESTADISTICA!W385</f>
        <v>0</v>
      </c>
      <c r="X386" s="51">
        <f>ESTADISTICA!X385</f>
        <v>0</v>
      </c>
      <c r="Y386" s="51">
        <f>ESTADISTICA!Y385</f>
        <v>0</v>
      </c>
      <c r="Z386" s="51">
        <f>ESTADISTICA!Z385</f>
        <v>0</v>
      </c>
      <c r="AA386" s="51">
        <f>ESTADISTICA!AA385</f>
        <v>0</v>
      </c>
      <c r="AB386" s="51">
        <f>ESTADISTICA!AB385</f>
        <v>0</v>
      </c>
      <c r="AC386" s="51">
        <f>ESTADISTICA!AC385</f>
        <v>0</v>
      </c>
      <c r="AD386" s="51">
        <f>ESTADISTICA!AD385</f>
        <v>0</v>
      </c>
      <c r="AE386" s="51">
        <f>ESTADISTICA!AE385</f>
        <v>0</v>
      </c>
      <c r="AF386" s="51">
        <f>ESTADISTICA!AF385</f>
        <v>0</v>
      </c>
      <c r="AG386" s="51">
        <f>ESTADISTICA!AG385</f>
        <v>0</v>
      </c>
      <c r="AH386" s="51">
        <f>ESTADISTICA!AH385</f>
        <v>0</v>
      </c>
      <c r="AI386" s="51">
        <f>ESTADISTICA!AI385</f>
        <v>0</v>
      </c>
    </row>
    <row r="387" spans="1:35" x14ac:dyDescent="0.25">
      <c r="A387" s="51" t="str">
        <f>ESTADISTICA!A386</f>
        <v>VILLA SAN LUIS</v>
      </c>
      <c r="B387" s="51" t="str">
        <f>ESTADISTICA!B386</f>
        <v>VSL 01</v>
      </c>
      <c r="C387" s="51" t="str">
        <f>ESTADISTICA!C386</f>
        <v>AV. HUDSON Y CACHEUTA</v>
      </c>
      <c r="D387" s="51" t="str">
        <f>ESTADISTICA!D386</f>
        <v>DOMO</v>
      </c>
      <c r="E387" s="51" t="str">
        <f>ESTADISTICA!E386</f>
        <v>Fibra Optica</v>
      </c>
      <c r="F387" s="51">
        <f>ESTADISTICA!F386</f>
        <v>0</v>
      </c>
      <c r="G387" s="51">
        <f>ESTADISTICA!G386</f>
        <v>0</v>
      </c>
      <c r="H387" s="51">
        <f>ESTADISTICA!H386</f>
        <v>0</v>
      </c>
      <c r="I387" s="51">
        <f>ESTADISTICA!I386</f>
        <v>0</v>
      </c>
      <c r="J387" s="51">
        <f>ESTADISTICA!J386</f>
        <v>0</v>
      </c>
      <c r="K387" s="51">
        <f>ESTADISTICA!K386</f>
        <v>0</v>
      </c>
      <c r="L387" s="51">
        <f>ESTADISTICA!L386</f>
        <v>0</v>
      </c>
      <c r="M387" s="51">
        <f>ESTADISTICA!M386</f>
        <v>0</v>
      </c>
      <c r="N387" s="51">
        <f>ESTADISTICA!N386</f>
        <v>0</v>
      </c>
      <c r="O387" s="51">
        <f>ESTADISTICA!O386</f>
        <v>0</v>
      </c>
      <c r="P387" s="51">
        <f>ESTADISTICA!P386</f>
        <v>0</v>
      </c>
      <c r="Q387" s="51">
        <f>ESTADISTICA!Q386</f>
        <v>0</v>
      </c>
      <c r="R387" s="51">
        <f>ESTADISTICA!R386</f>
        <v>0</v>
      </c>
      <c r="S387" s="51">
        <f>ESTADISTICA!S386</f>
        <v>0</v>
      </c>
      <c r="T387" s="51">
        <f>ESTADISTICA!T386</f>
        <v>0</v>
      </c>
      <c r="U387" s="51">
        <f>ESTADISTICA!U386</f>
        <v>0</v>
      </c>
      <c r="V387" s="51">
        <f>ESTADISTICA!V386</f>
        <v>0</v>
      </c>
      <c r="W387" s="51">
        <f>ESTADISTICA!W386</f>
        <v>0</v>
      </c>
      <c r="X387" s="51">
        <f>ESTADISTICA!X386</f>
        <v>0</v>
      </c>
      <c r="Y387" s="51">
        <f>ESTADISTICA!Y386</f>
        <v>0</v>
      </c>
      <c r="Z387" s="51">
        <f>ESTADISTICA!Z386</f>
        <v>0</v>
      </c>
      <c r="AA387" s="51">
        <f>ESTADISTICA!AA386</f>
        <v>0</v>
      </c>
      <c r="AB387" s="51">
        <f>ESTADISTICA!AB386</f>
        <v>0</v>
      </c>
      <c r="AC387" s="51">
        <f>ESTADISTICA!AC386</f>
        <v>0</v>
      </c>
      <c r="AD387" s="51">
        <f>ESTADISTICA!AD386</f>
        <v>0</v>
      </c>
      <c r="AE387" s="51">
        <f>ESTADISTICA!AE386</f>
        <v>0</v>
      </c>
      <c r="AF387" s="51">
        <f>ESTADISTICA!AF386</f>
        <v>0</v>
      </c>
      <c r="AG387" s="51">
        <f>ESTADISTICA!AG386</f>
        <v>0</v>
      </c>
      <c r="AH387" s="51">
        <f>ESTADISTICA!AH386</f>
        <v>0</v>
      </c>
      <c r="AI387" s="51">
        <f>ESTADISTICA!AI386</f>
        <v>0</v>
      </c>
    </row>
    <row r="388" spans="1:35" x14ac:dyDescent="0.25">
      <c r="A388" s="51" t="str">
        <f>ESTADISTICA!A387</f>
        <v>VILLA SUSANA</v>
      </c>
      <c r="B388" s="51" t="str">
        <f>ESTADISTICA!B387</f>
        <v>VSU 02</v>
      </c>
      <c r="C388" s="51" t="str">
        <f>ESTADISTICA!C387</f>
        <v>CABELLO Y SANTA FE</v>
      </c>
      <c r="D388" s="51" t="str">
        <f>ESTADISTICA!D387</f>
        <v>DOMO</v>
      </c>
      <c r="E388" s="51" t="str">
        <f>ESTADISTICA!E387</f>
        <v>Radio</v>
      </c>
      <c r="F388" s="51">
        <f>ESTADISTICA!F387</f>
        <v>0</v>
      </c>
      <c r="G388" s="51">
        <f>ESTADISTICA!G387</f>
        <v>0</v>
      </c>
      <c r="H388" s="51">
        <f>ESTADISTICA!H387</f>
        <v>0</v>
      </c>
      <c r="I388" s="51">
        <f>ESTADISTICA!I387</f>
        <v>0</v>
      </c>
      <c r="J388" s="51">
        <f>ESTADISTICA!J387</f>
        <v>0</v>
      </c>
      <c r="K388" s="51">
        <f>ESTADISTICA!K387</f>
        <v>0</v>
      </c>
      <c r="L388" s="51">
        <f>ESTADISTICA!L387</f>
        <v>0</v>
      </c>
      <c r="M388" s="51">
        <f>ESTADISTICA!M387</f>
        <v>0</v>
      </c>
      <c r="N388" s="51">
        <f>ESTADISTICA!N387</f>
        <v>0</v>
      </c>
      <c r="O388" s="51">
        <f>ESTADISTICA!O387</f>
        <v>0</v>
      </c>
      <c r="P388" s="51">
        <f>ESTADISTICA!P387</f>
        <v>0</v>
      </c>
      <c r="Q388" s="51">
        <f>ESTADISTICA!Q387</f>
        <v>0</v>
      </c>
      <c r="R388" s="51">
        <f>ESTADISTICA!R387</f>
        <v>0</v>
      </c>
      <c r="S388" s="51">
        <f>ESTADISTICA!S387</f>
        <v>0</v>
      </c>
      <c r="T388" s="51">
        <f>ESTADISTICA!T387</f>
        <v>0</v>
      </c>
      <c r="U388" s="51">
        <f>ESTADISTICA!U387</f>
        <v>0</v>
      </c>
      <c r="V388" s="51">
        <f>ESTADISTICA!V387</f>
        <v>0</v>
      </c>
      <c r="W388" s="51">
        <f>ESTADISTICA!W387</f>
        <v>0</v>
      </c>
      <c r="X388" s="51">
        <f>ESTADISTICA!X387</f>
        <v>0</v>
      </c>
      <c r="Y388" s="51">
        <f>ESTADISTICA!Y387</f>
        <v>0</v>
      </c>
      <c r="Z388" s="51">
        <f>ESTADISTICA!Z387</f>
        <v>0</v>
      </c>
      <c r="AA388" s="51">
        <f>ESTADISTICA!AA387</f>
        <v>0</v>
      </c>
      <c r="AB388" s="51">
        <f>ESTADISTICA!AB387</f>
        <v>0</v>
      </c>
      <c r="AC388" s="51">
        <f>ESTADISTICA!AC387</f>
        <v>0</v>
      </c>
      <c r="AD388" s="51">
        <f>ESTADISTICA!AD387</f>
        <v>0</v>
      </c>
      <c r="AE388" s="51">
        <f>ESTADISTICA!AE387</f>
        <v>0</v>
      </c>
      <c r="AF388" s="51">
        <f>ESTADISTICA!AF387</f>
        <v>0</v>
      </c>
      <c r="AG388" s="51">
        <f>ESTADISTICA!AG387</f>
        <v>0</v>
      </c>
      <c r="AH388" s="51">
        <f>ESTADISTICA!AH387</f>
        <v>0</v>
      </c>
      <c r="AI388" s="51">
        <f>ESTADISTICA!AI387</f>
        <v>0</v>
      </c>
    </row>
    <row r="389" spans="1:35" x14ac:dyDescent="0.25">
      <c r="A389" s="51" t="str">
        <f>ESTADISTICA!A388</f>
        <v>VILLA SUSANA</v>
      </c>
      <c r="B389" s="51" t="str">
        <f>ESTADISTICA!B388</f>
        <v>VSU 03</v>
      </c>
      <c r="C389" s="51" t="str">
        <f>ESTADISTICA!C388</f>
        <v>EE.UU Y SERRANO</v>
      </c>
      <c r="D389" s="51" t="str">
        <f>ESTADISTICA!D388</f>
        <v>DOMO</v>
      </c>
      <c r="E389" s="51" t="str">
        <f>ESTADISTICA!E388</f>
        <v>Radio</v>
      </c>
      <c r="F389" s="51">
        <f>ESTADISTICA!F388</f>
        <v>0</v>
      </c>
      <c r="G389" s="51">
        <f>ESTADISTICA!G388</f>
        <v>0</v>
      </c>
      <c r="H389" s="51">
        <f>ESTADISTICA!H388</f>
        <v>0</v>
      </c>
      <c r="I389" s="51">
        <f>ESTADISTICA!I388</f>
        <v>0</v>
      </c>
      <c r="J389" s="51">
        <f>ESTADISTICA!J388</f>
        <v>0</v>
      </c>
      <c r="K389" s="51">
        <f>ESTADISTICA!K388</f>
        <v>0</v>
      </c>
      <c r="L389" s="51">
        <f>ESTADISTICA!L388</f>
        <v>0</v>
      </c>
      <c r="M389" s="51">
        <f>ESTADISTICA!M388</f>
        <v>0</v>
      </c>
      <c r="N389" s="51">
        <f>ESTADISTICA!N388</f>
        <v>0</v>
      </c>
      <c r="O389" s="51">
        <f>ESTADISTICA!O388</f>
        <v>0</v>
      </c>
      <c r="P389" s="51">
        <f>ESTADISTICA!P388</f>
        <v>0</v>
      </c>
      <c r="Q389" s="51">
        <f>ESTADISTICA!Q388</f>
        <v>0</v>
      </c>
      <c r="R389" s="51">
        <f>ESTADISTICA!R388</f>
        <v>0</v>
      </c>
      <c r="S389" s="51">
        <f>ESTADISTICA!S388</f>
        <v>0</v>
      </c>
      <c r="T389" s="51">
        <f>ESTADISTICA!T388</f>
        <v>0</v>
      </c>
      <c r="U389" s="51">
        <f>ESTADISTICA!U388</f>
        <v>0</v>
      </c>
      <c r="V389" s="51">
        <f>ESTADISTICA!V388</f>
        <v>0</v>
      </c>
      <c r="W389" s="51">
        <f>ESTADISTICA!W388</f>
        <v>0</v>
      </c>
      <c r="X389" s="51">
        <f>ESTADISTICA!X388</f>
        <v>0</v>
      </c>
      <c r="Y389" s="51">
        <f>ESTADISTICA!Y388</f>
        <v>0</v>
      </c>
      <c r="Z389" s="51">
        <f>ESTADISTICA!Z388</f>
        <v>0</v>
      </c>
      <c r="AA389" s="51">
        <f>ESTADISTICA!AA388</f>
        <v>0</v>
      </c>
      <c r="AB389" s="51">
        <f>ESTADISTICA!AB388</f>
        <v>0</v>
      </c>
      <c r="AC389" s="51">
        <f>ESTADISTICA!AC388</f>
        <v>0</v>
      </c>
      <c r="AD389" s="51">
        <f>ESTADISTICA!AD388</f>
        <v>0</v>
      </c>
      <c r="AE389" s="51">
        <f>ESTADISTICA!AE388</f>
        <v>0</v>
      </c>
      <c r="AF389" s="51">
        <f>ESTADISTICA!AF388</f>
        <v>0</v>
      </c>
      <c r="AG389" s="51">
        <f>ESTADISTICA!AG388</f>
        <v>0</v>
      </c>
      <c r="AH389" s="51">
        <f>ESTADISTICA!AH388</f>
        <v>0</v>
      </c>
      <c r="AI389" s="51">
        <f>ESTADISTICA!AI388</f>
        <v>0</v>
      </c>
    </row>
    <row r="390" spans="1:35" x14ac:dyDescent="0.25">
      <c r="A390" s="51" t="str">
        <f>ESTADISTICA!A389</f>
        <v>VILLA SUSANA</v>
      </c>
      <c r="B390" s="51" t="str">
        <f>ESTADISTICA!B389</f>
        <v>VSU01</v>
      </c>
      <c r="C390" s="51" t="str">
        <f>ESTADISTICA!C389</f>
        <v>CJAL. JUAN BROWN Y SANTA FE</v>
      </c>
      <c r="D390" s="51" t="str">
        <f>ESTADISTICA!D389</f>
        <v>DOMO</v>
      </c>
      <c r="E390" s="51" t="str">
        <f>ESTADISTICA!E389</f>
        <v>Radio</v>
      </c>
      <c r="F390" s="51">
        <f>ESTADISTICA!F389</f>
        <v>0</v>
      </c>
      <c r="G390" s="51">
        <f>ESTADISTICA!G389</f>
        <v>0</v>
      </c>
      <c r="H390" s="51">
        <f>ESTADISTICA!H389</f>
        <v>0</v>
      </c>
      <c r="I390" s="51">
        <f>ESTADISTICA!I389</f>
        <v>0</v>
      </c>
      <c r="J390" s="51">
        <f>ESTADISTICA!J389</f>
        <v>0</v>
      </c>
      <c r="K390" s="51">
        <f>ESTADISTICA!K389</f>
        <v>0</v>
      </c>
      <c r="L390" s="51">
        <f>ESTADISTICA!L389</f>
        <v>0</v>
      </c>
      <c r="M390" s="51">
        <f>ESTADISTICA!M389</f>
        <v>0</v>
      </c>
      <c r="N390" s="51">
        <f>ESTADISTICA!N389</f>
        <v>0</v>
      </c>
      <c r="O390" s="51">
        <f>ESTADISTICA!O389</f>
        <v>0</v>
      </c>
      <c r="P390" s="51">
        <f>ESTADISTICA!P389</f>
        <v>0</v>
      </c>
      <c r="Q390" s="51">
        <f>ESTADISTICA!Q389</f>
        <v>0</v>
      </c>
      <c r="R390" s="51">
        <f>ESTADISTICA!R389</f>
        <v>0</v>
      </c>
      <c r="S390" s="51">
        <f>ESTADISTICA!S389</f>
        <v>0</v>
      </c>
      <c r="T390" s="51">
        <f>ESTADISTICA!T389</f>
        <v>0</v>
      </c>
      <c r="U390" s="51">
        <f>ESTADISTICA!U389</f>
        <v>0</v>
      </c>
      <c r="V390" s="51">
        <f>ESTADISTICA!V389</f>
        <v>0</v>
      </c>
      <c r="W390" s="51">
        <f>ESTADISTICA!W389</f>
        <v>0</v>
      </c>
      <c r="X390" s="51">
        <f>ESTADISTICA!X389</f>
        <v>0</v>
      </c>
      <c r="Y390" s="51">
        <f>ESTADISTICA!Y389</f>
        <v>0</v>
      </c>
      <c r="Z390" s="51">
        <f>ESTADISTICA!Z389</f>
        <v>0</v>
      </c>
      <c r="AA390" s="51">
        <f>ESTADISTICA!AA389</f>
        <v>0</v>
      </c>
      <c r="AB390" s="51">
        <f>ESTADISTICA!AB389</f>
        <v>0</v>
      </c>
      <c r="AC390" s="51">
        <f>ESTADISTICA!AC389</f>
        <v>0</v>
      </c>
      <c r="AD390" s="51">
        <f>ESTADISTICA!AD389</f>
        <v>0</v>
      </c>
      <c r="AE390" s="51">
        <f>ESTADISTICA!AE389</f>
        <v>0</v>
      </c>
      <c r="AF390" s="51">
        <f>ESTADISTICA!AF389</f>
        <v>0</v>
      </c>
      <c r="AG390" s="51">
        <f>ESTADISTICA!AG389</f>
        <v>0</v>
      </c>
      <c r="AH390" s="51">
        <f>ESTADISTICA!AH389</f>
        <v>0</v>
      </c>
      <c r="AI390" s="51">
        <f>ESTADISTICA!AI389</f>
        <v>0</v>
      </c>
    </row>
    <row r="391" spans="1:35" x14ac:dyDescent="0.25">
      <c r="A391" s="51" t="str">
        <f>ESTADISTICA!A390</f>
        <v>ZEBALLOS</v>
      </c>
      <c r="B391" s="51" t="str">
        <f>ESTADISTICA!B390</f>
        <v>ZEB 05</v>
      </c>
      <c r="C391" s="51" t="str">
        <f>ESTADISTICA!C390</f>
        <v>DIAG. GRANADEROS Y 214 BIS</v>
      </c>
      <c r="D391" s="51" t="str">
        <f>ESTADISTICA!D390</f>
        <v>Domo</v>
      </c>
      <c r="E391" s="51" t="str">
        <f>ESTADISTICA!E390</f>
        <v>Radio</v>
      </c>
      <c r="F391" s="51">
        <f>ESTADISTICA!F390</f>
        <v>0</v>
      </c>
      <c r="G391" s="51">
        <f>ESTADISTICA!G390</f>
        <v>0</v>
      </c>
      <c r="H391" s="51">
        <f>ESTADISTICA!H390</f>
        <v>0</v>
      </c>
      <c r="I391" s="51">
        <f>ESTADISTICA!I390</f>
        <v>0</v>
      </c>
      <c r="J391" s="51">
        <f>ESTADISTICA!J390</f>
        <v>0</v>
      </c>
      <c r="K391" s="51">
        <f>ESTADISTICA!K390</f>
        <v>0</v>
      </c>
      <c r="L391" s="51">
        <f>ESTADISTICA!L390</f>
        <v>0</v>
      </c>
      <c r="M391" s="51">
        <f>ESTADISTICA!M390</f>
        <v>0</v>
      </c>
      <c r="N391" s="51">
        <f>ESTADISTICA!N390</f>
        <v>0</v>
      </c>
      <c r="O391" s="51">
        <f>ESTADISTICA!O390</f>
        <v>0</v>
      </c>
      <c r="P391" s="51">
        <f>ESTADISTICA!P390</f>
        <v>0</v>
      </c>
      <c r="Q391" s="51">
        <f>ESTADISTICA!Q390</f>
        <v>0</v>
      </c>
      <c r="R391" s="51">
        <f>ESTADISTICA!R390</f>
        <v>0</v>
      </c>
      <c r="S391" s="51">
        <f>ESTADISTICA!S390</f>
        <v>0</v>
      </c>
      <c r="T391" s="51">
        <f>ESTADISTICA!T390</f>
        <v>0</v>
      </c>
      <c r="U391" s="51">
        <f>ESTADISTICA!U390</f>
        <v>0</v>
      </c>
      <c r="V391" s="51">
        <f>ESTADISTICA!V390</f>
        <v>0</v>
      </c>
      <c r="W391" s="51">
        <f>ESTADISTICA!W390</f>
        <v>0</v>
      </c>
      <c r="X391" s="51">
        <f>ESTADISTICA!X390</f>
        <v>0</v>
      </c>
      <c r="Y391" s="51">
        <f>ESTADISTICA!Y390</f>
        <v>0</v>
      </c>
      <c r="Z391" s="51">
        <f>ESTADISTICA!Z390</f>
        <v>0</v>
      </c>
      <c r="AA391" s="51">
        <f>ESTADISTICA!AA390</f>
        <v>0</v>
      </c>
      <c r="AB391" s="51">
        <f>ESTADISTICA!AB390</f>
        <v>0</v>
      </c>
      <c r="AC391" s="51">
        <f>ESTADISTICA!AC390</f>
        <v>0</v>
      </c>
      <c r="AD391" s="51">
        <f>ESTADISTICA!AD390</f>
        <v>0</v>
      </c>
      <c r="AE391" s="51">
        <f>ESTADISTICA!AE390</f>
        <v>0</v>
      </c>
      <c r="AF391" s="51">
        <f>ESTADISTICA!AF390</f>
        <v>0</v>
      </c>
      <c r="AG391" s="51">
        <f>ESTADISTICA!AG390</f>
        <v>0</v>
      </c>
      <c r="AH391" s="51">
        <f>ESTADISTICA!AH390</f>
        <v>0</v>
      </c>
      <c r="AI391" s="51">
        <f>ESTADISTICA!AI390</f>
        <v>0</v>
      </c>
    </row>
    <row r="392" spans="1:35" x14ac:dyDescent="0.25">
      <c r="A392" s="51" t="str">
        <f>ESTADISTICA!A391</f>
        <v>ZEBALLOS</v>
      </c>
      <c r="B392" s="51" t="str">
        <f>ESTADISTICA!B391</f>
        <v>ZEB02</v>
      </c>
      <c r="C392" s="51" t="str">
        <f>ESTADISTICA!C391</f>
        <v>Quinquela Martin y Sgo. del Estero</v>
      </c>
      <c r="D392" s="51" t="str">
        <f>ESTADISTICA!D391</f>
        <v>Domo</v>
      </c>
      <c r="E392" s="51" t="str">
        <f>ESTADISTICA!E391</f>
        <v>Radio</v>
      </c>
      <c r="F392" s="51">
        <f>ESTADISTICA!F391</f>
        <v>0</v>
      </c>
      <c r="G392" s="51">
        <f>ESTADISTICA!G391</f>
        <v>0</v>
      </c>
      <c r="H392" s="51">
        <f>ESTADISTICA!H391</f>
        <v>0</v>
      </c>
      <c r="I392" s="51">
        <f>ESTADISTICA!I391</f>
        <v>0</v>
      </c>
      <c r="J392" s="51">
        <f>ESTADISTICA!J391</f>
        <v>0</v>
      </c>
      <c r="K392" s="51">
        <f>ESTADISTICA!K391</f>
        <v>0</v>
      </c>
      <c r="L392" s="51">
        <f>ESTADISTICA!L391</f>
        <v>0</v>
      </c>
      <c r="M392" s="51">
        <f>ESTADISTICA!M391</f>
        <v>0</v>
      </c>
      <c r="N392" s="51">
        <f>ESTADISTICA!N391</f>
        <v>0</v>
      </c>
      <c r="O392" s="51">
        <f>ESTADISTICA!O391</f>
        <v>0</v>
      </c>
      <c r="P392" s="51">
        <f>ESTADISTICA!P391</f>
        <v>0</v>
      </c>
      <c r="Q392" s="51">
        <f>ESTADISTICA!Q391</f>
        <v>0</v>
      </c>
      <c r="R392" s="51">
        <f>ESTADISTICA!R391</f>
        <v>0</v>
      </c>
      <c r="S392" s="51">
        <f>ESTADISTICA!S391</f>
        <v>0</v>
      </c>
      <c r="T392" s="51">
        <f>ESTADISTICA!T391</f>
        <v>0</v>
      </c>
      <c r="U392" s="51">
        <f>ESTADISTICA!U391</f>
        <v>0</v>
      </c>
      <c r="V392" s="51">
        <f>ESTADISTICA!V391</f>
        <v>0</v>
      </c>
      <c r="W392" s="51">
        <f>ESTADISTICA!W391</f>
        <v>0</v>
      </c>
      <c r="X392" s="51">
        <f>ESTADISTICA!X391</f>
        <v>0</v>
      </c>
      <c r="Y392" s="51">
        <f>ESTADISTICA!Y391</f>
        <v>0</v>
      </c>
      <c r="Z392" s="51">
        <f>ESTADISTICA!Z391</f>
        <v>0</v>
      </c>
      <c r="AA392" s="51">
        <f>ESTADISTICA!AA391</f>
        <v>0</v>
      </c>
      <c r="AB392" s="51">
        <f>ESTADISTICA!AB391</f>
        <v>0</v>
      </c>
      <c r="AC392" s="51">
        <f>ESTADISTICA!AC391</f>
        <v>0</v>
      </c>
      <c r="AD392" s="51">
        <f>ESTADISTICA!AD391</f>
        <v>0</v>
      </c>
      <c r="AE392" s="51">
        <f>ESTADISTICA!AE391</f>
        <v>0</v>
      </c>
      <c r="AF392" s="51">
        <f>ESTADISTICA!AF391</f>
        <v>0</v>
      </c>
      <c r="AG392" s="51">
        <f>ESTADISTICA!AG391</f>
        <v>0</v>
      </c>
      <c r="AH392" s="51">
        <f>ESTADISTICA!AH391</f>
        <v>0</v>
      </c>
      <c r="AI392" s="51">
        <f>ESTADISTICA!AI391</f>
        <v>0</v>
      </c>
    </row>
    <row r="393" spans="1:35" x14ac:dyDescent="0.25">
      <c r="A393" s="51" t="str">
        <f>ESTADISTICA!A392</f>
        <v>9 DE JULIO</v>
      </c>
      <c r="B393" s="51" t="str">
        <f>ESTADISTICA!B392</f>
        <v>ZEB03</v>
      </c>
      <c r="C393" s="51" t="str">
        <f>ESTADISTICA!C392</f>
        <v>Quinquela Martin y Pte. Peron</v>
      </c>
      <c r="D393" s="51" t="str">
        <f>ESTADISTICA!D392</f>
        <v>Domo</v>
      </c>
      <c r="E393" s="51" t="str">
        <f>ESTADISTICA!E392</f>
        <v>Radio</v>
      </c>
      <c r="F393" s="51">
        <f>ESTADISTICA!F392</f>
        <v>0</v>
      </c>
      <c r="G393" s="51">
        <f>ESTADISTICA!G392</f>
        <v>0</v>
      </c>
      <c r="H393" s="51">
        <f>ESTADISTICA!H392</f>
        <v>0</v>
      </c>
      <c r="I393" s="51">
        <f>ESTADISTICA!I392</f>
        <v>0</v>
      </c>
      <c r="J393" s="51">
        <f>ESTADISTICA!J392</f>
        <v>0</v>
      </c>
      <c r="K393" s="51">
        <f>ESTADISTICA!K392</f>
        <v>0</v>
      </c>
      <c r="L393" s="51">
        <f>ESTADISTICA!L392</f>
        <v>0</v>
      </c>
      <c r="M393" s="51">
        <f>ESTADISTICA!M392</f>
        <v>0</v>
      </c>
      <c r="N393" s="51">
        <f>ESTADISTICA!N392</f>
        <v>0</v>
      </c>
      <c r="O393" s="51">
        <f>ESTADISTICA!O392</f>
        <v>0</v>
      </c>
      <c r="P393" s="51">
        <f>ESTADISTICA!P392</f>
        <v>0</v>
      </c>
      <c r="Q393" s="51">
        <f>ESTADISTICA!Q392</f>
        <v>0</v>
      </c>
      <c r="R393" s="51">
        <f>ESTADISTICA!R392</f>
        <v>0</v>
      </c>
      <c r="S393" s="51">
        <f>ESTADISTICA!S392</f>
        <v>0</v>
      </c>
      <c r="T393" s="51">
        <f>ESTADISTICA!T392</f>
        <v>0</v>
      </c>
      <c r="U393" s="51">
        <f>ESTADISTICA!U392</f>
        <v>0</v>
      </c>
      <c r="V393" s="51">
        <f>ESTADISTICA!V392</f>
        <v>0</v>
      </c>
      <c r="W393" s="51">
        <f>ESTADISTICA!W392</f>
        <v>0</v>
      </c>
      <c r="X393" s="51">
        <f>ESTADISTICA!X392</f>
        <v>0</v>
      </c>
      <c r="Y393" s="51">
        <f>ESTADISTICA!Y392</f>
        <v>0</v>
      </c>
      <c r="Z393" s="51">
        <f>ESTADISTICA!Z392</f>
        <v>0</v>
      </c>
      <c r="AA393" s="51">
        <f>ESTADISTICA!AA392</f>
        <v>0</v>
      </c>
      <c r="AB393" s="51">
        <f>ESTADISTICA!AB392</f>
        <v>0</v>
      </c>
      <c r="AC393" s="51">
        <f>ESTADISTICA!AC392</f>
        <v>0</v>
      </c>
      <c r="AD393" s="51">
        <f>ESTADISTICA!AD392</f>
        <v>0</v>
      </c>
      <c r="AE393" s="51">
        <f>ESTADISTICA!AE392</f>
        <v>0</v>
      </c>
      <c r="AF393" s="51">
        <f>ESTADISTICA!AF392</f>
        <v>0</v>
      </c>
      <c r="AG393" s="51">
        <f>ESTADISTICA!AG392</f>
        <v>0</v>
      </c>
      <c r="AH393" s="51">
        <f>ESTADISTICA!AH392</f>
        <v>0</v>
      </c>
      <c r="AI393" s="51">
        <f>ESTADISTICA!AI392</f>
        <v>0</v>
      </c>
    </row>
    <row r="394" spans="1:35" x14ac:dyDescent="0.25">
      <c r="A394" s="51" t="str">
        <f>ESTADISTICA!A393</f>
        <v>ZEBALLOS</v>
      </c>
      <c r="B394" s="51" t="str">
        <f>ESTADISTICA!B393</f>
        <v>ZEB04</v>
      </c>
      <c r="C394" s="51" t="str">
        <f>ESTADISTICA!C393</f>
        <v>THEVENET Y DIAGONAL GRANADEROS</v>
      </c>
      <c r="D394" s="51" t="str">
        <f>ESTADISTICA!D393</f>
        <v>DOMO</v>
      </c>
      <c r="E394" s="51" t="str">
        <f>ESTADISTICA!E393</f>
        <v>Radio</v>
      </c>
      <c r="F394" s="51">
        <f>ESTADISTICA!F393</f>
        <v>0</v>
      </c>
      <c r="G394" s="51">
        <f>ESTADISTICA!G393</f>
        <v>0</v>
      </c>
      <c r="H394" s="51">
        <f>ESTADISTICA!H393</f>
        <v>0</v>
      </c>
      <c r="I394" s="51">
        <f>ESTADISTICA!I393</f>
        <v>0</v>
      </c>
      <c r="J394" s="51">
        <f>ESTADISTICA!J393</f>
        <v>0</v>
      </c>
      <c r="K394" s="51">
        <f>ESTADISTICA!K393</f>
        <v>0</v>
      </c>
      <c r="L394" s="51">
        <f>ESTADISTICA!L393</f>
        <v>0</v>
      </c>
      <c r="M394" s="51">
        <f>ESTADISTICA!M393</f>
        <v>0</v>
      </c>
      <c r="N394" s="51">
        <f>ESTADISTICA!N393</f>
        <v>0</v>
      </c>
      <c r="O394" s="51">
        <f>ESTADISTICA!O393</f>
        <v>0</v>
      </c>
      <c r="P394" s="51">
        <f>ESTADISTICA!P393</f>
        <v>0</v>
      </c>
      <c r="Q394" s="51">
        <f>ESTADISTICA!Q393</f>
        <v>0</v>
      </c>
      <c r="R394" s="51">
        <f>ESTADISTICA!R393</f>
        <v>0</v>
      </c>
      <c r="S394" s="51">
        <f>ESTADISTICA!S393</f>
        <v>0</v>
      </c>
      <c r="T394" s="51">
        <f>ESTADISTICA!T393</f>
        <v>0</v>
      </c>
      <c r="U394" s="51">
        <f>ESTADISTICA!U393</f>
        <v>0</v>
      </c>
      <c r="V394" s="51">
        <f>ESTADISTICA!V393</f>
        <v>0</v>
      </c>
      <c r="W394" s="51">
        <f>ESTADISTICA!W393</f>
        <v>0</v>
      </c>
      <c r="X394" s="51">
        <f>ESTADISTICA!X393</f>
        <v>0</v>
      </c>
      <c r="Y394" s="51">
        <f>ESTADISTICA!Y393</f>
        <v>0</v>
      </c>
      <c r="Z394" s="51">
        <f>ESTADISTICA!Z393</f>
        <v>0</v>
      </c>
      <c r="AA394" s="51">
        <f>ESTADISTICA!AA393</f>
        <v>0</v>
      </c>
      <c r="AB394" s="51">
        <f>ESTADISTICA!AB393</f>
        <v>0</v>
      </c>
      <c r="AC394" s="51">
        <f>ESTADISTICA!AC393</f>
        <v>0</v>
      </c>
      <c r="AD394" s="51">
        <f>ESTADISTICA!AD393</f>
        <v>0</v>
      </c>
      <c r="AE394" s="51">
        <f>ESTADISTICA!AE393</f>
        <v>0</v>
      </c>
      <c r="AF394" s="51">
        <f>ESTADISTICA!AF393</f>
        <v>0</v>
      </c>
      <c r="AG394" s="51">
        <f>ESTADISTICA!AG393</f>
        <v>0</v>
      </c>
      <c r="AH394" s="51">
        <f>ESTADISTICA!AH393</f>
        <v>0</v>
      </c>
      <c r="AI394" s="51">
        <f>ESTADISTICA!AI393</f>
        <v>0</v>
      </c>
    </row>
    <row r="395" spans="1:35" x14ac:dyDescent="0.25">
      <c r="A395" s="51">
        <f>ESTADISTICA!A394</f>
        <v>0</v>
      </c>
      <c r="B395" s="51">
        <f>ESTADISTICA!B394</f>
        <v>0</v>
      </c>
      <c r="C395" s="51">
        <f>ESTADISTICA!C394</f>
        <v>0</v>
      </c>
      <c r="D395" s="51">
        <f>ESTADISTICA!D394</f>
        <v>0</v>
      </c>
      <c r="E395" s="51">
        <f>ESTADISTICA!E394</f>
        <v>0</v>
      </c>
      <c r="F395" s="51">
        <f>ESTADISTICA!F394</f>
        <v>0</v>
      </c>
      <c r="G395" s="51">
        <f>ESTADISTICA!G394</f>
        <v>0</v>
      </c>
      <c r="H395" s="51">
        <f>ESTADISTICA!H394</f>
        <v>0</v>
      </c>
      <c r="I395" s="51">
        <f>ESTADISTICA!I394</f>
        <v>0</v>
      </c>
      <c r="J395" s="51">
        <f>ESTADISTICA!J394</f>
        <v>0</v>
      </c>
      <c r="K395" s="51">
        <f>ESTADISTICA!K394</f>
        <v>0</v>
      </c>
      <c r="L395" s="51">
        <f>ESTADISTICA!L394</f>
        <v>0</v>
      </c>
      <c r="M395" s="51">
        <f>ESTADISTICA!M394</f>
        <v>0</v>
      </c>
      <c r="N395" s="51">
        <f>ESTADISTICA!N394</f>
        <v>0</v>
      </c>
      <c r="O395" s="51">
        <f>ESTADISTICA!O394</f>
        <v>0</v>
      </c>
      <c r="P395" s="51">
        <f>ESTADISTICA!P394</f>
        <v>0</v>
      </c>
      <c r="Q395" s="51">
        <f>ESTADISTICA!Q394</f>
        <v>0</v>
      </c>
      <c r="R395" s="51">
        <f>ESTADISTICA!R394</f>
        <v>0</v>
      </c>
      <c r="S395" s="51">
        <f>ESTADISTICA!S394</f>
        <v>0</v>
      </c>
      <c r="T395" s="51">
        <f>ESTADISTICA!T394</f>
        <v>0</v>
      </c>
      <c r="U395" s="51">
        <f>ESTADISTICA!U394</f>
        <v>0</v>
      </c>
      <c r="V395" s="51">
        <f>ESTADISTICA!V394</f>
        <v>0</v>
      </c>
      <c r="W395" s="51">
        <f>ESTADISTICA!W394</f>
        <v>0</v>
      </c>
      <c r="X395" s="51">
        <f>ESTADISTICA!X394</f>
        <v>0</v>
      </c>
      <c r="Y395" s="51">
        <f>ESTADISTICA!Y394</f>
        <v>0</v>
      </c>
      <c r="Z395" s="51">
        <f>ESTADISTICA!Z394</f>
        <v>0</v>
      </c>
      <c r="AA395" s="51">
        <f>ESTADISTICA!AA394</f>
        <v>0</v>
      </c>
      <c r="AB395" s="51">
        <f>ESTADISTICA!AB394</f>
        <v>0</v>
      </c>
      <c r="AC395" s="51">
        <f>ESTADISTICA!AC394</f>
        <v>0</v>
      </c>
      <c r="AD395" s="51">
        <f>ESTADISTICA!AD394</f>
        <v>0</v>
      </c>
      <c r="AE395" s="51">
        <f>ESTADISTICA!AE394</f>
        <v>0</v>
      </c>
      <c r="AF395" s="51">
        <f>ESTADISTICA!AF394</f>
        <v>0</v>
      </c>
      <c r="AG395" s="51">
        <f>ESTADISTICA!AG394</f>
        <v>0</v>
      </c>
      <c r="AH395" s="51">
        <f>ESTADISTICA!AH394</f>
        <v>0</v>
      </c>
      <c r="AI395" s="51">
        <f>ESTADISTICA!AI394</f>
        <v>0</v>
      </c>
    </row>
    <row r="396" spans="1:35" x14ac:dyDescent="0.25">
      <c r="A396" s="51">
        <f>ESTADISTICA!A395</f>
        <v>0</v>
      </c>
      <c r="B396" s="51">
        <f>ESTADISTICA!B395</f>
        <v>0</v>
      </c>
      <c r="C396" s="51">
        <f>ESTADISTICA!C395</f>
        <v>0</v>
      </c>
      <c r="D396" s="51">
        <f>ESTADISTICA!D395</f>
        <v>0</v>
      </c>
      <c r="E396" s="51">
        <f>ESTADISTICA!E395</f>
        <v>0</v>
      </c>
      <c r="F396" s="51">
        <f>ESTADISTICA!F395</f>
        <v>0</v>
      </c>
      <c r="G396" s="51">
        <f>ESTADISTICA!G395</f>
        <v>0</v>
      </c>
      <c r="H396" s="51">
        <f>ESTADISTICA!H395</f>
        <v>0</v>
      </c>
      <c r="I396" s="51">
        <f>ESTADISTICA!I395</f>
        <v>0</v>
      </c>
      <c r="J396" s="51">
        <f>ESTADISTICA!J395</f>
        <v>0</v>
      </c>
      <c r="K396" s="51">
        <f>ESTADISTICA!K395</f>
        <v>0</v>
      </c>
      <c r="L396" s="51">
        <f>ESTADISTICA!L395</f>
        <v>0</v>
      </c>
      <c r="M396" s="51">
        <f>ESTADISTICA!M395</f>
        <v>0</v>
      </c>
      <c r="N396" s="51">
        <f>ESTADISTICA!N395</f>
        <v>0</v>
      </c>
      <c r="O396" s="51">
        <f>ESTADISTICA!O395</f>
        <v>0</v>
      </c>
      <c r="P396" s="51">
        <f>ESTADISTICA!P395</f>
        <v>0</v>
      </c>
      <c r="Q396" s="51">
        <f>ESTADISTICA!Q395</f>
        <v>0</v>
      </c>
      <c r="R396" s="51">
        <f>ESTADISTICA!R395</f>
        <v>0</v>
      </c>
      <c r="S396" s="51">
        <f>ESTADISTICA!S395</f>
        <v>0</v>
      </c>
      <c r="T396" s="51">
        <f>ESTADISTICA!T395</f>
        <v>0</v>
      </c>
      <c r="U396" s="51">
        <f>ESTADISTICA!U395</f>
        <v>0</v>
      </c>
      <c r="V396" s="51">
        <f>ESTADISTICA!V395</f>
        <v>0</v>
      </c>
      <c r="W396" s="51">
        <f>ESTADISTICA!W395</f>
        <v>0</v>
      </c>
      <c r="X396" s="51">
        <f>ESTADISTICA!X395</f>
        <v>0</v>
      </c>
      <c r="Y396" s="51">
        <f>ESTADISTICA!Y395</f>
        <v>0</v>
      </c>
      <c r="Z396" s="51">
        <f>ESTADISTICA!Z395</f>
        <v>0</v>
      </c>
      <c r="AA396" s="51">
        <f>ESTADISTICA!AA395</f>
        <v>0</v>
      </c>
      <c r="AB396" s="51">
        <f>ESTADISTICA!AB395</f>
        <v>0</v>
      </c>
      <c r="AC396" s="51">
        <f>ESTADISTICA!AC395</f>
        <v>0</v>
      </c>
      <c r="AD396" s="51">
        <f>ESTADISTICA!AD395</f>
        <v>0</v>
      </c>
      <c r="AE396" s="51">
        <f>ESTADISTICA!AE395</f>
        <v>0</v>
      </c>
      <c r="AF396" s="51">
        <f>ESTADISTICA!AF395</f>
        <v>0</v>
      </c>
      <c r="AG396" s="51">
        <f>ESTADISTICA!AG395</f>
        <v>0</v>
      </c>
      <c r="AH396" s="51">
        <f>ESTADISTICA!AH395</f>
        <v>0</v>
      </c>
      <c r="AI396" s="51">
        <f>ESTADISTICA!AI395</f>
        <v>0</v>
      </c>
    </row>
    <row r="397" spans="1:35" x14ac:dyDescent="0.25">
      <c r="A397" s="51">
        <f>ESTADISTICA!A396</f>
        <v>0</v>
      </c>
      <c r="B397" s="51">
        <f>ESTADISTICA!B396</f>
        <v>0</v>
      </c>
      <c r="C397" s="51">
        <f>ESTADISTICA!C396</f>
        <v>0</v>
      </c>
      <c r="D397" s="51">
        <f>ESTADISTICA!D396</f>
        <v>0</v>
      </c>
      <c r="E397" s="51">
        <f>ESTADISTICA!E396</f>
        <v>0</v>
      </c>
      <c r="F397" s="51">
        <f>ESTADISTICA!F396</f>
        <v>0</v>
      </c>
      <c r="G397" s="51">
        <f>ESTADISTICA!G396</f>
        <v>0</v>
      </c>
      <c r="H397" s="51">
        <f>ESTADISTICA!H396</f>
        <v>0</v>
      </c>
      <c r="I397" s="51">
        <f>ESTADISTICA!I396</f>
        <v>0</v>
      </c>
      <c r="J397" s="51">
        <f>ESTADISTICA!J396</f>
        <v>0</v>
      </c>
      <c r="K397" s="51">
        <f>ESTADISTICA!K396</f>
        <v>0</v>
      </c>
      <c r="L397" s="51">
        <f>ESTADISTICA!L396</f>
        <v>0</v>
      </c>
      <c r="M397" s="51">
        <f>ESTADISTICA!M396</f>
        <v>0</v>
      </c>
      <c r="N397" s="51">
        <f>ESTADISTICA!N396</f>
        <v>0</v>
      </c>
      <c r="O397" s="51">
        <f>ESTADISTICA!O396</f>
        <v>0</v>
      </c>
      <c r="P397" s="51">
        <f>ESTADISTICA!P396</f>
        <v>0</v>
      </c>
      <c r="Q397" s="51">
        <f>ESTADISTICA!Q396</f>
        <v>0</v>
      </c>
      <c r="R397" s="51">
        <f>ESTADISTICA!R396</f>
        <v>0</v>
      </c>
      <c r="S397" s="51">
        <f>ESTADISTICA!S396</f>
        <v>0</v>
      </c>
      <c r="T397" s="51">
        <f>ESTADISTICA!T396</f>
        <v>0</v>
      </c>
      <c r="U397" s="51">
        <f>ESTADISTICA!U396</f>
        <v>0</v>
      </c>
      <c r="V397" s="51">
        <f>ESTADISTICA!V396</f>
        <v>0</v>
      </c>
      <c r="W397" s="51">
        <f>ESTADISTICA!W396</f>
        <v>0</v>
      </c>
      <c r="X397" s="51">
        <f>ESTADISTICA!X396</f>
        <v>0</v>
      </c>
      <c r="Y397" s="51">
        <f>ESTADISTICA!Y396</f>
        <v>0</v>
      </c>
      <c r="Z397" s="51">
        <f>ESTADISTICA!Z396</f>
        <v>0</v>
      </c>
      <c r="AA397" s="51">
        <f>ESTADISTICA!AA396</f>
        <v>0</v>
      </c>
      <c r="AB397" s="51">
        <f>ESTADISTICA!AB396</f>
        <v>0</v>
      </c>
      <c r="AC397" s="51">
        <f>ESTADISTICA!AC396</f>
        <v>0</v>
      </c>
      <c r="AD397" s="51">
        <f>ESTADISTICA!AD396</f>
        <v>0</v>
      </c>
      <c r="AE397" s="51">
        <f>ESTADISTICA!AE396</f>
        <v>0</v>
      </c>
      <c r="AF397" s="51">
        <f>ESTADISTICA!AF396</f>
        <v>0</v>
      </c>
      <c r="AG397" s="51">
        <f>ESTADISTICA!AG396</f>
        <v>0</v>
      </c>
      <c r="AH397" s="51">
        <f>ESTADISTICA!AH396</f>
        <v>0</v>
      </c>
      <c r="AI397" s="51">
        <f>ESTADISTICA!AI396</f>
        <v>0</v>
      </c>
    </row>
    <row r="398" spans="1:35" x14ac:dyDescent="0.25">
      <c r="A398" s="51">
        <f>ESTADISTICA!A397</f>
        <v>0</v>
      </c>
      <c r="B398" s="51">
        <f>ESTADISTICA!B397</f>
        <v>0</v>
      </c>
      <c r="C398" s="51">
        <f>ESTADISTICA!C397</f>
        <v>0</v>
      </c>
      <c r="D398" s="51">
        <f>ESTADISTICA!D397</f>
        <v>0</v>
      </c>
      <c r="E398" s="51">
        <f>ESTADISTICA!E397</f>
        <v>0</v>
      </c>
      <c r="F398" s="51">
        <f>ESTADISTICA!F397</f>
        <v>0</v>
      </c>
      <c r="G398" s="51">
        <f>ESTADISTICA!G397</f>
        <v>0</v>
      </c>
      <c r="H398" s="51">
        <f>ESTADISTICA!H397</f>
        <v>0</v>
      </c>
      <c r="I398" s="51">
        <f>ESTADISTICA!I397</f>
        <v>0</v>
      </c>
      <c r="J398" s="51">
        <f>ESTADISTICA!J397</f>
        <v>0</v>
      </c>
      <c r="K398" s="51">
        <f>ESTADISTICA!K397</f>
        <v>0</v>
      </c>
      <c r="L398" s="51">
        <f>ESTADISTICA!L397</f>
        <v>0</v>
      </c>
      <c r="M398" s="51">
        <f>ESTADISTICA!M397</f>
        <v>0</v>
      </c>
      <c r="N398" s="51">
        <f>ESTADISTICA!N397</f>
        <v>0</v>
      </c>
      <c r="O398" s="51">
        <f>ESTADISTICA!O397</f>
        <v>0</v>
      </c>
      <c r="P398" s="51">
        <f>ESTADISTICA!P397</f>
        <v>0</v>
      </c>
      <c r="Q398" s="51">
        <f>ESTADISTICA!Q397</f>
        <v>0</v>
      </c>
      <c r="R398" s="51">
        <f>ESTADISTICA!R397</f>
        <v>0</v>
      </c>
      <c r="S398" s="51">
        <f>ESTADISTICA!S397</f>
        <v>0</v>
      </c>
      <c r="T398" s="51">
        <f>ESTADISTICA!T397</f>
        <v>0</v>
      </c>
      <c r="U398" s="51">
        <f>ESTADISTICA!U397</f>
        <v>0</v>
      </c>
      <c r="V398" s="51">
        <f>ESTADISTICA!V397</f>
        <v>0</v>
      </c>
      <c r="W398" s="51">
        <f>ESTADISTICA!W397</f>
        <v>0</v>
      </c>
      <c r="X398" s="51">
        <f>ESTADISTICA!X397</f>
        <v>0</v>
      </c>
      <c r="Y398" s="51">
        <f>ESTADISTICA!Y397</f>
        <v>0</v>
      </c>
      <c r="Z398" s="51">
        <f>ESTADISTICA!Z397</f>
        <v>0</v>
      </c>
      <c r="AA398" s="51">
        <f>ESTADISTICA!AA397</f>
        <v>0</v>
      </c>
      <c r="AB398" s="51">
        <f>ESTADISTICA!AB397</f>
        <v>0</v>
      </c>
      <c r="AC398" s="51">
        <f>ESTADISTICA!AC397</f>
        <v>0</v>
      </c>
      <c r="AD398" s="51">
        <f>ESTADISTICA!AD397</f>
        <v>0</v>
      </c>
      <c r="AE398" s="51">
        <f>ESTADISTICA!AE397</f>
        <v>0</v>
      </c>
      <c r="AF398" s="51">
        <f>ESTADISTICA!AF397</f>
        <v>0</v>
      </c>
      <c r="AG398" s="51">
        <f>ESTADISTICA!AG397</f>
        <v>0</v>
      </c>
      <c r="AH398" s="51">
        <f>ESTADISTICA!AH397</f>
        <v>0</v>
      </c>
      <c r="AI398" s="51">
        <f>ESTADISTICA!AI397</f>
        <v>0</v>
      </c>
    </row>
    <row r="399" spans="1:35" x14ac:dyDescent="0.25">
      <c r="A399" s="51">
        <f>ESTADISTICA!A398</f>
        <v>0</v>
      </c>
      <c r="B399" s="51">
        <f>ESTADISTICA!B398</f>
        <v>0</v>
      </c>
      <c r="C399" s="51">
        <f>ESTADISTICA!C398</f>
        <v>0</v>
      </c>
      <c r="D399" s="51">
        <f>ESTADISTICA!D398</f>
        <v>0</v>
      </c>
      <c r="E399" s="51">
        <f>ESTADISTICA!E398</f>
        <v>0</v>
      </c>
      <c r="F399" s="51">
        <f>ESTADISTICA!F398</f>
        <v>0</v>
      </c>
      <c r="G399" s="51">
        <f>ESTADISTICA!G398</f>
        <v>0</v>
      </c>
      <c r="H399" s="51">
        <f>ESTADISTICA!H398</f>
        <v>0</v>
      </c>
      <c r="I399" s="51">
        <f>ESTADISTICA!I398</f>
        <v>0</v>
      </c>
      <c r="J399" s="51">
        <f>ESTADISTICA!J398</f>
        <v>0</v>
      </c>
      <c r="K399" s="51">
        <f>ESTADISTICA!K398</f>
        <v>0</v>
      </c>
      <c r="L399" s="51">
        <f>ESTADISTICA!L398</f>
        <v>0</v>
      </c>
      <c r="M399" s="51">
        <f>ESTADISTICA!M398</f>
        <v>0</v>
      </c>
      <c r="N399" s="51">
        <f>ESTADISTICA!N398</f>
        <v>0</v>
      </c>
      <c r="O399" s="51">
        <f>ESTADISTICA!O398</f>
        <v>0</v>
      </c>
      <c r="P399" s="51">
        <f>ESTADISTICA!P398</f>
        <v>0</v>
      </c>
      <c r="Q399" s="51">
        <f>ESTADISTICA!Q398</f>
        <v>0</v>
      </c>
      <c r="R399" s="51">
        <f>ESTADISTICA!R398</f>
        <v>0</v>
      </c>
      <c r="S399" s="51">
        <f>ESTADISTICA!S398</f>
        <v>0</v>
      </c>
      <c r="T399" s="51">
        <f>ESTADISTICA!T398</f>
        <v>0</v>
      </c>
      <c r="U399" s="51">
        <f>ESTADISTICA!U398</f>
        <v>0</v>
      </c>
      <c r="V399" s="51">
        <f>ESTADISTICA!V398</f>
        <v>0</v>
      </c>
      <c r="W399" s="51">
        <f>ESTADISTICA!W398</f>
        <v>0</v>
      </c>
      <c r="X399" s="51">
        <f>ESTADISTICA!X398</f>
        <v>0</v>
      </c>
      <c r="Y399" s="51">
        <f>ESTADISTICA!Y398</f>
        <v>0</v>
      </c>
      <c r="Z399" s="51">
        <f>ESTADISTICA!Z398</f>
        <v>0</v>
      </c>
      <c r="AA399" s="51">
        <f>ESTADISTICA!AA398</f>
        <v>0</v>
      </c>
      <c r="AB399" s="51">
        <f>ESTADISTICA!AB398</f>
        <v>0</v>
      </c>
      <c r="AC399" s="51">
        <f>ESTADISTICA!AC398</f>
        <v>0</v>
      </c>
      <c r="AD399" s="51">
        <f>ESTADISTICA!AD398</f>
        <v>0</v>
      </c>
      <c r="AE399" s="51">
        <f>ESTADISTICA!AE398</f>
        <v>0</v>
      </c>
      <c r="AF399" s="51">
        <f>ESTADISTICA!AF398</f>
        <v>0</v>
      </c>
      <c r="AG399" s="51">
        <f>ESTADISTICA!AG398</f>
        <v>0</v>
      </c>
      <c r="AH399" s="51">
        <f>ESTADISTICA!AH398</f>
        <v>0</v>
      </c>
      <c r="AI399" s="51">
        <f>ESTADISTICA!AI398</f>
        <v>0</v>
      </c>
    </row>
    <row r="400" spans="1:35" x14ac:dyDescent="0.25">
      <c r="A400" s="51">
        <f>ESTADISTICA!A399</f>
        <v>0</v>
      </c>
      <c r="B400" s="51">
        <f>ESTADISTICA!B399</f>
        <v>0</v>
      </c>
      <c r="C400" s="51">
        <f>ESTADISTICA!C399</f>
        <v>0</v>
      </c>
      <c r="D400" s="51">
        <f>ESTADISTICA!D399</f>
        <v>0</v>
      </c>
      <c r="E400" s="51">
        <f>ESTADISTICA!E399</f>
        <v>0</v>
      </c>
      <c r="F400" s="51">
        <f>ESTADISTICA!F399</f>
        <v>0</v>
      </c>
      <c r="G400" s="51">
        <f>ESTADISTICA!G399</f>
        <v>0</v>
      </c>
      <c r="H400" s="51">
        <f>ESTADISTICA!H399</f>
        <v>0</v>
      </c>
      <c r="I400" s="51">
        <f>ESTADISTICA!I399</f>
        <v>0</v>
      </c>
      <c r="J400" s="51">
        <f>ESTADISTICA!J399</f>
        <v>0</v>
      </c>
      <c r="K400" s="51">
        <f>ESTADISTICA!K399</f>
        <v>0</v>
      </c>
      <c r="L400" s="51">
        <f>ESTADISTICA!L399</f>
        <v>0</v>
      </c>
      <c r="M400" s="51">
        <f>ESTADISTICA!M399</f>
        <v>0</v>
      </c>
      <c r="N400" s="51">
        <f>ESTADISTICA!N399</f>
        <v>0</v>
      </c>
      <c r="O400" s="51">
        <f>ESTADISTICA!O399</f>
        <v>0</v>
      </c>
      <c r="P400" s="51">
        <f>ESTADISTICA!P399</f>
        <v>0</v>
      </c>
      <c r="Q400" s="51">
        <f>ESTADISTICA!Q399</f>
        <v>0</v>
      </c>
      <c r="R400" s="51">
        <f>ESTADISTICA!R399</f>
        <v>0</v>
      </c>
      <c r="S400" s="51">
        <f>ESTADISTICA!S399</f>
        <v>0</v>
      </c>
      <c r="T400" s="51">
        <f>ESTADISTICA!T399</f>
        <v>0</v>
      </c>
      <c r="U400" s="51">
        <f>ESTADISTICA!U399</f>
        <v>0</v>
      </c>
      <c r="V400" s="51">
        <f>ESTADISTICA!V399</f>
        <v>0</v>
      </c>
      <c r="W400" s="51">
        <f>ESTADISTICA!W399</f>
        <v>0</v>
      </c>
      <c r="X400" s="51">
        <f>ESTADISTICA!X399</f>
        <v>0</v>
      </c>
      <c r="Y400" s="51">
        <f>ESTADISTICA!Y399</f>
        <v>0</v>
      </c>
      <c r="Z400" s="51">
        <f>ESTADISTICA!Z399</f>
        <v>0</v>
      </c>
      <c r="AA400" s="51">
        <f>ESTADISTICA!AA399</f>
        <v>0</v>
      </c>
      <c r="AB400" s="51">
        <f>ESTADISTICA!AB399</f>
        <v>0</v>
      </c>
      <c r="AC400" s="51">
        <f>ESTADISTICA!AC399</f>
        <v>0</v>
      </c>
      <c r="AD400" s="51">
        <f>ESTADISTICA!AD399</f>
        <v>0</v>
      </c>
      <c r="AE400" s="51">
        <f>ESTADISTICA!AE399</f>
        <v>0</v>
      </c>
      <c r="AF400" s="51">
        <f>ESTADISTICA!AF399</f>
        <v>0</v>
      </c>
      <c r="AG400" s="51">
        <f>ESTADISTICA!AG399</f>
        <v>0</v>
      </c>
      <c r="AH400" s="51">
        <f>ESTADISTICA!AH399</f>
        <v>0</v>
      </c>
      <c r="AI400" s="51">
        <f>ESTADISTICA!AI399</f>
        <v>0</v>
      </c>
    </row>
    <row r="401" spans="1:35" x14ac:dyDescent="0.25">
      <c r="A401" s="51">
        <f>ESTADISTICA!A400</f>
        <v>0</v>
      </c>
      <c r="B401" s="51">
        <f>ESTADISTICA!B400</f>
        <v>0</v>
      </c>
      <c r="C401" s="51">
        <f>ESTADISTICA!C400</f>
        <v>0</v>
      </c>
      <c r="D401" s="51">
        <f>ESTADISTICA!D400</f>
        <v>0</v>
      </c>
      <c r="E401" s="51">
        <f>ESTADISTICA!E400</f>
        <v>0</v>
      </c>
      <c r="F401" s="51">
        <f>ESTADISTICA!F400</f>
        <v>0</v>
      </c>
      <c r="G401" s="51">
        <f>ESTADISTICA!G400</f>
        <v>0</v>
      </c>
      <c r="H401" s="51">
        <f>ESTADISTICA!H400</f>
        <v>0</v>
      </c>
      <c r="I401" s="51">
        <f>ESTADISTICA!I400</f>
        <v>0</v>
      </c>
      <c r="J401" s="51">
        <f>ESTADISTICA!J400</f>
        <v>0</v>
      </c>
      <c r="K401" s="51">
        <f>ESTADISTICA!K400</f>
        <v>0</v>
      </c>
      <c r="L401" s="51">
        <f>ESTADISTICA!L400</f>
        <v>0</v>
      </c>
      <c r="M401" s="51">
        <f>ESTADISTICA!M400</f>
        <v>0</v>
      </c>
      <c r="N401" s="51">
        <f>ESTADISTICA!N400</f>
        <v>0</v>
      </c>
      <c r="O401" s="51">
        <f>ESTADISTICA!O400</f>
        <v>0</v>
      </c>
      <c r="P401" s="51">
        <f>ESTADISTICA!P400</f>
        <v>0</v>
      </c>
      <c r="Q401" s="51">
        <f>ESTADISTICA!Q400</f>
        <v>0</v>
      </c>
      <c r="R401" s="51">
        <f>ESTADISTICA!R400</f>
        <v>0</v>
      </c>
      <c r="S401" s="51">
        <f>ESTADISTICA!S400</f>
        <v>0</v>
      </c>
      <c r="T401" s="51">
        <f>ESTADISTICA!T400</f>
        <v>0</v>
      </c>
      <c r="U401" s="51">
        <f>ESTADISTICA!U400</f>
        <v>0</v>
      </c>
      <c r="V401" s="51">
        <f>ESTADISTICA!V400</f>
        <v>0</v>
      </c>
      <c r="W401" s="51">
        <f>ESTADISTICA!W400</f>
        <v>0</v>
      </c>
      <c r="X401" s="51">
        <f>ESTADISTICA!X400</f>
        <v>0</v>
      </c>
      <c r="Y401" s="51">
        <f>ESTADISTICA!Y400</f>
        <v>0</v>
      </c>
      <c r="Z401" s="51">
        <f>ESTADISTICA!Z400</f>
        <v>0</v>
      </c>
      <c r="AA401" s="51">
        <f>ESTADISTICA!AA400</f>
        <v>0</v>
      </c>
      <c r="AB401" s="51">
        <f>ESTADISTICA!AB400</f>
        <v>0</v>
      </c>
      <c r="AC401" s="51">
        <f>ESTADISTICA!AC400</f>
        <v>0</v>
      </c>
      <c r="AD401" s="51">
        <f>ESTADISTICA!AD400</f>
        <v>0</v>
      </c>
      <c r="AE401" s="51">
        <f>ESTADISTICA!AE400</f>
        <v>0</v>
      </c>
      <c r="AF401" s="51">
        <f>ESTADISTICA!AF400</f>
        <v>0</v>
      </c>
      <c r="AG401" s="51">
        <f>ESTADISTICA!AG400</f>
        <v>0</v>
      </c>
      <c r="AH401" s="51">
        <f>ESTADISTICA!AH400</f>
        <v>0</v>
      </c>
      <c r="AI401" s="51">
        <f>ESTADISTICA!AI400</f>
        <v>0</v>
      </c>
    </row>
  </sheetData>
  <autoFilter ref="A2:AG379" xr:uid="{2CD2C71F-307D-4E12-901F-A6B69A40CA8C}"/>
  <conditionalFormatting sqref="F3:AI401">
    <cfRule type="cellIs" dxfId="142" priority="1" operator="equal">
      <formula>0</formula>
    </cfRule>
    <cfRule type="cellIs" dxfId="14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I400"/>
  <sheetViews>
    <sheetView workbookViewId="0">
      <pane xSplit="5" ySplit="8" topLeftCell="Y9" activePane="bottomRight" state="frozen"/>
      <selection pane="topRight" activeCell="F1" sqref="F1"/>
      <selection pane="bottomLeft" activeCell="A8" sqref="A8"/>
      <selection pane="bottomRight" activeCell="E377" sqref="E377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5" ht="18.75" x14ac:dyDescent="0.3">
      <c r="C1" s="48" t="s">
        <v>1190</v>
      </c>
      <c r="D1" s="49">
        <f>COUNTIFS(E4:E400,"=Fibra Optica")</f>
        <v>261</v>
      </c>
    </row>
    <row r="2" spans="1:35" ht="21" x14ac:dyDescent="0.35">
      <c r="E2" s="26" t="s">
        <v>821</v>
      </c>
      <c r="F2" s="26">
        <f>COUNTIFS(F4:F400, "=APAGADO",E4:E400,"=Fibra Optica")</f>
        <v>31</v>
      </c>
      <c r="G2" s="26">
        <f>COUNTIFS(G4:G400, "=APAGADO",E4:E400,"=Fibra Optica")</f>
        <v>35</v>
      </c>
      <c r="H2" s="26">
        <f>COUNTIFS(H4:H400, "=APAGADO",E4:E400,"=Fibra Optica")</f>
        <v>25</v>
      </c>
      <c r="I2" s="26">
        <f>COUNTIFS(I4:I400, "=APAGADO",E4:E400,"=Fibra Optica")</f>
        <v>28</v>
      </c>
      <c r="J2" s="26">
        <f>COUNTIFS(J4:J400, "=APAGADO",E4:E400,"=Fibra Optica")</f>
        <v>25</v>
      </c>
      <c r="K2" s="26">
        <f>COUNTIFS(K4:K400, "=APAGADO",E4:E400,"=Fibra Optica")</f>
        <v>44</v>
      </c>
      <c r="L2" s="26">
        <f>COUNTIFS(L4:L400, "=APAGADO",E4:E400,"=Fibra Optica")</f>
        <v>66</v>
      </c>
      <c r="M2" s="26">
        <f>COUNTIFS(M4:M400, "=APAGADO",E4:E400,"=Fibra Optica")</f>
        <v>0</v>
      </c>
      <c r="N2" s="26">
        <f>COUNTIFS(N4:N400, "=APAGADO",E4:E400,"=Fibra Optica")</f>
        <v>0</v>
      </c>
      <c r="O2" s="26">
        <f>COUNTIFS(O4:O400, "=APAGADO",E4:E400,"=Fibra Optica")</f>
        <v>0</v>
      </c>
      <c r="P2" s="26">
        <f>COUNTIFS(P4:P400, "=APAGADO",E4:E400,"=Fibra Optica")</f>
        <v>0</v>
      </c>
      <c r="Q2" s="26">
        <f>COUNTIFS(Q4:Q400, "=APAGADO",E4:E400,"=Fibra Optica")</f>
        <v>0</v>
      </c>
      <c r="R2" s="26">
        <f>COUNTIFS(R4:R400, "=APAGADO",E4:E400,"=Fibra Optica")</f>
        <v>0</v>
      </c>
      <c r="S2" s="26">
        <f>COUNTIFS(S4:S400, "=APAGADO",E4:E400,"=Fibra Optica")</f>
        <v>0</v>
      </c>
      <c r="T2" s="26">
        <f>COUNTIFS(T4:T400, "=APAGADO",E4:E400,"=Fibra Optica")</f>
        <v>0</v>
      </c>
      <c r="U2" s="26">
        <f>COUNTIFS(U4:U400, "=APAGADO",E4:E400,"=Fibra Optica")</f>
        <v>0</v>
      </c>
      <c r="V2" s="26">
        <f>COUNTIFS(V4:V400, "=APAGADO",E4:E400,"=Fibra Optica")</f>
        <v>0</v>
      </c>
      <c r="W2" s="26">
        <f>COUNTIFS(W4:W400, "=APAGADO",E4:E400,"=Fibra Optica")</f>
        <v>0</v>
      </c>
      <c r="X2" s="26">
        <f>COUNTIFS(X4:X400, "=APAGADO",E4:E400,"=Fibra Optica")</f>
        <v>0</v>
      </c>
      <c r="Y2" s="26">
        <f>COUNTIFS(Y4:Y400, "=APAGADO",E4:E400,"=Fibra Optica")</f>
        <v>0</v>
      </c>
      <c r="Z2" s="26">
        <f>COUNTIFS(Z4:Z400, "=APAGADO",E4:E400,"=Fibra Optica")</f>
        <v>0</v>
      </c>
      <c r="AA2" s="26">
        <f>COUNTIFS(AA4:AA400, "=APAGADO",E4:E400,"=Fibra Optica")</f>
        <v>0</v>
      </c>
      <c r="AB2" s="26">
        <f>COUNTIFS(AB4:AB400, "=APAGADO",E4:E400,"=Fibra Optica")</f>
        <v>0</v>
      </c>
      <c r="AC2" s="26">
        <f>COUNTIFS(AC4:AC400, "=APAGADO",E4:E400,"=Fibra Optica")</f>
        <v>0</v>
      </c>
      <c r="AD2" s="26">
        <f>COUNTIFS(AD4:AD400, "=APAGADO",E4:E400,"=Fibra Optica")</f>
        <v>0</v>
      </c>
      <c r="AE2" s="26">
        <f>COUNTIFS(AE4:AE400, "=APAGADO",E4:E400,"=Fibra Optica")</f>
        <v>0</v>
      </c>
      <c r="AF2" s="26">
        <f>COUNTIFS(AF4:AF400, "=APAGADO",E4:E400,"=Fibra Optica")</f>
        <v>0</v>
      </c>
      <c r="AG2" s="26">
        <f>COUNTIFS(AG4:AG400, "=APAGADO",E4:E400,"=Fibra Optica")</f>
        <v>0</v>
      </c>
      <c r="AH2" s="26">
        <f>COUNTIFS(AH4:AH400, "=APAGADO",E4:E400,"=Fibra Optica")</f>
        <v>0</v>
      </c>
      <c r="AI2" s="26">
        <f>COUNTIFS(AI4:AI400, "=APAGADO",E4:E400,"=Fibra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6">
        <f>ESTADISTICA!F1</f>
        <v>44774</v>
      </c>
      <c r="G3" s="56">
        <f>ESTADISTICA!G1</f>
        <v>44775</v>
      </c>
      <c r="H3" s="56">
        <f>ESTADISTICA!H1</f>
        <v>44776</v>
      </c>
      <c r="I3" s="56">
        <f>ESTADISTICA!I1</f>
        <v>44777</v>
      </c>
      <c r="J3" s="56">
        <f>ESTADISTICA!J1</f>
        <v>44778</v>
      </c>
      <c r="K3" s="56">
        <f>ESTADISTICA!K1</f>
        <v>44779</v>
      </c>
      <c r="L3" s="56">
        <f>ESTADISTICA!L1</f>
        <v>44780</v>
      </c>
      <c r="M3" s="56">
        <f>ESTADISTICA!M1</f>
        <v>44781</v>
      </c>
      <c r="N3" s="56">
        <f>ESTADISTICA!N1</f>
        <v>44782</v>
      </c>
      <c r="O3" s="56">
        <f>ESTADISTICA!O1</f>
        <v>44783</v>
      </c>
      <c r="P3" s="56">
        <f>ESTADISTICA!P1</f>
        <v>44784</v>
      </c>
      <c r="Q3" s="56">
        <f>ESTADISTICA!Q1</f>
        <v>44785</v>
      </c>
      <c r="R3" s="56">
        <f>ESTADISTICA!R1</f>
        <v>44786</v>
      </c>
      <c r="S3" s="56">
        <f>ESTADISTICA!S1</f>
        <v>44787</v>
      </c>
      <c r="T3" s="56">
        <f>ESTADISTICA!T1</f>
        <v>44788</v>
      </c>
      <c r="U3" s="56">
        <f>ESTADISTICA!U1</f>
        <v>44789</v>
      </c>
      <c r="V3" s="56">
        <f>ESTADISTICA!V1</f>
        <v>44790</v>
      </c>
      <c r="W3" s="56">
        <f>ESTADISTICA!W1</f>
        <v>44791</v>
      </c>
      <c r="X3" s="56">
        <f>ESTADISTICA!X1</f>
        <v>44792</v>
      </c>
      <c r="Y3" s="56">
        <f>ESTADISTICA!Y1</f>
        <v>44793</v>
      </c>
      <c r="Z3" s="56">
        <f>ESTADISTICA!Z1</f>
        <v>44794</v>
      </c>
      <c r="AA3" s="56">
        <f>ESTADISTICA!AA1</f>
        <v>44795</v>
      </c>
      <c r="AB3" s="56">
        <f>ESTADISTICA!AB1</f>
        <v>44796</v>
      </c>
      <c r="AC3" s="56">
        <f>ESTADISTICA!AC1</f>
        <v>44797</v>
      </c>
      <c r="AD3" s="56">
        <f>ESTADISTICA!AD1</f>
        <v>44798</v>
      </c>
      <c r="AE3" s="56">
        <f>ESTADISTICA!AE1</f>
        <v>44799</v>
      </c>
      <c r="AF3" s="56">
        <f>ESTADISTICA!AF1</f>
        <v>44800</v>
      </c>
      <c r="AG3" s="56">
        <f>ESTADISTICA!AG1</f>
        <v>44801</v>
      </c>
      <c r="AH3" s="56">
        <f>ESTADISTICA!AH1</f>
        <v>44802</v>
      </c>
      <c r="AI3" s="56">
        <f>ESTADISTICA!AI1</f>
        <v>44803</v>
      </c>
    </row>
    <row r="4" spans="1:35" hidden="1" x14ac:dyDescent="0.25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 t="str">
        <f>ESTADISTICA!L2</f>
        <v>APAGADO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 t="str">
        <f>ESTADISTICA!K3</f>
        <v>APAGADO</v>
      </c>
      <c r="L5" t="str">
        <f>ESTADISTICA!L3</f>
        <v>APAGADO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5" hidden="1" x14ac:dyDescent="0.25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 t="str">
        <f>ESTADISTICA!K4</f>
        <v>APAGADO</v>
      </c>
      <c r="L6" t="str">
        <f>ESTADISTICA!L4</f>
        <v>APAGADO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5" hidden="1" x14ac:dyDescent="0.25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 t="str">
        <f>ESTADISTICA!K5</f>
        <v>APAGADO</v>
      </c>
      <c r="L7" t="str">
        <f>ESTADISTICA!L5</f>
        <v>APAGADO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5" hidden="1" x14ac:dyDescent="0.25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 t="str">
        <f>ESTADISTICA!K6</f>
        <v>APAGADO</v>
      </c>
      <c r="L8" t="str">
        <f>ESTADISTICA!L6</f>
        <v>APAGADO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5" hidden="1" x14ac:dyDescent="0.25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5" hidden="1" x14ac:dyDescent="0.25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 t="str">
        <f>ESTADISTICA!G12</f>
        <v>APAGADO</v>
      </c>
      <c r="H14">
        <f>ESTADISTICA!H12</f>
        <v>0</v>
      </c>
      <c r="I14">
        <f>ESTADISTICA!I12</f>
        <v>0</v>
      </c>
      <c r="J14">
        <f>ESTADISTICA!J12</f>
        <v>0</v>
      </c>
      <c r="K14" t="str">
        <f>ESTADISTICA!K12</f>
        <v>APAGADO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 t="str">
        <f>ESTADISTICA!G13</f>
        <v>APAGADO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5" hidden="1" x14ac:dyDescent="0.25">
      <c r="A16" t="str">
        <f>ESTADISTICA!A14</f>
        <v>CENTRO</v>
      </c>
      <c r="B16" t="str">
        <f>ESTADISTICA!B14</f>
        <v>CEN 05</v>
      </c>
      <c r="C16" t="str">
        <f>ESTADISTICA!C14</f>
        <v>Bocuzzi e/EspaÃ±a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5" hidden="1" x14ac:dyDescent="0.25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25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5" hidden="1" x14ac:dyDescent="0.25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5" hidden="1" x14ac:dyDescent="0.25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 t="str">
        <f>ESTADISTICA!K23</f>
        <v>APAGADO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5" hidden="1" x14ac:dyDescent="0.25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5" hidden="1" x14ac:dyDescent="0.25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5" hidden="1" x14ac:dyDescent="0.25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5" hidden="1" x14ac:dyDescent="0.25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 t="str">
        <f>ESTADISTICA!I28</f>
        <v>APAGADO</v>
      </c>
      <c r="J30">
        <f>ESTADISTICA!J28</f>
        <v>0</v>
      </c>
      <c r="K30" t="str">
        <f>ESTADISTICA!K28</f>
        <v>APAGADO</v>
      </c>
      <c r="L30" t="str">
        <f>ESTADISTICA!L28</f>
        <v>APAGADO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5" hidden="1" x14ac:dyDescent="0.25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5" hidden="1" x14ac:dyDescent="0.25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 t="str">
        <f>ESTADISTICA!K31</f>
        <v>APAGADO</v>
      </c>
      <c r="L33" t="str">
        <f>ESTADISTICA!L31</f>
        <v>APAGADO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76</v>
      </c>
      <c r="C35" t="str">
        <f>ESTADISTICA!C33</f>
        <v>ESPAÃ‘A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CEN07</v>
      </c>
      <c r="C41" t="str">
        <f>ESTADISTICA!C39</f>
        <v>San Martin y GÃ¼emes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CEN08</v>
      </c>
      <c r="C42" t="str">
        <f>ESTADISTICA!C40</f>
        <v>San Martin y Pte.PerÃ³n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CEN10</v>
      </c>
      <c r="C44" t="str">
        <f>ESTADISTICA!C42</f>
        <v>Monteagudo y Pte. PerÃ³n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CEN14</v>
      </c>
      <c r="C46" t="str">
        <f>ESTADISTICA!C44</f>
        <v>Pte.PerÃ³n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5" hidden="1" x14ac:dyDescent="0.25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CEN24</v>
      </c>
      <c r="C56" t="str">
        <f>ESTADISTICA!C54</f>
        <v>Sallares y EspaÃ±a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5" hidden="1" x14ac:dyDescent="0.25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5" hidden="1" x14ac:dyDescent="0.25">
      <c r="A58" t="str">
        <f>ESTADISTICA!A56</f>
        <v>CENTRO</v>
      </c>
      <c r="B58" t="str">
        <f>ESTADISTICA!B56</f>
        <v>CEN26</v>
      </c>
      <c r="C58" t="str">
        <f>ESTADISTICA!C56</f>
        <v>Mitre y EspaÃ±a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CEN27</v>
      </c>
      <c r="C59" t="str">
        <f>ESTADISTICA!C57</f>
        <v>San Juan y EspaÃ±a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CEN32</v>
      </c>
      <c r="C64" t="str">
        <f>ESTADISTICA!C62</f>
        <v>Aristobulo del Valle y EspaÃ±a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 t="str">
        <f>ESTADISTICA!I64</f>
        <v>APAGADO</v>
      </c>
      <c r="J66" t="str">
        <f>ESTADISTICA!J64</f>
        <v>APAGADO</v>
      </c>
      <c r="K66" t="str">
        <f>ESTADISTICA!K64</f>
        <v>APAGADO</v>
      </c>
      <c r="L66" t="str">
        <f>ESTADISTICA!L64</f>
        <v>APAGADO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ESPAÃ‘A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5" hidden="1" x14ac:dyDescent="0.25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 t="str">
        <f>ESTADISTICA!H84</f>
        <v>APAGADO</v>
      </c>
      <c r="I86" t="str">
        <f>ESTADISTICA!I84</f>
        <v>APAGADO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5" hidden="1" x14ac:dyDescent="0.25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25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5" hidden="1" x14ac:dyDescent="0.25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5" hidden="1" x14ac:dyDescent="0.25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5" hidden="1" x14ac:dyDescent="0.25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5" hidden="1" x14ac:dyDescent="0.25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5" hidden="1" x14ac:dyDescent="0.25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5" hidden="1" x14ac:dyDescent="0.25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5" x14ac:dyDescent="0.25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25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25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5" hidden="1" x14ac:dyDescent="0.25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5" hidden="1" x14ac:dyDescent="0.25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5" hidden="1" x14ac:dyDescent="0.25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5" hidden="1" x14ac:dyDescent="0.25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25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25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5" hidden="1" x14ac:dyDescent="0.25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 t="str">
        <f>ESTADISTICA!F125</f>
        <v>APAGADO</v>
      </c>
      <c r="G127" t="str">
        <f>ESTADISTICA!G125</f>
        <v>APAGADO</v>
      </c>
      <c r="H127" t="str">
        <f>ESTADISTICA!H125</f>
        <v>APAGADO</v>
      </c>
      <c r="I127" t="str">
        <f>ESTADISTICA!I125</f>
        <v>APAGADO</v>
      </c>
      <c r="J127" t="str">
        <f>ESTADISTICA!J125</f>
        <v>APAGADO</v>
      </c>
      <c r="K127" t="str">
        <f>ESTADISTICA!K125</f>
        <v>APAGADO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5" hidden="1" x14ac:dyDescent="0.25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5" hidden="1" x14ac:dyDescent="0.25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5" hidden="1" x14ac:dyDescent="0.25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5" hidden="1" x14ac:dyDescent="0.25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5" hidden="1" x14ac:dyDescent="0.25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 t="str">
        <f>ESTADISTICA!L131</f>
        <v>APAGADO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5" hidden="1" x14ac:dyDescent="0.25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5" hidden="1" x14ac:dyDescent="0.25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5" hidden="1" x14ac:dyDescent="0.25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5" hidden="1" x14ac:dyDescent="0.25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5" hidden="1" x14ac:dyDescent="0.25">
      <c r="A143" t="str">
        <f>ESTADISTICA!A141</f>
        <v>CHACABUCO</v>
      </c>
      <c r="B143" t="str">
        <f>ESTADISTICA!B141</f>
        <v>LPI 01</v>
      </c>
      <c r="C143" t="str">
        <f>ESTADISTICA!C141</f>
        <v>MaipÃº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5" hidden="1" x14ac:dyDescent="0.25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LOPEZ ROMERO</v>
      </c>
      <c r="B151" t="str">
        <f>ESTADISTICA!B149</f>
        <v>LRO 09</v>
      </c>
      <c r="C151" t="str">
        <f>ESTADISTICA!C149</f>
        <v>Las AmÃ©ricas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 t="str">
        <f>ESTADISTICA!I154</f>
        <v>APAGADO</v>
      </c>
      <c r="J156" t="str">
        <f>ESTADISTICA!J154</f>
        <v>APAGADO</v>
      </c>
      <c r="K156" t="str">
        <f>ESTADISTICA!K154</f>
        <v>APAGADO</v>
      </c>
      <c r="L156" t="str">
        <f>ESTADISTICA!L154</f>
        <v>APAGADO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 t="str">
        <f>ESTADISTICA!I155</f>
        <v>APAGADO</v>
      </c>
      <c r="J157" t="str">
        <f>ESTADISTICA!J155</f>
        <v>APAGADO</v>
      </c>
      <c r="K157" t="str">
        <f>ESTADISTICA!K155</f>
        <v>APAGADO</v>
      </c>
      <c r="L157" t="str">
        <f>ESTADISTICA!L155</f>
        <v>APAGADO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 t="str">
        <f>ESTADISTICA!K157</f>
        <v>APAGADO</v>
      </c>
      <c r="L159" t="str">
        <f>ESTADISTICA!L157</f>
        <v>APAGADO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 t="str">
        <f>ESTADISTICA!F159</f>
        <v>APAGADO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 t="str">
        <f>ESTADISTICA!K159</f>
        <v>APAGADO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LUJAN</v>
      </c>
      <c r="B164" t="str">
        <f>ESTADISTICA!B162</f>
        <v>LUJ 01</v>
      </c>
      <c r="C164" t="str">
        <f>ESTADISTICA!C162</f>
        <v>Ã‘andu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5" hidden="1" x14ac:dyDescent="0.25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5" hidden="1" x14ac:dyDescent="0.25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 t="str">
        <f>ESTADISTICA!L165</f>
        <v>APAGADO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MAYOL</v>
      </c>
      <c r="B170" t="str">
        <f>ESTADISTICA!B168</f>
        <v>MAY 01</v>
      </c>
      <c r="C170" t="str">
        <f>ESTADISTICA!C168</f>
        <v>Eva PerÃ³n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MAYOL</v>
      </c>
      <c r="B172" t="str">
        <f>ESTADISTICA!B170</f>
        <v>MAY 03</v>
      </c>
      <c r="C172" t="str">
        <f>ESTADISTICA!C170</f>
        <v>CHAÃ‘AR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 t="str">
        <f>ESTADISTICA!K172</f>
        <v>APAGADO</v>
      </c>
      <c r="L174" t="str">
        <f>ESTADISTICA!L172</f>
        <v>APAGADO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 t="str">
        <f>ESTADISTICA!K173</f>
        <v>APAGADO</v>
      </c>
      <c r="L175" t="str">
        <f>ESTADISTICA!L173</f>
        <v>APAGADO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5" hidden="1" x14ac:dyDescent="0.25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 t="str">
        <f>ESTADISTICA!K174</f>
        <v>APAGADO</v>
      </c>
      <c r="L176" t="str">
        <f>ESTADISTICA!L174</f>
        <v>APAGADO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5" hidden="1" x14ac:dyDescent="0.25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5" hidden="1" x14ac:dyDescent="0.25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 t="str">
        <f>ESTADISTICA!K177</f>
        <v>APAGADO</v>
      </c>
      <c r="L179" t="str">
        <f>ESTADISTICA!L177</f>
        <v>APAGADO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5" hidden="1" x14ac:dyDescent="0.25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5" hidden="1" x14ac:dyDescent="0.25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5" hidden="1" x14ac:dyDescent="0.25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5" hidden="1" x14ac:dyDescent="0.25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 t="str">
        <f>ESTADISTICA!G196</f>
        <v>APAGADO</v>
      </c>
      <c r="H198">
        <f>ESTADISTICA!H196</f>
        <v>0</v>
      </c>
      <c r="I198">
        <f>ESTADISTICA!I196</f>
        <v>0</v>
      </c>
      <c r="J198">
        <f>ESTADISTICA!J196</f>
        <v>0</v>
      </c>
      <c r="K198" t="str">
        <f>ESTADISTICA!K196</f>
        <v>APAGADO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 t="str">
        <f>ESTADISTICA!G197</f>
        <v>APAGADO</v>
      </c>
      <c r="H199">
        <f>ESTADISTICA!H197</f>
        <v>0</v>
      </c>
      <c r="I199">
        <f>ESTADISTICA!I197</f>
        <v>0</v>
      </c>
      <c r="J199">
        <f>ESTADISTICA!J197</f>
        <v>0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 t="str">
        <f>ESTADISTICA!L203</f>
        <v>APAGADO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5" hidden="1" x14ac:dyDescent="0.25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5" hidden="1" x14ac:dyDescent="0.25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25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 t="str">
        <f>ESTADISTICA!F212</f>
        <v>APAGADO</v>
      </c>
      <c r="G214" t="str">
        <f>ESTADISTICA!G212</f>
        <v>APAGADO</v>
      </c>
      <c r="H214" t="str">
        <f>ESTADISTICA!H212</f>
        <v>APAGADO</v>
      </c>
      <c r="I214" t="str">
        <f>ESTADISTICA!I212</f>
        <v>APAGADO</v>
      </c>
      <c r="J214" t="str">
        <f>ESTADISTICA!J212</f>
        <v>APAGADO</v>
      </c>
      <c r="K214" t="str">
        <f>ESTADISTICA!K212</f>
        <v>APAGADO</v>
      </c>
      <c r="L214" t="str">
        <f>ESTADISTICA!L212</f>
        <v>APAGADO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25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25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25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>
        <f>ESTADISTICA!G222</f>
        <v>0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 t="str">
        <f>ESTADISTICA!L224</f>
        <v>APAGADO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 t="str">
        <f>ESTADISTICA!L225</f>
        <v>APAGADO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5" hidden="1" x14ac:dyDescent="0.25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 t="str">
        <f>ESTADISTICA!L228</f>
        <v>APAGADO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 t="str">
        <f>ESTADISTICA!L229</f>
        <v>APAGADO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 t="str">
        <f>ESTADISTICA!L230</f>
        <v>APAGADO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5" hidden="1" x14ac:dyDescent="0.25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 t="str">
        <f>ESTADISTICA!L231</f>
        <v>APAGADO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5" hidden="1" x14ac:dyDescent="0.25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 t="str">
        <f>ESTADISTICA!L232</f>
        <v>APAGADO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 t="str">
        <f>ESTADISTICA!L233</f>
        <v>APAGADO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 t="str">
        <f>ESTADISTICA!L234</f>
        <v>APAGADO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 t="str">
        <f>ESTADISTICA!L235</f>
        <v>APAGADO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5" hidden="1" x14ac:dyDescent="0.25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 t="str">
        <f>ESTADISTICA!L236</f>
        <v>APAGADO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 t="str">
        <f>ESTADISTICA!L237</f>
        <v>APAGADO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 t="str">
        <f>ESTADISTICA!L238</f>
        <v>APAGADO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 t="str">
        <f>ESTADISTICA!L239</f>
        <v>APAGADO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 t="str">
        <f>ESTADISTICA!K240</f>
        <v>APAGADO</v>
      </c>
      <c r="L242" t="str">
        <f>ESTADISTICA!L240</f>
        <v>APAGADO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25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 t="str">
        <f>ESTADISTICA!I241</f>
        <v>APAGADO</v>
      </c>
      <c r="J243" t="str">
        <f>ESTADISTICA!J241</f>
        <v>APAGADO</v>
      </c>
      <c r="K243" t="str">
        <f>ESTADISTICA!K241</f>
        <v>APAGADO</v>
      </c>
      <c r="L243" t="str">
        <f>ESTADISTICA!L241</f>
        <v>APAGADO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25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 t="str">
        <f>ESTADISTICA!I242</f>
        <v>APAGADO</v>
      </c>
      <c r="J244" t="str">
        <f>ESTADISTICA!J242</f>
        <v>APAGADO</v>
      </c>
      <c r="K244" t="str">
        <f>ESTADISTICA!K242</f>
        <v>APAGADO</v>
      </c>
      <c r="L244" t="str">
        <f>ESTADISTICA!L242</f>
        <v>APAGADO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5" hidden="1" x14ac:dyDescent="0.25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5" hidden="1" x14ac:dyDescent="0.25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5" hidden="1" x14ac:dyDescent="0.25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5" hidden="1" x14ac:dyDescent="0.25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 t="str">
        <f>ESTADISTICA!K249</f>
        <v>APAGADO</v>
      </c>
      <c r="L251" t="str">
        <f>ESTADISTICA!L249</f>
        <v>APAGADO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25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 t="str">
        <f>ESTADISTICA!K252</f>
        <v>APAGADO</v>
      </c>
      <c r="L254" t="str">
        <f>ESTADISTICA!L252</f>
        <v>APAGADO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5" hidden="1" x14ac:dyDescent="0.25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5" hidden="1" x14ac:dyDescent="0.25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5" hidden="1" x14ac:dyDescent="0.25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5" hidden="1" x14ac:dyDescent="0.25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5" hidden="1" x14ac:dyDescent="0.25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5" hidden="1" x14ac:dyDescent="0.25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5" hidden="1" x14ac:dyDescent="0.25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5" hidden="1" x14ac:dyDescent="0.25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5" hidden="1" x14ac:dyDescent="0.25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5" hidden="1" x14ac:dyDescent="0.25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5" hidden="1" x14ac:dyDescent="0.25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5" hidden="1" x14ac:dyDescent="0.25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5" hidden="1" x14ac:dyDescent="0.25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5" hidden="1" x14ac:dyDescent="0.25">
      <c r="A279" t="str">
        <f>ESTADISTICA!A277</f>
        <v>SAN JORGE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5" hidden="1" x14ac:dyDescent="0.25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5" hidden="1" x14ac:dyDescent="0.25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5" hidden="1" x14ac:dyDescent="0.25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5" x14ac:dyDescent="0.25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25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25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25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5" hidden="1" x14ac:dyDescent="0.25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5" hidden="1" x14ac:dyDescent="0.25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5" hidden="1" x14ac:dyDescent="0.25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5" hidden="1" x14ac:dyDescent="0.25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5" hidden="1" x14ac:dyDescent="0.25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5" hidden="1" x14ac:dyDescent="0.25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5" hidden="1" x14ac:dyDescent="0.25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 t="str">
        <f>ESTADISTICA!F299</f>
        <v>APAGADO</v>
      </c>
      <c r="G301" t="str">
        <f>ESTADISTICA!G299</f>
        <v>APAGADO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5" hidden="1" x14ac:dyDescent="0.25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5" hidden="1" x14ac:dyDescent="0.25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5" hidden="1" x14ac:dyDescent="0.25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5" hidden="1" x14ac:dyDescent="0.25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5" hidden="1" x14ac:dyDescent="0.25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 t="str">
        <f>ESTADISTICA!L309</f>
        <v>APAGADO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5" hidden="1" x14ac:dyDescent="0.25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 t="str">
        <f>ESTADISTICA!L310</f>
        <v>APAGADO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5" hidden="1" x14ac:dyDescent="0.25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5" hidden="1" x14ac:dyDescent="0.25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5" hidden="1" x14ac:dyDescent="0.25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5" hidden="1" x14ac:dyDescent="0.25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5" hidden="1" x14ac:dyDescent="0.25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 t="str">
        <f>ESTADISTICA!J324</f>
        <v>APAGADO</v>
      </c>
      <c r="K326" t="str">
        <f>ESTADISTICA!K324</f>
        <v>APAGADO</v>
      </c>
      <c r="L326" t="str">
        <f>ESTADISTICA!L324</f>
        <v>APAGADO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 t="str">
        <f>ESTADISTICA!K325</f>
        <v>APAGADO</v>
      </c>
      <c r="L327" t="str">
        <f>ESTADISTICA!L325</f>
        <v>APAGADO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 t="str">
        <f>ESTADISTICA!J332</f>
        <v>APAGADO</v>
      </c>
      <c r="K334" t="str">
        <f>ESTADISTICA!K332</f>
        <v>APAGADO</v>
      </c>
      <c r="L334" t="str">
        <f>ESTADISTICA!L332</f>
        <v>APAGADO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VATTEONE</v>
      </c>
      <c r="B337" t="str">
        <f>ESTADISTICA!B335</f>
        <v>VAT 17</v>
      </c>
      <c r="C337" t="str">
        <f>ESTADISTICA!C335</f>
        <v>CHAÃ‘AR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5" hidden="1" x14ac:dyDescent="0.25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5" hidden="1" x14ac:dyDescent="0.25">
      <c r="A342" t="str">
        <f>ESTADISTICA!A340</f>
        <v>VILLA VATTEONE CENTRO</v>
      </c>
      <c r="B342" t="str">
        <f>ESTADISTICA!B340</f>
        <v>VAT02</v>
      </c>
      <c r="C342" t="str">
        <f>ESTADISTICA!C340</f>
        <v>Eva PerÃ³n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5" hidden="1" x14ac:dyDescent="0.25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5" hidden="1" x14ac:dyDescent="0.25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 t="str">
        <f>ESTADISTICA!F345</f>
        <v>APAGADO</v>
      </c>
      <c r="G347">
        <f>ESTADISTICA!G345</f>
        <v>0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 t="str">
        <f>ESTADISTICA!K345</f>
        <v>APAGADO</v>
      </c>
      <c r="L347" t="str">
        <f>ESTADISTICA!L345</f>
        <v>APAGADO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5" hidden="1" x14ac:dyDescent="0.25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5" hidden="1" x14ac:dyDescent="0.25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 t="str">
        <f>ESTADISTICA!F353</f>
        <v>APAGADO</v>
      </c>
      <c r="G355">
        <f>ESTADISTICA!G353</f>
        <v>0</v>
      </c>
      <c r="H355" t="str">
        <f>ESTADISTICA!H353</f>
        <v>APAGADO</v>
      </c>
      <c r="I355" t="str">
        <f>ESTADISTICA!I353</f>
        <v>APAGADO</v>
      </c>
      <c r="J355">
        <f>ESTADISTICA!J353</f>
        <v>0</v>
      </c>
      <c r="K355" t="str">
        <f>ESTADISTICA!K353</f>
        <v>APAGADO</v>
      </c>
      <c r="L355" t="str">
        <f>ESTADISTICA!L353</f>
        <v>APAGADO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 t="str">
        <f>ESTADISTICA!F354</f>
        <v>APAGADO</v>
      </c>
      <c r="G356">
        <f>ESTADISTICA!G354</f>
        <v>0</v>
      </c>
      <c r="H356" t="str">
        <f>ESTADISTICA!H354</f>
        <v>APAGADO</v>
      </c>
      <c r="I356" t="str">
        <f>ESTADISTICA!I354</f>
        <v>APAGADO</v>
      </c>
      <c r="J356">
        <f>ESTADISTICA!J354</f>
        <v>0</v>
      </c>
      <c r="K356" t="str">
        <f>ESTADISTICA!K354</f>
        <v>APAGADO</v>
      </c>
      <c r="L356" t="str">
        <f>ESTADISTICA!L354</f>
        <v>APAGADO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25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>
        <f>ESTADISTICA!G358</f>
        <v>0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25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>
        <f>ESTADISTICA!G359</f>
        <v>0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5" hidden="1" x14ac:dyDescent="0.25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5" hidden="1" x14ac:dyDescent="0.25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5" hidden="1" x14ac:dyDescent="0.25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5" hidden="1" x14ac:dyDescent="0.25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5" hidden="1" x14ac:dyDescent="0.25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5" hidden="1" x14ac:dyDescent="0.25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 t="str">
        <f>ESTADISTICA!K367</f>
        <v>APAGADO</v>
      </c>
      <c r="L369" t="str">
        <f>ESTADISTICA!L367</f>
        <v>APAGADO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  <row r="370" spans="1:35" hidden="1" x14ac:dyDescent="0.25">
      <c r="A370" s="51" t="str">
        <f>ESTADISTICA!A368</f>
        <v>VILLA HUDSON</v>
      </c>
      <c r="B370" s="51" t="str">
        <f>ESTADISTICA!B368</f>
        <v>VHS 01</v>
      </c>
      <c r="C370" s="51" t="str">
        <f>ESTADISTICA!C368</f>
        <v>AV. HUDSON Y AV. LUJAN</v>
      </c>
      <c r="D370" s="51" t="str">
        <f>ESTADISTICA!D368</f>
        <v>DOMO</v>
      </c>
      <c r="E370" s="51" t="str">
        <f>ESTADISTICA!E368</f>
        <v>Fibra Optica</v>
      </c>
      <c r="F370" s="51">
        <f>ESTADISTICA!F368</f>
        <v>0</v>
      </c>
      <c r="G370" s="51">
        <f>ESTADISTICA!G368</f>
        <v>0</v>
      </c>
      <c r="H370" s="51">
        <f>ESTADISTICA!H368</f>
        <v>0</v>
      </c>
      <c r="I370" s="51">
        <f>ESTADISTICA!I368</f>
        <v>0</v>
      </c>
      <c r="J370" s="51">
        <f>ESTADISTICA!J368</f>
        <v>0</v>
      </c>
      <c r="K370" s="51">
        <f>ESTADISTICA!K368</f>
        <v>0</v>
      </c>
      <c r="L370" s="51" t="str">
        <f>ESTADISTICA!L368</f>
        <v>APAGADO</v>
      </c>
      <c r="M370" s="51">
        <f>ESTADISTICA!M368</f>
        <v>0</v>
      </c>
      <c r="N370" s="51">
        <f>ESTADISTICA!N368</f>
        <v>0</v>
      </c>
      <c r="O370" s="51">
        <f>ESTADISTICA!O368</f>
        <v>0</v>
      </c>
      <c r="P370" s="51">
        <f>ESTADISTICA!P368</f>
        <v>0</v>
      </c>
      <c r="Q370" s="51">
        <f>ESTADISTICA!Q368</f>
        <v>0</v>
      </c>
      <c r="R370" s="51">
        <f>ESTADISTICA!R368</f>
        <v>0</v>
      </c>
      <c r="S370" s="51">
        <f>ESTADISTICA!S368</f>
        <v>0</v>
      </c>
      <c r="T370" s="51">
        <f>ESTADISTICA!T368</f>
        <v>0</v>
      </c>
      <c r="U370" s="51">
        <f>ESTADISTICA!U368</f>
        <v>0</v>
      </c>
      <c r="V370" s="51">
        <f>ESTADISTICA!V368</f>
        <v>0</v>
      </c>
      <c r="W370" s="51">
        <f>ESTADISTICA!W368</f>
        <v>0</v>
      </c>
      <c r="X370" s="51">
        <f>ESTADISTICA!X368</f>
        <v>0</v>
      </c>
      <c r="Y370" s="51">
        <f>ESTADISTICA!Y368</f>
        <v>0</v>
      </c>
      <c r="Z370" s="51">
        <f>ESTADISTICA!Z368</f>
        <v>0</v>
      </c>
      <c r="AA370" s="51">
        <f>ESTADISTICA!AA368</f>
        <v>0</v>
      </c>
      <c r="AB370" s="51">
        <f>ESTADISTICA!AB368</f>
        <v>0</v>
      </c>
      <c r="AC370" s="51">
        <f>ESTADISTICA!AC368</f>
        <v>0</v>
      </c>
      <c r="AD370" s="51">
        <f>ESTADISTICA!AD368</f>
        <v>0</v>
      </c>
      <c r="AE370" s="51">
        <f>ESTADISTICA!AE368</f>
        <v>0</v>
      </c>
      <c r="AF370" s="51">
        <f>ESTADISTICA!AF368</f>
        <v>0</v>
      </c>
      <c r="AG370" s="51">
        <f>ESTADISTICA!AG368</f>
        <v>0</v>
      </c>
      <c r="AH370" s="51"/>
      <c r="AI370" s="51"/>
    </row>
    <row r="371" spans="1:35" hidden="1" x14ac:dyDescent="0.25">
      <c r="A371" s="51" t="str">
        <f>ESTADISTICA!A369</f>
        <v>VILLA HUDSON</v>
      </c>
      <c r="B371" s="51" t="str">
        <f>ESTADISTICA!B369</f>
        <v>VHS 02</v>
      </c>
      <c r="C371" s="51" t="str">
        <f>ESTADISTICA!C369</f>
        <v>AV. LUJAN Y CALLE 909 A</v>
      </c>
      <c r="D371" s="51" t="str">
        <f>ESTADISTICA!D369</f>
        <v>DOMO</v>
      </c>
      <c r="E371" s="51" t="str">
        <f>ESTADISTICA!E369</f>
        <v>Fibra Optica</v>
      </c>
      <c r="F371" s="51">
        <f>ESTADISTICA!F369</f>
        <v>0</v>
      </c>
      <c r="G371" s="51">
        <f>ESTADISTICA!G369</f>
        <v>0</v>
      </c>
      <c r="H371" s="51">
        <f>ESTADISTICA!H369</f>
        <v>0</v>
      </c>
      <c r="I371" s="51">
        <f>ESTADISTICA!I369</f>
        <v>0</v>
      </c>
      <c r="J371" s="51">
        <f>ESTADISTICA!J369</f>
        <v>0</v>
      </c>
      <c r="K371" s="51">
        <f>ESTADISTICA!K369</f>
        <v>0</v>
      </c>
      <c r="L371" s="51" t="str">
        <f>ESTADISTICA!L369</f>
        <v>APAGADO</v>
      </c>
      <c r="M371" s="51">
        <f>ESTADISTICA!M369</f>
        <v>0</v>
      </c>
      <c r="N371" s="51">
        <f>ESTADISTICA!N369</f>
        <v>0</v>
      </c>
      <c r="O371" s="51">
        <f>ESTADISTICA!O369</f>
        <v>0</v>
      </c>
      <c r="P371" s="51">
        <f>ESTADISTICA!P369</f>
        <v>0</v>
      </c>
      <c r="Q371" s="51">
        <f>ESTADISTICA!Q369</f>
        <v>0</v>
      </c>
      <c r="R371" s="51">
        <f>ESTADISTICA!R369</f>
        <v>0</v>
      </c>
      <c r="S371" s="51">
        <f>ESTADISTICA!S369</f>
        <v>0</v>
      </c>
      <c r="T371" s="51">
        <f>ESTADISTICA!T369</f>
        <v>0</v>
      </c>
      <c r="U371" s="51">
        <f>ESTADISTICA!U369</f>
        <v>0</v>
      </c>
      <c r="V371" s="51">
        <f>ESTADISTICA!V369</f>
        <v>0</v>
      </c>
      <c r="W371" s="51">
        <f>ESTADISTICA!W369</f>
        <v>0</v>
      </c>
      <c r="X371" s="51">
        <f>ESTADISTICA!X369</f>
        <v>0</v>
      </c>
      <c r="Y371" s="51">
        <f>ESTADISTICA!Y369</f>
        <v>0</v>
      </c>
      <c r="Z371" s="51">
        <f>ESTADISTICA!Z369</f>
        <v>0</v>
      </c>
      <c r="AA371" s="51">
        <f>ESTADISTICA!AA369</f>
        <v>0</v>
      </c>
      <c r="AB371" s="51">
        <f>ESTADISTICA!AB369</f>
        <v>0</v>
      </c>
      <c r="AC371" s="51">
        <f>ESTADISTICA!AC369</f>
        <v>0</v>
      </c>
      <c r="AD371" s="51">
        <f>ESTADISTICA!AD369</f>
        <v>0</v>
      </c>
      <c r="AE371" s="51">
        <f>ESTADISTICA!AE369</f>
        <v>0</v>
      </c>
      <c r="AF371" s="51">
        <f>ESTADISTICA!AF369</f>
        <v>0</v>
      </c>
      <c r="AG371" s="51">
        <f>ESTADISTICA!AG369</f>
        <v>0</v>
      </c>
      <c r="AH371" s="51"/>
      <c r="AI371" s="51"/>
    </row>
    <row r="372" spans="1:35" hidden="1" x14ac:dyDescent="0.25">
      <c r="A372" s="51" t="str">
        <f>ESTADISTICA!A370</f>
        <v>VILLA HUDSON</v>
      </c>
      <c r="B372" s="51" t="str">
        <f>ESTADISTICA!B370</f>
        <v>VHS 03 (fija 1)</v>
      </c>
      <c r="C372" s="51" t="str">
        <f>ESTADISTICA!C370</f>
        <v>AV. HUDSON Y LOS INMIGRANTES</v>
      </c>
      <c r="D372" s="51" t="str">
        <f>ESTADISTICA!D370</f>
        <v>Fija</v>
      </c>
      <c r="E372" s="51" t="str">
        <f>ESTADISTICA!E370</f>
        <v>Fibra Optica</v>
      </c>
      <c r="F372" s="51">
        <f>ESTADISTICA!F370</f>
        <v>0</v>
      </c>
      <c r="G372" s="51">
        <f>ESTADISTICA!G370</f>
        <v>0</v>
      </c>
      <c r="H372" s="51">
        <f>ESTADISTICA!H370</f>
        <v>0</v>
      </c>
      <c r="I372" s="51">
        <f>ESTADISTICA!I370</f>
        <v>0</v>
      </c>
      <c r="J372" s="51">
        <f>ESTADISTICA!J370</f>
        <v>0</v>
      </c>
      <c r="K372" s="51">
        <f>ESTADISTICA!K370</f>
        <v>0</v>
      </c>
      <c r="L372" s="51" t="str">
        <f>ESTADISTICA!L370</f>
        <v>APAGADO</v>
      </c>
      <c r="M372" s="51">
        <f>ESTADISTICA!M370</f>
        <v>0</v>
      </c>
      <c r="N372" s="51">
        <f>ESTADISTICA!N370</f>
        <v>0</v>
      </c>
      <c r="O372" s="51">
        <f>ESTADISTICA!O370</f>
        <v>0</v>
      </c>
      <c r="P372" s="51">
        <f>ESTADISTICA!P370</f>
        <v>0</v>
      </c>
      <c r="Q372" s="51">
        <f>ESTADISTICA!Q370</f>
        <v>0</v>
      </c>
      <c r="R372" s="51">
        <f>ESTADISTICA!R370</f>
        <v>0</v>
      </c>
      <c r="S372" s="51">
        <f>ESTADISTICA!S370</f>
        <v>0</v>
      </c>
      <c r="T372" s="51">
        <f>ESTADISTICA!T370</f>
        <v>0</v>
      </c>
      <c r="U372" s="51">
        <f>ESTADISTICA!U370</f>
        <v>0</v>
      </c>
      <c r="V372" s="51">
        <f>ESTADISTICA!V370</f>
        <v>0</v>
      </c>
      <c r="W372" s="51">
        <f>ESTADISTICA!W370</f>
        <v>0</v>
      </c>
      <c r="X372" s="51">
        <f>ESTADISTICA!X370</f>
        <v>0</v>
      </c>
      <c r="Y372" s="51">
        <f>ESTADISTICA!Y370</f>
        <v>0</v>
      </c>
      <c r="Z372" s="51">
        <f>ESTADISTICA!Z370</f>
        <v>0</v>
      </c>
      <c r="AA372" s="51">
        <f>ESTADISTICA!AA370</f>
        <v>0</v>
      </c>
      <c r="AB372" s="51">
        <f>ESTADISTICA!AB370</f>
        <v>0</v>
      </c>
      <c r="AC372" s="51">
        <f>ESTADISTICA!AC370</f>
        <v>0</v>
      </c>
      <c r="AD372" s="51">
        <f>ESTADISTICA!AD370</f>
        <v>0</v>
      </c>
      <c r="AE372" s="51">
        <f>ESTADISTICA!AE370</f>
        <v>0</v>
      </c>
      <c r="AF372" s="51">
        <f>ESTADISTICA!AF370</f>
        <v>0</v>
      </c>
      <c r="AG372" s="51">
        <f>ESTADISTICA!AG370</f>
        <v>0</v>
      </c>
      <c r="AH372" s="51"/>
      <c r="AI372" s="51"/>
    </row>
    <row r="373" spans="1:35" hidden="1" x14ac:dyDescent="0.25">
      <c r="A373" s="51" t="str">
        <f>ESTADISTICA!A371</f>
        <v>VILLA HUDSON</v>
      </c>
      <c r="B373" s="51" t="str">
        <f>ESTADISTICA!B371</f>
        <v>VHS 04 (fija 2)</v>
      </c>
      <c r="C373" s="51" t="str">
        <f>ESTADISTICA!C371</f>
        <v>AV. HUDSON Y LOS INMIGRANTES</v>
      </c>
      <c r="D373" s="51" t="str">
        <f>ESTADISTICA!D371</f>
        <v>Fija</v>
      </c>
      <c r="E373" s="51" t="str">
        <f>ESTADISTICA!E371</f>
        <v>Fibra Optica</v>
      </c>
      <c r="F373" s="51">
        <f>ESTADISTICA!F371</f>
        <v>0</v>
      </c>
      <c r="G373" s="51">
        <f>ESTADISTICA!G371</f>
        <v>0</v>
      </c>
      <c r="H373" s="51">
        <f>ESTADISTICA!H371</f>
        <v>0</v>
      </c>
      <c r="I373" s="51">
        <f>ESTADISTICA!I371</f>
        <v>0</v>
      </c>
      <c r="J373" s="51">
        <f>ESTADISTICA!J371</f>
        <v>0</v>
      </c>
      <c r="K373" s="51">
        <f>ESTADISTICA!K371</f>
        <v>0</v>
      </c>
      <c r="L373" s="51" t="str">
        <f>ESTADISTICA!L371</f>
        <v>APAGADO</v>
      </c>
      <c r="M373" s="51">
        <f>ESTADISTICA!M371</f>
        <v>0</v>
      </c>
      <c r="N373" s="51">
        <f>ESTADISTICA!N371</f>
        <v>0</v>
      </c>
      <c r="O373" s="51">
        <f>ESTADISTICA!O371</f>
        <v>0</v>
      </c>
      <c r="P373" s="51">
        <f>ESTADISTICA!P371</f>
        <v>0</v>
      </c>
      <c r="Q373" s="51">
        <f>ESTADISTICA!Q371</f>
        <v>0</v>
      </c>
      <c r="R373" s="51">
        <f>ESTADISTICA!R371</f>
        <v>0</v>
      </c>
      <c r="S373" s="51">
        <f>ESTADISTICA!S371</f>
        <v>0</v>
      </c>
      <c r="T373" s="51">
        <f>ESTADISTICA!T371</f>
        <v>0</v>
      </c>
      <c r="U373" s="51">
        <f>ESTADISTICA!U371</f>
        <v>0</v>
      </c>
      <c r="V373" s="51">
        <f>ESTADISTICA!V371</f>
        <v>0</v>
      </c>
      <c r="W373" s="51">
        <f>ESTADISTICA!W371</f>
        <v>0</v>
      </c>
      <c r="X373" s="51">
        <f>ESTADISTICA!X371</f>
        <v>0</v>
      </c>
      <c r="Y373" s="51">
        <f>ESTADISTICA!Y371</f>
        <v>0</v>
      </c>
      <c r="Z373" s="51">
        <f>ESTADISTICA!Z371</f>
        <v>0</v>
      </c>
      <c r="AA373" s="51">
        <f>ESTADISTICA!AA371</f>
        <v>0</v>
      </c>
      <c r="AB373" s="51">
        <f>ESTADISTICA!AB371</f>
        <v>0</v>
      </c>
      <c r="AC373" s="51">
        <f>ESTADISTICA!AC371</f>
        <v>0</v>
      </c>
      <c r="AD373" s="51">
        <f>ESTADISTICA!AD371</f>
        <v>0</v>
      </c>
      <c r="AE373" s="51">
        <f>ESTADISTICA!AE371</f>
        <v>0</v>
      </c>
      <c r="AF373" s="51">
        <f>ESTADISTICA!AF371</f>
        <v>0</v>
      </c>
      <c r="AG373" s="51">
        <f>ESTADISTICA!AG371</f>
        <v>0</v>
      </c>
      <c r="AH373" s="51"/>
      <c r="AI373" s="51"/>
    </row>
    <row r="374" spans="1:35" hidden="1" x14ac:dyDescent="0.25">
      <c r="A374" s="51" t="str">
        <f>ESTADISTICA!A372</f>
        <v>VILLA ARIAS</v>
      </c>
      <c r="B374" s="51" t="str">
        <f>ESTADISTICA!B372</f>
        <v>VLA 01 (fija 1)</v>
      </c>
      <c r="C374" s="51" t="str">
        <f>ESTADISTICA!C372</f>
        <v>820 Y SOLER</v>
      </c>
      <c r="D374" s="51" t="str">
        <f>ESTADISTICA!D372</f>
        <v>Fija</v>
      </c>
      <c r="E374" s="51" t="str">
        <f>ESTADISTICA!E372</f>
        <v>Fibra Optica</v>
      </c>
      <c r="F374" s="51">
        <f>ESTADISTICA!F372</f>
        <v>0</v>
      </c>
      <c r="G374" s="51">
        <f>ESTADISTICA!G372</f>
        <v>0</v>
      </c>
      <c r="H374" s="51">
        <f>ESTADISTICA!H372</f>
        <v>0</v>
      </c>
      <c r="I374" s="51">
        <f>ESTADISTICA!I372</f>
        <v>0</v>
      </c>
      <c r="J374" s="51">
        <f>ESTADISTICA!J372</f>
        <v>0</v>
      </c>
      <c r="K374" s="51">
        <f>ESTADISTICA!K372</f>
        <v>0</v>
      </c>
      <c r="L374" s="51">
        <f>ESTADISTICA!L372</f>
        <v>0</v>
      </c>
      <c r="M374" s="51">
        <f>ESTADISTICA!M372</f>
        <v>0</v>
      </c>
      <c r="N374" s="51">
        <f>ESTADISTICA!N372</f>
        <v>0</v>
      </c>
      <c r="O374" s="51">
        <f>ESTADISTICA!O372</f>
        <v>0</v>
      </c>
      <c r="P374" s="51">
        <f>ESTADISTICA!P372</f>
        <v>0</v>
      </c>
      <c r="Q374" s="51">
        <f>ESTADISTICA!Q372</f>
        <v>0</v>
      </c>
      <c r="R374" s="51">
        <f>ESTADISTICA!R372</f>
        <v>0</v>
      </c>
      <c r="S374" s="51">
        <f>ESTADISTICA!S372</f>
        <v>0</v>
      </c>
      <c r="T374" s="51">
        <f>ESTADISTICA!T372</f>
        <v>0</v>
      </c>
      <c r="U374" s="51">
        <f>ESTADISTICA!U372</f>
        <v>0</v>
      </c>
      <c r="V374" s="51">
        <f>ESTADISTICA!V372</f>
        <v>0</v>
      </c>
      <c r="W374" s="51">
        <f>ESTADISTICA!W372</f>
        <v>0</v>
      </c>
      <c r="X374" s="51">
        <f>ESTADISTICA!X372</f>
        <v>0</v>
      </c>
      <c r="Y374" s="51">
        <f>ESTADISTICA!Y372</f>
        <v>0</v>
      </c>
      <c r="Z374" s="51">
        <f>ESTADISTICA!Z372</f>
        <v>0</v>
      </c>
      <c r="AA374" s="51">
        <f>ESTADISTICA!AA372</f>
        <v>0</v>
      </c>
      <c r="AB374" s="51">
        <f>ESTADISTICA!AB372</f>
        <v>0</v>
      </c>
      <c r="AC374" s="51">
        <f>ESTADISTICA!AC372</f>
        <v>0</v>
      </c>
      <c r="AD374" s="51">
        <f>ESTADISTICA!AD372</f>
        <v>0</v>
      </c>
      <c r="AE374" s="51">
        <f>ESTADISTICA!AE372</f>
        <v>0</v>
      </c>
      <c r="AF374" s="51">
        <f>ESTADISTICA!AF372</f>
        <v>0</v>
      </c>
      <c r="AG374" s="51">
        <f>ESTADISTICA!AG372</f>
        <v>0</v>
      </c>
      <c r="AH374" s="51"/>
      <c r="AI374" s="51"/>
    </row>
    <row r="375" spans="1:35" hidden="1" x14ac:dyDescent="0.25">
      <c r="A375" s="51" t="str">
        <f>ESTADISTICA!A373</f>
        <v>VILLA ARIAS</v>
      </c>
      <c r="B375" s="51" t="str">
        <f>ESTADISTICA!B373</f>
        <v>VLA 02</v>
      </c>
      <c r="C375" s="51" t="str">
        <f>ESTADISTICA!C373</f>
        <v>ESPORA Y HUDSON</v>
      </c>
      <c r="D375" s="51" t="str">
        <f>ESTADISTICA!D373</f>
        <v>DOMO</v>
      </c>
      <c r="E375" s="51" t="str">
        <f>ESTADISTICA!E373</f>
        <v>Fibra Optica</v>
      </c>
      <c r="F375" s="51">
        <f>ESTADISTICA!F373</f>
        <v>0</v>
      </c>
      <c r="G375" s="51">
        <f>ESTADISTICA!G373</f>
        <v>0</v>
      </c>
      <c r="H375" s="51">
        <f>ESTADISTICA!H373</f>
        <v>0</v>
      </c>
      <c r="I375" s="51">
        <f>ESTADISTICA!I373</f>
        <v>0</v>
      </c>
      <c r="J375" s="51">
        <f>ESTADISTICA!J373</f>
        <v>0</v>
      </c>
      <c r="K375" s="51">
        <f>ESTADISTICA!K373</f>
        <v>0</v>
      </c>
      <c r="L375" s="51">
        <f>ESTADISTICA!L373</f>
        <v>0</v>
      </c>
      <c r="M375" s="51">
        <f>ESTADISTICA!M373</f>
        <v>0</v>
      </c>
      <c r="N375" s="51">
        <f>ESTADISTICA!N373</f>
        <v>0</v>
      </c>
      <c r="O375" s="51">
        <f>ESTADISTICA!O373</f>
        <v>0</v>
      </c>
      <c r="P375" s="51">
        <f>ESTADISTICA!P373</f>
        <v>0</v>
      </c>
      <c r="Q375" s="51">
        <f>ESTADISTICA!Q373</f>
        <v>0</v>
      </c>
      <c r="R375" s="51">
        <f>ESTADISTICA!R373</f>
        <v>0</v>
      </c>
      <c r="S375" s="51">
        <f>ESTADISTICA!S373</f>
        <v>0</v>
      </c>
      <c r="T375" s="51">
        <f>ESTADISTICA!T373</f>
        <v>0</v>
      </c>
      <c r="U375" s="51">
        <f>ESTADISTICA!U373</f>
        <v>0</v>
      </c>
      <c r="V375" s="51">
        <f>ESTADISTICA!V373</f>
        <v>0</v>
      </c>
      <c r="W375" s="51">
        <f>ESTADISTICA!W373</f>
        <v>0</v>
      </c>
      <c r="X375" s="51">
        <f>ESTADISTICA!X373</f>
        <v>0</v>
      </c>
      <c r="Y375" s="51">
        <f>ESTADISTICA!Y373</f>
        <v>0</v>
      </c>
      <c r="Z375" s="51">
        <f>ESTADISTICA!Z373</f>
        <v>0</v>
      </c>
      <c r="AA375" s="51">
        <f>ESTADISTICA!AA373</f>
        <v>0</v>
      </c>
      <c r="AB375" s="51">
        <f>ESTADISTICA!AB373</f>
        <v>0</v>
      </c>
      <c r="AC375" s="51">
        <f>ESTADISTICA!AC373</f>
        <v>0</v>
      </c>
      <c r="AD375" s="51">
        <f>ESTADISTICA!AD373</f>
        <v>0</v>
      </c>
      <c r="AE375" s="51">
        <f>ESTADISTICA!AE373</f>
        <v>0</v>
      </c>
      <c r="AF375" s="51">
        <f>ESTADISTICA!AF373</f>
        <v>0</v>
      </c>
      <c r="AG375" s="51">
        <f>ESTADISTICA!AG373</f>
        <v>0</v>
      </c>
      <c r="AH375" s="51"/>
      <c r="AI375" s="51"/>
    </row>
    <row r="376" spans="1:35" hidden="1" x14ac:dyDescent="0.25">
      <c r="A376" s="51" t="str">
        <f>ESTADISTICA!A374</f>
        <v>VILLA ARIAS</v>
      </c>
      <c r="B376" s="51" t="str">
        <f>ESTADISTICA!B374</f>
        <v>VLA03 (fija 2)</v>
      </c>
      <c r="C376" s="51" t="str">
        <f>ESTADISTICA!C374</f>
        <v>820 y SOLER</v>
      </c>
      <c r="D376" s="51" t="str">
        <f>ESTADISTICA!D374</f>
        <v>Fija</v>
      </c>
      <c r="E376" s="51" t="str">
        <f>ESTADISTICA!E374</f>
        <v>Fibra Optica</v>
      </c>
      <c r="F376" s="51">
        <f>ESTADISTICA!F374</f>
        <v>0</v>
      </c>
      <c r="G376" s="51">
        <f>ESTADISTICA!G374</f>
        <v>0</v>
      </c>
      <c r="H376" s="51">
        <f>ESTADISTICA!H374</f>
        <v>0</v>
      </c>
      <c r="I376" s="51">
        <f>ESTADISTICA!I374</f>
        <v>0</v>
      </c>
      <c r="J376" s="51">
        <f>ESTADISTICA!J374</f>
        <v>0</v>
      </c>
      <c r="K376" s="51">
        <f>ESTADISTICA!K374</f>
        <v>0</v>
      </c>
      <c r="L376" s="51">
        <f>ESTADISTICA!L374</f>
        <v>0</v>
      </c>
      <c r="M376" s="51">
        <f>ESTADISTICA!M374</f>
        <v>0</v>
      </c>
      <c r="N376" s="51">
        <f>ESTADISTICA!N374</f>
        <v>0</v>
      </c>
      <c r="O376" s="51">
        <f>ESTADISTICA!O374</f>
        <v>0</v>
      </c>
      <c r="P376" s="51">
        <f>ESTADISTICA!P374</f>
        <v>0</v>
      </c>
      <c r="Q376" s="51">
        <f>ESTADISTICA!Q374</f>
        <v>0</v>
      </c>
      <c r="R376" s="51">
        <f>ESTADISTICA!R374</f>
        <v>0</v>
      </c>
      <c r="S376" s="51">
        <f>ESTADISTICA!S374</f>
        <v>0</v>
      </c>
      <c r="T376" s="51">
        <f>ESTADISTICA!T374</f>
        <v>0</v>
      </c>
      <c r="U376" s="51">
        <f>ESTADISTICA!U374</f>
        <v>0</v>
      </c>
      <c r="V376" s="51">
        <f>ESTADISTICA!V374</f>
        <v>0</v>
      </c>
      <c r="W376" s="51">
        <f>ESTADISTICA!W374</f>
        <v>0</v>
      </c>
      <c r="X376" s="51">
        <f>ESTADISTICA!X374</f>
        <v>0</v>
      </c>
      <c r="Y376" s="51">
        <f>ESTADISTICA!Y374</f>
        <v>0</v>
      </c>
      <c r="Z376" s="51">
        <f>ESTADISTICA!Z374</f>
        <v>0</v>
      </c>
      <c r="AA376" s="51">
        <f>ESTADISTICA!AA374</f>
        <v>0</v>
      </c>
      <c r="AB376" s="51">
        <f>ESTADISTICA!AB374</f>
        <v>0</v>
      </c>
      <c r="AC376" s="51">
        <f>ESTADISTICA!AC374</f>
        <v>0</v>
      </c>
      <c r="AD376" s="51">
        <f>ESTADISTICA!AD374</f>
        <v>0</v>
      </c>
      <c r="AE376" s="51">
        <f>ESTADISTICA!AE374</f>
        <v>0</v>
      </c>
      <c r="AF376" s="51">
        <f>ESTADISTICA!AF374</f>
        <v>0</v>
      </c>
      <c r="AG376" s="51">
        <f>ESTADISTICA!AG374</f>
        <v>0</v>
      </c>
      <c r="AH376" s="51"/>
      <c r="AI376" s="51"/>
    </row>
    <row r="377" spans="1:35" hidden="1" x14ac:dyDescent="0.25">
      <c r="A377" s="51" t="str">
        <f>ESTADISTICA!A375</f>
        <v>VILLA ARIAS</v>
      </c>
      <c r="B377" s="51" t="str">
        <f>ESTADISTICA!B375</f>
        <v>VLA04</v>
      </c>
      <c r="C377" s="51" t="str">
        <f>ESTADISTICA!C375</f>
        <v>ESPORA Y MARTIN GRASS</v>
      </c>
      <c r="D377" s="51" t="str">
        <f>ESTADISTICA!D375</f>
        <v>DOMO</v>
      </c>
      <c r="E377" s="51" t="str">
        <f>ESTADISTICA!E375</f>
        <v>Fibra Optica</v>
      </c>
      <c r="F377" s="51">
        <f>ESTADISTICA!F375</f>
        <v>0</v>
      </c>
      <c r="G377" s="51">
        <f>ESTADISTICA!G375</f>
        <v>0</v>
      </c>
      <c r="H377" s="51">
        <f>ESTADISTICA!H375</f>
        <v>0</v>
      </c>
      <c r="I377" s="51">
        <f>ESTADISTICA!I375</f>
        <v>0</v>
      </c>
      <c r="J377" s="51">
        <f>ESTADISTICA!J375</f>
        <v>0</v>
      </c>
      <c r="K377" s="51">
        <f>ESTADISTICA!K375</f>
        <v>0</v>
      </c>
      <c r="L377" s="51">
        <f>ESTADISTICA!L375</f>
        <v>0</v>
      </c>
      <c r="M377" s="51">
        <f>ESTADISTICA!M375</f>
        <v>0</v>
      </c>
      <c r="N377" s="51">
        <f>ESTADISTICA!N375</f>
        <v>0</v>
      </c>
      <c r="O377" s="51">
        <f>ESTADISTICA!O375</f>
        <v>0</v>
      </c>
      <c r="P377" s="51">
        <f>ESTADISTICA!P375</f>
        <v>0</v>
      </c>
      <c r="Q377" s="51">
        <f>ESTADISTICA!Q375</f>
        <v>0</v>
      </c>
      <c r="R377" s="51">
        <f>ESTADISTICA!R375</f>
        <v>0</v>
      </c>
      <c r="S377" s="51">
        <f>ESTADISTICA!S375</f>
        <v>0</v>
      </c>
      <c r="T377" s="51">
        <f>ESTADISTICA!T375</f>
        <v>0</v>
      </c>
      <c r="U377" s="51">
        <f>ESTADISTICA!U375</f>
        <v>0</v>
      </c>
      <c r="V377" s="51">
        <f>ESTADISTICA!V375</f>
        <v>0</v>
      </c>
      <c r="W377" s="51">
        <f>ESTADISTICA!W375</f>
        <v>0</v>
      </c>
      <c r="X377" s="51">
        <f>ESTADISTICA!X375</f>
        <v>0</v>
      </c>
      <c r="Y377" s="51">
        <f>ESTADISTICA!Y375</f>
        <v>0</v>
      </c>
      <c r="Z377" s="51">
        <f>ESTADISTICA!Z375</f>
        <v>0</v>
      </c>
      <c r="AA377" s="51">
        <f>ESTADISTICA!AA375</f>
        <v>0</v>
      </c>
      <c r="AB377" s="51">
        <f>ESTADISTICA!AB375</f>
        <v>0</v>
      </c>
      <c r="AC377" s="51">
        <f>ESTADISTICA!AC375</f>
        <v>0</v>
      </c>
      <c r="AD377" s="51">
        <f>ESTADISTICA!AD375</f>
        <v>0</v>
      </c>
      <c r="AE377" s="51">
        <f>ESTADISTICA!AE375</f>
        <v>0</v>
      </c>
      <c r="AF377" s="51">
        <f>ESTADISTICA!AF375</f>
        <v>0</v>
      </c>
      <c r="AG377" s="51">
        <f>ESTADISTICA!AG375</f>
        <v>0</v>
      </c>
      <c r="AH377" s="51"/>
      <c r="AI377" s="51"/>
    </row>
    <row r="378" spans="1:35" hidden="1" x14ac:dyDescent="0.25">
      <c r="A378" s="51" t="str">
        <f>ESTADISTICA!A376</f>
        <v>VILLA ARIAS</v>
      </c>
      <c r="B378" s="51" t="str">
        <f>ESTADISTICA!B376</f>
        <v>VLA05</v>
      </c>
      <c r="C378" s="51" t="str">
        <f>ESTADISTICA!C376</f>
        <v>ESPORA Y 802</v>
      </c>
      <c r="D378" s="51" t="str">
        <f>ESTADISTICA!D376</f>
        <v>DOMO</v>
      </c>
      <c r="E378" s="51" t="str">
        <f>ESTADISTICA!E376</f>
        <v>Fibra Optica</v>
      </c>
      <c r="F378" s="51">
        <f>ESTADISTICA!F376</f>
        <v>0</v>
      </c>
      <c r="G378" s="51">
        <f>ESTADISTICA!G376</f>
        <v>0</v>
      </c>
      <c r="H378" s="51">
        <f>ESTADISTICA!H376</f>
        <v>0</v>
      </c>
      <c r="I378" s="51">
        <f>ESTADISTICA!I376</f>
        <v>0</v>
      </c>
      <c r="J378" s="51">
        <f>ESTADISTICA!J376</f>
        <v>0</v>
      </c>
      <c r="K378" s="51">
        <f>ESTADISTICA!K376</f>
        <v>0</v>
      </c>
      <c r="L378" s="51">
        <f>ESTADISTICA!L376</f>
        <v>0</v>
      </c>
      <c r="M378" s="51">
        <f>ESTADISTICA!M376</f>
        <v>0</v>
      </c>
      <c r="N378" s="51">
        <f>ESTADISTICA!N376</f>
        <v>0</v>
      </c>
      <c r="O378" s="51">
        <f>ESTADISTICA!O376</f>
        <v>0</v>
      </c>
      <c r="P378" s="51">
        <f>ESTADISTICA!P376</f>
        <v>0</v>
      </c>
      <c r="Q378" s="51">
        <f>ESTADISTICA!Q376</f>
        <v>0</v>
      </c>
      <c r="R378" s="51">
        <f>ESTADISTICA!R376</f>
        <v>0</v>
      </c>
      <c r="S378" s="51">
        <f>ESTADISTICA!S376</f>
        <v>0</v>
      </c>
      <c r="T378" s="51">
        <f>ESTADISTICA!T376</f>
        <v>0</v>
      </c>
      <c r="U378" s="51">
        <f>ESTADISTICA!U376</f>
        <v>0</v>
      </c>
      <c r="V378" s="51">
        <f>ESTADISTICA!V376</f>
        <v>0</v>
      </c>
      <c r="W378" s="51">
        <f>ESTADISTICA!W376</f>
        <v>0</v>
      </c>
      <c r="X378" s="51">
        <f>ESTADISTICA!X376</f>
        <v>0</v>
      </c>
      <c r="Y378" s="51">
        <f>ESTADISTICA!Y376</f>
        <v>0</v>
      </c>
      <c r="Z378" s="51">
        <f>ESTADISTICA!Z376</f>
        <v>0</v>
      </c>
      <c r="AA378" s="51">
        <f>ESTADISTICA!AA376</f>
        <v>0</v>
      </c>
      <c r="AB378" s="51">
        <f>ESTADISTICA!AB376</f>
        <v>0</v>
      </c>
      <c r="AC378" s="51">
        <f>ESTADISTICA!AC376</f>
        <v>0</v>
      </c>
      <c r="AD378" s="51">
        <f>ESTADISTICA!AD376</f>
        <v>0</v>
      </c>
      <c r="AE378" s="51">
        <f>ESTADISTICA!AE376</f>
        <v>0</v>
      </c>
      <c r="AF378" s="51">
        <f>ESTADISTICA!AF376</f>
        <v>0</v>
      </c>
      <c r="AG378" s="51">
        <f>ESTADISTICA!AG376</f>
        <v>0</v>
      </c>
      <c r="AH378" s="51"/>
      <c r="AI378" s="51"/>
    </row>
    <row r="379" spans="1:35" hidden="1" x14ac:dyDescent="0.25">
      <c r="A379" s="51" t="str">
        <f>ESTADISTICA!A377</f>
        <v>VILLA MONICA NUEVA</v>
      </c>
      <c r="B379" s="51" t="str">
        <f>ESTADISTICA!B377</f>
        <v>VMO 02</v>
      </c>
      <c r="C379" s="51" t="str">
        <f>ESTADISTICA!C377</f>
        <v>RÃ­o Carapachay y OroÃ±o</v>
      </c>
      <c r="D379" s="51" t="str">
        <f>ESTADISTICA!D377</f>
        <v>Domo</v>
      </c>
      <c r="E379" s="51" t="str">
        <f>ESTADISTICA!E377</f>
        <v>Radio</v>
      </c>
      <c r="F379" s="51">
        <f>ESTADISTICA!F377</f>
        <v>0</v>
      </c>
      <c r="G379" s="51">
        <f>ESTADISTICA!G377</f>
        <v>0</v>
      </c>
      <c r="H379" s="51">
        <f>ESTADISTICA!H377</f>
        <v>0</v>
      </c>
      <c r="I379" s="51">
        <f>ESTADISTICA!I377</f>
        <v>0</v>
      </c>
      <c r="J379" s="51">
        <f>ESTADISTICA!J377</f>
        <v>0</v>
      </c>
      <c r="K379" s="51">
        <f>ESTADISTICA!K377</f>
        <v>0</v>
      </c>
      <c r="L379" s="51">
        <f>ESTADISTICA!L377</f>
        <v>0</v>
      </c>
      <c r="M379" s="51">
        <f>ESTADISTICA!M377</f>
        <v>0</v>
      </c>
      <c r="N379" s="51">
        <f>ESTADISTICA!N377</f>
        <v>0</v>
      </c>
      <c r="O379" s="51">
        <f>ESTADISTICA!O377</f>
        <v>0</v>
      </c>
      <c r="P379" s="51">
        <f>ESTADISTICA!P377</f>
        <v>0</v>
      </c>
      <c r="Q379" s="51">
        <f>ESTADISTICA!Q377</f>
        <v>0</v>
      </c>
      <c r="R379" s="51">
        <f>ESTADISTICA!R377</f>
        <v>0</v>
      </c>
      <c r="S379" s="51">
        <f>ESTADISTICA!S377</f>
        <v>0</v>
      </c>
      <c r="T379" s="51">
        <f>ESTADISTICA!T377</f>
        <v>0</v>
      </c>
      <c r="U379" s="51">
        <f>ESTADISTICA!U377</f>
        <v>0</v>
      </c>
      <c r="V379" s="51">
        <f>ESTADISTICA!V377</f>
        <v>0</v>
      </c>
      <c r="W379" s="51">
        <f>ESTADISTICA!W377</f>
        <v>0</v>
      </c>
      <c r="X379" s="51">
        <f>ESTADISTICA!X377</f>
        <v>0</v>
      </c>
      <c r="Y379" s="51">
        <f>ESTADISTICA!Y377</f>
        <v>0</v>
      </c>
      <c r="Z379" s="51">
        <f>ESTADISTICA!Z377</f>
        <v>0</v>
      </c>
      <c r="AA379" s="51">
        <f>ESTADISTICA!AA377</f>
        <v>0</v>
      </c>
      <c r="AB379" s="51">
        <f>ESTADISTICA!AB377</f>
        <v>0</v>
      </c>
      <c r="AC379" s="51">
        <f>ESTADISTICA!AC377</f>
        <v>0</v>
      </c>
      <c r="AD379" s="51">
        <f>ESTADISTICA!AD377</f>
        <v>0</v>
      </c>
      <c r="AE379" s="51">
        <f>ESTADISTICA!AE377</f>
        <v>0</v>
      </c>
      <c r="AF379" s="51">
        <f>ESTADISTICA!AF377</f>
        <v>0</v>
      </c>
      <c r="AG379" s="51">
        <f>ESTADISTICA!AG377</f>
        <v>0</v>
      </c>
      <c r="AH379" s="51"/>
      <c r="AI379" s="51"/>
    </row>
    <row r="380" spans="1:35" hidden="1" x14ac:dyDescent="0.25">
      <c r="A380" s="51" t="str">
        <f>ESTADISTICA!A378</f>
        <v>VILLA MONICA NUEVA</v>
      </c>
      <c r="B380" s="51" t="str">
        <f>ESTADISTICA!B378</f>
        <v>VMO 03 (fija 1)</v>
      </c>
      <c r="C380" s="51" t="str">
        <f>ESTADISTICA!C378</f>
        <v>EVA PERON E/ OROÃ‘O Y 734 A</v>
      </c>
      <c r="D380" s="51" t="str">
        <f>ESTADISTICA!D378</f>
        <v>Fija</v>
      </c>
      <c r="E380" s="51" t="str">
        <f>ESTADISTICA!E378</f>
        <v>Fibra Optica</v>
      </c>
      <c r="F380" s="51">
        <f>ESTADISTICA!F378</f>
        <v>0</v>
      </c>
      <c r="G380" s="51">
        <f>ESTADISTICA!G378</f>
        <v>0</v>
      </c>
      <c r="H380" s="51">
        <f>ESTADISTICA!H378</f>
        <v>0</v>
      </c>
      <c r="I380" s="51">
        <f>ESTADISTICA!I378</f>
        <v>0</v>
      </c>
      <c r="J380" s="51">
        <f>ESTADISTICA!J378</f>
        <v>0</v>
      </c>
      <c r="K380" s="51">
        <f>ESTADISTICA!K378</f>
        <v>0</v>
      </c>
      <c r="L380" s="51">
        <f>ESTADISTICA!L378</f>
        <v>0</v>
      </c>
      <c r="M380" s="51">
        <f>ESTADISTICA!M378</f>
        <v>0</v>
      </c>
      <c r="N380" s="51">
        <f>ESTADISTICA!N378</f>
        <v>0</v>
      </c>
      <c r="O380" s="51">
        <f>ESTADISTICA!O378</f>
        <v>0</v>
      </c>
      <c r="P380" s="51">
        <f>ESTADISTICA!P378</f>
        <v>0</v>
      </c>
      <c r="Q380" s="51">
        <f>ESTADISTICA!Q378</f>
        <v>0</v>
      </c>
      <c r="R380" s="51">
        <f>ESTADISTICA!R378</f>
        <v>0</v>
      </c>
      <c r="S380" s="51">
        <f>ESTADISTICA!S378</f>
        <v>0</v>
      </c>
      <c r="T380" s="51">
        <f>ESTADISTICA!T378</f>
        <v>0</v>
      </c>
      <c r="U380" s="51">
        <f>ESTADISTICA!U378</f>
        <v>0</v>
      </c>
      <c r="V380" s="51">
        <f>ESTADISTICA!V378</f>
        <v>0</v>
      </c>
      <c r="W380" s="51">
        <f>ESTADISTICA!W378</f>
        <v>0</v>
      </c>
      <c r="X380" s="51">
        <f>ESTADISTICA!X378</f>
        <v>0</v>
      </c>
      <c r="Y380" s="51">
        <f>ESTADISTICA!Y378</f>
        <v>0</v>
      </c>
      <c r="Z380" s="51">
        <f>ESTADISTICA!Z378</f>
        <v>0</v>
      </c>
      <c r="AA380" s="51">
        <f>ESTADISTICA!AA378</f>
        <v>0</v>
      </c>
      <c r="AB380" s="51">
        <f>ESTADISTICA!AB378</f>
        <v>0</v>
      </c>
      <c r="AC380" s="51">
        <f>ESTADISTICA!AC378</f>
        <v>0</v>
      </c>
      <c r="AD380" s="51">
        <f>ESTADISTICA!AD378</f>
        <v>0</v>
      </c>
      <c r="AE380" s="51">
        <f>ESTADISTICA!AE378</f>
        <v>0</v>
      </c>
      <c r="AF380" s="51">
        <f>ESTADISTICA!AF378</f>
        <v>0</v>
      </c>
      <c r="AG380" s="51">
        <f>ESTADISTICA!AG378</f>
        <v>0</v>
      </c>
      <c r="AH380" s="51"/>
      <c r="AI380" s="51"/>
    </row>
    <row r="381" spans="1:35" hidden="1" x14ac:dyDescent="0.25">
      <c r="A381" s="51" t="str">
        <f>ESTADISTICA!A379</f>
        <v>VILLA MONICA NUEVA</v>
      </c>
      <c r="B381" s="51" t="str">
        <f>ESTADISTICA!B379</f>
        <v>VMO 04 (fija 2)</v>
      </c>
      <c r="C381" s="51" t="str">
        <f>ESTADISTICA!C379</f>
        <v>EVA PERON E/ OROÃ‘O Y 734 A</v>
      </c>
      <c r="D381" s="51" t="str">
        <f>ESTADISTICA!D379</f>
        <v>Fija</v>
      </c>
      <c r="E381" s="51" t="str">
        <f>ESTADISTICA!E379</f>
        <v>Fibra Optica</v>
      </c>
      <c r="F381" s="51">
        <f>ESTADISTICA!F379</f>
        <v>0</v>
      </c>
      <c r="G381" s="51">
        <f>ESTADISTICA!G379</f>
        <v>0</v>
      </c>
      <c r="H381" s="51">
        <f>ESTADISTICA!H379</f>
        <v>0</v>
      </c>
      <c r="I381" s="51">
        <f>ESTADISTICA!I379</f>
        <v>0</v>
      </c>
      <c r="J381" s="51">
        <f>ESTADISTICA!J379</f>
        <v>0</v>
      </c>
      <c r="K381" s="51">
        <f>ESTADISTICA!K379</f>
        <v>0</v>
      </c>
      <c r="L381" s="51">
        <f>ESTADISTICA!L379</f>
        <v>0</v>
      </c>
      <c r="M381" s="51">
        <f>ESTADISTICA!M379</f>
        <v>0</v>
      </c>
      <c r="N381" s="51">
        <f>ESTADISTICA!N379</f>
        <v>0</v>
      </c>
      <c r="O381" s="51">
        <f>ESTADISTICA!O379</f>
        <v>0</v>
      </c>
      <c r="P381" s="51">
        <f>ESTADISTICA!P379</f>
        <v>0</v>
      </c>
      <c r="Q381" s="51">
        <f>ESTADISTICA!Q379</f>
        <v>0</v>
      </c>
      <c r="R381" s="51">
        <f>ESTADISTICA!R379</f>
        <v>0</v>
      </c>
      <c r="S381" s="51">
        <f>ESTADISTICA!S379</f>
        <v>0</v>
      </c>
      <c r="T381" s="51">
        <f>ESTADISTICA!T379</f>
        <v>0</v>
      </c>
      <c r="U381" s="51">
        <f>ESTADISTICA!U379</f>
        <v>0</v>
      </c>
      <c r="V381" s="51">
        <f>ESTADISTICA!V379</f>
        <v>0</v>
      </c>
      <c r="W381" s="51">
        <f>ESTADISTICA!W379</f>
        <v>0</v>
      </c>
      <c r="X381" s="51">
        <f>ESTADISTICA!X379</f>
        <v>0</v>
      </c>
      <c r="Y381" s="51">
        <f>ESTADISTICA!Y379</f>
        <v>0</v>
      </c>
      <c r="Z381" s="51">
        <f>ESTADISTICA!Z379</f>
        <v>0</v>
      </c>
      <c r="AA381" s="51">
        <f>ESTADISTICA!AA379</f>
        <v>0</v>
      </c>
      <c r="AB381" s="51">
        <f>ESTADISTICA!AB379</f>
        <v>0</v>
      </c>
      <c r="AC381" s="51">
        <f>ESTADISTICA!AC379</f>
        <v>0</v>
      </c>
      <c r="AD381" s="51">
        <f>ESTADISTICA!AD379</f>
        <v>0</v>
      </c>
      <c r="AE381" s="51">
        <f>ESTADISTICA!AE379</f>
        <v>0</v>
      </c>
      <c r="AF381" s="51">
        <f>ESTADISTICA!AF379</f>
        <v>0</v>
      </c>
      <c r="AG381" s="51">
        <f>ESTADISTICA!AG379</f>
        <v>0</v>
      </c>
      <c r="AH381" s="51"/>
      <c r="AI381" s="51"/>
    </row>
    <row r="382" spans="1:35" hidden="1" x14ac:dyDescent="0.25">
      <c r="A382" s="51" t="str">
        <f>ESTADISTICA!A380</f>
        <v>VILLA MONICA NUEVA</v>
      </c>
      <c r="B382" s="51" t="str">
        <f>ESTADISTICA!B380</f>
        <v>VMO 05</v>
      </c>
      <c r="C382" s="51" t="str">
        <f>ESTADISTICA!C380</f>
        <v>OROÃ‘O Y EVA PERON</v>
      </c>
      <c r="D382" s="51" t="str">
        <f>ESTADISTICA!D380</f>
        <v>DOMO</v>
      </c>
      <c r="E382" s="51" t="str">
        <f>ESTADISTICA!E380</f>
        <v>Fibra Optica</v>
      </c>
      <c r="F382" s="51">
        <f>ESTADISTICA!F380</f>
        <v>0</v>
      </c>
      <c r="G382" s="51">
        <f>ESTADISTICA!G380</f>
        <v>0</v>
      </c>
      <c r="H382" s="51">
        <f>ESTADISTICA!H380</f>
        <v>0</v>
      </c>
      <c r="I382" s="51">
        <f>ESTADISTICA!I380</f>
        <v>0</v>
      </c>
      <c r="J382" s="51">
        <f>ESTADISTICA!J380</f>
        <v>0</v>
      </c>
      <c r="K382" s="51">
        <f>ESTADISTICA!K380</f>
        <v>0</v>
      </c>
      <c r="L382" s="51">
        <f>ESTADISTICA!L380</f>
        <v>0</v>
      </c>
      <c r="M382" s="51">
        <f>ESTADISTICA!M380</f>
        <v>0</v>
      </c>
      <c r="N382" s="51">
        <f>ESTADISTICA!N380</f>
        <v>0</v>
      </c>
      <c r="O382" s="51">
        <f>ESTADISTICA!O380</f>
        <v>0</v>
      </c>
      <c r="P382" s="51">
        <f>ESTADISTICA!P380</f>
        <v>0</v>
      </c>
      <c r="Q382" s="51">
        <f>ESTADISTICA!Q380</f>
        <v>0</v>
      </c>
      <c r="R382" s="51">
        <f>ESTADISTICA!R380</f>
        <v>0</v>
      </c>
      <c r="S382" s="51">
        <f>ESTADISTICA!S380</f>
        <v>0</v>
      </c>
      <c r="T382" s="51">
        <f>ESTADISTICA!T380</f>
        <v>0</v>
      </c>
      <c r="U382" s="51">
        <f>ESTADISTICA!U380</f>
        <v>0</v>
      </c>
      <c r="V382" s="51">
        <f>ESTADISTICA!V380</f>
        <v>0</v>
      </c>
      <c r="W382" s="51">
        <f>ESTADISTICA!W380</f>
        <v>0</v>
      </c>
      <c r="X382" s="51">
        <f>ESTADISTICA!X380</f>
        <v>0</v>
      </c>
      <c r="Y382" s="51">
        <f>ESTADISTICA!Y380</f>
        <v>0</v>
      </c>
      <c r="Z382" s="51">
        <f>ESTADISTICA!Z380</f>
        <v>0</v>
      </c>
      <c r="AA382" s="51">
        <f>ESTADISTICA!AA380</f>
        <v>0</v>
      </c>
      <c r="AB382" s="51">
        <f>ESTADISTICA!AB380</f>
        <v>0</v>
      </c>
      <c r="AC382" s="51">
        <f>ESTADISTICA!AC380</f>
        <v>0</v>
      </c>
      <c r="AD382" s="51">
        <f>ESTADISTICA!AD380</f>
        <v>0</v>
      </c>
      <c r="AE382" s="51">
        <f>ESTADISTICA!AE380</f>
        <v>0</v>
      </c>
      <c r="AF382" s="51">
        <f>ESTADISTICA!AF380</f>
        <v>0</v>
      </c>
      <c r="AG382" s="51">
        <f>ESTADISTICA!AG380</f>
        <v>0</v>
      </c>
      <c r="AH382" s="51"/>
      <c r="AI382" s="51"/>
    </row>
    <row r="383" spans="1:35" hidden="1" x14ac:dyDescent="0.25">
      <c r="A383" s="51" t="str">
        <f>ESTADISTICA!A381</f>
        <v>VILLA MONICA NUEVA</v>
      </c>
      <c r="B383" s="51" t="str">
        <f>ESTADISTICA!B381</f>
        <v>VMO01</v>
      </c>
      <c r="C383" s="51" t="str">
        <f>ESTADISTICA!C381</f>
        <v>Eva Peron y MonseÃ±or de las Casas</v>
      </c>
      <c r="D383" s="51" t="str">
        <f>ESTADISTICA!D381</f>
        <v>DOMO</v>
      </c>
      <c r="E383" s="51" t="str">
        <f>ESTADISTICA!E381</f>
        <v>Fibra Optica</v>
      </c>
      <c r="F383" s="51">
        <f>ESTADISTICA!F381</f>
        <v>0</v>
      </c>
      <c r="G383" s="51">
        <f>ESTADISTICA!G381</f>
        <v>0</v>
      </c>
      <c r="H383" s="51">
        <f>ESTADISTICA!H381</f>
        <v>0</v>
      </c>
      <c r="I383" s="51">
        <f>ESTADISTICA!I381</f>
        <v>0</v>
      </c>
      <c r="J383" s="51">
        <f>ESTADISTICA!J381</f>
        <v>0</v>
      </c>
      <c r="K383" s="51">
        <f>ESTADISTICA!K381</f>
        <v>0</v>
      </c>
      <c r="L383" s="51">
        <f>ESTADISTICA!L381</f>
        <v>0</v>
      </c>
      <c r="M383" s="51">
        <f>ESTADISTICA!M381</f>
        <v>0</v>
      </c>
      <c r="N383" s="51">
        <f>ESTADISTICA!N381</f>
        <v>0</v>
      </c>
      <c r="O383" s="51">
        <f>ESTADISTICA!O381</f>
        <v>0</v>
      </c>
      <c r="P383" s="51">
        <f>ESTADISTICA!P381</f>
        <v>0</v>
      </c>
      <c r="Q383" s="51">
        <f>ESTADISTICA!Q381</f>
        <v>0</v>
      </c>
      <c r="R383" s="51">
        <f>ESTADISTICA!R381</f>
        <v>0</v>
      </c>
      <c r="S383" s="51">
        <f>ESTADISTICA!S381</f>
        <v>0</v>
      </c>
      <c r="T383" s="51">
        <f>ESTADISTICA!T381</f>
        <v>0</v>
      </c>
      <c r="U383" s="51">
        <f>ESTADISTICA!U381</f>
        <v>0</v>
      </c>
      <c r="V383" s="51">
        <f>ESTADISTICA!V381</f>
        <v>0</v>
      </c>
      <c r="W383" s="51">
        <f>ESTADISTICA!W381</f>
        <v>0</v>
      </c>
      <c r="X383" s="51">
        <f>ESTADISTICA!X381</f>
        <v>0</v>
      </c>
      <c r="Y383" s="51">
        <f>ESTADISTICA!Y381</f>
        <v>0</v>
      </c>
      <c r="Z383" s="51">
        <f>ESTADISTICA!Z381</f>
        <v>0</v>
      </c>
      <c r="AA383" s="51">
        <f>ESTADISTICA!AA381</f>
        <v>0</v>
      </c>
      <c r="AB383" s="51">
        <f>ESTADISTICA!AB381</f>
        <v>0</v>
      </c>
      <c r="AC383" s="51">
        <f>ESTADISTICA!AC381</f>
        <v>0</v>
      </c>
      <c r="AD383" s="51">
        <f>ESTADISTICA!AD381</f>
        <v>0</v>
      </c>
      <c r="AE383" s="51">
        <f>ESTADISTICA!AE381</f>
        <v>0</v>
      </c>
      <c r="AF383" s="51">
        <f>ESTADISTICA!AF381</f>
        <v>0</v>
      </c>
      <c r="AG383" s="51">
        <f>ESTADISTICA!AG381</f>
        <v>0</v>
      </c>
      <c r="AH383" s="51"/>
      <c r="AI383" s="51"/>
    </row>
    <row r="384" spans="1:35" hidden="1" x14ac:dyDescent="0.25">
      <c r="A384" s="51" t="str">
        <f>ESTADISTICA!A382</f>
        <v>VILLA MONICA VIEJA</v>
      </c>
      <c r="B384" s="51" t="str">
        <f>ESTADISTICA!B382</f>
        <v>VMOV 02 (fija 2)</v>
      </c>
      <c r="C384" s="51" t="str">
        <f>ESTADISTICA!C382</f>
        <v>ATENAS E/ CAFFERATA Y ALEMANIA</v>
      </c>
      <c r="D384" s="51" t="str">
        <f>ESTADISTICA!D382</f>
        <v>Fija</v>
      </c>
      <c r="E384" s="51" t="str">
        <f>ESTADISTICA!E382</f>
        <v>Fibra Optica</v>
      </c>
      <c r="F384" s="51" t="str">
        <f>ESTADISTICA!F382</f>
        <v>APAGADO</v>
      </c>
      <c r="G384" s="51" t="str">
        <f>ESTADISTICA!G382</f>
        <v>APAGADO</v>
      </c>
      <c r="H384" s="51" t="str">
        <f>ESTADISTICA!H382</f>
        <v>APAGADO</v>
      </c>
      <c r="I384" s="51" t="str">
        <f>ESTADISTICA!I382</f>
        <v>APAGADO</v>
      </c>
      <c r="J384" s="51" t="str">
        <f>ESTADISTICA!J382</f>
        <v>APAGADO</v>
      </c>
      <c r="K384" s="51" t="str">
        <f>ESTADISTICA!K382</f>
        <v>APAGADO</v>
      </c>
      <c r="L384" s="51" t="str">
        <f>ESTADISTICA!L382</f>
        <v>APAGADO</v>
      </c>
      <c r="M384" s="51">
        <f>ESTADISTICA!M382</f>
        <v>0</v>
      </c>
      <c r="N384" s="51">
        <f>ESTADISTICA!N382</f>
        <v>0</v>
      </c>
      <c r="O384" s="51">
        <f>ESTADISTICA!O382</f>
        <v>0</v>
      </c>
      <c r="P384" s="51">
        <f>ESTADISTICA!P382</f>
        <v>0</v>
      </c>
      <c r="Q384" s="51">
        <f>ESTADISTICA!Q382</f>
        <v>0</v>
      </c>
      <c r="R384" s="51">
        <f>ESTADISTICA!R382</f>
        <v>0</v>
      </c>
      <c r="S384" s="51">
        <f>ESTADISTICA!S382</f>
        <v>0</v>
      </c>
      <c r="T384" s="51">
        <f>ESTADISTICA!T382</f>
        <v>0</v>
      </c>
      <c r="U384" s="51">
        <f>ESTADISTICA!U382</f>
        <v>0</v>
      </c>
      <c r="V384" s="51">
        <f>ESTADISTICA!V382</f>
        <v>0</v>
      </c>
      <c r="W384" s="51">
        <f>ESTADISTICA!W382</f>
        <v>0</v>
      </c>
      <c r="X384" s="51">
        <f>ESTADISTICA!X382</f>
        <v>0</v>
      </c>
      <c r="Y384" s="51">
        <f>ESTADISTICA!Y382</f>
        <v>0</v>
      </c>
      <c r="Z384" s="51">
        <f>ESTADISTICA!Z382</f>
        <v>0</v>
      </c>
      <c r="AA384" s="51">
        <f>ESTADISTICA!AA382</f>
        <v>0</v>
      </c>
      <c r="AB384" s="51">
        <f>ESTADISTICA!AB382</f>
        <v>0</v>
      </c>
      <c r="AC384" s="51">
        <f>ESTADISTICA!AC382</f>
        <v>0</v>
      </c>
      <c r="AD384" s="51">
        <f>ESTADISTICA!AD382</f>
        <v>0</v>
      </c>
      <c r="AE384" s="51">
        <f>ESTADISTICA!AE382</f>
        <v>0</v>
      </c>
      <c r="AF384" s="51">
        <f>ESTADISTICA!AF382</f>
        <v>0</v>
      </c>
      <c r="AG384" s="51">
        <f>ESTADISTICA!AG382</f>
        <v>0</v>
      </c>
      <c r="AH384" s="51"/>
      <c r="AI384" s="51"/>
    </row>
    <row r="385" spans="1:35" hidden="1" x14ac:dyDescent="0.25">
      <c r="A385" s="51" t="str">
        <f>ESTADISTICA!A383</f>
        <v>VILLA MONICA VIEJA</v>
      </c>
      <c r="B385" s="51" t="str">
        <f>ESTADISTICA!B383</f>
        <v>VMOV 03 (fija 1)</v>
      </c>
      <c r="C385" s="51" t="str">
        <f>ESTADISTICA!C383</f>
        <v>ROMA E/ HOLANDA Y CAFFERATA</v>
      </c>
      <c r="D385" s="51" t="str">
        <f>ESTADISTICA!D383</f>
        <v>Fija</v>
      </c>
      <c r="E385" s="51" t="str">
        <f>ESTADISTICA!E383</f>
        <v>Fibra Optica</v>
      </c>
      <c r="F385" s="51" t="str">
        <f>ESTADISTICA!F383</f>
        <v>APAGADO</v>
      </c>
      <c r="G385" s="51" t="str">
        <f>ESTADISTICA!G383</f>
        <v>APAGADO</v>
      </c>
      <c r="H385" s="51" t="str">
        <f>ESTADISTICA!H383</f>
        <v>APAGADO</v>
      </c>
      <c r="I385" s="51" t="str">
        <f>ESTADISTICA!I383</f>
        <v>APAGADO</v>
      </c>
      <c r="J385" s="51" t="str">
        <f>ESTADISTICA!J383</f>
        <v>APAGADO</v>
      </c>
      <c r="K385" s="51" t="str">
        <f>ESTADISTICA!K383</f>
        <v>APAGADO</v>
      </c>
      <c r="L385" s="51" t="str">
        <f>ESTADISTICA!L383</f>
        <v>APAGADO</v>
      </c>
      <c r="M385" s="51">
        <f>ESTADISTICA!M383</f>
        <v>0</v>
      </c>
      <c r="N385" s="51">
        <f>ESTADISTICA!N383</f>
        <v>0</v>
      </c>
      <c r="O385" s="51">
        <f>ESTADISTICA!O383</f>
        <v>0</v>
      </c>
      <c r="P385" s="51">
        <f>ESTADISTICA!P383</f>
        <v>0</v>
      </c>
      <c r="Q385" s="51">
        <f>ESTADISTICA!Q383</f>
        <v>0</v>
      </c>
      <c r="R385" s="51">
        <f>ESTADISTICA!R383</f>
        <v>0</v>
      </c>
      <c r="S385" s="51">
        <f>ESTADISTICA!S383</f>
        <v>0</v>
      </c>
      <c r="T385" s="51">
        <f>ESTADISTICA!T383</f>
        <v>0</v>
      </c>
      <c r="U385" s="51">
        <f>ESTADISTICA!U383</f>
        <v>0</v>
      </c>
      <c r="V385" s="51">
        <f>ESTADISTICA!V383</f>
        <v>0</v>
      </c>
      <c r="W385" s="51">
        <f>ESTADISTICA!W383</f>
        <v>0</v>
      </c>
      <c r="X385" s="51">
        <f>ESTADISTICA!X383</f>
        <v>0</v>
      </c>
      <c r="Y385" s="51">
        <f>ESTADISTICA!Y383</f>
        <v>0</v>
      </c>
      <c r="Z385" s="51">
        <f>ESTADISTICA!Z383</f>
        <v>0</v>
      </c>
      <c r="AA385" s="51">
        <f>ESTADISTICA!AA383</f>
        <v>0</v>
      </c>
      <c r="AB385" s="51">
        <f>ESTADISTICA!AB383</f>
        <v>0</v>
      </c>
      <c r="AC385" s="51">
        <f>ESTADISTICA!AC383</f>
        <v>0</v>
      </c>
      <c r="AD385" s="51">
        <f>ESTADISTICA!AD383</f>
        <v>0</v>
      </c>
      <c r="AE385" s="51">
        <f>ESTADISTICA!AE383</f>
        <v>0</v>
      </c>
      <c r="AF385" s="51">
        <f>ESTADISTICA!AF383</f>
        <v>0</v>
      </c>
      <c r="AG385" s="51">
        <f>ESTADISTICA!AG383</f>
        <v>0</v>
      </c>
      <c r="AH385" s="51"/>
      <c r="AI385" s="51"/>
    </row>
    <row r="386" spans="1:35" hidden="1" x14ac:dyDescent="0.25">
      <c r="A386" s="51" t="str">
        <f>ESTADISTICA!A384</f>
        <v>VILLA MONICA VIEJA</v>
      </c>
      <c r="B386" s="51" t="str">
        <f>ESTADISTICA!B384</f>
        <v>VMOV01 (fija 1)</v>
      </c>
      <c r="C386" s="51" t="str">
        <f>ESTADISTICA!C384</f>
        <v>ATENAS E/ CAFFERATA Y ALEMANIA</v>
      </c>
      <c r="D386" s="51" t="str">
        <f>ESTADISTICA!D384</f>
        <v>Fija</v>
      </c>
      <c r="E386" s="51" t="str">
        <f>ESTADISTICA!E384</f>
        <v>Fibra Optica</v>
      </c>
      <c r="F386" s="51" t="str">
        <f>ESTADISTICA!F384</f>
        <v>APAGADO</v>
      </c>
      <c r="G386" s="51" t="str">
        <f>ESTADISTICA!G384</f>
        <v>APAGADO</v>
      </c>
      <c r="H386" s="51" t="str">
        <f>ESTADISTICA!H384</f>
        <v>APAGADO</v>
      </c>
      <c r="I386" s="51" t="str">
        <f>ESTADISTICA!I384</f>
        <v>APAGADO</v>
      </c>
      <c r="J386" s="51" t="str">
        <f>ESTADISTICA!J384</f>
        <v>APAGADO</v>
      </c>
      <c r="K386" s="51" t="str">
        <f>ESTADISTICA!K384</f>
        <v>APAGADO</v>
      </c>
      <c r="L386" s="51" t="str">
        <f>ESTADISTICA!L384</f>
        <v>APAGADO</v>
      </c>
      <c r="M386" s="51">
        <f>ESTADISTICA!M384</f>
        <v>0</v>
      </c>
      <c r="N386" s="51">
        <f>ESTADISTICA!N384</f>
        <v>0</v>
      </c>
      <c r="O386" s="51">
        <f>ESTADISTICA!O384</f>
        <v>0</v>
      </c>
      <c r="P386" s="51">
        <f>ESTADISTICA!P384</f>
        <v>0</v>
      </c>
      <c r="Q386" s="51">
        <f>ESTADISTICA!Q384</f>
        <v>0</v>
      </c>
      <c r="R386" s="51">
        <f>ESTADISTICA!R384</f>
        <v>0</v>
      </c>
      <c r="S386" s="51">
        <f>ESTADISTICA!S384</f>
        <v>0</v>
      </c>
      <c r="T386" s="51">
        <f>ESTADISTICA!T384</f>
        <v>0</v>
      </c>
      <c r="U386" s="51">
        <f>ESTADISTICA!U384</f>
        <v>0</v>
      </c>
      <c r="V386" s="51">
        <f>ESTADISTICA!V384</f>
        <v>0</v>
      </c>
      <c r="W386" s="51">
        <f>ESTADISTICA!W384</f>
        <v>0</v>
      </c>
      <c r="X386" s="51">
        <f>ESTADISTICA!X384</f>
        <v>0</v>
      </c>
      <c r="Y386" s="51">
        <f>ESTADISTICA!Y384</f>
        <v>0</v>
      </c>
      <c r="Z386" s="51">
        <f>ESTADISTICA!Z384</f>
        <v>0</v>
      </c>
      <c r="AA386" s="51">
        <f>ESTADISTICA!AA384</f>
        <v>0</v>
      </c>
      <c r="AB386" s="51">
        <f>ESTADISTICA!AB384</f>
        <v>0</v>
      </c>
      <c r="AC386" s="51">
        <f>ESTADISTICA!AC384</f>
        <v>0</v>
      </c>
      <c r="AD386" s="51">
        <f>ESTADISTICA!AD384</f>
        <v>0</v>
      </c>
      <c r="AE386" s="51">
        <f>ESTADISTICA!AE384</f>
        <v>0</v>
      </c>
      <c r="AF386" s="51">
        <f>ESTADISTICA!AF384</f>
        <v>0</v>
      </c>
      <c r="AG386" s="51">
        <f>ESTADISTICA!AG384</f>
        <v>0</v>
      </c>
      <c r="AH386" s="51"/>
      <c r="AI386" s="51"/>
    </row>
    <row r="387" spans="1:35" hidden="1" x14ac:dyDescent="0.25">
      <c r="A387" s="51" t="str">
        <f>ESTADISTICA!A385</f>
        <v>VILLA MONICA VIEJA</v>
      </c>
      <c r="B387" s="51" t="str">
        <f>ESTADISTICA!B385</f>
        <v>VMOV04 (fija 2)</v>
      </c>
      <c r="C387" s="51" t="str">
        <f>ESTADISTICA!C385</f>
        <v>ROMA E/ HOLANDA Y CAFFERATA</v>
      </c>
      <c r="D387" s="51" t="str">
        <f>ESTADISTICA!D385</f>
        <v>Fija</v>
      </c>
      <c r="E387" s="51" t="str">
        <f>ESTADISTICA!E385</f>
        <v>Fibra Optica</v>
      </c>
      <c r="F387" s="51" t="str">
        <f>ESTADISTICA!F385</f>
        <v>APAGADO</v>
      </c>
      <c r="G387" s="51" t="str">
        <f>ESTADISTICA!G385</f>
        <v>APAGADO</v>
      </c>
      <c r="H387" s="51" t="str">
        <f>ESTADISTICA!H385</f>
        <v>APAGADO</v>
      </c>
      <c r="I387" s="51" t="str">
        <f>ESTADISTICA!I385</f>
        <v>APAGADO</v>
      </c>
      <c r="J387" s="51" t="str">
        <f>ESTADISTICA!J385</f>
        <v>APAGADO</v>
      </c>
      <c r="K387" s="51" t="str">
        <f>ESTADISTICA!K385</f>
        <v>APAGADO</v>
      </c>
      <c r="L387" s="51" t="str">
        <f>ESTADISTICA!L385</f>
        <v>APAGADO</v>
      </c>
      <c r="M387" s="51">
        <f>ESTADISTICA!M385</f>
        <v>0</v>
      </c>
      <c r="N387" s="51">
        <f>ESTADISTICA!N385</f>
        <v>0</v>
      </c>
      <c r="O387" s="51">
        <f>ESTADISTICA!O385</f>
        <v>0</v>
      </c>
      <c r="P387" s="51">
        <f>ESTADISTICA!P385</f>
        <v>0</v>
      </c>
      <c r="Q387" s="51">
        <f>ESTADISTICA!Q385</f>
        <v>0</v>
      </c>
      <c r="R387" s="51">
        <f>ESTADISTICA!R385</f>
        <v>0</v>
      </c>
      <c r="S387" s="51">
        <f>ESTADISTICA!S385</f>
        <v>0</v>
      </c>
      <c r="T387" s="51">
        <f>ESTADISTICA!T385</f>
        <v>0</v>
      </c>
      <c r="U387" s="51">
        <f>ESTADISTICA!U385</f>
        <v>0</v>
      </c>
      <c r="V387" s="51">
        <f>ESTADISTICA!V385</f>
        <v>0</v>
      </c>
      <c r="W387" s="51">
        <f>ESTADISTICA!W385</f>
        <v>0</v>
      </c>
      <c r="X387" s="51">
        <f>ESTADISTICA!X385</f>
        <v>0</v>
      </c>
      <c r="Y387" s="51">
        <f>ESTADISTICA!Y385</f>
        <v>0</v>
      </c>
      <c r="Z387" s="51">
        <f>ESTADISTICA!Z385</f>
        <v>0</v>
      </c>
      <c r="AA387" s="51">
        <f>ESTADISTICA!AA385</f>
        <v>0</v>
      </c>
      <c r="AB387" s="51">
        <f>ESTADISTICA!AB385</f>
        <v>0</v>
      </c>
      <c r="AC387" s="51">
        <f>ESTADISTICA!AC385</f>
        <v>0</v>
      </c>
      <c r="AD387" s="51">
        <f>ESTADISTICA!AD385</f>
        <v>0</v>
      </c>
      <c r="AE387" s="51">
        <f>ESTADISTICA!AE385</f>
        <v>0</v>
      </c>
      <c r="AF387" s="51">
        <f>ESTADISTICA!AF385</f>
        <v>0</v>
      </c>
      <c r="AG387" s="51">
        <f>ESTADISTICA!AG385</f>
        <v>0</v>
      </c>
      <c r="AH387" s="51"/>
      <c r="AI387" s="51"/>
    </row>
    <row r="388" spans="1:35" hidden="1" x14ac:dyDescent="0.25">
      <c r="A388" s="51" t="str">
        <f>ESTADISTICA!A386</f>
        <v>VILLA SAN LUIS</v>
      </c>
      <c r="B388" s="51" t="str">
        <f>ESTADISTICA!B386</f>
        <v>VSL 01</v>
      </c>
      <c r="C388" s="51" t="str">
        <f>ESTADISTICA!C386</f>
        <v>AV. HUDSON Y CACHEUTA</v>
      </c>
      <c r="D388" s="51" t="str">
        <f>ESTADISTICA!D386</f>
        <v>DOMO</v>
      </c>
      <c r="E388" s="51" t="str">
        <f>ESTADISTICA!E386</f>
        <v>Fibra Optica</v>
      </c>
      <c r="F388" s="51">
        <f>ESTADISTICA!F386</f>
        <v>0</v>
      </c>
      <c r="G388" s="51">
        <f>ESTADISTICA!G386</f>
        <v>0</v>
      </c>
      <c r="H388" s="51">
        <f>ESTADISTICA!H386</f>
        <v>0</v>
      </c>
      <c r="I388" s="51">
        <f>ESTADISTICA!I386</f>
        <v>0</v>
      </c>
      <c r="J388" s="51">
        <f>ESTADISTICA!J386</f>
        <v>0</v>
      </c>
      <c r="K388" s="51">
        <f>ESTADISTICA!K386</f>
        <v>0</v>
      </c>
      <c r="L388" s="51">
        <f>ESTADISTICA!L386</f>
        <v>0</v>
      </c>
      <c r="M388" s="51">
        <f>ESTADISTICA!M386</f>
        <v>0</v>
      </c>
      <c r="N388" s="51">
        <f>ESTADISTICA!N386</f>
        <v>0</v>
      </c>
      <c r="O388" s="51">
        <f>ESTADISTICA!O386</f>
        <v>0</v>
      </c>
      <c r="P388" s="51">
        <f>ESTADISTICA!P386</f>
        <v>0</v>
      </c>
      <c r="Q388" s="51">
        <f>ESTADISTICA!Q386</f>
        <v>0</v>
      </c>
      <c r="R388" s="51">
        <f>ESTADISTICA!R386</f>
        <v>0</v>
      </c>
      <c r="S388" s="51">
        <f>ESTADISTICA!S386</f>
        <v>0</v>
      </c>
      <c r="T388" s="51">
        <f>ESTADISTICA!T386</f>
        <v>0</v>
      </c>
      <c r="U388" s="51">
        <f>ESTADISTICA!U386</f>
        <v>0</v>
      </c>
      <c r="V388" s="51">
        <f>ESTADISTICA!V386</f>
        <v>0</v>
      </c>
      <c r="W388" s="51">
        <f>ESTADISTICA!W386</f>
        <v>0</v>
      </c>
      <c r="X388" s="51">
        <f>ESTADISTICA!X386</f>
        <v>0</v>
      </c>
      <c r="Y388" s="51">
        <f>ESTADISTICA!Y386</f>
        <v>0</v>
      </c>
      <c r="Z388" s="51">
        <f>ESTADISTICA!Z386</f>
        <v>0</v>
      </c>
      <c r="AA388" s="51">
        <f>ESTADISTICA!AA386</f>
        <v>0</v>
      </c>
      <c r="AB388" s="51">
        <f>ESTADISTICA!AB386</f>
        <v>0</v>
      </c>
      <c r="AC388" s="51">
        <f>ESTADISTICA!AC386</f>
        <v>0</v>
      </c>
      <c r="AD388" s="51">
        <f>ESTADISTICA!AD386</f>
        <v>0</v>
      </c>
      <c r="AE388" s="51">
        <f>ESTADISTICA!AE386</f>
        <v>0</v>
      </c>
      <c r="AF388" s="51">
        <f>ESTADISTICA!AF386</f>
        <v>0</v>
      </c>
      <c r="AG388" s="51">
        <f>ESTADISTICA!AG386</f>
        <v>0</v>
      </c>
      <c r="AH388" s="51"/>
      <c r="AI388" s="51"/>
    </row>
    <row r="389" spans="1:35" hidden="1" x14ac:dyDescent="0.25">
      <c r="A389" s="51" t="str">
        <f>ESTADISTICA!A387</f>
        <v>VILLA SUSANA</v>
      </c>
      <c r="B389" s="51" t="str">
        <f>ESTADISTICA!B387</f>
        <v>VSU 02</v>
      </c>
      <c r="C389" s="51" t="str">
        <f>ESTADISTICA!C387</f>
        <v>CABELLO Y SANTA FE</v>
      </c>
      <c r="D389" s="51" t="str">
        <f>ESTADISTICA!D387</f>
        <v>DOMO</v>
      </c>
      <c r="E389" s="51" t="str">
        <f>ESTADISTICA!E387</f>
        <v>Radio</v>
      </c>
      <c r="F389" s="51">
        <f>ESTADISTICA!F387</f>
        <v>0</v>
      </c>
      <c r="G389" s="51">
        <f>ESTADISTICA!G387</f>
        <v>0</v>
      </c>
      <c r="H389" s="51">
        <f>ESTADISTICA!H387</f>
        <v>0</v>
      </c>
      <c r="I389" s="51">
        <f>ESTADISTICA!I387</f>
        <v>0</v>
      </c>
      <c r="J389" s="51">
        <f>ESTADISTICA!J387</f>
        <v>0</v>
      </c>
      <c r="K389" s="51">
        <f>ESTADISTICA!K387</f>
        <v>0</v>
      </c>
      <c r="L389" s="51">
        <f>ESTADISTICA!L387</f>
        <v>0</v>
      </c>
      <c r="M389" s="51">
        <f>ESTADISTICA!M387</f>
        <v>0</v>
      </c>
      <c r="N389" s="51">
        <f>ESTADISTICA!N387</f>
        <v>0</v>
      </c>
      <c r="O389" s="51">
        <f>ESTADISTICA!O387</f>
        <v>0</v>
      </c>
      <c r="P389" s="51">
        <f>ESTADISTICA!P387</f>
        <v>0</v>
      </c>
      <c r="Q389" s="51">
        <f>ESTADISTICA!Q387</f>
        <v>0</v>
      </c>
      <c r="R389" s="51">
        <f>ESTADISTICA!R387</f>
        <v>0</v>
      </c>
      <c r="S389" s="51">
        <f>ESTADISTICA!S387</f>
        <v>0</v>
      </c>
      <c r="T389" s="51">
        <f>ESTADISTICA!T387</f>
        <v>0</v>
      </c>
      <c r="U389" s="51">
        <f>ESTADISTICA!U387</f>
        <v>0</v>
      </c>
      <c r="V389" s="51">
        <f>ESTADISTICA!V387</f>
        <v>0</v>
      </c>
      <c r="W389" s="51">
        <f>ESTADISTICA!W387</f>
        <v>0</v>
      </c>
      <c r="X389" s="51">
        <f>ESTADISTICA!X387</f>
        <v>0</v>
      </c>
      <c r="Y389" s="51">
        <f>ESTADISTICA!Y387</f>
        <v>0</v>
      </c>
      <c r="Z389" s="51">
        <f>ESTADISTICA!Z387</f>
        <v>0</v>
      </c>
      <c r="AA389" s="51">
        <f>ESTADISTICA!AA387</f>
        <v>0</v>
      </c>
      <c r="AB389" s="51">
        <f>ESTADISTICA!AB387</f>
        <v>0</v>
      </c>
      <c r="AC389" s="51">
        <f>ESTADISTICA!AC387</f>
        <v>0</v>
      </c>
      <c r="AD389" s="51">
        <f>ESTADISTICA!AD387</f>
        <v>0</v>
      </c>
      <c r="AE389" s="51">
        <f>ESTADISTICA!AE387</f>
        <v>0</v>
      </c>
      <c r="AF389" s="51">
        <f>ESTADISTICA!AF387</f>
        <v>0</v>
      </c>
      <c r="AG389" s="51">
        <f>ESTADISTICA!AG387</f>
        <v>0</v>
      </c>
      <c r="AH389" s="51"/>
      <c r="AI389" s="51"/>
    </row>
    <row r="390" spans="1:35" hidden="1" x14ac:dyDescent="0.25">
      <c r="A390" s="51" t="str">
        <f>ESTADISTICA!A388</f>
        <v>VILLA SUSANA</v>
      </c>
      <c r="B390" s="51" t="str">
        <f>ESTADISTICA!B388</f>
        <v>VSU 03</v>
      </c>
      <c r="C390" s="51" t="str">
        <f>ESTADISTICA!C388</f>
        <v>EE.UU Y SERRANO</v>
      </c>
      <c r="D390" s="51" t="str">
        <f>ESTADISTICA!D388</f>
        <v>DOMO</v>
      </c>
      <c r="E390" s="51" t="str">
        <f>ESTADISTICA!E388</f>
        <v>Radio</v>
      </c>
      <c r="F390" s="51">
        <f>ESTADISTICA!F388</f>
        <v>0</v>
      </c>
      <c r="G390" s="51">
        <f>ESTADISTICA!G388</f>
        <v>0</v>
      </c>
      <c r="H390" s="51">
        <f>ESTADISTICA!H388</f>
        <v>0</v>
      </c>
      <c r="I390" s="51">
        <f>ESTADISTICA!I388</f>
        <v>0</v>
      </c>
      <c r="J390" s="51">
        <f>ESTADISTICA!J388</f>
        <v>0</v>
      </c>
      <c r="K390" s="51">
        <f>ESTADISTICA!K388</f>
        <v>0</v>
      </c>
      <c r="L390" s="51">
        <f>ESTADISTICA!L388</f>
        <v>0</v>
      </c>
      <c r="M390" s="51">
        <f>ESTADISTICA!M388</f>
        <v>0</v>
      </c>
      <c r="N390" s="51">
        <f>ESTADISTICA!N388</f>
        <v>0</v>
      </c>
      <c r="O390" s="51">
        <f>ESTADISTICA!O388</f>
        <v>0</v>
      </c>
      <c r="P390" s="51">
        <f>ESTADISTICA!P388</f>
        <v>0</v>
      </c>
      <c r="Q390" s="51">
        <f>ESTADISTICA!Q388</f>
        <v>0</v>
      </c>
      <c r="R390" s="51">
        <f>ESTADISTICA!R388</f>
        <v>0</v>
      </c>
      <c r="S390" s="51">
        <f>ESTADISTICA!S388</f>
        <v>0</v>
      </c>
      <c r="T390" s="51">
        <f>ESTADISTICA!T388</f>
        <v>0</v>
      </c>
      <c r="U390" s="51">
        <f>ESTADISTICA!U388</f>
        <v>0</v>
      </c>
      <c r="V390" s="51">
        <f>ESTADISTICA!V388</f>
        <v>0</v>
      </c>
      <c r="W390" s="51">
        <f>ESTADISTICA!W388</f>
        <v>0</v>
      </c>
      <c r="X390" s="51">
        <f>ESTADISTICA!X388</f>
        <v>0</v>
      </c>
      <c r="Y390" s="51">
        <f>ESTADISTICA!Y388</f>
        <v>0</v>
      </c>
      <c r="Z390" s="51">
        <f>ESTADISTICA!Z388</f>
        <v>0</v>
      </c>
      <c r="AA390" s="51">
        <f>ESTADISTICA!AA388</f>
        <v>0</v>
      </c>
      <c r="AB390" s="51">
        <f>ESTADISTICA!AB388</f>
        <v>0</v>
      </c>
      <c r="AC390" s="51">
        <f>ESTADISTICA!AC388</f>
        <v>0</v>
      </c>
      <c r="AD390" s="51">
        <f>ESTADISTICA!AD388</f>
        <v>0</v>
      </c>
      <c r="AE390" s="51">
        <f>ESTADISTICA!AE388</f>
        <v>0</v>
      </c>
      <c r="AF390" s="51">
        <f>ESTADISTICA!AF388</f>
        <v>0</v>
      </c>
      <c r="AG390" s="51">
        <f>ESTADISTICA!AG388</f>
        <v>0</v>
      </c>
      <c r="AH390" s="51"/>
      <c r="AI390" s="51"/>
    </row>
    <row r="391" spans="1:35" hidden="1" x14ac:dyDescent="0.25">
      <c r="A391" s="51" t="str">
        <f>ESTADISTICA!A389</f>
        <v>VILLA SUSANA</v>
      </c>
      <c r="B391" s="51" t="str">
        <f>ESTADISTICA!B389</f>
        <v>VSU01</v>
      </c>
      <c r="C391" s="51" t="str">
        <f>ESTADISTICA!C389</f>
        <v>CJAL. JUAN BROWN Y SANTA FE</v>
      </c>
      <c r="D391" s="51" t="str">
        <f>ESTADISTICA!D389</f>
        <v>DOMO</v>
      </c>
      <c r="E391" s="51" t="str">
        <f>ESTADISTICA!E389</f>
        <v>Radio</v>
      </c>
      <c r="F391" s="51">
        <f>ESTADISTICA!F389</f>
        <v>0</v>
      </c>
      <c r="G391" s="51">
        <f>ESTADISTICA!G389</f>
        <v>0</v>
      </c>
      <c r="H391" s="51">
        <f>ESTADISTICA!H389</f>
        <v>0</v>
      </c>
      <c r="I391" s="51">
        <f>ESTADISTICA!I389</f>
        <v>0</v>
      </c>
      <c r="J391" s="51">
        <f>ESTADISTICA!J389</f>
        <v>0</v>
      </c>
      <c r="K391" s="51">
        <f>ESTADISTICA!K389</f>
        <v>0</v>
      </c>
      <c r="L391" s="51">
        <f>ESTADISTICA!L389</f>
        <v>0</v>
      </c>
      <c r="M391" s="51">
        <f>ESTADISTICA!M389</f>
        <v>0</v>
      </c>
      <c r="N391" s="51">
        <f>ESTADISTICA!N389</f>
        <v>0</v>
      </c>
      <c r="O391" s="51">
        <f>ESTADISTICA!O389</f>
        <v>0</v>
      </c>
      <c r="P391" s="51">
        <f>ESTADISTICA!P389</f>
        <v>0</v>
      </c>
      <c r="Q391" s="51">
        <f>ESTADISTICA!Q389</f>
        <v>0</v>
      </c>
      <c r="R391" s="51">
        <f>ESTADISTICA!R389</f>
        <v>0</v>
      </c>
      <c r="S391" s="51">
        <f>ESTADISTICA!S389</f>
        <v>0</v>
      </c>
      <c r="T391" s="51">
        <f>ESTADISTICA!T389</f>
        <v>0</v>
      </c>
      <c r="U391" s="51">
        <f>ESTADISTICA!U389</f>
        <v>0</v>
      </c>
      <c r="V391" s="51">
        <f>ESTADISTICA!V389</f>
        <v>0</v>
      </c>
      <c r="W391" s="51">
        <f>ESTADISTICA!W389</f>
        <v>0</v>
      </c>
      <c r="X391" s="51">
        <f>ESTADISTICA!X389</f>
        <v>0</v>
      </c>
      <c r="Y391" s="51">
        <f>ESTADISTICA!Y389</f>
        <v>0</v>
      </c>
      <c r="Z391" s="51">
        <f>ESTADISTICA!Z389</f>
        <v>0</v>
      </c>
      <c r="AA391" s="51">
        <f>ESTADISTICA!AA389</f>
        <v>0</v>
      </c>
      <c r="AB391" s="51">
        <f>ESTADISTICA!AB389</f>
        <v>0</v>
      </c>
      <c r="AC391" s="51">
        <f>ESTADISTICA!AC389</f>
        <v>0</v>
      </c>
      <c r="AD391" s="51">
        <f>ESTADISTICA!AD389</f>
        <v>0</v>
      </c>
      <c r="AE391" s="51">
        <f>ESTADISTICA!AE389</f>
        <v>0</v>
      </c>
      <c r="AF391" s="51">
        <f>ESTADISTICA!AF389</f>
        <v>0</v>
      </c>
      <c r="AG391" s="51">
        <f>ESTADISTICA!AG389</f>
        <v>0</v>
      </c>
      <c r="AH391" s="51"/>
      <c r="AI391" s="51"/>
    </row>
    <row r="392" spans="1:35" hidden="1" x14ac:dyDescent="0.25">
      <c r="A392" s="51" t="str">
        <f>ESTADISTICA!A390</f>
        <v>ZEBALLOS</v>
      </c>
      <c r="B392" s="51" t="str">
        <f>ESTADISTICA!B390</f>
        <v>ZEB 05</v>
      </c>
      <c r="C392" s="51" t="str">
        <f>ESTADISTICA!C390</f>
        <v>DIAG. GRANADEROS Y 214 BIS</v>
      </c>
      <c r="D392" s="51" t="str">
        <f>ESTADISTICA!D390</f>
        <v>Domo</v>
      </c>
      <c r="E392" s="51" t="str">
        <f>ESTADISTICA!E390</f>
        <v>Radio</v>
      </c>
      <c r="F392" s="51">
        <f>ESTADISTICA!F390</f>
        <v>0</v>
      </c>
      <c r="G392" s="51">
        <f>ESTADISTICA!G390</f>
        <v>0</v>
      </c>
      <c r="H392" s="51">
        <f>ESTADISTICA!H390</f>
        <v>0</v>
      </c>
      <c r="I392" s="51">
        <f>ESTADISTICA!I390</f>
        <v>0</v>
      </c>
      <c r="J392" s="51">
        <f>ESTADISTICA!J390</f>
        <v>0</v>
      </c>
      <c r="K392" s="51">
        <f>ESTADISTICA!K390</f>
        <v>0</v>
      </c>
      <c r="L392" s="51">
        <f>ESTADISTICA!L390</f>
        <v>0</v>
      </c>
      <c r="M392" s="51">
        <f>ESTADISTICA!M390</f>
        <v>0</v>
      </c>
      <c r="N392" s="51">
        <f>ESTADISTICA!N390</f>
        <v>0</v>
      </c>
      <c r="O392" s="51">
        <f>ESTADISTICA!O390</f>
        <v>0</v>
      </c>
      <c r="P392" s="51">
        <f>ESTADISTICA!P390</f>
        <v>0</v>
      </c>
      <c r="Q392" s="51">
        <f>ESTADISTICA!Q390</f>
        <v>0</v>
      </c>
      <c r="R392" s="51">
        <f>ESTADISTICA!R390</f>
        <v>0</v>
      </c>
      <c r="S392" s="51">
        <f>ESTADISTICA!S390</f>
        <v>0</v>
      </c>
      <c r="T392" s="51">
        <f>ESTADISTICA!T390</f>
        <v>0</v>
      </c>
      <c r="U392" s="51">
        <f>ESTADISTICA!U390</f>
        <v>0</v>
      </c>
      <c r="V392" s="51">
        <f>ESTADISTICA!V390</f>
        <v>0</v>
      </c>
      <c r="W392" s="51">
        <f>ESTADISTICA!W390</f>
        <v>0</v>
      </c>
      <c r="X392" s="51">
        <f>ESTADISTICA!X390</f>
        <v>0</v>
      </c>
      <c r="Y392" s="51">
        <f>ESTADISTICA!Y390</f>
        <v>0</v>
      </c>
      <c r="Z392" s="51">
        <f>ESTADISTICA!Z390</f>
        <v>0</v>
      </c>
      <c r="AA392" s="51">
        <f>ESTADISTICA!AA390</f>
        <v>0</v>
      </c>
      <c r="AB392" s="51">
        <f>ESTADISTICA!AB390</f>
        <v>0</v>
      </c>
      <c r="AC392" s="51">
        <f>ESTADISTICA!AC390</f>
        <v>0</v>
      </c>
      <c r="AD392" s="51">
        <f>ESTADISTICA!AD390</f>
        <v>0</v>
      </c>
      <c r="AE392" s="51">
        <f>ESTADISTICA!AE390</f>
        <v>0</v>
      </c>
      <c r="AF392" s="51">
        <f>ESTADISTICA!AF390</f>
        <v>0</v>
      </c>
      <c r="AG392" s="51">
        <f>ESTADISTICA!AG390</f>
        <v>0</v>
      </c>
      <c r="AH392" s="51"/>
      <c r="AI392" s="51"/>
    </row>
    <row r="393" spans="1:35" hidden="1" x14ac:dyDescent="0.25">
      <c r="A393" s="51" t="str">
        <f>ESTADISTICA!A391</f>
        <v>ZEBALLOS</v>
      </c>
      <c r="B393" s="51" t="str">
        <f>ESTADISTICA!B391</f>
        <v>ZEB02</v>
      </c>
      <c r="C393" s="51" t="str">
        <f>ESTADISTICA!C391</f>
        <v>Quinquela Martin y Sgo. del Estero</v>
      </c>
      <c r="D393" s="51" t="str">
        <f>ESTADISTICA!D391</f>
        <v>Domo</v>
      </c>
      <c r="E393" s="51" t="str">
        <f>ESTADISTICA!E391</f>
        <v>Radio</v>
      </c>
      <c r="F393" s="51">
        <f>ESTADISTICA!F391</f>
        <v>0</v>
      </c>
      <c r="G393" s="51">
        <f>ESTADISTICA!G391</f>
        <v>0</v>
      </c>
      <c r="H393" s="51">
        <f>ESTADISTICA!H391</f>
        <v>0</v>
      </c>
      <c r="I393" s="51">
        <f>ESTADISTICA!I391</f>
        <v>0</v>
      </c>
      <c r="J393" s="51">
        <f>ESTADISTICA!J391</f>
        <v>0</v>
      </c>
      <c r="K393" s="51">
        <f>ESTADISTICA!K391</f>
        <v>0</v>
      </c>
      <c r="L393" s="51">
        <f>ESTADISTICA!L391</f>
        <v>0</v>
      </c>
      <c r="M393" s="51">
        <f>ESTADISTICA!M391</f>
        <v>0</v>
      </c>
      <c r="N393" s="51">
        <f>ESTADISTICA!N391</f>
        <v>0</v>
      </c>
      <c r="O393" s="51">
        <f>ESTADISTICA!O391</f>
        <v>0</v>
      </c>
      <c r="P393" s="51">
        <f>ESTADISTICA!P391</f>
        <v>0</v>
      </c>
      <c r="Q393" s="51">
        <f>ESTADISTICA!Q391</f>
        <v>0</v>
      </c>
      <c r="R393" s="51">
        <f>ESTADISTICA!R391</f>
        <v>0</v>
      </c>
      <c r="S393" s="51">
        <f>ESTADISTICA!S391</f>
        <v>0</v>
      </c>
      <c r="T393" s="51">
        <f>ESTADISTICA!T391</f>
        <v>0</v>
      </c>
      <c r="U393" s="51">
        <f>ESTADISTICA!U391</f>
        <v>0</v>
      </c>
      <c r="V393" s="51">
        <f>ESTADISTICA!V391</f>
        <v>0</v>
      </c>
      <c r="W393" s="51">
        <f>ESTADISTICA!W391</f>
        <v>0</v>
      </c>
      <c r="X393" s="51">
        <f>ESTADISTICA!X391</f>
        <v>0</v>
      </c>
      <c r="Y393" s="51">
        <f>ESTADISTICA!Y391</f>
        <v>0</v>
      </c>
      <c r="Z393" s="51">
        <f>ESTADISTICA!Z391</f>
        <v>0</v>
      </c>
      <c r="AA393" s="51">
        <f>ESTADISTICA!AA391</f>
        <v>0</v>
      </c>
      <c r="AB393" s="51">
        <f>ESTADISTICA!AB391</f>
        <v>0</v>
      </c>
      <c r="AC393" s="51">
        <f>ESTADISTICA!AC391</f>
        <v>0</v>
      </c>
      <c r="AD393" s="51">
        <f>ESTADISTICA!AD391</f>
        <v>0</v>
      </c>
      <c r="AE393" s="51">
        <f>ESTADISTICA!AE391</f>
        <v>0</v>
      </c>
      <c r="AF393" s="51">
        <f>ESTADISTICA!AF391</f>
        <v>0</v>
      </c>
      <c r="AG393" s="51">
        <f>ESTADISTICA!AG391</f>
        <v>0</v>
      </c>
      <c r="AH393" s="51"/>
      <c r="AI393" s="51"/>
    </row>
    <row r="394" spans="1:35" hidden="1" x14ac:dyDescent="0.25">
      <c r="A394" s="51" t="str">
        <f>ESTADISTICA!A392</f>
        <v>9 DE JULIO</v>
      </c>
      <c r="B394" s="51" t="str">
        <f>ESTADISTICA!B392</f>
        <v>ZEB03</v>
      </c>
      <c r="C394" s="51" t="str">
        <f>ESTADISTICA!C392</f>
        <v>Quinquela Martin y Pte. Peron</v>
      </c>
      <c r="D394" s="51" t="str">
        <f>ESTADISTICA!D392</f>
        <v>Domo</v>
      </c>
      <c r="E394" s="51" t="str">
        <f>ESTADISTICA!E392</f>
        <v>Radio</v>
      </c>
      <c r="F394" s="51">
        <f>ESTADISTICA!F392</f>
        <v>0</v>
      </c>
      <c r="G394" s="51">
        <f>ESTADISTICA!G392</f>
        <v>0</v>
      </c>
      <c r="H394" s="51">
        <f>ESTADISTICA!H392</f>
        <v>0</v>
      </c>
      <c r="I394" s="51">
        <f>ESTADISTICA!I392</f>
        <v>0</v>
      </c>
      <c r="J394" s="51">
        <f>ESTADISTICA!J392</f>
        <v>0</v>
      </c>
      <c r="K394" s="51">
        <f>ESTADISTICA!K392</f>
        <v>0</v>
      </c>
      <c r="L394" s="51">
        <f>ESTADISTICA!L392</f>
        <v>0</v>
      </c>
      <c r="M394" s="51">
        <f>ESTADISTICA!M392</f>
        <v>0</v>
      </c>
      <c r="N394" s="51">
        <f>ESTADISTICA!N392</f>
        <v>0</v>
      </c>
      <c r="O394" s="51">
        <f>ESTADISTICA!O392</f>
        <v>0</v>
      </c>
      <c r="P394" s="51">
        <f>ESTADISTICA!P392</f>
        <v>0</v>
      </c>
      <c r="Q394" s="51">
        <f>ESTADISTICA!Q392</f>
        <v>0</v>
      </c>
      <c r="R394" s="51">
        <f>ESTADISTICA!R392</f>
        <v>0</v>
      </c>
      <c r="S394" s="51">
        <f>ESTADISTICA!S392</f>
        <v>0</v>
      </c>
      <c r="T394" s="51">
        <f>ESTADISTICA!T392</f>
        <v>0</v>
      </c>
      <c r="U394" s="51">
        <f>ESTADISTICA!U392</f>
        <v>0</v>
      </c>
      <c r="V394" s="51">
        <f>ESTADISTICA!V392</f>
        <v>0</v>
      </c>
      <c r="W394" s="51">
        <f>ESTADISTICA!W392</f>
        <v>0</v>
      </c>
      <c r="X394" s="51">
        <f>ESTADISTICA!X392</f>
        <v>0</v>
      </c>
      <c r="Y394" s="51">
        <f>ESTADISTICA!Y392</f>
        <v>0</v>
      </c>
      <c r="Z394" s="51">
        <f>ESTADISTICA!Z392</f>
        <v>0</v>
      </c>
      <c r="AA394" s="51">
        <f>ESTADISTICA!AA392</f>
        <v>0</v>
      </c>
      <c r="AB394" s="51">
        <f>ESTADISTICA!AB392</f>
        <v>0</v>
      </c>
      <c r="AC394" s="51">
        <f>ESTADISTICA!AC392</f>
        <v>0</v>
      </c>
      <c r="AD394" s="51">
        <f>ESTADISTICA!AD392</f>
        <v>0</v>
      </c>
      <c r="AE394" s="51">
        <f>ESTADISTICA!AE392</f>
        <v>0</v>
      </c>
      <c r="AF394" s="51">
        <f>ESTADISTICA!AF392</f>
        <v>0</v>
      </c>
      <c r="AG394" s="51">
        <f>ESTADISTICA!AG392</f>
        <v>0</v>
      </c>
      <c r="AH394" s="51"/>
      <c r="AI394" s="51"/>
    </row>
    <row r="395" spans="1:35" hidden="1" x14ac:dyDescent="0.25">
      <c r="A395" s="51" t="str">
        <f>ESTADISTICA!A393</f>
        <v>ZEBALLOS</v>
      </c>
      <c r="B395" s="51" t="str">
        <f>ESTADISTICA!B393</f>
        <v>ZEB04</v>
      </c>
      <c r="C395" s="51" t="str">
        <f>ESTADISTICA!C393</f>
        <v>THEVENET Y DIAGONAL GRANADEROS</v>
      </c>
      <c r="D395" s="51" t="str">
        <f>ESTADISTICA!D393</f>
        <v>DOMO</v>
      </c>
      <c r="E395" s="51" t="str">
        <f>ESTADISTICA!E393</f>
        <v>Radio</v>
      </c>
      <c r="F395" s="51">
        <f>ESTADISTICA!F393</f>
        <v>0</v>
      </c>
      <c r="G395" s="51">
        <f>ESTADISTICA!G393</f>
        <v>0</v>
      </c>
      <c r="H395" s="51">
        <f>ESTADISTICA!H393</f>
        <v>0</v>
      </c>
      <c r="I395" s="51">
        <f>ESTADISTICA!I393</f>
        <v>0</v>
      </c>
      <c r="J395" s="51">
        <f>ESTADISTICA!J393</f>
        <v>0</v>
      </c>
      <c r="K395" s="51">
        <f>ESTADISTICA!K393</f>
        <v>0</v>
      </c>
      <c r="L395" s="51">
        <f>ESTADISTICA!L393</f>
        <v>0</v>
      </c>
      <c r="M395" s="51">
        <f>ESTADISTICA!M393</f>
        <v>0</v>
      </c>
      <c r="N395" s="51">
        <f>ESTADISTICA!N393</f>
        <v>0</v>
      </c>
      <c r="O395" s="51">
        <f>ESTADISTICA!O393</f>
        <v>0</v>
      </c>
      <c r="P395" s="51">
        <f>ESTADISTICA!P393</f>
        <v>0</v>
      </c>
      <c r="Q395" s="51">
        <f>ESTADISTICA!Q393</f>
        <v>0</v>
      </c>
      <c r="R395" s="51">
        <f>ESTADISTICA!R393</f>
        <v>0</v>
      </c>
      <c r="S395" s="51">
        <f>ESTADISTICA!S393</f>
        <v>0</v>
      </c>
      <c r="T395" s="51">
        <f>ESTADISTICA!T393</f>
        <v>0</v>
      </c>
      <c r="U395" s="51">
        <f>ESTADISTICA!U393</f>
        <v>0</v>
      </c>
      <c r="V395" s="51">
        <f>ESTADISTICA!V393</f>
        <v>0</v>
      </c>
      <c r="W395" s="51">
        <f>ESTADISTICA!W393</f>
        <v>0</v>
      </c>
      <c r="X395" s="51">
        <f>ESTADISTICA!X393</f>
        <v>0</v>
      </c>
      <c r="Y395" s="51">
        <f>ESTADISTICA!Y393</f>
        <v>0</v>
      </c>
      <c r="Z395" s="51">
        <f>ESTADISTICA!Z393</f>
        <v>0</v>
      </c>
      <c r="AA395" s="51">
        <f>ESTADISTICA!AA393</f>
        <v>0</v>
      </c>
      <c r="AB395" s="51">
        <f>ESTADISTICA!AB393</f>
        <v>0</v>
      </c>
      <c r="AC395" s="51">
        <f>ESTADISTICA!AC393</f>
        <v>0</v>
      </c>
      <c r="AD395" s="51">
        <f>ESTADISTICA!AD393</f>
        <v>0</v>
      </c>
      <c r="AE395" s="51">
        <f>ESTADISTICA!AE393</f>
        <v>0</v>
      </c>
      <c r="AF395" s="51">
        <f>ESTADISTICA!AF393</f>
        <v>0</v>
      </c>
      <c r="AG395" s="51">
        <f>ESTADISTICA!AG393</f>
        <v>0</v>
      </c>
      <c r="AH395" s="51"/>
      <c r="AI395" s="51"/>
    </row>
    <row r="396" spans="1:35" hidden="1" x14ac:dyDescent="0.25">
      <c r="A396" s="51">
        <f>ESTADISTICA!A394</f>
        <v>0</v>
      </c>
      <c r="B396" s="51">
        <f>ESTADISTICA!B394</f>
        <v>0</v>
      </c>
      <c r="C396" s="51">
        <f>ESTADISTICA!C394</f>
        <v>0</v>
      </c>
      <c r="D396" s="51">
        <f>ESTADISTICA!D394</f>
        <v>0</v>
      </c>
      <c r="E396" s="51">
        <f>ESTADISTICA!E394</f>
        <v>0</v>
      </c>
      <c r="F396" s="51">
        <f>ESTADISTICA!F394</f>
        <v>0</v>
      </c>
      <c r="G396" s="51">
        <f>ESTADISTICA!G394</f>
        <v>0</v>
      </c>
      <c r="H396" s="51">
        <f>ESTADISTICA!H394</f>
        <v>0</v>
      </c>
      <c r="I396" s="51">
        <f>ESTADISTICA!I394</f>
        <v>0</v>
      </c>
      <c r="J396" s="51">
        <f>ESTADISTICA!J394</f>
        <v>0</v>
      </c>
      <c r="K396" s="51">
        <f>ESTADISTICA!K394</f>
        <v>0</v>
      </c>
      <c r="L396" s="51">
        <f>ESTADISTICA!L394</f>
        <v>0</v>
      </c>
      <c r="M396" s="51">
        <f>ESTADISTICA!M394</f>
        <v>0</v>
      </c>
      <c r="N396" s="51">
        <f>ESTADISTICA!N394</f>
        <v>0</v>
      </c>
      <c r="O396" s="51">
        <f>ESTADISTICA!O394</f>
        <v>0</v>
      </c>
      <c r="P396" s="51">
        <f>ESTADISTICA!P394</f>
        <v>0</v>
      </c>
      <c r="Q396" s="51">
        <f>ESTADISTICA!Q394</f>
        <v>0</v>
      </c>
      <c r="R396" s="51">
        <f>ESTADISTICA!R394</f>
        <v>0</v>
      </c>
      <c r="S396" s="51">
        <f>ESTADISTICA!S394</f>
        <v>0</v>
      </c>
      <c r="T396" s="51">
        <f>ESTADISTICA!T394</f>
        <v>0</v>
      </c>
      <c r="U396" s="51">
        <f>ESTADISTICA!U394</f>
        <v>0</v>
      </c>
      <c r="V396" s="51">
        <f>ESTADISTICA!V394</f>
        <v>0</v>
      </c>
      <c r="W396" s="51">
        <f>ESTADISTICA!W394</f>
        <v>0</v>
      </c>
      <c r="X396" s="51">
        <f>ESTADISTICA!X394</f>
        <v>0</v>
      </c>
      <c r="Y396" s="51">
        <f>ESTADISTICA!Y394</f>
        <v>0</v>
      </c>
      <c r="Z396" s="51">
        <f>ESTADISTICA!Z394</f>
        <v>0</v>
      </c>
      <c r="AA396" s="51">
        <f>ESTADISTICA!AA394</f>
        <v>0</v>
      </c>
      <c r="AB396" s="51">
        <f>ESTADISTICA!AB394</f>
        <v>0</v>
      </c>
      <c r="AC396" s="51">
        <f>ESTADISTICA!AC394</f>
        <v>0</v>
      </c>
      <c r="AD396" s="51">
        <f>ESTADISTICA!AD394</f>
        <v>0</v>
      </c>
      <c r="AE396" s="51">
        <f>ESTADISTICA!AE394</f>
        <v>0</v>
      </c>
      <c r="AF396" s="51">
        <f>ESTADISTICA!AF394</f>
        <v>0</v>
      </c>
      <c r="AG396" s="51">
        <f>ESTADISTICA!AG394</f>
        <v>0</v>
      </c>
      <c r="AH396" s="51"/>
      <c r="AI396" s="51"/>
    </row>
    <row r="397" spans="1:35" hidden="1" x14ac:dyDescent="0.25">
      <c r="A397" s="51">
        <f>ESTADISTICA!A395</f>
        <v>0</v>
      </c>
      <c r="B397" s="51">
        <f>ESTADISTICA!B395</f>
        <v>0</v>
      </c>
      <c r="C397" s="51">
        <f>ESTADISTICA!C395</f>
        <v>0</v>
      </c>
      <c r="D397" s="51">
        <f>ESTADISTICA!D395</f>
        <v>0</v>
      </c>
      <c r="E397" s="51">
        <f>ESTADISTICA!E395</f>
        <v>0</v>
      </c>
      <c r="F397" s="51">
        <f>ESTADISTICA!F395</f>
        <v>0</v>
      </c>
      <c r="G397" s="51">
        <f>ESTADISTICA!G395</f>
        <v>0</v>
      </c>
      <c r="H397" s="51">
        <f>ESTADISTICA!H395</f>
        <v>0</v>
      </c>
      <c r="I397" s="51">
        <f>ESTADISTICA!I395</f>
        <v>0</v>
      </c>
      <c r="J397" s="51">
        <f>ESTADISTICA!J395</f>
        <v>0</v>
      </c>
      <c r="K397" s="51">
        <f>ESTADISTICA!K395</f>
        <v>0</v>
      </c>
      <c r="L397" s="51">
        <f>ESTADISTICA!L395</f>
        <v>0</v>
      </c>
      <c r="M397" s="51">
        <f>ESTADISTICA!M395</f>
        <v>0</v>
      </c>
      <c r="N397" s="51">
        <f>ESTADISTICA!N395</f>
        <v>0</v>
      </c>
      <c r="O397" s="51">
        <f>ESTADISTICA!O395</f>
        <v>0</v>
      </c>
      <c r="P397" s="51">
        <f>ESTADISTICA!P395</f>
        <v>0</v>
      </c>
      <c r="Q397" s="51">
        <f>ESTADISTICA!Q395</f>
        <v>0</v>
      </c>
      <c r="R397" s="51">
        <f>ESTADISTICA!R395</f>
        <v>0</v>
      </c>
      <c r="S397" s="51">
        <f>ESTADISTICA!S395</f>
        <v>0</v>
      </c>
      <c r="T397" s="51">
        <f>ESTADISTICA!T395</f>
        <v>0</v>
      </c>
      <c r="U397" s="51">
        <f>ESTADISTICA!U395</f>
        <v>0</v>
      </c>
      <c r="V397" s="51">
        <f>ESTADISTICA!V395</f>
        <v>0</v>
      </c>
      <c r="W397" s="51">
        <f>ESTADISTICA!W395</f>
        <v>0</v>
      </c>
      <c r="X397" s="51">
        <f>ESTADISTICA!X395</f>
        <v>0</v>
      </c>
      <c r="Y397" s="51">
        <f>ESTADISTICA!Y395</f>
        <v>0</v>
      </c>
      <c r="Z397" s="51">
        <f>ESTADISTICA!Z395</f>
        <v>0</v>
      </c>
      <c r="AA397" s="51">
        <f>ESTADISTICA!AA395</f>
        <v>0</v>
      </c>
      <c r="AB397" s="51">
        <f>ESTADISTICA!AB395</f>
        <v>0</v>
      </c>
      <c r="AC397" s="51">
        <f>ESTADISTICA!AC395</f>
        <v>0</v>
      </c>
      <c r="AD397" s="51">
        <f>ESTADISTICA!AD395</f>
        <v>0</v>
      </c>
      <c r="AE397" s="51">
        <f>ESTADISTICA!AE395</f>
        <v>0</v>
      </c>
      <c r="AF397" s="51">
        <f>ESTADISTICA!AF395</f>
        <v>0</v>
      </c>
      <c r="AG397" s="51">
        <f>ESTADISTICA!AG395</f>
        <v>0</v>
      </c>
      <c r="AH397" s="51"/>
      <c r="AI397" s="51"/>
    </row>
    <row r="398" spans="1:35" hidden="1" x14ac:dyDescent="0.25">
      <c r="A398" s="51">
        <f>ESTADISTICA!A396</f>
        <v>0</v>
      </c>
      <c r="B398" s="51">
        <f>ESTADISTICA!B396</f>
        <v>0</v>
      </c>
      <c r="C398" s="51">
        <f>ESTADISTICA!C396</f>
        <v>0</v>
      </c>
      <c r="D398" s="51">
        <f>ESTADISTICA!D396</f>
        <v>0</v>
      </c>
      <c r="E398" s="51">
        <f>ESTADISTICA!E396</f>
        <v>0</v>
      </c>
      <c r="F398" s="51">
        <f>ESTADISTICA!F396</f>
        <v>0</v>
      </c>
      <c r="G398" s="51">
        <f>ESTADISTICA!G396</f>
        <v>0</v>
      </c>
      <c r="H398" s="51">
        <f>ESTADISTICA!H396</f>
        <v>0</v>
      </c>
      <c r="I398" s="51">
        <f>ESTADISTICA!I396</f>
        <v>0</v>
      </c>
      <c r="J398" s="51">
        <f>ESTADISTICA!J396</f>
        <v>0</v>
      </c>
      <c r="K398" s="51">
        <f>ESTADISTICA!K396</f>
        <v>0</v>
      </c>
      <c r="L398" s="51">
        <f>ESTADISTICA!L396</f>
        <v>0</v>
      </c>
      <c r="M398" s="51">
        <f>ESTADISTICA!M396</f>
        <v>0</v>
      </c>
      <c r="N398" s="51">
        <f>ESTADISTICA!N396</f>
        <v>0</v>
      </c>
      <c r="O398" s="51">
        <f>ESTADISTICA!O396</f>
        <v>0</v>
      </c>
      <c r="P398" s="51">
        <f>ESTADISTICA!P396</f>
        <v>0</v>
      </c>
      <c r="Q398" s="51">
        <f>ESTADISTICA!Q396</f>
        <v>0</v>
      </c>
      <c r="R398" s="51">
        <f>ESTADISTICA!R396</f>
        <v>0</v>
      </c>
      <c r="S398" s="51">
        <f>ESTADISTICA!S396</f>
        <v>0</v>
      </c>
      <c r="T398" s="51">
        <f>ESTADISTICA!T396</f>
        <v>0</v>
      </c>
      <c r="U398" s="51">
        <f>ESTADISTICA!U396</f>
        <v>0</v>
      </c>
      <c r="V398" s="51">
        <f>ESTADISTICA!V396</f>
        <v>0</v>
      </c>
      <c r="W398" s="51">
        <f>ESTADISTICA!W396</f>
        <v>0</v>
      </c>
      <c r="X398" s="51">
        <f>ESTADISTICA!X396</f>
        <v>0</v>
      </c>
      <c r="Y398" s="51">
        <f>ESTADISTICA!Y396</f>
        <v>0</v>
      </c>
      <c r="Z398" s="51">
        <f>ESTADISTICA!Z396</f>
        <v>0</v>
      </c>
      <c r="AA398" s="51">
        <f>ESTADISTICA!AA396</f>
        <v>0</v>
      </c>
      <c r="AB398" s="51">
        <f>ESTADISTICA!AB396</f>
        <v>0</v>
      </c>
      <c r="AC398" s="51">
        <f>ESTADISTICA!AC396</f>
        <v>0</v>
      </c>
      <c r="AD398" s="51">
        <f>ESTADISTICA!AD396</f>
        <v>0</v>
      </c>
      <c r="AE398" s="51">
        <f>ESTADISTICA!AE396</f>
        <v>0</v>
      </c>
      <c r="AF398" s="51">
        <f>ESTADISTICA!AF396</f>
        <v>0</v>
      </c>
      <c r="AG398" s="51">
        <f>ESTADISTICA!AG396</f>
        <v>0</v>
      </c>
      <c r="AH398" s="51"/>
      <c r="AI398" s="51"/>
    </row>
    <row r="399" spans="1:35" hidden="1" x14ac:dyDescent="0.25">
      <c r="A399" s="51">
        <f>ESTADISTICA!A397</f>
        <v>0</v>
      </c>
      <c r="B399" s="51">
        <f>ESTADISTICA!B397</f>
        <v>0</v>
      </c>
      <c r="C399" s="51">
        <f>ESTADISTICA!C397</f>
        <v>0</v>
      </c>
      <c r="D399" s="51">
        <f>ESTADISTICA!D397</f>
        <v>0</v>
      </c>
      <c r="E399" s="51">
        <f>ESTADISTICA!E397</f>
        <v>0</v>
      </c>
      <c r="F399" s="51">
        <f>ESTADISTICA!F397</f>
        <v>0</v>
      </c>
      <c r="G399" s="51">
        <f>ESTADISTICA!G397</f>
        <v>0</v>
      </c>
      <c r="H399" s="51">
        <f>ESTADISTICA!H397</f>
        <v>0</v>
      </c>
      <c r="I399" s="51">
        <f>ESTADISTICA!I397</f>
        <v>0</v>
      </c>
      <c r="J399" s="51">
        <f>ESTADISTICA!J397</f>
        <v>0</v>
      </c>
      <c r="K399" s="51">
        <f>ESTADISTICA!K397</f>
        <v>0</v>
      </c>
      <c r="L399" s="51">
        <f>ESTADISTICA!L397</f>
        <v>0</v>
      </c>
      <c r="M399" s="51">
        <f>ESTADISTICA!M397</f>
        <v>0</v>
      </c>
      <c r="N399" s="51">
        <f>ESTADISTICA!N397</f>
        <v>0</v>
      </c>
      <c r="O399" s="51">
        <f>ESTADISTICA!O397</f>
        <v>0</v>
      </c>
      <c r="P399" s="51">
        <f>ESTADISTICA!P397</f>
        <v>0</v>
      </c>
      <c r="Q399" s="51">
        <f>ESTADISTICA!Q397</f>
        <v>0</v>
      </c>
      <c r="R399" s="51">
        <f>ESTADISTICA!R397</f>
        <v>0</v>
      </c>
      <c r="S399" s="51">
        <f>ESTADISTICA!S397</f>
        <v>0</v>
      </c>
      <c r="T399" s="51">
        <f>ESTADISTICA!T397</f>
        <v>0</v>
      </c>
      <c r="U399" s="51">
        <f>ESTADISTICA!U397</f>
        <v>0</v>
      </c>
      <c r="V399" s="51">
        <f>ESTADISTICA!V397</f>
        <v>0</v>
      </c>
      <c r="W399" s="51">
        <f>ESTADISTICA!W397</f>
        <v>0</v>
      </c>
      <c r="X399" s="51">
        <f>ESTADISTICA!X397</f>
        <v>0</v>
      </c>
      <c r="Y399" s="51">
        <f>ESTADISTICA!Y397</f>
        <v>0</v>
      </c>
      <c r="Z399" s="51">
        <f>ESTADISTICA!Z397</f>
        <v>0</v>
      </c>
      <c r="AA399" s="51">
        <f>ESTADISTICA!AA397</f>
        <v>0</v>
      </c>
      <c r="AB399" s="51">
        <f>ESTADISTICA!AB397</f>
        <v>0</v>
      </c>
      <c r="AC399" s="51">
        <f>ESTADISTICA!AC397</f>
        <v>0</v>
      </c>
      <c r="AD399" s="51">
        <f>ESTADISTICA!AD397</f>
        <v>0</v>
      </c>
      <c r="AE399" s="51">
        <f>ESTADISTICA!AE397</f>
        <v>0</v>
      </c>
      <c r="AF399" s="51">
        <f>ESTADISTICA!AF397</f>
        <v>0</v>
      </c>
      <c r="AG399" s="51">
        <f>ESTADISTICA!AG397</f>
        <v>0</v>
      </c>
      <c r="AH399" s="51"/>
      <c r="AI399" s="51"/>
    </row>
    <row r="400" spans="1:35" hidden="1" x14ac:dyDescent="0.25">
      <c r="A400" s="51">
        <f>ESTADISTICA!A398</f>
        <v>0</v>
      </c>
      <c r="B400" s="51">
        <f>ESTADISTICA!B398</f>
        <v>0</v>
      </c>
      <c r="C400" s="51">
        <f>ESTADISTICA!C398</f>
        <v>0</v>
      </c>
      <c r="D400" s="51">
        <f>ESTADISTICA!D398</f>
        <v>0</v>
      </c>
      <c r="E400" s="51">
        <f>ESTADISTICA!E398</f>
        <v>0</v>
      </c>
      <c r="F400" s="51">
        <f>ESTADISTICA!F398</f>
        <v>0</v>
      </c>
      <c r="G400" s="51">
        <f>ESTADISTICA!G398</f>
        <v>0</v>
      </c>
      <c r="H400" s="51">
        <f>ESTADISTICA!H398</f>
        <v>0</v>
      </c>
      <c r="I400" s="51">
        <f>ESTADISTICA!I398</f>
        <v>0</v>
      </c>
      <c r="J400" s="51">
        <f>ESTADISTICA!J398</f>
        <v>0</v>
      </c>
      <c r="K400" s="51">
        <f>ESTADISTICA!K398</f>
        <v>0</v>
      </c>
      <c r="L400" s="51">
        <f>ESTADISTICA!L398</f>
        <v>0</v>
      </c>
      <c r="M400" s="51">
        <f>ESTADISTICA!M398</f>
        <v>0</v>
      </c>
      <c r="N400" s="51">
        <f>ESTADISTICA!N398</f>
        <v>0</v>
      </c>
      <c r="O400" s="51">
        <f>ESTADISTICA!O398</f>
        <v>0</v>
      </c>
      <c r="P400" s="51">
        <f>ESTADISTICA!P398</f>
        <v>0</v>
      </c>
      <c r="Q400" s="51">
        <f>ESTADISTICA!Q398</f>
        <v>0</v>
      </c>
      <c r="R400" s="51">
        <f>ESTADISTICA!R398</f>
        <v>0</v>
      </c>
      <c r="S400" s="51">
        <f>ESTADISTICA!S398</f>
        <v>0</v>
      </c>
      <c r="T400" s="51">
        <f>ESTADISTICA!T398</f>
        <v>0</v>
      </c>
      <c r="U400" s="51">
        <f>ESTADISTICA!U398</f>
        <v>0</v>
      </c>
      <c r="V400" s="51">
        <f>ESTADISTICA!V398</f>
        <v>0</v>
      </c>
      <c r="W400" s="51">
        <f>ESTADISTICA!W398</f>
        <v>0</v>
      </c>
      <c r="X400" s="51">
        <f>ESTADISTICA!X398</f>
        <v>0</v>
      </c>
      <c r="Y400" s="51">
        <f>ESTADISTICA!Y398</f>
        <v>0</v>
      </c>
      <c r="Z400" s="51">
        <f>ESTADISTICA!Z398</f>
        <v>0</v>
      </c>
      <c r="AA400" s="51">
        <f>ESTADISTICA!AA398</f>
        <v>0</v>
      </c>
      <c r="AB400" s="51">
        <f>ESTADISTICA!AB398</f>
        <v>0</v>
      </c>
      <c r="AC400" s="51">
        <f>ESTADISTICA!AC398</f>
        <v>0</v>
      </c>
      <c r="AD400" s="51">
        <f>ESTADISTICA!AD398</f>
        <v>0</v>
      </c>
      <c r="AE400" s="51">
        <f>ESTADISTICA!AE398</f>
        <v>0</v>
      </c>
      <c r="AF400" s="51">
        <f>ESTADISTICA!AF398</f>
        <v>0</v>
      </c>
      <c r="AG400" s="51">
        <f>ESTADISTICA!AG398</f>
        <v>0</v>
      </c>
      <c r="AH400" s="51"/>
      <c r="AI400" s="51"/>
    </row>
  </sheetData>
  <autoFilter ref="A3:AI400" xr:uid="{01697DCC-74FC-4E40-B9A4-100C171A67C1}">
    <filterColumn colId="4">
      <filters>
        <filter val="Fibra Optica"/>
      </filters>
    </filterColumn>
    <filterColumn colId="33">
      <filters>
        <filter val="APAGADO"/>
      </filters>
    </filterColumn>
  </autoFilter>
  <conditionalFormatting sqref="F9:AG360 AH10:AI10 AH12:AI13 AH16:AI18 AH20:AI21 AH27:AI27 AH32:AI51 AH53:AI55 AH58:AI82 AH87:AI94 AH97:AI98 AH105:AI108 AH114:AI115 AH117:AI123 AH136:AI136 AH146:AI164 AH167:AI174 AH179:AI179 AH184:AI205 AH208:AI226 AH228:AI231 AH234:AI236 AH238:AI245 AH250:AI253 AH257:AI258 AH262:AI265 AH267:AI269 AH272:AI273 AH282:AI286 AH288:AI293 AH302:AI306 AH315:AI318 AH320:AI320 AH322:AI339 AH344:AI352 AH355:AI360">
    <cfRule type="containsText" dxfId="140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I454"/>
  <sheetViews>
    <sheetView workbookViewId="0">
      <pane xSplit="5" ySplit="3" topLeftCell="Y4" activePane="bottomRight" state="frozenSplit"/>
      <selection pane="topRight" activeCell="F1" sqref="F1"/>
      <selection pane="bottomLeft" activeCell="A3" sqref="A3"/>
      <selection pane="bottomRight" activeCell="AH142" sqref="AH14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</cols>
  <sheetData>
    <row r="1" spans="1:35" ht="21" x14ac:dyDescent="0.35">
      <c r="C1" s="50" t="s">
        <v>1393</v>
      </c>
      <c r="D1" s="50">
        <f>COUNTIFS(E4:E400,"=PTo A FO")</f>
        <v>37</v>
      </c>
    </row>
    <row r="2" spans="1:35" ht="21" x14ac:dyDescent="0.35">
      <c r="E2" s="26" t="s">
        <v>821</v>
      </c>
      <c r="F2" s="26">
        <f>COUNTIFS(F4:F400, "=APAGADO",E4:E400,"=PTO A FO")</f>
        <v>3</v>
      </c>
      <c r="G2" s="26">
        <f>COUNTIFS(G4:G400, "=APAGADO",E4:E400,"=PTO A FO")</f>
        <v>2</v>
      </c>
      <c r="H2" s="26">
        <f>COUNTIFS(H4:H400, "=APAGADO",E4:E400,"=PTO A FO")</f>
        <v>3</v>
      </c>
      <c r="I2" s="26">
        <f>COUNTIFS(I4:I400, "=APAGADO",E4:E400,"=PTO A FO")</f>
        <v>3</v>
      </c>
      <c r="J2" s="26">
        <f>COUNTIFS(J4:J400, "=APAGADO",E4:E400,"=PTO A FO")</f>
        <v>2</v>
      </c>
      <c r="K2" s="26">
        <f>COUNTIFS(K4:K400, "=APAGADO",E4:E400,"=PTO A FO")</f>
        <v>3</v>
      </c>
      <c r="L2" s="26">
        <f>COUNTIFS(L4:L400, "=APAGADO",E4:E400,"=PTO A FO")</f>
        <v>2</v>
      </c>
      <c r="M2" s="26">
        <f>COUNTIFS(M4:M400, "=APAGADO",E4:E400,"=PTO A FO")</f>
        <v>0</v>
      </c>
      <c r="N2" s="26">
        <f>COUNTIFS(N4:N400, "=APAGADO",E4:E400,"=PTO A FO")</f>
        <v>0</v>
      </c>
      <c r="O2" s="26">
        <f>COUNTIFS(O4:O400, "=APAGADO",E4:E400,"=PTO A FO")</f>
        <v>0</v>
      </c>
      <c r="P2" s="26">
        <f>COUNTIFS(P4:P400, "=APAGADO",E4:E400,"=PTO A FO")</f>
        <v>0</v>
      </c>
      <c r="Q2" s="26">
        <f>COUNTIFS(Q4:Q400, "=APAGADO",E4:E400,"=PTO A FO")</f>
        <v>0</v>
      </c>
      <c r="R2" s="26">
        <f>COUNTIFS(R4:R400, "=APAGADO",E4:E400,"=PTO A FO")</f>
        <v>0</v>
      </c>
      <c r="S2" s="26">
        <f>COUNTIFS(S4:S400, "=APAGADO",E4:E400,"=PTO A FO")</f>
        <v>0</v>
      </c>
      <c r="T2" s="26">
        <f>COUNTIFS(T4:T400, "=APAGADO",E4:E400,"=PTO A FO")</f>
        <v>0</v>
      </c>
      <c r="U2" s="26">
        <f>COUNTIFS(U4:U400, "=APAGADO",E4:E400,"=PTO A FO")</f>
        <v>0</v>
      </c>
      <c r="V2" s="26">
        <f>COUNTIFS(V4:V400, "=APAGADO",E4:E400,"=PTO A FO")</f>
        <v>0</v>
      </c>
      <c r="W2" s="26">
        <f>COUNTIFS(W4:W400, "=APAGADO",E4:E400,"=PTO A FO")</f>
        <v>0</v>
      </c>
      <c r="X2" s="26">
        <f>COUNTIFS(X4:X400, "=APAGADO",E4:E400,"=PTO A FO")</f>
        <v>0</v>
      </c>
      <c r="Y2" s="26">
        <f>COUNTIFS(Y4:Y400, "=APAGADO",E4:E400,"=PTO A FO")</f>
        <v>0</v>
      </c>
      <c r="Z2" s="26">
        <f>COUNTIFS(Z4:Z400, "=APAGADO",E4:E400,"=PTO A FO")</f>
        <v>0</v>
      </c>
      <c r="AA2" s="26">
        <f>COUNTIFS(AA4:AA400, "=APAGADO",E4:E400,"=PTO A FO")</f>
        <v>0</v>
      </c>
      <c r="AB2" s="26">
        <f>COUNTIFS(AB4:AB400, "=APAGADO",E4:E400,"=PTO A FO")</f>
        <v>0</v>
      </c>
      <c r="AC2" s="26">
        <f>COUNTIFS(AC4:AC400, "=APAGADO",E4:E400,"=PTO A FO")</f>
        <v>0</v>
      </c>
      <c r="AD2" s="26">
        <f>COUNTIFS(AD4:AD400, "=APAGADO",E4:E400,"=PTO A FO")</f>
        <v>0</v>
      </c>
      <c r="AE2" s="26">
        <f>COUNTIFS(AE4:AE400, "=APAGADO",E4:E400,"=PTO A FO")</f>
        <v>0</v>
      </c>
      <c r="AF2" s="26">
        <f>COUNTIFS(AF4:AF400, "=APAGADO",E4:E400,"=PTO A FO")</f>
        <v>0</v>
      </c>
      <c r="AG2" s="26">
        <f>COUNTIFS(AG4:AG400, "=APAGADO",E4:E400,"=PTO A FO")</f>
        <v>0</v>
      </c>
      <c r="AH2" s="26">
        <f>COUNTIFS(AH4:AH400, "=APAGADO",E4:E400,"=PTO A FO")</f>
        <v>0</v>
      </c>
      <c r="AI2" s="26">
        <f>COUNTIFS(AI4:AI400, "=APAGADO",E4:E400,"=PTO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6">
        <f>ESTADISTICA!F1</f>
        <v>44774</v>
      </c>
      <c r="G3" s="56">
        <f>ESTADISTICA!G1</f>
        <v>44775</v>
      </c>
      <c r="H3" s="56">
        <f>ESTADISTICA!H1</f>
        <v>44776</v>
      </c>
      <c r="I3" s="56">
        <f>ESTADISTICA!I1</f>
        <v>44777</v>
      </c>
      <c r="J3" s="56">
        <f>ESTADISTICA!J1</f>
        <v>44778</v>
      </c>
      <c r="K3" s="56">
        <f>ESTADISTICA!K1</f>
        <v>44779</v>
      </c>
      <c r="L3" s="56">
        <f>ESTADISTICA!L1</f>
        <v>44780</v>
      </c>
      <c r="M3" s="56">
        <f>ESTADISTICA!M1</f>
        <v>44781</v>
      </c>
      <c r="N3" s="56">
        <f>ESTADISTICA!N1</f>
        <v>44782</v>
      </c>
      <c r="O3" s="56">
        <f>ESTADISTICA!O1</f>
        <v>44783</v>
      </c>
      <c r="P3" s="56">
        <f>ESTADISTICA!P1</f>
        <v>44784</v>
      </c>
      <c r="Q3" s="56">
        <f>ESTADISTICA!Q1</f>
        <v>44785</v>
      </c>
      <c r="R3" s="56">
        <f>ESTADISTICA!R1</f>
        <v>44786</v>
      </c>
      <c r="S3" s="56">
        <f>ESTADISTICA!S1</f>
        <v>44787</v>
      </c>
      <c r="T3" s="56">
        <f>ESTADISTICA!T1</f>
        <v>44788</v>
      </c>
      <c r="U3" s="56">
        <f>ESTADISTICA!U1</f>
        <v>44789</v>
      </c>
      <c r="V3" s="56">
        <f>ESTADISTICA!V1</f>
        <v>44790</v>
      </c>
      <c r="W3" s="56">
        <f>ESTADISTICA!W1</f>
        <v>44791</v>
      </c>
      <c r="X3" s="56">
        <f>ESTADISTICA!X1</f>
        <v>44792</v>
      </c>
      <c r="Y3" s="56">
        <f>ESTADISTICA!Y1</f>
        <v>44793</v>
      </c>
      <c r="Z3" s="56">
        <f>ESTADISTICA!Z1</f>
        <v>44794</v>
      </c>
      <c r="AA3" s="56">
        <f>ESTADISTICA!AA1</f>
        <v>44795</v>
      </c>
      <c r="AB3" s="56">
        <f>ESTADISTICA!AB1</f>
        <v>44796</v>
      </c>
      <c r="AC3" s="56">
        <f>ESTADISTICA!AC1</f>
        <v>44797</v>
      </c>
      <c r="AD3" s="56">
        <f>ESTADISTICA!AD1</f>
        <v>44798</v>
      </c>
      <c r="AE3" s="56">
        <f>ESTADISTICA!AE1</f>
        <v>44799</v>
      </c>
      <c r="AF3" s="56">
        <f>ESTADISTICA!AF1</f>
        <v>44800</v>
      </c>
      <c r="AG3" s="56">
        <f>ESTADISTICA!AG1</f>
        <v>44801</v>
      </c>
      <c r="AH3" s="56">
        <f>ESTADISTICA!AH1</f>
        <v>44802</v>
      </c>
      <c r="AI3" s="56">
        <f>ESTADISTICA!AI1</f>
        <v>44803</v>
      </c>
    </row>
    <row r="4" spans="1:35" hidden="1" x14ac:dyDescent="0.25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 t="str">
        <f>ESTADISTICA!L2</f>
        <v>APAGADO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 t="str">
        <f>ESTADISTICA!K3</f>
        <v>APAGADO</v>
      </c>
      <c r="L5" t="str">
        <f>ESTADISTICA!L3</f>
        <v>APAGADO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 t="str">
        <f>ESTADISTICA!K4</f>
        <v>APAGADO</v>
      </c>
      <c r="L6" t="str">
        <f>ESTADISTICA!L4</f>
        <v>APAGADO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 t="str">
        <f>ESTADISTICA!K5</f>
        <v>APAGADO</v>
      </c>
      <c r="L7" t="str">
        <f>ESTADISTICA!L5</f>
        <v>APAGADO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 t="str">
        <f>ESTADISTICA!K6</f>
        <v>APAGADO</v>
      </c>
      <c r="L8" t="str">
        <f>ESTADISTICA!L6</f>
        <v>APAGADO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 t="str">
        <f>ESTADISTICA!G12</f>
        <v>APAGADO</v>
      </c>
      <c r="H14">
        <f>ESTADISTICA!H12</f>
        <v>0</v>
      </c>
      <c r="I14">
        <f>ESTADISTICA!I12</f>
        <v>0</v>
      </c>
      <c r="J14">
        <f>ESTADISTICA!J12</f>
        <v>0</v>
      </c>
      <c r="K14" t="str">
        <f>ESTADISTICA!K12</f>
        <v>APAGADO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 t="str">
        <f>ESTADISTICA!G13</f>
        <v>APAGADO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CENTRO</v>
      </c>
      <c r="B16" t="str">
        <f>ESTADISTICA!B14</f>
        <v>CEN 05</v>
      </c>
      <c r="C16" t="str">
        <f>ESTADISTICA!C14</f>
        <v>Bocuzzi e/EspaÃ±a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 t="str">
        <f>ESTADISTICA!K23</f>
        <v>APAGADO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25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 t="str">
        <f>ESTADISTICA!I28</f>
        <v>APAGADO</v>
      </c>
      <c r="J30">
        <f>ESTADISTICA!J28</f>
        <v>0</v>
      </c>
      <c r="K30" t="str">
        <f>ESTADISTICA!K28</f>
        <v>APAGADO</v>
      </c>
      <c r="L30" t="str">
        <f>ESTADISTICA!L28</f>
        <v>APAGADO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 t="str">
        <f>ESTADISTICA!K31</f>
        <v>APAGADO</v>
      </c>
      <c r="L33" t="str">
        <f>ESTADISTICA!L31</f>
        <v>APAGADO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76</v>
      </c>
      <c r="C35" t="str">
        <f>ESTADISTICA!C33</f>
        <v>ESPAÃ‘A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CEN07</v>
      </c>
      <c r="C41" t="str">
        <f>ESTADISTICA!C39</f>
        <v>San Martin y GÃ¼emes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CEN08</v>
      </c>
      <c r="C42" t="str">
        <f>ESTADISTICA!C40</f>
        <v>San Martin y Pte.PerÃ³n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CEN10</v>
      </c>
      <c r="C44" t="str">
        <f>ESTADISTICA!C42</f>
        <v>Monteagudo y Pte. PerÃ³n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CEN14</v>
      </c>
      <c r="C46" t="str">
        <f>ESTADISTICA!C44</f>
        <v>Pte.PerÃ³n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CEN24</v>
      </c>
      <c r="C56" t="str">
        <f>ESTADISTICA!C54</f>
        <v>Sallares y EspaÃ±a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CEN26</v>
      </c>
      <c r="C58" t="str">
        <f>ESTADISTICA!C56</f>
        <v>Mitre y EspaÃ±a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CEN27</v>
      </c>
      <c r="C59" t="str">
        <f>ESTADISTICA!C57</f>
        <v>San Juan y EspaÃ±a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CEN32</v>
      </c>
      <c r="C64" t="str">
        <f>ESTADISTICA!C62</f>
        <v>Aristobulo del Valle y EspaÃ±a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 t="str">
        <f>ESTADISTICA!I64</f>
        <v>APAGADO</v>
      </c>
      <c r="J66" t="str">
        <f>ESTADISTICA!J64</f>
        <v>APAGADO</v>
      </c>
      <c r="K66" t="str">
        <f>ESTADISTICA!K64</f>
        <v>APAGADO</v>
      </c>
      <c r="L66" t="str">
        <f>ESTADISTICA!L64</f>
        <v>APAGADO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ESPAÃ‘A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 t="str">
        <f>ESTADISTICA!H84</f>
        <v>APAGADO</v>
      </c>
      <c r="I86" t="str">
        <f>ESTADISTICA!I84</f>
        <v>APAGADO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 t="str">
        <f>ESTADISTICA!F125</f>
        <v>APAGADO</v>
      </c>
      <c r="G127" t="str">
        <f>ESTADISTICA!G125</f>
        <v>APAGADO</v>
      </c>
      <c r="H127" t="str">
        <f>ESTADISTICA!H125</f>
        <v>APAGADO</v>
      </c>
      <c r="I127" t="str">
        <f>ESTADISTICA!I125</f>
        <v>APAGADO</v>
      </c>
      <c r="J127" t="str">
        <f>ESTADISTICA!J125</f>
        <v>APAGADO</v>
      </c>
      <c r="K127" t="str">
        <f>ESTADISTICA!K125</f>
        <v>APAGADO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 t="str">
        <f>ESTADISTICA!L131</f>
        <v>APAGADO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CHACABUCO</v>
      </c>
      <c r="B143" t="str">
        <f>ESTADISTICA!B141</f>
        <v>LPI 01</v>
      </c>
      <c r="C143" t="str">
        <f>ESTADISTICA!C141</f>
        <v>MaipÃº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LOPEZ ROMERO</v>
      </c>
      <c r="B151" t="str">
        <f>ESTADISTICA!B149</f>
        <v>LRO 09</v>
      </c>
      <c r="C151" t="str">
        <f>ESTADISTICA!C149</f>
        <v>Las AmÃ©ricas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 t="str">
        <f>ESTADISTICA!I154</f>
        <v>APAGADO</v>
      </c>
      <c r="J156" t="str">
        <f>ESTADISTICA!J154</f>
        <v>APAGADO</v>
      </c>
      <c r="K156" t="str">
        <f>ESTADISTICA!K154</f>
        <v>APAGADO</v>
      </c>
      <c r="L156" t="str">
        <f>ESTADISTICA!L154</f>
        <v>APAGADO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 t="str">
        <f>ESTADISTICA!I155</f>
        <v>APAGADO</v>
      </c>
      <c r="J157" t="str">
        <f>ESTADISTICA!J155</f>
        <v>APAGADO</v>
      </c>
      <c r="K157" t="str">
        <f>ESTADISTICA!K155</f>
        <v>APAGADO</v>
      </c>
      <c r="L157" t="str">
        <f>ESTADISTICA!L155</f>
        <v>APAGADO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 t="str">
        <f>ESTADISTICA!K157</f>
        <v>APAGADO</v>
      </c>
      <c r="L159" t="str">
        <f>ESTADISTICA!L157</f>
        <v>APAGADO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 t="str">
        <f>ESTADISTICA!F159</f>
        <v>APAGADO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 t="str">
        <f>ESTADISTICA!K159</f>
        <v>APAGADO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LUJAN</v>
      </c>
      <c r="B164" t="str">
        <f>ESTADISTICA!B162</f>
        <v>LUJ 01</v>
      </c>
      <c r="C164" t="str">
        <f>ESTADISTICA!C162</f>
        <v>Ã‘andu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 t="str">
        <f>ESTADISTICA!L165</f>
        <v>APAGADO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MAYOL</v>
      </c>
      <c r="B170" t="str">
        <f>ESTADISTICA!B168</f>
        <v>MAY 01</v>
      </c>
      <c r="C170" t="str">
        <f>ESTADISTICA!C168</f>
        <v>Eva PerÃ³n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MAYOL</v>
      </c>
      <c r="B172" t="str">
        <f>ESTADISTICA!B170</f>
        <v>MAY 03</v>
      </c>
      <c r="C172" t="str">
        <f>ESTADISTICA!C170</f>
        <v>CHAÃ‘AR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 t="str">
        <f>ESTADISTICA!K172</f>
        <v>APAGADO</v>
      </c>
      <c r="L174" t="str">
        <f>ESTADISTICA!L172</f>
        <v>APAGADO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 t="str">
        <f>ESTADISTICA!K173</f>
        <v>APAGADO</v>
      </c>
      <c r="L175" t="str">
        <f>ESTADISTICA!L173</f>
        <v>APAGADO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 t="str">
        <f>ESTADISTICA!K174</f>
        <v>APAGADO</v>
      </c>
      <c r="L176" t="str">
        <f>ESTADISTICA!L174</f>
        <v>APAGADO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 t="str">
        <f>ESTADISTICA!K177</f>
        <v>APAGADO</v>
      </c>
      <c r="L179" t="str">
        <f>ESTADISTICA!L177</f>
        <v>APAGADO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 t="str">
        <f>ESTADISTICA!G196</f>
        <v>APAGADO</v>
      </c>
      <c r="H198">
        <f>ESTADISTICA!H196</f>
        <v>0</v>
      </c>
      <c r="I198">
        <f>ESTADISTICA!I196</f>
        <v>0</v>
      </c>
      <c r="J198">
        <f>ESTADISTICA!J196</f>
        <v>0</v>
      </c>
      <c r="K198" t="str">
        <f>ESTADISTICA!K196</f>
        <v>APAGADO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 t="str">
        <f>ESTADISTICA!G197</f>
        <v>APAGADO</v>
      </c>
      <c r="H199">
        <f>ESTADISTICA!H197</f>
        <v>0</v>
      </c>
      <c r="I199">
        <f>ESTADISTICA!I197</f>
        <v>0</v>
      </c>
      <c r="J199">
        <f>ESTADISTICA!J197</f>
        <v>0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 t="str">
        <f>ESTADISTICA!L203</f>
        <v>APAGADO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 t="str">
        <f>ESTADISTICA!F212</f>
        <v>APAGADO</v>
      </c>
      <c r="G214" t="str">
        <f>ESTADISTICA!G212</f>
        <v>APAGADO</v>
      </c>
      <c r="H214" t="str">
        <f>ESTADISTICA!H212</f>
        <v>APAGADO</v>
      </c>
      <c r="I214" t="str">
        <f>ESTADISTICA!I212</f>
        <v>APAGADO</v>
      </c>
      <c r="J214" t="str">
        <f>ESTADISTICA!J212</f>
        <v>APAGADO</v>
      </c>
      <c r="K214" t="str">
        <f>ESTADISTICA!K212</f>
        <v>APAGADO</v>
      </c>
      <c r="L214" t="str">
        <f>ESTADISTICA!L212</f>
        <v>APAGADO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>
        <f>ESTADISTICA!G222</f>
        <v>0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 t="str">
        <f>ESTADISTICA!L224</f>
        <v>APAGADO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 t="str">
        <f>ESTADISTICA!L225</f>
        <v>APAGADO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 t="str">
        <f>ESTADISTICA!L228</f>
        <v>APAGADO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 t="str">
        <f>ESTADISTICA!L229</f>
        <v>APAGADO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 t="str">
        <f>ESTADISTICA!L230</f>
        <v>APAGADO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 t="str">
        <f>ESTADISTICA!L231</f>
        <v>APAGADO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 t="str">
        <f>ESTADISTICA!L232</f>
        <v>APAGADO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 t="str">
        <f>ESTADISTICA!L233</f>
        <v>APAGADO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 t="str">
        <f>ESTADISTICA!L234</f>
        <v>APAGADO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 t="str">
        <f>ESTADISTICA!L235</f>
        <v>APAGADO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 t="str">
        <f>ESTADISTICA!L236</f>
        <v>APAGADO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 t="str">
        <f>ESTADISTICA!L237</f>
        <v>APAGADO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 t="str">
        <f>ESTADISTICA!L238</f>
        <v>APAGADO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 t="str">
        <f>ESTADISTICA!L239</f>
        <v>APAGADO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 t="str">
        <f>ESTADISTICA!K240</f>
        <v>APAGADO</v>
      </c>
      <c r="L242" t="str">
        <f>ESTADISTICA!L240</f>
        <v>APAGADO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 t="str">
        <f>ESTADISTICA!I241</f>
        <v>APAGADO</v>
      </c>
      <c r="J243" t="str">
        <f>ESTADISTICA!J241</f>
        <v>APAGADO</v>
      </c>
      <c r="K243" t="str">
        <f>ESTADISTICA!K241</f>
        <v>APAGADO</v>
      </c>
      <c r="L243" t="str">
        <f>ESTADISTICA!L241</f>
        <v>APAGADO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 t="str">
        <f>ESTADISTICA!I242</f>
        <v>APAGADO</v>
      </c>
      <c r="J244" t="str">
        <f>ESTADISTICA!J242</f>
        <v>APAGADO</v>
      </c>
      <c r="K244" t="str">
        <f>ESTADISTICA!K242</f>
        <v>APAGADO</v>
      </c>
      <c r="L244" t="str">
        <f>ESTADISTICA!L242</f>
        <v>APAGADO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 t="str">
        <f>ESTADISTICA!K249</f>
        <v>APAGADO</v>
      </c>
      <c r="L251" t="str">
        <f>ESTADISTICA!L249</f>
        <v>APAGADO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 t="str">
        <f>ESTADISTICA!K252</f>
        <v>APAGADO</v>
      </c>
      <c r="L254" t="str">
        <f>ESTADISTICA!L252</f>
        <v>APAGADO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826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 t="str">
        <f>ESTADISTICA!F299</f>
        <v>APAGADO</v>
      </c>
      <c r="G301" t="str">
        <f>ESTADISTICA!G299</f>
        <v>APAGADO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 t="str">
        <f>ESTADISTICA!L309</f>
        <v>APAGADO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 t="str">
        <f>ESTADISTICA!L310</f>
        <v>APAGADO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 t="str">
        <f>ESTADISTICA!J324</f>
        <v>APAGADO</v>
      </c>
      <c r="K326" t="str">
        <f>ESTADISTICA!K324</f>
        <v>APAGADO</v>
      </c>
      <c r="L326" t="str">
        <f>ESTADISTICA!L324</f>
        <v>APAGADO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 t="str">
        <f>ESTADISTICA!K325</f>
        <v>APAGADO</v>
      </c>
      <c r="L327" t="str">
        <f>ESTADISTICA!L325</f>
        <v>APAGADO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 t="str">
        <f>ESTADISTICA!J332</f>
        <v>APAGADO</v>
      </c>
      <c r="K334" t="str">
        <f>ESTADISTICA!K332</f>
        <v>APAGADO</v>
      </c>
      <c r="L334" t="str">
        <f>ESTADISTICA!L332</f>
        <v>APAGADO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VATTEONE</v>
      </c>
      <c r="B337" t="str">
        <f>ESTADISTICA!B335</f>
        <v>VAT 17</v>
      </c>
      <c r="C337" t="str">
        <f>ESTADISTICA!C335</f>
        <v>CHAÃ‘AR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VATTEONE CENTRO</v>
      </c>
      <c r="B342" t="str">
        <f>ESTADISTICA!B340</f>
        <v>VAT02</v>
      </c>
      <c r="C342" t="str">
        <f>ESTADISTICA!C340</f>
        <v>Eva PerÃ³n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 t="str">
        <f>ESTADISTICA!F345</f>
        <v>APAGADO</v>
      </c>
      <c r="G347">
        <f>ESTADISTICA!G345</f>
        <v>0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 t="str">
        <f>ESTADISTICA!K345</f>
        <v>APAGADO</v>
      </c>
      <c r="L347" t="str">
        <f>ESTADISTICA!L345</f>
        <v>APAGADO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 t="str">
        <f>ESTADISTICA!F353</f>
        <v>APAGADO</v>
      </c>
      <c r="G355">
        <f>ESTADISTICA!G353</f>
        <v>0</v>
      </c>
      <c r="H355" t="str">
        <f>ESTADISTICA!H353</f>
        <v>APAGADO</v>
      </c>
      <c r="I355" t="str">
        <f>ESTADISTICA!I353</f>
        <v>APAGADO</v>
      </c>
      <c r="J355">
        <f>ESTADISTICA!J353</f>
        <v>0</v>
      </c>
      <c r="K355" t="str">
        <f>ESTADISTICA!K353</f>
        <v>APAGADO</v>
      </c>
      <c r="L355" t="str">
        <f>ESTADISTICA!L353</f>
        <v>APAGADO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 t="str">
        <f>ESTADISTICA!F354</f>
        <v>APAGADO</v>
      </c>
      <c r="G356">
        <f>ESTADISTICA!G354</f>
        <v>0</v>
      </c>
      <c r="H356" t="str">
        <f>ESTADISTICA!H354</f>
        <v>APAGADO</v>
      </c>
      <c r="I356" t="str">
        <f>ESTADISTICA!I354</f>
        <v>APAGADO</v>
      </c>
      <c r="J356">
        <f>ESTADISTICA!J354</f>
        <v>0</v>
      </c>
      <c r="K356" t="str">
        <f>ESTADISTICA!K354</f>
        <v>APAGADO</v>
      </c>
      <c r="L356" t="str">
        <f>ESTADISTICA!L354</f>
        <v>APAGADO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>
        <f>ESTADISTICA!G358</f>
        <v>0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>
        <f>ESTADISTICA!G359</f>
        <v>0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 t="str">
        <f>ESTADISTICA!K367</f>
        <v>APAGADO</v>
      </c>
      <c r="L369" t="str">
        <f>ESTADISTICA!L367</f>
        <v>APAGADO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51" t="str">
        <f>ESTADISTICA!A368</f>
        <v>VILLA HUDSON</v>
      </c>
      <c r="B370" s="51" t="str">
        <f>ESTADISTICA!B368</f>
        <v>VHS 01</v>
      </c>
      <c r="C370" s="51" t="str">
        <f>ESTADISTICA!C368</f>
        <v>AV. HUDSON Y AV. LUJAN</v>
      </c>
      <c r="D370" s="51" t="str">
        <f>ESTADISTICA!D368</f>
        <v>DOMO</v>
      </c>
      <c r="E370" s="51" t="str">
        <f>ESTADISTICA!E368</f>
        <v>Fibra Optica</v>
      </c>
      <c r="F370" s="51">
        <f>ESTADISTICA!F368</f>
        <v>0</v>
      </c>
      <c r="G370" s="51">
        <f>ESTADISTICA!G368</f>
        <v>0</v>
      </c>
      <c r="H370" s="51">
        <f>ESTADISTICA!H368</f>
        <v>0</v>
      </c>
      <c r="I370" s="51">
        <f>ESTADISTICA!I368</f>
        <v>0</v>
      </c>
      <c r="J370" s="51">
        <f>ESTADISTICA!J368</f>
        <v>0</v>
      </c>
      <c r="K370" s="51">
        <f>ESTADISTICA!K368</f>
        <v>0</v>
      </c>
      <c r="L370" s="51" t="str">
        <f>ESTADISTICA!L368</f>
        <v>APAGADO</v>
      </c>
      <c r="M370" s="51">
        <f>ESTADISTICA!M368</f>
        <v>0</v>
      </c>
      <c r="N370" s="51">
        <f>ESTADISTICA!N368</f>
        <v>0</v>
      </c>
      <c r="O370" s="51">
        <f>ESTADISTICA!O368</f>
        <v>0</v>
      </c>
      <c r="P370" s="51">
        <f>ESTADISTICA!P368</f>
        <v>0</v>
      </c>
      <c r="Q370" s="51">
        <f>ESTADISTICA!Q368</f>
        <v>0</v>
      </c>
      <c r="R370" s="51">
        <f>ESTADISTICA!R368</f>
        <v>0</v>
      </c>
      <c r="S370" s="51">
        <f>ESTADISTICA!S368</f>
        <v>0</v>
      </c>
      <c r="T370" s="51">
        <f>ESTADISTICA!T368</f>
        <v>0</v>
      </c>
      <c r="U370" s="51">
        <f>ESTADISTICA!U368</f>
        <v>0</v>
      </c>
      <c r="V370" s="51">
        <f>ESTADISTICA!V368</f>
        <v>0</v>
      </c>
      <c r="W370" s="51">
        <f>ESTADISTICA!W368</f>
        <v>0</v>
      </c>
      <c r="X370" s="51">
        <f>ESTADISTICA!X368</f>
        <v>0</v>
      </c>
      <c r="Y370" s="51">
        <f>ESTADISTICA!Y368</f>
        <v>0</v>
      </c>
      <c r="Z370" s="51">
        <f>ESTADISTICA!Z368</f>
        <v>0</v>
      </c>
      <c r="AA370" s="51">
        <f>ESTADISTICA!AA368</f>
        <v>0</v>
      </c>
      <c r="AB370" s="51">
        <f>ESTADISTICA!AB368</f>
        <v>0</v>
      </c>
      <c r="AC370" s="51">
        <f>ESTADISTICA!AC368</f>
        <v>0</v>
      </c>
      <c r="AD370" s="51">
        <f>ESTADISTICA!AD368</f>
        <v>0</v>
      </c>
      <c r="AE370" s="51">
        <f>ESTADISTICA!AE368</f>
        <v>0</v>
      </c>
      <c r="AF370" s="51">
        <f>ESTADISTICA!AF368</f>
        <v>0</v>
      </c>
      <c r="AG370" s="51">
        <f>ESTADISTICA!AG368</f>
        <v>0</v>
      </c>
      <c r="AH370" s="51">
        <f>ESTADISTICA!AH368</f>
        <v>0</v>
      </c>
      <c r="AI370" s="51">
        <f>ESTADISTICA!AI368</f>
        <v>0</v>
      </c>
    </row>
    <row r="371" spans="1:35" hidden="1" x14ac:dyDescent="0.25">
      <c r="A371" s="51" t="str">
        <f>ESTADISTICA!A369</f>
        <v>VILLA HUDSON</v>
      </c>
      <c r="B371" s="51" t="str">
        <f>ESTADISTICA!B369</f>
        <v>VHS 02</v>
      </c>
      <c r="C371" s="51" t="str">
        <f>ESTADISTICA!C369</f>
        <v>AV. LUJAN Y CALLE 909 A</v>
      </c>
      <c r="D371" s="51" t="str">
        <f>ESTADISTICA!D369</f>
        <v>DOMO</v>
      </c>
      <c r="E371" s="51" t="str">
        <f>ESTADISTICA!E369</f>
        <v>Fibra Optica</v>
      </c>
      <c r="F371" s="51">
        <f>ESTADISTICA!F369</f>
        <v>0</v>
      </c>
      <c r="G371" s="51">
        <f>ESTADISTICA!G369</f>
        <v>0</v>
      </c>
      <c r="H371" s="51">
        <f>ESTADISTICA!H369</f>
        <v>0</v>
      </c>
      <c r="I371" s="51">
        <f>ESTADISTICA!I369</f>
        <v>0</v>
      </c>
      <c r="J371" s="51">
        <f>ESTADISTICA!J369</f>
        <v>0</v>
      </c>
      <c r="K371" s="51">
        <f>ESTADISTICA!K369</f>
        <v>0</v>
      </c>
      <c r="L371" s="51" t="str">
        <f>ESTADISTICA!L369</f>
        <v>APAGADO</v>
      </c>
      <c r="M371" s="51">
        <f>ESTADISTICA!M369</f>
        <v>0</v>
      </c>
      <c r="N371" s="51">
        <f>ESTADISTICA!N369</f>
        <v>0</v>
      </c>
      <c r="O371" s="51">
        <f>ESTADISTICA!O369</f>
        <v>0</v>
      </c>
      <c r="P371" s="51">
        <f>ESTADISTICA!P369</f>
        <v>0</v>
      </c>
      <c r="Q371" s="51">
        <f>ESTADISTICA!Q369</f>
        <v>0</v>
      </c>
      <c r="R371" s="51">
        <f>ESTADISTICA!R369</f>
        <v>0</v>
      </c>
      <c r="S371" s="51">
        <f>ESTADISTICA!S369</f>
        <v>0</v>
      </c>
      <c r="T371" s="51">
        <f>ESTADISTICA!T369</f>
        <v>0</v>
      </c>
      <c r="U371" s="51">
        <f>ESTADISTICA!U369</f>
        <v>0</v>
      </c>
      <c r="V371" s="51">
        <f>ESTADISTICA!V369</f>
        <v>0</v>
      </c>
      <c r="W371" s="51">
        <f>ESTADISTICA!W369</f>
        <v>0</v>
      </c>
      <c r="X371" s="51">
        <f>ESTADISTICA!X369</f>
        <v>0</v>
      </c>
      <c r="Y371" s="51">
        <f>ESTADISTICA!Y369</f>
        <v>0</v>
      </c>
      <c r="Z371" s="51">
        <f>ESTADISTICA!Z369</f>
        <v>0</v>
      </c>
      <c r="AA371" s="51">
        <f>ESTADISTICA!AA369</f>
        <v>0</v>
      </c>
      <c r="AB371" s="51">
        <f>ESTADISTICA!AB369</f>
        <v>0</v>
      </c>
      <c r="AC371" s="51">
        <f>ESTADISTICA!AC369</f>
        <v>0</v>
      </c>
      <c r="AD371" s="51">
        <f>ESTADISTICA!AD369</f>
        <v>0</v>
      </c>
      <c r="AE371" s="51">
        <f>ESTADISTICA!AE369</f>
        <v>0</v>
      </c>
      <c r="AF371" s="51">
        <f>ESTADISTICA!AF369</f>
        <v>0</v>
      </c>
      <c r="AG371" s="51">
        <f>ESTADISTICA!AG369</f>
        <v>0</v>
      </c>
      <c r="AH371" s="51">
        <f>ESTADISTICA!AH369</f>
        <v>0</v>
      </c>
      <c r="AI371" s="51">
        <f>ESTADISTICA!AI369</f>
        <v>0</v>
      </c>
    </row>
    <row r="372" spans="1:35" hidden="1" x14ac:dyDescent="0.25">
      <c r="A372" s="51" t="str">
        <f>ESTADISTICA!A370</f>
        <v>VILLA HUDSON</v>
      </c>
      <c r="B372" s="51" t="str">
        <f>ESTADISTICA!B370</f>
        <v>VHS 03 (fija 1)</v>
      </c>
      <c r="C372" s="51" t="str">
        <f>ESTADISTICA!C370</f>
        <v>AV. HUDSON Y LOS INMIGRANTES</v>
      </c>
      <c r="D372" s="51" t="str">
        <f>ESTADISTICA!D370</f>
        <v>Fija</v>
      </c>
      <c r="E372" s="51" t="str">
        <f>ESTADISTICA!E370</f>
        <v>Fibra Optica</v>
      </c>
      <c r="F372" s="51">
        <f>ESTADISTICA!F370</f>
        <v>0</v>
      </c>
      <c r="G372" s="51">
        <f>ESTADISTICA!G370</f>
        <v>0</v>
      </c>
      <c r="H372" s="51">
        <f>ESTADISTICA!H370</f>
        <v>0</v>
      </c>
      <c r="I372" s="51">
        <f>ESTADISTICA!I370</f>
        <v>0</v>
      </c>
      <c r="J372" s="51">
        <f>ESTADISTICA!J370</f>
        <v>0</v>
      </c>
      <c r="K372" s="51">
        <f>ESTADISTICA!K370</f>
        <v>0</v>
      </c>
      <c r="L372" s="51" t="str">
        <f>ESTADISTICA!L370</f>
        <v>APAGADO</v>
      </c>
      <c r="M372" s="51">
        <f>ESTADISTICA!M370</f>
        <v>0</v>
      </c>
      <c r="N372" s="51">
        <f>ESTADISTICA!N370</f>
        <v>0</v>
      </c>
      <c r="O372" s="51">
        <f>ESTADISTICA!O370</f>
        <v>0</v>
      </c>
      <c r="P372" s="51">
        <f>ESTADISTICA!P370</f>
        <v>0</v>
      </c>
      <c r="Q372" s="51">
        <f>ESTADISTICA!Q370</f>
        <v>0</v>
      </c>
      <c r="R372" s="51">
        <f>ESTADISTICA!R370</f>
        <v>0</v>
      </c>
      <c r="S372" s="51">
        <f>ESTADISTICA!S370</f>
        <v>0</v>
      </c>
      <c r="T372" s="51">
        <f>ESTADISTICA!T370</f>
        <v>0</v>
      </c>
      <c r="U372" s="51">
        <f>ESTADISTICA!U370</f>
        <v>0</v>
      </c>
      <c r="V372" s="51">
        <f>ESTADISTICA!V370</f>
        <v>0</v>
      </c>
      <c r="W372" s="51">
        <f>ESTADISTICA!W370</f>
        <v>0</v>
      </c>
      <c r="X372" s="51">
        <f>ESTADISTICA!X370</f>
        <v>0</v>
      </c>
      <c r="Y372" s="51">
        <f>ESTADISTICA!Y370</f>
        <v>0</v>
      </c>
      <c r="Z372" s="51">
        <f>ESTADISTICA!Z370</f>
        <v>0</v>
      </c>
      <c r="AA372" s="51">
        <f>ESTADISTICA!AA370</f>
        <v>0</v>
      </c>
      <c r="AB372" s="51">
        <f>ESTADISTICA!AB370</f>
        <v>0</v>
      </c>
      <c r="AC372" s="51">
        <f>ESTADISTICA!AC370</f>
        <v>0</v>
      </c>
      <c r="AD372" s="51">
        <f>ESTADISTICA!AD370</f>
        <v>0</v>
      </c>
      <c r="AE372" s="51">
        <f>ESTADISTICA!AE370</f>
        <v>0</v>
      </c>
      <c r="AF372" s="51">
        <f>ESTADISTICA!AF370</f>
        <v>0</v>
      </c>
      <c r="AG372" s="51">
        <f>ESTADISTICA!AG370</f>
        <v>0</v>
      </c>
      <c r="AH372" s="51">
        <f>ESTADISTICA!AH370</f>
        <v>0</v>
      </c>
      <c r="AI372" s="51">
        <f>ESTADISTICA!AI370</f>
        <v>0</v>
      </c>
    </row>
    <row r="373" spans="1:35" hidden="1" x14ac:dyDescent="0.25">
      <c r="A373" s="51" t="str">
        <f>ESTADISTICA!A371</f>
        <v>VILLA HUDSON</v>
      </c>
      <c r="B373" s="51" t="str">
        <f>ESTADISTICA!B371</f>
        <v>VHS 04 (fija 2)</v>
      </c>
      <c r="C373" s="51" t="str">
        <f>ESTADISTICA!C371</f>
        <v>AV. HUDSON Y LOS INMIGRANTES</v>
      </c>
      <c r="D373" s="51" t="str">
        <f>ESTADISTICA!D371</f>
        <v>Fija</v>
      </c>
      <c r="E373" s="51" t="str">
        <f>ESTADISTICA!E371</f>
        <v>Fibra Optica</v>
      </c>
      <c r="F373" s="51">
        <f>ESTADISTICA!F371</f>
        <v>0</v>
      </c>
      <c r="G373" s="51">
        <f>ESTADISTICA!G371</f>
        <v>0</v>
      </c>
      <c r="H373" s="51">
        <f>ESTADISTICA!H371</f>
        <v>0</v>
      </c>
      <c r="I373" s="51">
        <f>ESTADISTICA!I371</f>
        <v>0</v>
      </c>
      <c r="J373" s="51">
        <f>ESTADISTICA!J371</f>
        <v>0</v>
      </c>
      <c r="K373" s="51">
        <f>ESTADISTICA!K371</f>
        <v>0</v>
      </c>
      <c r="L373" s="51" t="str">
        <f>ESTADISTICA!L371</f>
        <v>APAGADO</v>
      </c>
      <c r="M373" s="51">
        <f>ESTADISTICA!M371</f>
        <v>0</v>
      </c>
      <c r="N373" s="51">
        <f>ESTADISTICA!N371</f>
        <v>0</v>
      </c>
      <c r="O373" s="51">
        <f>ESTADISTICA!O371</f>
        <v>0</v>
      </c>
      <c r="P373" s="51">
        <f>ESTADISTICA!P371</f>
        <v>0</v>
      </c>
      <c r="Q373" s="51">
        <f>ESTADISTICA!Q371</f>
        <v>0</v>
      </c>
      <c r="R373" s="51">
        <f>ESTADISTICA!R371</f>
        <v>0</v>
      </c>
      <c r="S373" s="51">
        <f>ESTADISTICA!S371</f>
        <v>0</v>
      </c>
      <c r="T373" s="51">
        <f>ESTADISTICA!T371</f>
        <v>0</v>
      </c>
      <c r="U373" s="51">
        <f>ESTADISTICA!U371</f>
        <v>0</v>
      </c>
      <c r="V373" s="51">
        <f>ESTADISTICA!V371</f>
        <v>0</v>
      </c>
      <c r="W373" s="51">
        <f>ESTADISTICA!W371</f>
        <v>0</v>
      </c>
      <c r="X373" s="51">
        <f>ESTADISTICA!X371</f>
        <v>0</v>
      </c>
      <c r="Y373" s="51">
        <f>ESTADISTICA!Y371</f>
        <v>0</v>
      </c>
      <c r="Z373" s="51">
        <f>ESTADISTICA!Z371</f>
        <v>0</v>
      </c>
      <c r="AA373" s="51">
        <f>ESTADISTICA!AA371</f>
        <v>0</v>
      </c>
      <c r="AB373" s="51">
        <f>ESTADISTICA!AB371</f>
        <v>0</v>
      </c>
      <c r="AC373" s="51">
        <f>ESTADISTICA!AC371</f>
        <v>0</v>
      </c>
      <c r="AD373" s="51">
        <f>ESTADISTICA!AD371</f>
        <v>0</v>
      </c>
      <c r="AE373" s="51">
        <f>ESTADISTICA!AE371</f>
        <v>0</v>
      </c>
      <c r="AF373" s="51">
        <f>ESTADISTICA!AF371</f>
        <v>0</v>
      </c>
      <c r="AG373" s="51">
        <f>ESTADISTICA!AG371</f>
        <v>0</v>
      </c>
      <c r="AH373" s="51">
        <f>ESTADISTICA!AH371</f>
        <v>0</v>
      </c>
      <c r="AI373" s="51">
        <f>ESTADISTICA!AI371</f>
        <v>0</v>
      </c>
    </row>
    <row r="374" spans="1:35" hidden="1" x14ac:dyDescent="0.25">
      <c r="A374" s="51" t="str">
        <f>ESTADISTICA!A372</f>
        <v>VILLA ARIAS</v>
      </c>
      <c r="B374" s="51" t="str">
        <f>ESTADISTICA!B372</f>
        <v>VLA 01 (fija 1)</v>
      </c>
      <c r="C374" s="51" t="str">
        <f>ESTADISTICA!C372</f>
        <v>820 Y SOLER</v>
      </c>
      <c r="D374" s="51" t="str">
        <f>ESTADISTICA!D372</f>
        <v>Fija</v>
      </c>
      <c r="E374" s="51" t="str">
        <f>ESTADISTICA!E372</f>
        <v>Fibra Optica</v>
      </c>
      <c r="F374" s="51">
        <f>ESTADISTICA!F372</f>
        <v>0</v>
      </c>
      <c r="G374" s="51">
        <f>ESTADISTICA!G372</f>
        <v>0</v>
      </c>
      <c r="H374" s="51">
        <f>ESTADISTICA!H372</f>
        <v>0</v>
      </c>
      <c r="I374" s="51">
        <f>ESTADISTICA!I372</f>
        <v>0</v>
      </c>
      <c r="J374" s="51">
        <f>ESTADISTICA!J372</f>
        <v>0</v>
      </c>
      <c r="K374" s="51">
        <f>ESTADISTICA!K372</f>
        <v>0</v>
      </c>
      <c r="L374" s="51">
        <f>ESTADISTICA!L372</f>
        <v>0</v>
      </c>
      <c r="M374" s="51">
        <f>ESTADISTICA!M372</f>
        <v>0</v>
      </c>
      <c r="N374" s="51">
        <f>ESTADISTICA!N372</f>
        <v>0</v>
      </c>
      <c r="O374" s="51">
        <f>ESTADISTICA!O372</f>
        <v>0</v>
      </c>
      <c r="P374" s="51">
        <f>ESTADISTICA!P372</f>
        <v>0</v>
      </c>
      <c r="Q374" s="51">
        <f>ESTADISTICA!Q372</f>
        <v>0</v>
      </c>
      <c r="R374" s="51">
        <f>ESTADISTICA!R372</f>
        <v>0</v>
      </c>
      <c r="S374" s="51">
        <f>ESTADISTICA!S372</f>
        <v>0</v>
      </c>
      <c r="T374" s="51">
        <f>ESTADISTICA!T372</f>
        <v>0</v>
      </c>
      <c r="U374" s="51">
        <f>ESTADISTICA!U372</f>
        <v>0</v>
      </c>
      <c r="V374" s="51">
        <f>ESTADISTICA!V372</f>
        <v>0</v>
      </c>
      <c r="W374" s="51">
        <f>ESTADISTICA!W372</f>
        <v>0</v>
      </c>
      <c r="X374" s="51">
        <f>ESTADISTICA!X372</f>
        <v>0</v>
      </c>
      <c r="Y374" s="51">
        <f>ESTADISTICA!Y372</f>
        <v>0</v>
      </c>
      <c r="Z374" s="51">
        <f>ESTADISTICA!Z372</f>
        <v>0</v>
      </c>
      <c r="AA374" s="51">
        <f>ESTADISTICA!AA372</f>
        <v>0</v>
      </c>
      <c r="AB374" s="51">
        <f>ESTADISTICA!AB372</f>
        <v>0</v>
      </c>
      <c r="AC374" s="51">
        <f>ESTADISTICA!AC372</f>
        <v>0</v>
      </c>
      <c r="AD374" s="51">
        <f>ESTADISTICA!AD372</f>
        <v>0</v>
      </c>
      <c r="AE374" s="51">
        <f>ESTADISTICA!AE372</f>
        <v>0</v>
      </c>
      <c r="AF374" s="51">
        <f>ESTADISTICA!AF372</f>
        <v>0</v>
      </c>
      <c r="AG374" s="51">
        <f>ESTADISTICA!AG372</f>
        <v>0</v>
      </c>
      <c r="AH374" s="51">
        <f>ESTADISTICA!AH372</f>
        <v>0</v>
      </c>
      <c r="AI374" s="51">
        <f>ESTADISTICA!AI372</f>
        <v>0</v>
      </c>
    </row>
    <row r="375" spans="1:35" hidden="1" x14ac:dyDescent="0.25">
      <c r="A375" s="51" t="str">
        <f>ESTADISTICA!A373</f>
        <v>VILLA ARIAS</v>
      </c>
      <c r="B375" s="51" t="str">
        <f>ESTADISTICA!B373</f>
        <v>VLA 02</v>
      </c>
      <c r="C375" s="51" t="str">
        <f>ESTADISTICA!C373</f>
        <v>ESPORA Y HUDSON</v>
      </c>
      <c r="D375" s="51" t="str">
        <f>ESTADISTICA!D373</f>
        <v>DOMO</v>
      </c>
      <c r="E375" s="51" t="str">
        <f>ESTADISTICA!E373</f>
        <v>Fibra Optica</v>
      </c>
      <c r="F375" s="51">
        <f>ESTADISTICA!F373</f>
        <v>0</v>
      </c>
      <c r="G375" s="51">
        <f>ESTADISTICA!G373</f>
        <v>0</v>
      </c>
      <c r="H375" s="51">
        <f>ESTADISTICA!H373</f>
        <v>0</v>
      </c>
      <c r="I375" s="51">
        <f>ESTADISTICA!I373</f>
        <v>0</v>
      </c>
      <c r="J375" s="51">
        <f>ESTADISTICA!J373</f>
        <v>0</v>
      </c>
      <c r="K375" s="51">
        <f>ESTADISTICA!K373</f>
        <v>0</v>
      </c>
      <c r="L375" s="51">
        <f>ESTADISTICA!L373</f>
        <v>0</v>
      </c>
      <c r="M375" s="51">
        <f>ESTADISTICA!M373</f>
        <v>0</v>
      </c>
      <c r="N375" s="51">
        <f>ESTADISTICA!N373</f>
        <v>0</v>
      </c>
      <c r="O375" s="51">
        <f>ESTADISTICA!O373</f>
        <v>0</v>
      </c>
      <c r="P375" s="51">
        <f>ESTADISTICA!P373</f>
        <v>0</v>
      </c>
      <c r="Q375" s="51">
        <f>ESTADISTICA!Q373</f>
        <v>0</v>
      </c>
      <c r="R375" s="51">
        <f>ESTADISTICA!R373</f>
        <v>0</v>
      </c>
      <c r="S375" s="51">
        <f>ESTADISTICA!S373</f>
        <v>0</v>
      </c>
      <c r="T375" s="51">
        <f>ESTADISTICA!T373</f>
        <v>0</v>
      </c>
      <c r="U375" s="51">
        <f>ESTADISTICA!U373</f>
        <v>0</v>
      </c>
      <c r="V375" s="51">
        <f>ESTADISTICA!V373</f>
        <v>0</v>
      </c>
      <c r="W375" s="51">
        <f>ESTADISTICA!W373</f>
        <v>0</v>
      </c>
      <c r="X375" s="51">
        <f>ESTADISTICA!X373</f>
        <v>0</v>
      </c>
      <c r="Y375" s="51">
        <f>ESTADISTICA!Y373</f>
        <v>0</v>
      </c>
      <c r="Z375" s="51">
        <f>ESTADISTICA!Z373</f>
        <v>0</v>
      </c>
      <c r="AA375" s="51">
        <f>ESTADISTICA!AA373</f>
        <v>0</v>
      </c>
      <c r="AB375" s="51">
        <f>ESTADISTICA!AB373</f>
        <v>0</v>
      </c>
      <c r="AC375" s="51">
        <f>ESTADISTICA!AC373</f>
        <v>0</v>
      </c>
      <c r="AD375" s="51">
        <f>ESTADISTICA!AD373</f>
        <v>0</v>
      </c>
      <c r="AE375" s="51">
        <f>ESTADISTICA!AE373</f>
        <v>0</v>
      </c>
      <c r="AF375" s="51">
        <f>ESTADISTICA!AF373</f>
        <v>0</v>
      </c>
      <c r="AG375" s="51">
        <f>ESTADISTICA!AG373</f>
        <v>0</v>
      </c>
      <c r="AH375" s="51">
        <f>ESTADISTICA!AH373</f>
        <v>0</v>
      </c>
      <c r="AI375" s="51">
        <f>ESTADISTICA!AI373</f>
        <v>0</v>
      </c>
    </row>
    <row r="376" spans="1:35" hidden="1" x14ac:dyDescent="0.25">
      <c r="A376" s="51" t="str">
        <f>ESTADISTICA!A374</f>
        <v>VILLA ARIAS</v>
      </c>
      <c r="B376" s="51" t="str">
        <f>ESTADISTICA!B374</f>
        <v>VLA03 (fija 2)</v>
      </c>
      <c r="C376" s="51" t="str">
        <f>ESTADISTICA!C374</f>
        <v>820 y SOLER</v>
      </c>
      <c r="D376" s="51" t="str">
        <f>ESTADISTICA!D374</f>
        <v>Fija</v>
      </c>
      <c r="E376" s="51" t="str">
        <f>ESTADISTICA!E374</f>
        <v>Fibra Optica</v>
      </c>
      <c r="F376" s="51">
        <f>ESTADISTICA!F374</f>
        <v>0</v>
      </c>
      <c r="G376" s="51">
        <f>ESTADISTICA!G374</f>
        <v>0</v>
      </c>
      <c r="H376" s="51">
        <f>ESTADISTICA!H374</f>
        <v>0</v>
      </c>
      <c r="I376" s="51">
        <f>ESTADISTICA!I374</f>
        <v>0</v>
      </c>
      <c r="J376" s="51">
        <f>ESTADISTICA!J374</f>
        <v>0</v>
      </c>
      <c r="K376" s="51">
        <f>ESTADISTICA!K374</f>
        <v>0</v>
      </c>
      <c r="L376" s="51">
        <f>ESTADISTICA!L374</f>
        <v>0</v>
      </c>
      <c r="M376" s="51">
        <f>ESTADISTICA!M374</f>
        <v>0</v>
      </c>
      <c r="N376" s="51">
        <f>ESTADISTICA!N374</f>
        <v>0</v>
      </c>
      <c r="O376" s="51">
        <f>ESTADISTICA!O374</f>
        <v>0</v>
      </c>
      <c r="P376" s="51">
        <f>ESTADISTICA!P374</f>
        <v>0</v>
      </c>
      <c r="Q376" s="51">
        <f>ESTADISTICA!Q374</f>
        <v>0</v>
      </c>
      <c r="R376" s="51">
        <f>ESTADISTICA!R374</f>
        <v>0</v>
      </c>
      <c r="S376" s="51">
        <f>ESTADISTICA!S374</f>
        <v>0</v>
      </c>
      <c r="T376" s="51">
        <f>ESTADISTICA!T374</f>
        <v>0</v>
      </c>
      <c r="U376" s="51">
        <f>ESTADISTICA!U374</f>
        <v>0</v>
      </c>
      <c r="V376" s="51">
        <f>ESTADISTICA!V374</f>
        <v>0</v>
      </c>
      <c r="W376" s="51">
        <f>ESTADISTICA!W374</f>
        <v>0</v>
      </c>
      <c r="X376" s="51">
        <f>ESTADISTICA!X374</f>
        <v>0</v>
      </c>
      <c r="Y376" s="51">
        <f>ESTADISTICA!Y374</f>
        <v>0</v>
      </c>
      <c r="Z376" s="51">
        <f>ESTADISTICA!Z374</f>
        <v>0</v>
      </c>
      <c r="AA376" s="51">
        <f>ESTADISTICA!AA374</f>
        <v>0</v>
      </c>
      <c r="AB376" s="51">
        <f>ESTADISTICA!AB374</f>
        <v>0</v>
      </c>
      <c r="AC376" s="51">
        <f>ESTADISTICA!AC374</f>
        <v>0</v>
      </c>
      <c r="AD376" s="51">
        <f>ESTADISTICA!AD374</f>
        <v>0</v>
      </c>
      <c r="AE376" s="51">
        <f>ESTADISTICA!AE374</f>
        <v>0</v>
      </c>
      <c r="AF376" s="51">
        <f>ESTADISTICA!AF374</f>
        <v>0</v>
      </c>
      <c r="AG376" s="51">
        <f>ESTADISTICA!AG374</f>
        <v>0</v>
      </c>
      <c r="AH376" s="51">
        <f>ESTADISTICA!AH374</f>
        <v>0</v>
      </c>
      <c r="AI376" s="51">
        <f>ESTADISTICA!AI374</f>
        <v>0</v>
      </c>
    </row>
    <row r="377" spans="1:35" hidden="1" x14ac:dyDescent="0.25">
      <c r="A377" s="51" t="str">
        <f>ESTADISTICA!A375</f>
        <v>VILLA ARIAS</v>
      </c>
      <c r="B377" s="51" t="str">
        <f>ESTADISTICA!B375</f>
        <v>VLA04</v>
      </c>
      <c r="C377" s="51" t="str">
        <f>ESTADISTICA!C375</f>
        <v>ESPORA Y MARTIN GRASS</v>
      </c>
      <c r="D377" s="51" t="str">
        <f>ESTADISTICA!D375</f>
        <v>DOMO</v>
      </c>
      <c r="E377" s="51" t="str">
        <f>ESTADISTICA!E375</f>
        <v>Fibra Optica</v>
      </c>
      <c r="F377" s="51">
        <f>ESTADISTICA!F375</f>
        <v>0</v>
      </c>
      <c r="G377" s="51">
        <f>ESTADISTICA!G375</f>
        <v>0</v>
      </c>
      <c r="H377" s="51">
        <f>ESTADISTICA!H375</f>
        <v>0</v>
      </c>
      <c r="I377" s="51">
        <f>ESTADISTICA!I375</f>
        <v>0</v>
      </c>
      <c r="J377" s="51">
        <f>ESTADISTICA!J375</f>
        <v>0</v>
      </c>
      <c r="K377" s="51">
        <f>ESTADISTICA!K375</f>
        <v>0</v>
      </c>
      <c r="L377" s="51">
        <f>ESTADISTICA!L375</f>
        <v>0</v>
      </c>
      <c r="M377" s="51">
        <f>ESTADISTICA!M375</f>
        <v>0</v>
      </c>
      <c r="N377" s="51">
        <f>ESTADISTICA!N375</f>
        <v>0</v>
      </c>
      <c r="O377" s="51">
        <f>ESTADISTICA!O375</f>
        <v>0</v>
      </c>
      <c r="P377" s="51">
        <f>ESTADISTICA!P375</f>
        <v>0</v>
      </c>
      <c r="Q377" s="51">
        <f>ESTADISTICA!Q375</f>
        <v>0</v>
      </c>
      <c r="R377" s="51">
        <f>ESTADISTICA!R375</f>
        <v>0</v>
      </c>
      <c r="S377" s="51">
        <f>ESTADISTICA!S375</f>
        <v>0</v>
      </c>
      <c r="T377" s="51">
        <f>ESTADISTICA!T375</f>
        <v>0</v>
      </c>
      <c r="U377" s="51">
        <f>ESTADISTICA!U375</f>
        <v>0</v>
      </c>
      <c r="V377" s="51">
        <f>ESTADISTICA!V375</f>
        <v>0</v>
      </c>
      <c r="W377" s="51">
        <f>ESTADISTICA!W375</f>
        <v>0</v>
      </c>
      <c r="X377" s="51">
        <f>ESTADISTICA!X375</f>
        <v>0</v>
      </c>
      <c r="Y377" s="51">
        <f>ESTADISTICA!Y375</f>
        <v>0</v>
      </c>
      <c r="Z377" s="51">
        <f>ESTADISTICA!Z375</f>
        <v>0</v>
      </c>
      <c r="AA377" s="51">
        <f>ESTADISTICA!AA375</f>
        <v>0</v>
      </c>
      <c r="AB377" s="51">
        <f>ESTADISTICA!AB375</f>
        <v>0</v>
      </c>
      <c r="AC377" s="51">
        <f>ESTADISTICA!AC375</f>
        <v>0</v>
      </c>
      <c r="AD377" s="51">
        <f>ESTADISTICA!AD375</f>
        <v>0</v>
      </c>
      <c r="AE377" s="51">
        <f>ESTADISTICA!AE375</f>
        <v>0</v>
      </c>
      <c r="AF377" s="51">
        <f>ESTADISTICA!AF375</f>
        <v>0</v>
      </c>
      <c r="AG377" s="51">
        <f>ESTADISTICA!AG375</f>
        <v>0</v>
      </c>
      <c r="AH377" s="51">
        <f>ESTADISTICA!AH375</f>
        <v>0</v>
      </c>
      <c r="AI377" s="51">
        <f>ESTADISTICA!AI375</f>
        <v>0</v>
      </c>
    </row>
    <row r="378" spans="1:35" hidden="1" x14ac:dyDescent="0.25">
      <c r="A378" s="51" t="str">
        <f>ESTADISTICA!A376</f>
        <v>VILLA ARIAS</v>
      </c>
      <c r="B378" s="51" t="str">
        <f>ESTADISTICA!B376</f>
        <v>VLA05</v>
      </c>
      <c r="C378" s="51" t="str">
        <f>ESTADISTICA!C376</f>
        <v>ESPORA Y 802</v>
      </c>
      <c r="D378" s="51" t="str">
        <f>ESTADISTICA!D376</f>
        <v>DOMO</v>
      </c>
      <c r="E378" s="51" t="str">
        <f>ESTADISTICA!E376</f>
        <v>Fibra Optica</v>
      </c>
      <c r="F378" s="51">
        <f>ESTADISTICA!F376</f>
        <v>0</v>
      </c>
      <c r="G378" s="51">
        <f>ESTADISTICA!G376</f>
        <v>0</v>
      </c>
      <c r="H378" s="51">
        <f>ESTADISTICA!H376</f>
        <v>0</v>
      </c>
      <c r="I378" s="51">
        <f>ESTADISTICA!I376</f>
        <v>0</v>
      </c>
      <c r="J378" s="51">
        <f>ESTADISTICA!J376</f>
        <v>0</v>
      </c>
      <c r="K378" s="51">
        <f>ESTADISTICA!K376</f>
        <v>0</v>
      </c>
      <c r="L378" s="51">
        <f>ESTADISTICA!L376</f>
        <v>0</v>
      </c>
      <c r="M378" s="51">
        <f>ESTADISTICA!M376</f>
        <v>0</v>
      </c>
      <c r="N378" s="51">
        <f>ESTADISTICA!N376</f>
        <v>0</v>
      </c>
      <c r="O378" s="51">
        <f>ESTADISTICA!O376</f>
        <v>0</v>
      </c>
      <c r="P378" s="51">
        <f>ESTADISTICA!P376</f>
        <v>0</v>
      </c>
      <c r="Q378" s="51">
        <f>ESTADISTICA!Q376</f>
        <v>0</v>
      </c>
      <c r="R378" s="51">
        <f>ESTADISTICA!R376</f>
        <v>0</v>
      </c>
      <c r="S378" s="51">
        <f>ESTADISTICA!S376</f>
        <v>0</v>
      </c>
      <c r="T378" s="51">
        <f>ESTADISTICA!T376</f>
        <v>0</v>
      </c>
      <c r="U378" s="51">
        <f>ESTADISTICA!U376</f>
        <v>0</v>
      </c>
      <c r="V378" s="51">
        <f>ESTADISTICA!V376</f>
        <v>0</v>
      </c>
      <c r="W378" s="51">
        <f>ESTADISTICA!W376</f>
        <v>0</v>
      </c>
      <c r="X378" s="51">
        <f>ESTADISTICA!X376</f>
        <v>0</v>
      </c>
      <c r="Y378" s="51">
        <f>ESTADISTICA!Y376</f>
        <v>0</v>
      </c>
      <c r="Z378" s="51">
        <f>ESTADISTICA!Z376</f>
        <v>0</v>
      </c>
      <c r="AA378" s="51">
        <f>ESTADISTICA!AA376</f>
        <v>0</v>
      </c>
      <c r="AB378" s="51">
        <f>ESTADISTICA!AB376</f>
        <v>0</v>
      </c>
      <c r="AC378" s="51">
        <f>ESTADISTICA!AC376</f>
        <v>0</v>
      </c>
      <c r="AD378" s="51">
        <f>ESTADISTICA!AD376</f>
        <v>0</v>
      </c>
      <c r="AE378" s="51">
        <f>ESTADISTICA!AE376</f>
        <v>0</v>
      </c>
      <c r="AF378" s="51">
        <f>ESTADISTICA!AF376</f>
        <v>0</v>
      </c>
      <c r="AG378" s="51">
        <f>ESTADISTICA!AG376</f>
        <v>0</v>
      </c>
      <c r="AH378" s="51">
        <f>ESTADISTICA!AH376</f>
        <v>0</v>
      </c>
      <c r="AI378" s="51">
        <f>ESTADISTICA!AI376</f>
        <v>0</v>
      </c>
    </row>
    <row r="379" spans="1:35" hidden="1" x14ac:dyDescent="0.25">
      <c r="A379" s="51" t="str">
        <f>ESTADISTICA!A377</f>
        <v>VILLA MONICA NUEVA</v>
      </c>
      <c r="B379" s="51" t="str">
        <f>ESTADISTICA!B377</f>
        <v>VMO 02</v>
      </c>
      <c r="C379" s="51" t="str">
        <f>ESTADISTICA!C377</f>
        <v>RÃ­o Carapachay y OroÃ±o</v>
      </c>
      <c r="D379" s="51" t="str">
        <f>ESTADISTICA!D377</f>
        <v>Domo</v>
      </c>
      <c r="E379" s="51" t="str">
        <f>ESTADISTICA!E377</f>
        <v>Radio</v>
      </c>
      <c r="F379" s="51">
        <f>ESTADISTICA!F377</f>
        <v>0</v>
      </c>
      <c r="G379" s="51">
        <f>ESTADISTICA!G377</f>
        <v>0</v>
      </c>
      <c r="H379" s="51">
        <f>ESTADISTICA!H377</f>
        <v>0</v>
      </c>
      <c r="I379" s="51">
        <f>ESTADISTICA!I377</f>
        <v>0</v>
      </c>
      <c r="J379" s="51">
        <f>ESTADISTICA!J377</f>
        <v>0</v>
      </c>
      <c r="K379" s="51">
        <f>ESTADISTICA!K377</f>
        <v>0</v>
      </c>
      <c r="L379" s="51">
        <f>ESTADISTICA!L377</f>
        <v>0</v>
      </c>
      <c r="M379" s="51">
        <f>ESTADISTICA!M377</f>
        <v>0</v>
      </c>
      <c r="N379" s="51">
        <f>ESTADISTICA!N377</f>
        <v>0</v>
      </c>
      <c r="O379" s="51">
        <f>ESTADISTICA!O377</f>
        <v>0</v>
      </c>
      <c r="P379" s="51">
        <f>ESTADISTICA!P377</f>
        <v>0</v>
      </c>
      <c r="Q379" s="51">
        <f>ESTADISTICA!Q377</f>
        <v>0</v>
      </c>
      <c r="R379" s="51">
        <f>ESTADISTICA!R377</f>
        <v>0</v>
      </c>
      <c r="S379" s="51">
        <f>ESTADISTICA!S377</f>
        <v>0</v>
      </c>
      <c r="T379" s="51">
        <f>ESTADISTICA!T377</f>
        <v>0</v>
      </c>
      <c r="U379" s="51">
        <f>ESTADISTICA!U377</f>
        <v>0</v>
      </c>
      <c r="V379" s="51">
        <f>ESTADISTICA!V377</f>
        <v>0</v>
      </c>
      <c r="W379" s="51">
        <f>ESTADISTICA!W377</f>
        <v>0</v>
      </c>
      <c r="X379" s="51">
        <f>ESTADISTICA!X377</f>
        <v>0</v>
      </c>
      <c r="Y379" s="51">
        <f>ESTADISTICA!Y377</f>
        <v>0</v>
      </c>
      <c r="Z379" s="51">
        <f>ESTADISTICA!Z377</f>
        <v>0</v>
      </c>
      <c r="AA379" s="51">
        <f>ESTADISTICA!AA377</f>
        <v>0</v>
      </c>
      <c r="AB379" s="51">
        <f>ESTADISTICA!AB377</f>
        <v>0</v>
      </c>
      <c r="AC379" s="51">
        <f>ESTADISTICA!AC377</f>
        <v>0</v>
      </c>
      <c r="AD379" s="51">
        <f>ESTADISTICA!AD377</f>
        <v>0</v>
      </c>
      <c r="AE379" s="51">
        <f>ESTADISTICA!AE377</f>
        <v>0</v>
      </c>
      <c r="AF379" s="51">
        <f>ESTADISTICA!AF377</f>
        <v>0</v>
      </c>
      <c r="AG379" s="51">
        <f>ESTADISTICA!AG377</f>
        <v>0</v>
      </c>
      <c r="AH379" s="51">
        <f>ESTADISTICA!AH377</f>
        <v>0</v>
      </c>
      <c r="AI379" s="51">
        <f>ESTADISTICA!AI377</f>
        <v>0</v>
      </c>
    </row>
    <row r="380" spans="1:35" hidden="1" x14ac:dyDescent="0.25">
      <c r="A380" s="51" t="str">
        <f>ESTADISTICA!A378</f>
        <v>VILLA MONICA NUEVA</v>
      </c>
      <c r="B380" s="51" t="str">
        <f>ESTADISTICA!B378</f>
        <v>VMO 03 (fija 1)</v>
      </c>
      <c r="C380" s="51" t="str">
        <f>ESTADISTICA!C378</f>
        <v>EVA PERON E/ OROÃ‘O Y 734 A</v>
      </c>
      <c r="D380" s="51" t="str">
        <f>ESTADISTICA!D378</f>
        <v>Fija</v>
      </c>
      <c r="E380" s="51" t="str">
        <f>ESTADISTICA!E378</f>
        <v>Fibra Optica</v>
      </c>
      <c r="F380" s="51">
        <f>ESTADISTICA!F378</f>
        <v>0</v>
      </c>
      <c r="G380" s="51">
        <f>ESTADISTICA!G378</f>
        <v>0</v>
      </c>
      <c r="H380" s="51">
        <f>ESTADISTICA!H378</f>
        <v>0</v>
      </c>
      <c r="I380" s="51">
        <f>ESTADISTICA!I378</f>
        <v>0</v>
      </c>
      <c r="J380" s="51">
        <f>ESTADISTICA!J378</f>
        <v>0</v>
      </c>
      <c r="K380" s="51">
        <f>ESTADISTICA!K378</f>
        <v>0</v>
      </c>
      <c r="L380" s="51">
        <f>ESTADISTICA!L378</f>
        <v>0</v>
      </c>
      <c r="M380" s="51">
        <f>ESTADISTICA!M378</f>
        <v>0</v>
      </c>
      <c r="N380" s="51">
        <f>ESTADISTICA!N378</f>
        <v>0</v>
      </c>
      <c r="O380" s="51">
        <f>ESTADISTICA!O378</f>
        <v>0</v>
      </c>
      <c r="P380" s="51">
        <f>ESTADISTICA!P378</f>
        <v>0</v>
      </c>
      <c r="Q380" s="51">
        <f>ESTADISTICA!Q378</f>
        <v>0</v>
      </c>
      <c r="R380" s="51">
        <f>ESTADISTICA!R378</f>
        <v>0</v>
      </c>
      <c r="S380" s="51">
        <f>ESTADISTICA!S378</f>
        <v>0</v>
      </c>
      <c r="T380" s="51">
        <f>ESTADISTICA!T378</f>
        <v>0</v>
      </c>
      <c r="U380" s="51">
        <f>ESTADISTICA!U378</f>
        <v>0</v>
      </c>
      <c r="V380" s="51">
        <f>ESTADISTICA!V378</f>
        <v>0</v>
      </c>
      <c r="W380" s="51">
        <f>ESTADISTICA!W378</f>
        <v>0</v>
      </c>
      <c r="X380" s="51">
        <f>ESTADISTICA!X378</f>
        <v>0</v>
      </c>
      <c r="Y380" s="51">
        <f>ESTADISTICA!Y378</f>
        <v>0</v>
      </c>
      <c r="Z380" s="51">
        <f>ESTADISTICA!Z378</f>
        <v>0</v>
      </c>
      <c r="AA380" s="51">
        <f>ESTADISTICA!AA378</f>
        <v>0</v>
      </c>
      <c r="AB380" s="51">
        <f>ESTADISTICA!AB378</f>
        <v>0</v>
      </c>
      <c r="AC380" s="51">
        <f>ESTADISTICA!AC378</f>
        <v>0</v>
      </c>
      <c r="AD380" s="51">
        <f>ESTADISTICA!AD378</f>
        <v>0</v>
      </c>
      <c r="AE380" s="51">
        <f>ESTADISTICA!AE378</f>
        <v>0</v>
      </c>
      <c r="AF380" s="51">
        <f>ESTADISTICA!AF378</f>
        <v>0</v>
      </c>
      <c r="AG380" s="51">
        <f>ESTADISTICA!AG378</f>
        <v>0</v>
      </c>
      <c r="AH380" s="51">
        <f>ESTADISTICA!AH378</f>
        <v>0</v>
      </c>
      <c r="AI380" s="51">
        <f>ESTADISTICA!AI378</f>
        <v>0</v>
      </c>
    </row>
    <row r="381" spans="1:35" hidden="1" x14ac:dyDescent="0.25">
      <c r="A381" s="51" t="str">
        <f>ESTADISTICA!A379</f>
        <v>VILLA MONICA NUEVA</v>
      </c>
      <c r="B381" s="51" t="str">
        <f>ESTADISTICA!B379</f>
        <v>VMO 04 (fija 2)</v>
      </c>
      <c r="C381" s="51" t="str">
        <f>ESTADISTICA!C379</f>
        <v>EVA PERON E/ OROÃ‘O Y 734 A</v>
      </c>
      <c r="D381" s="51" t="str">
        <f>ESTADISTICA!D379</f>
        <v>Fija</v>
      </c>
      <c r="E381" s="51" t="str">
        <f>ESTADISTICA!E379</f>
        <v>Fibra Optica</v>
      </c>
      <c r="F381" s="51">
        <f>ESTADISTICA!F379</f>
        <v>0</v>
      </c>
      <c r="G381" s="51">
        <f>ESTADISTICA!G379</f>
        <v>0</v>
      </c>
      <c r="H381" s="51">
        <f>ESTADISTICA!H379</f>
        <v>0</v>
      </c>
      <c r="I381" s="51">
        <f>ESTADISTICA!I379</f>
        <v>0</v>
      </c>
      <c r="J381" s="51">
        <f>ESTADISTICA!J379</f>
        <v>0</v>
      </c>
      <c r="K381" s="51">
        <f>ESTADISTICA!K379</f>
        <v>0</v>
      </c>
      <c r="L381" s="51">
        <f>ESTADISTICA!L379</f>
        <v>0</v>
      </c>
      <c r="M381" s="51">
        <f>ESTADISTICA!M379</f>
        <v>0</v>
      </c>
      <c r="N381" s="51">
        <f>ESTADISTICA!N379</f>
        <v>0</v>
      </c>
      <c r="O381" s="51">
        <f>ESTADISTICA!O379</f>
        <v>0</v>
      </c>
      <c r="P381" s="51">
        <f>ESTADISTICA!P379</f>
        <v>0</v>
      </c>
      <c r="Q381" s="51">
        <f>ESTADISTICA!Q379</f>
        <v>0</v>
      </c>
      <c r="R381" s="51">
        <f>ESTADISTICA!R379</f>
        <v>0</v>
      </c>
      <c r="S381" s="51">
        <f>ESTADISTICA!S379</f>
        <v>0</v>
      </c>
      <c r="T381" s="51">
        <f>ESTADISTICA!T379</f>
        <v>0</v>
      </c>
      <c r="U381" s="51">
        <f>ESTADISTICA!U379</f>
        <v>0</v>
      </c>
      <c r="V381" s="51">
        <f>ESTADISTICA!V379</f>
        <v>0</v>
      </c>
      <c r="W381" s="51">
        <f>ESTADISTICA!W379</f>
        <v>0</v>
      </c>
      <c r="X381" s="51">
        <f>ESTADISTICA!X379</f>
        <v>0</v>
      </c>
      <c r="Y381" s="51">
        <f>ESTADISTICA!Y379</f>
        <v>0</v>
      </c>
      <c r="Z381" s="51">
        <f>ESTADISTICA!Z379</f>
        <v>0</v>
      </c>
      <c r="AA381" s="51">
        <f>ESTADISTICA!AA379</f>
        <v>0</v>
      </c>
      <c r="AB381" s="51">
        <f>ESTADISTICA!AB379</f>
        <v>0</v>
      </c>
      <c r="AC381" s="51">
        <f>ESTADISTICA!AC379</f>
        <v>0</v>
      </c>
      <c r="AD381" s="51">
        <f>ESTADISTICA!AD379</f>
        <v>0</v>
      </c>
      <c r="AE381" s="51">
        <f>ESTADISTICA!AE379</f>
        <v>0</v>
      </c>
      <c r="AF381" s="51">
        <f>ESTADISTICA!AF379</f>
        <v>0</v>
      </c>
      <c r="AG381" s="51">
        <f>ESTADISTICA!AG379</f>
        <v>0</v>
      </c>
      <c r="AH381" s="51">
        <f>ESTADISTICA!AH379</f>
        <v>0</v>
      </c>
      <c r="AI381" s="51">
        <f>ESTADISTICA!AI379</f>
        <v>0</v>
      </c>
    </row>
    <row r="382" spans="1:35" hidden="1" x14ac:dyDescent="0.25">
      <c r="A382" s="51" t="str">
        <f>ESTADISTICA!A380</f>
        <v>VILLA MONICA NUEVA</v>
      </c>
      <c r="B382" s="51" t="str">
        <f>ESTADISTICA!B380</f>
        <v>VMO 05</v>
      </c>
      <c r="C382" s="51" t="str">
        <f>ESTADISTICA!C380</f>
        <v>OROÃ‘O Y EVA PERON</v>
      </c>
      <c r="D382" s="51" t="str">
        <f>ESTADISTICA!D380</f>
        <v>DOMO</v>
      </c>
      <c r="E382" s="51" t="str">
        <f>ESTADISTICA!E380</f>
        <v>Fibra Optica</v>
      </c>
      <c r="F382" s="51">
        <f>ESTADISTICA!F380</f>
        <v>0</v>
      </c>
      <c r="G382" s="51">
        <f>ESTADISTICA!G380</f>
        <v>0</v>
      </c>
      <c r="H382" s="51">
        <f>ESTADISTICA!H380</f>
        <v>0</v>
      </c>
      <c r="I382" s="51">
        <f>ESTADISTICA!I380</f>
        <v>0</v>
      </c>
      <c r="J382" s="51">
        <f>ESTADISTICA!J380</f>
        <v>0</v>
      </c>
      <c r="K382" s="51">
        <f>ESTADISTICA!K380</f>
        <v>0</v>
      </c>
      <c r="L382" s="51">
        <f>ESTADISTICA!L380</f>
        <v>0</v>
      </c>
      <c r="M382" s="51">
        <f>ESTADISTICA!M380</f>
        <v>0</v>
      </c>
      <c r="N382" s="51">
        <f>ESTADISTICA!N380</f>
        <v>0</v>
      </c>
      <c r="O382" s="51">
        <f>ESTADISTICA!O380</f>
        <v>0</v>
      </c>
      <c r="P382" s="51">
        <f>ESTADISTICA!P380</f>
        <v>0</v>
      </c>
      <c r="Q382" s="51">
        <f>ESTADISTICA!Q380</f>
        <v>0</v>
      </c>
      <c r="R382" s="51">
        <f>ESTADISTICA!R380</f>
        <v>0</v>
      </c>
      <c r="S382" s="51">
        <f>ESTADISTICA!S380</f>
        <v>0</v>
      </c>
      <c r="T382" s="51">
        <f>ESTADISTICA!T380</f>
        <v>0</v>
      </c>
      <c r="U382" s="51">
        <f>ESTADISTICA!U380</f>
        <v>0</v>
      </c>
      <c r="V382" s="51">
        <f>ESTADISTICA!V380</f>
        <v>0</v>
      </c>
      <c r="W382" s="51">
        <f>ESTADISTICA!W380</f>
        <v>0</v>
      </c>
      <c r="X382" s="51">
        <f>ESTADISTICA!X380</f>
        <v>0</v>
      </c>
      <c r="Y382" s="51">
        <f>ESTADISTICA!Y380</f>
        <v>0</v>
      </c>
      <c r="Z382" s="51">
        <f>ESTADISTICA!Z380</f>
        <v>0</v>
      </c>
      <c r="AA382" s="51">
        <f>ESTADISTICA!AA380</f>
        <v>0</v>
      </c>
      <c r="AB382" s="51">
        <f>ESTADISTICA!AB380</f>
        <v>0</v>
      </c>
      <c r="AC382" s="51">
        <f>ESTADISTICA!AC380</f>
        <v>0</v>
      </c>
      <c r="AD382" s="51">
        <f>ESTADISTICA!AD380</f>
        <v>0</v>
      </c>
      <c r="AE382" s="51">
        <f>ESTADISTICA!AE380</f>
        <v>0</v>
      </c>
      <c r="AF382" s="51">
        <f>ESTADISTICA!AF380</f>
        <v>0</v>
      </c>
      <c r="AG382" s="51">
        <f>ESTADISTICA!AG380</f>
        <v>0</v>
      </c>
      <c r="AH382" s="51">
        <f>ESTADISTICA!AH380</f>
        <v>0</v>
      </c>
      <c r="AI382" s="51">
        <f>ESTADISTICA!AI380</f>
        <v>0</v>
      </c>
    </row>
    <row r="383" spans="1:35" hidden="1" x14ac:dyDescent="0.25">
      <c r="A383" s="51" t="str">
        <f>ESTADISTICA!A381</f>
        <v>VILLA MONICA NUEVA</v>
      </c>
      <c r="B383" s="51" t="str">
        <f>ESTADISTICA!B381</f>
        <v>VMO01</v>
      </c>
      <c r="C383" s="51" t="str">
        <f>ESTADISTICA!C381</f>
        <v>Eva Peron y MonseÃ±or de las Casas</v>
      </c>
      <c r="D383" s="51" t="str">
        <f>ESTADISTICA!D381</f>
        <v>DOMO</v>
      </c>
      <c r="E383" s="51" t="str">
        <f>ESTADISTICA!E381</f>
        <v>Fibra Optica</v>
      </c>
      <c r="F383" s="51">
        <f>ESTADISTICA!F381</f>
        <v>0</v>
      </c>
      <c r="G383" s="51">
        <f>ESTADISTICA!G381</f>
        <v>0</v>
      </c>
      <c r="H383" s="51">
        <f>ESTADISTICA!H381</f>
        <v>0</v>
      </c>
      <c r="I383" s="51">
        <f>ESTADISTICA!I381</f>
        <v>0</v>
      </c>
      <c r="J383" s="51">
        <f>ESTADISTICA!J381</f>
        <v>0</v>
      </c>
      <c r="K383" s="51">
        <f>ESTADISTICA!K381</f>
        <v>0</v>
      </c>
      <c r="L383" s="51">
        <f>ESTADISTICA!L381</f>
        <v>0</v>
      </c>
      <c r="M383" s="51">
        <f>ESTADISTICA!M381</f>
        <v>0</v>
      </c>
      <c r="N383" s="51">
        <f>ESTADISTICA!N381</f>
        <v>0</v>
      </c>
      <c r="O383" s="51">
        <f>ESTADISTICA!O381</f>
        <v>0</v>
      </c>
      <c r="P383" s="51">
        <f>ESTADISTICA!P381</f>
        <v>0</v>
      </c>
      <c r="Q383" s="51">
        <f>ESTADISTICA!Q381</f>
        <v>0</v>
      </c>
      <c r="R383" s="51">
        <f>ESTADISTICA!R381</f>
        <v>0</v>
      </c>
      <c r="S383" s="51">
        <f>ESTADISTICA!S381</f>
        <v>0</v>
      </c>
      <c r="T383" s="51">
        <f>ESTADISTICA!T381</f>
        <v>0</v>
      </c>
      <c r="U383" s="51">
        <f>ESTADISTICA!U381</f>
        <v>0</v>
      </c>
      <c r="V383" s="51">
        <f>ESTADISTICA!V381</f>
        <v>0</v>
      </c>
      <c r="W383" s="51">
        <f>ESTADISTICA!W381</f>
        <v>0</v>
      </c>
      <c r="X383" s="51">
        <f>ESTADISTICA!X381</f>
        <v>0</v>
      </c>
      <c r="Y383" s="51">
        <f>ESTADISTICA!Y381</f>
        <v>0</v>
      </c>
      <c r="Z383" s="51">
        <f>ESTADISTICA!Z381</f>
        <v>0</v>
      </c>
      <c r="AA383" s="51">
        <f>ESTADISTICA!AA381</f>
        <v>0</v>
      </c>
      <c r="AB383" s="51">
        <f>ESTADISTICA!AB381</f>
        <v>0</v>
      </c>
      <c r="AC383" s="51">
        <f>ESTADISTICA!AC381</f>
        <v>0</v>
      </c>
      <c r="AD383" s="51">
        <f>ESTADISTICA!AD381</f>
        <v>0</v>
      </c>
      <c r="AE383" s="51">
        <f>ESTADISTICA!AE381</f>
        <v>0</v>
      </c>
      <c r="AF383" s="51">
        <f>ESTADISTICA!AF381</f>
        <v>0</v>
      </c>
      <c r="AG383" s="51">
        <f>ESTADISTICA!AG381</f>
        <v>0</v>
      </c>
      <c r="AH383" s="51">
        <f>ESTADISTICA!AH381</f>
        <v>0</v>
      </c>
      <c r="AI383" s="51">
        <f>ESTADISTICA!AI381</f>
        <v>0</v>
      </c>
    </row>
    <row r="384" spans="1:35" hidden="1" x14ac:dyDescent="0.25">
      <c r="A384" s="51" t="str">
        <f>ESTADISTICA!A382</f>
        <v>VILLA MONICA VIEJA</v>
      </c>
      <c r="B384" s="51" t="str">
        <f>ESTADISTICA!B382</f>
        <v>VMOV 02 (fija 2)</v>
      </c>
      <c r="C384" s="51" t="str">
        <f>ESTADISTICA!C382</f>
        <v>ATENAS E/ CAFFERATA Y ALEMANIA</v>
      </c>
      <c r="D384" s="51" t="str">
        <f>ESTADISTICA!D382</f>
        <v>Fija</v>
      </c>
      <c r="E384" s="51" t="str">
        <f>ESTADISTICA!E382</f>
        <v>Fibra Optica</v>
      </c>
      <c r="F384" s="51" t="str">
        <f>ESTADISTICA!F382</f>
        <v>APAGADO</v>
      </c>
      <c r="G384" s="51" t="str">
        <f>ESTADISTICA!G382</f>
        <v>APAGADO</v>
      </c>
      <c r="H384" s="51" t="str">
        <f>ESTADISTICA!H382</f>
        <v>APAGADO</v>
      </c>
      <c r="I384" s="51" t="str">
        <f>ESTADISTICA!I382</f>
        <v>APAGADO</v>
      </c>
      <c r="J384" s="51" t="str">
        <f>ESTADISTICA!J382</f>
        <v>APAGADO</v>
      </c>
      <c r="K384" s="51" t="str">
        <f>ESTADISTICA!K382</f>
        <v>APAGADO</v>
      </c>
      <c r="L384" s="51" t="str">
        <f>ESTADISTICA!L382</f>
        <v>APAGADO</v>
      </c>
      <c r="M384" s="51">
        <f>ESTADISTICA!M382</f>
        <v>0</v>
      </c>
      <c r="N384" s="51">
        <f>ESTADISTICA!N382</f>
        <v>0</v>
      </c>
      <c r="O384" s="51">
        <f>ESTADISTICA!O382</f>
        <v>0</v>
      </c>
      <c r="P384" s="51">
        <f>ESTADISTICA!P382</f>
        <v>0</v>
      </c>
      <c r="Q384" s="51">
        <f>ESTADISTICA!Q382</f>
        <v>0</v>
      </c>
      <c r="R384" s="51">
        <f>ESTADISTICA!R382</f>
        <v>0</v>
      </c>
      <c r="S384" s="51">
        <f>ESTADISTICA!S382</f>
        <v>0</v>
      </c>
      <c r="T384" s="51">
        <f>ESTADISTICA!T382</f>
        <v>0</v>
      </c>
      <c r="U384" s="51">
        <f>ESTADISTICA!U382</f>
        <v>0</v>
      </c>
      <c r="V384" s="51">
        <f>ESTADISTICA!V382</f>
        <v>0</v>
      </c>
      <c r="W384" s="51">
        <f>ESTADISTICA!W382</f>
        <v>0</v>
      </c>
      <c r="X384" s="51">
        <f>ESTADISTICA!X382</f>
        <v>0</v>
      </c>
      <c r="Y384" s="51">
        <f>ESTADISTICA!Y382</f>
        <v>0</v>
      </c>
      <c r="Z384" s="51">
        <f>ESTADISTICA!Z382</f>
        <v>0</v>
      </c>
      <c r="AA384" s="51">
        <f>ESTADISTICA!AA382</f>
        <v>0</v>
      </c>
      <c r="AB384" s="51">
        <f>ESTADISTICA!AB382</f>
        <v>0</v>
      </c>
      <c r="AC384" s="51">
        <f>ESTADISTICA!AC382</f>
        <v>0</v>
      </c>
      <c r="AD384" s="51">
        <f>ESTADISTICA!AD382</f>
        <v>0</v>
      </c>
      <c r="AE384" s="51">
        <f>ESTADISTICA!AE382</f>
        <v>0</v>
      </c>
      <c r="AF384" s="51">
        <f>ESTADISTICA!AF382</f>
        <v>0</v>
      </c>
      <c r="AG384" s="51">
        <f>ESTADISTICA!AG382</f>
        <v>0</v>
      </c>
      <c r="AH384" s="51">
        <f>ESTADISTICA!AH382</f>
        <v>0</v>
      </c>
      <c r="AI384" s="51">
        <f>ESTADISTICA!AI382</f>
        <v>0</v>
      </c>
    </row>
    <row r="385" spans="1:35" hidden="1" x14ac:dyDescent="0.25">
      <c r="A385" s="51" t="str">
        <f>ESTADISTICA!A383</f>
        <v>VILLA MONICA VIEJA</v>
      </c>
      <c r="B385" s="51" t="str">
        <f>ESTADISTICA!B383</f>
        <v>VMOV 03 (fija 1)</v>
      </c>
      <c r="C385" s="51" t="str">
        <f>ESTADISTICA!C383</f>
        <v>ROMA E/ HOLANDA Y CAFFERATA</v>
      </c>
      <c r="D385" s="51" t="str">
        <f>ESTADISTICA!D383</f>
        <v>Fija</v>
      </c>
      <c r="E385" s="51" t="str">
        <f>ESTADISTICA!E383</f>
        <v>Fibra Optica</v>
      </c>
      <c r="F385" s="51" t="str">
        <f>ESTADISTICA!F383</f>
        <v>APAGADO</v>
      </c>
      <c r="G385" s="51" t="str">
        <f>ESTADISTICA!G383</f>
        <v>APAGADO</v>
      </c>
      <c r="H385" s="51" t="str">
        <f>ESTADISTICA!H383</f>
        <v>APAGADO</v>
      </c>
      <c r="I385" s="51" t="str">
        <f>ESTADISTICA!I383</f>
        <v>APAGADO</v>
      </c>
      <c r="J385" s="51" t="str">
        <f>ESTADISTICA!J383</f>
        <v>APAGADO</v>
      </c>
      <c r="K385" s="51" t="str">
        <f>ESTADISTICA!K383</f>
        <v>APAGADO</v>
      </c>
      <c r="L385" s="51" t="str">
        <f>ESTADISTICA!L383</f>
        <v>APAGADO</v>
      </c>
      <c r="M385" s="51">
        <f>ESTADISTICA!M383</f>
        <v>0</v>
      </c>
      <c r="N385" s="51">
        <f>ESTADISTICA!N383</f>
        <v>0</v>
      </c>
      <c r="O385" s="51">
        <f>ESTADISTICA!O383</f>
        <v>0</v>
      </c>
      <c r="P385" s="51">
        <f>ESTADISTICA!P383</f>
        <v>0</v>
      </c>
      <c r="Q385" s="51">
        <f>ESTADISTICA!Q383</f>
        <v>0</v>
      </c>
      <c r="R385" s="51">
        <f>ESTADISTICA!R383</f>
        <v>0</v>
      </c>
      <c r="S385" s="51">
        <f>ESTADISTICA!S383</f>
        <v>0</v>
      </c>
      <c r="T385" s="51">
        <f>ESTADISTICA!T383</f>
        <v>0</v>
      </c>
      <c r="U385" s="51">
        <f>ESTADISTICA!U383</f>
        <v>0</v>
      </c>
      <c r="V385" s="51">
        <f>ESTADISTICA!V383</f>
        <v>0</v>
      </c>
      <c r="W385" s="51">
        <f>ESTADISTICA!W383</f>
        <v>0</v>
      </c>
      <c r="X385" s="51">
        <f>ESTADISTICA!X383</f>
        <v>0</v>
      </c>
      <c r="Y385" s="51">
        <f>ESTADISTICA!Y383</f>
        <v>0</v>
      </c>
      <c r="Z385" s="51">
        <f>ESTADISTICA!Z383</f>
        <v>0</v>
      </c>
      <c r="AA385" s="51">
        <f>ESTADISTICA!AA383</f>
        <v>0</v>
      </c>
      <c r="AB385" s="51">
        <f>ESTADISTICA!AB383</f>
        <v>0</v>
      </c>
      <c r="AC385" s="51">
        <f>ESTADISTICA!AC383</f>
        <v>0</v>
      </c>
      <c r="AD385" s="51">
        <f>ESTADISTICA!AD383</f>
        <v>0</v>
      </c>
      <c r="AE385" s="51">
        <f>ESTADISTICA!AE383</f>
        <v>0</v>
      </c>
      <c r="AF385" s="51">
        <f>ESTADISTICA!AF383</f>
        <v>0</v>
      </c>
      <c r="AG385" s="51">
        <f>ESTADISTICA!AG383</f>
        <v>0</v>
      </c>
      <c r="AH385" s="51">
        <f>ESTADISTICA!AH383</f>
        <v>0</v>
      </c>
      <c r="AI385" s="51">
        <f>ESTADISTICA!AI383</f>
        <v>0</v>
      </c>
    </row>
    <row r="386" spans="1:35" hidden="1" x14ac:dyDescent="0.25">
      <c r="A386" s="51" t="str">
        <f>ESTADISTICA!A384</f>
        <v>VILLA MONICA VIEJA</v>
      </c>
      <c r="B386" s="51" t="str">
        <f>ESTADISTICA!B384</f>
        <v>VMOV01 (fija 1)</v>
      </c>
      <c r="C386" s="51" t="str">
        <f>ESTADISTICA!C384</f>
        <v>ATENAS E/ CAFFERATA Y ALEMANIA</v>
      </c>
      <c r="D386" s="51" t="str">
        <f>ESTADISTICA!D384</f>
        <v>Fija</v>
      </c>
      <c r="E386" s="51" t="str">
        <f>ESTADISTICA!E384</f>
        <v>Fibra Optica</v>
      </c>
      <c r="F386" s="51" t="str">
        <f>ESTADISTICA!F384</f>
        <v>APAGADO</v>
      </c>
      <c r="G386" s="51" t="str">
        <f>ESTADISTICA!G384</f>
        <v>APAGADO</v>
      </c>
      <c r="H386" s="51" t="str">
        <f>ESTADISTICA!H384</f>
        <v>APAGADO</v>
      </c>
      <c r="I386" s="51" t="str">
        <f>ESTADISTICA!I384</f>
        <v>APAGADO</v>
      </c>
      <c r="J386" s="51" t="str">
        <f>ESTADISTICA!J384</f>
        <v>APAGADO</v>
      </c>
      <c r="K386" s="51" t="str">
        <f>ESTADISTICA!K384</f>
        <v>APAGADO</v>
      </c>
      <c r="L386" s="51" t="str">
        <f>ESTADISTICA!L384</f>
        <v>APAGADO</v>
      </c>
      <c r="M386" s="51">
        <f>ESTADISTICA!M384</f>
        <v>0</v>
      </c>
      <c r="N386" s="51">
        <f>ESTADISTICA!N384</f>
        <v>0</v>
      </c>
      <c r="O386" s="51">
        <f>ESTADISTICA!O384</f>
        <v>0</v>
      </c>
      <c r="P386" s="51">
        <f>ESTADISTICA!P384</f>
        <v>0</v>
      </c>
      <c r="Q386" s="51">
        <f>ESTADISTICA!Q384</f>
        <v>0</v>
      </c>
      <c r="R386" s="51">
        <f>ESTADISTICA!R384</f>
        <v>0</v>
      </c>
      <c r="S386" s="51">
        <f>ESTADISTICA!S384</f>
        <v>0</v>
      </c>
      <c r="T386" s="51">
        <f>ESTADISTICA!T384</f>
        <v>0</v>
      </c>
      <c r="U386" s="51">
        <f>ESTADISTICA!U384</f>
        <v>0</v>
      </c>
      <c r="V386" s="51">
        <f>ESTADISTICA!V384</f>
        <v>0</v>
      </c>
      <c r="W386" s="51">
        <f>ESTADISTICA!W384</f>
        <v>0</v>
      </c>
      <c r="X386" s="51">
        <f>ESTADISTICA!X384</f>
        <v>0</v>
      </c>
      <c r="Y386" s="51">
        <f>ESTADISTICA!Y384</f>
        <v>0</v>
      </c>
      <c r="Z386" s="51">
        <f>ESTADISTICA!Z384</f>
        <v>0</v>
      </c>
      <c r="AA386" s="51">
        <f>ESTADISTICA!AA384</f>
        <v>0</v>
      </c>
      <c r="AB386" s="51">
        <f>ESTADISTICA!AB384</f>
        <v>0</v>
      </c>
      <c r="AC386" s="51">
        <f>ESTADISTICA!AC384</f>
        <v>0</v>
      </c>
      <c r="AD386" s="51">
        <f>ESTADISTICA!AD384</f>
        <v>0</v>
      </c>
      <c r="AE386" s="51">
        <f>ESTADISTICA!AE384</f>
        <v>0</v>
      </c>
      <c r="AF386" s="51">
        <f>ESTADISTICA!AF384</f>
        <v>0</v>
      </c>
      <c r="AG386" s="51">
        <f>ESTADISTICA!AG384</f>
        <v>0</v>
      </c>
      <c r="AH386" s="51">
        <f>ESTADISTICA!AH384</f>
        <v>0</v>
      </c>
      <c r="AI386" s="51">
        <f>ESTADISTICA!AI384</f>
        <v>0</v>
      </c>
    </row>
    <row r="387" spans="1:35" hidden="1" x14ac:dyDescent="0.25">
      <c r="A387" s="51" t="str">
        <f>ESTADISTICA!A385</f>
        <v>VILLA MONICA VIEJA</v>
      </c>
      <c r="B387" s="51" t="str">
        <f>ESTADISTICA!B385</f>
        <v>VMOV04 (fija 2)</v>
      </c>
      <c r="C387" s="51" t="str">
        <f>ESTADISTICA!C385</f>
        <v>ROMA E/ HOLANDA Y CAFFERATA</v>
      </c>
      <c r="D387" s="51" t="str">
        <f>ESTADISTICA!D385</f>
        <v>Fija</v>
      </c>
      <c r="E387" s="51" t="str">
        <f>ESTADISTICA!E385</f>
        <v>Fibra Optica</v>
      </c>
      <c r="F387" s="51" t="str">
        <f>ESTADISTICA!F385</f>
        <v>APAGADO</v>
      </c>
      <c r="G387" s="51" t="str">
        <f>ESTADISTICA!G385</f>
        <v>APAGADO</v>
      </c>
      <c r="H387" s="51" t="str">
        <f>ESTADISTICA!H385</f>
        <v>APAGADO</v>
      </c>
      <c r="I387" s="51" t="str">
        <f>ESTADISTICA!I385</f>
        <v>APAGADO</v>
      </c>
      <c r="J387" s="51" t="str">
        <f>ESTADISTICA!J385</f>
        <v>APAGADO</v>
      </c>
      <c r="K387" s="51" t="str">
        <f>ESTADISTICA!K385</f>
        <v>APAGADO</v>
      </c>
      <c r="L387" s="51" t="str">
        <f>ESTADISTICA!L385</f>
        <v>APAGADO</v>
      </c>
      <c r="M387" s="51">
        <f>ESTADISTICA!M385</f>
        <v>0</v>
      </c>
      <c r="N387" s="51">
        <f>ESTADISTICA!N385</f>
        <v>0</v>
      </c>
      <c r="O387" s="51">
        <f>ESTADISTICA!O385</f>
        <v>0</v>
      </c>
      <c r="P387" s="51">
        <f>ESTADISTICA!P385</f>
        <v>0</v>
      </c>
      <c r="Q387" s="51">
        <f>ESTADISTICA!Q385</f>
        <v>0</v>
      </c>
      <c r="R387" s="51">
        <f>ESTADISTICA!R385</f>
        <v>0</v>
      </c>
      <c r="S387" s="51">
        <f>ESTADISTICA!S385</f>
        <v>0</v>
      </c>
      <c r="T387" s="51">
        <f>ESTADISTICA!T385</f>
        <v>0</v>
      </c>
      <c r="U387" s="51">
        <f>ESTADISTICA!U385</f>
        <v>0</v>
      </c>
      <c r="V387" s="51">
        <f>ESTADISTICA!V385</f>
        <v>0</v>
      </c>
      <c r="W387" s="51">
        <f>ESTADISTICA!W385</f>
        <v>0</v>
      </c>
      <c r="X387" s="51">
        <f>ESTADISTICA!X385</f>
        <v>0</v>
      </c>
      <c r="Y387" s="51">
        <f>ESTADISTICA!Y385</f>
        <v>0</v>
      </c>
      <c r="Z387" s="51">
        <f>ESTADISTICA!Z385</f>
        <v>0</v>
      </c>
      <c r="AA387" s="51">
        <f>ESTADISTICA!AA385</f>
        <v>0</v>
      </c>
      <c r="AB387" s="51">
        <f>ESTADISTICA!AB385</f>
        <v>0</v>
      </c>
      <c r="AC387" s="51">
        <f>ESTADISTICA!AC385</f>
        <v>0</v>
      </c>
      <c r="AD387" s="51">
        <f>ESTADISTICA!AD385</f>
        <v>0</v>
      </c>
      <c r="AE387" s="51">
        <f>ESTADISTICA!AE385</f>
        <v>0</v>
      </c>
      <c r="AF387" s="51">
        <f>ESTADISTICA!AF385</f>
        <v>0</v>
      </c>
      <c r="AG387" s="51">
        <f>ESTADISTICA!AG385</f>
        <v>0</v>
      </c>
      <c r="AH387" s="51">
        <f>ESTADISTICA!AH385</f>
        <v>0</v>
      </c>
      <c r="AI387" s="51">
        <f>ESTADISTICA!AI385</f>
        <v>0</v>
      </c>
    </row>
    <row r="388" spans="1:35" hidden="1" x14ac:dyDescent="0.25">
      <c r="A388" s="51" t="str">
        <f>ESTADISTICA!A386</f>
        <v>VILLA SAN LUIS</v>
      </c>
      <c r="B388" s="51" t="str">
        <f>ESTADISTICA!B386</f>
        <v>VSL 01</v>
      </c>
      <c r="C388" s="51" t="str">
        <f>ESTADISTICA!C386</f>
        <v>AV. HUDSON Y CACHEUTA</v>
      </c>
      <c r="D388" s="51" t="str">
        <f>ESTADISTICA!D386</f>
        <v>DOMO</v>
      </c>
      <c r="E388" s="51" t="str">
        <f>ESTADISTICA!E386</f>
        <v>Fibra Optica</v>
      </c>
      <c r="F388" s="51">
        <f>ESTADISTICA!F386</f>
        <v>0</v>
      </c>
      <c r="G388" s="51">
        <f>ESTADISTICA!G386</f>
        <v>0</v>
      </c>
      <c r="H388" s="51">
        <f>ESTADISTICA!H386</f>
        <v>0</v>
      </c>
      <c r="I388" s="51">
        <f>ESTADISTICA!I386</f>
        <v>0</v>
      </c>
      <c r="J388" s="51">
        <f>ESTADISTICA!J386</f>
        <v>0</v>
      </c>
      <c r="K388" s="51">
        <f>ESTADISTICA!K386</f>
        <v>0</v>
      </c>
      <c r="L388" s="51">
        <f>ESTADISTICA!L386</f>
        <v>0</v>
      </c>
      <c r="M388" s="51">
        <f>ESTADISTICA!M386</f>
        <v>0</v>
      </c>
      <c r="N388" s="51">
        <f>ESTADISTICA!N386</f>
        <v>0</v>
      </c>
      <c r="O388" s="51">
        <f>ESTADISTICA!O386</f>
        <v>0</v>
      </c>
      <c r="P388" s="51">
        <f>ESTADISTICA!P386</f>
        <v>0</v>
      </c>
      <c r="Q388" s="51">
        <f>ESTADISTICA!Q386</f>
        <v>0</v>
      </c>
      <c r="R388" s="51">
        <f>ESTADISTICA!R386</f>
        <v>0</v>
      </c>
      <c r="S388" s="51">
        <f>ESTADISTICA!S386</f>
        <v>0</v>
      </c>
      <c r="T388" s="51">
        <f>ESTADISTICA!T386</f>
        <v>0</v>
      </c>
      <c r="U388" s="51">
        <f>ESTADISTICA!U386</f>
        <v>0</v>
      </c>
      <c r="V388" s="51">
        <f>ESTADISTICA!V386</f>
        <v>0</v>
      </c>
      <c r="W388" s="51">
        <f>ESTADISTICA!W386</f>
        <v>0</v>
      </c>
      <c r="X388" s="51">
        <f>ESTADISTICA!X386</f>
        <v>0</v>
      </c>
      <c r="Y388" s="51">
        <f>ESTADISTICA!Y386</f>
        <v>0</v>
      </c>
      <c r="Z388" s="51">
        <f>ESTADISTICA!Z386</f>
        <v>0</v>
      </c>
      <c r="AA388" s="51">
        <f>ESTADISTICA!AA386</f>
        <v>0</v>
      </c>
      <c r="AB388" s="51">
        <f>ESTADISTICA!AB386</f>
        <v>0</v>
      </c>
      <c r="AC388" s="51">
        <f>ESTADISTICA!AC386</f>
        <v>0</v>
      </c>
      <c r="AD388" s="51">
        <f>ESTADISTICA!AD386</f>
        <v>0</v>
      </c>
      <c r="AE388" s="51">
        <f>ESTADISTICA!AE386</f>
        <v>0</v>
      </c>
      <c r="AF388" s="51">
        <f>ESTADISTICA!AF386</f>
        <v>0</v>
      </c>
      <c r="AG388" s="51">
        <f>ESTADISTICA!AG386</f>
        <v>0</v>
      </c>
      <c r="AH388" s="51">
        <f>ESTADISTICA!AH386</f>
        <v>0</v>
      </c>
      <c r="AI388" s="51">
        <f>ESTADISTICA!AI386</f>
        <v>0</v>
      </c>
    </row>
    <row r="389" spans="1:35" hidden="1" x14ac:dyDescent="0.25">
      <c r="A389" s="51" t="str">
        <f>ESTADISTICA!A387</f>
        <v>VILLA SUSANA</v>
      </c>
      <c r="B389" s="51" t="str">
        <f>ESTADISTICA!B387</f>
        <v>VSU 02</v>
      </c>
      <c r="C389" s="51" t="str">
        <f>ESTADISTICA!C387</f>
        <v>CABELLO Y SANTA FE</v>
      </c>
      <c r="D389" s="51" t="str">
        <f>ESTADISTICA!D387</f>
        <v>DOMO</v>
      </c>
      <c r="E389" s="51" t="str">
        <f>ESTADISTICA!E387</f>
        <v>Radio</v>
      </c>
      <c r="F389" s="51">
        <f>ESTADISTICA!F387</f>
        <v>0</v>
      </c>
      <c r="G389" s="51">
        <f>ESTADISTICA!G387</f>
        <v>0</v>
      </c>
      <c r="H389" s="51">
        <f>ESTADISTICA!H387</f>
        <v>0</v>
      </c>
      <c r="I389" s="51">
        <f>ESTADISTICA!I387</f>
        <v>0</v>
      </c>
      <c r="J389" s="51">
        <f>ESTADISTICA!J387</f>
        <v>0</v>
      </c>
      <c r="K389" s="51">
        <f>ESTADISTICA!K387</f>
        <v>0</v>
      </c>
      <c r="L389" s="51">
        <f>ESTADISTICA!L387</f>
        <v>0</v>
      </c>
      <c r="M389" s="51">
        <f>ESTADISTICA!M387</f>
        <v>0</v>
      </c>
      <c r="N389" s="51">
        <f>ESTADISTICA!N387</f>
        <v>0</v>
      </c>
      <c r="O389" s="51">
        <f>ESTADISTICA!O387</f>
        <v>0</v>
      </c>
      <c r="P389" s="51">
        <f>ESTADISTICA!P387</f>
        <v>0</v>
      </c>
      <c r="Q389" s="51">
        <f>ESTADISTICA!Q387</f>
        <v>0</v>
      </c>
      <c r="R389" s="51">
        <f>ESTADISTICA!R387</f>
        <v>0</v>
      </c>
      <c r="S389" s="51">
        <f>ESTADISTICA!S387</f>
        <v>0</v>
      </c>
      <c r="T389" s="51">
        <f>ESTADISTICA!T387</f>
        <v>0</v>
      </c>
      <c r="U389" s="51">
        <f>ESTADISTICA!U387</f>
        <v>0</v>
      </c>
      <c r="V389" s="51">
        <f>ESTADISTICA!V387</f>
        <v>0</v>
      </c>
      <c r="W389" s="51">
        <f>ESTADISTICA!W387</f>
        <v>0</v>
      </c>
      <c r="X389" s="51">
        <f>ESTADISTICA!X387</f>
        <v>0</v>
      </c>
      <c r="Y389" s="51">
        <f>ESTADISTICA!Y387</f>
        <v>0</v>
      </c>
      <c r="Z389" s="51">
        <f>ESTADISTICA!Z387</f>
        <v>0</v>
      </c>
      <c r="AA389" s="51">
        <f>ESTADISTICA!AA387</f>
        <v>0</v>
      </c>
      <c r="AB389" s="51">
        <f>ESTADISTICA!AB387</f>
        <v>0</v>
      </c>
      <c r="AC389" s="51">
        <f>ESTADISTICA!AC387</f>
        <v>0</v>
      </c>
      <c r="AD389" s="51">
        <f>ESTADISTICA!AD387</f>
        <v>0</v>
      </c>
      <c r="AE389" s="51">
        <f>ESTADISTICA!AE387</f>
        <v>0</v>
      </c>
      <c r="AF389" s="51">
        <f>ESTADISTICA!AF387</f>
        <v>0</v>
      </c>
      <c r="AG389" s="51">
        <f>ESTADISTICA!AG387</f>
        <v>0</v>
      </c>
      <c r="AH389" s="51">
        <f>ESTADISTICA!AH387</f>
        <v>0</v>
      </c>
      <c r="AI389" s="51">
        <f>ESTADISTICA!AI387</f>
        <v>0</v>
      </c>
    </row>
    <row r="390" spans="1:35" hidden="1" x14ac:dyDescent="0.25">
      <c r="A390" s="51" t="str">
        <f>ESTADISTICA!A388</f>
        <v>VILLA SUSANA</v>
      </c>
      <c r="B390" s="51" t="str">
        <f>ESTADISTICA!B388</f>
        <v>VSU 03</v>
      </c>
      <c r="C390" s="51" t="str">
        <f>ESTADISTICA!C388</f>
        <v>EE.UU Y SERRANO</v>
      </c>
      <c r="D390" s="51" t="str">
        <f>ESTADISTICA!D388</f>
        <v>DOMO</v>
      </c>
      <c r="E390" s="51" t="str">
        <f>ESTADISTICA!E388</f>
        <v>Radio</v>
      </c>
      <c r="F390" s="51">
        <f>ESTADISTICA!F388</f>
        <v>0</v>
      </c>
      <c r="G390" s="51">
        <f>ESTADISTICA!G388</f>
        <v>0</v>
      </c>
      <c r="H390" s="51">
        <f>ESTADISTICA!H388</f>
        <v>0</v>
      </c>
      <c r="I390" s="51">
        <f>ESTADISTICA!I388</f>
        <v>0</v>
      </c>
      <c r="J390" s="51">
        <f>ESTADISTICA!J388</f>
        <v>0</v>
      </c>
      <c r="K390" s="51">
        <f>ESTADISTICA!K388</f>
        <v>0</v>
      </c>
      <c r="L390" s="51">
        <f>ESTADISTICA!L388</f>
        <v>0</v>
      </c>
      <c r="M390" s="51">
        <f>ESTADISTICA!M388</f>
        <v>0</v>
      </c>
      <c r="N390" s="51">
        <f>ESTADISTICA!N388</f>
        <v>0</v>
      </c>
      <c r="O390" s="51">
        <f>ESTADISTICA!O388</f>
        <v>0</v>
      </c>
      <c r="P390" s="51">
        <f>ESTADISTICA!P388</f>
        <v>0</v>
      </c>
      <c r="Q390" s="51">
        <f>ESTADISTICA!Q388</f>
        <v>0</v>
      </c>
      <c r="R390" s="51">
        <f>ESTADISTICA!R388</f>
        <v>0</v>
      </c>
      <c r="S390" s="51">
        <f>ESTADISTICA!S388</f>
        <v>0</v>
      </c>
      <c r="T390" s="51">
        <f>ESTADISTICA!T388</f>
        <v>0</v>
      </c>
      <c r="U390" s="51">
        <f>ESTADISTICA!U388</f>
        <v>0</v>
      </c>
      <c r="V390" s="51">
        <f>ESTADISTICA!V388</f>
        <v>0</v>
      </c>
      <c r="W390" s="51">
        <f>ESTADISTICA!W388</f>
        <v>0</v>
      </c>
      <c r="X390" s="51">
        <f>ESTADISTICA!X388</f>
        <v>0</v>
      </c>
      <c r="Y390" s="51">
        <f>ESTADISTICA!Y388</f>
        <v>0</v>
      </c>
      <c r="Z390" s="51">
        <f>ESTADISTICA!Z388</f>
        <v>0</v>
      </c>
      <c r="AA390" s="51">
        <f>ESTADISTICA!AA388</f>
        <v>0</v>
      </c>
      <c r="AB390" s="51">
        <f>ESTADISTICA!AB388</f>
        <v>0</v>
      </c>
      <c r="AC390" s="51">
        <f>ESTADISTICA!AC388</f>
        <v>0</v>
      </c>
      <c r="AD390" s="51">
        <f>ESTADISTICA!AD388</f>
        <v>0</v>
      </c>
      <c r="AE390" s="51">
        <f>ESTADISTICA!AE388</f>
        <v>0</v>
      </c>
      <c r="AF390" s="51">
        <f>ESTADISTICA!AF388</f>
        <v>0</v>
      </c>
      <c r="AG390" s="51">
        <f>ESTADISTICA!AG388</f>
        <v>0</v>
      </c>
      <c r="AH390" s="51">
        <f>ESTADISTICA!AH388</f>
        <v>0</v>
      </c>
      <c r="AI390" s="51">
        <f>ESTADISTICA!AI388</f>
        <v>0</v>
      </c>
    </row>
    <row r="391" spans="1:35" hidden="1" x14ac:dyDescent="0.25">
      <c r="A391" s="51" t="str">
        <f>ESTADISTICA!A389</f>
        <v>VILLA SUSANA</v>
      </c>
      <c r="B391" s="51" t="str">
        <f>ESTADISTICA!B389</f>
        <v>VSU01</v>
      </c>
      <c r="C391" s="51" t="str">
        <f>ESTADISTICA!C389</f>
        <v>CJAL. JUAN BROWN Y SANTA FE</v>
      </c>
      <c r="D391" s="51" t="str">
        <f>ESTADISTICA!D389</f>
        <v>DOMO</v>
      </c>
      <c r="E391" s="51" t="str">
        <f>ESTADISTICA!E389</f>
        <v>Radio</v>
      </c>
      <c r="F391" s="51">
        <f>ESTADISTICA!F389</f>
        <v>0</v>
      </c>
      <c r="G391" s="51">
        <f>ESTADISTICA!G389</f>
        <v>0</v>
      </c>
      <c r="H391" s="51">
        <f>ESTADISTICA!H389</f>
        <v>0</v>
      </c>
      <c r="I391" s="51">
        <f>ESTADISTICA!I389</f>
        <v>0</v>
      </c>
      <c r="J391" s="51">
        <f>ESTADISTICA!J389</f>
        <v>0</v>
      </c>
      <c r="K391" s="51">
        <f>ESTADISTICA!K389</f>
        <v>0</v>
      </c>
      <c r="L391" s="51">
        <f>ESTADISTICA!L389</f>
        <v>0</v>
      </c>
      <c r="M391" s="51">
        <f>ESTADISTICA!M389</f>
        <v>0</v>
      </c>
      <c r="N391" s="51">
        <f>ESTADISTICA!N389</f>
        <v>0</v>
      </c>
      <c r="O391" s="51">
        <f>ESTADISTICA!O389</f>
        <v>0</v>
      </c>
      <c r="P391" s="51">
        <f>ESTADISTICA!P389</f>
        <v>0</v>
      </c>
      <c r="Q391" s="51">
        <f>ESTADISTICA!Q389</f>
        <v>0</v>
      </c>
      <c r="R391" s="51">
        <f>ESTADISTICA!R389</f>
        <v>0</v>
      </c>
      <c r="S391" s="51">
        <f>ESTADISTICA!S389</f>
        <v>0</v>
      </c>
      <c r="T391" s="51">
        <f>ESTADISTICA!T389</f>
        <v>0</v>
      </c>
      <c r="U391" s="51">
        <f>ESTADISTICA!U389</f>
        <v>0</v>
      </c>
      <c r="V391" s="51">
        <f>ESTADISTICA!V389</f>
        <v>0</v>
      </c>
      <c r="W391" s="51">
        <f>ESTADISTICA!W389</f>
        <v>0</v>
      </c>
      <c r="X391" s="51">
        <f>ESTADISTICA!X389</f>
        <v>0</v>
      </c>
      <c r="Y391" s="51">
        <f>ESTADISTICA!Y389</f>
        <v>0</v>
      </c>
      <c r="Z391" s="51">
        <f>ESTADISTICA!Z389</f>
        <v>0</v>
      </c>
      <c r="AA391" s="51">
        <f>ESTADISTICA!AA389</f>
        <v>0</v>
      </c>
      <c r="AB391" s="51">
        <f>ESTADISTICA!AB389</f>
        <v>0</v>
      </c>
      <c r="AC391" s="51">
        <f>ESTADISTICA!AC389</f>
        <v>0</v>
      </c>
      <c r="AD391" s="51">
        <f>ESTADISTICA!AD389</f>
        <v>0</v>
      </c>
      <c r="AE391" s="51">
        <f>ESTADISTICA!AE389</f>
        <v>0</v>
      </c>
      <c r="AF391" s="51">
        <f>ESTADISTICA!AF389</f>
        <v>0</v>
      </c>
      <c r="AG391" s="51">
        <f>ESTADISTICA!AG389</f>
        <v>0</v>
      </c>
      <c r="AH391" s="51">
        <f>ESTADISTICA!AH389</f>
        <v>0</v>
      </c>
      <c r="AI391" s="51">
        <f>ESTADISTICA!AI389</f>
        <v>0</v>
      </c>
    </row>
    <row r="392" spans="1:35" hidden="1" x14ac:dyDescent="0.25">
      <c r="A392" s="51" t="str">
        <f>ESTADISTICA!A390</f>
        <v>ZEBALLOS</v>
      </c>
      <c r="B392" s="51" t="str">
        <f>ESTADISTICA!B390</f>
        <v>ZEB 05</v>
      </c>
      <c r="C392" s="51" t="str">
        <f>ESTADISTICA!C390</f>
        <v>DIAG. GRANADEROS Y 214 BIS</v>
      </c>
      <c r="D392" s="51" t="str">
        <f>ESTADISTICA!D390</f>
        <v>Domo</v>
      </c>
      <c r="E392" s="51" t="str">
        <f>ESTADISTICA!E390</f>
        <v>Radio</v>
      </c>
      <c r="F392" s="51">
        <f>ESTADISTICA!F390</f>
        <v>0</v>
      </c>
      <c r="G392" s="51">
        <f>ESTADISTICA!G390</f>
        <v>0</v>
      </c>
      <c r="H392" s="51">
        <f>ESTADISTICA!H390</f>
        <v>0</v>
      </c>
      <c r="I392" s="51">
        <f>ESTADISTICA!I390</f>
        <v>0</v>
      </c>
      <c r="J392" s="51">
        <f>ESTADISTICA!J390</f>
        <v>0</v>
      </c>
      <c r="K392" s="51">
        <f>ESTADISTICA!K390</f>
        <v>0</v>
      </c>
      <c r="L392" s="51">
        <f>ESTADISTICA!L390</f>
        <v>0</v>
      </c>
      <c r="M392" s="51">
        <f>ESTADISTICA!M390</f>
        <v>0</v>
      </c>
      <c r="N392" s="51">
        <f>ESTADISTICA!N390</f>
        <v>0</v>
      </c>
      <c r="O392" s="51">
        <f>ESTADISTICA!O390</f>
        <v>0</v>
      </c>
      <c r="P392" s="51">
        <f>ESTADISTICA!P390</f>
        <v>0</v>
      </c>
      <c r="Q392" s="51">
        <f>ESTADISTICA!Q390</f>
        <v>0</v>
      </c>
      <c r="R392" s="51">
        <f>ESTADISTICA!R390</f>
        <v>0</v>
      </c>
      <c r="S392" s="51">
        <f>ESTADISTICA!S390</f>
        <v>0</v>
      </c>
      <c r="T392" s="51">
        <f>ESTADISTICA!T390</f>
        <v>0</v>
      </c>
      <c r="U392" s="51">
        <f>ESTADISTICA!U390</f>
        <v>0</v>
      </c>
      <c r="V392" s="51">
        <f>ESTADISTICA!V390</f>
        <v>0</v>
      </c>
      <c r="W392" s="51">
        <f>ESTADISTICA!W390</f>
        <v>0</v>
      </c>
      <c r="X392" s="51">
        <f>ESTADISTICA!X390</f>
        <v>0</v>
      </c>
      <c r="Y392" s="51">
        <f>ESTADISTICA!Y390</f>
        <v>0</v>
      </c>
      <c r="Z392" s="51">
        <f>ESTADISTICA!Z390</f>
        <v>0</v>
      </c>
      <c r="AA392" s="51">
        <f>ESTADISTICA!AA390</f>
        <v>0</v>
      </c>
      <c r="AB392" s="51">
        <f>ESTADISTICA!AB390</f>
        <v>0</v>
      </c>
      <c r="AC392" s="51">
        <f>ESTADISTICA!AC390</f>
        <v>0</v>
      </c>
      <c r="AD392" s="51">
        <f>ESTADISTICA!AD390</f>
        <v>0</v>
      </c>
      <c r="AE392" s="51">
        <f>ESTADISTICA!AE390</f>
        <v>0</v>
      </c>
      <c r="AF392" s="51">
        <f>ESTADISTICA!AF390</f>
        <v>0</v>
      </c>
      <c r="AG392" s="51">
        <f>ESTADISTICA!AG390</f>
        <v>0</v>
      </c>
      <c r="AH392" s="51">
        <f>ESTADISTICA!AH390</f>
        <v>0</v>
      </c>
      <c r="AI392" s="51">
        <f>ESTADISTICA!AI390</f>
        <v>0</v>
      </c>
    </row>
    <row r="393" spans="1:35" hidden="1" x14ac:dyDescent="0.25">
      <c r="A393" s="51" t="str">
        <f>ESTADISTICA!A391</f>
        <v>ZEBALLOS</v>
      </c>
      <c r="B393" s="51" t="str">
        <f>ESTADISTICA!B391</f>
        <v>ZEB02</v>
      </c>
      <c r="C393" s="51" t="str">
        <f>ESTADISTICA!C391</f>
        <v>Quinquela Martin y Sgo. del Estero</v>
      </c>
      <c r="D393" s="51" t="str">
        <f>ESTADISTICA!D391</f>
        <v>Domo</v>
      </c>
      <c r="E393" s="51" t="str">
        <f>ESTADISTICA!E391</f>
        <v>Radio</v>
      </c>
      <c r="F393" s="51">
        <f>ESTADISTICA!F391</f>
        <v>0</v>
      </c>
      <c r="G393" s="51">
        <f>ESTADISTICA!G391</f>
        <v>0</v>
      </c>
      <c r="H393" s="51">
        <f>ESTADISTICA!H391</f>
        <v>0</v>
      </c>
      <c r="I393" s="51">
        <f>ESTADISTICA!I391</f>
        <v>0</v>
      </c>
      <c r="J393" s="51">
        <f>ESTADISTICA!J391</f>
        <v>0</v>
      </c>
      <c r="K393" s="51">
        <f>ESTADISTICA!K391</f>
        <v>0</v>
      </c>
      <c r="L393" s="51">
        <f>ESTADISTICA!L391</f>
        <v>0</v>
      </c>
      <c r="M393" s="51">
        <f>ESTADISTICA!M391</f>
        <v>0</v>
      </c>
      <c r="N393" s="51">
        <f>ESTADISTICA!N391</f>
        <v>0</v>
      </c>
      <c r="O393" s="51">
        <f>ESTADISTICA!O391</f>
        <v>0</v>
      </c>
      <c r="P393" s="51">
        <f>ESTADISTICA!P391</f>
        <v>0</v>
      </c>
      <c r="Q393" s="51">
        <f>ESTADISTICA!Q391</f>
        <v>0</v>
      </c>
      <c r="R393" s="51">
        <f>ESTADISTICA!R391</f>
        <v>0</v>
      </c>
      <c r="S393" s="51">
        <f>ESTADISTICA!S391</f>
        <v>0</v>
      </c>
      <c r="T393" s="51">
        <f>ESTADISTICA!T391</f>
        <v>0</v>
      </c>
      <c r="U393" s="51">
        <f>ESTADISTICA!U391</f>
        <v>0</v>
      </c>
      <c r="V393" s="51">
        <f>ESTADISTICA!V391</f>
        <v>0</v>
      </c>
      <c r="W393" s="51">
        <f>ESTADISTICA!W391</f>
        <v>0</v>
      </c>
      <c r="X393" s="51">
        <f>ESTADISTICA!X391</f>
        <v>0</v>
      </c>
      <c r="Y393" s="51">
        <f>ESTADISTICA!Y391</f>
        <v>0</v>
      </c>
      <c r="Z393" s="51">
        <f>ESTADISTICA!Z391</f>
        <v>0</v>
      </c>
      <c r="AA393" s="51">
        <f>ESTADISTICA!AA391</f>
        <v>0</v>
      </c>
      <c r="AB393" s="51">
        <f>ESTADISTICA!AB391</f>
        <v>0</v>
      </c>
      <c r="AC393" s="51">
        <f>ESTADISTICA!AC391</f>
        <v>0</v>
      </c>
      <c r="AD393" s="51">
        <f>ESTADISTICA!AD391</f>
        <v>0</v>
      </c>
      <c r="AE393" s="51">
        <f>ESTADISTICA!AE391</f>
        <v>0</v>
      </c>
      <c r="AF393" s="51">
        <f>ESTADISTICA!AF391</f>
        <v>0</v>
      </c>
      <c r="AG393" s="51">
        <f>ESTADISTICA!AG391</f>
        <v>0</v>
      </c>
      <c r="AH393" s="51">
        <f>ESTADISTICA!AH391</f>
        <v>0</v>
      </c>
      <c r="AI393" s="51">
        <f>ESTADISTICA!AI391</f>
        <v>0</v>
      </c>
    </row>
    <row r="394" spans="1:35" hidden="1" x14ac:dyDescent="0.25">
      <c r="A394" s="51" t="str">
        <f>ESTADISTICA!A392</f>
        <v>9 DE JULIO</v>
      </c>
      <c r="B394" s="51" t="str">
        <f>ESTADISTICA!B392</f>
        <v>ZEB03</v>
      </c>
      <c r="C394" s="51" t="str">
        <f>ESTADISTICA!C392</f>
        <v>Quinquela Martin y Pte. Peron</v>
      </c>
      <c r="D394" s="51" t="str">
        <f>ESTADISTICA!D392</f>
        <v>Domo</v>
      </c>
      <c r="E394" s="51" t="str">
        <f>ESTADISTICA!E392</f>
        <v>Radio</v>
      </c>
      <c r="F394" s="51">
        <f>ESTADISTICA!F392</f>
        <v>0</v>
      </c>
      <c r="G394" s="51">
        <f>ESTADISTICA!G392</f>
        <v>0</v>
      </c>
      <c r="H394" s="51">
        <f>ESTADISTICA!H392</f>
        <v>0</v>
      </c>
      <c r="I394" s="51">
        <f>ESTADISTICA!I392</f>
        <v>0</v>
      </c>
      <c r="J394" s="51">
        <f>ESTADISTICA!J392</f>
        <v>0</v>
      </c>
      <c r="K394" s="51">
        <f>ESTADISTICA!K392</f>
        <v>0</v>
      </c>
      <c r="L394" s="51">
        <f>ESTADISTICA!L392</f>
        <v>0</v>
      </c>
      <c r="M394" s="51">
        <f>ESTADISTICA!M392</f>
        <v>0</v>
      </c>
      <c r="N394" s="51">
        <f>ESTADISTICA!N392</f>
        <v>0</v>
      </c>
      <c r="O394" s="51">
        <f>ESTADISTICA!O392</f>
        <v>0</v>
      </c>
      <c r="P394" s="51">
        <f>ESTADISTICA!P392</f>
        <v>0</v>
      </c>
      <c r="Q394" s="51">
        <f>ESTADISTICA!Q392</f>
        <v>0</v>
      </c>
      <c r="R394" s="51">
        <f>ESTADISTICA!R392</f>
        <v>0</v>
      </c>
      <c r="S394" s="51">
        <f>ESTADISTICA!S392</f>
        <v>0</v>
      </c>
      <c r="T394" s="51">
        <f>ESTADISTICA!T392</f>
        <v>0</v>
      </c>
      <c r="U394" s="51">
        <f>ESTADISTICA!U392</f>
        <v>0</v>
      </c>
      <c r="V394" s="51">
        <f>ESTADISTICA!V392</f>
        <v>0</v>
      </c>
      <c r="W394" s="51">
        <f>ESTADISTICA!W392</f>
        <v>0</v>
      </c>
      <c r="X394" s="51">
        <f>ESTADISTICA!X392</f>
        <v>0</v>
      </c>
      <c r="Y394" s="51">
        <f>ESTADISTICA!Y392</f>
        <v>0</v>
      </c>
      <c r="Z394" s="51">
        <f>ESTADISTICA!Z392</f>
        <v>0</v>
      </c>
      <c r="AA394" s="51">
        <f>ESTADISTICA!AA392</f>
        <v>0</v>
      </c>
      <c r="AB394" s="51">
        <f>ESTADISTICA!AB392</f>
        <v>0</v>
      </c>
      <c r="AC394" s="51">
        <f>ESTADISTICA!AC392</f>
        <v>0</v>
      </c>
      <c r="AD394" s="51">
        <f>ESTADISTICA!AD392</f>
        <v>0</v>
      </c>
      <c r="AE394" s="51">
        <f>ESTADISTICA!AE392</f>
        <v>0</v>
      </c>
      <c r="AF394" s="51">
        <f>ESTADISTICA!AF392</f>
        <v>0</v>
      </c>
      <c r="AG394" s="51">
        <f>ESTADISTICA!AG392</f>
        <v>0</v>
      </c>
      <c r="AH394" s="51">
        <f>ESTADISTICA!AH392</f>
        <v>0</v>
      </c>
      <c r="AI394" s="51">
        <f>ESTADISTICA!AI392</f>
        <v>0</v>
      </c>
    </row>
    <row r="395" spans="1:35" hidden="1" x14ac:dyDescent="0.25">
      <c r="A395" s="51" t="str">
        <f>ESTADISTICA!A393</f>
        <v>ZEBALLOS</v>
      </c>
      <c r="B395" s="51" t="str">
        <f>ESTADISTICA!B393</f>
        <v>ZEB04</v>
      </c>
      <c r="C395" s="51" t="str">
        <f>ESTADISTICA!C393</f>
        <v>THEVENET Y DIAGONAL GRANADEROS</v>
      </c>
      <c r="D395" s="51" t="str">
        <f>ESTADISTICA!D393</f>
        <v>DOMO</v>
      </c>
      <c r="E395" s="51" t="str">
        <f>ESTADISTICA!E393</f>
        <v>Radio</v>
      </c>
      <c r="F395" s="51">
        <f>ESTADISTICA!F393</f>
        <v>0</v>
      </c>
      <c r="G395" s="51">
        <f>ESTADISTICA!G393</f>
        <v>0</v>
      </c>
      <c r="H395" s="51">
        <f>ESTADISTICA!H393</f>
        <v>0</v>
      </c>
      <c r="I395" s="51">
        <f>ESTADISTICA!I393</f>
        <v>0</v>
      </c>
      <c r="J395" s="51">
        <f>ESTADISTICA!J393</f>
        <v>0</v>
      </c>
      <c r="K395" s="51">
        <f>ESTADISTICA!K393</f>
        <v>0</v>
      </c>
      <c r="L395" s="51">
        <f>ESTADISTICA!L393</f>
        <v>0</v>
      </c>
      <c r="M395" s="51">
        <f>ESTADISTICA!M393</f>
        <v>0</v>
      </c>
      <c r="N395" s="51">
        <f>ESTADISTICA!N393</f>
        <v>0</v>
      </c>
      <c r="O395" s="51">
        <f>ESTADISTICA!O393</f>
        <v>0</v>
      </c>
      <c r="P395" s="51">
        <f>ESTADISTICA!P393</f>
        <v>0</v>
      </c>
      <c r="Q395" s="51">
        <f>ESTADISTICA!Q393</f>
        <v>0</v>
      </c>
      <c r="R395" s="51">
        <f>ESTADISTICA!R393</f>
        <v>0</v>
      </c>
      <c r="S395" s="51">
        <f>ESTADISTICA!S393</f>
        <v>0</v>
      </c>
      <c r="T395" s="51">
        <f>ESTADISTICA!T393</f>
        <v>0</v>
      </c>
      <c r="U395" s="51">
        <f>ESTADISTICA!U393</f>
        <v>0</v>
      </c>
      <c r="V395" s="51">
        <f>ESTADISTICA!V393</f>
        <v>0</v>
      </c>
      <c r="W395" s="51">
        <f>ESTADISTICA!W393</f>
        <v>0</v>
      </c>
      <c r="X395" s="51">
        <f>ESTADISTICA!X393</f>
        <v>0</v>
      </c>
      <c r="Y395" s="51">
        <f>ESTADISTICA!Y393</f>
        <v>0</v>
      </c>
      <c r="Z395" s="51">
        <f>ESTADISTICA!Z393</f>
        <v>0</v>
      </c>
      <c r="AA395" s="51">
        <f>ESTADISTICA!AA393</f>
        <v>0</v>
      </c>
      <c r="AB395" s="51">
        <f>ESTADISTICA!AB393</f>
        <v>0</v>
      </c>
      <c r="AC395" s="51">
        <f>ESTADISTICA!AC393</f>
        <v>0</v>
      </c>
      <c r="AD395" s="51">
        <f>ESTADISTICA!AD393</f>
        <v>0</v>
      </c>
      <c r="AE395" s="51">
        <f>ESTADISTICA!AE393</f>
        <v>0</v>
      </c>
      <c r="AF395" s="51">
        <f>ESTADISTICA!AF393</f>
        <v>0</v>
      </c>
      <c r="AG395" s="51">
        <f>ESTADISTICA!AG393</f>
        <v>0</v>
      </c>
      <c r="AH395" s="51">
        <f>ESTADISTICA!AH393</f>
        <v>0</v>
      </c>
      <c r="AI395" s="51">
        <f>ESTADISTICA!AI393</f>
        <v>0</v>
      </c>
    </row>
    <row r="396" spans="1:35" hidden="1" x14ac:dyDescent="0.25">
      <c r="A396" s="51">
        <f>ESTADISTICA!A394</f>
        <v>0</v>
      </c>
      <c r="B396" s="51">
        <f>ESTADISTICA!B394</f>
        <v>0</v>
      </c>
      <c r="C396" s="51">
        <f>ESTADISTICA!C394</f>
        <v>0</v>
      </c>
      <c r="D396" s="51">
        <f>ESTADISTICA!D394</f>
        <v>0</v>
      </c>
      <c r="E396" s="51">
        <f>ESTADISTICA!E394</f>
        <v>0</v>
      </c>
      <c r="F396" s="51">
        <f>ESTADISTICA!F394</f>
        <v>0</v>
      </c>
      <c r="G396" s="51">
        <f>ESTADISTICA!G394</f>
        <v>0</v>
      </c>
      <c r="H396" s="51">
        <f>ESTADISTICA!H394</f>
        <v>0</v>
      </c>
      <c r="I396" s="51">
        <f>ESTADISTICA!I394</f>
        <v>0</v>
      </c>
      <c r="J396" s="51">
        <f>ESTADISTICA!J394</f>
        <v>0</v>
      </c>
      <c r="K396" s="51">
        <f>ESTADISTICA!K394</f>
        <v>0</v>
      </c>
      <c r="L396" s="51">
        <f>ESTADISTICA!L394</f>
        <v>0</v>
      </c>
      <c r="M396" s="51">
        <f>ESTADISTICA!M394</f>
        <v>0</v>
      </c>
      <c r="N396" s="51">
        <f>ESTADISTICA!N394</f>
        <v>0</v>
      </c>
      <c r="O396" s="51">
        <f>ESTADISTICA!O394</f>
        <v>0</v>
      </c>
      <c r="P396" s="51">
        <f>ESTADISTICA!P394</f>
        <v>0</v>
      </c>
      <c r="Q396" s="51">
        <f>ESTADISTICA!Q394</f>
        <v>0</v>
      </c>
      <c r="R396" s="51">
        <f>ESTADISTICA!R394</f>
        <v>0</v>
      </c>
      <c r="S396" s="51">
        <f>ESTADISTICA!S394</f>
        <v>0</v>
      </c>
      <c r="T396" s="51">
        <f>ESTADISTICA!T394</f>
        <v>0</v>
      </c>
      <c r="U396" s="51">
        <f>ESTADISTICA!U394</f>
        <v>0</v>
      </c>
      <c r="V396" s="51">
        <f>ESTADISTICA!V394</f>
        <v>0</v>
      </c>
      <c r="W396" s="51">
        <f>ESTADISTICA!W394</f>
        <v>0</v>
      </c>
      <c r="X396" s="51">
        <f>ESTADISTICA!X394</f>
        <v>0</v>
      </c>
      <c r="Y396" s="51">
        <f>ESTADISTICA!Y394</f>
        <v>0</v>
      </c>
      <c r="Z396" s="51">
        <f>ESTADISTICA!Z394</f>
        <v>0</v>
      </c>
      <c r="AA396" s="51">
        <f>ESTADISTICA!AA394</f>
        <v>0</v>
      </c>
      <c r="AB396" s="51">
        <f>ESTADISTICA!AB394</f>
        <v>0</v>
      </c>
      <c r="AC396" s="51">
        <f>ESTADISTICA!AC394</f>
        <v>0</v>
      </c>
      <c r="AD396" s="51">
        <f>ESTADISTICA!AD394</f>
        <v>0</v>
      </c>
      <c r="AE396" s="51">
        <f>ESTADISTICA!AE394</f>
        <v>0</v>
      </c>
      <c r="AF396" s="51">
        <f>ESTADISTICA!AF394</f>
        <v>0</v>
      </c>
      <c r="AG396" s="51">
        <f>ESTADISTICA!AG394</f>
        <v>0</v>
      </c>
      <c r="AH396" s="51">
        <f>ESTADISTICA!AH394</f>
        <v>0</v>
      </c>
      <c r="AI396" s="51">
        <f>ESTADISTICA!AI394</f>
        <v>0</v>
      </c>
    </row>
    <row r="397" spans="1:35" hidden="1" x14ac:dyDescent="0.25">
      <c r="A397" s="51">
        <f>ESTADISTICA!A395</f>
        <v>0</v>
      </c>
      <c r="B397" s="51">
        <f>ESTADISTICA!B395</f>
        <v>0</v>
      </c>
      <c r="C397" s="51">
        <f>ESTADISTICA!C395</f>
        <v>0</v>
      </c>
      <c r="D397" s="51">
        <f>ESTADISTICA!D395</f>
        <v>0</v>
      </c>
      <c r="E397" s="51">
        <f>ESTADISTICA!E395</f>
        <v>0</v>
      </c>
      <c r="F397" s="51">
        <f>ESTADISTICA!F395</f>
        <v>0</v>
      </c>
      <c r="G397" s="51">
        <f>ESTADISTICA!G395</f>
        <v>0</v>
      </c>
      <c r="H397" s="51">
        <f>ESTADISTICA!H395</f>
        <v>0</v>
      </c>
      <c r="I397" s="51">
        <f>ESTADISTICA!I395</f>
        <v>0</v>
      </c>
      <c r="J397" s="51">
        <f>ESTADISTICA!J395</f>
        <v>0</v>
      </c>
      <c r="K397" s="51">
        <f>ESTADISTICA!K395</f>
        <v>0</v>
      </c>
      <c r="L397" s="51">
        <f>ESTADISTICA!L395</f>
        <v>0</v>
      </c>
      <c r="M397" s="51">
        <f>ESTADISTICA!M395</f>
        <v>0</v>
      </c>
      <c r="N397" s="51">
        <f>ESTADISTICA!N395</f>
        <v>0</v>
      </c>
      <c r="O397" s="51">
        <f>ESTADISTICA!O395</f>
        <v>0</v>
      </c>
      <c r="P397" s="51">
        <f>ESTADISTICA!P395</f>
        <v>0</v>
      </c>
      <c r="Q397" s="51">
        <f>ESTADISTICA!Q395</f>
        <v>0</v>
      </c>
      <c r="R397" s="51">
        <f>ESTADISTICA!R395</f>
        <v>0</v>
      </c>
      <c r="S397" s="51">
        <f>ESTADISTICA!S395</f>
        <v>0</v>
      </c>
      <c r="T397" s="51">
        <f>ESTADISTICA!T395</f>
        <v>0</v>
      </c>
      <c r="U397" s="51">
        <f>ESTADISTICA!U395</f>
        <v>0</v>
      </c>
      <c r="V397" s="51">
        <f>ESTADISTICA!V395</f>
        <v>0</v>
      </c>
      <c r="W397" s="51">
        <f>ESTADISTICA!W395</f>
        <v>0</v>
      </c>
      <c r="X397" s="51">
        <f>ESTADISTICA!X395</f>
        <v>0</v>
      </c>
      <c r="Y397" s="51">
        <f>ESTADISTICA!Y395</f>
        <v>0</v>
      </c>
      <c r="Z397" s="51">
        <f>ESTADISTICA!Z395</f>
        <v>0</v>
      </c>
      <c r="AA397" s="51">
        <f>ESTADISTICA!AA395</f>
        <v>0</v>
      </c>
      <c r="AB397" s="51">
        <f>ESTADISTICA!AB395</f>
        <v>0</v>
      </c>
      <c r="AC397" s="51">
        <f>ESTADISTICA!AC395</f>
        <v>0</v>
      </c>
      <c r="AD397" s="51">
        <f>ESTADISTICA!AD395</f>
        <v>0</v>
      </c>
      <c r="AE397" s="51">
        <f>ESTADISTICA!AE395</f>
        <v>0</v>
      </c>
      <c r="AF397" s="51">
        <f>ESTADISTICA!AF395</f>
        <v>0</v>
      </c>
      <c r="AG397" s="51">
        <f>ESTADISTICA!AG395</f>
        <v>0</v>
      </c>
      <c r="AH397" s="51">
        <f>ESTADISTICA!AH395</f>
        <v>0</v>
      </c>
      <c r="AI397" s="51">
        <f>ESTADISTICA!AI395</f>
        <v>0</v>
      </c>
    </row>
    <row r="398" spans="1:35" hidden="1" x14ac:dyDescent="0.25">
      <c r="A398" s="51">
        <f>ESTADISTICA!A396</f>
        <v>0</v>
      </c>
      <c r="B398" s="51">
        <f>ESTADISTICA!B396</f>
        <v>0</v>
      </c>
      <c r="C398" s="51">
        <f>ESTADISTICA!C396</f>
        <v>0</v>
      </c>
      <c r="D398" s="51">
        <f>ESTADISTICA!D396</f>
        <v>0</v>
      </c>
      <c r="E398" s="51">
        <f>ESTADISTICA!E396</f>
        <v>0</v>
      </c>
      <c r="F398" s="51">
        <f>ESTADISTICA!F396</f>
        <v>0</v>
      </c>
      <c r="G398" s="51">
        <f>ESTADISTICA!G396</f>
        <v>0</v>
      </c>
      <c r="H398" s="51">
        <f>ESTADISTICA!H396</f>
        <v>0</v>
      </c>
      <c r="I398" s="51">
        <f>ESTADISTICA!I396</f>
        <v>0</v>
      </c>
      <c r="J398" s="51">
        <f>ESTADISTICA!J396</f>
        <v>0</v>
      </c>
      <c r="K398" s="51">
        <f>ESTADISTICA!K396</f>
        <v>0</v>
      </c>
      <c r="L398" s="51">
        <f>ESTADISTICA!L396</f>
        <v>0</v>
      </c>
      <c r="M398" s="51">
        <f>ESTADISTICA!M396</f>
        <v>0</v>
      </c>
      <c r="N398" s="51">
        <f>ESTADISTICA!N396</f>
        <v>0</v>
      </c>
      <c r="O398" s="51">
        <f>ESTADISTICA!O396</f>
        <v>0</v>
      </c>
      <c r="P398" s="51">
        <f>ESTADISTICA!P396</f>
        <v>0</v>
      </c>
      <c r="Q398" s="51">
        <f>ESTADISTICA!Q396</f>
        <v>0</v>
      </c>
      <c r="R398" s="51">
        <f>ESTADISTICA!R396</f>
        <v>0</v>
      </c>
      <c r="S398" s="51">
        <f>ESTADISTICA!S396</f>
        <v>0</v>
      </c>
      <c r="T398" s="51">
        <f>ESTADISTICA!T396</f>
        <v>0</v>
      </c>
      <c r="U398" s="51">
        <f>ESTADISTICA!U396</f>
        <v>0</v>
      </c>
      <c r="V398" s="51">
        <f>ESTADISTICA!V396</f>
        <v>0</v>
      </c>
      <c r="W398" s="51">
        <f>ESTADISTICA!W396</f>
        <v>0</v>
      </c>
      <c r="X398" s="51">
        <f>ESTADISTICA!X396</f>
        <v>0</v>
      </c>
      <c r="Y398" s="51">
        <f>ESTADISTICA!Y396</f>
        <v>0</v>
      </c>
      <c r="Z398" s="51">
        <f>ESTADISTICA!Z396</f>
        <v>0</v>
      </c>
      <c r="AA398" s="51">
        <f>ESTADISTICA!AA396</f>
        <v>0</v>
      </c>
      <c r="AB398" s="51">
        <f>ESTADISTICA!AB396</f>
        <v>0</v>
      </c>
      <c r="AC398" s="51">
        <f>ESTADISTICA!AC396</f>
        <v>0</v>
      </c>
      <c r="AD398" s="51">
        <f>ESTADISTICA!AD396</f>
        <v>0</v>
      </c>
      <c r="AE398" s="51">
        <f>ESTADISTICA!AE396</f>
        <v>0</v>
      </c>
      <c r="AF398" s="51">
        <f>ESTADISTICA!AF396</f>
        <v>0</v>
      </c>
      <c r="AG398" s="51">
        <f>ESTADISTICA!AG396</f>
        <v>0</v>
      </c>
      <c r="AH398" s="51">
        <f>ESTADISTICA!AH396</f>
        <v>0</v>
      </c>
      <c r="AI398" s="51">
        <f>ESTADISTICA!AI396</f>
        <v>0</v>
      </c>
    </row>
    <row r="399" spans="1:35" hidden="1" x14ac:dyDescent="0.25">
      <c r="A399" s="51">
        <f>ESTADISTICA!A397</f>
        <v>0</v>
      </c>
      <c r="B399" s="51">
        <f>ESTADISTICA!B397</f>
        <v>0</v>
      </c>
      <c r="C399" s="51">
        <f>ESTADISTICA!C397</f>
        <v>0</v>
      </c>
      <c r="D399" s="51">
        <f>ESTADISTICA!D397</f>
        <v>0</v>
      </c>
      <c r="E399" s="51">
        <f>ESTADISTICA!E397</f>
        <v>0</v>
      </c>
      <c r="F399" s="51">
        <f>ESTADISTICA!F397</f>
        <v>0</v>
      </c>
      <c r="G399" s="51">
        <f>ESTADISTICA!G397</f>
        <v>0</v>
      </c>
      <c r="H399" s="51">
        <f>ESTADISTICA!H397</f>
        <v>0</v>
      </c>
      <c r="I399" s="51">
        <f>ESTADISTICA!I397</f>
        <v>0</v>
      </c>
      <c r="J399" s="51">
        <f>ESTADISTICA!J397</f>
        <v>0</v>
      </c>
      <c r="K399" s="51">
        <f>ESTADISTICA!K397</f>
        <v>0</v>
      </c>
      <c r="L399" s="51">
        <f>ESTADISTICA!L397</f>
        <v>0</v>
      </c>
      <c r="M399" s="51">
        <f>ESTADISTICA!M397</f>
        <v>0</v>
      </c>
      <c r="N399" s="51">
        <f>ESTADISTICA!N397</f>
        <v>0</v>
      </c>
      <c r="O399" s="51">
        <f>ESTADISTICA!O397</f>
        <v>0</v>
      </c>
      <c r="P399" s="51">
        <f>ESTADISTICA!P397</f>
        <v>0</v>
      </c>
      <c r="Q399" s="51">
        <f>ESTADISTICA!Q397</f>
        <v>0</v>
      </c>
      <c r="R399" s="51">
        <f>ESTADISTICA!R397</f>
        <v>0</v>
      </c>
      <c r="S399" s="51">
        <f>ESTADISTICA!S397</f>
        <v>0</v>
      </c>
      <c r="T399" s="51">
        <f>ESTADISTICA!T397</f>
        <v>0</v>
      </c>
      <c r="U399" s="51">
        <f>ESTADISTICA!U397</f>
        <v>0</v>
      </c>
      <c r="V399" s="51">
        <f>ESTADISTICA!V397</f>
        <v>0</v>
      </c>
      <c r="W399" s="51">
        <f>ESTADISTICA!W397</f>
        <v>0</v>
      </c>
      <c r="X399" s="51">
        <f>ESTADISTICA!X397</f>
        <v>0</v>
      </c>
      <c r="Y399" s="51">
        <f>ESTADISTICA!Y397</f>
        <v>0</v>
      </c>
      <c r="Z399" s="51">
        <f>ESTADISTICA!Z397</f>
        <v>0</v>
      </c>
      <c r="AA399" s="51">
        <f>ESTADISTICA!AA397</f>
        <v>0</v>
      </c>
      <c r="AB399" s="51">
        <f>ESTADISTICA!AB397</f>
        <v>0</v>
      </c>
      <c r="AC399" s="51">
        <f>ESTADISTICA!AC397</f>
        <v>0</v>
      </c>
      <c r="AD399" s="51">
        <f>ESTADISTICA!AD397</f>
        <v>0</v>
      </c>
      <c r="AE399" s="51">
        <f>ESTADISTICA!AE397</f>
        <v>0</v>
      </c>
      <c r="AF399" s="51">
        <f>ESTADISTICA!AF397</f>
        <v>0</v>
      </c>
      <c r="AG399" s="51">
        <f>ESTADISTICA!AG397</f>
        <v>0</v>
      </c>
      <c r="AH399" s="51">
        <f>ESTADISTICA!AH397</f>
        <v>0</v>
      </c>
      <c r="AI399" s="51">
        <f>ESTADISTICA!AI397</f>
        <v>0</v>
      </c>
    </row>
    <row r="400" spans="1:35" hidden="1" x14ac:dyDescent="0.25">
      <c r="A400" s="51">
        <f>ESTADISTICA!A398</f>
        <v>0</v>
      </c>
      <c r="B400" s="51">
        <f>ESTADISTICA!B398</f>
        <v>0</v>
      </c>
      <c r="C400" s="51">
        <f>ESTADISTICA!C398</f>
        <v>0</v>
      </c>
      <c r="D400" s="51">
        <f>ESTADISTICA!D398</f>
        <v>0</v>
      </c>
      <c r="E400" s="51">
        <f>ESTADISTICA!E398</f>
        <v>0</v>
      </c>
      <c r="F400" s="51">
        <f>ESTADISTICA!F398</f>
        <v>0</v>
      </c>
      <c r="G400" s="51">
        <f>ESTADISTICA!G398</f>
        <v>0</v>
      </c>
      <c r="H400" s="51">
        <f>ESTADISTICA!H398</f>
        <v>0</v>
      </c>
      <c r="I400" s="51">
        <f>ESTADISTICA!I398</f>
        <v>0</v>
      </c>
      <c r="J400" s="51">
        <f>ESTADISTICA!J398</f>
        <v>0</v>
      </c>
      <c r="K400" s="51">
        <f>ESTADISTICA!K398</f>
        <v>0</v>
      </c>
      <c r="L400" s="51">
        <f>ESTADISTICA!L398</f>
        <v>0</v>
      </c>
      <c r="M400" s="51">
        <f>ESTADISTICA!M398</f>
        <v>0</v>
      </c>
      <c r="N400" s="51">
        <f>ESTADISTICA!N398</f>
        <v>0</v>
      </c>
      <c r="O400" s="51">
        <f>ESTADISTICA!O398</f>
        <v>0</v>
      </c>
      <c r="P400" s="51">
        <f>ESTADISTICA!P398</f>
        <v>0</v>
      </c>
      <c r="Q400" s="51">
        <f>ESTADISTICA!Q398</f>
        <v>0</v>
      </c>
      <c r="R400" s="51">
        <f>ESTADISTICA!R398</f>
        <v>0</v>
      </c>
      <c r="S400" s="51">
        <f>ESTADISTICA!S398</f>
        <v>0</v>
      </c>
      <c r="T400" s="51">
        <f>ESTADISTICA!T398</f>
        <v>0</v>
      </c>
      <c r="U400" s="51">
        <f>ESTADISTICA!U398</f>
        <v>0</v>
      </c>
      <c r="V400" s="51">
        <f>ESTADISTICA!V398</f>
        <v>0</v>
      </c>
      <c r="W400" s="51">
        <f>ESTADISTICA!W398</f>
        <v>0</v>
      </c>
      <c r="X400" s="51">
        <f>ESTADISTICA!X398</f>
        <v>0</v>
      </c>
      <c r="Y400" s="51">
        <f>ESTADISTICA!Y398</f>
        <v>0</v>
      </c>
      <c r="Z400" s="51">
        <f>ESTADISTICA!Z398</f>
        <v>0</v>
      </c>
      <c r="AA400" s="51">
        <f>ESTADISTICA!AA398</f>
        <v>0</v>
      </c>
      <c r="AB400" s="51">
        <f>ESTADISTICA!AB398</f>
        <v>0</v>
      </c>
      <c r="AC400" s="51">
        <f>ESTADISTICA!AC398</f>
        <v>0</v>
      </c>
      <c r="AD400" s="51">
        <f>ESTADISTICA!AD398</f>
        <v>0</v>
      </c>
      <c r="AE400" s="51">
        <f>ESTADISTICA!AE398</f>
        <v>0</v>
      </c>
      <c r="AF400" s="51">
        <f>ESTADISTICA!AF398</f>
        <v>0</v>
      </c>
      <c r="AG400" s="51">
        <f>ESTADISTICA!AG398</f>
        <v>0</v>
      </c>
      <c r="AH400" s="51">
        <f>ESTADISTICA!AH398</f>
        <v>0</v>
      </c>
      <c r="AI400" s="51">
        <f>ESTADISTICA!AI398</f>
        <v>0</v>
      </c>
    </row>
    <row r="401" spans="1:35" hidden="1" x14ac:dyDescent="0.25">
      <c r="A401" s="51">
        <f>ESTADISTICA!A399</f>
        <v>0</v>
      </c>
      <c r="B401" s="51">
        <f>ESTADISTICA!B399</f>
        <v>0</v>
      </c>
      <c r="C401" s="51">
        <f>ESTADISTICA!C399</f>
        <v>0</v>
      </c>
      <c r="D401" s="51">
        <f>ESTADISTICA!D399</f>
        <v>0</v>
      </c>
      <c r="E401" s="51">
        <f>ESTADISTICA!E399</f>
        <v>0</v>
      </c>
      <c r="F401" s="51">
        <f>ESTADISTICA!F399</f>
        <v>0</v>
      </c>
      <c r="G401" s="51">
        <f>ESTADISTICA!G399</f>
        <v>0</v>
      </c>
      <c r="H401" s="51">
        <f>ESTADISTICA!H399</f>
        <v>0</v>
      </c>
      <c r="I401" s="51">
        <f>ESTADISTICA!I399</f>
        <v>0</v>
      </c>
      <c r="J401" s="51">
        <f>ESTADISTICA!J399</f>
        <v>0</v>
      </c>
      <c r="K401" s="51">
        <f>ESTADISTICA!K399</f>
        <v>0</v>
      </c>
      <c r="L401" s="51">
        <f>ESTADISTICA!L399</f>
        <v>0</v>
      </c>
      <c r="M401" s="51">
        <f>ESTADISTICA!M399</f>
        <v>0</v>
      </c>
      <c r="N401" s="51">
        <f>ESTADISTICA!N399</f>
        <v>0</v>
      </c>
      <c r="O401" s="51">
        <f>ESTADISTICA!O399</f>
        <v>0</v>
      </c>
      <c r="P401" s="51">
        <f>ESTADISTICA!P399</f>
        <v>0</v>
      </c>
      <c r="Q401" s="51">
        <f>ESTADISTICA!Q399</f>
        <v>0</v>
      </c>
      <c r="R401" s="51">
        <f>ESTADISTICA!R399</f>
        <v>0</v>
      </c>
      <c r="S401" s="51">
        <f>ESTADISTICA!S399</f>
        <v>0</v>
      </c>
      <c r="T401" s="51">
        <f>ESTADISTICA!T399</f>
        <v>0</v>
      </c>
      <c r="U401" s="51">
        <f>ESTADISTICA!U399</f>
        <v>0</v>
      </c>
      <c r="V401" s="51">
        <f>ESTADISTICA!V399</f>
        <v>0</v>
      </c>
      <c r="W401" s="51">
        <f>ESTADISTICA!W399</f>
        <v>0</v>
      </c>
      <c r="X401" s="51">
        <f>ESTADISTICA!X399</f>
        <v>0</v>
      </c>
      <c r="Y401" s="51">
        <f>ESTADISTICA!Y399</f>
        <v>0</v>
      </c>
      <c r="Z401" s="51">
        <f>ESTADISTICA!Z399</f>
        <v>0</v>
      </c>
      <c r="AA401" s="51">
        <f>ESTADISTICA!AA399</f>
        <v>0</v>
      </c>
      <c r="AB401" s="51">
        <f>ESTADISTICA!AB399</f>
        <v>0</v>
      </c>
      <c r="AC401" s="51">
        <f>ESTADISTICA!AC399</f>
        <v>0</v>
      </c>
      <c r="AD401" s="51">
        <f>ESTADISTICA!AD399</f>
        <v>0</v>
      </c>
      <c r="AE401" s="51">
        <f>ESTADISTICA!AE399</f>
        <v>0</v>
      </c>
      <c r="AF401" s="51">
        <f>ESTADISTICA!AF399</f>
        <v>0</v>
      </c>
      <c r="AG401" s="51">
        <f>ESTADISTICA!AG399</f>
        <v>0</v>
      </c>
      <c r="AH401" s="51">
        <f>ESTADISTICA!AH399</f>
        <v>0</v>
      </c>
      <c r="AI401" s="51">
        <f>ESTADISTICA!AI399</f>
        <v>0</v>
      </c>
    </row>
    <row r="402" spans="1:35" hidden="1" x14ac:dyDescent="0.25">
      <c r="A402" s="51">
        <f>ESTADISTICA!A400</f>
        <v>0</v>
      </c>
      <c r="B402" s="51">
        <f>ESTADISTICA!B400</f>
        <v>0</v>
      </c>
      <c r="C402" s="51">
        <f>ESTADISTICA!C400</f>
        <v>0</v>
      </c>
      <c r="D402" s="51">
        <f>ESTADISTICA!D400</f>
        <v>0</v>
      </c>
      <c r="E402" s="51">
        <f>ESTADISTICA!E400</f>
        <v>0</v>
      </c>
      <c r="F402" s="51">
        <f>ESTADISTICA!F400</f>
        <v>0</v>
      </c>
      <c r="G402" s="51">
        <f>ESTADISTICA!G400</f>
        <v>0</v>
      </c>
      <c r="H402" s="51">
        <f>ESTADISTICA!H400</f>
        <v>0</v>
      </c>
      <c r="I402" s="51">
        <f>ESTADISTICA!I400</f>
        <v>0</v>
      </c>
      <c r="J402" s="51">
        <f>ESTADISTICA!J400</f>
        <v>0</v>
      </c>
      <c r="K402" s="51">
        <f>ESTADISTICA!K400</f>
        <v>0</v>
      </c>
      <c r="L402" s="51">
        <f>ESTADISTICA!L400</f>
        <v>0</v>
      </c>
      <c r="M402" s="51">
        <f>ESTADISTICA!M400</f>
        <v>0</v>
      </c>
      <c r="N402" s="51">
        <f>ESTADISTICA!N400</f>
        <v>0</v>
      </c>
      <c r="O402" s="51">
        <f>ESTADISTICA!O400</f>
        <v>0</v>
      </c>
      <c r="P402" s="51">
        <f>ESTADISTICA!P400</f>
        <v>0</v>
      </c>
      <c r="Q402" s="51">
        <f>ESTADISTICA!Q400</f>
        <v>0</v>
      </c>
      <c r="R402" s="51">
        <f>ESTADISTICA!R400</f>
        <v>0</v>
      </c>
      <c r="S402" s="51">
        <f>ESTADISTICA!S400</f>
        <v>0</v>
      </c>
      <c r="T402" s="51">
        <f>ESTADISTICA!T400</f>
        <v>0</v>
      </c>
      <c r="U402" s="51">
        <f>ESTADISTICA!U400</f>
        <v>0</v>
      </c>
      <c r="V402" s="51">
        <f>ESTADISTICA!V400</f>
        <v>0</v>
      </c>
      <c r="W402" s="51">
        <f>ESTADISTICA!W400</f>
        <v>0</v>
      </c>
      <c r="X402" s="51">
        <f>ESTADISTICA!X400</f>
        <v>0</v>
      </c>
      <c r="Y402" s="51">
        <f>ESTADISTICA!Y400</f>
        <v>0</v>
      </c>
      <c r="Z402" s="51">
        <f>ESTADISTICA!Z400</f>
        <v>0</v>
      </c>
      <c r="AA402" s="51">
        <f>ESTADISTICA!AA400</f>
        <v>0</v>
      </c>
      <c r="AB402" s="51">
        <f>ESTADISTICA!AB400</f>
        <v>0</v>
      </c>
      <c r="AC402" s="51">
        <f>ESTADISTICA!AC400</f>
        <v>0</v>
      </c>
      <c r="AD402" s="51">
        <f>ESTADISTICA!AD400</f>
        <v>0</v>
      </c>
      <c r="AE402" s="51">
        <f>ESTADISTICA!AE400</f>
        <v>0</v>
      </c>
      <c r="AF402" s="51">
        <f>ESTADISTICA!AF400</f>
        <v>0</v>
      </c>
      <c r="AG402" s="51">
        <f>ESTADISTICA!AG400</f>
        <v>0</v>
      </c>
      <c r="AH402" s="51">
        <f>ESTADISTICA!AH400</f>
        <v>0</v>
      </c>
      <c r="AI402" s="51">
        <f>ESTADISTICA!AI400</f>
        <v>0</v>
      </c>
    </row>
    <row r="403" spans="1:35" hidden="1" x14ac:dyDescent="0.25">
      <c r="A403" s="51">
        <f>ESTADISTICA!A401</f>
        <v>0</v>
      </c>
      <c r="B403" s="51">
        <f>ESTADISTICA!B401</f>
        <v>0</v>
      </c>
      <c r="C403" s="51">
        <f>ESTADISTICA!C401</f>
        <v>0</v>
      </c>
      <c r="D403" s="51">
        <f>ESTADISTICA!D401</f>
        <v>0</v>
      </c>
      <c r="E403" s="51">
        <f>ESTADISTICA!E401</f>
        <v>0</v>
      </c>
      <c r="F403" s="51">
        <f>ESTADISTICA!F401</f>
        <v>0</v>
      </c>
      <c r="G403" s="51">
        <f>ESTADISTICA!G401</f>
        <v>0</v>
      </c>
      <c r="H403" s="51">
        <f>ESTADISTICA!H401</f>
        <v>0</v>
      </c>
      <c r="I403" s="51">
        <f>ESTADISTICA!I401</f>
        <v>0</v>
      </c>
      <c r="J403" s="51">
        <f>ESTADISTICA!J401</f>
        <v>0</v>
      </c>
      <c r="K403" s="51">
        <f>ESTADISTICA!K401</f>
        <v>0</v>
      </c>
      <c r="L403" s="51">
        <f>ESTADISTICA!L401</f>
        <v>0</v>
      </c>
      <c r="M403" s="51">
        <f>ESTADISTICA!M401</f>
        <v>0</v>
      </c>
      <c r="N403" s="51">
        <f>ESTADISTICA!N401</f>
        <v>0</v>
      </c>
      <c r="O403" s="51">
        <f>ESTADISTICA!O401</f>
        <v>0</v>
      </c>
      <c r="P403" s="51">
        <f>ESTADISTICA!P401</f>
        <v>0</v>
      </c>
      <c r="Q403" s="51">
        <f>ESTADISTICA!Q401</f>
        <v>0</v>
      </c>
      <c r="R403" s="51">
        <f>ESTADISTICA!R401</f>
        <v>0</v>
      </c>
      <c r="S403" s="51">
        <f>ESTADISTICA!S401</f>
        <v>0</v>
      </c>
      <c r="T403" s="51">
        <f>ESTADISTICA!T401</f>
        <v>0</v>
      </c>
      <c r="U403" s="51">
        <f>ESTADISTICA!U401</f>
        <v>0</v>
      </c>
      <c r="V403" s="51">
        <f>ESTADISTICA!V401</f>
        <v>0</v>
      </c>
      <c r="W403" s="51">
        <f>ESTADISTICA!W401</f>
        <v>0</v>
      </c>
      <c r="X403" s="51">
        <f>ESTADISTICA!X401</f>
        <v>0</v>
      </c>
      <c r="Y403" s="51">
        <f>ESTADISTICA!Y401</f>
        <v>0</v>
      </c>
      <c r="Z403" s="51">
        <f>ESTADISTICA!Z401</f>
        <v>0</v>
      </c>
      <c r="AA403" s="51">
        <f>ESTADISTICA!AA401</f>
        <v>0</v>
      </c>
      <c r="AB403" s="51">
        <f>ESTADISTICA!AB401</f>
        <v>0</v>
      </c>
      <c r="AC403" s="51">
        <f>ESTADISTICA!AC401</f>
        <v>0</v>
      </c>
      <c r="AD403" s="51">
        <f>ESTADISTICA!AD401</f>
        <v>0</v>
      </c>
      <c r="AE403" s="51">
        <f>ESTADISTICA!AE401</f>
        <v>0</v>
      </c>
      <c r="AF403" s="51">
        <f>ESTADISTICA!AF401</f>
        <v>0</v>
      </c>
      <c r="AG403" s="51">
        <f>ESTADISTICA!AG401</f>
        <v>0</v>
      </c>
      <c r="AH403" s="51">
        <f>ESTADISTICA!AH401</f>
        <v>0</v>
      </c>
      <c r="AI403" s="51">
        <f>ESTADISTICA!AI401</f>
        <v>0</v>
      </c>
    </row>
    <row r="404" spans="1:35" hidden="1" x14ac:dyDescent="0.25">
      <c r="A404" s="51">
        <f>ESTADISTICA!A402</f>
        <v>0</v>
      </c>
      <c r="B404" s="51">
        <f>ESTADISTICA!B402</f>
        <v>0</v>
      </c>
      <c r="C404" s="51">
        <f>ESTADISTICA!C402</f>
        <v>0</v>
      </c>
      <c r="D404" s="51">
        <f>ESTADISTICA!D402</f>
        <v>0</v>
      </c>
      <c r="E404" s="51">
        <f>ESTADISTICA!E402</f>
        <v>0</v>
      </c>
      <c r="F404" s="51">
        <f>ESTADISTICA!F402</f>
        <v>0</v>
      </c>
      <c r="G404" s="51">
        <f>ESTADISTICA!G402</f>
        <v>0</v>
      </c>
      <c r="H404" s="51">
        <f>ESTADISTICA!H402</f>
        <v>0</v>
      </c>
      <c r="I404" s="51">
        <f>ESTADISTICA!I402</f>
        <v>0</v>
      </c>
      <c r="J404" s="51">
        <f>ESTADISTICA!J402</f>
        <v>0</v>
      </c>
      <c r="K404" s="51">
        <f>ESTADISTICA!K402</f>
        <v>0</v>
      </c>
      <c r="L404" s="51">
        <f>ESTADISTICA!L402</f>
        <v>0</v>
      </c>
      <c r="M404" s="51">
        <f>ESTADISTICA!M402</f>
        <v>0</v>
      </c>
      <c r="N404" s="51">
        <f>ESTADISTICA!N402</f>
        <v>0</v>
      </c>
      <c r="O404" s="51">
        <f>ESTADISTICA!O402</f>
        <v>0</v>
      </c>
      <c r="P404" s="51">
        <f>ESTADISTICA!P402</f>
        <v>0</v>
      </c>
      <c r="Q404" s="51">
        <f>ESTADISTICA!Q402</f>
        <v>0</v>
      </c>
      <c r="R404" s="51">
        <f>ESTADISTICA!R402</f>
        <v>0</v>
      </c>
      <c r="S404" s="51">
        <f>ESTADISTICA!S402</f>
        <v>0</v>
      </c>
      <c r="T404" s="51">
        <f>ESTADISTICA!T402</f>
        <v>0</v>
      </c>
      <c r="U404" s="51">
        <f>ESTADISTICA!U402</f>
        <v>0</v>
      </c>
      <c r="V404" s="51">
        <f>ESTADISTICA!V402</f>
        <v>0</v>
      </c>
      <c r="W404" s="51">
        <f>ESTADISTICA!W402</f>
        <v>0</v>
      </c>
      <c r="X404" s="51">
        <f>ESTADISTICA!X402</f>
        <v>0</v>
      </c>
      <c r="Y404" s="51">
        <f>ESTADISTICA!Y402</f>
        <v>0</v>
      </c>
      <c r="Z404" s="51">
        <f>ESTADISTICA!Z402</f>
        <v>0</v>
      </c>
      <c r="AA404" s="51">
        <f>ESTADISTICA!AA402</f>
        <v>0</v>
      </c>
      <c r="AB404" s="51">
        <f>ESTADISTICA!AB402</f>
        <v>0</v>
      </c>
      <c r="AC404" s="51">
        <f>ESTADISTICA!AC402</f>
        <v>0</v>
      </c>
      <c r="AD404" s="51">
        <f>ESTADISTICA!AD402</f>
        <v>0</v>
      </c>
      <c r="AE404" s="51">
        <f>ESTADISTICA!AE402</f>
        <v>0</v>
      </c>
      <c r="AF404" s="51">
        <f>ESTADISTICA!AF402</f>
        <v>0</v>
      </c>
      <c r="AG404" s="51">
        <f>ESTADISTICA!AG402</f>
        <v>0</v>
      </c>
      <c r="AH404" s="51">
        <f>ESTADISTICA!AH402</f>
        <v>0</v>
      </c>
      <c r="AI404" s="51">
        <f>ESTADISTICA!AI402</f>
        <v>0</v>
      </c>
    </row>
    <row r="405" spans="1:35" hidden="1" x14ac:dyDescent="0.25">
      <c r="A405" s="51">
        <f>ESTADISTICA!A403</f>
        <v>0</v>
      </c>
      <c r="B405" s="51">
        <f>ESTADISTICA!B403</f>
        <v>0</v>
      </c>
      <c r="C405" s="51">
        <f>ESTADISTICA!C403</f>
        <v>0</v>
      </c>
      <c r="D405" s="51">
        <f>ESTADISTICA!D403</f>
        <v>0</v>
      </c>
      <c r="E405" s="51">
        <f>ESTADISTICA!E403</f>
        <v>0</v>
      </c>
      <c r="F405" s="51">
        <f>ESTADISTICA!F403</f>
        <v>0</v>
      </c>
      <c r="G405" s="51">
        <f>ESTADISTICA!G403</f>
        <v>0</v>
      </c>
      <c r="H405" s="51">
        <f>ESTADISTICA!H403</f>
        <v>0</v>
      </c>
      <c r="I405" s="51">
        <f>ESTADISTICA!I403</f>
        <v>0</v>
      </c>
      <c r="J405" s="51">
        <f>ESTADISTICA!J403</f>
        <v>0</v>
      </c>
      <c r="K405" s="51">
        <f>ESTADISTICA!K403</f>
        <v>0</v>
      </c>
      <c r="L405" s="51">
        <f>ESTADISTICA!L403</f>
        <v>0</v>
      </c>
      <c r="M405" s="51">
        <f>ESTADISTICA!M403</f>
        <v>0</v>
      </c>
      <c r="N405" s="51">
        <f>ESTADISTICA!N403</f>
        <v>0</v>
      </c>
      <c r="O405" s="51">
        <f>ESTADISTICA!O403</f>
        <v>0</v>
      </c>
      <c r="P405" s="51">
        <f>ESTADISTICA!P403</f>
        <v>0</v>
      </c>
      <c r="Q405" s="51">
        <f>ESTADISTICA!Q403</f>
        <v>0</v>
      </c>
      <c r="R405" s="51">
        <f>ESTADISTICA!R403</f>
        <v>0</v>
      </c>
      <c r="S405" s="51">
        <f>ESTADISTICA!S403</f>
        <v>0</v>
      </c>
      <c r="T405" s="51">
        <f>ESTADISTICA!T403</f>
        <v>0</v>
      </c>
      <c r="U405" s="51">
        <f>ESTADISTICA!U403</f>
        <v>0</v>
      </c>
      <c r="V405" s="51">
        <f>ESTADISTICA!V403</f>
        <v>0</v>
      </c>
      <c r="W405" s="51">
        <f>ESTADISTICA!W403</f>
        <v>0</v>
      </c>
      <c r="X405" s="51">
        <f>ESTADISTICA!X403</f>
        <v>0</v>
      </c>
      <c r="Y405" s="51">
        <f>ESTADISTICA!Y403</f>
        <v>0</v>
      </c>
      <c r="Z405" s="51">
        <f>ESTADISTICA!Z403</f>
        <v>0</v>
      </c>
      <c r="AA405" s="51">
        <f>ESTADISTICA!AA403</f>
        <v>0</v>
      </c>
      <c r="AB405" s="51">
        <f>ESTADISTICA!AB403</f>
        <v>0</v>
      </c>
      <c r="AC405" s="51">
        <f>ESTADISTICA!AC403</f>
        <v>0</v>
      </c>
      <c r="AD405" s="51">
        <f>ESTADISTICA!AD403</f>
        <v>0</v>
      </c>
      <c r="AE405" s="51">
        <f>ESTADISTICA!AE403</f>
        <v>0</v>
      </c>
      <c r="AF405" s="51">
        <f>ESTADISTICA!AF403</f>
        <v>0</v>
      </c>
      <c r="AG405" s="51">
        <f>ESTADISTICA!AG403</f>
        <v>0</v>
      </c>
      <c r="AH405" s="51">
        <f>ESTADISTICA!AH403</f>
        <v>0</v>
      </c>
      <c r="AI405" s="51">
        <f>ESTADISTICA!AI403</f>
        <v>0</v>
      </c>
    </row>
    <row r="406" spans="1:35" hidden="1" x14ac:dyDescent="0.25">
      <c r="A406" s="51">
        <f>ESTADISTICA!A404</f>
        <v>0</v>
      </c>
      <c r="B406" s="51">
        <f>ESTADISTICA!B404</f>
        <v>0</v>
      </c>
      <c r="C406" s="51">
        <f>ESTADISTICA!C404</f>
        <v>0</v>
      </c>
      <c r="D406" s="51">
        <f>ESTADISTICA!D404</f>
        <v>0</v>
      </c>
      <c r="E406" s="51">
        <f>ESTADISTICA!E404</f>
        <v>0</v>
      </c>
      <c r="F406" s="51">
        <f>ESTADISTICA!F404</f>
        <v>0</v>
      </c>
      <c r="G406" s="51">
        <f>ESTADISTICA!G404</f>
        <v>0</v>
      </c>
      <c r="H406" s="51">
        <f>ESTADISTICA!H404</f>
        <v>0</v>
      </c>
      <c r="I406" s="51">
        <f>ESTADISTICA!I404</f>
        <v>0</v>
      </c>
      <c r="J406" s="51">
        <f>ESTADISTICA!J404</f>
        <v>0</v>
      </c>
      <c r="K406" s="51">
        <f>ESTADISTICA!K404</f>
        <v>0</v>
      </c>
      <c r="L406" s="51">
        <f>ESTADISTICA!L404</f>
        <v>0</v>
      </c>
      <c r="M406" s="51">
        <f>ESTADISTICA!M404</f>
        <v>0</v>
      </c>
      <c r="N406" s="51">
        <f>ESTADISTICA!N404</f>
        <v>0</v>
      </c>
      <c r="O406" s="51">
        <f>ESTADISTICA!O404</f>
        <v>0</v>
      </c>
      <c r="P406" s="51">
        <f>ESTADISTICA!P404</f>
        <v>0</v>
      </c>
      <c r="Q406" s="51">
        <f>ESTADISTICA!Q404</f>
        <v>0</v>
      </c>
      <c r="R406" s="51">
        <f>ESTADISTICA!R404</f>
        <v>0</v>
      </c>
      <c r="S406" s="51">
        <f>ESTADISTICA!S404</f>
        <v>0</v>
      </c>
      <c r="T406" s="51">
        <f>ESTADISTICA!T404</f>
        <v>0</v>
      </c>
      <c r="U406" s="51">
        <f>ESTADISTICA!U404</f>
        <v>0</v>
      </c>
      <c r="V406" s="51">
        <f>ESTADISTICA!V404</f>
        <v>0</v>
      </c>
      <c r="W406" s="51">
        <f>ESTADISTICA!W404</f>
        <v>0</v>
      </c>
      <c r="X406" s="51">
        <f>ESTADISTICA!X404</f>
        <v>0</v>
      </c>
      <c r="Y406" s="51">
        <f>ESTADISTICA!Y404</f>
        <v>0</v>
      </c>
      <c r="Z406" s="51">
        <f>ESTADISTICA!Z404</f>
        <v>0</v>
      </c>
      <c r="AA406" s="51">
        <f>ESTADISTICA!AA404</f>
        <v>0</v>
      </c>
      <c r="AB406" s="51">
        <f>ESTADISTICA!AB404</f>
        <v>0</v>
      </c>
      <c r="AC406" s="51">
        <f>ESTADISTICA!AC404</f>
        <v>0</v>
      </c>
      <c r="AD406" s="51">
        <f>ESTADISTICA!AD404</f>
        <v>0</v>
      </c>
      <c r="AE406" s="51">
        <f>ESTADISTICA!AE404</f>
        <v>0</v>
      </c>
      <c r="AF406" s="51">
        <f>ESTADISTICA!AF404</f>
        <v>0</v>
      </c>
      <c r="AG406" s="51">
        <f>ESTADISTICA!AG404</f>
        <v>0</v>
      </c>
      <c r="AH406" s="51">
        <f>ESTADISTICA!AH404</f>
        <v>0</v>
      </c>
      <c r="AI406" s="51">
        <f>ESTADISTICA!AI404</f>
        <v>0</v>
      </c>
    </row>
    <row r="407" spans="1:35" hidden="1" x14ac:dyDescent="0.25">
      <c r="A407" s="51">
        <f>ESTADISTICA!A405</f>
        <v>0</v>
      </c>
      <c r="B407" s="51">
        <f>ESTADISTICA!B405</f>
        <v>0</v>
      </c>
      <c r="C407" s="51">
        <f>ESTADISTICA!C405</f>
        <v>0</v>
      </c>
      <c r="D407" s="51">
        <f>ESTADISTICA!D405</f>
        <v>0</v>
      </c>
      <c r="E407" s="51">
        <f>ESTADISTICA!E405</f>
        <v>0</v>
      </c>
      <c r="F407" s="51">
        <f>ESTADISTICA!F405</f>
        <v>0</v>
      </c>
      <c r="G407" s="51">
        <f>ESTADISTICA!G405</f>
        <v>0</v>
      </c>
      <c r="H407" s="51">
        <f>ESTADISTICA!H405</f>
        <v>0</v>
      </c>
      <c r="I407" s="51">
        <f>ESTADISTICA!I405</f>
        <v>0</v>
      </c>
      <c r="J407" s="51">
        <f>ESTADISTICA!J405</f>
        <v>0</v>
      </c>
      <c r="K407" s="51">
        <f>ESTADISTICA!K405</f>
        <v>0</v>
      </c>
      <c r="L407" s="51">
        <f>ESTADISTICA!L405</f>
        <v>0</v>
      </c>
      <c r="M407" s="51">
        <f>ESTADISTICA!M405</f>
        <v>0</v>
      </c>
      <c r="N407" s="51">
        <f>ESTADISTICA!N405</f>
        <v>0</v>
      </c>
      <c r="O407" s="51">
        <f>ESTADISTICA!O405</f>
        <v>0</v>
      </c>
      <c r="P407" s="51">
        <f>ESTADISTICA!P405</f>
        <v>0</v>
      </c>
      <c r="Q407" s="51">
        <f>ESTADISTICA!Q405</f>
        <v>0</v>
      </c>
      <c r="R407" s="51">
        <f>ESTADISTICA!R405</f>
        <v>0</v>
      </c>
      <c r="S407" s="51">
        <f>ESTADISTICA!S405</f>
        <v>0</v>
      </c>
      <c r="T407" s="51">
        <f>ESTADISTICA!T405</f>
        <v>0</v>
      </c>
      <c r="U407" s="51">
        <f>ESTADISTICA!U405</f>
        <v>0</v>
      </c>
      <c r="V407" s="51">
        <f>ESTADISTICA!V405</f>
        <v>0</v>
      </c>
      <c r="W407" s="51">
        <f>ESTADISTICA!W405</f>
        <v>0</v>
      </c>
      <c r="X407" s="51">
        <f>ESTADISTICA!X405</f>
        <v>0</v>
      </c>
      <c r="Y407" s="51">
        <f>ESTADISTICA!Y405</f>
        <v>0</v>
      </c>
      <c r="Z407" s="51">
        <f>ESTADISTICA!Z405</f>
        <v>0</v>
      </c>
      <c r="AA407" s="51">
        <f>ESTADISTICA!AA405</f>
        <v>0</v>
      </c>
      <c r="AB407" s="51">
        <f>ESTADISTICA!AB405</f>
        <v>0</v>
      </c>
      <c r="AC407" s="51">
        <f>ESTADISTICA!AC405</f>
        <v>0</v>
      </c>
      <c r="AD407" s="51">
        <f>ESTADISTICA!AD405</f>
        <v>0</v>
      </c>
      <c r="AE407" s="51">
        <f>ESTADISTICA!AE405</f>
        <v>0</v>
      </c>
      <c r="AF407" s="51">
        <f>ESTADISTICA!AF405</f>
        <v>0</v>
      </c>
      <c r="AG407" s="51">
        <f>ESTADISTICA!AG405</f>
        <v>0</v>
      </c>
      <c r="AH407" s="51">
        <f>ESTADISTICA!AH405</f>
        <v>0</v>
      </c>
      <c r="AI407" s="51">
        <f>ESTADISTICA!AI405</f>
        <v>0</v>
      </c>
    </row>
    <row r="408" spans="1:35" hidden="1" x14ac:dyDescent="0.25">
      <c r="A408" s="51">
        <f>ESTADISTICA!A406</f>
        <v>0</v>
      </c>
      <c r="B408" s="51">
        <f>ESTADISTICA!B406</f>
        <v>0</v>
      </c>
      <c r="C408" s="51">
        <f>ESTADISTICA!C406</f>
        <v>0</v>
      </c>
      <c r="D408" s="51">
        <f>ESTADISTICA!D406</f>
        <v>0</v>
      </c>
      <c r="E408" s="51">
        <f>ESTADISTICA!E406</f>
        <v>0</v>
      </c>
      <c r="F408" s="51">
        <f>ESTADISTICA!F406</f>
        <v>0</v>
      </c>
      <c r="G408" s="51">
        <f>ESTADISTICA!G406</f>
        <v>0</v>
      </c>
      <c r="H408" s="51">
        <f>ESTADISTICA!H406</f>
        <v>0</v>
      </c>
      <c r="I408" s="51">
        <f>ESTADISTICA!I406</f>
        <v>0</v>
      </c>
      <c r="J408" s="51">
        <f>ESTADISTICA!J406</f>
        <v>0</v>
      </c>
      <c r="K408" s="51">
        <f>ESTADISTICA!K406</f>
        <v>0</v>
      </c>
      <c r="L408" s="51">
        <f>ESTADISTICA!L406</f>
        <v>0</v>
      </c>
      <c r="M408" s="51">
        <f>ESTADISTICA!M406</f>
        <v>0</v>
      </c>
      <c r="N408" s="51">
        <f>ESTADISTICA!N406</f>
        <v>0</v>
      </c>
      <c r="O408" s="51">
        <f>ESTADISTICA!O406</f>
        <v>0</v>
      </c>
      <c r="P408" s="51">
        <f>ESTADISTICA!P406</f>
        <v>0</v>
      </c>
      <c r="Q408" s="51">
        <f>ESTADISTICA!Q406</f>
        <v>0</v>
      </c>
      <c r="R408" s="51">
        <f>ESTADISTICA!R406</f>
        <v>0</v>
      </c>
      <c r="S408" s="51">
        <f>ESTADISTICA!S406</f>
        <v>0</v>
      </c>
      <c r="T408" s="51">
        <f>ESTADISTICA!T406</f>
        <v>0</v>
      </c>
      <c r="U408" s="51">
        <f>ESTADISTICA!U406</f>
        <v>0</v>
      </c>
      <c r="V408" s="51">
        <f>ESTADISTICA!V406</f>
        <v>0</v>
      </c>
      <c r="W408" s="51">
        <f>ESTADISTICA!W406</f>
        <v>0</v>
      </c>
      <c r="X408" s="51">
        <f>ESTADISTICA!X406</f>
        <v>0</v>
      </c>
      <c r="Y408" s="51">
        <f>ESTADISTICA!Y406</f>
        <v>0</v>
      </c>
      <c r="Z408" s="51">
        <f>ESTADISTICA!Z406</f>
        <v>0</v>
      </c>
      <c r="AA408" s="51">
        <f>ESTADISTICA!AA406</f>
        <v>0</v>
      </c>
      <c r="AB408" s="51">
        <f>ESTADISTICA!AB406</f>
        <v>0</v>
      </c>
      <c r="AC408" s="51">
        <f>ESTADISTICA!AC406</f>
        <v>0</v>
      </c>
      <c r="AD408" s="51">
        <f>ESTADISTICA!AD406</f>
        <v>0</v>
      </c>
      <c r="AE408" s="51">
        <f>ESTADISTICA!AE406</f>
        <v>0</v>
      </c>
      <c r="AF408" s="51">
        <f>ESTADISTICA!AF406</f>
        <v>0</v>
      </c>
      <c r="AG408" s="51">
        <f>ESTADISTICA!AG406</f>
        <v>0</v>
      </c>
      <c r="AH408" s="51">
        <f>ESTADISTICA!AH406</f>
        <v>0</v>
      </c>
      <c r="AI408" s="51">
        <f>ESTADISTICA!AI406</f>
        <v>0</v>
      </c>
    </row>
    <row r="409" spans="1:35" hidden="1" x14ac:dyDescent="0.25">
      <c r="A409" s="51">
        <f>ESTADISTICA!A407</f>
        <v>0</v>
      </c>
      <c r="B409" s="51">
        <f>ESTADISTICA!B407</f>
        <v>0</v>
      </c>
      <c r="C409" s="51">
        <f>ESTADISTICA!C407</f>
        <v>0</v>
      </c>
      <c r="D409" s="51">
        <f>ESTADISTICA!D407</f>
        <v>0</v>
      </c>
      <c r="E409" s="51">
        <f>ESTADISTICA!E407</f>
        <v>0</v>
      </c>
      <c r="F409" s="51">
        <f>ESTADISTICA!F407</f>
        <v>0</v>
      </c>
      <c r="G409" s="51">
        <f>ESTADISTICA!G407</f>
        <v>0</v>
      </c>
      <c r="H409" s="51">
        <f>ESTADISTICA!H407</f>
        <v>0</v>
      </c>
      <c r="I409" s="51">
        <f>ESTADISTICA!I407</f>
        <v>0</v>
      </c>
      <c r="J409" s="51">
        <f>ESTADISTICA!J407</f>
        <v>0</v>
      </c>
      <c r="K409" s="51">
        <f>ESTADISTICA!K407</f>
        <v>0</v>
      </c>
      <c r="L409" s="51">
        <f>ESTADISTICA!L407</f>
        <v>0</v>
      </c>
      <c r="M409" s="51">
        <f>ESTADISTICA!M407</f>
        <v>0</v>
      </c>
      <c r="N409" s="51">
        <f>ESTADISTICA!N407</f>
        <v>0</v>
      </c>
      <c r="O409" s="51">
        <f>ESTADISTICA!O407</f>
        <v>0</v>
      </c>
      <c r="P409" s="51">
        <f>ESTADISTICA!P407</f>
        <v>0</v>
      </c>
      <c r="Q409" s="51">
        <f>ESTADISTICA!Q407</f>
        <v>0</v>
      </c>
      <c r="R409" s="51">
        <f>ESTADISTICA!R407</f>
        <v>0</v>
      </c>
      <c r="S409" s="51">
        <f>ESTADISTICA!S407</f>
        <v>0</v>
      </c>
      <c r="T409" s="51">
        <f>ESTADISTICA!T407</f>
        <v>0</v>
      </c>
      <c r="U409" s="51">
        <f>ESTADISTICA!U407</f>
        <v>0</v>
      </c>
      <c r="V409" s="51">
        <f>ESTADISTICA!V407</f>
        <v>0</v>
      </c>
      <c r="W409" s="51">
        <f>ESTADISTICA!W407</f>
        <v>0</v>
      </c>
      <c r="X409" s="51">
        <f>ESTADISTICA!X407</f>
        <v>0</v>
      </c>
      <c r="Y409" s="51">
        <f>ESTADISTICA!Y407</f>
        <v>0</v>
      </c>
      <c r="Z409" s="51">
        <f>ESTADISTICA!Z407</f>
        <v>0</v>
      </c>
      <c r="AA409" s="51">
        <f>ESTADISTICA!AA407</f>
        <v>0</v>
      </c>
      <c r="AB409" s="51">
        <f>ESTADISTICA!AB407</f>
        <v>0</v>
      </c>
      <c r="AC409" s="51">
        <f>ESTADISTICA!AC407</f>
        <v>0</v>
      </c>
      <c r="AD409" s="51">
        <f>ESTADISTICA!AD407</f>
        <v>0</v>
      </c>
      <c r="AE409" s="51">
        <f>ESTADISTICA!AE407</f>
        <v>0</v>
      </c>
      <c r="AF409" s="51">
        <f>ESTADISTICA!AF407</f>
        <v>0</v>
      </c>
      <c r="AG409" s="51">
        <f>ESTADISTICA!AG407</f>
        <v>0</v>
      </c>
      <c r="AH409" s="51">
        <f>ESTADISTICA!AH407</f>
        <v>0</v>
      </c>
      <c r="AI409" s="51">
        <f>ESTADISTICA!AI407</f>
        <v>0</v>
      </c>
    </row>
    <row r="410" spans="1:35" hidden="1" x14ac:dyDescent="0.25">
      <c r="A410" s="51">
        <f>ESTADISTICA!A408</f>
        <v>0</v>
      </c>
      <c r="B410" s="51">
        <f>ESTADISTICA!B408</f>
        <v>0</v>
      </c>
      <c r="C410" s="51">
        <f>ESTADISTICA!C408</f>
        <v>0</v>
      </c>
      <c r="D410" s="51">
        <f>ESTADISTICA!D408</f>
        <v>0</v>
      </c>
      <c r="E410" s="51">
        <f>ESTADISTICA!E408</f>
        <v>0</v>
      </c>
      <c r="F410" s="51">
        <f>ESTADISTICA!F408</f>
        <v>0</v>
      </c>
      <c r="G410" s="51">
        <f>ESTADISTICA!G408</f>
        <v>0</v>
      </c>
      <c r="H410" s="51">
        <f>ESTADISTICA!H408</f>
        <v>0</v>
      </c>
      <c r="I410" s="51">
        <f>ESTADISTICA!I408</f>
        <v>0</v>
      </c>
      <c r="J410" s="51">
        <f>ESTADISTICA!J408</f>
        <v>0</v>
      </c>
      <c r="K410" s="51">
        <f>ESTADISTICA!K408</f>
        <v>0</v>
      </c>
      <c r="L410" s="51">
        <f>ESTADISTICA!L408</f>
        <v>0</v>
      </c>
      <c r="M410" s="51">
        <f>ESTADISTICA!M408</f>
        <v>0</v>
      </c>
      <c r="N410" s="51">
        <f>ESTADISTICA!N408</f>
        <v>0</v>
      </c>
      <c r="O410" s="51">
        <f>ESTADISTICA!O408</f>
        <v>0</v>
      </c>
      <c r="P410" s="51">
        <f>ESTADISTICA!P408</f>
        <v>0</v>
      </c>
      <c r="Q410" s="51">
        <f>ESTADISTICA!Q408</f>
        <v>0</v>
      </c>
      <c r="R410" s="51">
        <f>ESTADISTICA!R408</f>
        <v>0</v>
      </c>
      <c r="S410" s="51">
        <f>ESTADISTICA!S408</f>
        <v>0</v>
      </c>
      <c r="T410" s="51">
        <f>ESTADISTICA!T408</f>
        <v>0</v>
      </c>
      <c r="U410" s="51">
        <f>ESTADISTICA!U408</f>
        <v>0</v>
      </c>
      <c r="V410" s="51">
        <f>ESTADISTICA!V408</f>
        <v>0</v>
      </c>
      <c r="W410" s="51">
        <f>ESTADISTICA!W408</f>
        <v>0</v>
      </c>
      <c r="X410" s="51">
        <f>ESTADISTICA!X408</f>
        <v>0</v>
      </c>
      <c r="Y410" s="51">
        <f>ESTADISTICA!Y408</f>
        <v>0</v>
      </c>
      <c r="Z410" s="51">
        <f>ESTADISTICA!Z408</f>
        <v>0</v>
      </c>
      <c r="AA410" s="51">
        <f>ESTADISTICA!AA408</f>
        <v>0</v>
      </c>
      <c r="AB410" s="51">
        <f>ESTADISTICA!AB408</f>
        <v>0</v>
      </c>
      <c r="AC410" s="51">
        <f>ESTADISTICA!AC408</f>
        <v>0</v>
      </c>
      <c r="AD410" s="51">
        <f>ESTADISTICA!AD408</f>
        <v>0</v>
      </c>
      <c r="AE410" s="51">
        <f>ESTADISTICA!AE408</f>
        <v>0</v>
      </c>
      <c r="AF410" s="51">
        <f>ESTADISTICA!AF408</f>
        <v>0</v>
      </c>
      <c r="AG410" s="51">
        <f>ESTADISTICA!AG408</f>
        <v>0</v>
      </c>
      <c r="AH410" s="51">
        <f>ESTADISTICA!AH408</f>
        <v>0</v>
      </c>
      <c r="AI410" s="51">
        <f>ESTADISTICA!AI408</f>
        <v>0</v>
      </c>
    </row>
    <row r="411" spans="1:35" hidden="1" x14ac:dyDescent="0.25">
      <c r="A411" s="51">
        <f>ESTADISTICA!A409</f>
        <v>0</v>
      </c>
      <c r="B411" s="51">
        <f>ESTADISTICA!B409</f>
        <v>0</v>
      </c>
      <c r="C411" s="51">
        <f>ESTADISTICA!C409</f>
        <v>0</v>
      </c>
      <c r="D411" s="51">
        <f>ESTADISTICA!D409</f>
        <v>0</v>
      </c>
      <c r="E411" s="51">
        <f>ESTADISTICA!E409</f>
        <v>0</v>
      </c>
      <c r="F411" s="51">
        <f>ESTADISTICA!F409</f>
        <v>0</v>
      </c>
      <c r="G411" s="51">
        <f>ESTADISTICA!G409</f>
        <v>0</v>
      </c>
      <c r="H411" s="51">
        <f>ESTADISTICA!H409</f>
        <v>0</v>
      </c>
      <c r="I411" s="51">
        <f>ESTADISTICA!I409</f>
        <v>0</v>
      </c>
      <c r="J411" s="51">
        <f>ESTADISTICA!J409</f>
        <v>0</v>
      </c>
      <c r="K411" s="51">
        <f>ESTADISTICA!K409</f>
        <v>0</v>
      </c>
      <c r="L411" s="51">
        <f>ESTADISTICA!L409</f>
        <v>0</v>
      </c>
      <c r="M411" s="51">
        <f>ESTADISTICA!M409</f>
        <v>0</v>
      </c>
      <c r="N411" s="51">
        <f>ESTADISTICA!N409</f>
        <v>0</v>
      </c>
      <c r="O411" s="51">
        <f>ESTADISTICA!O409</f>
        <v>0</v>
      </c>
      <c r="P411" s="51">
        <f>ESTADISTICA!P409</f>
        <v>0</v>
      </c>
      <c r="Q411" s="51">
        <f>ESTADISTICA!Q409</f>
        <v>0</v>
      </c>
      <c r="R411" s="51">
        <f>ESTADISTICA!R409</f>
        <v>0</v>
      </c>
      <c r="S411" s="51">
        <f>ESTADISTICA!S409</f>
        <v>0</v>
      </c>
      <c r="T411" s="51">
        <f>ESTADISTICA!T409</f>
        <v>0</v>
      </c>
      <c r="U411" s="51">
        <f>ESTADISTICA!U409</f>
        <v>0</v>
      </c>
      <c r="V411" s="51">
        <f>ESTADISTICA!V409</f>
        <v>0</v>
      </c>
      <c r="W411" s="51">
        <f>ESTADISTICA!W409</f>
        <v>0</v>
      </c>
      <c r="X411" s="51">
        <f>ESTADISTICA!X409</f>
        <v>0</v>
      </c>
      <c r="Y411" s="51">
        <f>ESTADISTICA!Y409</f>
        <v>0</v>
      </c>
      <c r="Z411" s="51">
        <f>ESTADISTICA!Z409</f>
        <v>0</v>
      </c>
      <c r="AA411" s="51">
        <f>ESTADISTICA!AA409</f>
        <v>0</v>
      </c>
      <c r="AB411" s="51">
        <f>ESTADISTICA!AB409</f>
        <v>0</v>
      </c>
      <c r="AC411" s="51">
        <f>ESTADISTICA!AC409</f>
        <v>0</v>
      </c>
      <c r="AD411" s="51">
        <f>ESTADISTICA!AD409</f>
        <v>0</v>
      </c>
      <c r="AE411" s="51">
        <f>ESTADISTICA!AE409</f>
        <v>0</v>
      </c>
      <c r="AF411" s="51">
        <f>ESTADISTICA!AF409</f>
        <v>0</v>
      </c>
      <c r="AG411" s="51">
        <f>ESTADISTICA!AG409</f>
        <v>0</v>
      </c>
      <c r="AH411" s="51">
        <f>ESTADISTICA!AH409</f>
        <v>0</v>
      </c>
      <c r="AI411" s="51">
        <f>ESTADISTICA!AI409</f>
        <v>0</v>
      </c>
    </row>
    <row r="412" spans="1:35" hidden="1" x14ac:dyDescent="0.25">
      <c r="A412" s="51">
        <f>ESTADISTICA!A410</f>
        <v>0</v>
      </c>
      <c r="B412" s="51">
        <f>ESTADISTICA!B410</f>
        <v>0</v>
      </c>
      <c r="C412" s="51">
        <f>ESTADISTICA!C410</f>
        <v>0</v>
      </c>
      <c r="D412" s="51">
        <f>ESTADISTICA!D410</f>
        <v>0</v>
      </c>
      <c r="E412" s="51">
        <f>ESTADISTICA!E410</f>
        <v>0</v>
      </c>
      <c r="F412" s="51">
        <f>ESTADISTICA!F410</f>
        <v>0</v>
      </c>
      <c r="G412" s="51">
        <f>ESTADISTICA!G410</f>
        <v>0</v>
      </c>
      <c r="H412" s="51">
        <f>ESTADISTICA!H410</f>
        <v>0</v>
      </c>
      <c r="I412" s="51">
        <f>ESTADISTICA!I410</f>
        <v>0</v>
      </c>
      <c r="J412" s="51">
        <f>ESTADISTICA!J410</f>
        <v>0</v>
      </c>
      <c r="K412" s="51">
        <f>ESTADISTICA!K410</f>
        <v>0</v>
      </c>
      <c r="L412" s="51">
        <f>ESTADISTICA!L410</f>
        <v>0</v>
      </c>
      <c r="M412" s="51">
        <f>ESTADISTICA!M410</f>
        <v>0</v>
      </c>
      <c r="N412" s="51">
        <f>ESTADISTICA!N410</f>
        <v>0</v>
      </c>
      <c r="O412" s="51">
        <f>ESTADISTICA!O410</f>
        <v>0</v>
      </c>
      <c r="P412" s="51">
        <f>ESTADISTICA!P410</f>
        <v>0</v>
      </c>
      <c r="Q412" s="51">
        <f>ESTADISTICA!Q410</f>
        <v>0</v>
      </c>
      <c r="R412" s="51">
        <f>ESTADISTICA!R410</f>
        <v>0</v>
      </c>
      <c r="S412" s="51">
        <f>ESTADISTICA!S410</f>
        <v>0</v>
      </c>
      <c r="T412" s="51">
        <f>ESTADISTICA!T410</f>
        <v>0</v>
      </c>
      <c r="U412" s="51">
        <f>ESTADISTICA!U410</f>
        <v>0</v>
      </c>
      <c r="V412" s="51">
        <f>ESTADISTICA!V410</f>
        <v>0</v>
      </c>
      <c r="W412" s="51">
        <f>ESTADISTICA!W410</f>
        <v>0</v>
      </c>
      <c r="X412" s="51">
        <f>ESTADISTICA!X410</f>
        <v>0</v>
      </c>
      <c r="Y412" s="51">
        <f>ESTADISTICA!Y410</f>
        <v>0</v>
      </c>
      <c r="Z412" s="51">
        <f>ESTADISTICA!Z410</f>
        <v>0</v>
      </c>
      <c r="AA412" s="51">
        <f>ESTADISTICA!AA410</f>
        <v>0</v>
      </c>
      <c r="AB412" s="51">
        <f>ESTADISTICA!AB410</f>
        <v>0</v>
      </c>
      <c r="AC412" s="51">
        <f>ESTADISTICA!AC410</f>
        <v>0</v>
      </c>
      <c r="AD412" s="51">
        <f>ESTADISTICA!AD410</f>
        <v>0</v>
      </c>
      <c r="AE412" s="51">
        <f>ESTADISTICA!AE410</f>
        <v>0</v>
      </c>
      <c r="AF412" s="51">
        <f>ESTADISTICA!AF410</f>
        <v>0</v>
      </c>
      <c r="AG412" s="51">
        <f>ESTADISTICA!AG410</f>
        <v>0</v>
      </c>
      <c r="AH412" s="51">
        <f>ESTADISTICA!AH410</f>
        <v>0</v>
      </c>
      <c r="AI412" s="51">
        <f>ESTADISTICA!AI410</f>
        <v>0</v>
      </c>
    </row>
    <row r="413" spans="1:35" hidden="1" x14ac:dyDescent="0.25">
      <c r="A413" s="51">
        <f>ESTADISTICA!A411</f>
        <v>0</v>
      </c>
      <c r="B413" s="51">
        <f>ESTADISTICA!B411</f>
        <v>0</v>
      </c>
      <c r="C413" s="51">
        <f>ESTADISTICA!C411</f>
        <v>0</v>
      </c>
      <c r="D413" s="51">
        <f>ESTADISTICA!D411</f>
        <v>0</v>
      </c>
      <c r="E413" s="51">
        <f>ESTADISTICA!E411</f>
        <v>0</v>
      </c>
      <c r="F413" s="51">
        <f>ESTADISTICA!F411</f>
        <v>0</v>
      </c>
      <c r="G413" s="51">
        <f>ESTADISTICA!G411</f>
        <v>0</v>
      </c>
      <c r="H413" s="51">
        <f>ESTADISTICA!H411</f>
        <v>0</v>
      </c>
      <c r="I413" s="51">
        <f>ESTADISTICA!I411</f>
        <v>0</v>
      </c>
      <c r="J413" s="51">
        <f>ESTADISTICA!J411</f>
        <v>0</v>
      </c>
      <c r="K413" s="51">
        <f>ESTADISTICA!K411</f>
        <v>0</v>
      </c>
      <c r="L413" s="51">
        <f>ESTADISTICA!L411</f>
        <v>0</v>
      </c>
      <c r="M413" s="51">
        <f>ESTADISTICA!M411</f>
        <v>0</v>
      </c>
      <c r="N413" s="51">
        <f>ESTADISTICA!N411</f>
        <v>0</v>
      </c>
      <c r="O413" s="51">
        <f>ESTADISTICA!O411</f>
        <v>0</v>
      </c>
      <c r="P413" s="51">
        <f>ESTADISTICA!P411</f>
        <v>0</v>
      </c>
      <c r="Q413" s="51">
        <f>ESTADISTICA!Q411</f>
        <v>0</v>
      </c>
      <c r="R413" s="51">
        <f>ESTADISTICA!R411</f>
        <v>0</v>
      </c>
      <c r="S413" s="51">
        <f>ESTADISTICA!S411</f>
        <v>0</v>
      </c>
      <c r="T413" s="51">
        <f>ESTADISTICA!T411</f>
        <v>0</v>
      </c>
      <c r="U413" s="51">
        <f>ESTADISTICA!U411</f>
        <v>0</v>
      </c>
      <c r="V413" s="51">
        <f>ESTADISTICA!V411</f>
        <v>0</v>
      </c>
      <c r="W413" s="51">
        <f>ESTADISTICA!W411</f>
        <v>0</v>
      </c>
      <c r="X413" s="51">
        <f>ESTADISTICA!X411</f>
        <v>0</v>
      </c>
      <c r="Y413" s="51">
        <f>ESTADISTICA!Y411</f>
        <v>0</v>
      </c>
      <c r="Z413" s="51">
        <f>ESTADISTICA!Z411</f>
        <v>0</v>
      </c>
      <c r="AA413" s="51">
        <f>ESTADISTICA!AA411</f>
        <v>0</v>
      </c>
      <c r="AB413" s="51">
        <f>ESTADISTICA!AB411</f>
        <v>0</v>
      </c>
      <c r="AC413" s="51">
        <f>ESTADISTICA!AC411</f>
        <v>0</v>
      </c>
      <c r="AD413" s="51">
        <f>ESTADISTICA!AD411</f>
        <v>0</v>
      </c>
      <c r="AE413" s="51">
        <f>ESTADISTICA!AE411</f>
        <v>0</v>
      </c>
      <c r="AF413" s="51">
        <f>ESTADISTICA!AF411</f>
        <v>0</v>
      </c>
      <c r="AG413" s="51">
        <f>ESTADISTICA!AG411</f>
        <v>0</v>
      </c>
      <c r="AH413" s="51">
        <f>ESTADISTICA!AH411</f>
        <v>0</v>
      </c>
      <c r="AI413" s="51">
        <f>ESTADISTICA!AI411</f>
        <v>0</v>
      </c>
    </row>
    <row r="414" spans="1:35" hidden="1" x14ac:dyDescent="0.25">
      <c r="A414" s="51">
        <f>ESTADISTICA!A412</f>
        <v>0</v>
      </c>
      <c r="B414" s="51">
        <f>ESTADISTICA!B412</f>
        <v>0</v>
      </c>
      <c r="C414" s="51">
        <f>ESTADISTICA!C412</f>
        <v>0</v>
      </c>
      <c r="D414" s="51">
        <f>ESTADISTICA!D412</f>
        <v>0</v>
      </c>
      <c r="E414" s="51">
        <f>ESTADISTICA!E412</f>
        <v>0</v>
      </c>
      <c r="F414" s="51">
        <f>ESTADISTICA!F412</f>
        <v>0</v>
      </c>
      <c r="G414" s="51">
        <f>ESTADISTICA!G412</f>
        <v>0</v>
      </c>
      <c r="H414" s="51">
        <f>ESTADISTICA!H412</f>
        <v>0</v>
      </c>
      <c r="I414" s="51">
        <f>ESTADISTICA!I412</f>
        <v>0</v>
      </c>
      <c r="J414" s="51">
        <f>ESTADISTICA!J412</f>
        <v>0</v>
      </c>
      <c r="K414" s="51">
        <f>ESTADISTICA!K412</f>
        <v>0</v>
      </c>
      <c r="L414" s="51">
        <f>ESTADISTICA!L412</f>
        <v>0</v>
      </c>
      <c r="M414" s="51">
        <f>ESTADISTICA!M412</f>
        <v>0</v>
      </c>
      <c r="N414" s="51">
        <f>ESTADISTICA!N412</f>
        <v>0</v>
      </c>
      <c r="O414" s="51">
        <f>ESTADISTICA!O412</f>
        <v>0</v>
      </c>
      <c r="P414" s="51">
        <f>ESTADISTICA!P412</f>
        <v>0</v>
      </c>
      <c r="Q414" s="51">
        <f>ESTADISTICA!Q412</f>
        <v>0</v>
      </c>
      <c r="R414" s="51">
        <f>ESTADISTICA!R412</f>
        <v>0</v>
      </c>
      <c r="S414" s="51">
        <f>ESTADISTICA!S412</f>
        <v>0</v>
      </c>
      <c r="T414" s="51">
        <f>ESTADISTICA!T412</f>
        <v>0</v>
      </c>
      <c r="U414" s="51">
        <f>ESTADISTICA!U412</f>
        <v>0</v>
      </c>
      <c r="V414" s="51">
        <f>ESTADISTICA!V412</f>
        <v>0</v>
      </c>
      <c r="W414" s="51">
        <f>ESTADISTICA!W412</f>
        <v>0</v>
      </c>
      <c r="X414" s="51">
        <f>ESTADISTICA!X412</f>
        <v>0</v>
      </c>
      <c r="Y414" s="51">
        <f>ESTADISTICA!Y412</f>
        <v>0</v>
      </c>
      <c r="Z414" s="51">
        <f>ESTADISTICA!Z412</f>
        <v>0</v>
      </c>
      <c r="AA414" s="51">
        <f>ESTADISTICA!AA412</f>
        <v>0</v>
      </c>
      <c r="AB414" s="51">
        <f>ESTADISTICA!AB412</f>
        <v>0</v>
      </c>
      <c r="AC414" s="51">
        <f>ESTADISTICA!AC412</f>
        <v>0</v>
      </c>
      <c r="AD414" s="51">
        <f>ESTADISTICA!AD412</f>
        <v>0</v>
      </c>
      <c r="AE414" s="51">
        <f>ESTADISTICA!AE412</f>
        <v>0</v>
      </c>
      <c r="AF414" s="51">
        <f>ESTADISTICA!AF412</f>
        <v>0</v>
      </c>
      <c r="AG414" s="51">
        <f>ESTADISTICA!AG412</f>
        <v>0</v>
      </c>
      <c r="AH414" s="51">
        <f>ESTADISTICA!AH412</f>
        <v>0</v>
      </c>
      <c r="AI414" s="51">
        <f>ESTADISTICA!AI412</f>
        <v>0</v>
      </c>
    </row>
    <row r="415" spans="1:35" hidden="1" x14ac:dyDescent="0.25">
      <c r="A415" s="51">
        <f>ESTADISTICA!A413</f>
        <v>0</v>
      </c>
      <c r="B415" s="51">
        <f>ESTADISTICA!B413</f>
        <v>0</v>
      </c>
      <c r="C415" s="51">
        <f>ESTADISTICA!C413</f>
        <v>0</v>
      </c>
      <c r="D415" s="51">
        <f>ESTADISTICA!D413</f>
        <v>0</v>
      </c>
      <c r="E415" s="51">
        <f>ESTADISTICA!E413</f>
        <v>0</v>
      </c>
      <c r="F415" s="51">
        <f>ESTADISTICA!F413</f>
        <v>0</v>
      </c>
      <c r="G415" s="51">
        <f>ESTADISTICA!G413</f>
        <v>0</v>
      </c>
      <c r="H415" s="51">
        <f>ESTADISTICA!H413</f>
        <v>0</v>
      </c>
      <c r="I415" s="51">
        <f>ESTADISTICA!I413</f>
        <v>0</v>
      </c>
      <c r="J415" s="51">
        <f>ESTADISTICA!J413</f>
        <v>0</v>
      </c>
      <c r="K415" s="51">
        <f>ESTADISTICA!K413</f>
        <v>0</v>
      </c>
      <c r="L415" s="51">
        <f>ESTADISTICA!L413</f>
        <v>0</v>
      </c>
      <c r="M415" s="51">
        <f>ESTADISTICA!M413</f>
        <v>0</v>
      </c>
      <c r="N415" s="51">
        <f>ESTADISTICA!N413</f>
        <v>0</v>
      </c>
      <c r="O415" s="51">
        <f>ESTADISTICA!O413</f>
        <v>0</v>
      </c>
      <c r="P415" s="51">
        <f>ESTADISTICA!P413</f>
        <v>0</v>
      </c>
      <c r="Q415" s="51">
        <f>ESTADISTICA!Q413</f>
        <v>0</v>
      </c>
      <c r="R415" s="51">
        <f>ESTADISTICA!R413</f>
        <v>0</v>
      </c>
      <c r="S415" s="51">
        <f>ESTADISTICA!S413</f>
        <v>0</v>
      </c>
      <c r="T415" s="51">
        <f>ESTADISTICA!T413</f>
        <v>0</v>
      </c>
      <c r="U415" s="51">
        <f>ESTADISTICA!U413</f>
        <v>0</v>
      </c>
      <c r="V415" s="51">
        <f>ESTADISTICA!V413</f>
        <v>0</v>
      </c>
      <c r="W415" s="51">
        <f>ESTADISTICA!W413</f>
        <v>0</v>
      </c>
      <c r="X415" s="51">
        <f>ESTADISTICA!X413</f>
        <v>0</v>
      </c>
      <c r="Y415" s="51">
        <f>ESTADISTICA!Y413</f>
        <v>0</v>
      </c>
      <c r="Z415" s="51">
        <f>ESTADISTICA!Z413</f>
        <v>0</v>
      </c>
      <c r="AA415" s="51">
        <f>ESTADISTICA!AA413</f>
        <v>0</v>
      </c>
      <c r="AB415" s="51">
        <f>ESTADISTICA!AB413</f>
        <v>0</v>
      </c>
      <c r="AC415" s="51">
        <f>ESTADISTICA!AC413</f>
        <v>0</v>
      </c>
      <c r="AD415" s="51">
        <f>ESTADISTICA!AD413</f>
        <v>0</v>
      </c>
      <c r="AE415" s="51">
        <f>ESTADISTICA!AE413</f>
        <v>0</v>
      </c>
      <c r="AF415" s="51">
        <f>ESTADISTICA!AF413</f>
        <v>0</v>
      </c>
      <c r="AG415" s="51">
        <f>ESTADISTICA!AG413</f>
        <v>0</v>
      </c>
      <c r="AH415" s="51">
        <f>ESTADISTICA!AH413</f>
        <v>0</v>
      </c>
      <c r="AI415" s="51">
        <f>ESTADISTICA!AI413</f>
        <v>0</v>
      </c>
    </row>
    <row r="416" spans="1:35" hidden="1" x14ac:dyDescent="0.25">
      <c r="A416" s="51">
        <f>ESTADISTICA!A414</f>
        <v>0</v>
      </c>
      <c r="B416" s="51">
        <f>ESTADISTICA!B414</f>
        <v>0</v>
      </c>
      <c r="C416" s="51">
        <f>ESTADISTICA!C414</f>
        <v>0</v>
      </c>
      <c r="D416" s="51">
        <f>ESTADISTICA!D414</f>
        <v>0</v>
      </c>
      <c r="E416" s="51">
        <f>ESTADISTICA!E414</f>
        <v>0</v>
      </c>
      <c r="F416" s="51">
        <f>ESTADISTICA!F414</f>
        <v>0</v>
      </c>
      <c r="G416" s="51">
        <f>ESTADISTICA!G414</f>
        <v>0</v>
      </c>
      <c r="H416" s="51">
        <f>ESTADISTICA!H414</f>
        <v>0</v>
      </c>
      <c r="I416" s="51">
        <f>ESTADISTICA!I414</f>
        <v>0</v>
      </c>
      <c r="J416" s="51">
        <f>ESTADISTICA!J414</f>
        <v>0</v>
      </c>
      <c r="K416" s="51">
        <f>ESTADISTICA!K414</f>
        <v>0</v>
      </c>
      <c r="L416" s="51">
        <f>ESTADISTICA!L414</f>
        <v>0</v>
      </c>
      <c r="M416" s="51">
        <f>ESTADISTICA!M414</f>
        <v>0</v>
      </c>
      <c r="N416" s="51">
        <f>ESTADISTICA!N414</f>
        <v>0</v>
      </c>
      <c r="O416" s="51">
        <f>ESTADISTICA!O414</f>
        <v>0</v>
      </c>
      <c r="P416" s="51">
        <f>ESTADISTICA!P414</f>
        <v>0</v>
      </c>
      <c r="Q416" s="51">
        <f>ESTADISTICA!Q414</f>
        <v>0</v>
      </c>
      <c r="R416" s="51">
        <f>ESTADISTICA!R414</f>
        <v>0</v>
      </c>
      <c r="S416" s="51">
        <f>ESTADISTICA!S414</f>
        <v>0</v>
      </c>
      <c r="T416" s="51">
        <f>ESTADISTICA!T414</f>
        <v>0</v>
      </c>
      <c r="U416" s="51">
        <f>ESTADISTICA!U414</f>
        <v>0</v>
      </c>
      <c r="V416" s="51">
        <f>ESTADISTICA!V414</f>
        <v>0</v>
      </c>
      <c r="W416" s="51">
        <f>ESTADISTICA!W414</f>
        <v>0</v>
      </c>
      <c r="X416" s="51">
        <f>ESTADISTICA!X414</f>
        <v>0</v>
      </c>
      <c r="Y416" s="51">
        <f>ESTADISTICA!Y414</f>
        <v>0</v>
      </c>
      <c r="Z416" s="51">
        <f>ESTADISTICA!Z414</f>
        <v>0</v>
      </c>
      <c r="AA416" s="51">
        <f>ESTADISTICA!AA414</f>
        <v>0</v>
      </c>
      <c r="AB416" s="51">
        <f>ESTADISTICA!AB414</f>
        <v>0</v>
      </c>
      <c r="AC416" s="51">
        <f>ESTADISTICA!AC414</f>
        <v>0</v>
      </c>
      <c r="AD416" s="51">
        <f>ESTADISTICA!AD414</f>
        <v>0</v>
      </c>
      <c r="AE416" s="51">
        <f>ESTADISTICA!AE414</f>
        <v>0</v>
      </c>
      <c r="AF416" s="51">
        <f>ESTADISTICA!AF414</f>
        <v>0</v>
      </c>
      <c r="AG416" s="51">
        <f>ESTADISTICA!AG414</f>
        <v>0</v>
      </c>
      <c r="AH416" s="51">
        <f>ESTADISTICA!AH414</f>
        <v>0</v>
      </c>
      <c r="AI416" s="51">
        <f>ESTADISTICA!AI414</f>
        <v>0</v>
      </c>
    </row>
    <row r="417" spans="1:35" hidden="1" x14ac:dyDescent="0.25">
      <c r="A417" s="51">
        <f>ESTADISTICA!A415</f>
        <v>0</v>
      </c>
      <c r="B417" s="51">
        <f>ESTADISTICA!B415</f>
        <v>0</v>
      </c>
      <c r="C417" s="51">
        <f>ESTADISTICA!C415</f>
        <v>0</v>
      </c>
      <c r="D417" s="51">
        <f>ESTADISTICA!D415</f>
        <v>0</v>
      </c>
      <c r="E417" s="51">
        <f>ESTADISTICA!E415</f>
        <v>0</v>
      </c>
      <c r="F417" s="51">
        <f>ESTADISTICA!F415</f>
        <v>0</v>
      </c>
      <c r="G417" s="51">
        <f>ESTADISTICA!G415</f>
        <v>0</v>
      </c>
      <c r="H417" s="51">
        <f>ESTADISTICA!H415</f>
        <v>0</v>
      </c>
      <c r="I417" s="51">
        <f>ESTADISTICA!I415</f>
        <v>0</v>
      </c>
      <c r="J417" s="51">
        <f>ESTADISTICA!J415</f>
        <v>0</v>
      </c>
      <c r="K417" s="51">
        <f>ESTADISTICA!K415</f>
        <v>0</v>
      </c>
      <c r="L417" s="51">
        <f>ESTADISTICA!L415</f>
        <v>0</v>
      </c>
      <c r="M417" s="51">
        <f>ESTADISTICA!M415</f>
        <v>0</v>
      </c>
      <c r="N417" s="51">
        <f>ESTADISTICA!N415</f>
        <v>0</v>
      </c>
      <c r="O417" s="51">
        <f>ESTADISTICA!O415</f>
        <v>0</v>
      </c>
      <c r="P417" s="51">
        <f>ESTADISTICA!P415</f>
        <v>0</v>
      </c>
      <c r="Q417" s="51">
        <f>ESTADISTICA!Q415</f>
        <v>0</v>
      </c>
      <c r="R417" s="51">
        <f>ESTADISTICA!R415</f>
        <v>0</v>
      </c>
      <c r="S417" s="51">
        <f>ESTADISTICA!S415</f>
        <v>0</v>
      </c>
      <c r="T417" s="51">
        <f>ESTADISTICA!T415</f>
        <v>0</v>
      </c>
      <c r="U417" s="51">
        <f>ESTADISTICA!U415</f>
        <v>0</v>
      </c>
      <c r="V417" s="51">
        <f>ESTADISTICA!V415</f>
        <v>0</v>
      </c>
      <c r="W417" s="51">
        <f>ESTADISTICA!W415</f>
        <v>0</v>
      </c>
      <c r="X417" s="51">
        <f>ESTADISTICA!X415</f>
        <v>0</v>
      </c>
      <c r="Y417" s="51">
        <f>ESTADISTICA!Y415</f>
        <v>0</v>
      </c>
      <c r="Z417" s="51">
        <f>ESTADISTICA!Z415</f>
        <v>0</v>
      </c>
      <c r="AA417" s="51">
        <f>ESTADISTICA!AA415</f>
        <v>0</v>
      </c>
      <c r="AB417" s="51">
        <f>ESTADISTICA!AB415</f>
        <v>0</v>
      </c>
      <c r="AC417" s="51">
        <f>ESTADISTICA!AC415</f>
        <v>0</v>
      </c>
      <c r="AD417" s="51">
        <f>ESTADISTICA!AD415</f>
        <v>0</v>
      </c>
      <c r="AE417" s="51">
        <f>ESTADISTICA!AE415</f>
        <v>0</v>
      </c>
      <c r="AF417" s="51">
        <f>ESTADISTICA!AF415</f>
        <v>0</v>
      </c>
      <c r="AG417" s="51">
        <f>ESTADISTICA!AG415</f>
        <v>0</v>
      </c>
      <c r="AH417" s="51">
        <f>ESTADISTICA!AH415</f>
        <v>0</v>
      </c>
      <c r="AI417" s="51">
        <f>ESTADISTICA!AI415</f>
        <v>0</v>
      </c>
    </row>
    <row r="418" spans="1:35" hidden="1" x14ac:dyDescent="0.25">
      <c r="A418" s="51">
        <f>ESTADISTICA!A416</f>
        <v>0</v>
      </c>
      <c r="B418" s="51">
        <f>ESTADISTICA!B416</f>
        <v>0</v>
      </c>
      <c r="C418" s="51">
        <f>ESTADISTICA!C416</f>
        <v>0</v>
      </c>
      <c r="D418" s="51">
        <f>ESTADISTICA!D416</f>
        <v>0</v>
      </c>
      <c r="E418" s="51">
        <f>ESTADISTICA!E416</f>
        <v>0</v>
      </c>
      <c r="F418" s="51">
        <f>ESTADISTICA!F416</f>
        <v>0</v>
      </c>
      <c r="G418" s="51">
        <f>ESTADISTICA!G416</f>
        <v>0</v>
      </c>
      <c r="H418" s="51">
        <f>ESTADISTICA!H416</f>
        <v>0</v>
      </c>
      <c r="I418" s="51">
        <f>ESTADISTICA!I416</f>
        <v>0</v>
      </c>
      <c r="J418" s="51">
        <f>ESTADISTICA!J416</f>
        <v>0</v>
      </c>
      <c r="K418" s="51">
        <f>ESTADISTICA!K416</f>
        <v>0</v>
      </c>
      <c r="L418" s="51">
        <f>ESTADISTICA!L416</f>
        <v>0</v>
      </c>
      <c r="M418" s="51">
        <f>ESTADISTICA!M416</f>
        <v>0</v>
      </c>
      <c r="N418" s="51">
        <f>ESTADISTICA!N416</f>
        <v>0</v>
      </c>
      <c r="O418" s="51">
        <f>ESTADISTICA!O416</f>
        <v>0</v>
      </c>
      <c r="P418" s="51">
        <f>ESTADISTICA!P416</f>
        <v>0</v>
      </c>
      <c r="Q418" s="51">
        <f>ESTADISTICA!Q416</f>
        <v>0</v>
      </c>
      <c r="R418" s="51">
        <f>ESTADISTICA!R416</f>
        <v>0</v>
      </c>
      <c r="S418" s="51">
        <f>ESTADISTICA!S416</f>
        <v>0</v>
      </c>
      <c r="T418" s="51">
        <f>ESTADISTICA!T416</f>
        <v>0</v>
      </c>
      <c r="U418" s="51">
        <f>ESTADISTICA!U416</f>
        <v>0</v>
      </c>
      <c r="V418" s="51">
        <f>ESTADISTICA!V416</f>
        <v>0</v>
      </c>
      <c r="W418" s="51">
        <f>ESTADISTICA!W416</f>
        <v>0</v>
      </c>
      <c r="X418" s="51">
        <f>ESTADISTICA!X416</f>
        <v>0</v>
      </c>
      <c r="Y418" s="51">
        <f>ESTADISTICA!Y416</f>
        <v>0</v>
      </c>
      <c r="Z418" s="51">
        <f>ESTADISTICA!Z416</f>
        <v>0</v>
      </c>
      <c r="AA418" s="51">
        <f>ESTADISTICA!AA416</f>
        <v>0</v>
      </c>
      <c r="AB418" s="51">
        <f>ESTADISTICA!AB416</f>
        <v>0</v>
      </c>
      <c r="AC418" s="51">
        <f>ESTADISTICA!AC416</f>
        <v>0</v>
      </c>
      <c r="AD418" s="51">
        <f>ESTADISTICA!AD416</f>
        <v>0</v>
      </c>
      <c r="AE418" s="51">
        <f>ESTADISTICA!AE416</f>
        <v>0</v>
      </c>
      <c r="AF418" s="51">
        <f>ESTADISTICA!AF416</f>
        <v>0</v>
      </c>
      <c r="AG418" s="51">
        <f>ESTADISTICA!AG416</f>
        <v>0</v>
      </c>
      <c r="AH418" s="51">
        <f>ESTADISTICA!AH416</f>
        <v>0</v>
      </c>
      <c r="AI418" s="51">
        <f>ESTADISTICA!AI416</f>
        <v>0</v>
      </c>
    </row>
    <row r="419" spans="1:35" hidden="1" x14ac:dyDescent="0.25">
      <c r="A419" s="51">
        <f>ESTADISTICA!A417</f>
        <v>0</v>
      </c>
      <c r="B419" s="51">
        <f>ESTADISTICA!B417</f>
        <v>0</v>
      </c>
      <c r="C419" s="51">
        <f>ESTADISTICA!C417</f>
        <v>0</v>
      </c>
      <c r="D419" s="51">
        <f>ESTADISTICA!D417</f>
        <v>0</v>
      </c>
      <c r="E419" s="51">
        <f>ESTADISTICA!E417</f>
        <v>0</v>
      </c>
      <c r="F419" s="51">
        <f>ESTADISTICA!F417</f>
        <v>0</v>
      </c>
      <c r="G419" s="51">
        <f>ESTADISTICA!G417</f>
        <v>0</v>
      </c>
      <c r="H419" s="51">
        <f>ESTADISTICA!H417</f>
        <v>0</v>
      </c>
      <c r="I419" s="51">
        <f>ESTADISTICA!I417</f>
        <v>0</v>
      </c>
      <c r="J419" s="51">
        <f>ESTADISTICA!J417</f>
        <v>0</v>
      </c>
      <c r="K419" s="51">
        <f>ESTADISTICA!K417</f>
        <v>0</v>
      </c>
      <c r="L419" s="51">
        <f>ESTADISTICA!L417</f>
        <v>0</v>
      </c>
      <c r="M419" s="51">
        <f>ESTADISTICA!M417</f>
        <v>0</v>
      </c>
      <c r="N419" s="51">
        <f>ESTADISTICA!N417</f>
        <v>0</v>
      </c>
      <c r="O419" s="51">
        <f>ESTADISTICA!O417</f>
        <v>0</v>
      </c>
      <c r="P419" s="51">
        <f>ESTADISTICA!P417</f>
        <v>0</v>
      </c>
      <c r="Q419" s="51">
        <f>ESTADISTICA!Q417</f>
        <v>0</v>
      </c>
      <c r="R419" s="51">
        <f>ESTADISTICA!R417</f>
        <v>0</v>
      </c>
      <c r="S419" s="51">
        <f>ESTADISTICA!S417</f>
        <v>0</v>
      </c>
      <c r="T419" s="51">
        <f>ESTADISTICA!T417</f>
        <v>0</v>
      </c>
      <c r="U419" s="51">
        <f>ESTADISTICA!U417</f>
        <v>0</v>
      </c>
      <c r="V419" s="51">
        <f>ESTADISTICA!V417</f>
        <v>0</v>
      </c>
      <c r="W419" s="51">
        <f>ESTADISTICA!W417</f>
        <v>0</v>
      </c>
      <c r="X419" s="51">
        <f>ESTADISTICA!X417</f>
        <v>0</v>
      </c>
      <c r="Y419" s="51">
        <f>ESTADISTICA!Y417</f>
        <v>0</v>
      </c>
      <c r="Z419" s="51">
        <f>ESTADISTICA!Z417</f>
        <v>0</v>
      </c>
      <c r="AA419" s="51">
        <f>ESTADISTICA!AA417</f>
        <v>0</v>
      </c>
      <c r="AB419" s="51">
        <f>ESTADISTICA!AB417</f>
        <v>0</v>
      </c>
      <c r="AC419" s="51">
        <f>ESTADISTICA!AC417</f>
        <v>0</v>
      </c>
      <c r="AD419" s="51">
        <f>ESTADISTICA!AD417</f>
        <v>0</v>
      </c>
      <c r="AE419" s="51">
        <f>ESTADISTICA!AE417</f>
        <v>0</v>
      </c>
      <c r="AF419" s="51">
        <f>ESTADISTICA!AF417</f>
        <v>0</v>
      </c>
      <c r="AG419" s="51">
        <f>ESTADISTICA!AG417</f>
        <v>0</v>
      </c>
      <c r="AH419" s="51">
        <f>ESTADISTICA!AH417</f>
        <v>0</v>
      </c>
      <c r="AI419" s="51">
        <f>ESTADISTICA!AI417</f>
        <v>0</v>
      </c>
    </row>
    <row r="420" spans="1:35" hidden="1" x14ac:dyDescent="0.25">
      <c r="A420" s="51">
        <f>ESTADISTICA!A418</f>
        <v>0</v>
      </c>
      <c r="B420" s="51">
        <f>ESTADISTICA!B418</f>
        <v>0</v>
      </c>
      <c r="C420" s="51">
        <f>ESTADISTICA!C418</f>
        <v>0</v>
      </c>
      <c r="D420" s="51">
        <f>ESTADISTICA!D418</f>
        <v>0</v>
      </c>
      <c r="E420" s="51">
        <f>ESTADISTICA!E418</f>
        <v>0</v>
      </c>
      <c r="F420" s="51">
        <f>ESTADISTICA!F418</f>
        <v>0</v>
      </c>
      <c r="G420" s="51">
        <f>ESTADISTICA!G418</f>
        <v>0</v>
      </c>
      <c r="H420" s="51">
        <f>ESTADISTICA!H418</f>
        <v>0</v>
      </c>
      <c r="I420" s="51">
        <f>ESTADISTICA!I418</f>
        <v>0</v>
      </c>
      <c r="J420" s="51">
        <f>ESTADISTICA!J418</f>
        <v>0</v>
      </c>
      <c r="K420" s="51">
        <f>ESTADISTICA!K418</f>
        <v>0</v>
      </c>
      <c r="L420" s="51">
        <f>ESTADISTICA!L418</f>
        <v>0</v>
      </c>
      <c r="M420" s="51">
        <f>ESTADISTICA!M418</f>
        <v>0</v>
      </c>
      <c r="N420" s="51">
        <f>ESTADISTICA!N418</f>
        <v>0</v>
      </c>
      <c r="O420" s="51">
        <f>ESTADISTICA!O418</f>
        <v>0</v>
      </c>
      <c r="P420" s="51">
        <f>ESTADISTICA!P418</f>
        <v>0</v>
      </c>
      <c r="Q420" s="51">
        <f>ESTADISTICA!Q418</f>
        <v>0</v>
      </c>
      <c r="R420" s="51">
        <f>ESTADISTICA!R418</f>
        <v>0</v>
      </c>
      <c r="S420" s="51">
        <f>ESTADISTICA!S418</f>
        <v>0</v>
      </c>
      <c r="T420" s="51">
        <f>ESTADISTICA!T418</f>
        <v>0</v>
      </c>
      <c r="U420" s="51">
        <f>ESTADISTICA!U418</f>
        <v>0</v>
      </c>
      <c r="V420" s="51">
        <f>ESTADISTICA!V418</f>
        <v>0</v>
      </c>
      <c r="W420" s="51">
        <f>ESTADISTICA!W418</f>
        <v>0</v>
      </c>
      <c r="X420" s="51">
        <f>ESTADISTICA!X418</f>
        <v>0</v>
      </c>
      <c r="Y420" s="51">
        <f>ESTADISTICA!Y418</f>
        <v>0</v>
      </c>
      <c r="Z420" s="51">
        <f>ESTADISTICA!Z418</f>
        <v>0</v>
      </c>
      <c r="AA420" s="51">
        <f>ESTADISTICA!AA418</f>
        <v>0</v>
      </c>
      <c r="AB420" s="51">
        <f>ESTADISTICA!AB418</f>
        <v>0</v>
      </c>
      <c r="AC420" s="51">
        <f>ESTADISTICA!AC418</f>
        <v>0</v>
      </c>
      <c r="AD420" s="51">
        <f>ESTADISTICA!AD418</f>
        <v>0</v>
      </c>
      <c r="AE420" s="51">
        <f>ESTADISTICA!AE418</f>
        <v>0</v>
      </c>
      <c r="AF420" s="51">
        <f>ESTADISTICA!AF418</f>
        <v>0</v>
      </c>
      <c r="AG420" s="51">
        <f>ESTADISTICA!AG418</f>
        <v>0</v>
      </c>
      <c r="AH420" s="51">
        <f>ESTADISTICA!AH418</f>
        <v>0</v>
      </c>
      <c r="AI420" s="51">
        <f>ESTADISTICA!AI418</f>
        <v>0</v>
      </c>
    </row>
    <row r="421" spans="1:35" hidden="1" x14ac:dyDescent="0.25">
      <c r="A421" s="51">
        <f>ESTADISTICA!A419</f>
        <v>0</v>
      </c>
      <c r="B421" s="51">
        <f>ESTADISTICA!B419</f>
        <v>0</v>
      </c>
      <c r="C421" s="51">
        <f>ESTADISTICA!C419</f>
        <v>0</v>
      </c>
      <c r="D421" s="51">
        <f>ESTADISTICA!D419</f>
        <v>0</v>
      </c>
      <c r="E421" s="51">
        <f>ESTADISTICA!E419</f>
        <v>0</v>
      </c>
      <c r="F421" s="51">
        <f>ESTADISTICA!F419</f>
        <v>0</v>
      </c>
      <c r="G421" s="51">
        <f>ESTADISTICA!G419</f>
        <v>0</v>
      </c>
      <c r="H421" s="51">
        <f>ESTADISTICA!H419</f>
        <v>0</v>
      </c>
      <c r="I421" s="51">
        <f>ESTADISTICA!I419</f>
        <v>0</v>
      </c>
      <c r="J421" s="51">
        <f>ESTADISTICA!J419</f>
        <v>0</v>
      </c>
      <c r="K421" s="51">
        <f>ESTADISTICA!K419</f>
        <v>0</v>
      </c>
      <c r="L421" s="51">
        <f>ESTADISTICA!L419</f>
        <v>0</v>
      </c>
      <c r="M421" s="51">
        <f>ESTADISTICA!M419</f>
        <v>0</v>
      </c>
      <c r="N421" s="51">
        <f>ESTADISTICA!N419</f>
        <v>0</v>
      </c>
      <c r="O421" s="51">
        <f>ESTADISTICA!O419</f>
        <v>0</v>
      </c>
      <c r="P421" s="51">
        <f>ESTADISTICA!P419</f>
        <v>0</v>
      </c>
      <c r="Q421" s="51">
        <f>ESTADISTICA!Q419</f>
        <v>0</v>
      </c>
      <c r="R421" s="51">
        <f>ESTADISTICA!R419</f>
        <v>0</v>
      </c>
      <c r="S421" s="51">
        <f>ESTADISTICA!S419</f>
        <v>0</v>
      </c>
      <c r="T421" s="51">
        <f>ESTADISTICA!T419</f>
        <v>0</v>
      </c>
      <c r="U421" s="51">
        <f>ESTADISTICA!U419</f>
        <v>0</v>
      </c>
      <c r="V421" s="51">
        <f>ESTADISTICA!V419</f>
        <v>0</v>
      </c>
      <c r="W421" s="51">
        <f>ESTADISTICA!W419</f>
        <v>0</v>
      </c>
      <c r="X421" s="51">
        <f>ESTADISTICA!X419</f>
        <v>0</v>
      </c>
      <c r="Y421" s="51">
        <f>ESTADISTICA!Y419</f>
        <v>0</v>
      </c>
      <c r="Z421" s="51">
        <f>ESTADISTICA!Z419</f>
        <v>0</v>
      </c>
      <c r="AA421" s="51">
        <f>ESTADISTICA!AA419</f>
        <v>0</v>
      </c>
      <c r="AB421" s="51">
        <f>ESTADISTICA!AB419</f>
        <v>0</v>
      </c>
      <c r="AC421" s="51">
        <f>ESTADISTICA!AC419</f>
        <v>0</v>
      </c>
      <c r="AD421" s="51">
        <f>ESTADISTICA!AD419</f>
        <v>0</v>
      </c>
      <c r="AE421" s="51">
        <f>ESTADISTICA!AE419</f>
        <v>0</v>
      </c>
      <c r="AF421" s="51">
        <f>ESTADISTICA!AF419</f>
        <v>0</v>
      </c>
      <c r="AG421" s="51">
        <f>ESTADISTICA!AG419</f>
        <v>0</v>
      </c>
      <c r="AH421" s="51">
        <f>ESTADISTICA!AH419</f>
        <v>0</v>
      </c>
      <c r="AI421" s="51">
        <f>ESTADISTICA!AI419</f>
        <v>0</v>
      </c>
    </row>
    <row r="422" spans="1:35" hidden="1" x14ac:dyDescent="0.25">
      <c r="A422" s="51">
        <f>ESTADISTICA!A420</f>
        <v>0</v>
      </c>
      <c r="B422" s="51">
        <f>ESTADISTICA!B420</f>
        <v>0</v>
      </c>
      <c r="C422" s="51">
        <f>ESTADISTICA!C420</f>
        <v>0</v>
      </c>
      <c r="D422" s="51">
        <f>ESTADISTICA!D420</f>
        <v>0</v>
      </c>
      <c r="E422" s="51">
        <f>ESTADISTICA!E420</f>
        <v>0</v>
      </c>
      <c r="F422" s="51">
        <f>ESTADISTICA!F420</f>
        <v>0</v>
      </c>
      <c r="G422" s="51">
        <f>ESTADISTICA!G420</f>
        <v>0</v>
      </c>
      <c r="H422" s="51">
        <f>ESTADISTICA!H420</f>
        <v>0</v>
      </c>
      <c r="I422" s="51">
        <f>ESTADISTICA!I420</f>
        <v>0</v>
      </c>
      <c r="J422" s="51">
        <f>ESTADISTICA!J420</f>
        <v>0</v>
      </c>
      <c r="K422" s="51">
        <f>ESTADISTICA!K420</f>
        <v>0</v>
      </c>
      <c r="L422" s="51">
        <f>ESTADISTICA!L420</f>
        <v>0</v>
      </c>
      <c r="M422" s="51">
        <f>ESTADISTICA!M420</f>
        <v>0</v>
      </c>
      <c r="N422" s="51">
        <f>ESTADISTICA!N420</f>
        <v>0</v>
      </c>
      <c r="O422" s="51">
        <f>ESTADISTICA!O420</f>
        <v>0</v>
      </c>
      <c r="P422" s="51">
        <f>ESTADISTICA!P420</f>
        <v>0</v>
      </c>
      <c r="Q422" s="51">
        <f>ESTADISTICA!Q420</f>
        <v>0</v>
      </c>
      <c r="R422" s="51">
        <f>ESTADISTICA!R420</f>
        <v>0</v>
      </c>
      <c r="S422" s="51">
        <f>ESTADISTICA!S420</f>
        <v>0</v>
      </c>
      <c r="T422" s="51">
        <f>ESTADISTICA!T420</f>
        <v>0</v>
      </c>
      <c r="U422" s="51">
        <f>ESTADISTICA!U420</f>
        <v>0</v>
      </c>
      <c r="V422" s="51">
        <f>ESTADISTICA!V420</f>
        <v>0</v>
      </c>
      <c r="W422" s="51">
        <f>ESTADISTICA!W420</f>
        <v>0</v>
      </c>
      <c r="X422" s="51">
        <f>ESTADISTICA!X420</f>
        <v>0</v>
      </c>
      <c r="Y422" s="51">
        <f>ESTADISTICA!Y420</f>
        <v>0</v>
      </c>
      <c r="Z422" s="51">
        <f>ESTADISTICA!Z420</f>
        <v>0</v>
      </c>
      <c r="AA422" s="51">
        <f>ESTADISTICA!AA420</f>
        <v>0</v>
      </c>
      <c r="AB422" s="51">
        <f>ESTADISTICA!AB420</f>
        <v>0</v>
      </c>
      <c r="AC422" s="51">
        <f>ESTADISTICA!AC420</f>
        <v>0</v>
      </c>
      <c r="AD422" s="51">
        <f>ESTADISTICA!AD420</f>
        <v>0</v>
      </c>
      <c r="AE422" s="51">
        <f>ESTADISTICA!AE420</f>
        <v>0</v>
      </c>
      <c r="AF422" s="51">
        <f>ESTADISTICA!AF420</f>
        <v>0</v>
      </c>
      <c r="AG422" s="51">
        <f>ESTADISTICA!AG420</f>
        <v>0</v>
      </c>
      <c r="AH422" s="51">
        <f>ESTADISTICA!AH420</f>
        <v>0</v>
      </c>
      <c r="AI422" s="51">
        <f>ESTADISTICA!AI420</f>
        <v>0</v>
      </c>
    </row>
    <row r="423" spans="1:35" hidden="1" x14ac:dyDescent="0.25">
      <c r="A423" s="51">
        <f>ESTADISTICA!A421</f>
        <v>0</v>
      </c>
      <c r="B423" s="51">
        <f>ESTADISTICA!B421</f>
        <v>0</v>
      </c>
      <c r="C423" s="51">
        <f>ESTADISTICA!C421</f>
        <v>0</v>
      </c>
      <c r="D423" s="51">
        <f>ESTADISTICA!D421</f>
        <v>0</v>
      </c>
      <c r="E423" s="51">
        <f>ESTADISTICA!E421</f>
        <v>0</v>
      </c>
      <c r="F423" s="51">
        <f>ESTADISTICA!F421</f>
        <v>0</v>
      </c>
      <c r="G423" s="51">
        <f>ESTADISTICA!G421</f>
        <v>0</v>
      </c>
      <c r="H423" s="51">
        <f>ESTADISTICA!H421</f>
        <v>0</v>
      </c>
      <c r="I423" s="51">
        <f>ESTADISTICA!I421</f>
        <v>0</v>
      </c>
      <c r="J423" s="51">
        <f>ESTADISTICA!J421</f>
        <v>0</v>
      </c>
      <c r="K423" s="51">
        <f>ESTADISTICA!K421</f>
        <v>0</v>
      </c>
      <c r="L423" s="51">
        <f>ESTADISTICA!L421</f>
        <v>0</v>
      </c>
      <c r="M423" s="51">
        <f>ESTADISTICA!M421</f>
        <v>0</v>
      </c>
      <c r="N423" s="51">
        <f>ESTADISTICA!N421</f>
        <v>0</v>
      </c>
      <c r="O423" s="51">
        <f>ESTADISTICA!O421</f>
        <v>0</v>
      </c>
      <c r="P423" s="51">
        <f>ESTADISTICA!P421</f>
        <v>0</v>
      </c>
      <c r="Q423" s="51">
        <f>ESTADISTICA!Q421</f>
        <v>0</v>
      </c>
      <c r="R423" s="51">
        <f>ESTADISTICA!R421</f>
        <v>0</v>
      </c>
      <c r="S423" s="51">
        <f>ESTADISTICA!S421</f>
        <v>0</v>
      </c>
      <c r="T423" s="51">
        <f>ESTADISTICA!T421</f>
        <v>0</v>
      </c>
      <c r="U423" s="51">
        <f>ESTADISTICA!U421</f>
        <v>0</v>
      </c>
      <c r="V423" s="51">
        <f>ESTADISTICA!V421</f>
        <v>0</v>
      </c>
      <c r="W423" s="51">
        <f>ESTADISTICA!W421</f>
        <v>0</v>
      </c>
      <c r="X423" s="51">
        <f>ESTADISTICA!X421</f>
        <v>0</v>
      </c>
      <c r="Y423" s="51">
        <f>ESTADISTICA!Y421</f>
        <v>0</v>
      </c>
      <c r="Z423" s="51">
        <f>ESTADISTICA!Z421</f>
        <v>0</v>
      </c>
      <c r="AA423" s="51">
        <f>ESTADISTICA!AA421</f>
        <v>0</v>
      </c>
      <c r="AB423" s="51">
        <f>ESTADISTICA!AB421</f>
        <v>0</v>
      </c>
      <c r="AC423" s="51">
        <f>ESTADISTICA!AC421</f>
        <v>0</v>
      </c>
      <c r="AD423" s="51">
        <f>ESTADISTICA!AD421</f>
        <v>0</v>
      </c>
      <c r="AE423" s="51">
        <f>ESTADISTICA!AE421</f>
        <v>0</v>
      </c>
      <c r="AF423" s="51">
        <f>ESTADISTICA!AF421</f>
        <v>0</v>
      </c>
      <c r="AG423" s="51">
        <f>ESTADISTICA!AG421</f>
        <v>0</v>
      </c>
      <c r="AH423" s="51">
        <f>ESTADISTICA!AH421</f>
        <v>0</v>
      </c>
      <c r="AI423" s="51">
        <f>ESTADISTICA!AI421</f>
        <v>0</v>
      </c>
    </row>
    <row r="424" spans="1:35" hidden="1" x14ac:dyDescent="0.25">
      <c r="A424" s="51">
        <f>ESTADISTICA!A422</f>
        <v>0</v>
      </c>
      <c r="B424" s="51">
        <f>ESTADISTICA!B422</f>
        <v>0</v>
      </c>
      <c r="C424" s="51">
        <f>ESTADISTICA!C422</f>
        <v>0</v>
      </c>
      <c r="D424" s="51">
        <f>ESTADISTICA!D422</f>
        <v>0</v>
      </c>
      <c r="E424" s="51">
        <f>ESTADISTICA!E422</f>
        <v>0</v>
      </c>
      <c r="F424" s="51">
        <f>ESTADISTICA!F422</f>
        <v>0</v>
      </c>
      <c r="G424" s="51">
        <f>ESTADISTICA!G422</f>
        <v>0</v>
      </c>
      <c r="H424" s="51">
        <f>ESTADISTICA!H422</f>
        <v>0</v>
      </c>
      <c r="I424" s="51">
        <f>ESTADISTICA!I422</f>
        <v>0</v>
      </c>
      <c r="J424" s="51">
        <f>ESTADISTICA!J422</f>
        <v>0</v>
      </c>
      <c r="K424" s="51">
        <f>ESTADISTICA!K422</f>
        <v>0</v>
      </c>
      <c r="L424" s="51">
        <f>ESTADISTICA!L422</f>
        <v>0</v>
      </c>
      <c r="M424" s="51">
        <f>ESTADISTICA!M422</f>
        <v>0</v>
      </c>
      <c r="N424" s="51">
        <f>ESTADISTICA!N422</f>
        <v>0</v>
      </c>
      <c r="O424" s="51">
        <f>ESTADISTICA!O422</f>
        <v>0</v>
      </c>
      <c r="P424" s="51">
        <f>ESTADISTICA!P422</f>
        <v>0</v>
      </c>
      <c r="Q424" s="51">
        <f>ESTADISTICA!Q422</f>
        <v>0</v>
      </c>
      <c r="R424" s="51">
        <f>ESTADISTICA!R422</f>
        <v>0</v>
      </c>
      <c r="S424" s="51">
        <f>ESTADISTICA!S422</f>
        <v>0</v>
      </c>
      <c r="T424" s="51">
        <f>ESTADISTICA!T422</f>
        <v>0</v>
      </c>
      <c r="U424" s="51">
        <f>ESTADISTICA!U422</f>
        <v>0</v>
      </c>
      <c r="V424" s="51">
        <f>ESTADISTICA!V422</f>
        <v>0</v>
      </c>
      <c r="W424" s="51">
        <f>ESTADISTICA!W422</f>
        <v>0</v>
      </c>
      <c r="X424" s="51">
        <f>ESTADISTICA!X422</f>
        <v>0</v>
      </c>
      <c r="Y424" s="51">
        <f>ESTADISTICA!Y422</f>
        <v>0</v>
      </c>
      <c r="Z424" s="51">
        <f>ESTADISTICA!Z422</f>
        <v>0</v>
      </c>
      <c r="AA424" s="51">
        <f>ESTADISTICA!AA422</f>
        <v>0</v>
      </c>
      <c r="AB424" s="51">
        <f>ESTADISTICA!AB422</f>
        <v>0</v>
      </c>
      <c r="AC424" s="51">
        <f>ESTADISTICA!AC422</f>
        <v>0</v>
      </c>
      <c r="AD424" s="51">
        <f>ESTADISTICA!AD422</f>
        <v>0</v>
      </c>
      <c r="AE424" s="51">
        <f>ESTADISTICA!AE422</f>
        <v>0</v>
      </c>
      <c r="AF424" s="51">
        <f>ESTADISTICA!AF422</f>
        <v>0</v>
      </c>
      <c r="AG424" s="51">
        <f>ESTADISTICA!AG422</f>
        <v>0</v>
      </c>
      <c r="AH424" s="51">
        <f>ESTADISTICA!AH422</f>
        <v>0</v>
      </c>
      <c r="AI424" s="51">
        <f>ESTADISTICA!AI422</f>
        <v>0</v>
      </c>
    </row>
    <row r="425" spans="1:35" hidden="1" x14ac:dyDescent="0.25">
      <c r="A425" s="51">
        <f>ESTADISTICA!A423</f>
        <v>0</v>
      </c>
      <c r="B425" s="51">
        <f>ESTADISTICA!B423</f>
        <v>0</v>
      </c>
      <c r="C425" s="51">
        <f>ESTADISTICA!C423</f>
        <v>0</v>
      </c>
      <c r="D425" s="51">
        <f>ESTADISTICA!D423</f>
        <v>0</v>
      </c>
      <c r="E425" s="51">
        <f>ESTADISTICA!E423</f>
        <v>0</v>
      </c>
      <c r="F425" s="51">
        <f>ESTADISTICA!F423</f>
        <v>0</v>
      </c>
      <c r="G425" s="51">
        <f>ESTADISTICA!G423</f>
        <v>0</v>
      </c>
      <c r="H425" s="51">
        <f>ESTADISTICA!H423</f>
        <v>0</v>
      </c>
      <c r="I425" s="51">
        <f>ESTADISTICA!I423</f>
        <v>0</v>
      </c>
      <c r="J425" s="51">
        <f>ESTADISTICA!J423</f>
        <v>0</v>
      </c>
      <c r="K425" s="51">
        <f>ESTADISTICA!K423</f>
        <v>0</v>
      </c>
      <c r="L425" s="51">
        <f>ESTADISTICA!L423</f>
        <v>0</v>
      </c>
      <c r="M425" s="51">
        <f>ESTADISTICA!M423</f>
        <v>0</v>
      </c>
      <c r="N425" s="51">
        <f>ESTADISTICA!N423</f>
        <v>0</v>
      </c>
      <c r="O425" s="51">
        <f>ESTADISTICA!O423</f>
        <v>0</v>
      </c>
      <c r="P425" s="51">
        <f>ESTADISTICA!P423</f>
        <v>0</v>
      </c>
      <c r="Q425" s="51">
        <f>ESTADISTICA!Q423</f>
        <v>0</v>
      </c>
      <c r="R425" s="51">
        <f>ESTADISTICA!R423</f>
        <v>0</v>
      </c>
      <c r="S425" s="51">
        <f>ESTADISTICA!S423</f>
        <v>0</v>
      </c>
      <c r="T425" s="51">
        <f>ESTADISTICA!T423</f>
        <v>0</v>
      </c>
      <c r="U425" s="51">
        <f>ESTADISTICA!U423</f>
        <v>0</v>
      </c>
      <c r="V425" s="51">
        <f>ESTADISTICA!V423</f>
        <v>0</v>
      </c>
      <c r="W425" s="51">
        <f>ESTADISTICA!W423</f>
        <v>0</v>
      </c>
      <c r="X425" s="51">
        <f>ESTADISTICA!X423</f>
        <v>0</v>
      </c>
      <c r="Y425" s="51">
        <f>ESTADISTICA!Y423</f>
        <v>0</v>
      </c>
      <c r="Z425" s="51">
        <f>ESTADISTICA!Z423</f>
        <v>0</v>
      </c>
      <c r="AA425" s="51">
        <f>ESTADISTICA!AA423</f>
        <v>0</v>
      </c>
      <c r="AB425" s="51">
        <f>ESTADISTICA!AB423</f>
        <v>0</v>
      </c>
      <c r="AC425" s="51">
        <f>ESTADISTICA!AC423</f>
        <v>0</v>
      </c>
      <c r="AD425" s="51">
        <f>ESTADISTICA!AD423</f>
        <v>0</v>
      </c>
      <c r="AE425" s="51">
        <f>ESTADISTICA!AE423</f>
        <v>0</v>
      </c>
      <c r="AF425" s="51">
        <f>ESTADISTICA!AF423</f>
        <v>0</v>
      </c>
      <c r="AG425" s="51">
        <f>ESTADISTICA!AG423</f>
        <v>0</v>
      </c>
      <c r="AH425" s="51">
        <f>ESTADISTICA!AH423</f>
        <v>0</v>
      </c>
      <c r="AI425" s="51">
        <f>ESTADISTICA!AI423</f>
        <v>0</v>
      </c>
    </row>
    <row r="426" spans="1:35" hidden="1" x14ac:dyDescent="0.25">
      <c r="A426" s="51">
        <f>ESTADISTICA!A424</f>
        <v>0</v>
      </c>
      <c r="B426" s="51">
        <f>ESTADISTICA!B424</f>
        <v>0</v>
      </c>
      <c r="C426" s="51">
        <f>ESTADISTICA!C424</f>
        <v>0</v>
      </c>
      <c r="D426" s="51">
        <f>ESTADISTICA!D424</f>
        <v>0</v>
      </c>
      <c r="E426" s="51">
        <f>ESTADISTICA!E424</f>
        <v>0</v>
      </c>
      <c r="F426" s="51">
        <f>ESTADISTICA!F424</f>
        <v>0</v>
      </c>
      <c r="G426" s="51">
        <f>ESTADISTICA!G424</f>
        <v>0</v>
      </c>
      <c r="H426" s="51">
        <f>ESTADISTICA!H424</f>
        <v>0</v>
      </c>
      <c r="I426" s="51">
        <f>ESTADISTICA!I424</f>
        <v>0</v>
      </c>
      <c r="J426" s="51">
        <f>ESTADISTICA!J424</f>
        <v>0</v>
      </c>
      <c r="K426" s="51">
        <f>ESTADISTICA!K424</f>
        <v>0</v>
      </c>
      <c r="L426" s="51">
        <f>ESTADISTICA!L424</f>
        <v>0</v>
      </c>
      <c r="M426" s="51">
        <f>ESTADISTICA!M424</f>
        <v>0</v>
      </c>
      <c r="N426" s="51">
        <f>ESTADISTICA!N424</f>
        <v>0</v>
      </c>
      <c r="O426" s="51">
        <f>ESTADISTICA!O424</f>
        <v>0</v>
      </c>
      <c r="P426" s="51">
        <f>ESTADISTICA!P424</f>
        <v>0</v>
      </c>
      <c r="Q426" s="51">
        <f>ESTADISTICA!Q424</f>
        <v>0</v>
      </c>
      <c r="R426" s="51">
        <f>ESTADISTICA!R424</f>
        <v>0</v>
      </c>
      <c r="S426" s="51">
        <f>ESTADISTICA!S424</f>
        <v>0</v>
      </c>
      <c r="T426" s="51">
        <f>ESTADISTICA!T424</f>
        <v>0</v>
      </c>
      <c r="U426" s="51">
        <f>ESTADISTICA!U424</f>
        <v>0</v>
      </c>
      <c r="V426" s="51">
        <f>ESTADISTICA!V424</f>
        <v>0</v>
      </c>
      <c r="W426" s="51">
        <f>ESTADISTICA!W424</f>
        <v>0</v>
      </c>
      <c r="X426" s="51">
        <f>ESTADISTICA!X424</f>
        <v>0</v>
      </c>
      <c r="Y426" s="51">
        <f>ESTADISTICA!Y424</f>
        <v>0</v>
      </c>
      <c r="Z426" s="51">
        <f>ESTADISTICA!Z424</f>
        <v>0</v>
      </c>
      <c r="AA426" s="51">
        <f>ESTADISTICA!AA424</f>
        <v>0</v>
      </c>
      <c r="AB426" s="51">
        <f>ESTADISTICA!AB424</f>
        <v>0</v>
      </c>
      <c r="AC426" s="51">
        <f>ESTADISTICA!AC424</f>
        <v>0</v>
      </c>
      <c r="AD426" s="51">
        <f>ESTADISTICA!AD424</f>
        <v>0</v>
      </c>
      <c r="AE426" s="51">
        <f>ESTADISTICA!AE424</f>
        <v>0</v>
      </c>
      <c r="AF426" s="51">
        <f>ESTADISTICA!AF424</f>
        <v>0</v>
      </c>
      <c r="AG426" s="51">
        <f>ESTADISTICA!AG424</f>
        <v>0</v>
      </c>
      <c r="AH426" s="51">
        <f>ESTADISTICA!AH424</f>
        <v>0</v>
      </c>
      <c r="AI426" s="51">
        <f>ESTADISTICA!AI424</f>
        <v>0</v>
      </c>
    </row>
    <row r="427" spans="1:35" hidden="1" x14ac:dyDescent="0.25">
      <c r="A427" s="51">
        <f>ESTADISTICA!A425</f>
        <v>0</v>
      </c>
      <c r="B427" s="51">
        <f>ESTADISTICA!B425</f>
        <v>0</v>
      </c>
      <c r="C427" s="51">
        <f>ESTADISTICA!C425</f>
        <v>0</v>
      </c>
      <c r="D427" s="51">
        <f>ESTADISTICA!D425</f>
        <v>0</v>
      </c>
      <c r="E427" s="51">
        <f>ESTADISTICA!E425</f>
        <v>0</v>
      </c>
      <c r="F427" s="51">
        <f>ESTADISTICA!F425</f>
        <v>0</v>
      </c>
      <c r="G427" s="51">
        <f>ESTADISTICA!G425</f>
        <v>0</v>
      </c>
      <c r="H427" s="51">
        <f>ESTADISTICA!H425</f>
        <v>0</v>
      </c>
      <c r="I427" s="51">
        <f>ESTADISTICA!I425</f>
        <v>0</v>
      </c>
      <c r="J427" s="51">
        <f>ESTADISTICA!J425</f>
        <v>0</v>
      </c>
      <c r="K427" s="51">
        <f>ESTADISTICA!K425</f>
        <v>0</v>
      </c>
      <c r="L427" s="51">
        <f>ESTADISTICA!L425</f>
        <v>0</v>
      </c>
      <c r="M427" s="51">
        <f>ESTADISTICA!M425</f>
        <v>0</v>
      </c>
      <c r="N427" s="51">
        <f>ESTADISTICA!N425</f>
        <v>0</v>
      </c>
      <c r="O427" s="51">
        <f>ESTADISTICA!O425</f>
        <v>0</v>
      </c>
      <c r="P427" s="51">
        <f>ESTADISTICA!P425</f>
        <v>0</v>
      </c>
      <c r="Q427" s="51">
        <f>ESTADISTICA!Q425</f>
        <v>0</v>
      </c>
      <c r="R427" s="51">
        <f>ESTADISTICA!R425</f>
        <v>0</v>
      </c>
      <c r="S427" s="51">
        <f>ESTADISTICA!S425</f>
        <v>0</v>
      </c>
      <c r="T427" s="51">
        <f>ESTADISTICA!T425</f>
        <v>0</v>
      </c>
      <c r="U427" s="51">
        <f>ESTADISTICA!U425</f>
        <v>0</v>
      </c>
      <c r="V427" s="51">
        <f>ESTADISTICA!V425</f>
        <v>0</v>
      </c>
      <c r="W427" s="51">
        <f>ESTADISTICA!W425</f>
        <v>0</v>
      </c>
      <c r="X427" s="51">
        <f>ESTADISTICA!X425</f>
        <v>0</v>
      </c>
      <c r="Y427" s="51">
        <f>ESTADISTICA!Y425</f>
        <v>0</v>
      </c>
      <c r="Z427" s="51">
        <f>ESTADISTICA!Z425</f>
        <v>0</v>
      </c>
      <c r="AA427" s="51">
        <f>ESTADISTICA!AA425</f>
        <v>0</v>
      </c>
      <c r="AB427" s="51">
        <f>ESTADISTICA!AB425</f>
        <v>0</v>
      </c>
      <c r="AC427" s="51">
        <f>ESTADISTICA!AC425</f>
        <v>0</v>
      </c>
      <c r="AD427" s="51">
        <f>ESTADISTICA!AD425</f>
        <v>0</v>
      </c>
      <c r="AE427" s="51">
        <f>ESTADISTICA!AE425</f>
        <v>0</v>
      </c>
      <c r="AF427" s="51">
        <f>ESTADISTICA!AF425</f>
        <v>0</v>
      </c>
      <c r="AG427" s="51">
        <f>ESTADISTICA!AG425</f>
        <v>0</v>
      </c>
      <c r="AH427" s="51">
        <f>ESTADISTICA!AH425</f>
        <v>0</v>
      </c>
      <c r="AI427" s="51">
        <f>ESTADISTICA!AI425</f>
        <v>0</v>
      </c>
    </row>
    <row r="428" spans="1:35" hidden="1" x14ac:dyDescent="0.25">
      <c r="A428" s="51">
        <f>ESTADISTICA!A426</f>
        <v>0</v>
      </c>
      <c r="B428" s="51">
        <f>ESTADISTICA!B426</f>
        <v>0</v>
      </c>
      <c r="C428" s="51">
        <f>ESTADISTICA!C426</f>
        <v>0</v>
      </c>
      <c r="D428" s="51">
        <f>ESTADISTICA!D426</f>
        <v>0</v>
      </c>
      <c r="E428" s="51">
        <f>ESTADISTICA!E426</f>
        <v>0</v>
      </c>
      <c r="F428" s="51">
        <f>ESTADISTICA!F426</f>
        <v>0</v>
      </c>
      <c r="G428" s="51">
        <f>ESTADISTICA!G426</f>
        <v>0</v>
      </c>
      <c r="H428" s="51">
        <f>ESTADISTICA!H426</f>
        <v>0</v>
      </c>
      <c r="I428" s="51">
        <f>ESTADISTICA!I426</f>
        <v>0</v>
      </c>
      <c r="J428" s="51">
        <f>ESTADISTICA!J426</f>
        <v>0</v>
      </c>
      <c r="K428" s="51">
        <f>ESTADISTICA!K426</f>
        <v>0</v>
      </c>
      <c r="L428" s="51">
        <f>ESTADISTICA!L426</f>
        <v>0</v>
      </c>
      <c r="M428" s="51">
        <f>ESTADISTICA!M426</f>
        <v>0</v>
      </c>
      <c r="N428" s="51">
        <f>ESTADISTICA!N426</f>
        <v>0</v>
      </c>
      <c r="O428" s="51">
        <f>ESTADISTICA!O426</f>
        <v>0</v>
      </c>
      <c r="P428" s="51">
        <f>ESTADISTICA!P426</f>
        <v>0</v>
      </c>
      <c r="Q428" s="51">
        <f>ESTADISTICA!Q426</f>
        <v>0</v>
      </c>
      <c r="R428" s="51">
        <f>ESTADISTICA!R426</f>
        <v>0</v>
      </c>
      <c r="S428" s="51">
        <f>ESTADISTICA!S426</f>
        <v>0</v>
      </c>
      <c r="T428" s="51">
        <f>ESTADISTICA!T426</f>
        <v>0</v>
      </c>
      <c r="U428" s="51">
        <f>ESTADISTICA!U426</f>
        <v>0</v>
      </c>
      <c r="V428" s="51">
        <f>ESTADISTICA!V426</f>
        <v>0</v>
      </c>
      <c r="W428" s="51">
        <f>ESTADISTICA!W426</f>
        <v>0</v>
      </c>
      <c r="X428" s="51">
        <f>ESTADISTICA!X426</f>
        <v>0</v>
      </c>
      <c r="Y428" s="51">
        <f>ESTADISTICA!Y426</f>
        <v>0</v>
      </c>
      <c r="Z428" s="51">
        <f>ESTADISTICA!Z426</f>
        <v>0</v>
      </c>
      <c r="AA428" s="51">
        <f>ESTADISTICA!AA426</f>
        <v>0</v>
      </c>
      <c r="AB428" s="51">
        <f>ESTADISTICA!AB426</f>
        <v>0</v>
      </c>
      <c r="AC428" s="51">
        <f>ESTADISTICA!AC426</f>
        <v>0</v>
      </c>
      <c r="AD428" s="51">
        <f>ESTADISTICA!AD426</f>
        <v>0</v>
      </c>
      <c r="AE428" s="51">
        <f>ESTADISTICA!AE426</f>
        <v>0</v>
      </c>
      <c r="AF428" s="51">
        <f>ESTADISTICA!AF426</f>
        <v>0</v>
      </c>
      <c r="AG428" s="51">
        <f>ESTADISTICA!AG426</f>
        <v>0</v>
      </c>
      <c r="AH428" s="51">
        <f>ESTADISTICA!AH426</f>
        <v>0</v>
      </c>
      <c r="AI428" s="51">
        <f>ESTADISTICA!AI426</f>
        <v>0</v>
      </c>
    </row>
    <row r="429" spans="1:35" hidden="1" x14ac:dyDescent="0.25">
      <c r="A429" s="51">
        <f>ESTADISTICA!A427</f>
        <v>0</v>
      </c>
      <c r="B429" s="51">
        <f>ESTADISTICA!B427</f>
        <v>0</v>
      </c>
      <c r="C429" s="51">
        <f>ESTADISTICA!C427</f>
        <v>0</v>
      </c>
      <c r="D429" s="51">
        <f>ESTADISTICA!D427</f>
        <v>0</v>
      </c>
      <c r="E429" s="51">
        <f>ESTADISTICA!E427</f>
        <v>0</v>
      </c>
      <c r="F429" s="51">
        <f>ESTADISTICA!F427</f>
        <v>0</v>
      </c>
      <c r="G429" s="51">
        <f>ESTADISTICA!G427</f>
        <v>0</v>
      </c>
      <c r="H429" s="51">
        <f>ESTADISTICA!H427</f>
        <v>0</v>
      </c>
      <c r="I429" s="51">
        <f>ESTADISTICA!I427</f>
        <v>0</v>
      </c>
      <c r="J429" s="51">
        <f>ESTADISTICA!J427</f>
        <v>0</v>
      </c>
      <c r="K429" s="51">
        <f>ESTADISTICA!K427</f>
        <v>0</v>
      </c>
      <c r="L429" s="51">
        <f>ESTADISTICA!L427</f>
        <v>0</v>
      </c>
      <c r="M429" s="51">
        <f>ESTADISTICA!M427</f>
        <v>0</v>
      </c>
      <c r="N429" s="51">
        <f>ESTADISTICA!N427</f>
        <v>0</v>
      </c>
      <c r="O429" s="51">
        <f>ESTADISTICA!O427</f>
        <v>0</v>
      </c>
      <c r="P429" s="51">
        <f>ESTADISTICA!P427</f>
        <v>0</v>
      </c>
      <c r="Q429" s="51">
        <f>ESTADISTICA!Q427</f>
        <v>0</v>
      </c>
      <c r="R429" s="51">
        <f>ESTADISTICA!R427</f>
        <v>0</v>
      </c>
      <c r="S429" s="51">
        <f>ESTADISTICA!S427</f>
        <v>0</v>
      </c>
      <c r="T429" s="51">
        <f>ESTADISTICA!T427</f>
        <v>0</v>
      </c>
      <c r="U429" s="51">
        <f>ESTADISTICA!U427</f>
        <v>0</v>
      </c>
      <c r="V429" s="51">
        <f>ESTADISTICA!V427</f>
        <v>0</v>
      </c>
      <c r="W429" s="51">
        <f>ESTADISTICA!W427</f>
        <v>0</v>
      </c>
      <c r="X429" s="51">
        <f>ESTADISTICA!X427</f>
        <v>0</v>
      </c>
      <c r="Y429" s="51">
        <f>ESTADISTICA!Y427</f>
        <v>0</v>
      </c>
      <c r="Z429" s="51">
        <f>ESTADISTICA!Z427</f>
        <v>0</v>
      </c>
      <c r="AA429" s="51">
        <f>ESTADISTICA!AA427</f>
        <v>0</v>
      </c>
      <c r="AB429" s="51">
        <f>ESTADISTICA!AB427</f>
        <v>0</v>
      </c>
      <c r="AC429" s="51">
        <f>ESTADISTICA!AC427</f>
        <v>0</v>
      </c>
      <c r="AD429" s="51">
        <f>ESTADISTICA!AD427</f>
        <v>0</v>
      </c>
      <c r="AE429" s="51">
        <f>ESTADISTICA!AE427</f>
        <v>0</v>
      </c>
      <c r="AF429" s="51">
        <f>ESTADISTICA!AF427</f>
        <v>0</v>
      </c>
      <c r="AG429" s="51">
        <f>ESTADISTICA!AG427</f>
        <v>0</v>
      </c>
      <c r="AH429" s="51">
        <f>ESTADISTICA!AH427</f>
        <v>0</v>
      </c>
      <c r="AI429" s="51">
        <f>ESTADISTICA!AI427</f>
        <v>0</v>
      </c>
    </row>
    <row r="430" spans="1:35" hidden="1" x14ac:dyDescent="0.25">
      <c r="A430" s="51">
        <f>ESTADISTICA!A428</f>
        <v>0</v>
      </c>
      <c r="B430" s="51">
        <f>ESTADISTICA!B428</f>
        <v>0</v>
      </c>
      <c r="C430" s="51">
        <f>ESTADISTICA!C428</f>
        <v>0</v>
      </c>
      <c r="D430" s="51">
        <f>ESTADISTICA!D428</f>
        <v>0</v>
      </c>
      <c r="E430" s="51">
        <f>ESTADISTICA!E428</f>
        <v>0</v>
      </c>
      <c r="F430" s="51">
        <f>ESTADISTICA!F428</f>
        <v>0</v>
      </c>
      <c r="G430" s="51">
        <f>ESTADISTICA!G428</f>
        <v>0</v>
      </c>
      <c r="H430" s="51">
        <f>ESTADISTICA!H428</f>
        <v>0</v>
      </c>
      <c r="I430" s="51">
        <f>ESTADISTICA!I428</f>
        <v>0</v>
      </c>
      <c r="J430" s="51">
        <f>ESTADISTICA!J428</f>
        <v>0</v>
      </c>
      <c r="K430" s="51">
        <f>ESTADISTICA!K428</f>
        <v>0</v>
      </c>
      <c r="L430" s="51">
        <f>ESTADISTICA!L428</f>
        <v>0</v>
      </c>
      <c r="M430" s="51">
        <f>ESTADISTICA!M428</f>
        <v>0</v>
      </c>
      <c r="N430" s="51">
        <f>ESTADISTICA!N428</f>
        <v>0</v>
      </c>
      <c r="O430" s="51">
        <f>ESTADISTICA!O428</f>
        <v>0</v>
      </c>
      <c r="P430" s="51">
        <f>ESTADISTICA!P428</f>
        <v>0</v>
      </c>
      <c r="Q430" s="51">
        <f>ESTADISTICA!Q428</f>
        <v>0</v>
      </c>
      <c r="R430" s="51">
        <f>ESTADISTICA!R428</f>
        <v>0</v>
      </c>
      <c r="S430" s="51">
        <f>ESTADISTICA!S428</f>
        <v>0</v>
      </c>
      <c r="T430" s="51">
        <f>ESTADISTICA!T428</f>
        <v>0</v>
      </c>
      <c r="U430" s="51">
        <f>ESTADISTICA!U428</f>
        <v>0</v>
      </c>
      <c r="V430" s="51">
        <f>ESTADISTICA!V428</f>
        <v>0</v>
      </c>
      <c r="W430" s="51">
        <f>ESTADISTICA!W428</f>
        <v>0</v>
      </c>
      <c r="X430" s="51">
        <f>ESTADISTICA!X428</f>
        <v>0</v>
      </c>
      <c r="Y430" s="51">
        <f>ESTADISTICA!Y428</f>
        <v>0</v>
      </c>
      <c r="Z430" s="51">
        <f>ESTADISTICA!Z428</f>
        <v>0</v>
      </c>
      <c r="AA430" s="51">
        <f>ESTADISTICA!AA428</f>
        <v>0</v>
      </c>
      <c r="AB430" s="51">
        <f>ESTADISTICA!AB428</f>
        <v>0</v>
      </c>
      <c r="AC430" s="51">
        <f>ESTADISTICA!AC428</f>
        <v>0</v>
      </c>
      <c r="AD430" s="51">
        <f>ESTADISTICA!AD428</f>
        <v>0</v>
      </c>
      <c r="AE430" s="51">
        <f>ESTADISTICA!AE428</f>
        <v>0</v>
      </c>
      <c r="AF430" s="51">
        <f>ESTADISTICA!AF428</f>
        <v>0</v>
      </c>
      <c r="AG430" s="51">
        <f>ESTADISTICA!AG428</f>
        <v>0</v>
      </c>
      <c r="AH430" s="51">
        <f>ESTADISTICA!AH428</f>
        <v>0</v>
      </c>
      <c r="AI430" s="51">
        <f>ESTADISTICA!AI428</f>
        <v>0</v>
      </c>
    </row>
    <row r="431" spans="1:35" hidden="1" x14ac:dyDescent="0.25">
      <c r="A431" s="51">
        <f>ESTADISTICA!A429</f>
        <v>0</v>
      </c>
      <c r="B431" s="51">
        <f>ESTADISTICA!B429</f>
        <v>0</v>
      </c>
      <c r="C431" s="51">
        <f>ESTADISTICA!C429</f>
        <v>0</v>
      </c>
      <c r="D431" s="51">
        <f>ESTADISTICA!D429</f>
        <v>0</v>
      </c>
      <c r="E431" s="51">
        <f>ESTADISTICA!E429</f>
        <v>0</v>
      </c>
      <c r="F431" s="51">
        <f>ESTADISTICA!F429</f>
        <v>0</v>
      </c>
      <c r="G431" s="51">
        <f>ESTADISTICA!G429</f>
        <v>0</v>
      </c>
      <c r="H431" s="51">
        <f>ESTADISTICA!H429</f>
        <v>0</v>
      </c>
      <c r="I431" s="51">
        <f>ESTADISTICA!I429</f>
        <v>0</v>
      </c>
      <c r="J431" s="51">
        <f>ESTADISTICA!J429</f>
        <v>0</v>
      </c>
      <c r="K431" s="51">
        <f>ESTADISTICA!K429</f>
        <v>0</v>
      </c>
      <c r="L431" s="51">
        <f>ESTADISTICA!L429</f>
        <v>0</v>
      </c>
      <c r="M431" s="51">
        <f>ESTADISTICA!M429</f>
        <v>0</v>
      </c>
      <c r="N431" s="51">
        <f>ESTADISTICA!N429</f>
        <v>0</v>
      </c>
      <c r="O431" s="51">
        <f>ESTADISTICA!O429</f>
        <v>0</v>
      </c>
      <c r="P431" s="51">
        <f>ESTADISTICA!P429</f>
        <v>0</v>
      </c>
      <c r="Q431" s="51">
        <f>ESTADISTICA!Q429</f>
        <v>0</v>
      </c>
      <c r="R431" s="51">
        <f>ESTADISTICA!R429</f>
        <v>0</v>
      </c>
      <c r="S431" s="51">
        <f>ESTADISTICA!S429</f>
        <v>0</v>
      </c>
      <c r="T431" s="51">
        <f>ESTADISTICA!T429</f>
        <v>0</v>
      </c>
      <c r="U431" s="51">
        <f>ESTADISTICA!U429</f>
        <v>0</v>
      </c>
      <c r="V431" s="51">
        <f>ESTADISTICA!V429</f>
        <v>0</v>
      </c>
      <c r="W431" s="51">
        <f>ESTADISTICA!W429</f>
        <v>0</v>
      </c>
      <c r="X431" s="51">
        <f>ESTADISTICA!X429</f>
        <v>0</v>
      </c>
      <c r="Y431" s="51">
        <f>ESTADISTICA!Y429</f>
        <v>0</v>
      </c>
      <c r="Z431" s="51">
        <f>ESTADISTICA!Z429</f>
        <v>0</v>
      </c>
      <c r="AA431" s="51">
        <f>ESTADISTICA!AA429</f>
        <v>0</v>
      </c>
      <c r="AB431" s="51">
        <f>ESTADISTICA!AB429</f>
        <v>0</v>
      </c>
      <c r="AC431" s="51">
        <f>ESTADISTICA!AC429</f>
        <v>0</v>
      </c>
      <c r="AD431" s="51">
        <f>ESTADISTICA!AD429</f>
        <v>0</v>
      </c>
      <c r="AE431" s="51">
        <f>ESTADISTICA!AE429</f>
        <v>0</v>
      </c>
      <c r="AF431" s="51">
        <f>ESTADISTICA!AF429</f>
        <v>0</v>
      </c>
      <c r="AG431" s="51">
        <f>ESTADISTICA!AG429</f>
        <v>0</v>
      </c>
      <c r="AH431" s="51">
        <f>ESTADISTICA!AH429</f>
        <v>0</v>
      </c>
      <c r="AI431" s="51">
        <f>ESTADISTICA!AI429</f>
        <v>0</v>
      </c>
    </row>
    <row r="432" spans="1:35" hidden="1" x14ac:dyDescent="0.25">
      <c r="A432" s="51">
        <f>ESTADISTICA!A430</f>
        <v>0</v>
      </c>
      <c r="B432" s="51">
        <f>ESTADISTICA!B430</f>
        <v>0</v>
      </c>
      <c r="C432" s="51">
        <f>ESTADISTICA!C430</f>
        <v>0</v>
      </c>
      <c r="D432" s="51">
        <f>ESTADISTICA!D430</f>
        <v>0</v>
      </c>
      <c r="E432" s="51">
        <f>ESTADISTICA!E430</f>
        <v>0</v>
      </c>
      <c r="F432" s="51">
        <f>ESTADISTICA!F430</f>
        <v>0</v>
      </c>
      <c r="G432" s="51">
        <f>ESTADISTICA!G430</f>
        <v>0</v>
      </c>
      <c r="H432" s="51">
        <f>ESTADISTICA!H430</f>
        <v>0</v>
      </c>
      <c r="I432" s="51">
        <f>ESTADISTICA!I430</f>
        <v>0</v>
      </c>
      <c r="J432" s="51">
        <f>ESTADISTICA!J430</f>
        <v>0</v>
      </c>
      <c r="K432" s="51">
        <f>ESTADISTICA!K430</f>
        <v>0</v>
      </c>
      <c r="L432" s="51">
        <f>ESTADISTICA!L430</f>
        <v>0</v>
      </c>
      <c r="M432" s="51">
        <f>ESTADISTICA!M430</f>
        <v>0</v>
      </c>
      <c r="N432" s="51">
        <f>ESTADISTICA!N430</f>
        <v>0</v>
      </c>
      <c r="O432" s="51">
        <f>ESTADISTICA!O430</f>
        <v>0</v>
      </c>
      <c r="P432" s="51">
        <f>ESTADISTICA!P430</f>
        <v>0</v>
      </c>
      <c r="Q432" s="51">
        <f>ESTADISTICA!Q430</f>
        <v>0</v>
      </c>
      <c r="R432" s="51">
        <f>ESTADISTICA!R430</f>
        <v>0</v>
      </c>
      <c r="S432" s="51">
        <f>ESTADISTICA!S430</f>
        <v>0</v>
      </c>
      <c r="T432" s="51">
        <f>ESTADISTICA!T430</f>
        <v>0</v>
      </c>
      <c r="U432" s="51">
        <f>ESTADISTICA!U430</f>
        <v>0</v>
      </c>
      <c r="V432" s="51">
        <f>ESTADISTICA!V430</f>
        <v>0</v>
      </c>
      <c r="W432" s="51">
        <f>ESTADISTICA!W430</f>
        <v>0</v>
      </c>
      <c r="X432" s="51">
        <f>ESTADISTICA!X430</f>
        <v>0</v>
      </c>
      <c r="Y432" s="51">
        <f>ESTADISTICA!Y430</f>
        <v>0</v>
      </c>
      <c r="Z432" s="51">
        <f>ESTADISTICA!Z430</f>
        <v>0</v>
      </c>
      <c r="AA432" s="51">
        <f>ESTADISTICA!AA430</f>
        <v>0</v>
      </c>
      <c r="AB432" s="51">
        <f>ESTADISTICA!AB430</f>
        <v>0</v>
      </c>
      <c r="AC432" s="51">
        <f>ESTADISTICA!AC430</f>
        <v>0</v>
      </c>
      <c r="AD432" s="51">
        <f>ESTADISTICA!AD430</f>
        <v>0</v>
      </c>
      <c r="AE432" s="51">
        <f>ESTADISTICA!AE430</f>
        <v>0</v>
      </c>
      <c r="AF432" s="51">
        <f>ESTADISTICA!AF430</f>
        <v>0</v>
      </c>
      <c r="AG432" s="51">
        <f>ESTADISTICA!AG430</f>
        <v>0</v>
      </c>
      <c r="AH432" s="51">
        <f>ESTADISTICA!AH430</f>
        <v>0</v>
      </c>
      <c r="AI432" s="51">
        <f>ESTADISTICA!AI430</f>
        <v>0</v>
      </c>
    </row>
    <row r="433" spans="1:35" hidden="1" x14ac:dyDescent="0.25">
      <c r="A433" s="51">
        <f>ESTADISTICA!A431</f>
        <v>0</v>
      </c>
      <c r="B433" s="51">
        <f>ESTADISTICA!B431</f>
        <v>0</v>
      </c>
      <c r="C433" s="51">
        <f>ESTADISTICA!C431</f>
        <v>0</v>
      </c>
      <c r="D433" s="51">
        <f>ESTADISTICA!D431</f>
        <v>0</v>
      </c>
      <c r="E433" s="51">
        <f>ESTADISTICA!E431</f>
        <v>0</v>
      </c>
      <c r="F433" s="51">
        <f>ESTADISTICA!F431</f>
        <v>0</v>
      </c>
      <c r="G433" s="51">
        <f>ESTADISTICA!G431</f>
        <v>0</v>
      </c>
      <c r="H433" s="51">
        <f>ESTADISTICA!H431</f>
        <v>0</v>
      </c>
      <c r="I433" s="51">
        <f>ESTADISTICA!I431</f>
        <v>0</v>
      </c>
      <c r="J433" s="51">
        <f>ESTADISTICA!J431</f>
        <v>0</v>
      </c>
      <c r="K433" s="51">
        <f>ESTADISTICA!K431</f>
        <v>0</v>
      </c>
      <c r="L433" s="51">
        <f>ESTADISTICA!L431</f>
        <v>0</v>
      </c>
      <c r="M433" s="51">
        <f>ESTADISTICA!M431</f>
        <v>0</v>
      </c>
      <c r="N433" s="51">
        <f>ESTADISTICA!N431</f>
        <v>0</v>
      </c>
      <c r="O433" s="51">
        <f>ESTADISTICA!O431</f>
        <v>0</v>
      </c>
      <c r="P433" s="51">
        <f>ESTADISTICA!P431</f>
        <v>0</v>
      </c>
      <c r="Q433" s="51">
        <f>ESTADISTICA!Q431</f>
        <v>0</v>
      </c>
      <c r="R433" s="51">
        <f>ESTADISTICA!R431</f>
        <v>0</v>
      </c>
      <c r="S433" s="51">
        <f>ESTADISTICA!S431</f>
        <v>0</v>
      </c>
      <c r="T433" s="51">
        <f>ESTADISTICA!T431</f>
        <v>0</v>
      </c>
      <c r="U433" s="51">
        <f>ESTADISTICA!U431</f>
        <v>0</v>
      </c>
      <c r="V433" s="51">
        <f>ESTADISTICA!V431</f>
        <v>0</v>
      </c>
      <c r="W433" s="51">
        <f>ESTADISTICA!W431</f>
        <v>0</v>
      </c>
      <c r="X433" s="51">
        <f>ESTADISTICA!X431</f>
        <v>0</v>
      </c>
      <c r="Y433" s="51">
        <f>ESTADISTICA!Y431</f>
        <v>0</v>
      </c>
      <c r="Z433" s="51">
        <f>ESTADISTICA!Z431</f>
        <v>0</v>
      </c>
      <c r="AA433" s="51">
        <f>ESTADISTICA!AA431</f>
        <v>0</v>
      </c>
      <c r="AB433" s="51">
        <f>ESTADISTICA!AB431</f>
        <v>0</v>
      </c>
      <c r="AC433" s="51">
        <f>ESTADISTICA!AC431</f>
        <v>0</v>
      </c>
      <c r="AD433" s="51">
        <f>ESTADISTICA!AD431</f>
        <v>0</v>
      </c>
      <c r="AE433" s="51">
        <f>ESTADISTICA!AE431</f>
        <v>0</v>
      </c>
      <c r="AF433" s="51">
        <f>ESTADISTICA!AF431</f>
        <v>0</v>
      </c>
      <c r="AG433" s="51">
        <f>ESTADISTICA!AG431</f>
        <v>0</v>
      </c>
      <c r="AH433" s="51">
        <f>ESTADISTICA!AH431</f>
        <v>0</v>
      </c>
      <c r="AI433" s="51">
        <f>ESTADISTICA!AI431</f>
        <v>0</v>
      </c>
    </row>
    <row r="434" spans="1:35" hidden="1" x14ac:dyDescent="0.25">
      <c r="A434" s="51">
        <f>ESTADISTICA!A432</f>
        <v>0</v>
      </c>
      <c r="B434" s="51">
        <f>ESTADISTICA!B432</f>
        <v>0</v>
      </c>
      <c r="C434" s="51">
        <f>ESTADISTICA!C432</f>
        <v>0</v>
      </c>
      <c r="D434" s="51">
        <f>ESTADISTICA!D432</f>
        <v>0</v>
      </c>
      <c r="E434" s="51">
        <f>ESTADISTICA!E432</f>
        <v>0</v>
      </c>
      <c r="F434" s="51">
        <f>ESTADISTICA!F432</f>
        <v>0</v>
      </c>
      <c r="G434" s="51">
        <f>ESTADISTICA!G432</f>
        <v>0</v>
      </c>
      <c r="H434" s="51">
        <f>ESTADISTICA!H432</f>
        <v>0</v>
      </c>
      <c r="I434" s="51">
        <f>ESTADISTICA!I432</f>
        <v>0</v>
      </c>
      <c r="J434" s="51">
        <f>ESTADISTICA!J432</f>
        <v>0</v>
      </c>
      <c r="K434" s="51">
        <f>ESTADISTICA!K432</f>
        <v>0</v>
      </c>
      <c r="L434" s="51">
        <f>ESTADISTICA!L432</f>
        <v>0</v>
      </c>
      <c r="M434" s="51">
        <f>ESTADISTICA!M432</f>
        <v>0</v>
      </c>
      <c r="N434" s="51">
        <f>ESTADISTICA!N432</f>
        <v>0</v>
      </c>
      <c r="O434" s="51">
        <f>ESTADISTICA!O432</f>
        <v>0</v>
      </c>
      <c r="P434" s="51">
        <f>ESTADISTICA!P432</f>
        <v>0</v>
      </c>
      <c r="Q434" s="51">
        <f>ESTADISTICA!Q432</f>
        <v>0</v>
      </c>
      <c r="R434" s="51">
        <f>ESTADISTICA!R432</f>
        <v>0</v>
      </c>
      <c r="S434" s="51">
        <f>ESTADISTICA!S432</f>
        <v>0</v>
      </c>
      <c r="T434" s="51">
        <f>ESTADISTICA!T432</f>
        <v>0</v>
      </c>
      <c r="U434" s="51">
        <f>ESTADISTICA!U432</f>
        <v>0</v>
      </c>
      <c r="V434" s="51">
        <f>ESTADISTICA!V432</f>
        <v>0</v>
      </c>
      <c r="W434" s="51">
        <f>ESTADISTICA!W432</f>
        <v>0</v>
      </c>
      <c r="X434" s="51">
        <f>ESTADISTICA!X432</f>
        <v>0</v>
      </c>
      <c r="Y434" s="51">
        <f>ESTADISTICA!Y432</f>
        <v>0</v>
      </c>
      <c r="Z434" s="51">
        <f>ESTADISTICA!Z432</f>
        <v>0</v>
      </c>
      <c r="AA434" s="51">
        <f>ESTADISTICA!AA432</f>
        <v>0</v>
      </c>
      <c r="AB434" s="51">
        <f>ESTADISTICA!AB432</f>
        <v>0</v>
      </c>
      <c r="AC434" s="51">
        <f>ESTADISTICA!AC432</f>
        <v>0</v>
      </c>
      <c r="AD434" s="51">
        <f>ESTADISTICA!AD432</f>
        <v>0</v>
      </c>
      <c r="AE434" s="51">
        <f>ESTADISTICA!AE432</f>
        <v>0</v>
      </c>
      <c r="AF434" s="51">
        <f>ESTADISTICA!AF432</f>
        <v>0</v>
      </c>
      <c r="AG434" s="51">
        <f>ESTADISTICA!AG432</f>
        <v>0</v>
      </c>
      <c r="AH434" s="51">
        <f>ESTADISTICA!AH432</f>
        <v>0</v>
      </c>
      <c r="AI434" s="51">
        <f>ESTADISTICA!AI432</f>
        <v>0</v>
      </c>
    </row>
    <row r="435" spans="1:35" hidden="1" x14ac:dyDescent="0.25">
      <c r="A435" s="51">
        <f>ESTADISTICA!A433</f>
        <v>0</v>
      </c>
      <c r="B435" s="51">
        <f>ESTADISTICA!B433</f>
        <v>0</v>
      </c>
      <c r="C435" s="51">
        <f>ESTADISTICA!C433</f>
        <v>0</v>
      </c>
      <c r="D435" s="51">
        <f>ESTADISTICA!D433</f>
        <v>0</v>
      </c>
      <c r="E435" s="51">
        <f>ESTADISTICA!E433</f>
        <v>0</v>
      </c>
      <c r="F435" s="51">
        <f>ESTADISTICA!F433</f>
        <v>0</v>
      </c>
      <c r="G435" s="51">
        <f>ESTADISTICA!G433</f>
        <v>0</v>
      </c>
      <c r="H435" s="51">
        <f>ESTADISTICA!H433</f>
        <v>0</v>
      </c>
      <c r="I435" s="51">
        <f>ESTADISTICA!I433</f>
        <v>0</v>
      </c>
      <c r="J435" s="51">
        <f>ESTADISTICA!J433</f>
        <v>0</v>
      </c>
      <c r="K435" s="51">
        <f>ESTADISTICA!K433</f>
        <v>0</v>
      </c>
      <c r="L435" s="51">
        <f>ESTADISTICA!L433</f>
        <v>0</v>
      </c>
      <c r="M435" s="51">
        <f>ESTADISTICA!M433</f>
        <v>0</v>
      </c>
      <c r="N435" s="51">
        <f>ESTADISTICA!N433</f>
        <v>0</v>
      </c>
      <c r="O435" s="51">
        <f>ESTADISTICA!O433</f>
        <v>0</v>
      </c>
      <c r="P435" s="51">
        <f>ESTADISTICA!P433</f>
        <v>0</v>
      </c>
      <c r="Q435" s="51">
        <f>ESTADISTICA!Q433</f>
        <v>0</v>
      </c>
      <c r="R435" s="51">
        <f>ESTADISTICA!R433</f>
        <v>0</v>
      </c>
      <c r="S435" s="51">
        <f>ESTADISTICA!S433</f>
        <v>0</v>
      </c>
      <c r="T435" s="51">
        <f>ESTADISTICA!T433</f>
        <v>0</v>
      </c>
      <c r="U435" s="51">
        <f>ESTADISTICA!U433</f>
        <v>0</v>
      </c>
      <c r="V435" s="51">
        <f>ESTADISTICA!V433</f>
        <v>0</v>
      </c>
      <c r="W435" s="51">
        <f>ESTADISTICA!W433</f>
        <v>0</v>
      </c>
      <c r="X435" s="51">
        <f>ESTADISTICA!X433</f>
        <v>0</v>
      </c>
      <c r="Y435" s="51">
        <f>ESTADISTICA!Y433</f>
        <v>0</v>
      </c>
      <c r="Z435" s="51">
        <f>ESTADISTICA!Z433</f>
        <v>0</v>
      </c>
      <c r="AA435" s="51">
        <f>ESTADISTICA!AA433</f>
        <v>0</v>
      </c>
      <c r="AB435" s="51">
        <f>ESTADISTICA!AB433</f>
        <v>0</v>
      </c>
      <c r="AC435" s="51">
        <f>ESTADISTICA!AC433</f>
        <v>0</v>
      </c>
      <c r="AD435" s="51">
        <f>ESTADISTICA!AD433</f>
        <v>0</v>
      </c>
      <c r="AE435" s="51">
        <f>ESTADISTICA!AE433</f>
        <v>0</v>
      </c>
      <c r="AF435" s="51">
        <f>ESTADISTICA!AF433</f>
        <v>0</v>
      </c>
      <c r="AG435" s="51">
        <f>ESTADISTICA!AG433</f>
        <v>0</v>
      </c>
      <c r="AH435" s="51">
        <f>ESTADISTICA!AH433</f>
        <v>0</v>
      </c>
      <c r="AI435" s="51">
        <f>ESTADISTICA!AI433</f>
        <v>0</v>
      </c>
    </row>
    <row r="436" spans="1:35" hidden="1" x14ac:dyDescent="0.25">
      <c r="A436" s="51">
        <f>ESTADISTICA!A434</f>
        <v>0</v>
      </c>
      <c r="B436" s="51">
        <f>ESTADISTICA!B434</f>
        <v>0</v>
      </c>
      <c r="C436" s="51">
        <f>ESTADISTICA!C434</f>
        <v>0</v>
      </c>
      <c r="D436" s="51">
        <f>ESTADISTICA!D434</f>
        <v>0</v>
      </c>
      <c r="E436" s="51">
        <f>ESTADISTICA!E434</f>
        <v>0</v>
      </c>
      <c r="F436" s="51">
        <f>ESTADISTICA!F434</f>
        <v>0</v>
      </c>
      <c r="G436" s="51">
        <f>ESTADISTICA!G434</f>
        <v>0</v>
      </c>
      <c r="H436" s="51">
        <f>ESTADISTICA!H434</f>
        <v>0</v>
      </c>
      <c r="I436" s="51">
        <f>ESTADISTICA!I434</f>
        <v>0</v>
      </c>
      <c r="J436" s="51">
        <f>ESTADISTICA!J434</f>
        <v>0</v>
      </c>
      <c r="K436" s="51">
        <f>ESTADISTICA!K434</f>
        <v>0</v>
      </c>
      <c r="L436" s="51">
        <f>ESTADISTICA!L434</f>
        <v>0</v>
      </c>
      <c r="M436" s="51">
        <f>ESTADISTICA!M434</f>
        <v>0</v>
      </c>
      <c r="N436" s="51">
        <f>ESTADISTICA!N434</f>
        <v>0</v>
      </c>
      <c r="O436" s="51">
        <f>ESTADISTICA!O434</f>
        <v>0</v>
      </c>
      <c r="P436" s="51">
        <f>ESTADISTICA!P434</f>
        <v>0</v>
      </c>
      <c r="Q436" s="51">
        <f>ESTADISTICA!Q434</f>
        <v>0</v>
      </c>
      <c r="R436" s="51">
        <f>ESTADISTICA!R434</f>
        <v>0</v>
      </c>
      <c r="S436" s="51">
        <f>ESTADISTICA!S434</f>
        <v>0</v>
      </c>
      <c r="T436" s="51">
        <f>ESTADISTICA!T434</f>
        <v>0</v>
      </c>
      <c r="U436" s="51">
        <f>ESTADISTICA!U434</f>
        <v>0</v>
      </c>
      <c r="V436" s="51">
        <f>ESTADISTICA!V434</f>
        <v>0</v>
      </c>
      <c r="W436" s="51">
        <f>ESTADISTICA!W434</f>
        <v>0</v>
      </c>
      <c r="X436" s="51">
        <f>ESTADISTICA!X434</f>
        <v>0</v>
      </c>
      <c r="Y436" s="51">
        <f>ESTADISTICA!Y434</f>
        <v>0</v>
      </c>
      <c r="Z436" s="51">
        <f>ESTADISTICA!Z434</f>
        <v>0</v>
      </c>
      <c r="AA436" s="51">
        <f>ESTADISTICA!AA434</f>
        <v>0</v>
      </c>
      <c r="AB436" s="51">
        <f>ESTADISTICA!AB434</f>
        <v>0</v>
      </c>
      <c r="AC436" s="51">
        <f>ESTADISTICA!AC434</f>
        <v>0</v>
      </c>
      <c r="AD436" s="51">
        <f>ESTADISTICA!AD434</f>
        <v>0</v>
      </c>
      <c r="AE436" s="51">
        <f>ESTADISTICA!AE434</f>
        <v>0</v>
      </c>
      <c r="AF436" s="51">
        <f>ESTADISTICA!AF434</f>
        <v>0</v>
      </c>
      <c r="AG436" s="51">
        <f>ESTADISTICA!AG434</f>
        <v>0</v>
      </c>
      <c r="AH436" s="51">
        <f>ESTADISTICA!AH434</f>
        <v>0</v>
      </c>
      <c r="AI436" s="51">
        <f>ESTADISTICA!AI434</f>
        <v>0</v>
      </c>
    </row>
    <row r="437" spans="1:35" hidden="1" x14ac:dyDescent="0.25">
      <c r="A437" s="51">
        <f>ESTADISTICA!A435</f>
        <v>0</v>
      </c>
      <c r="B437" s="51">
        <f>ESTADISTICA!B435</f>
        <v>0</v>
      </c>
      <c r="C437" s="51">
        <f>ESTADISTICA!C435</f>
        <v>0</v>
      </c>
      <c r="D437" s="51">
        <f>ESTADISTICA!D435</f>
        <v>0</v>
      </c>
      <c r="E437" s="51">
        <f>ESTADISTICA!E435</f>
        <v>0</v>
      </c>
      <c r="F437" s="51">
        <f>ESTADISTICA!F435</f>
        <v>0</v>
      </c>
      <c r="G437" s="51">
        <f>ESTADISTICA!G435</f>
        <v>0</v>
      </c>
      <c r="H437" s="51">
        <f>ESTADISTICA!H435</f>
        <v>0</v>
      </c>
      <c r="I437" s="51">
        <f>ESTADISTICA!I435</f>
        <v>0</v>
      </c>
      <c r="J437" s="51">
        <f>ESTADISTICA!J435</f>
        <v>0</v>
      </c>
      <c r="K437" s="51">
        <f>ESTADISTICA!K435</f>
        <v>0</v>
      </c>
      <c r="L437" s="51">
        <f>ESTADISTICA!L435</f>
        <v>0</v>
      </c>
      <c r="M437" s="51">
        <f>ESTADISTICA!M435</f>
        <v>0</v>
      </c>
      <c r="N437" s="51">
        <f>ESTADISTICA!N435</f>
        <v>0</v>
      </c>
      <c r="O437" s="51">
        <f>ESTADISTICA!O435</f>
        <v>0</v>
      </c>
      <c r="P437" s="51">
        <f>ESTADISTICA!P435</f>
        <v>0</v>
      </c>
      <c r="Q437" s="51">
        <f>ESTADISTICA!Q435</f>
        <v>0</v>
      </c>
      <c r="R437" s="51">
        <f>ESTADISTICA!R435</f>
        <v>0</v>
      </c>
      <c r="S437" s="51">
        <f>ESTADISTICA!S435</f>
        <v>0</v>
      </c>
      <c r="T437" s="51">
        <f>ESTADISTICA!T435</f>
        <v>0</v>
      </c>
      <c r="U437" s="51">
        <f>ESTADISTICA!U435</f>
        <v>0</v>
      </c>
      <c r="V437" s="51">
        <f>ESTADISTICA!V435</f>
        <v>0</v>
      </c>
      <c r="W437" s="51">
        <f>ESTADISTICA!W435</f>
        <v>0</v>
      </c>
      <c r="X437" s="51">
        <f>ESTADISTICA!X435</f>
        <v>0</v>
      </c>
      <c r="Y437" s="51">
        <f>ESTADISTICA!Y435</f>
        <v>0</v>
      </c>
      <c r="Z437" s="51">
        <f>ESTADISTICA!Z435</f>
        <v>0</v>
      </c>
      <c r="AA437" s="51">
        <f>ESTADISTICA!AA435</f>
        <v>0</v>
      </c>
      <c r="AB437" s="51">
        <f>ESTADISTICA!AB435</f>
        <v>0</v>
      </c>
      <c r="AC437" s="51">
        <f>ESTADISTICA!AC435</f>
        <v>0</v>
      </c>
      <c r="AD437" s="51">
        <f>ESTADISTICA!AD435</f>
        <v>0</v>
      </c>
      <c r="AE437" s="51">
        <f>ESTADISTICA!AE435</f>
        <v>0</v>
      </c>
      <c r="AF437" s="51">
        <f>ESTADISTICA!AF435</f>
        <v>0</v>
      </c>
      <c r="AG437" s="51">
        <f>ESTADISTICA!AG435</f>
        <v>0</v>
      </c>
      <c r="AH437" s="51">
        <f>ESTADISTICA!AH435</f>
        <v>0</v>
      </c>
      <c r="AI437" s="51">
        <f>ESTADISTICA!AI435</f>
        <v>0</v>
      </c>
    </row>
    <row r="438" spans="1:35" hidden="1" x14ac:dyDescent="0.25">
      <c r="A438" s="51">
        <f>ESTADISTICA!A436</f>
        <v>0</v>
      </c>
      <c r="B438" s="51">
        <f>ESTADISTICA!B436</f>
        <v>0</v>
      </c>
      <c r="C438" s="51">
        <f>ESTADISTICA!C436</f>
        <v>0</v>
      </c>
      <c r="D438" s="51">
        <f>ESTADISTICA!D436</f>
        <v>0</v>
      </c>
      <c r="E438" s="51">
        <f>ESTADISTICA!E436</f>
        <v>0</v>
      </c>
      <c r="F438" s="51">
        <f>ESTADISTICA!F436</f>
        <v>0</v>
      </c>
      <c r="G438" s="51">
        <f>ESTADISTICA!G436</f>
        <v>0</v>
      </c>
      <c r="H438" s="51">
        <f>ESTADISTICA!H436</f>
        <v>0</v>
      </c>
      <c r="I438" s="51">
        <f>ESTADISTICA!I436</f>
        <v>0</v>
      </c>
      <c r="J438" s="51">
        <f>ESTADISTICA!J436</f>
        <v>0</v>
      </c>
      <c r="K438" s="51">
        <f>ESTADISTICA!K436</f>
        <v>0</v>
      </c>
      <c r="L438" s="51">
        <f>ESTADISTICA!L436</f>
        <v>0</v>
      </c>
      <c r="M438" s="51">
        <f>ESTADISTICA!M436</f>
        <v>0</v>
      </c>
      <c r="N438" s="51">
        <f>ESTADISTICA!N436</f>
        <v>0</v>
      </c>
      <c r="O438" s="51">
        <f>ESTADISTICA!O436</f>
        <v>0</v>
      </c>
      <c r="P438" s="51">
        <f>ESTADISTICA!P436</f>
        <v>0</v>
      </c>
      <c r="Q438" s="51">
        <f>ESTADISTICA!Q436</f>
        <v>0</v>
      </c>
      <c r="R438" s="51">
        <f>ESTADISTICA!R436</f>
        <v>0</v>
      </c>
      <c r="S438" s="51">
        <f>ESTADISTICA!S436</f>
        <v>0</v>
      </c>
      <c r="T438" s="51">
        <f>ESTADISTICA!T436</f>
        <v>0</v>
      </c>
      <c r="U438" s="51">
        <f>ESTADISTICA!U436</f>
        <v>0</v>
      </c>
      <c r="V438" s="51">
        <f>ESTADISTICA!V436</f>
        <v>0</v>
      </c>
      <c r="W438" s="51">
        <f>ESTADISTICA!W436</f>
        <v>0</v>
      </c>
      <c r="X438" s="51">
        <f>ESTADISTICA!X436</f>
        <v>0</v>
      </c>
      <c r="Y438" s="51">
        <f>ESTADISTICA!Y436</f>
        <v>0</v>
      </c>
      <c r="Z438" s="51">
        <f>ESTADISTICA!Z436</f>
        <v>0</v>
      </c>
      <c r="AA438" s="51">
        <f>ESTADISTICA!AA436</f>
        <v>0</v>
      </c>
      <c r="AB438" s="51">
        <f>ESTADISTICA!AB436</f>
        <v>0</v>
      </c>
      <c r="AC438" s="51">
        <f>ESTADISTICA!AC436</f>
        <v>0</v>
      </c>
      <c r="AD438" s="51">
        <f>ESTADISTICA!AD436</f>
        <v>0</v>
      </c>
      <c r="AE438" s="51">
        <f>ESTADISTICA!AE436</f>
        <v>0</v>
      </c>
      <c r="AF438" s="51">
        <f>ESTADISTICA!AF436</f>
        <v>0</v>
      </c>
      <c r="AG438" s="51">
        <f>ESTADISTICA!AG436</f>
        <v>0</v>
      </c>
      <c r="AH438" s="51">
        <f>ESTADISTICA!AH436</f>
        <v>0</v>
      </c>
      <c r="AI438" s="51">
        <f>ESTADISTICA!AI436</f>
        <v>0</v>
      </c>
    </row>
    <row r="439" spans="1:35" hidden="1" x14ac:dyDescent="0.25">
      <c r="A439" s="51">
        <f>ESTADISTICA!A437</f>
        <v>0</v>
      </c>
      <c r="B439" s="51">
        <f>ESTADISTICA!B437</f>
        <v>0</v>
      </c>
      <c r="C439" s="51">
        <f>ESTADISTICA!C437</f>
        <v>0</v>
      </c>
      <c r="D439" s="51">
        <f>ESTADISTICA!D437</f>
        <v>0</v>
      </c>
      <c r="E439" s="51">
        <f>ESTADISTICA!E437</f>
        <v>0</v>
      </c>
      <c r="F439" s="51">
        <f>ESTADISTICA!F437</f>
        <v>0</v>
      </c>
      <c r="G439" s="51">
        <f>ESTADISTICA!G437</f>
        <v>0</v>
      </c>
      <c r="H439" s="51">
        <f>ESTADISTICA!H437</f>
        <v>0</v>
      </c>
      <c r="I439" s="51">
        <f>ESTADISTICA!I437</f>
        <v>0</v>
      </c>
      <c r="J439" s="51">
        <f>ESTADISTICA!J437</f>
        <v>0</v>
      </c>
      <c r="K439" s="51">
        <f>ESTADISTICA!K437</f>
        <v>0</v>
      </c>
      <c r="L439" s="51">
        <f>ESTADISTICA!L437</f>
        <v>0</v>
      </c>
      <c r="M439" s="51">
        <f>ESTADISTICA!M437</f>
        <v>0</v>
      </c>
      <c r="N439" s="51">
        <f>ESTADISTICA!N437</f>
        <v>0</v>
      </c>
      <c r="O439" s="51">
        <f>ESTADISTICA!O437</f>
        <v>0</v>
      </c>
      <c r="P439" s="51">
        <f>ESTADISTICA!P437</f>
        <v>0</v>
      </c>
      <c r="Q439" s="51">
        <f>ESTADISTICA!Q437</f>
        <v>0</v>
      </c>
      <c r="R439" s="51">
        <f>ESTADISTICA!R437</f>
        <v>0</v>
      </c>
      <c r="S439" s="51">
        <f>ESTADISTICA!S437</f>
        <v>0</v>
      </c>
      <c r="T439" s="51">
        <f>ESTADISTICA!T437</f>
        <v>0</v>
      </c>
      <c r="U439" s="51">
        <f>ESTADISTICA!U437</f>
        <v>0</v>
      </c>
      <c r="V439" s="51">
        <f>ESTADISTICA!V437</f>
        <v>0</v>
      </c>
      <c r="W439" s="51">
        <f>ESTADISTICA!W437</f>
        <v>0</v>
      </c>
      <c r="X439" s="51">
        <f>ESTADISTICA!X437</f>
        <v>0</v>
      </c>
      <c r="Y439" s="51">
        <f>ESTADISTICA!Y437</f>
        <v>0</v>
      </c>
      <c r="Z439" s="51">
        <f>ESTADISTICA!Z437</f>
        <v>0</v>
      </c>
      <c r="AA439" s="51">
        <f>ESTADISTICA!AA437</f>
        <v>0</v>
      </c>
      <c r="AB439" s="51">
        <f>ESTADISTICA!AB437</f>
        <v>0</v>
      </c>
      <c r="AC439" s="51">
        <f>ESTADISTICA!AC437</f>
        <v>0</v>
      </c>
      <c r="AD439" s="51">
        <f>ESTADISTICA!AD437</f>
        <v>0</v>
      </c>
      <c r="AE439" s="51">
        <f>ESTADISTICA!AE437</f>
        <v>0</v>
      </c>
      <c r="AF439" s="51">
        <f>ESTADISTICA!AF437</f>
        <v>0</v>
      </c>
      <c r="AG439" s="51">
        <f>ESTADISTICA!AG437</f>
        <v>0</v>
      </c>
      <c r="AH439" s="51">
        <f>ESTADISTICA!AH437</f>
        <v>0</v>
      </c>
      <c r="AI439" s="51">
        <f>ESTADISTICA!AI437</f>
        <v>0</v>
      </c>
    </row>
    <row r="440" spans="1:35" hidden="1" x14ac:dyDescent="0.25">
      <c r="A440" s="51">
        <f>ESTADISTICA!A438</f>
        <v>0</v>
      </c>
      <c r="B440" s="51">
        <f>ESTADISTICA!B438</f>
        <v>0</v>
      </c>
      <c r="C440" s="51">
        <f>ESTADISTICA!C438</f>
        <v>0</v>
      </c>
      <c r="D440" s="51">
        <f>ESTADISTICA!D438</f>
        <v>0</v>
      </c>
      <c r="E440" s="51">
        <f>ESTADISTICA!E438</f>
        <v>0</v>
      </c>
      <c r="F440" s="51">
        <f>ESTADISTICA!F438</f>
        <v>0</v>
      </c>
      <c r="G440" s="51">
        <f>ESTADISTICA!G438</f>
        <v>0</v>
      </c>
      <c r="H440" s="51">
        <f>ESTADISTICA!H438</f>
        <v>0</v>
      </c>
      <c r="I440" s="51">
        <f>ESTADISTICA!I438</f>
        <v>0</v>
      </c>
      <c r="J440" s="51">
        <f>ESTADISTICA!J438</f>
        <v>0</v>
      </c>
      <c r="K440" s="51">
        <f>ESTADISTICA!K438</f>
        <v>0</v>
      </c>
      <c r="L440" s="51">
        <f>ESTADISTICA!L438</f>
        <v>0</v>
      </c>
      <c r="M440" s="51">
        <f>ESTADISTICA!M438</f>
        <v>0</v>
      </c>
      <c r="N440" s="51">
        <f>ESTADISTICA!N438</f>
        <v>0</v>
      </c>
      <c r="O440" s="51">
        <f>ESTADISTICA!O438</f>
        <v>0</v>
      </c>
      <c r="P440" s="51">
        <f>ESTADISTICA!P438</f>
        <v>0</v>
      </c>
      <c r="Q440" s="51">
        <f>ESTADISTICA!Q438</f>
        <v>0</v>
      </c>
      <c r="R440" s="51">
        <f>ESTADISTICA!R438</f>
        <v>0</v>
      </c>
      <c r="S440" s="51">
        <f>ESTADISTICA!S438</f>
        <v>0</v>
      </c>
      <c r="T440" s="51">
        <f>ESTADISTICA!T438</f>
        <v>0</v>
      </c>
      <c r="U440" s="51">
        <f>ESTADISTICA!U438</f>
        <v>0</v>
      </c>
      <c r="V440" s="51">
        <f>ESTADISTICA!V438</f>
        <v>0</v>
      </c>
      <c r="W440" s="51">
        <f>ESTADISTICA!W438</f>
        <v>0</v>
      </c>
      <c r="X440" s="51">
        <f>ESTADISTICA!X438</f>
        <v>0</v>
      </c>
      <c r="Y440" s="51">
        <f>ESTADISTICA!Y438</f>
        <v>0</v>
      </c>
      <c r="Z440" s="51">
        <f>ESTADISTICA!Z438</f>
        <v>0</v>
      </c>
      <c r="AA440" s="51">
        <f>ESTADISTICA!AA438</f>
        <v>0</v>
      </c>
      <c r="AB440" s="51">
        <f>ESTADISTICA!AB438</f>
        <v>0</v>
      </c>
      <c r="AC440" s="51">
        <f>ESTADISTICA!AC438</f>
        <v>0</v>
      </c>
      <c r="AD440" s="51">
        <f>ESTADISTICA!AD438</f>
        <v>0</v>
      </c>
      <c r="AE440" s="51">
        <f>ESTADISTICA!AE438</f>
        <v>0</v>
      </c>
      <c r="AF440" s="51">
        <f>ESTADISTICA!AF438</f>
        <v>0</v>
      </c>
      <c r="AG440" s="51">
        <f>ESTADISTICA!AG438</f>
        <v>0</v>
      </c>
      <c r="AH440" s="51">
        <f>ESTADISTICA!AH438</f>
        <v>0</v>
      </c>
      <c r="AI440" s="51">
        <f>ESTADISTICA!AI438</f>
        <v>0</v>
      </c>
    </row>
    <row r="441" spans="1:35" hidden="1" x14ac:dyDescent="0.25">
      <c r="A441" s="51">
        <f>ESTADISTICA!A439</f>
        <v>0</v>
      </c>
      <c r="B441" s="51">
        <f>ESTADISTICA!B439</f>
        <v>0</v>
      </c>
      <c r="C441" s="51">
        <f>ESTADISTICA!C439</f>
        <v>0</v>
      </c>
      <c r="D441" s="51">
        <f>ESTADISTICA!D439</f>
        <v>0</v>
      </c>
      <c r="E441" s="51">
        <f>ESTADISTICA!E439</f>
        <v>0</v>
      </c>
      <c r="F441" s="51">
        <f>ESTADISTICA!F439</f>
        <v>0</v>
      </c>
      <c r="G441" s="51">
        <f>ESTADISTICA!G439</f>
        <v>0</v>
      </c>
      <c r="H441" s="51">
        <f>ESTADISTICA!H439</f>
        <v>0</v>
      </c>
      <c r="I441" s="51">
        <f>ESTADISTICA!I439</f>
        <v>0</v>
      </c>
      <c r="J441" s="51">
        <f>ESTADISTICA!J439</f>
        <v>0</v>
      </c>
      <c r="K441" s="51">
        <f>ESTADISTICA!K439</f>
        <v>0</v>
      </c>
      <c r="L441" s="51">
        <f>ESTADISTICA!L439</f>
        <v>0</v>
      </c>
      <c r="M441" s="51">
        <f>ESTADISTICA!M439</f>
        <v>0</v>
      </c>
      <c r="N441" s="51">
        <f>ESTADISTICA!N439</f>
        <v>0</v>
      </c>
      <c r="O441" s="51">
        <f>ESTADISTICA!O439</f>
        <v>0</v>
      </c>
      <c r="P441" s="51">
        <f>ESTADISTICA!P439</f>
        <v>0</v>
      </c>
      <c r="Q441" s="51">
        <f>ESTADISTICA!Q439</f>
        <v>0</v>
      </c>
      <c r="R441" s="51">
        <f>ESTADISTICA!R439</f>
        <v>0</v>
      </c>
      <c r="S441" s="51">
        <f>ESTADISTICA!S439</f>
        <v>0</v>
      </c>
      <c r="T441" s="51">
        <f>ESTADISTICA!T439</f>
        <v>0</v>
      </c>
      <c r="U441" s="51">
        <f>ESTADISTICA!U439</f>
        <v>0</v>
      </c>
      <c r="V441" s="51">
        <f>ESTADISTICA!V439</f>
        <v>0</v>
      </c>
      <c r="W441" s="51">
        <f>ESTADISTICA!W439</f>
        <v>0</v>
      </c>
      <c r="X441" s="51">
        <f>ESTADISTICA!X439</f>
        <v>0</v>
      </c>
      <c r="Y441" s="51">
        <f>ESTADISTICA!Y439</f>
        <v>0</v>
      </c>
      <c r="Z441" s="51">
        <f>ESTADISTICA!Z439</f>
        <v>0</v>
      </c>
      <c r="AA441" s="51">
        <f>ESTADISTICA!AA439</f>
        <v>0</v>
      </c>
      <c r="AB441" s="51">
        <f>ESTADISTICA!AB439</f>
        <v>0</v>
      </c>
      <c r="AC441" s="51">
        <f>ESTADISTICA!AC439</f>
        <v>0</v>
      </c>
      <c r="AD441" s="51">
        <f>ESTADISTICA!AD439</f>
        <v>0</v>
      </c>
      <c r="AE441" s="51">
        <f>ESTADISTICA!AE439</f>
        <v>0</v>
      </c>
      <c r="AF441" s="51">
        <f>ESTADISTICA!AF439</f>
        <v>0</v>
      </c>
      <c r="AG441" s="51">
        <f>ESTADISTICA!AG439</f>
        <v>0</v>
      </c>
      <c r="AH441" s="51">
        <f>ESTADISTICA!AH439</f>
        <v>0</v>
      </c>
      <c r="AI441" s="51">
        <f>ESTADISTICA!AI439</f>
        <v>0</v>
      </c>
    </row>
    <row r="442" spans="1:35" hidden="1" x14ac:dyDescent="0.25">
      <c r="A442" s="51">
        <f>ESTADISTICA!A440</f>
        <v>0</v>
      </c>
      <c r="B442" s="51">
        <f>ESTADISTICA!B440</f>
        <v>0</v>
      </c>
      <c r="C442" s="51">
        <f>ESTADISTICA!C440</f>
        <v>0</v>
      </c>
      <c r="D442" s="51">
        <f>ESTADISTICA!D440</f>
        <v>0</v>
      </c>
      <c r="E442" s="51">
        <f>ESTADISTICA!E440</f>
        <v>0</v>
      </c>
      <c r="F442" s="51">
        <f>ESTADISTICA!F440</f>
        <v>0</v>
      </c>
      <c r="G442" s="51">
        <f>ESTADISTICA!G440</f>
        <v>0</v>
      </c>
      <c r="H442" s="51">
        <f>ESTADISTICA!H440</f>
        <v>0</v>
      </c>
      <c r="I442" s="51">
        <f>ESTADISTICA!I440</f>
        <v>0</v>
      </c>
      <c r="J442" s="51">
        <f>ESTADISTICA!J440</f>
        <v>0</v>
      </c>
      <c r="K442" s="51">
        <f>ESTADISTICA!K440</f>
        <v>0</v>
      </c>
      <c r="L442" s="51">
        <f>ESTADISTICA!L440</f>
        <v>0</v>
      </c>
      <c r="M442" s="51">
        <f>ESTADISTICA!M440</f>
        <v>0</v>
      </c>
      <c r="N442" s="51">
        <f>ESTADISTICA!N440</f>
        <v>0</v>
      </c>
      <c r="O442" s="51">
        <f>ESTADISTICA!O440</f>
        <v>0</v>
      </c>
      <c r="P442" s="51">
        <f>ESTADISTICA!P440</f>
        <v>0</v>
      </c>
      <c r="Q442" s="51">
        <f>ESTADISTICA!Q440</f>
        <v>0</v>
      </c>
      <c r="R442" s="51">
        <f>ESTADISTICA!R440</f>
        <v>0</v>
      </c>
      <c r="S442" s="51">
        <f>ESTADISTICA!S440</f>
        <v>0</v>
      </c>
      <c r="T442" s="51">
        <f>ESTADISTICA!T440</f>
        <v>0</v>
      </c>
      <c r="U442" s="51">
        <f>ESTADISTICA!U440</f>
        <v>0</v>
      </c>
      <c r="V442" s="51">
        <f>ESTADISTICA!V440</f>
        <v>0</v>
      </c>
      <c r="W442" s="51">
        <f>ESTADISTICA!W440</f>
        <v>0</v>
      </c>
      <c r="X442" s="51">
        <f>ESTADISTICA!X440</f>
        <v>0</v>
      </c>
      <c r="Y442" s="51">
        <f>ESTADISTICA!Y440</f>
        <v>0</v>
      </c>
      <c r="Z442" s="51">
        <f>ESTADISTICA!Z440</f>
        <v>0</v>
      </c>
      <c r="AA442" s="51">
        <f>ESTADISTICA!AA440</f>
        <v>0</v>
      </c>
      <c r="AB442" s="51">
        <f>ESTADISTICA!AB440</f>
        <v>0</v>
      </c>
      <c r="AC442" s="51">
        <f>ESTADISTICA!AC440</f>
        <v>0</v>
      </c>
      <c r="AD442" s="51">
        <f>ESTADISTICA!AD440</f>
        <v>0</v>
      </c>
      <c r="AE442" s="51">
        <f>ESTADISTICA!AE440</f>
        <v>0</v>
      </c>
      <c r="AF442" s="51">
        <f>ESTADISTICA!AF440</f>
        <v>0</v>
      </c>
      <c r="AG442" s="51">
        <f>ESTADISTICA!AG440</f>
        <v>0</v>
      </c>
      <c r="AH442" s="51">
        <f>ESTADISTICA!AH440</f>
        <v>0</v>
      </c>
      <c r="AI442" s="51">
        <f>ESTADISTICA!AI440</f>
        <v>0</v>
      </c>
    </row>
    <row r="443" spans="1:35" hidden="1" x14ac:dyDescent="0.25">
      <c r="A443" s="51">
        <f>ESTADISTICA!A441</f>
        <v>0</v>
      </c>
      <c r="B443" s="51">
        <f>ESTADISTICA!B441</f>
        <v>0</v>
      </c>
      <c r="C443" s="51">
        <f>ESTADISTICA!C441</f>
        <v>0</v>
      </c>
      <c r="D443" s="51">
        <f>ESTADISTICA!D441</f>
        <v>0</v>
      </c>
      <c r="E443" s="51">
        <f>ESTADISTICA!E441</f>
        <v>0</v>
      </c>
      <c r="F443" s="51">
        <f>ESTADISTICA!F441</f>
        <v>0</v>
      </c>
      <c r="G443" s="51">
        <f>ESTADISTICA!G441</f>
        <v>0</v>
      </c>
      <c r="H443" s="51">
        <f>ESTADISTICA!H441</f>
        <v>0</v>
      </c>
      <c r="I443" s="51">
        <f>ESTADISTICA!I441</f>
        <v>0</v>
      </c>
      <c r="J443" s="51">
        <f>ESTADISTICA!J441</f>
        <v>0</v>
      </c>
      <c r="K443" s="51">
        <f>ESTADISTICA!K441</f>
        <v>0</v>
      </c>
      <c r="L443" s="51">
        <f>ESTADISTICA!L441</f>
        <v>0</v>
      </c>
      <c r="M443" s="51">
        <f>ESTADISTICA!M441</f>
        <v>0</v>
      </c>
      <c r="N443" s="51">
        <f>ESTADISTICA!N441</f>
        <v>0</v>
      </c>
      <c r="O443" s="51">
        <f>ESTADISTICA!O441</f>
        <v>0</v>
      </c>
      <c r="P443" s="51">
        <f>ESTADISTICA!P441</f>
        <v>0</v>
      </c>
      <c r="Q443" s="51">
        <f>ESTADISTICA!Q441</f>
        <v>0</v>
      </c>
      <c r="R443" s="51">
        <f>ESTADISTICA!R441</f>
        <v>0</v>
      </c>
      <c r="S443" s="51">
        <f>ESTADISTICA!S441</f>
        <v>0</v>
      </c>
      <c r="T443" s="51">
        <f>ESTADISTICA!T441</f>
        <v>0</v>
      </c>
      <c r="U443" s="51">
        <f>ESTADISTICA!U441</f>
        <v>0</v>
      </c>
      <c r="V443" s="51">
        <f>ESTADISTICA!V441</f>
        <v>0</v>
      </c>
      <c r="W443" s="51">
        <f>ESTADISTICA!W441</f>
        <v>0</v>
      </c>
      <c r="X443" s="51">
        <f>ESTADISTICA!X441</f>
        <v>0</v>
      </c>
      <c r="Y443" s="51">
        <f>ESTADISTICA!Y441</f>
        <v>0</v>
      </c>
      <c r="Z443" s="51">
        <f>ESTADISTICA!Z441</f>
        <v>0</v>
      </c>
      <c r="AA443" s="51">
        <f>ESTADISTICA!AA441</f>
        <v>0</v>
      </c>
      <c r="AB443" s="51">
        <f>ESTADISTICA!AB441</f>
        <v>0</v>
      </c>
      <c r="AC443" s="51">
        <f>ESTADISTICA!AC441</f>
        <v>0</v>
      </c>
      <c r="AD443" s="51">
        <f>ESTADISTICA!AD441</f>
        <v>0</v>
      </c>
      <c r="AE443" s="51">
        <f>ESTADISTICA!AE441</f>
        <v>0</v>
      </c>
      <c r="AF443" s="51">
        <f>ESTADISTICA!AF441</f>
        <v>0</v>
      </c>
      <c r="AG443" s="51">
        <f>ESTADISTICA!AG441</f>
        <v>0</v>
      </c>
      <c r="AH443" s="51">
        <f>ESTADISTICA!AH441</f>
        <v>0</v>
      </c>
      <c r="AI443" s="51">
        <f>ESTADISTICA!AI441</f>
        <v>0</v>
      </c>
    </row>
    <row r="444" spans="1:35" hidden="1" x14ac:dyDescent="0.25">
      <c r="A444" s="51">
        <f>ESTADISTICA!A442</f>
        <v>0</v>
      </c>
      <c r="B444" s="51">
        <f>ESTADISTICA!B442</f>
        <v>0</v>
      </c>
      <c r="C444" s="51">
        <f>ESTADISTICA!C442</f>
        <v>0</v>
      </c>
      <c r="D444" s="51">
        <f>ESTADISTICA!D442</f>
        <v>0</v>
      </c>
      <c r="E444" s="51">
        <f>ESTADISTICA!E442</f>
        <v>0</v>
      </c>
      <c r="F444" s="51">
        <f>ESTADISTICA!F442</f>
        <v>0</v>
      </c>
      <c r="G444" s="51">
        <f>ESTADISTICA!G442</f>
        <v>0</v>
      </c>
      <c r="H444" s="51">
        <f>ESTADISTICA!H442</f>
        <v>0</v>
      </c>
      <c r="I444" s="51">
        <f>ESTADISTICA!I442</f>
        <v>0</v>
      </c>
      <c r="J444" s="51">
        <f>ESTADISTICA!J442</f>
        <v>0</v>
      </c>
      <c r="K444" s="51">
        <f>ESTADISTICA!K442</f>
        <v>0</v>
      </c>
      <c r="L444" s="51">
        <f>ESTADISTICA!L442</f>
        <v>0</v>
      </c>
      <c r="M444" s="51">
        <f>ESTADISTICA!M442</f>
        <v>0</v>
      </c>
      <c r="N444" s="51">
        <f>ESTADISTICA!N442</f>
        <v>0</v>
      </c>
      <c r="O444" s="51">
        <f>ESTADISTICA!O442</f>
        <v>0</v>
      </c>
      <c r="P444" s="51">
        <f>ESTADISTICA!P442</f>
        <v>0</v>
      </c>
      <c r="Q444" s="51">
        <f>ESTADISTICA!Q442</f>
        <v>0</v>
      </c>
      <c r="R444" s="51">
        <f>ESTADISTICA!R442</f>
        <v>0</v>
      </c>
      <c r="S444" s="51">
        <f>ESTADISTICA!S442</f>
        <v>0</v>
      </c>
      <c r="T444" s="51">
        <f>ESTADISTICA!T442</f>
        <v>0</v>
      </c>
      <c r="U444" s="51">
        <f>ESTADISTICA!U442</f>
        <v>0</v>
      </c>
      <c r="V444" s="51">
        <f>ESTADISTICA!V442</f>
        <v>0</v>
      </c>
      <c r="W444" s="51">
        <f>ESTADISTICA!W442</f>
        <v>0</v>
      </c>
      <c r="X444" s="51">
        <f>ESTADISTICA!X442</f>
        <v>0</v>
      </c>
      <c r="Y444" s="51">
        <f>ESTADISTICA!Y442</f>
        <v>0</v>
      </c>
      <c r="Z444" s="51">
        <f>ESTADISTICA!Z442</f>
        <v>0</v>
      </c>
      <c r="AA444" s="51">
        <f>ESTADISTICA!AA442</f>
        <v>0</v>
      </c>
      <c r="AB444" s="51">
        <f>ESTADISTICA!AB442</f>
        <v>0</v>
      </c>
      <c r="AC444" s="51">
        <f>ESTADISTICA!AC442</f>
        <v>0</v>
      </c>
      <c r="AD444" s="51">
        <f>ESTADISTICA!AD442</f>
        <v>0</v>
      </c>
      <c r="AE444" s="51">
        <f>ESTADISTICA!AE442</f>
        <v>0</v>
      </c>
      <c r="AF444" s="51">
        <f>ESTADISTICA!AF442</f>
        <v>0</v>
      </c>
      <c r="AG444" s="51">
        <f>ESTADISTICA!AG442</f>
        <v>0</v>
      </c>
      <c r="AH444" s="51">
        <f>ESTADISTICA!AH442</f>
        <v>0</v>
      </c>
      <c r="AI444" s="51">
        <f>ESTADISTICA!AI442</f>
        <v>0</v>
      </c>
    </row>
    <row r="445" spans="1:35" hidden="1" x14ac:dyDescent="0.25">
      <c r="A445" s="51">
        <f>ESTADISTICA!A443</f>
        <v>0</v>
      </c>
      <c r="B445" s="51">
        <f>ESTADISTICA!B443</f>
        <v>0</v>
      </c>
      <c r="C445" s="51">
        <f>ESTADISTICA!C443</f>
        <v>0</v>
      </c>
      <c r="D445" s="51">
        <f>ESTADISTICA!D443</f>
        <v>0</v>
      </c>
      <c r="E445" s="51">
        <f>ESTADISTICA!E443</f>
        <v>0</v>
      </c>
      <c r="F445" s="51">
        <f>ESTADISTICA!F443</f>
        <v>0</v>
      </c>
      <c r="G445" s="51">
        <f>ESTADISTICA!G443</f>
        <v>0</v>
      </c>
      <c r="H445" s="51">
        <f>ESTADISTICA!H443</f>
        <v>0</v>
      </c>
      <c r="I445" s="51">
        <f>ESTADISTICA!I443</f>
        <v>0</v>
      </c>
      <c r="J445" s="51">
        <f>ESTADISTICA!J443</f>
        <v>0</v>
      </c>
      <c r="K445" s="51">
        <f>ESTADISTICA!K443</f>
        <v>0</v>
      </c>
      <c r="L445" s="51">
        <f>ESTADISTICA!L443</f>
        <v>0</v>
      </c>
      <c r="M445" s="51">
        <f>ESTADISTICA!M443</f>
        <v>0</v>
      </c>
      <c r="N445" s="51">
        <f>ESTADISTICA!N443</f>
        <v>0</v>
      </c>
      <c r="O445" s="51">
        <f>ESTADISTICA!O443</f>
        <v>0</v>
      </c>
      <c r="P445" s="51">
        <f>ESTADISTICA!P443</f>
        <v>0</v>
      </c>
      <c r="Q445" s="51">
        <f>ESTADISTICA!Q443</f>
        <v>0</v>
      </c>
      <c r="R445" s="51">
        <f>ESTADISTICA!R443</f>
        <v>0</v>
      </c>
      <c r="S445" s="51">
        <f>ESTADISTICA!S443</f>
        <v>0</v>
      </c>
      <c r="T445" s="51">
        <f>ESTADISTICA!T443</f>
        <v>0</v>
      </c>
      <c r="U445" s="51">
        <f>ESTADISTICA!U443</f>
        <v>0</v>
      </c>
      <c r="V445" s="51">
        <f>ESTADISTICA!V443</f>
        <v>0</v>
      </c>
      <c r="W445" s="51">
        <f>ESTADISTICA!W443</f>
        <v>0</v>
      </c>
      <c r="X445" s="51">
        <f>ESTADISTICA!X443</f>
        <v>0</v>
      </c>
      <c r="Y445" s="51">
        <f>ESTADISTICA!Y443</f>
        <v>0</v>
      </c>
      <c r="Z445" s="51">
        <f>ESTADISTICA!Z443</f>
        <v>0</v>
      </c>
      <c r="AA445" s="51">
        <f>ESTADISTICA!AA443</f>
        <v>0</v>
      </c>
      <c r="AB445" s="51">
        <f>ESTADISTICA!AB443</f>
        <v>0</v>
      </c>
      <c r="AC445" s="51">
        <f>ESTADISTICA!AC443</f>
        <v>0</v>
      </c>
      <c r="AD445" s="51">
        <f>ESTADISTICA!AD443</f>
        <v>0</v>
      </c>
      <c r="AE445" s="51">
        <f>ESTADISTICA!AE443</f>
        <v>0</v>
      </c>
      <c r="AF445" s="51">
        <f>ESTADISTICA!AF443</f>
        <v>0</v>
      </c>
      <c r="AG445" s="51">
        <f>ESTADISTICA!AG443</f>
        <v>0</v>
      </c>
      <c r="AH445" s="51">
        <f>ESTADISTICA!AH443</f>
        <v>0</v>
      </c>
      <c r="AI445" s="51">
        <f>ESTADISTICA!AI443</f>
        <v>0</v>
      </c>
    </row>
    <row r="446" spans="1:35" hidden="1" x14ac:dyDescent="0.25">
      <c r="A446" s="51">
        <f>ESTADISTICA!A444</f>
        <v>0</v>
      </c>
      <c r="B446" s="51">
        <f>ESTADISTICA!B444</f>
        <v>0</v>
      </c>
      <c r="C446" s="51">
        <f>ESTADISTICA!C444</f>
        <v>0</v>
      </c>
      <c r="D446" s="51">
        <f>ESTADISTICA!D444</f>
        <v>0</v>
      </c>
      <c r="E446" s="51">
        <f>ESTADISTICA!E444</f>
        <v>0</v>
      </c>
      <c r="F446" s="51">
        <f>ESTADISTICA!F444</f>
        <v>0</v>
      </c>
      <c r="G446" s="51">
        <f>ESTADISTICA!G444</f>
        <v>0</v>
      </c>
      <c r="H446" s="51">
        <f>ESTADISTICA!H444</f>
        <v>0</v>
      </c>
      <c r="I446" s="51">
        <f>ESTADISTICA!I444</f>
        <v>0</v>
      </c>
      <c r="J446" s="51">
        <f>ESTADISTICA!J444</f>
        <v>0</v>
      </c>
      <c r="K446" s="51">
        <f>ESTADISTICA!K444</f>
        <v>0</v>
      </c>
      <c r="L446" s="51">
        <f>ESTADISTICA!L444</f>
        <v>0</v>
      </c>
      <c r="M446" s="51">
        <f>ESTADISTICA!M444</f>
        <v>0</v>
      </c>
      <c r="N446" s="51">
        <f>ESTADISTICA!N444</f>
        <v>0</v>
      </c>
      <c r="O446" s="51">
        <f>ESTADISTICA!O444</f>
        <v>0</v>
      </c>
      <c r="P446" s="51">
        <f>ESTADISTICA!P444</f>
        <v>0</v>
      </c>
      <c r="Q446" s="51">
        <f>ESTADISTICA!Q444</f>
        <v>0</v>
      </c>
      <c r="R446" s="51">
        <f>ESTADISTICA!R444</f>
        <v>0</v>
      </c>
      <c r="S446" s="51">
        <f>ESTADISTICA!S444</f>
        <v>0</v>
      </c>
      <c r="T446" s="51">
        <f>ESTADISTICA!T444</f>
        <v>0</v>
      </c>
      <c r="U446" s="51">
        <f>ESTADISTICA!U444</f>
        <v>0</v>
      </c>
      <c r="V446" s="51">
        <f>ESTADISTICA!V444</f>
        <v>0</v>
      </c>
      <c r="W446" s="51">
        <f>ESTADISTICA!W444</f>
        <v>0</v>
      </c>
      <c r="X446" s="51">
        <f>ESTADISTICA!X444</f>
        <v>0</v>
      </c>
      <c r="Y446" s="51">
        <f>ESTADISTICA!Y444</f>
        <v>0</v>
      </c>
      <c r="Z446" s="51">
        <f>ESTADISTICA!Z444</f>
        <v>0</v>
      </c>
      <c r="AA446" s="51">
        <f>ESTADISTICA!AA444</f>
        <v>0</v>
      </c>
      <c r="AB446" s="51">
        <f>ESTADISTICA!AB444</f>
        <v>0</v>
      </c>
      <c r="AC446" s="51">
        <f>ESTADISTICA!AC444</f>
        <v>0</v>
      </c>
      <c r="AD446" s="51">
        <f>ESTADISTICA!AD444</f>
        <v>0</v>
      </c>
      <c r="AE446" s="51">
        <f>ESTADISTICA!AE444</f>
        <v>0</v>
      </c>
      <c r="AF446" s="51">
        <f>ESTADISTICA!AF444</f>
        <v>0</v>
      </c>
      <c r="AG446" s="51">
        <f>ESTADISTICA!AG444</f>
        <v>0</v>
      </c>
      <c r="AH446" s="51">
        <f>ESTADISTICA!AH444</f>
        <v>0</v>
      </c>
      <c r="AI446" s="51">
        <f>ESTADISTICA!AI444</f>
        <v>0</v>
      </c>
    </row>
    <row r="447" spans="1:35" hidden="1" x14ac:dyDescent="0.25">
      <c r="A447" s="51">
        <f>ESTADISTICA!A445</f>
        <v>0</v>
      </c>
      <c r="B447" s="51">
        <f>ESTADISTICA!B445</f>
        <v>0</v>
      </c>
      <c r="C447" s="51">
        <f>ESTADISTICA!C445</f>
        <v>0</v>
      </c>
      <c r="D447" s="51">
        <f>ESTADISTICA!D445</f>
        <v>0</v>
      </c>
      <c r="E447" s="51">
        <f>ESTADISTICA!E445</f>
        <v>0</v>
      </c>
      <c r="F447" s="51">
        <f>ESTADISTICA!F445</f>
        <v>0</v>
      </c>
      <c r="G447" s="51">
        <f>ESTADISTICA!G445</f>
        <v>0</v>
      </c>
      <c r="H447" s="51">
        <f>ESTADISTICA!H445</f>
        <v>0</v>
      </c>
      <c r="I447" s="51">
        <f>ESTADISTICA!I445</f>
        <v>0</v>
      </c>
      <c r="J447" s="51">
        <f>ESTADISTICA!J445</f>
        <v>0</v>
      </c>
      <c r="K447" s="51">
        <f>ESTADISTICA!K445</f>
        <v>0</v>
      </c>
      <c r="L447" s="51">
        <f>ESTADISTICA!L445</f>
        <v>0</v>
      </c>
      <c r="M447" s="51">
        <f>ESTADISTICA!M445</f>
        <v>0</v>
      </c>
      <c r="N447" s="51">
        <f>ESTADISTICA!N445</f>
        <v>0</v>
      </c>
      <c r="O447" s="51">
        <f>ESTADISTICA!O445</f>
        <v>0</v>
      </c>
      <c r="P447" s="51">
        <f>ESTADISTICA!P445</f>
        <v>0</v>
      </c>
      <c r="Q447" s="51">
        <f>ESTADISTICA!Q445</f>
        <v>0</v>
      </c>
      <c r="R447" s="51">
        <f>ESTADISTICA!R445</f>
        <v>0</v>
      </c>
      <c r="S447" s="51">
        <f>ESTADISTICA!S445</f>
        <v>0</v>
      </c>
      <c r="T447" s="51">
        <f>ESTADISTICA!T445</f>
        <v>0</v>
      </c>
      <c r="U447" s="51">
        <f>ESTADISTICA!U445</f>
        <v>0</v>
      </c>
      <c r="V447" s="51">
        <f>ESTADISTICA!V445</f>
        <v>0</v>
      </c>
      <c r="W447" s="51">
        <f>ESTADISTICA!W445</f>
        <v>0</v>
      </c>
      <c r="X447" s="51">
        <f>ESTADISTICA!X445</f>
        <v>0</v>
      </c>
      <c r="Y447" s="51">
        <f>ESTADISTICA!Y445</f>
        <v>0</v>
      </c>
      <c r="Z447" s="51">
        <f>ESTADISTICA!Z445</f>
        <v>0</v>
      </c>
      <c r="AA447" s="51">
        <f>ESTADISTICA!AA445</f>
        <v>0</v>
      </c>
      <c r="AB447" s="51">
        <f>ESTADISTICA!AB445</f>
        <v>0</v>
      </c>
      <c r="AC447" s="51">
        <f>ESTADISTICA!AC445</f>
        <v>0</v>
      </c>
      <c r="AD447" s="51">
        <f>ESTADISTICA!AD445</f>
        <v>0</v>
      </c>
      <c r="AE447" s="51">
        <f>ESTADISTICA!AE445</f>
        <v>0</v>
      </c>
      <c r="AF447" s="51">
        <f>ESTADISTICA!AF445</f>
        <v>0</v>
      </c>
      <c r="AG447" s="51">
        <f>ESTADISTICA!AG445</f>
        <v>0</v>
      </c>
      <c r="AH447" s="51">
        <f>ESTADISTICA!AH445</f>
        <v>0</v>
      </c>
      <c r="AI447" s="51">
        <f>ESTADISTICA!AI445</f>
        <v>0</v>
      </c>
    </row>
    <row r="448" spans="1:35" hidden="1" x14ac:dyDescent="0.25">
      <c r="A448" s="51">
        <f>ESTADISTICA!A446</f>
        <v>0</v>
      </c>
      <c r="B448" s="51">
        <f>ESTADISTICA!B446</f>
        <v>0</v>
      </c>
      <c r="C448" s="51">
        <f>ESTADISTICA!C446</f>
        <v>0</v>
      </c>
      <c r="D448" s="51">
        <f>ESTADISTICA!D446</f>
        <v>0</v>
      </c>
      <c r="E448" s="51">
        <f>ESTADISTICA!E446</f>
        <v>0</v>
      </c>
      <c r="F448" s="51">
        <f>ESTADISTICA!F446</f>
        <v>0</v>
      </c>
      <c r="G448" s="51">
        <f>ESTADISTICA!G446</f>
        <v>0</v>
      </c>
      <c r="H448" s="51">
        <f>ESTADISTICA!H446</f>
        <v>0</v>
      </c>
      <c r="I448" s="51">
        <f>ESTADISTICA!I446</f>
        <v>0</v>
      </c>
      <c r="J448" s="51">
        <f>ESTADISTICA!J446</f>
        <v>0</v>
      </c>
      <c r="K448" s="51">
        <f>ESTADISTICA!K446</f>
        <v>0</v>
      </c>
      <c r="L448" s="51">
        <f>ESTADISTICA!L446</f>
        <v>0</v>
      </c>
      <c r="M448" s="51">
        <f>ESTADISTICA!M446</f>
        <v>0</v>
      </c>
      <c r="N448" s="51">
        <f>ESTADISTICA!N446</f>
        <v>0</v>
      </c>
      <c r="O448" s="51">
        <f>ESTADISTICA!O446</f>
        <v>0</v>
      </c>
      <c r="P448" s="51">
        <f>ESTADISTICA!P446</f>
        <v>0</v>
      </c>
      <c r="Q448" s="51">
        <f>ESTADISTICA!Q446</f>
        <v>0</v>
      </c>
      <c r="R448" s="51">
        <f>ESTADISTICA!R446</f>
        <v>0</v>
      </c>
      <c r="S448" s="51">
        <f>ESTADISTICA!S446</f>
        <v>0</v>
      </c>
      <c r="T448" s="51">
        <f>ESTADISTICA!T446</f>
        <v>0</v>
      </c>
      <c r="U448" s="51">
        <f>ESTADISTICA!U446</f>
        <v>0</v>
      </c>
      <c r="V448" s="51">
        <f>ESTADISTICA!V446</f>
        <v>0</v>
      </c>
      <c r="W448" s="51">
        <f>ESTADISTICA!W446</f>
        <v>0</v>
      </c>
      <c r="X448" s="51">
        <f>ESTADISTICA!X446</f>
        <v>0</v>
      </c>
      <c r="Y448" s="51">
        <f>ESTADISTICA!Y446</f>
        <v>0</v>
      </c>
      <c r="Z448" s="51">
        <f>ESTADISTICA!Z446</f>
        <v>0</v>
      </c>
      <c r="AA448" s="51">
        <f>ESTADISTICA!AA446</f>
        <v>0</v>
      </c>
      <c r="AB448" s="51">
        <f>ESTADISTICA!AB446</f>
        <v>0</v>
      </c>
      <c r="AC448" s="51">
        <f>ESTADISTICA!AC446</f>
        <v>0</v>
      </c>
      <c r="AD448" s="51">
        <f>ESTADISTICA!AD446</f>
        <v>0</v>
      </c>
      <c r="AE448" s="51">
        <f>ESTADISTICA!AE446</f>
        <v>0</v>
      </c>
      <c r="AF448" s="51">
        <f>ESTADISTICA!AF446</f>
        <v>0</v>
      </c>
      <c r="AG448" s="51">
        <f>ESTADISTICA!AG446</f>
        <v>0</v>
      </c>
      <c r="AH448" s="51">
        <f>ESTADISTICA!AH446</f>
        <v>0</v>
      </c>
      <c r="AI448" s="51">
        <f>ESTADISTICA!AI446</f>
        <v>0</v>
      </c>
    </row>
    <row r="449" spans="1:35" hidden="1" x14ac:dyDescent="0.25">
      <c r="A449" s="51">
        <f>ESTADISTICA!A447</f>
        <v>0</v>
      </c>
      <c r="B449" s="51">
        <f>ESTADISTICA!B447</f>
        <v>0</v>
      </c>
      <c r="C449" s="51">
        <f>ESTADISTICA!C447</f>
        <v>0</v>
      </c>
      <c r="D449" s="51">
        <f>ESTADISTICA!D447</f>
        <v>0</v>
      </c>
      <c r="E449" s="51">
        <f>ESTADISTICA!E447</f>
        <v>0</v>
      </c>
      <c r="F449" s="51">
        <f>ESTADISTICA!F447</f>
        <v>0</v>
      </c>
      <c r="G449" s="51">
        <f>ESTADISTICA!G447</f>
        <v>0</v>
      </c>
      <c r="H449" s="51">
        <f>ESTADISTICA!H447</f>
        <v>0</v>
      </c>
      <c r="I449" s="51">
        <f>ESTADISTICA!I447</f>
        <v>0</v>
      </c>
      <c r="J449" s="51">
        <f>ESTADISTICA!J447</f>
        <v>0</v>
      </c>
      <c r="K449" s="51">
        <f>ESTADISTICA!K447</f>
        <v>0</v>
      </c>
      <c r="L449" s="51">
        <f>ESTADISTICA!L447</f>
        <v>0</v>
      </c>
      <c r="M449" s="51">
        <f>ESTADISTICA!M447</f>
        <v>0</v>
      </c>
      <c r="N449" s="51">
        <f>ESTADISTICA!N447</f>
        <v>0</v>
      </c>
      <c r="O449" s="51">
        <f>ESTADISTICA!O447</f>
        <v>0</v>
      </c>
      <c r="P449" s="51">
        <f>ESTADISTICA!P447</f>
        <v>0</v>
      </c>
      <c r="Q449" s="51">
        <f>ESTADISTICA!Q447</f>
        <v>0</v>
      </c>
      <c r="R449" s="51">
        <f>ESTADISTICA!R447</f>
        <v>0</v>
      </c>
      <c r="S449" s="51">
        <f>ESTADISTICA!S447</f>
        <v>0</v>
      </c>
      <c r="T449" s="51">
        <f>ESTADISTICA!T447</f>
        <v>0</v>
      </c>
      <c r="U449" s="51">
        <f>ESTADISTICA!U447</f>
        <v>0</v>
      </c>
      <c r="V449" s="51">
        <f>ESTADISTICA!V447</f>
        <v>0</v>
      </c>
      <c r="W449" s="51">
        <f>ESTADISTICA!W447</f>
        <v>0</v>
      </c>
      <c r="X449" s="51">
        <f>ESTADISTICA!X447</f>
        <v>0</v>
      </c>
      <c r="Y449" s="51">
        <f>ESTADISTICA!Y447</f>
        <v>0</v>
      </c>
      <c r="Z449" s="51">
        <f>ESTADISTICA!Z447</f>
        <v>0</v>
      </c>
      <c r="AA449" s="51">
        <f>ESTADISTICA!AA447</f>
        <v>0</v>
      </c>
      <c r="AB449" s="51">
        <f>ESTADISTICA!AB447</f>
        <v>0</v>
      </c>
      <c r="AC449" s="51">
        <f>ESTADISTICA!AC447</f>
        <v>0</v>
      </c>
      <c r="AD449" s="51">
        <f>ESTADISTICA!AD447</f>
        <v>0</v>
      </c>
      <c r="AE449" s="51">
        <f>ESTADISTICA!AE447</f>
        <v>0</v>
      </c>
      <c r="AF449" s="51">
        <f>ESTADISTICA!AF447</f>
        <v>0</v>
      </c>
      <c r="AG449" s="51">
        <f>ESTADISTICA!AG447</f>
        <v>0</v>
      </c>
      <c r="AH449" s="51">
        <f>ESTADISTICA!AH447</f>
        <v>0</v>
      </c>
      <c r="AI449" s="51">
        <f>ESTADISTICA!AI447</f>
        <v>0</v>
      </c>
    </row>
    <row r="450" spans="1:35" hidden="1" x14ac:dyDescent="0.25">
      <c r="A450" s="51">
        <f>ESTADISTICA!A448</f>
        <v>0</v>
      </c>
      <c r="B450" s="51">
        <f>ESTADISTICA!B448</f>
        <v>0</v>
      </c>
      <c r="C450" s="51">
        <f>ESTADISTICA!C448</f>
        <v>0</v>
      </c>
      <c r="D450" s="51">
        <f>ESTADISTICA!D448</f>
        <v>0</v>
      </c>
      <c r="E450" s="51">
        <f>ESTADISTICA!E448</f>
        <v>0</v>
      </c>
      <c r="F450" s="51">
        <f>ESTADISTICA!F448</f>
        <v>0</v>
      </c>
      <c r="G450" s="51">
        <f>ESTADISTICA!G448</f>
        <v>0</v>
      </c>
      <c r="H450" s="51">
        <f>ESTADISTICA!H448</f>
        <v>0</v>
      </c>
      <c r="I450" s="51">
        <f>ESTADISTICA!I448</f>
        <v>0</v>
      </c>
      <c r="J450" s="51">
        <f>ESTADISTICA!J448</f>
        <v>0</v>
      </c>
      <c r="K450" s="51">
        <f>ESTADISTICA!K448</f>
        <v>0</v>
      </c>
      <c r="L450" s="51">
        <f>ESTADISTICA!L448</f>
        <v>0</v>
      </c>
      <c r="M450" s="51">
        <f>ESTADISTICA!M448</f>
        <v>0</v>
      </c>
      <c r="N450" s="51">
        <f>ESTADISTICA!N448</f>
        <v>0</v>
      </c>
      <c r="O450" s="51">
        <f>ESTADISTICA!O448</f>
        <v>0</v>
      </c>
      <c r="P450" s="51">
        <f>ESTADISTICA!P448</f>
        <v>0</v>
      </c>
      <c r="Q450" s="51">
        <f>ESTADISTICA!Q448</f>
        <v>0</v>
      </c>
      <c r="R450" s="51">
        <f>ESTADISTICA!R448</f>
        <v>0</v>
      </c>
      <c r="S450" s="51">
        <f>ESTADISTICA!S448</f>
        <v>0</v>
      </c>
      <c r="T450" s="51">
        <f>ESTADISTICA!T448</f>
        <v>0</v>
      </c>
      <c r="U450" s="51">
        <f>ESTADISTICA!U448</f>
        <v>0</v>
      </c>
      <c r="V450" s="51">
        <f>ESTADISTICA!V448</f>
        <v>0</v>
      </c>
      <c r="W450" s="51">
        <f>ESTADISTICA!W448</f>
        <v>0</v>
      </c>
      <c r="X450" s="51">
        <f>ESTADISTICA!X448</f>
        <v>0</v>
      </c>
      <c r="Y450" s="51">
        <f>ESTADISTICA!Y448</f>
        <v>0</v>
      </c>
      <c r="Z450" s="51">
        <f>ESTADISTICA!Z448</f>
        <v>0</v>
      </c>
      <c r="AA450" s="51">
        <f>ESTADISTICA!AA448</f>
        <v>0</v>
      </c>
      <c r="AB450" s="51">
        <f>ESTADISTICA!AB448</f>
        <v>0</v>
      </c>
      <c r="AC450" s="51">
        <f>ESTADISTICA!AC448</f>
        <v>0</v>
      </c>
      <c r="AD450" s="51">
        <f>ESTADISTICA!AD448</f>
        <v>0</v>
      </c>
      <c r="AE450" s="51">
        <f>ESTADISTICA!AE448</f>
        <v>0</v>
      </c>
      <c r="AF450" s="51">
        <f>ESTADISTICA!AF448</f>
        <v>0</v>
      </c>
      <c r="AG450" s="51">
        <f>ESTADISTICA!AG448</f>
        <v>0</v>
      </c>
      <c r="AH450" s="51">
        <f>ESTADISTICA!AH448</f>
        <v>0</v>
      </c>
      <c r="AI450" s="51">
        <f>ESTADISTICA!AI448</f>
        <v>0</v>
      </c>
    </row>
    <row r="451" spans="1:35" hidden="1" x14ac:dyDescent="0.25">
      <c r="A451" s="51">
        <f>ESTADISTICA!A449</f>
        <v>0</v>
      </c>
      <c r="B451" s="51">
        <f>ESTADISTICA!B449</f>
        <v>0</v>
      </c>
      <c r="C451" s="51">
        <f>ESTADISTICA!C449</f>
        <v>0</v>
      </c>
      <c r="D451" s="51">
        <f>ESTADISTICA!D449</f>
        <v>0</v>
      </c>
      <c r="E451" s="51">
        <f>ESTADISTICA!E449</f>
        <v>0</v>
      </c>
      <c r="F451" s="51">
        <f>ESTADISTICA!F449</f>
        <v>0</v>
      </c>
      <c r="G451" s="51">
        <f>ESTADISTICA!G449</f>
        <v>0</v>
      </c>
      <c r="H451" s="51">
        <f>ESTADISTICA!H449</f>
        <v>0</v>
      </c>
      <c r="I451" s="51">
        <f>ESTADISTICA!I449</f>
        <v>0</v>
      </c>
      <c r="J451" s="51">
        <f>ESTADISTICA!J449</f>
        <v>0</v>
      </c>
      <c r="K451" s="51">
        <f>ESTADISTICA!K449</f>
        <v>0</v>
      </c>
      <c r="L451" s="51">
        <f>ESTADISTICA!L449</f>
        <v>0</v>
      </c>
      <c r="M451" s="51">
        <f>ESTADISTICA!M449</f>
        <v>0</v>
      </c>
      <c r="N451" s="51">
        <f>ESTADISTICA!N449</f>
        <v>0</v>
      </c>
      <c r="O451" s="51">
        <f>ESTADISTICA!O449</f>
        <v>0</v>
      </c>
      <c r="P451" s="51">
        <f>ESTADISTICA!P449</f>
        <v>0</v>
      </c>
      <c r="Q451" s="51">
        <f>ESTADISTICA!Q449</f>
        <v>0</v>
      </c>
      <c r="R451" s="51">
        <f>ESTADISTICA!R449</f>
        <v>0</v>
      </c>
      <c r="S451" s="51">
        <f>ESTADISTICA!S449</f>
        <v>0</v>
      </c>
      <c r="T451" s="51">
        <f>ESTADISTICA!T449</f>
        <v>0</v>
      </c>
      <c r="U451" s="51">
        <f>ESTADISTICA!U449</f>
        <v>0</v>
      </c>
      <c r="V451" s="51">
        <f>ESTADISTICA!V449</f>
        <v>0</v>
      </c>
      <c r="W451" s="51">
        <f>ESTADISTICA!W449</f>
        <v>0</v>
      </c>
      <c r="X451" s="51">
        <f>ESTADISTICA!X449</f>
        <v>0</v>
      </c>
      <c r="Y451" s="51">
        <f>ESTADISTICA!Y449</f>
        <v>0</v>
      </c>
      <c r="Z451" s="51">
        <f>ESTADISTICA!Z449</f>
        <v>0</v>
      </c>
      <c r="AA451" s="51">
        <f>ESTADISTICA!AA449</f>
        <v>0</v>
      </c>
      <c r="AB451" s="51">
        <f>ESTADISTICA!AB449</f>
        <v>0</v>
      </c>
      <c r="AC451" s="51">
        <f>ESTADISTICA!AC449</f>
        <v>0</v>
      </c>
      <c r="AD451" s="51">
        <f>ESTADISTICA!AD449</f>
        <v>0</v>
      </c>
      <c r="AE451" s="51">
        <f>ESTADISTICA!AE449</f>
        <v>0</v>
      </c>
      <c r="AF451" s="51">
        <f>ESTADISTICA!AF449</f>
        <v>0</v>
      </c>
      <c r="AG451" s="51">
        <f>ESTADISTICA!AG449</f>
        <v>0</v>
      </c>
      <c r="AH451" s="51">
        <f>ESTADISTICA!AH449</f>
        <v>0</v>
      </c>
      <c r="AI451" s="51">
        <f>ESTADISTICA!AI449</f>
        <v>0</v>
      </c>
    </row>
    <row r="452" spans="1:35" hidden="1" x14ac:dyDescent="0.25">
      <c r="A452" s="51">
        <f>ESTADISTICA!A450</f>
        <v>0</v>
      </c>
      <c r="B452" s="51">
        <f>ESTADISTICA!B450</f>
        <v>0</v>
      </c>
      <c r="C452" s="51">
        <f>ESTADISTICA!C450</f>
        <v>0</v>
      </c>
      <c r="D452" s="51">
        <f>ESTADISTICA!D450</f>
        <v>0</v>
      </c>
      <c r="E452" s="51">
        <f>ESTADISTICA!E450</f>
        <v>0</v>
      </c>
      <c r="F452" s="51">
        <f>ESTADISTICA!F450</f>
        <v>0</v>
      </c>
      <c r="G452" s="51">
        <f>ESTADISTICA!G450</f>
        <v>0</v>
      </c>
      <c r="H452" s="51">
        <f>ESTADISTICA!H450</f>
        <v>0</v>
      </c>
      <c r="I452" s="51">
        <f>ESTADISTICA!I450</f>
        <v>0</v>
      </c>
      <c r="J452" s="51">
        <f>ESTADISTICA!J450</f>
        <v>0</v>
      </c>
      <c r="K452" s="51">
        <f>ESTADISTICA!K450</f>
        <v>0</v>
      </c>
      <c r="L452" s="51">
        <f>ESTADISTICA!L450</f>
        <v>0</v>
      </c>
      <c r="M452" s="51">
        <f>ESTADISTICA!M450</f>
        <v>0</v>
      </c>
      <c r="N452" s="51">
        <f>ESTADISTICA!N450</f>
        <v>0</v>
      </c>
      <c r="O452" s="51">
        <f>ESTADISTICA!O450</f>
        <v>0</v>
      </c>
      <c r="P452" s="51">
        <f>ESTADISTICA!P450</f>
        <v>0</v>
      </c>
      <c r="Q452" s="51">
        <f>ESTADISTICA!Q450</f>
        <v>0</v>
      </c>
      <c r="R452" s="51">
        <f>ESTADISTICA!R450</f>
        <v>0</v>
      </c>
      <c r="S452" s="51">
        <f>ESTADISTICA!S450</f>
        <v>0</v>
      </c>
      <c r="T452" s="51">
        <f>ESTADISTICA!T450</f>
        <v>0</v>
      </c>
      <c r="U452" s="51">
        <f>ESTADISTICA!U450</f>
        <v>0</v>
      </c>
      <c r="V452" s="51">
        <f>ESTADISTICA!V450</f>
        <v>0</v>
      </c>
      <c r="W452" s="51">
        <f>ESTADISTICA!W450</f>
        <v>0</v>
      </c>
      <c r="X452" s="51">
        <f>ESTADISTICA!X450</f>
        <v>0</v>
      </c>
      <c r="Y452" s="51">
        <f>ESTADISTICA!Y450</f>
        <v>0</v>
      </c>
      <c r="Z452" s="51">
        <f>ESTADISTICA!Z450</f>
        <v>0</v>
      </c>
      <c r="AA452" s="51">
        <f>ESTADISTICA!AA450</f>
        <v>0</v>
      </c>
      <c r="AB452" s="51">
        <f>ESTADISTICA!AB450</f>
        <v>0</v>
      </c>
      <c r="AC452" s="51">
        <f>ESTADISTICA!AC450</f>
        <v>0</v>
      </c>
      <c r="AD452" s="51">
        <f>ESTADISTICA!AD450</f>
        <v>0</v>
      </c>
      <c r="AE452" s="51">
        <f>ESTADISTICA!AE450</f>
        <v>0</v>
      </c>
      <c r="AF452" s="51">
        <f>ESTADISTICA!AF450</f>
        <v>0</v>
      </c>
      <c r="AG452" s="51">
        <f>ESTADISTICA!AG450</f>
        <v>0</v>
      </c>
      <c r="AH452" s="51">
        <f>ESTADISTICA!AH450</f>
        <v>0</v>
      </c>
      <c r="AI452" s="51">
        <f>ESTADISTICA!AI450</f>
        <v>0</v>
      </c>
    </row>
    <row r="453" spans="1:35" hidden="1" x14ac:dyDescent="0.25">
      <c r="A453" s="51">
        <f>ESTADISTICA!A451</f>
        <v>0</v>
      </c>
      <c r="B453" s="51">
        <f>ESTADISTICA!B451</f>
        <v>0</v>
      </c>
      <c r="C453" s="51">
        <f>ESTADISTICA!C451</f>
        <v>0</v>
      </c>
      <c r="D453" s="51">
        <f>ESTADISTICA!D451</f>
        <v>0</v>
      </c>
      <c r="E453" s="51">
        <f>ESTADISTICA!E451</f>
        <v>0</v>
      </c>
      <c r="F453" s="51">
        <f>ESTADISTICA!F451</f>
        <v>0</v>
      </c>
      <c r="G453" s="51">
        <f>ESTADISTICA!G451</f>
        <v>0</v>
      </c>
      <c r="H453" s="51">
        <f>ESTADISTICA!H451</f>
        <v>0</v>
      </c>
      <c r="I453" s="51">
        <f>ESTADISTICA!I451</f>
        <v>0</v>
      </c>
      <c r="J453" s="51">
        <f>ESTADISTICA!J451</f>
        <v>0</v>
      </c>
      <c r="K453" s="51">
        <f>ESTADISTICA!K451</f>
        <v>0</v>
      </c>
      <c r="L453" s="51">
        <f>ESTADISTICA!L451</f>
        <v>0</v>
      </c>
      <c r="M453" s="51">
        <f>ESTADISTICA!M451</f>
        <v>0</v>
      </c>
      <c r="N453" s="51">
        <f>ESTADISTICA!N451</f>
        <v>0</v>
      </c>
      <c r="O453" s="51">
        <f>ESTADISTICA!O451</f>
        <v>0</v>
      </c>
      <c r="P453" s="51">
        <f>ESTADISTICA!P451</f>
        <v>0</v>
      </c>
      <c r="Q453" s="51">
        <f>ESTADISTICA!Q451</f>
        <v>0</v>
      </c>
      <c r="R453" s="51">
        <f>ESTADISTICA!R451</f>
        <v>0</v>
      </c>
      <c r="S453" s="51">
        <f>ESTADISTICA!S451</f>
        <v>0</v>
      </c>
      <c r="T453" s="51">
        <f>ESTADISTICA!T451</f>
        <v>0</v>
      </c>
      <c r="U453" s="51">
        <f>ESTADISTICA!U451</f>
        <v>0</v>
      </c>
      <c r="V453" s="51">
        <f>ESTADISTICA!V451</f>
        <v>0</v>
      </c>
      <c r="W453" s="51">
        <f>ESTADISTICA!W451</f>
        <v>0</v>
      </c>
      <c r="X453" s="51">
        <f>ESTADISTICA!X451</f>
        <v>0</v>
      </c>
      <c r="Y453" s="51">
        <f>ESTADISTICA!Y451</f>
        <v>0</v>
      </c>
      <c r="Z453" s="51">
        <f>ESTADISTICA!Z451</f>
        <v>0</v>
      </c>
      <c r="AA453" s="51">
        <f>ESTADISTICA!AA451</f>
        <v>0</v>
      </c>
      <c r="AB453" s="51">
        <f>ESTADISTICA!AB451</f>
        <v>0</v>
      </c>
      <c r="AC453" s="51">
        <f>ESTADISTICA!AC451</f>
        <v>0</v>
      </c>
      <c r="AD453" s="51">
        <f>ESTADISTICA!AD451</f>
        <v>0</v>
      </c>
      <c r="AE453" s="51">
        <f>ESTADISTICA!AE451</f>
        <v>0</v>
      </c>
      <c r="AF453" s="51">
        <f>ESTADISTICA!AF451</f>
        <v>0</v>
      </c>
      <c r="AG453" s="51">
        <f>ESTADISTICA!AG451</f>
        <v>0</v>
      </c>
      <c r="AH453" s="51">
        <f>ESTADISTICA!AH451</f>
        <v>0</v>
      </c>
      <c r="AI453" s="51">
        <f>ESTADISTICA!AI451</f>
        <v>0</v>
      </c>
    </row>
    <row r="454" spans="1:35" hidden="1" x14ac:dyDescent="0.25">
      <c r="A454" s="51">
        <f>ESTADISTICA!A452</f>
        <v>0</v>
      </c>
      <c r="B454" s="51">
        <f>ESTADISTICA!B452</f>
        <v>0</v>
      </c>
      <c r="C454" s="51">
        <f>ESTADISTICA!C452</f>
        <v>0</v>
      </c>
      <c r="D454" s="51">
        <f>ESTADISTICA!D452</f>
        <v>0</v>
      </c>
      <c r="E454" s="51">
        <f>ESTADISTICA!E452</f>
        <v>0</v>
      </c>
      <c r="F454" s="51">
        <f>ESTADISTICA!F452</f>
        <v>0</v>
      </c>
      <c r="G454" s="51">
        <f>ESTADISTICA!G452</f>
        <v>0</v>
      </c>
      <c r="H454" s="51">
        <f>ESTADISTICA!H452</f>
        <v>0</v>
      </c>
      <c r="I454" s="51">
        <f>ESTADISTICA!I452</f>
        <v>0</v>
      </c>
      <c r="J454" s="51">
        <f>ESTADISTICA!J452</f>
        <v>0</v>
      </c>
      <c r="K454" s="51">
        <f>ESTADISTICA!K452</f>
        <v>0</v>
      </c>
      <c r="L454" s="51">
        <f>ESTADISTICA!L452</f>
        <v>0</v>
      </c>
      <c r="M454" s="51">
        <f>ESTADISTICA!M452</f>
        <v>0</v>
      </c>
      <c r="N454" s="51">
        <f>ESTADISTICA!N452</f>
        <v>0</v>
      </c>
      <c r="O454" s="51">
        <f>ESTADISTICA!O452</f>
        <v>0</v>
      </c>
      <c r="P454" s="51">
        <f>ESTADISTICA!P452</f>
        <v>0</v>
      </c>
      <c r="Q454" s="51">
        <f>ESTADISTICA!Q452</f>
        <v>0</v>
      </c>
      <c r="R454" s="51">
        <f>ESTADISTICA!R452</f>
        <v>0</v>
      </c>
      <c r="S454" s="51">
        <f>ESTADISTICA!S452</f>
        <v>0</v>
      </c>
      <c r="T454" s="51">
        <f>ESTADISTICA!T452</f>
        <v>0</v>
      </c>
      <c r="U454" s="51">
        <f>ESTADISTICA!U452</f>
        <v>0</v>
      </c>
      <c r="V454" s="51">
        <f>ESTADISTICA!V452</f>
        <v>0</v>
      </c>
      <c r="W454" s="51">
        <f>ESTADISTICA!W452</f>
        <v>0</v>
      </c>
      <c r="X454" s="51">
        <f>ESTADISTICA!X452</f>
        <v>0</v>
      </c>
      <c r="Y454" s="51">
        <f>ESTADISTICA!Y452</f>
        <v>0</v>
      </c>
      <c r="Z454" s="51">
        <f>ESTADISTICA!Z452</f>
        <v>0</v>
      </c>
      <c r="AA454" s="51">
        <f>ESTADISTICA!AA452</f>
        <v>0</v>
      </c>
      <c r="AB454" s="51">
        <f>ESTADISTICA!AB452</f>
        <v>0</v>
      </c>
      <c r="AC454" s="51">
        <f>ESTADISTICA!AC452</f>
        <v>0</v>
      </c>
      <c r="AD454" s="51">
        <f>ESTADISTICA!AD452</f>
        <v>0</v>
      </c>
      <c r="AE454" s="51">
        <f>ESTADISTICA!AE452</f>
        <v>0</v>
      </c>
      <c r="AF454" s="51">
        <f>ESTADISTICA!AF452</f>
        <v>0</v>
      </c>
      <c r="AG454" s="51">
        <f>ESTADISTICA!AG452</f>
        <v>0</v>
      </c>
      <c r="AH454" s="51">
        <f>ESTADISTICA!AH452</f>
        <v>0</v>
      </c>
      <c r="AI454" s="51">
        <f>ESTADISTICA!AI452</f>
        <v>0</v>
      </c>
    </row>
  </sheetData>
  <autoFilter ref="A3:AI454" xr:uid="{2F39BBCA-B383-47C1-9E39-FB69E1A84820}">
    <filterColumn colId="4">
      <filters>
        <filter val="PTO A FO"/>
      </filters>
    </filterColumn>
    <filterColumn colId="33">
      <filters>
        <filter val="APAGADO"/>
      </filters>
    </filterColumn>
  </autoFilter>
  <conditionalFormatting sqref="AE3:AE1048576">
    <cfRule type="containsText" dxfId="139" priority="2" operator="containsText" text="APAGADO">
      <formula>NOT(ISERROR(SEARCH("APAGADO",AE3)))</formula>
    </cfRule>
  </conditionalFormatting>
  <conditionalFormatting sqref="F4:AI454">
    <cfRule type="containsText" dxfId="13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I400"/>
  <sheetViews>
    <sheetView workbookViewId="0">
      <pane xSplit="5" ySplit="3" topLeftCell="Y4" activePane="bottomRight" state="frozenSplit"/>
      <selection pane="topRight" activeCell="F1" sqref="F1"/>
      <selection pane="bottomLeft" activeCell="A3" sqref="A3"/>
      <selection pane="bottomRight" activeCell="A280" sqref="A280:XFD280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</cols>
  <sheetData>
    <row r="1" spans="1:35" ht="21" x14ac:dyDescent="0.35">
      <c r="C1" s="50" t="s">
        <v>1191</v>
      </c>
      <c r="D1" s="50">
        <f>COUNTIFS(E4:E400,"=radio")</f>
        <v>94</v>
      </c>
    </row>
    <row r="2" spans="1:35" ht="21" x14ac:dyDescent="0.35">
      <c r="E2" s="26" t="s">
        <v>821</v>
      </c>
      <c r="F2" s="26">
        <f>COUNTIFS(F4:F367, "=APAGADO",E4:E367,"=radio")</f>
        <v>4</v>
      </c>
      <c r="G2" s="26">
        <f>COUNTIFS(G4:G367, "=APAGADO",E4:E367,"=radio")</f>
        <v>4</v>
      </c>
      <c r="H2" s="26">
        <f>COUNTIFS(H4:H367, "=APAGADO",E4:E367,"=radio")</f>
        <v>3</v>
      </c>
      <c r="I2" s="26">
        <f>COUNTIFS(I4:I367, "=APAGADO",E4:E367,"=radio")</f>
        <v>3</v>
      </c>
      <c r="J2" s="26">
        <f>COUNTIFS(J4:J367, "=APAGADO",E4:E367,"=radio")</f>
        <v>3</v>
      </c>
      <c r="K2" s="26">
        <f>COUNTIFS(K4:K367, "=APAGADO",E4:E367,"=radio")</f>
        <v>4</v>
      </c>
      <c r="L2" s="26">
        <f>COUNTIFS(L4:L367, "=APAGADO",E4:E367,"=radio")</f>
        <v>4</v>
      </c>
      <c r="M2" s="26">
        <f>COUNTIFS(M4:M367, "=APAGADO",E4:E367,"=radio")</f>
        <v>0</v>
      </c>
      <c r="N2" s="26">
        <f>COUNTIFS(N4:N367, "=APAGADO",E4:E367,"=radio")</f>
        <v>0</v>
      </c>
      <c r="O2" s="26">
        <f>COUNTIFS(O4:O367, "=APAGADO",E4:E367,"=radio")</f>
        <v>0</v>
      </c>
      <c r="P2" s="26">
        <f>COUNTIFS(P4:P367, "=APAGADO",E4:E367,"=radio")</f>
        <v>0</v>
      </c>
      <c r="Q2" s="26">
        <f>COUNTIFS(Q4:Q367, "=APAGADO",E4:E367,"=radio")</f>
        <v>0</v>
      </c>
      <c r="R2" s="26">
        <f>COUNTIFS(R4:R367, "=APAGADO",E4:E367,"=radio")</f>
        <v>0</v>
      </c>
      <c r="S2" s="26">
        <f>COUNTIFS(S4:S367, "=APAGADO",E4:E367,"=radio")</f>
        <v>0</v>
      </c>
      <c r="T2" s="26">
        <f>COUNTIFS(T4:T367, "=APAGADO",E4:E367,"=radio")</f>
        <v>0</v>
      </c>
      <c r="U2" s="26">
        <f>COUNTIFS(U4:U367, "=APAGADO",E4:E367,"=radio")</f>
        <v>0</v>
      </c>
      <c r="V2" s="26">
        <f>COUNTIFS(V4:V367, "=APAGADO",E4:E367,"=radio")</f>
        <v>0</v>
      </c>
      <c r="W2" s="26">
        <f>COUNTIFS(W4:W367, "=APAGADO",E4:E367,"=radio")</f>
        <v>0</v>
      </c>
      <c r="X2" s="26">
        <f>COUNTIFS(X4:X367, "=APAGADO",E4:E367,"=radio")</f>
        <v>0</v>
      </c>
      <c r="Y2" s="26">
        <f>COUNTIFS(Y4:Y367, "=APAGADO",E4:E367,"=radio")</f>
        <v>0</v>
      </c>
      <c r="Z2" s="26">
        <f>COUNTIFS(Z4:Z367, "=APAGADO",E4:E367,"=radio")</f>
        <v>0</v>
      </c>
      <c r="AA2" s="26">
        <f>COUNTIFS(AA4:AA367, "=APAGADO",E4:E367,"=radio")</f>
        <v>0</v>
      </c>
      <c r="AB2" s="26">
        <f>COUNTIFS(AB4:AB367, "=APAGADO",E4:E367,"=radio")</f>
        <v>0</v>
      </c>
      <c r="AC2" s="26">
        <f>COUNTIFS(AC4:AC367, "=APAGADO",E4:E367,"=radio")</f>
        <v>0</v>
      </c>
      <c r="AD2" s="26">
        <f>COUNTIFS(AD4:AD367, "=APAGADO",E4:E367,"=radio")</f>
        <v>0</v>
      </c>
      <c r="AE2" s="26">
        <f>COUNTIFS(AE4:AE367, "=APAGADO",E4:E367,"=radio")</f>
        <v>0</v>
      </c>
      <c r="AF2" s="26">
        <f>COUNTIFS(AF4:AF367, "=APAGADO",E4:E367,"=radio")</f>
        <v>0</v>
      </c>
      <c r="AG2" s="26">
        <f>COUNTIFS(AG4:AG367, "=APAGADO",E4:E367,"=radio")</f>
        <v>0</v>
      </c>
      <c r="AH2" s="26">
        <f>COUNTIFS(AH4:AH367, "=APAGADO",E4:E367,"=radio")</f>
        <v>0</v>
      </c>
      <c r="AI2" s="26">
        <f>COUNTIFS(AI4:AI367, "=APAGADO",E4:E367,"=radio")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6">
        <f>ESTADISTICA!F1</f>
        <v>44774</v>
      </c>
      <c r="G3" s="56">
        <f>ESTADISTICA!G1</f>
        <v>44775</v>
      </c>
      <c r="H3" s="56">
        <f>ESTADISTICA!H1</f>
        <v>44776</v>
      </c>
      <c r="I3" s="56">
        <f>ESTADISTICA!I1</f>
        <v>44777</v>
      </c>
      <c r="J3" s="56">
        <f>ESTADISTICA!J1</f>
        <v>44778</v>
      </c>
      <c r="K3" s="56">
        <f>ESTADISTICA!K1</f>
        <v>44779</v>
      </c>
      <c r="L3" s="56">
        <f>ESTADISTICA!L1</f>
        <v>44780</v>
      </c>
      <c r="M3" s="56">
        <f>ESTADISTICA!M1</f>
        <v>44781</v>
      </c>
      <c r="N3" s="56">
        <f>ESTADISTICA!N1</f>
        <v>44782</v>
      </c>
      <c r="O3" s="56">
        <f>ESTADISTICA!O1</f>
        <v>44783</v>
      </c>
      <c r="P3" s="56">
        <f>ESTADISTICA!P1</f>
        <v>44784</v>
      </c>
      <c r="Q3" s="56">
        <f>ESTADISTICA!Q1</f>
        <v>44785</v>
      </c>
      <c r="R3" s="56">
        <f>ESTADISTICA!R1</f>
        <v>44786</v>
      </c>
      <c r="S3" s="56">
        <f>ESTADISTICA!S1</f>
        <v>44787</v>
      </c>
      <c r="T3" s="56">
        <f>ESTADISTICA!T1</f>
        <v>44788</v>
      </c>
      <c r="U3" s="56">
        <f>ESTADISTICA!U1</f>
        <v>44789</v>
      </c>
      <c r="V3" s="56">
        <f>ESTADISTICA!V1</f>
        <v>44790</v>
      </c>
      <c r="W3" s="56">
        <f>ESTADISTICA!W1</f>
        <v>44791</v>
      </c>
      <c r="X3" s="56">
        <f>ESTADISTICA!X1</f>
        <v>44792</v>
      </c>
      <c r="Y3" s="56">
        <f>ESTADISTICA!Y1</f>
        <v>44793</v>
      </c>
      <c r="Z3" s="56">
        <f>ESTADISTICA!Z1</f>
        <v>44794</v>
      </c>
      <c r="AA3" s="56">
        <f>ESTADISTICA!AA1</f>
        <v>44795</v>
      </c>
      <c r="AB3" s="56">
        <f>ESTADISTICA!AB1</f>
        <v>44796</v>
      </c>
      <c r="AC3" s="56">
        <f>ESTADISTICA!AC1</f>
        <v>44797</v>
      </c>
      <c r="AD3" s="56">
        <f>ESTADISTICA!AD1</f>
        <v>44798</v>
      </c>
      <c r="AE3" s="56">
        <f>ESTADISTICA!AE1</f>
        <v>44799</v>
      </c>
      <c r="AF3" s="56">
        <f>ESTADISTICA!AF1</f>
        <v>44800</v>
      </c>
      <c r="AG3" s="56">
        <f>ESTADISTICA!AG1</f>
        <v>44801</v>
      </c>
      <c r="AH3" s="56">
        <f>ESTADISTICA!AH1</f>
        <v>44802</v>
      </c>
      <c r="AI3" s="56">
        <f>ESTADISTICA!AI1</f>
        <v>44803</v>
      </c>
    </row>
    <row r="4" spans="1:35" hidden="1" x14ac:dyDescent="0.25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 t="str">
        <f>ESTADISTICA!L2</f>
        <v>APAGADO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 t="str">
        <f>ESTADISTICA!K3</f>
        <v>APAGADO</v>
      </c>
      <c r="L5" t="str">
        <f>ESTADISTICA!L3</f>
        <v>APAGADO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 t="str">
        <f>ESTADISTICA!K4</f>
        <v>APAGADO</v>
      </c>
      <c r="L6" t="str">
        <f>ESTADISTICA!L4</f>
        <v>APAGADO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 t="str">
        <f>ESTADISTICA!K5</f>
        <v>APAGADO</v>
      </c>
      <c r="L7" t="str">
        <f>ESTADISTICA!L5</f>
        <v>APAGADO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 t="str">
        <f>ESTADISTICA!K6</f>
        <v>APAGADO</v>
      </c>
      <c r="L8" t="str">
        <f>ESTADISTICA!L6</f>
        <v>APAGADO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 t="str">
        <f>ESTADISTICA!G12</f>
        <v>APAGADO</v>
      </c>
      <c r="H14">
        <f>ESTADISTICA!H12</f>
        <v>0</v>
      </c>
      <c r="I14">
        <f>ESTADISTICA!I12</f>
        <v>0</v>
      </c>
      <c r="J14">
        <f>ESTADISTICA!J12</f>
        <v>0</v>
      </c>
      <c r="K14" t="str">
        <f>ESTADISTICA!K12</f>
        <v>APAGADO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 t="str">
        <f>ESTADISTICA!G13</f>
        <v>APAGADO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CENTRO</v>
      </c>
      <c r="B16" t="str">
        <f>ESTADISTICA!B14</f>
        <v>CEN 05</v>
      </c>
      <c r="C16" t="str">
        <f>ESTADISTICA!C14</f>
        <v>Bocuzzi e/EspaÃ±a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 t="str">
        <f>ESTADISTICA!K23</f>
        <v>APAGADO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 t="str">
        <f>ESTADISTICA!I28</f>
        <v>APAGADO</v>
      </c>
      <c r="J30">
        <f>ESTADISTICA!J28</f>
        <v>0</v>
      </c>
      <c r="K30" t="str">
        <f>ESTADISTICA!K28</f>
        <v>APAGADO</v>
      </c>
      <c r="L30" t="str">
        <f>ESTADISTICA!L28</f>
        <v>APAGADO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 t="str">
        <f>ESTADISTICA!K31</f>
        <v>APAGADO</v>
      </c>
      <c r="L33" t="str">
        <f>ESTADISTICA!L31</f>
        <v>APAGADO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76</v>
      </c>
      <c r="C35" t="str">
        <f>ESTADISTICA!C33</f>
        <v>ESPAÃ‘A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CEN07</v>
      </c>
      <c r="C41" t="str">
        <f>ESTADISTICA!C39</f>
        <v>San Martin y GÃ¼emes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CEN08</v>
      </c>
      <c r="C42" t="str">
        <f>ESTADISTICA!C40</f>
        <v>San Martin y Pte.PerÃ³n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CEN10</v>
      </c>
      <c r="C44" t="str">
        <f>ESTADISTICA!C42</f>
        <v>Monteagudo y Pte. PerÃ³n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CEN14</v>
      </c>
      <c r="C46" t="str">
        <f>ESTADISTICA!C44</f>
        <v>Pte.PerÃ³n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CEN24</v>
      </c>
      <c r="C56" t="str">
        <f>ESTADISTICA!C54</f>
        <v>Sallares y EspaÃ±a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CEN26</v>
      </c>
      <c r="C58" t="str">
        <f>ESTADISTICA!C56</f>
        <v>Mitre y EspaÃ±a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CEN27</v>
      </c>
      <c r="C59" t="str">
        <f>ESTADISTICA!C57</f>
        <v>San Juan y EspaÃ±a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CEN32</v>
      </c>
      <c r="C64" t="str">
        <f>ESTADISTICA!C62</f>
        <v>Aristobulo del Valle y EspaÃ±a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 t="str">
        <f>ESTADISTICA!I64</f>
        <v>APAGADO</v>
      </c>
      <c r="J66" t="str">
        <f>ESTADISTICA!J64</f>
        <v>APAGADO</v>
      </c>
      <c r="K66" t="str">
        <f>ESTADISTICA!K64</f>
        <v>APAGADO</v>
      </c>
      <c r="L66" t="str">
        <f>ESTADISTICA!L64</f>
        <v>APAGADO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ESPAÃ‘A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 t="str">
        <f>ESTADISTICA!H84</f>
        <v>APAGADO</v>
      </c>
      <c r="I86" t="str">
        <f>ESTADISTICA!I84</f>
        <v>APAGADO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25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 t="str">
        <f>ESTADISTICA!F125</f>
        <v>APAGADO</v>
      </c>
      <c r="G127" t="str">
        <f>ESTADISTICA!G125</f>
        <v>APAGADO</v>
      </c>
      <c r="H127" t="str">
        <f>ESTADISTICA!H125</f>
        <v>APAGADO</v>
      </c>
      <c r="I127" t="str">
        <f>ESTADISTICA!I125</f>
        <v>APAGADO</v>
      </c>
      <c r="J127" t="str">
        <f>ESTADISTICA!J125</f>
        <v>APAGADO</v>
      </c>
      <c r="K127" t="str">
        <f>ESTADISTICA!K125</f>
        <v>APAGADO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 t="str">
        <f>ESTADISTICA!L131</f>
        <v>APAGADO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CHACABUCO</v>
      </c>
      <c r="B143" t="str">
        <f>ESTADISTICA!B141</f>
        <v>LPI 01</v>
      </c>
      <c r="C143" t="str">
        <f>ESTADISTICA!C141</f>
        <v>MaipÃº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LOPEZ ROMERO</v>
      </c>
      <c r="B151" t="str">
        <f>ESTADISTICA!B149</f>
        <v>LRO 09</v>
      </c>
      <c r="C151" t="str">
        <f>ESTADISTICA!C149</f>
        <v>Las AmÃ©ricas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 t="str">
        <f>ESTADISTICA!I154</f>
        <v>APAGADO</v>
      </c>
      <c r="J156" t="str">
        <f>ESTADISTICA!J154</f>
        <v>APAGADO</v>
      </c>
      <c r="K156" t="str">
        <f>ESTADISTICA!K154</f>
        <v>APAGADO</v>
      </c>
      <c r="L156" t="str">
        <f>ESTADISTICA!L154</f>
        <v>APAGADO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 t="str">
        <f>ESTADISTICA!I155</f>
        <v>APAGADO</v>
      </c>
      <c r="J157" t="str">
        <f>ESTADISTICA!J155</f>
        <v>APAGADO</v>
      </c>
      <c r="K157" t="str">
        <f>ESTADISTICA!K155</f>
        <v>APAGADO</v>
      </c>
      <c r="L157" t="str">
        <f>ESTADISTICA!L155</f>
        <v>APAGADO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 t="str">
        <f>ESTADISTICA!K157</f>
        <v>APAGADO</v>
      </c>
      <c r="L159" t="str">
        <f>ESTADISTICA!L157</f>
        <v>APAGADO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 t="str">
        <f>ESTADISTICA!F159</f>
        <v>APAGADO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 t="str">
        <f>ESTADISTICA!K159</f>
        <v>APAGADO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LUJAN</v>
      </c>
      <c r="B164" t="str">
        <f>ESTADISTICA!B162</f>
        <v>LUJ 01</v>
      </c>
      <c r="C164" t="str">
        <f>ESTADISTICA!C162</f>
        <v>Ã‘andu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 t="str">
        <f>ESTADISTICA!L165</f>
        <v>APAGADO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MAYOL</v>
      </c>
      <c r="B170" t="str">
        <f>ESTADISTICA!B168</f>
        <v>MAY 01</v>
      </c>
      <c r="C170" t="str">
        <f>ESTADISTICA!C168</f>
        <v>Eva PerÃ³n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MAYOL</v>
      </c>
      <c r="B172" t="str">
        <f>ESTADISTICA!B170</f>
        <v>MAY 03</v>
      </c>
      <c r="C172" t="str">
        <f>ESTADISTICA!C170</f>
        <v>CHAÃ‘AR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 t="str">
        <f>ESTADISTICA!K172</f>
        <v>APAGADO</v>
      </c>
      <c r="L174" t="str">
        <f>ESTADISTICA!L172</f>
        <v>APAGADO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 t="str">
        <f>ESTADISTICA!K173</f>
        <v>APAGADO</v>
      </c>
      <c r="L175" t="str">
        <f>ESTADISTICA!L173</f>
        <v>APAGADO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 t="str">
        <f>ESTADISTICA!K174</f>
        <v>APAGADO</v>
      </c>
      <c r="L176" t="str">
        <f>ESTADISTICA!L174</f>
        <v>APAGADO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 t="str">
        <f>ESTADISTICA!K177</f>
        <v>APAGADO</v>
      </c>
      <c r="L179" t="str">
        <f>ESTADISTICA!L177</f>
        <v>APAGADO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 t="str">
        <f>ESTADISTICA!G196</f>
        <v>APAGADO</v>
      </c>
      <c r="H198">
        <f>ESTADISTICA!H196</f>
        <v>0</v>
      </c>
      <c r="I198">
        <f>ESTADISTICA!I196</f>
        <v>0</v>
      </c>
      <c r="J198">
        <f>ESTADISTICA!J196</f>
        <v>0</v>
      </c>
      <c r="K198" t="str">
        <f>ESTADISTICA!K196</f>
        <v>APAGADO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 t="str">
        <f>ESTADISTICA!G197</f>
        <v>APAGADO</v>
      </c>
      <c r="H199">
        <f>ESTADISTICA!H197</f>
        <v>0</v>
      </c>
      <c r="I199">
        <f>ESTADISTICA!I197</f>
        <v>0</v>
      </c>
      <c r="J199">
        <f>ESTADISTICA!J197</f>
        <v>0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 t="str">
        <f>ESTADISTICA!L203</f>
        <v>APAGADO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 t="str">
        <f>ESTADISTICA!F212</f>
        <v>APAGADO</v>
      </c>
      <c r="G214" t="str">
        <f>ESTADISTICA!G212</f>
        <v>APAGADO</v>
      </c>
      <c r="H214" t="str">
        <f>ESTADISTICA!H212</f>
        <v>APAGADO</v>
      </c>
      <c r="I214" t="str">
        <f>ESTADISTICA!I212</f>
        <v>APAGADO</v>
      </c>
      <c r="J214" t="str">
        <f>ESTADISTICA!J212</f>
        <v>APAGADO</v>
      </c>
      <c r="K214" t="str">
        <f>ESTADISTICA!K212</f>
        <v>APAGADO</v>
      </c>
      <c r="L214" t="str">
        <f>ESTADISTICA!L212</f>
        <v>APAGADO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>
        <f>ESTADISTICA!G222</f>
        <v>0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 t="str">
        <f>ESTADISTICA!L224</f>
        <v>APAGADO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 t="str">
        <f>ESTADISTICA!L225</f>
        <v>APAGADO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 t="str">
        <f>ESTADISTICA!L228</f>
        <v>APAGADO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 t="str">
        <f>ESTADISTICA!L229</f>
        <v>APAGADO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 t="str">
        <f>ESTADISTICA!L230</f>
        <v>APAGADO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 t="str">
        <f>ESTADISTICA!L231</f>
        <v>APAGADO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 t="str">
        <f>ESTADISTICA!L232</f>
        <v>APAGADO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 t="str">
        <f>ESTADISTICA!L233</f>
        <v>APAGADO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 t="str">
        <f>ESTADISTICA!L234</f>
        <v>APAGADO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 t="str">
        <f>ESTADISTICA!L235</f>
        <v>APAGADO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 t="str">
        <f>ESTADISTICA!L236</f>
        <v>APAGADO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 t="str">
        <f>ESTADISTICA!L237</f>
        <v>APAGADO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 t="str">
        <f>ESTADISTICA!L238</f>
        <v>APAGADO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 t="str">
        <f>ESTADISTICA!L239</f>
        <v>APAGADO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 t="str">
        <f>ESTADISTICA!K240</f>
        <v>APAGADO</v>
      </c>
      <c r="L242" t="str">
        <f>ESTADISTICA!L240</f>
        <v>APAGADO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 t="str">
        <f>ESTADISTICA!I241</f>
        <v>APAGADO</v>
      </c>
      <c r="J243" t="str">
        <f>ESTADISTICA!J241</f>
        <v>APAGADO</v>
      </c>
      <c r="K243" t="str">
        <f>ESTADISTICA!K241</f>
        <v>APAGADO</v>
      </c>
      <c r="L243" t="str">
        <f>ESTADISTICA!L241</f>
        <v>APAGADO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 t="str">
        <f>ESTADISTICA!I242</f>
        <v>APAGADO</v>
      </c>
      <c r="J244" t="str">
        <f>ESTADISTICA!J242</f>
        <v>APAGADO</v>
      </c>
      <c r="K244" t="str">
        <f>ESTADISTICA!K242</f>
        <v>APAGADO</v>
      </c>
      <c r="L244" t="str">
        <f>ESTADISTICA!L242</f>
        <v>APAGADO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 t="str">
        <f>ESTADISTICA!K249</f>
        <v>APAGADO</v>
      </c>
      <c r="L251" t="str">
        <f>ESTADISTICA!L249</f>
        <v>APAGADO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 t="str">
        <f>ESTADISTICA!K252</f>
        <v>APAGADO</v>
      </c>
      <c r="L254" t="str">
        <f>ESTADISTICA!L252</f>
        <v>APAGADO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826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x14ac:dyDescent="0.25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25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 t="str">
        <f>ESTADISTICA!F299</f>
        <v>APAGADO</v>
      </c>
      <c r="G301" t="str">
        <f>ESTADISTICA!G299</f>
        <v>APAGADO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 t="str">
        <f>ESTADISTICA!L309</f>
        <v>APAGADO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 t="str">
        <f>ESTADISTICA!L310</f>
        <v>APAGADO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25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 t="str">
        <f>ESTADISTICA!J324</f>
        <v>APAGADO</v>
      </c>
      <c r="K326" t="str">
        <f>ESTADISTICA!K324</f>
        <v>APAGADO</v>
      </c>
      <c r="L326" t="str">
        <f>ESTADISTICA!L324</f>
        <v>APAGADO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 t="str">
        <f>ESTADISTICA!K325</f>
        <v>APAGADO</v>
      </c>
      <c r="L327" t="str">
        <f>ESTADISTICA!L325</f>
        <v>APAGADO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 t="str">
        <f>ESTADISTICA!J332</f>
        <v>APAGADO</v>
      </c>
      <c r="K334" t="str">
        <f>ESTADISTICA!K332</f>
        <v>APAGADO</v>
      </c>
      <c r="L334" t="str">
        <f>ESTADISTICA!L332</f>
        <v>APAGADO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VATTEONE</v>
      </c>
      <c r="B337" t="str">
        <f>ESTADISTICA!B335</f>
        <v>VAT 17</v>
      </c>
      <c r="C337" t="str">
        <f>ESTADISTICA!C335</f>
        <v>CHAÃ‘AR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VATTEONE CENTRO</v>
      </c>
      <c r="B342" t="str">
        <f>ESTADISTICA!B340</f>
        <v>VAT02</v>
      </c>
      <c r="C342" t="str">
        <f>ESTADISTICA!C340</f>
        <v>Eva PerÃ³n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 t="str">
        <f>ESTADISTICA!F345</f>
        <v>APAGADO</v>
      </c>
      <c r="G347">
        <f>ESTADISTICA!G345</f>
        <v>0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 t="str">
        <f>ESTADISTICA!K345</f>
        <v>APAGADO</v>
      </c>
      <c r="L347" t="str">
        <f>ESTADISTICA!L345</f>
        <v>APAGADO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 t="str">
        <f>ESTADISTICA!F353</f>
        <v>APAGADO</v>
      </c>
      <c r="G355">
        <f>ESTADISTICA!G353</f>
        <v>0</v>
      </c>
      <c r="H355" t="str">
        <f>ESTADISTICA!H353</f>
        <v>APAGADO</v>
      </c>
      <c r="I355" t="str">
        <f>ESTADISTICA!I353</f>
        <v>APAGADO</v>
      </c>
      <c r="J355">
        <f>ESTADISTICA!J353</f>
        <v>0</v>
      </c>
      <c r="K355" t="str">
        <f>ESTADISTICA!K353</f>
        <v>APAGADO</v>
      </c>
      <c r="L355" t="str">
        <f>ESTADISTICA!L353</f>
        <v>APAGADO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 t="str">
        <f>ESTADISTICA!F354</f>
        <v>APAGADO</v>
      </c>
      <c r="G356">
        <f>ESTADISTICA!G354</f>
        <v>0</v>
      </c>
      <c r="H356" t="str">
        <f>ESTADISTICA!H354</f>
        <v>APAGADO</v>
      </c>
      <c r="I356" t="str">
        <f>ESTADISTICA!I354</f>
        <v>APAGADO</v>
      </c>
      <c r="J356">
        <f>ESTADISTICA!J354</f>
        <v>0</v>
      </c>
      <c r="K356" t="str">
        <f>ESTADISTICA!K354</f>
        <v>APAGADO</v>
      </c>
      <c r="L356" t="str">
        <f>ESTADISTICA!L354</f>
        <v>APAGADO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>
        <f>ESTADISTICA!G358</f>
        <v>0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>
        <f>ESTADISTICA!G359</f>
        <v>0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 t="str">
        <f>ESTADISTICA!K367</f>
        <v>APAGADO</v>
      </c>
      <c r="L369" t="str">
        <f>ESTADISTICA!L367</f>
        <v>APAGADO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51" t="str">
        <f>ESTADISTICA!A368</f>
        <v>VILLA HUDSON</v>
      </c>
      <c r="B370" s="51" t="str">
        <f>ESTADISTICA!B368</f>
        <v>VHS 01</v>
      </c>
      <c r="C370" s="51" t="str">
        <f>ESTADISTICA!C368</f>
        <v>AV. HUDSON Y AV. LUJAN</v>
      </c>
      <c r="D370" s="51" t="str">
        <f>ESTADISTICA!D368</f>
        <v>DOMO</v>
      </c>
      <c r="E370" s="51" t="str">
        <f>ESTADISTICA!E368</f>
        <v>Fibra Optica</v>
      </c>
      <c r="F370" s="51">
        <f>ESTADISTICA!F368</f>
        <v>0</v>
      </c>
      <c r="G370" s="51">
        <f>ESTADISTICA!G368</f>
        <v>0</v>
      </c>
      <c r="H370" s="51">
        <f>ESTADISTICA!H368</f>
        <v>0</v>
      </c>
      <c r="I370" s="51">
        <f>ESTADISTICA!I368</f>
        <v>0</v>
      </c>
      <c r="J370" s="51">
        <f>ESTADISTICA!J368</f>
        <v>0</v>
      </c>
      <c r="K370" s="51">
        <f>ESTADISTICA!K368</f>
        <v>0</v>
      </c>
      <c r="L370" s="51" t="str">
        <f>ESTADISTICA!L368</f>
        <v>APAGADO</v>
      </c>
      <c r="M370" s="51">
        <f>ESTADISTICA!M368</f>
        <v>0</v>
      </c>
      <c r="N370" s="51">
        <f>ESTADISTICA!N368</f>
        <v>0</v>
      </c>
      <c r="O370" s="51">
        <f>ESTADISTICA!O368</f>
        <v>0</v>
      </c>
      <c r="P370" s="51">
        <f>ESTADISTICA!P368</f>
        <v>0</v>
      </c>
      <c r="Q370" s="51">
        <f>ESTADISTICA!Q368</f>
        <v>0</v>
      </c>
      <c r="R370" s="51">
        <f>ESTADISTICA!R368</f>
        <v>0</v>
      </c>
      <c r="S370" s="51">
        <f>ESTADISTICA!S368</f>
        <v>0</v>
      </c>
      <c r="T370" s="51">
        <f>ESTADISTICA!T368</f>
        <v>0</v>
      </c>
      <c r="U370" s="51">
        <f>ESTADISTICA!U368</f>
        <v>0</v>
      </c>
      <c r="V370" s="51">
        <f>ESTADISTICA!V368</f>
        <v>0</v>
      </c>
      <c r="W370" s="51">
        <f>ESTADISTICA!W368</f>
        <v>0</v>
      </c>
      <c r="X370" s="51">
        <f>ESTADISTICA!X368</f>
        <v>0</v>
      </c>
      <c r="Y370" s="51">
        <f>ESTADISTICA!Y368</f>
        <v>0</v>
      </c>
      <c r="Z370" s="51">
        <f>ESTADISTICA!Z368</f>
        <v>0</v>
      </c>
      <c r="AA370" s="51">
        <f>ESTADISTICA!AA368</f>
        <v>0</v>
      </c>
      <c r="AB370" s="51">
        <f>ESTADISTICA!AB368</f>
        <v>0</v>
      </c>
      <c r="AC370" s="51">
        <f>ESTADISTICA!AC368</f>
        <v>0</v>
      </c>
      <c r="AD370" s="51">
        <f>ESTADISTICA!AD368</f>
        <v>0</v>
      </c>
      <c r="AE370" s="51">
        <f>ESTADISTICA!AE368</f>
        <v>0</v>
      </c>
      <c r="AF370" s="51">
        <f>ESTADISTICA!AF368</f>
        <v>0</v>
      </c>
      <c r="AG370" s="51">
        <f>ESTADISTICA!AG368</f>
        <v>0</v>
      </c>
      <c r="AH370" s="51">
        <f>ESTADISTICA!AH368</f>
        <v>0</v>
      </c>
      <c r="AI370" s="51">
        <f>ESTADISTICA!AI368</f>
        <v>0</v>
      </c>
    </row>
    <row r="371" spans="1:35" hidden="1" x14ac:dyDescent="0.25">
      <c r="A371" s="51" t="str">
        <f>ESTADISTICA!A369</f>
        <v>VILLA HUDSON</v>
      </c>
      <c r="B371" s="51" t="str">
        <f>ESTADISTICA!B369</f>
        <v>VHS 02</v>
      </c>
      <c r="C371" s="51" t="str">
        <f>ESTADISTICA!C369</f>
        <v>AV. LUJAN Y CALLE 909 A</v>
      </c>
      <c r="D371" s="51" t="str">
        <f>ESTADISTICA!D369</f>
        <v>DOMO</v>
      </c>
      <c r="E371" s="51" t="str">
        <f>ESTADISTICA!E369</f>
        <v>Fibra Optica</v>
      </c>
      <c r="F371" s="51">
        <f>ESTADISTICA!F369</f>
        <v>0</v>
      </c>
      <c r="G371" s="51">
        <f>ESTADISTICA!G369</f>
        <v>0</v>
      </c>
      <c r="H371" s="51">
        <f>ESTADISTICA!H369</f>
        <v>0</v>
      </c>
      <c r="I371" s="51">
        <f>ESTADISTICA!I369</f>
        <v>0</v>
      </c>
      <c r="J371" s="51">
        <f>ESTADISTICA!J369</f>
        <v>0</v>
      </c>
      <c r="K371" s="51">
        <f>ESTADISTICA!K369</f>
        <v>0</v>
      </c>
      <c r="L371" s="51" t="str">
        <f>ESTADISTICA!L369</f>
        <v>APAGADO</v>
      </c>
      <c r="M371" s="51">
        <f>ESTADISTICA!M369</f>
        <v>0</v>
      </c>
      <c r="N371" s="51">
        <f>ESTADISTICA!N369</f>
        <v>0</v>
      </c>
      <c r="O371" s="51">
        <f>ESTADISTICA!O369</f>
        <v>0</v>
      </c>
      <c r="P371" s="51">
        <f>ESTADISTICA!P369</f>
        <v>0</v>
      </c>
      <c r="Q371" s="51">
        <f>ESTADISTICA!Q369</f>
        <v>0</v>
      </c>
      <c r="R371" s="51">
        <f>ESTADISTICA!R369</f>
        <v>0</v>
      </c>
      <c r="S371" s="51">
        <f>ESTADISTICA!S369</f>
        <v>0</v>
      </c>
      <c r="T371" s="51">
        <f>ESTADISTICA!T369</f>
        <v>0</v>
      </c>
      <c r="U371" s="51">
        <f>ESTADISTICA!U369</f>
        <v>0</v>
      </c>
      <c r="V371" s="51">
        <f>ESTADISTICA!V369</f>
        <v>0</v>
      </c>
      <c r="W371" s="51">
        <f>ESTADISTICA!W369</f>
        <v>0</v>
      </c>
      <c r="X371" s="51">
        <f>ESTADISTICA!X369</f>
        <v>0</v>
      </c>
      <c r="Y371" s="51">
        <f>ESTADISTICA!Y369</f>
        <v>0</v>
      </c>
      <c r="Z371" s="51">
        <f>ESTADISTICA!Z369</f>
        <v>0</v>
      </c>
      <c r="AA371" s="51">
        <f>ESTADISTICA!AA369</f>
        <v>0</v>
      </c>
      <c r="AB371" s="51">
        <f>ESTADISTICA!AB369</f>
        <v>0</v>
      </c>
      <c r="AC371" s="51">
        <f>ESTADISTICA!AC369</f>
        <v>0</v>
      </c>
      <c r="AD371" s="51">
        <f>ESTADISTICA!AD369</f>
        <v>0</v>
      </c>
      <c r="AE371" s="51">
        <f>ESTADISTICA!AE369</f>
        <v>0</v>
      </c>
      <c r="AF371" s="51">
        <f>ESTADISTICA!AF369</f>
        <v>0</v>
      </c>
      <c r="AG371" s="51">
        <f>ESTADISTICA!AG369</f>
        <v>0</v>
      </c>
      <c r="AH371" s="51">
        <f>ESTADISTICA!AH369</f>
        <v>0</v>
      </c>
      <c r="AI371" s="51">
        <f>ESTADISTICA!AI369</f>
        <v>0</v>
      </c>
    </row>
    <row r="372" spans="1:35" hidden="1" x14ac:dyDescent="0.25">
      <c r="A372" s="51" t="str">
        <f>ESTADISTICA!A370</f>
        <v>VILLA HUDSON</v>
      </c>
      <c r="B372" s="51" t="str">
        <f>ESTADISTICA!B370</f>
        <v>VHS 03 (fija 1)</v>
      </c>
      <c r="C372" s="51" t="str">
        <f>ESTADISTICA!C370</f>
        <v>AV. HUDSON Y LOS INMIGRANTES</v>
      </c>
      <c r="D372" s="51" t="str">
        <f>ESTADISTICA!D370</f>
        <v>Fija</v>
      </c>
      <c r="E372" s="51" t="str">
        <f>ESTADISTICA!E370</f>
        <v>Fibra Optica</v>
      </c>
      <c r="F372" s="51">
        <f>ESTADISTICA!F370</f>
        <v>0</v>
      </c>
      <c r="G372" s="51">
        <f>ESTADISTICA!G370</f>
        <v>0</v>
      </c>
      <c r="H372" s="51">
        <f>ESTADISTICA!H370</f>
        <v>0</v>
      </c>
      <c r="I372" s="51">
        <f>ESTADISTICA!I370</f>
        <v>0</v>
      </c>
      <c r="J372" s="51">
        <f>ESTADISTICA!J370</f>
        <v>0</v>
      </c>
      <c r="K372" s="51">
        <f>ESTADISTICA!K370</f>
        <v>0</v>
      </c>
      <c r="L372" s="51" t="str">
        <f>ESTADISTICA!L370</f>
        <v>APAGADO</v>
      </c>
      <c r="M372" s="51">
        <f>ESTADISTICA!M370</f>
        <v>0</v>
      </c>
      <c r="N372" s="51">
        <f>ESTADISTICA!N370</f>
        <v>0</v>
      </c>
      <c r="O372" s="51">
        <f>ESTADISTICA!O370</f>
        <v>0</v>
      </c>
      <c r="P372" s="51">
        <f>ESTADISTICA!P370</f>
        <v>0</v>
      </c>
      <c r="Q372" s="51">
        <f>ESTADISTICA!Q370</f>
        <v>0</v>
      </c>
      <c r="R372" s="51">
        <f>ESTADISTICA!R370</f>
        <v>0</v>
      </c>
      <c r="S372" s="51">
        <f>ESTADISTICA!S370</f>
        <v>0</v>
      </c>
      <c r="T372" s="51">
        <f>ESTADISTICA!T370</f>
        <v>0</v>
      </c>
      <c r="U372" s="51">
        <f>ESTADISTICA!U370</f>
        <v>0</v>
      </c>
      <c r="V372" s="51">
        <f>ESTADISTICA!V370</f>
        <v>0</v>
      </c>
      <c r="W372" s="51">
        <f>ESTADISTICA!W370</f>
        <v>0</v>
      </c>
      <c r="X372" s="51">
        <f>ESTADISTICA!X370</f>
        <v>0</v>
      </c>
      <c r="Y372" s="51">
        <f>ESTADISTICA!Y370</f>
        <v>0</v>
      </c>
      <c r="Z372" s="51">
        <f>ESTADISTICA!Z370</f>
        <v>0</v>
      </c>
      <c r="AA372" s="51">
        <f>ESTADISTICA!AA370</f>
        <v>0</v>
      </c>
      <c r="AB372" s="51">
        <f>ESTADISTICA!AB370</f>
        <v>0</v>
      </c>
      <c r="AC372" s="51">
        <f>ESTADISTICA!AC370</f>
        <v>0</v>
      </c>
      <c r="AD372" s="51">
        <f>ESTADISTICA!AD370</f>
        <v>0</v>
      </c>
      <c r="AE372" s="51">
        <f>ESTADISTICA!AE370</f>
        <v>0</v>
      </c>
      <c r="AF372" s="51">
        <f>ESTADISTICA!AF370</f>
        <v>0</v>
      </c>
      <c r="AG372" s="51">
        <f>ESTADISTICA!AG370</f>
        <v>0</v>
      </c>
      <c r="AH372" s="51">
        <f>ESTADISTICA!AH370</f>
        <v>0</v>
      </c>
      <c r="AI372" s="51">
        <f>ESTADISTICA!AI370</f>
        <v>0</v>
      </c>
    </row>
    <row r="373" spans="1:35" hidden="1" x14ac:dyDescent="0.25">
      <c r="A373" s="51" t="str">
        <f>ESTADISTICA!A371</f>
        <v>VILLA HUDSON</v>
      </c>
      <c r="B373" s="51" t="str">
        <f>ESTADISTICA!B371</f>
        <v>VHS 04 (fija 2)</v>
      </c>
      <c r="C373" s="51" t="str">
        <f>ESTADISTICA!C371</f>
        <v>AV. HUDSON Y LOS INMIGRANTES</v>
      </c>
      <c r="D373" s="51" t="str">
        <f>ESTADISTICA!D371</f>
        <v>Fija</v>
      </c>
      <c r="E373" s="51" t="str">
        <f>ESTADISTICA!E371</f>
        <v>Fibra Optica</v>
      </c>
      <c r="F373" s="51">
        <f>ESTADISTICA!F371</f>
        <v>0</v>
      </c>
      <c r="G373" s="51">
        <f>ESTADISTICA!G371</f>
        <v>0</v>
      </c>
      <c r="H373" s="51">
        <f>ESTADISTICA!H371</f>
        <v>0</v>
      </c>
      <c r="I373" s="51">
        <f>ESTADISTICA!I371</f>
        <v>0</v>
      </c>
      <c r="J373" s="51">
        <f>ESTADISTICA!J371</f>
        <v>0</v>
      </c>
      <c r="K373" s="51">
        <f>ESTADISTICA!K371</f>
        <v>0</v>
      </c>
      <c r="L373" s="51" t="str">
        <f>ESTADISTICA!L371</f>
        <v>APAGADO</v>
      </c>
      <c r="M373" s="51">
        <f>ESTADISTICA!M371</f>
        <v>0</v>
      </c>
      <c r="N373" s="51">
        <f>ESTADISTICA!N371</f>
        <v>0</v>
      </c>
      <c r="O373" s="51">
        <f>ESTADISTICA!O371</f>
        <v>0</v>
      </c>
      <c r="P373" s="51">
        <f>ESTADISTICA!P371</f>
        <v>0</v>
      </c>
      <c r="Q373" s="51">
        <f>ESTADISTICA!Q371</f>
        <v>0</v>
      </c>
      <c r="R373" s="51">
        <f>ESTADISTICA!R371</f>
        <v>0</v>
      </c>
      <c r="S373" s="51">
        <f>ESTADISTICA!S371</f>
        <v>0</v>
      </c>
      <c r="T373" s="51">
        <f>ESTADISTICA!T371</f>
        <v>0</v>
      </c>
      <c r="U373" s="51">
        <f>ESTADISTICA!U371</f>
        <v>0</v>
      </c>
      <c r="V373" s="51">
        <f>ESTADISTICA!V371</f>
        <v>0</v>
      </c>
      <c r="W373" s="51">
        <f>ESTADISTICA!W371</f>
        <v>0</v>
      </c>
      <c r="X373" s="51">
        <f>ESTADISTICA!X371</f>
        <v>0</v>
      </c>
      <c r="Y373" s="51">
        <f>ESTADISTICA!Y371</f>
        <v>0</v>
      </c>
      <c r="Z373" s="51">
        <f>ESTADISTICA!Z371</f>
        <v>0</v>
      </c>
      <c r="AA373" s="51">
        <f>ESTADISTICA!AA371</f>
        <v>0</v>
      </c>
      <c r="AB373" s="51">
        <f>ESTADISTICA!AB371</f>
        <v>0</v>
      </c>
      <c r="AC373" s="51">
        <f>ESTADISTICA!AC371</f>
        <v>0</v>
      </c>
      <c r="AD373" s="51">
        <f>ESTADISTICA!AD371</f>
        <v>0</v>
      </c>
      <c r="AE373" s="51">
        <f>ESTADISTICA!AE371</f>
        <v>0</v>
      </c>
      <c r="AF373" s="51">
        <f>ESTADISTICA!AF371</f>
        <v>0</v>
      </c>
      <c r="AG373" s="51">
        <f>ESTADISTICA!AG371</f>
        <v>0</v>
      </c>
      <c r="AH373" s="51">
        <f>ESTADISTICA!AH371</f>
        <v>0</v>
      </c>
      <c r="AI373" s="51">
        <f>ESTADISTICA!AI371</f>
        <v>0</v>
      </c>
    </row>
    <row r="374" spans="1:35" hidden="1" x14ac:dyDescent="0.25">
      <c r="A374" s="51" t="str">
        <f>ESTADISTICA!A372</f>
        <v>VILLA ARIAS</v>
      </c>
      <c r="B374" s="51" t="str">
        <f>ESTADISTICA!B372</f>
        <v>VLA 01 (fija 1)</v>
      </c>
      <c r="C374" s="51" t="str">
        <f>ESTADISTICA!C372</f>
        <v>820 Y SOLER</v>
      </c>
      <c r="D374" s="51" t="str">
        <f>ESTADISTICA!D372</f>
        <v>Fija</v>
      </c>
      <c r="E374" s="51" t="str">
        <f>ESTADISTICA!E372</f>
        <v>Fibra Optica</v>
      </c>
      <c r="F374" s="51">
        <f>ESTADISTICA!F372</f>
        <v>0</v>
      </c>
      <c r="G374" s="51">
        <f>ESTADISTICA!G372</f>
        <v>0</v>
      </c>
      <c r="H374" s="51">
        <f>ESTADISTICA!H372</f>
        <v>0</v>
      </c>
      <c r="I374" s="51">
        <f>ESTADISTICA!I372</f>
        <v>0</v>
      </c>
      <c r="J374" s="51">
        <f>ESTADISTICA!J372</f>
        <v>0</v>
      </c>
      <c r="K374" s="51">
        <f>ESTADISTICA!K372</f>
        <v>0</v>
      </c>
      <c r="L374" s="51">
        <f>ESTADISTICA!L372</f>
        <v>0</v>
      </c>
      <c r="M374" s="51">
        <f>ESTADISTICA!M372</f>
        <v>0</v>
      </c>
      <c r="N374" s="51">
        <f>ESTADISTICA!N372</f>
        <v>0</v>
      </c>
      <c r="O374" s="51">
        <f>ESTADISTICA!O372</f>
        <v>0</v>
      </c>
      <c r="P374" s="51">
        <f>ESTADISTICA!P372</f>
        <v>0</v>
      </c>
      <c r="Q374" s="51">
        <f>ESTADISTICA!Q372</f>
        <v>0</v>
      </c>
      <c r="R374" s="51">
        <f>ESTADISTICA!R372</f>
        <v>0</v>
      </c>
      <c r="S374" s="51">
        <f>ESTADISTICA!S372</f>
        <v>0</v>
      </c>
      <c r="T374" s="51">
        <f>ESTADISTICA!T372</f>
        <v>0</v>
      </c>
      <c r="U374" s="51">
        <f>ESTADISTICA!U372</f>
        <v>0</v>
      </c>
      <c r="V374" s="51">
        <f>ESTADISTICA!V372</f>
        <v>0</v>
      </c>
      <c r="W374" s="51">
        <f>ESTADISTICA!W372</f>
        <v>0</v>
      </c>
      <c r="X374" s="51">
        <f>ESTADISTICA!X372</f>
        <v>0</v>
      </c>
      <c r="Y374" s="51">
        <f>ESTADISTICA!Y372</f>
        <v>0</v>
      </c>
      <c r="Z374" s="51">
        <f>ESTADISTICA!Z372</f>
        <v>0</v>
      </c>
      <c r="AA374" s="51">
        <f>ESTADISTICA!AA372</f>
        <v>0</v>
      </c>
      <c r="AB374" s="51">
        <f>ESTADISTICA!AB372</f>
        <v>0</v>
      </c>
      <c r="AC374" s="51">
        <f>ESTADISTICA!AC372</f>
        <v>0</v>
      </c>
      <c r="AD374" s="51">
        <f>ESTADISTICA!AD372</f>
        <v>0</v>
      </c>
      <c r="AE374" s="51">
        <f>ESTADISTICA!AE372</f>
        <v>0</v>
      </c>
      <c r="AF374" s="51">
        <f>ESTADISTICA!AF372</f>
        <v>0</v>
      </c>
      <c r="AG374" s="51">
        <f>ESTADISTICA!AG372</f>
        <v>0</v>
      </c>
      <c r="AH374" s="51">
        <f>ESTADISTICA!AH372</f>
        <v>0</v>
      </c>
      <c r="AI374" s="51">
        <f>ESTADISTICA!AI372</f>
        <v>0</v>
      </c>
    </row>
    <row r="375" spans="1:35" hidden="1" x14ac:dyDescent="0.25">
      <c r="A375" s="51" t="str">
        <f>ESTADISTICA!A373</f>
        <v>VILLA ARIAS</v>
      </c>
      <c r="B375" s="51" t="str">
        <f>ESTADISTICA!B373</f>
        <v>VLA 02</v>
      </c>
      <c r="C375" s="51" t="str">
        <f>ESTADISTICA!C373</f>
        <v>ESPORA Y HUDSON</v>
      </c>
      <c r="D375" s="51" t="str">
        <f>ESTADISTICA!D373</f>
        <v>DOMO</v>
      </c>
      <c r="E375" s="51" t="str">
        <f>ESTADISTICA!E373</f>
        <v>Fibra Optica</v>
      </c>
      <c r="F375" s="51">
        <f>ESTADISTICA!F373</f>
        <v>0</v>
      </c>
      <c r="G375" s="51">
        <f>ESTADISTICA!G373</f>
        <v>0</v>
      </c>
      <c r="H375" s="51">
        <f>ESTADISTICA!H373</f>
        <v>0</v>
      </c>
      <c r="I375" s="51">
        <f>ESTADISTICA!I373</f>
        <v>0</v>
      </c>
      <c r="J375" s="51">
        <f>ESTADISTICA!J373</f>
        <v>0</v>
      </c>
      <c r="K375" s="51">
        <f>ESTADISTICA!K373</f>
        <v>0</v>
      </c>
      <c r="L375" s="51">
        <f>ESTADISTICA!L373</f>
        <v>0</v>
      </c>
      <c r="M375" s="51">
        <f>ESTADISTICA!M373</f>
        <v>0</v>
      </c>
      <c r="N375" s="51">
        <f>ESTADISTICA!N373</f>
        <v>0</v>
      </c>
      <c r="O375" s="51">
        <f>ESTADISTICA!O373</f>
        <v>0</v>
      </c>
      <c r="P375" s="51">
        <f>ESTADISTICA!P373</f>
        <v>0</v>
      </c>
      <c r="Q375" s="51">
        <f>ESTADISTICA!Q373</f>
        <v>0</v>
      </c>
      <c r="R375" s="51">
        <f>ESTADISTICA!R373</f>
        <v>0</v>
      </c>
      <c r="S375" s="51">
        <f>ESTADISTICA!S373</f>
        <v>0</v>
      </c>
      <c r="T375" s="51">
        <f>ESTADISTICA!T373</f>
        <v>0</v>
      </c>
      <c r="U375" s="51">
        <f>ESTADISTICA!U373</f>
        <v>0</v>
      </c>
      <c r="V375" s="51">
        <f>ESTADISTICA!V373</f>
        <v>0</v>
      </c>
      <c r="W375" s="51">
        <f>ESTADISTICA!W373</f>
        <v>0</v>
      </c>
      <c r="X375" s="51">
        <f>ESTADISTICA!X373</f>
        <v>0</v>
      </c>
      <c r="Y375" s="51">
        <f>ESTADISTICA!Y373</f>
        <v>0</v>
      </c>
      <c r="Z375" s="51">
        <f>ESTADISTICA!Z373</f>
        <v>0</v>
      </c>
      <c r="AA375" s="51">
        <f>ESTADISTICA!AA373</f>
        <v>0</v>
      </c>
      <c r="AB375" s="51">
        <f>ESTADISTICA!AB373</f>
        <v>0</v>
      </c>
      <c r="AC375" s="51">
        <f>ESTADISTICA!AC373</f>
        <v>0</v>
      </c>
      <c r="AD375" s="51">
        <f>ESTADISTICA!AD373</f>
        <v>0</v>
      </c>
      <c r="AE375" s="51">
        <f>ESTADISTICA!AE373</f>
        <v>0</v>
      </c>
      <c r="AF375" s="51">
        <f>ESTADISTICA!AF373</f>
        <v>0</v>
      </c>
      <c r="AG375" s="51">
        <f>ESTADISTICA!AG373</f>
        <v>0</v>
      </c>
      <c r="AH375" s="51">
        <f>ESTADISTICA!AH373</f>
        <v>0</v>
      </c>
      <c r="AI375" s="51">
        <f>ESTADISTICA!AI373</f>
        <v>0</v>
      </c>
    </row>
    <row r="376" spans="1:35" hidden="1" x14ac:dyDescent="0.25">
      <c r="A376" s="51" t="str">
        <f>ESTADISTICA!A374</f>
        <v>VILLA ARIAS</v>
      </c>
      <c r="B376" s="51" t="str">
        <f>ESTADISTICA!B374</f>
        <v>VLA03 (fija 2)</v>
      </c>
      <c r="C376" s="51" t="str">
        <f>ESTADISTICA!C374</f>
        <v>820 y SOLER</v>
      </c>
      <c r="D376" s="51" t="str">
        <f>ESTADISTICA!D374</f>
        <v>Fija</v>
      </c>
      <c r="E376" s="51" t="str">
        <f>ESTADISTICA!E374</f>
        <v>Fibra Optica</v>
      </c>
      <c r="F376" s="51">
        <f>ESTADISTICA!F374</f>
        <v>0</v>
      </c>
      <c r="G376" s="51">
        <f>ESTADISTICA!G374</f>
        <v>0</v>
      </c>
      <c r="H376" s="51">
        <f>ESTADISTICA!H374</f>
        <v>0</v>
      </c>
      <c r="I376" s="51">
        <f>ESTADISTICA!I374</f>
        <v>0</v>
      </c>
      <c r="J376" s="51">
        <f>ESTADISTICA!J374</f>
        <v>0</v>
      </c>
      <c r="K376" s="51">
        <f>ESTADISTICA!K374</f>
        <v>0</v>
      </c>
      <c r="L376" s="51">
        <f>ESTADISTICA!L374</f>
        <v>0</v>
      </c>
      <c r="M376" s="51">
        <f>ESTADISTICA!M374</f>
        <v>0</v>
      </c>
      <c r="N376" s="51">
        <f>ESTADISTICA!N374</f>
        <v>0</v>
      </c>
      <c r="O376" s="51">
        <f>ESTADISTICA!O374</f>
        <v>0</v>
      </c>
      <c r="P376" s="51">
        <f>ESTADISTICA!P374</f>
        <v>0</v>
      </c>
      <c r="Q376" s="51">
        <f>ESTADISTICA!Q374</f>
        <v>0</v>
      </c>
      <c r="R376" s="51">
        <f>ESTADISTICA!R374</f>
        <v>0</v>
      </c>
      <c r="S376" s="51">
        <f>ESTADISTICA!S374</f>
        <v>0</v>
      </c>
      <c r="T376" s="51">
        <f>ESTADISTICA!T374</f>
        <v>0</v>
      </c>
      <c r="U376" s="51">
        <f>ESTADISTICA!U374</f>
        <v>0</v>
      </c>
      <c r="V376" s="51">
        <f>ESTADISTICA!V374</f>
        <v>0</v>
      </c>
      <c r="W376" s="51">
        <f>ESTADISTICA!W374</f>
        <v>0</v>
      </c>
      <c r="X376" s="51">
        <f>ESTADISTICA!X374</f>
        <v>0</v>
      </c>
      <c r="Y376" s="51">
        <f>ESTADISTICA!Y374</f>
        <v>0</v>
      </c>
      <c r="Z376" s="51">
        <f>ESTADISTICA!Z374</f>
        <v>0</v>
      </c>
      <c r="AA376" s="51">
        <f>ESTADISTICA!AA374</f>
        <v>0</v>
      </c>
      <c r="AB376" s="51">
        <f>ESTADISTICA!AB374</f>
        <v>0</v>
      </c>
      <c r="AC376" s="51">
        <f>ESTADISTICA!AC374</f>
        <v>0</v>
      </c>
      <c r="AD376" s="51">
        <f>ESTADISTICA!AD374</f>
        <v>0</v>
      </c>
      <c r="AE376" s="51">
        <f>ESTADISTICA!AE374</f>
        <v>0</v>
      </c>
      <c r="AF376" s="51">
        <f>ESTADISTICA!AF374</f>
        <v>0</v>
      </c>
      <c r="AG376" s="51">
        <f>ESTADISTICA!AG374</f>
        <v>0</v>
      </c>
      <c r="AH376" s="51">
        <f>ESTADISTICA!AH374</f>
        <v>0</v>
      </c>
      <c r="AI376" s="51">
        <f>ESTADISTICA!AI374</f>
        <v>0</v>
      </c>
    </row>
    <row r="377" spans="1:35" hidden="1" x14ac:dyDescent="0.25">
      <c r="A377" s="51" t="str">
        <f>ESTADISTICA!A375</f>
        <v>VILLA ARIAS</v>
      </c>
      <c r="B377" s="51" t="str">
        <f>ESTADISTICA!B375</f>
        <v>VLA04</v>
      </c>
      <c r="C377" s="51" t="str">
        <f>ESTADISTICA!C375</f>
        <v>ESPORA Y MARTIN GRASS</v>
      </c>
      <c r="D377" s="51" t="str">
        <f>ESTADISTICA!D375</f>
        <v>DOMO</v>
      </c>
      <c r="E377" s="51" t="str">
        <f>ESTADISTICA!E375</f>
        <v>Fibra Optica</v>
      </c>
      <c r="F377" s="51">
        <f>ESTADISTICA!F375</f>
        <v>0</v>
      </c>
      <c r="G377" s="51">
        <f>ESTADISTICA!G375</f>
        <v>0</v>
      </c>
      <c r="H377" s="51">
        <f>ESTADISTICA!H375</f>
        <v>0</v>
      </c>
      <c r="I377" s="51">
        <f>ESTADISTICA!I375</f>
        <v>0</v>
      </c>
      <c r="J377" s="51">
        <f>ESTADISTICA!J375</f>
        <v>0</v>
      </c>
      <c r="K377" s="51">
        <f>ESTADISTICA!K375</f>
        <v>0</v>
      </c>
      <c r="L377" s="51">
        <f>ESTADISTICA!L375</f>
        <v>0</v>
      </c>
      <c r="M377" s="51">
        <f>ESTADISTICA!M375</f>
        <v>0</v>
      </c>
      <c r="N377" s="51">
        <f>ESTADISTICA!N375</f>
        <v>0</v>
      </c>
      <c r="O377" s="51">
        <f>ESTADISTICA!O375</f>
        <v>0</v>
      </c>
      <c r="P377" s="51">
        <f>ESTADISTICA!P375</f>
        <v>0</v>
      </c>
      <c r="Q377" s="51">
        <f>ESTADISTICA!Q375</f>
        <v>0</v>
      </c>
      <c r="R377" s="51">
        <f>ESTADISTICA!R375</f>
        <v>0</v>
      </c>
      <c r="S377" s="51">
        <f>ESTADISTICA!S375</f>
        <v>0</v>
      </c>
      <c r="T377" s="51">
        <f>ESTADISTICA!T375</f>
        <v>0</v>
      </c>
      <c r="U377" s="51">
        <f>ESTADISTICA!U375</f>
        <v>0</v>
      </c>
      <c r="V377" s="51">
        <f>ESTADISTICA!V375</f>
        <v>0</v>
      </c>
      <c r="W377" s="51">
        <f>ESTADISTICA!W375</f>
        <v>0</v>
      </c>
      <c r="X377" s="51">
        <f>ESTADISTICA!X375</f>
        <v>0</v>
      </c>
      <c r="Y377" s="51">
        <f>ESTADISTICA!Y375</f>
        <v>0</v>
      </c>
      <c r="Z377" s="51">
        <f>ESTADISTICA!Z375</f>
        <v>0</v>
      </c>
      <c r="AA377" s="51">
        <f>ESTADISTICA!AA375</f>
        <v>0</v>
      </c>
      <c r="AB377" s="51">
        <f>ESTADISTICA!AB375</f>
        <v>0</v>
      </c>
      <c r="AC377" s="51">
        <f>ESTADISTICA!AC375</f>
        <v>0</v>
      </c>
      <c r="AD377" s="51">
        <f>ESTADISTICA!AD375</f>
        <v>0</v>
      </c>
      <c r="AE377" s="51">
        <f>ESTADISTICA!AE375</f>
        <v>0</v>
      </c>
      <c r="AF377" s="51">
        <f>ESTADISTICA!AF375</f>
        <v>0</v>
      </c>
      <c r="AG377" s="51">
        <f>ESTADISTICA!AG375</f>
        <v>0</v>
      </c>
      <c r="AH377" s="51">
        <f>ESTADISTICA!AH375</f>
        <v>0</v>
      </c>
      <c r="AI377" s="51">
        <f>ESTADISTICA!AI375</f>
        <v>0</v>
      </c>
    </row>
    <row r="378" spans="1:35" hidden="1" x14ac:dyDescent="0.25">
      <c r="A378" s="51" t="str">
        <f>ESTADISTICA!A376</f>
        <v>VILLA ARIAS</v>
      </c>
      <c r="B378" s="51" t="str">
        <f>ESTADISTICA!B376</f>
        <v>VLA05</v>
      </c>
      <c r="C378" s="51" t="str">
        <f>ESTADISTICA!C376</f>
        <v>ESPORA Y 802</v>
      </c>
      <c r="D378" s="51" t="str">
        <f>ESTADISTICA!D376</f>
        <v>DOMO</v>
      </c>
      <c r="E378" s="51" t="str">
        <f>ESTADISTICA!E376</f>
        <v>Fibra Optica</v>
      </c>
      <c r="F378" s="51">
        <f>ESTADISTICA!F376</f>
        <v>0</v>
      </c>
      <c r="G378" s="51">
        <f>ESTADISTICA!G376</f>
        <v>0</v>
      </c>
      <c r="H378" s="51">
        <f>ESTADISTICA!H376</f>
        <v>0</v>
      </c>
      <c r="I378" s="51">
        <f>ESTADISTICA!I376</f>
        <v>0</v>
      </c>
      <c r="J378" s="51">
        <f>ESTADISTICA!J376</f>
        <v>0</v>
      </c>
      <c r="K378" s="51">
        <f>ESTADISTICA!K376</f>
        <v>0</v>
      </c>
      <c r="L378" s="51">
        <f>ESTADISTICA!L376</f>
        <v>0</v>
      </c>
      <c r="M378" s="51">
        <f>ESTADISTICA!M376</f>
        <v>0</v>
      </c>
      <c r="N378" s="51">
        <f>ESTADISTICA!N376</f>
        <v>0</v>
      </c>
      <c r="O378" s="51">
        <f>ESTADISTICA!O376</f>
        <v>0</v>
      </c>
      <c r="P378" s="51">
        <f>ESTADISTICA!P376</f>
        <v>0</v>
      </c>
      <c r="Q378" s="51">
        <f>ESTADISTICA!Q376</f>
        <v>0</v>
      </c>
      <c r="R378" s="51">
        <f>ESTADISTICA!R376</f>
        <v>0</v>
      </c>
      <c r="S378" s="51">
        <f>ESTADISTICA!S376</f>
        <v>0</v>
      </c>
      <c r="T378" s="51">
        <f>ESTADISTICA!T376</f>
        <v>0</v>
      </c>
      <c r="U378" s="51">
        <f>ESTADISTICA!U376</f>
        <v>0</v>
      </c>
      <c r="V378" s="51">
        <f>ESTADISTICA!V376</f>
        <v>0</v>
      </c>
      <c r="W378" s="51">
        <f>ESTADISTICA!W376</f>
        <v>0</v>
      </c>
      <c r="X378" s="51">
        <f>ESTADISTICA!X376</f>
        <v>0</v>
      </c>
      <c r="Y378" s="51">
        <f>ESTADISTICA!Y376</f>
        <v>0</v>
      </c>
      <c r="Z378" s="51">
        <f>ESTADISTICA!Z376</f>
        <v>0</v>
      </c>
      <c r="AA378" s="51">
        <f>ESTADISTICA!AA376</f>
        <v>0</v>
      </c>
      <c r="AB378" s="51">
        <f>ESTADISTICA!AB376</f>
        <v>0</v>
      </c>
      <c r="AC378" s="51">
        <f>ESTADISTICA!AC376</f>
        <v>0</v>
      </c>
      <c r="AD378" s="51">
        <f>ESTADISTICA!AD376</f>
        <v>0</v>
      </c>
      <c r="AE378" s="51">
        <f>ESTADISTICA!AE376</f>
        <v>0</v>
      </c>
      <c r="AF378" s="51">
        <f>ESTADISTICA!AF376</f>
        <v>0</v>
      </c>
      <c r="AG378" s="51">
        <f>ESTADISTICA!AG376</f>
        <v>0</v>
      </c>
      <c r="AH378" s="51">
        <f>ESTADISTICA!AH376</f>
        <v>0</v>
      </c>
      <c r="AI378" s="51">
        <f>ESTADISTICA!AI376</f>
        <v>0</v>
      </c>
    </row>
    <row r="379" spans="1:35" hidden="1" x14ac:dyDescent="0.25">
      <c r="A379" s="51" t="str">
        <f>ESTADISTICA!A377</f>
        <v>VILLA MONICA NUEVA</v>
      </c>
      <c r="B379" s="51" t="str">
        <f>ESTADISTICA!B377</f>
        <v>VMO 02</v>
      </c>
      <c r="C379" s="51" t="str">
        <f>ESTADISTICA!C377</f>
        <v>RÃ­o Carapachay y OroÃ±o</v>
      </c>
      <c r="D379" s="51" t="str">
        <f>ESTADISTICA!D377</f>
        <v>Domo</v>
      </c>
      <c r="E379" s="51" t="str">
        <f>ESTADISTICA!E377</f>
        <v>Radio</v>
      </c>
      <c r="F379" s="51">
        <f>ESTADISTICA!F377</f>
        <v>0</v>
      </c>
      <c r="G379" s="51">
        <f>ESTADISTICA!G377</f>
        <v>0</v>
      </c>
      <c r="H379" s="51">
        <f>ESTADISTICA!H377</f>
        <v>0</v>
      </c>
      <c r="I379" s="51">
        <f>ESTADISTICA!I377</f>
        <v>0</v>
      </c>
      <c r="J379" s="51">
        <f>ESTADISTICA!J377</f>
        <v>0</v>
      </c>
      <c r="K379" s="51">
        <f>ESTADISTICA!K377</f>
        <v>0</v>
      </c>
      <c r="L379" s="51">
        <f>ESTADISTICA!L377</f>
        <v>0</v>
      </c>
      <c r="M379" s="51">
        <f>ESTADISTICA!M377</f>
        <v>0</v>
      </c>
      <c r="N379" s="51">
        <f>ESTADISTICA!N377</f>
        <v>0</v>
      </c>
      <c r="O379" s="51">
        <f>ESTADISTICA!O377</f>
        <v>0</v>
      </c>
      <c r="P379" s="51">
        <f>ESTADISTICA!P377</f>
        <v>0</v>
      </c>
      <c r="Q379" s="51">
        <f>ESTADISTICA!Q377</f>
        <v>0</v>
      </c>
      <c r="R379" s="51">
        <f>ESTADISTICA!R377</f>
        <v>0</v>
      </c>
      <c r="S379" s="51">
        <f>ESTADISTICA!S377</f>
        <v>0</v>
      </c>
      <c r="T379" s="51">
        <f>ESTADISTICA!T377</f>
        <v>0</v>
      </c>
      <c r="U379" s="51">
        <f>ESTADISTICA!U377</f>
        <v>0</v>
      </c>
      <c r="V379" s="51">
        <f>ESTADISTICA!V377</f>
        <v>0</v>
      </c>
      <c r="W379" s="51">
        <f>ESTADISTICA!W377</f>
        <v>0</v>
      </c>
      <c r="X379" s="51">
        <f>ESTADISTICA!X377</f>
        <v>0</v>
      </c>
      <c r="Y379" s="51">
        <f>ESTADISTICA!Y377</f>
        <v>0</v>
      </c>
      <c r="Z379" s="51">
        <f>ESTADISTICA!Z377</f>
        <v>0</v>
      </c>
      <c r="AA379" s="51">
        <f>ESTADISTICA!AA377</f>
        <v>0</v>
      </c>
      <c r="AB379" s="51">
        <f>ESTADISTICA!AB377</f>
        <v>0</v>
      </c>
      <c r="AC379" s="51">
        <f>ESTADISTICA!AC377</f>
        <v>0</v>
      </c>
      <c r="AD379" s="51">
        <f>ESTADISTICA!AD377</f>
        <v>0</v>
      </c>
      <c r="AE379" s="51">
        <f>ESTADISTICA!AE377</f>
        <v>0</v>
      </c>
      <c r="AF379" s="51">
        <f>ESTADISTICA!AF377</f>
        <v>0</v>
      </c>
      <c r="AG379" s="51">
        <f>ESTADISTICA!AG377</f>
        <v>0</v>
      </c>
      <c r="AH379" s="51">
        <f>ESTADISTICA!AH377</f>
        <v>0</v>
      </c>
      <c r="AI379" s="51">
        <f>ESTADISTICA!AI377</f>
        <v>0</v>
      </c>
    </row>
    <row r="380" spans="1:35" hidden="1" x14ac:dyDescent="0.25">
      <c r="A380" s="51" t="str">
        <f>ESTADISTICA!A378</f>
        <v>VILLA MONICA NUEVA</v>
      </c>
      <c r="B380" s="51" t="str">
        <f>ESTADISTICA!B378</f>
        <v>VMO 03 (fija 1)</v>
      </c>
      <c r="C380" s="51" t="str">
        <f>ESTADISTICA!C378</f>
        <v>EVA PERON E/ OROÃ‘O Y 734 A</v>
      </c>
      <c r="D380" s="51" t="str">
        <f>ESTADISTICA!D378</f>
        <v>Fija</v>
      </c>
      <c r="E380" s="51" t="str">
        <f>ESTADISTICA!E378</f>
        <v>Fibra Optica</v>
      </c>
      <c r="F380" s="51">
        <f>ESTADISTICA!F378</f>
        <v>0</v>
      </c>
      <c r="G380" s="51">
        <f>ESTADISTICA!G378</f>
        <v>0</v>
      </c>
      <c r="H380" s="51">
        <f>ESTADISTICA!H378</f>
        <v>0</v>
      </c>
      <c r="I380" s="51">
        <f>ESTADISTICA!I378</f>
        <v>0</v>
      </c>
      <c r="J380" s="51">
        <f>ESTADISTICA!J378</f>
        <v>0</v>
      </c>
      <c r="K380" s="51">
        <f>ESTADISTICA!K378</f>
        <v>0</v>
      </c>
      <c r="L380" s="51">
        <f>ESTADISTICA!L378</f>
        <v>0</v>
      </c>
      <c r="M380" s="51">
        <f>ESTADISTICA!M378</f>
        <v>0</v>
      </c>
      <c r="N380" s="51">
        <f>ESTADISTICA!N378</f>
        <v>0</v>
      </c>
      <c r="O380" s="51">
        <f>ESTADISTICA!O378</f>
        <v>0</v>
      </c>
      <c r="P380" s="51">
        <f>ESTADISTICA!P378</f>
        <v>0</v>
      </c>
      <c r="Q380" s="51">
        <f>ESTADISTICA!Q378</f>
        <v>0</v>
      </c>
      <c r="R380" s="51">
        <f>ESTADISTICA!R378</f>
        <v>0</v>
      </c>
      <c r="S380" s="51">
        <f>ESTADISTICA!S378</f>
        <v>0</v>
      </c>
      <c r="T380" s="51">
        <f>ESTADISTICA!T378</f>
        <v>0</v>
      </c>
      <c r="U380" s="51">
        <f>ESTADISTICA!U378</f>
        <v>0</v>
      </c>
      <c r="V380" s="51">
        <f>ESTADISTICA!V378</f>
        <v>0</v>
      </c>
      <c r="W380" s="51">
        <f>ESTADISTICA!W378</f>
        <v>0</v>
      </c>
      <c r="X380" s="51">
        <f>ESTADISTICA!X378</f>
        <v>0</v>
      </c>
      <c r="Y380" s="51">
        <f>ESTADISTICA!Y378</f>
        <v>0</v>
      </c>
      <c r="Z380" s="51">
        <f>ESTADISTICA!Z378</f>
        <v>0</v>
      </c>
      <c r="AA380" s="51">
        <f>ESTADISTICA!AA378</f>
        <v>0</v>
      </c>
      <c r="AB380" s="51">
        <f>ESTADISTICA!AB378</f>
        <v>0</v>
      </c>
      <c r="AC380" s="51">
        <f>ESTADISTICA!AC378</f>
        <v>0</v>
      </c>
      <c r="AD380" s="51">
        <f>ESTADISTICA!AD378</f>
        <v>0</v>
      </c>
      <c r="AE380" s="51">
        <f>ESTADISTICA!AE378</f>
        <v>0</v>
      </c>
      <c r="AF380" s="51">
        <f>ESTADISTICA!AF378</f>
        <v>0</v>
      </c>
      <c r="AG380" s="51">
        <f>ESTADISTICA!AG378</f>
        <v>0</v>
      </c>
      <c r="AH380" s="51">
        <f>ESTADISTICA!AH378</f>
        <v>0</v>
      </c>
      <c r="AI380" s="51">
        <f>ESTADISTICA!AI378</f>
        <v>0</v>
      </c>
    </row>
    <row r="381" spans="1:35" hidden="1" x14ac:dyDescent="0.25">
      <c r="A381" s="51" t="str">
        <f>ESTADISTICA!A379</f>
        <v>VILLA MONICA NUEVA</v>
      </c>
      <c r="B381" s="51" t="str">
        <f>ESTADISTICA!B379</f>
        <v>VMO 04 (fija 2)</v>
      </c>
      <c r="C381" s="51" t="str">
        <f>ESTADISTICA!C379</f>
        <v>EVA PERON E/ OROÃ‘O Y 734 A</v>
      </c>
      <c r="D381" s="51" t="str">
        <f>ESTADISTICA!D379</f>
        <v>Fija</v>
      </c>
      <c r="E381" s="51" t="str">
        <f>ESTADISTICA!E379</f>
        <v>Fibra Optica</v>
      </c>
      <c r="F381" s="51">
        <f>ESTADISTICA!F379</f>
        <v>0</v>
      </c>
      <c r="G381" s="51">
        <f>ESTADISTICA!G379</f>
        <v>0</v>
      </c>
      <c r="H381" s="51">
        <f>ESTADISTICA!H379</f>
        <v>0</v>
      </c>
      <c r="I381" s="51">
        <f>ESTADISTICA!I379</f>
        <v>0</v>
      </c>
      <c r="J381" s="51">
        <f>ESTADISTICA!J379</f>
        <v>0</v>
      </c>
      <c r="K381" s="51">
        <f>ESTADISTICA!K379</f>
        <v>0</v>
      </c>
      <c r="L381" s="51">
        <f>ESTADISTICA!L379</f>
        <v>0</v>
      </c>
      <c r="M381" s="51">
        <f>ESTADISTICA!M379</f>
        <v>0</v>
      </c>
      <c r="N381" s="51">
        <f>ESTADISTICA!N379</f>
        <v>0</v>
      </c>
      <c r="O381" s="51">
        <f>ESTADISTICA!O379</f>
        <v>0</v>
      </c>
      <c r="P381" s="51">
        <f>ESTADISTICA!P379</f>
        <v>0</v>
      </c>
      <c r="Q381" s="51">
        <f>ESTADISTICA!Q379</f>
        <v>0</v>
      </c>
      <c r="R381" s="51">
        <f>ESTADISTICA!R379</f>
        <v>0</v>
      </c>
      <c r="S381" s="51">
        <f>ESTADISTICA!S379</f>
        <v>0</v>
      </c>
      <c r="T381" s="51">
        <f>ESTADISTICA!T379</f>
        <v>0</v>
      </c>
      <c r="U381" s="51">
        <f>ESTADISTICA!U379</f>
        <v>0</v>
      </c>
      <c r="V381" s="51">
        <f>ESTADISTICA!V379</f>
        <v>0</v>
      </c>
      <c r="W381" s="51">
        <f>ESTADISTICA!W379</f>
        <v>0</v>
      </c>
      <c r="X381" s="51">
        <f>ESTADISTICA!X379</f>
        <v>0</v>
      </c>
      <c r="Y381" s="51">
        <f>ESTADISTICA!Y379</f>
        <v>0</v>
      </c>
      <c r="Z381" s="51">
        <f>ESTADISTICA!Z379</f>
        <v>0</v>
      </c>
      <c r="AA381" s="51">
        <f>ESTADISTICA!AA379</f>
        <v>0</v>
      </c>
      <c r="AB381" s="51">
        <f>ESTADISTICA!AB379</f>
        <v>0</v>
      </c>
      <c r="AC381" s="51">
        <f>ESTADISTICA!AC379</f>
        <v>0</v>
      </c>
      <c r="AD381" s="51">
        <f>ESTADISTICA!AD379</f>
        <v>0</v>
      </c>
      <c r="AE381" s="51">
        <f>ESTADISTICA!AE379</f>
        <v>0</v>
      </c>
      <c r="AF381" s="51">
        <f>ESTADISTICA!AF379</f>
        <v>0</v>
      </c>
      <c r="AG381" s="51">
        <f>ESTADISTICA!AG379</f>
        <v>0</v>
      </c>
      <c r="AH381" s="51">
        <f>ESTADISTICA!AH379</f>
        <v>0</v>
      </c>
      <c r="AI381" s="51">
        <f>ESTADISTICA!AI379</f>
        <v>0</v>
      </c>
    </row>
    <row r="382" spans="1:35" hidden="1" x14ac:dyDescent="0.25">
      <c r="A382" s="51" t="str">
        <f>ESTADISTICA!A380</f>
        <v>VILLA MONICA NUEVA</v>
      </c>
      <c r="B382" s="51" t="str">
        <f>ESTADISTICA!B380</f>
        <v>VMO 05</v>
      </c>
      <c r="C382" s="51" t="str">
        <f>ESTADISTICA!C380</f>
        <v>OROÃ‘O Y EVA PERON</v>
      </c>
      <c r="D382" s="51" t="str">
        <f>ESTADISTICA!D380</f>
        <v>DOMO</v>
      </c>
      <c r="E382" s="51" t="str">
        <f>ESTADISTICA!E380</f>
        <v>Fibra Optica</v>
      </c>
      <c r="F382" s="51">
        <f>ESTADISTICA!F380</f>
        <v>0</v>
      </c>
      <c r="G382" s="51">
        <f>ESTADISTICA!G380</f>
        <v>0</v>
      </c>
      <c r="H382" s="51">
        <f>ESTADISTICA!H380</f>
        <v>0</v>
      </c>
      <c r="I382" s="51">
        <f>ESTADISTICA!I380</f>
        <v>0</v>
      </c>
      <c r="J382" s="51">
        <f>ESTADISTICA!J380</f>
        <v>0</v>
      </c>
      <c r="K382" s="51">
        <f>ESTADISTICA!K380</f>
        <v>0</v>
      </c>
      <c r="L382" s="51">
        <f>ESTADISTICA!L380</f>
        <v>0</v>
      </c>
      <c r="M382" s="51">
        <f>ESTADISTICA!M380</f>
        <v>0</v>
      </c>
      <c r="N382" s="51">
        <f>ESTADISTICA!N380</f>
        <v>0</v>
      </c>
      <c r="O382" s="51">
        <f>ESTADISTICA!O380</f>
        <v>0</v>
      </c>
      <c r="P382" s="51">
        <f>ESTADISTICA!P380</f>
        <v>0</v>
      </c>
      <c r="Q382" s="51">
        <f>ESTADISTICA!Q380</f>
        <v>0</v>
      </c>
      <c r="R382" s="51">
        <f>ESTADISTICA!R380</f>
        <v>0</v>
      </c>
      <c r="S382" s="51">
        <f>ESTADISTICA!S380</f>
        <v>0</v>
      </c>
      <c r="T382" s="51">
        <f>ESTADISTICA!T380</f>
        <v>0</v>
      </c>
      <c r="U382" s="51">
        <f>ESTADISTICA!U380</f>
        <v>0</v>
      </c>
      <c r="V382" s="51">
        <f>ESTADISTICA!V380</f>
        <v>0</v>
      </c>
      <c r="W382" s="51">
        <f>ESTADISTICA!W380</f>
        <v>0</v>
      </c>
      <c r="X382" s="51">
        <f>ESTADISTICA!X380</f>
        <v>0</v>
      </c>
      <c r="Y382" s="51">
        <f>ESTADISTICA!Y380</f>
        <v>0</v>
      </c>
      <c r="Z382" s="51">
        <f>ESTADISTICA!Z380</f>
        <v>0</v>
      </c>
      <c r="AA382" s="51">
        <f>ESTADISTICA!AA380</f>
        <v>0</v>
      </c>
      <c r="AB382" s="51">
        <f>ESTADISTICA!AB380</f>
        <v>0</v>
      </c>
      <c r="AC382" s="51">
        <f>ESTADISTICA!AC380</f>
        <v>0</v>
      </c>
      <c r="AD382" s="51">
        <f>ESTADISTICA!AD380</f>
        <v>0</v>
      </c>
      <c r="AE382" s="51">
        <f>ESTADISTICA!AE380</f>
        <v>0</v>
      </c>
      <c r="AF382" s="51">
        <f>ESTADISTICA!AF380</f>
        <v>0</v>
      </c>
      <c r="AG382" s="51">
        <f>ESTADISTICA!AG380</f>
        <v>0</v>
      </c>
      <c r="AH382" s="51">
        <f>ESTADISTICA!AH380</f>
        <v>0</v>
      </c>
      <c r="AI382" s="51">
        <f>ESTADISTICA!AI380</f>
        <v>0</v>
      </c>
    </row>
    <row r="383" spans="1:35" hidden="1" x14ac:dyDescent="0.25">
      <c r="A383" s="51" t="str">
        <f>ESTADISTICA!A381</f>
        <v>VILLA MONICA NUEVA</v>
      </c>
      <c r="B383" s="51" t="str">
        <f>ESTADISTICA!B381</f>
        <v>VMO01</v>
      </c>
      <c r="C383" s="51" t="str">
        <f>ESTADISTICA!C381</f>
        <v>Eva Peron y MonseÃ±or de las Casas</v>
      </c>
      <c r="D383" s="51" t="str">
        <f>ESTADISTICA!D381</f>
        <v>DOMO</v>
      </c>
      <c r="E383" s="51" t="str">
        <f>ESTADISTICA!E381</f>
        <v>Fibra Optica</v>
      </c>
      <c r="F383" s="51">
        <f>ESTADISTICA!F381</f>
        <v>0</v>
      </c>
      <c r="G383" s="51">
        <f>ESTADISTICA!G381</f>
        <v>0</v>
      </c>
      <c r="H383" s="51">
        <f>ESTADISTICA!H381</f>
        <v>0</v>
      </c>
      <c r="I383" s="51">
        <f>ESTADISTICA!I381</f>
        <v>0</v>
      </c>
      <c r="J383" s="51">
        <f>ESTADISTICA!J381</f>
        <v>0</v>
      </c>
      <c r="K383" s="51">
        <f>ESTADISTICA!K381</f>
        <v>0</v>
      </c>
      <c r="L383" s="51">
        <f>ESTADISTICA!L381</f>
        <v>0</v>
      </c>
      <c r="M383" s="51">
        <f>ESTADISTICA!M381</f>
        <v>0</v>
      </c>
      <c r="N383" s="51">
        <f>ESTADISTICA!N381</f>
        <v>0</v>
      </c>
      <c r="O383" s="51">
        <f>ESTADISTICA!O381</f>
        <v>0</v>
      </c>
      <c r="P383" s="51">
        <f>ESTADISTICA!P381</f>
        <v>0</v>
      </c>
      <c r="Q383" s="51">
        <f>ESTADISTICA!Q381</f>
        <v>0</v>
      </c>
      <c r="R383" s="51">
        <f>ESTADISTICA!R381</f>
        <v>0</v>
      </c>
      <c r="S383" s="51">
        <f>ESTADISTICA!S381</f>
        <v>0</v>
      </c>
      <c r="T383" s="51">
        <f>ESTADISTICA!T381</f>
        <v>0</v>
      </c>
      <c r="U383" s="51">
        <f>ESTADISTICA!U381</f>
        <v>0</v>
      </c>
      <c r="V383" s="51">
        <f>ESTADISTICA!V381</f>
        <v>0</v>
      </c>
      <c r="W383" s="51">
        <f>ESTADISTICA!W381</f>
        <v>0</v>
      </c>
      <c r="X383" s="51">
        <f>ESTADISTICA!X381</f>
        <v>0</v>
      </c>
      <c r="Y383" s="51">
        <f>ESTADISTICA!Y381</f>
        <v>0</v>
      </c>
      <c r="Z383" s="51">
        <f>ESTADISTICA!Z381</f>
        <v>0</v>
      </c>
      <c r="AA383" s="51">
        <f>ESTADISTICA!AA381</f>
        <v>0</v>
      </c>
      <c r="AB383" s="51">
        <f>ESTADISTICA!AB381</f>
        <v>0</v>
      </c>
      <c r="AC383" s="51">
        <f>ESTADISTICA!AC381</f>
        <v>0</v>
      </c>
      <c r="AD383" s="51">
        <f>ESTADISTICA!AD381</f>
        <v>0</v>
      </c>
      <c r="AE383" s="51">
        <f>ESTADISTICA!AE381</f>
        <v>0</v>
      </c>
      <c r="AF383" s="51">
        <f>ESTADISTICA!AF381</f>
        <v>0</v>
      </c>
      <c r="AG383" s="51">
        <f>ESTADISTICA!AG381</f>
        <v>0</v>
      </c>
      <c r="AH383" s="51">
        <f>ESTADISTICA!AH381</f>
        <v>0</v>
      </c>
      <c r="AI383" s="51">
        <f>ESTADISTICA!AI381</f>
        <v>0</v>
      </c>
    </row>
    <row r="384" spans="1:35" hidden="1" x14ac:dyDescent="0.25">
      <c r="A384" s="51" t="str">
        <f>ESTADISTICA!A382</f>
        <v>VILLA MONICA VIEJA</v>
      </c>
      <c r="B384" s="51" t="str">
        <f>ESTADISTICA!B382</f>
        <v>VMOV 02 (fija 2)</v>
      </c>
      <c r="C384" s="51" t="str">
        <f>ESTADISTICA!C382</f>
        <v>ATENAS E/ CAFFERATA Y ALEMANIA</v>
      </c>
      <c r="D384" s="51" t="str">
        <f>ESTADISTICA!D382</f>
        <v>Fija</v>
      </c>
      <c r="E384" s="51" t="str">
        <f>ESTADISTICA!E382</f>
        <v>Fibra Optica</v>
      </c>
      <c r="F384" s="51" t="str">
        <f>ESTADISTICA!F382</f>
        <v>APAGADO</v>
      </c>
      <c r="G384" s="51" t="str">
        <f>ESTADISTICA!G382</f>
        <v>APAGADO</v>
      </c>
      <c r="H384" s="51" t="str">
        <f>ESTADISTICA!H382</f>
        <v>APAGADO</v>
      </c>
      <c r="I384" s="51" t="str">
        <f>ESTADISTICA!I382</f>
        <v>APAGADO</v>
      </c>
      <c r="J384" s="51" t="str">
        <f>ESTADISTICA!J382</f>
        <v>APAGADO</v>
      </c>
      <c r="K384" s="51" t="str">
        <f>ESTADISTICA!K382</f>
        <v>APAGADO</v>
      </c>
      <c r="L384" s="51" t="str">
        <f>ESTADISTICA!L382</f>
        <v>APAGADO</v>
      </c>
      <c r="M384" s="51">
        <f>ESTADISTICA!M382</f>
        <v>0</v>
      </c>
      <c r="N384" s="51">
        <f>ESTADISTICA!N382</f>
        <v>0</v>
      </c>
      <c r="O384" s="51">
        <f>ESTADISTICA!O382</f>
        <v>0</v>
      </c>
      <c r="P384" s="51">
        <f>ESTADISTICA!P382</f>
        <v>0</v>
      </c>
      <c r="Q384" s="51">
        <f>ESTADISTICA!Q382</f>
        <v>0</v>
      </c>
      <c r="R384" s="51">
        <f>ESTADISTICA!R382</f>
        <v>0</v>
      </c>
      <c r="S384" s="51">
        <f>ESTADISTICA!S382</f>
        <v>0</v>
      </c>
      <c r="T384" s="51">
        <f>ESTADISTICA!T382</f>
        <v>0</v>
      </c>
      <c r="U384" s="51">
        <f>ESTADISTICA!U382</f>
        <v>0</v>
      </c>
      <c r="V384" s="51">
        <f>ESTADISTICA!V382</f>
        <v>0</v>
      </c>
      <c r="W384" s="51">
        <f>ESTADISTICA!W382</f>
        <v>0</v>
      </c>
      <c r="X384" s="51">
        <f>ESTADISTICA!X382</f>
        <v>0</v>
      </c>
      <c r="Y384" s="51">
        <f>ESTADISTICA!Y382</f>
        <v>0</v>
      </c>
      <c r="Z384" s="51">
        <f>ESTADISTICA!Z382</f>
        <v>0</v>
      </c>
      <c r="AA384" s="51">
        <f>ESTADISTICA!AA382</f>
        <v>0</v>
      </c>
      <c r="AB384" s="51">
        <f>ESTADISTICA!AB382</f>
        <v>0</v>
      </c>
      <c r="AC384" s="51">
        <f>ESTADISTICA!AC382</f>
        <v>0</v>
      </c>
      <c r="AD384" s="51">
        <f>ESTADISTICA!AD382</f>
        <v>0</v>
      </c>
      <c r="AE384" s="51">
        <f>ESTADISTICA!AE382</f>
        <v>0</v>
      </c>
      <c r="AF384" s="51">
        <f>ESTADISTICA!AF382</f>
        <v>0</v>
      </c>
      <c r="AG384" s="51">
        <f>ESTADISTICA!AG382</f>
        <v>0</v>
      </c>
      <c r="AH384" s="51">
        <f>ESTADISTICA!AH382</f>
        <v>0</v>
      </c>
      <c r="AI384" s="51">
        <f>ESTADISTICA!AI382</f>
        <v>0</v>
      </c>
    </row>
    <row r="385" spans="1:35" hidden="1" x14ac:dyDescent="0.25">
      <c r="A385" s="51" t="str">
        <f>ESTADISTICA!A383</f>
        <v>VILLA MONICA VIEJA</v>
      </c>
      <c r="B385" s="51" t="str">
        <f>ESTADISTICA!B383</f>
        <v>VMOV 03 (fija 1)</v>
      </c>
      <c r="C385" s="51" t="str">
        <f>ESTADISTICA!C383</f>
        <v>ROMA E/ HOLANDA Y CAFFERATA</v>
      </c>
      <c r="D385" s="51" t="str">
        <f>ESTADISTICA!D383</f>
        <v>Fija</v>
      </c>
      <c r="E385" s="51" t="str">
        <f>ESTADISTICA!E383</f>
        <v>Fibra Optica</v>
      </c>
      <c r="F385" s="51" t="str">
        <f>ESTADISTICA!F383</f>
        <v>APAGADO</v>
      </c>
      <c r="G385" s="51" t="str">
        <f>ESTADISTICA!G383</f>
        <v>APAGADO</v>
      </c>
      <c r="H385" s="51" t="str">
        <f>ESTADISTICA!H383</f>
        <v>APAGADO</v>
      </c>
      <c r="I385" s="51" t="str">
        <f>ESTADISTICA!I383</f>
        <v>APAGADO</v>
      </c>
      <c r="J385" s="51" t="str">
        <f>ESTADISTICA!J383</f>
        <v>APAGADO</v>
      </c>
      <c r="K385" s="51" t="str">
        <f>ESTADISTICA!K383</f>
        <v>APAGADO</v>
      </c>
      <c r="L385" s="51" t="str">
        <f>ESTADISTICA!L383</f>
        <v>APAGADO</v>
      </c>
      <c r="M385" s="51">
        <f>ESTADISTICA!M383</f>
        <v>0</v>
      </c>
      <c r="N385" s="51">
        <f>ESTADISTICA!N383</f>
        <v>0</v>
      </c>
      <c r="O385" s="51">
        <f>ESTADISTICA!O383</f>
        <v>0</v>
      </c>
      <c r="P385" s="51">
        <f>ESTADISTICA!P383</f>
        <v>0</v>
      </c>
      <c r="Q385" s="51">
        <f>ESTADISTICA!Q383</f>
        <v>0</v>
      </c>
      <c r="R385" s="51">
        <f>ESTADISTICA!R383</f>
        <v>0</v>
      </c>
      <c r="S385" s="51">
        <f>ESTADISTICA!S383</f>
        <v>0</v>
      </c>
      <c r="T385" s="51">
        <f>ESTADISTICA!T383</f>
        <v>0</v>
      </c>
      <c r="U385" s="51">
        <f>ESTADISTICA!U383</f>
        <v>0</v>
      </c>
      <c r="V385" s="51">
        <f>ESTADISTICA!V383</f>
        <v>0</v>
      </c>
      <c r="W385" s="51">
        <f>ESTADISTICA!W383</f>
        <v>0</v>
      </c>
      <c r="X385" s="51">
        <f>ESTADISTICA!X383</f>
        <v>0</v>
      </c>
      <c r="Y385" s="51">
        <f>ESTADISTICA!Y383</f>
        <v>0</v>
      </c>
      <c r="Z385" s="51">
        <f>ESTADISTICA!Z383</f>
        <v>0</v>
      </c>
      <c r="AA385" s="51">
        <f>ESTADISTICA!AA383</f>
        <v>0</v>
      </c>
      <c r="AB385" s="51">
        <f>ESTADISTICA!AB383</f>
        <v>0</v>
      </c>
      <c r="AC385" s="51">
        <f>ESTADISTICA!AC383</f>
        <v>0</v>
      </c>
      <c r="AD385" s="51">
        <f>ESTADISTICA!AD383</f>
        <v>0</v>
      </c>
      <c r="AE385" s="51">
        <f>ESTADISTICA!AE383</f>
        <v>0</v>
      </c>
      <c r="AF385" s="51">
        <f>ESTADISTICA!AF383</f>
        <v>0</v>
      </c>
      <c r="AG385" s="51">
        <f>ESTADISTICA!AG383</f>
        <v>0</v>
      </c>
      <c r="AH385" s="51">
        <f>ESTADISTICA!AH383</f>
        <v>0</v>
      </c>
      <c r="AI385" s="51">
        <f>ESTADISTICA!AI383</f>
        <v>0</v>
      </c>
    </row>
    <row r="386" spans="1:35" hidden="1" x14ac:dyDescent="0.25">
      <c r="A386" s="51" t="str">
        <f>ESTADISTICA!A384</f>
        <v>VILLA MONICA VIEJA</v>
      </c>
      <c r="B386" s="51" t="str">
        <f>ESTADISTICA!B384</f>
        <v>VMOV01 (fija 1)</v>
      </c>
      <c r="C386" s="51" t="str">
        <f>ESTADISTICA!C384</f>
        <v>ATENAS E/ CAFFERATA Y ALEMANIA</v>
      </c>
      <c r="D386" s="51" t="str">
        <f>ESTADISTICA!D384</f>
        <v>Fija</v>
      </c>
      <c r="E386" s="51" t="str">
        <f>ESTADISTICA!E384</f>
        <v>Fibra Optica</v>
      </c>
      <c r="F386" s="51" t="str">
        <f>ESTADISTICA!F384</f>
        <v>APAGADO</v>
      </c>
      <c r="G386" s="51" t="str">
        <f>ESTADISTICA!G384</f>
        <v>APAGADO</v>
      </c>
      <c r="H386" s="51" t="str">
        <f>ESTADISTICA!H384</f>
        <v>APAGADO</v>
      </c>
      <c r="I386" s="51" t="str">
        <f>ESTADISTICA!I384</f>
        <v>APAGADO</v>
      </c>
      <c r="J386" s="51" t="str">
        <f>ESTADISTICA!J384</f>
        <v>APAGADO</v>
      </c>
      <c r="K386" s="51" t="str">
        <f>ESTADISTICA!K384</f>
        <v>APAGADO</v>
      </c>
      <c r="L386" s="51" t="str">
        <f>ESTADISTICA!L384</f>
        <v>APAGADO</v>
      </c>
      <c r="M386" s="51">
        <f>ESTADISTICA!M384</f>
        <v>0</v>
      </c>
      <c r="N386" s="51">
        <f>ESTADISTICA!N384</f>
        <v>0</v>
      </c>
      <c r="O386" s="51">
        <f>ESTADISTICA!O384</f>
        <v>0</v>
      </c>
      <c r="P386" s="51">
        <f>ESTADISTICA!P384</f>
        <v>0</v>
      </c>
      <c r="Q386" s="51">
        <f>ESTADISTICA!Q384</f>
        <v>0</v>
      </c>
      <c r="R386" s="51">
        <f>ESTADISTICA!R384</f>
        <v>0</v>
      </c>
      <c r="S386" s="51">
        <f>ESTADISTICA!S384</f>
        <v>0</v>
      </c>
      <c r="T386" s="51">
        <f>ESTADISTICA!T384</f>
        <v>0</v>
      </c>
      <c r="U386" s="51">
        <f>ESTADISTICA!U384</f>
        <v>0</v>
      </c>
      <c r="V386" s="51">
        <f>ESTADISTICA!V384</f>
        <v>0</v>
      </c>
      <c r="W386" s="51">
        <f>ESTADISTICA!W384</f>
        <v>0</v>
      </c>
      <c r="X386" s="51">
        <f>ESTADISTICA!X384</f>
        <v>0</v>
      </c>
      <c r="Y386" s="51">
        <f>ESTADISTICA!Y384</f>
        <v>0</v>
      </c>
      <c r="Z386" s="51">
        <f>ESTADISTICA!Z384</f>
        <v>0</v>
      </c>
      <c r="AA386" s="51">
        <f>ESTADISTICA!AA384</f>
        <v>0</v>
      </c>
      <c r="AB386" s="51">
        <f>ESTADISTICA!AB384</f>
        <v>0</v>
      </c>
      <c r="AC386" s="51">
        <f>ESTADISTICA!AC384</f>
        <v>0</v>
      </c>
      <c r="AD386" s="51">
        <f>ESTADISTICA!AD384</f>
        <v>0</v>
      </c>
      <c r="AE386" s="51">
        <f>ESTADISTICA!AE384</f>
        <v>0</v>
      </c>
      <c r="AF386" s="51">
        <f>ESTADISTICA!AF384</f>
        <v>0</v>
      </c>
      <c r="AG386" s="51">
        <f>ESTADISTICA!AG384</f>
        <v>0</v>
      </c>
      <c r="AH386" s="51">
        <f>ESTADISTICA!AH384</f>
        <v>0</v>
      </c>
      <c r="AI386" s="51">
        <f>ESTADISTICA!AI384</f>
        <v>0</v>
      </c>
    </row>
    <row r="387" spans="1:35" hidden="1" x14ac:dyDescent="0.25">
      <c r="A387" s="51" t="str">
        <f>ESTADISTICA!A385</f>
        <v>VILLA MONICA VIEJA</v>
      </c>
      <c r="B387" s="51" t="str">
        <f>ESTADISTICA!B385</f>
        <v>VMOV04 (fija 2)</v>
      </c>
      <c r="C387" s="51" t="str">
        <f>ESTADISTICA!C385</f>
        <v>ROMA E/ HOLANDA Y CAFFERATA</v>
      </c>
      <c r="D387" s="51" t="str">
        <f>ESTADISTICA!D385</f>
        <v>Fija</v>
      </c>
      <c r="E387" s="51" t="str">
        <f>ESTADISTICA!E385</f>
        <v>Fibra Optica</v>
      </c>
      <c r="F387" s="51" t="str">
        <f>ESTADISTICA!F385</f>
        <v>APAGADO</v>
      </c>
      <c r="G387" s="51" t="str">
        <f>ESTADISTICA!G385</f>
        <v>APAGADO</v>
      </c>
      <c r="H387" s="51" t="str">
        <f>ESTADISTICA!H385</f>
        <v>APAGADO</v>
      </c>
      <c r="I387" s="51" t="str">
        <f>ESTADISTICA!I385</f>
        <v>APAGADO</v>
      </c>
      <c r="J387" s="51" t="str">
        <f>ESTADISTICA!J385</f>
        <v>APAGADO</v>
      </c>
      <c r="K387" s="51" t="str">
        <f>ESTADISTICA!K385</f>
        <v>APAGADO</v>
      </c>
      <c r="L387" s="51" t="str">
        <f>ESTADISTICA!L385</f>
        <v>APAGADO</v>
      </c>
      <c r="M387" s="51">
        <f>ESTADISTICA!M385</f>
        <v>0</v>
      </c>
      <c r="N387" s="51">
        <f>ESTADISTICA!N385</f>
        <v>0</v>
      </c>
      <c r="O387" s="51">
        <f>ESTADISTICA!O385</f>
        <v>0</v>
      </c>
      <c r="P387" s="51">
        <f>ESTADISTICA!P385</f>
        <v>0</v>
      </c>
      <c r="Q387" s="51">
        <f>ESTADISTICA!Q385</f>
        <v>0</v>
      </c>
      <c r="R387" s="51">
        <f>ESTADISTICA!R385</f>
        <v>0</v>
      </c>
      <c r="S387" s="51">
        <f>ESTADISTICA!S385</f>
        <v>0</v>
      </c>
      <c r="T387" s="51">
        <f>ESTADISTICA!T385</f>
        <v>0</v>
      </c>
      <c r="U387" s="51">
        <f>ESTADISTICA!U385</f>
        <v>0</v>
      </c>
      <c r="V387" s="51">
        <f>ESTADISTICA!V385</f>
        <v>0</v>
      </c>
      <c r="W387" s="51">
        <f>ESTADISTICA!W385</f>
        <v>0</v>
      </c>
      <c r="X387" s="51">
        <f>ESTADISTICA!X385</f>
        <v>0</v>
      </c>
      <c r="Y387" s="51">
        <f>ESTADISTICA!Y385</f>
        <v>0</v>
      </c>
      <c r="Z387" s="51">
        <f>ESTADISTICA!Z385</f>
        <v>0</v>
      </c>
      <c r="AA387" s="51">
        <f>ESTADISTICA!AA385</f>
        <v>0</v>
      </c>
      <c r="AB387" s="51">
        <f>ESTADISTICA!AB385</f>
        <v>0</v>
      </c>
      <c r="AC387" s="51">
        <f>ESTADISTICA!AC385</f>
        <v>0</v>
      </c>
      <c r="AD387" s="51">
        <f>ESTADISTICA!AD385</f>
        <v>0</v>
      </c>
      <c r="AE387" s="51">
        <f>ESTADISTICA!AE385</f>
        <v>0</v>
      </c>
      <c r="AF387" s="51">
        <f>ESTADISTICA!AF385</f>
        <v>0</v>
      </c>
      <c r="AG387" s="51">
        <f>ESTADISTICA!AG385</f>
        <v>0</v>
      </c>
      <c r="AH387" s="51">
        <f>ESTADISTICA!AH385</f>
        <v>0</v>
      </c>
      <c r="AI387" s="51">
        <f>ESTADISTICA!AI385</f>
        <v>0</v>
      </c>
    </row>
    <row r="388" spans="1:35" hidden="1" x14ac:dyDescent="0.25">
      <c r="A388" s="51" t="str">
        <f>ESTADISTICA!A386</f>
        <v>VILLA SAN LUIS</v>
      </c>
      <c r="B388" s="51" t="str">
        <f>ESTADISTICA!B386</f>
        <v>VSL 01</v>
      </c>
      <c r="C388" s="51" t="str">
        <f>ESTADISTICA!C386</f>
        <v>AV. HUDSON Y CACHEUTA</v>
      </c>
      <c r="D388" s="51" t="str">
        <f>ESTADISTICA!D386</f>
        <v>DOMO</v>
      </c>
      <c r="E388" s="51" t="str">
        <f>ESTADISTICA!E386</f>
        <v>Fibra Optica</v>
      </c>
      <c r="F388" s="51">
        <f>ESTADISTICA!F386</f>
        <v>0</v>
      </c>
      <c r="G388" s="51">
        <f>ESTADISTICA!G386</f>
        <v>0</v>
      </c>
      <c r="H388" s="51">
        <f>ESTADISTICA!H386</f>
        <v>0</v>
      </c>
      <c r="I388" s="51">
        <f>ESTADISTICA!I386</f>
        <v>0</v>
      </c>
      <c r="J388" s="51">
        <f>ESTADISTICA!J386</f>
        <v>0</v>
      </c>
      <c r="K388" s="51">
        <f>ESTADISTICA!K386</f>
        <v>0</v>
      </c>
      <c r="L388" s="51">
        <f>ESTADISTICA!L386</f>
        <v>0</v>
      </c>
      <c r="M388" s="51">
        <f>ESTADISTICA!M386</f>
        <v>0</v>
      </c>
      <c r="N388" s="51">
        <f>ESTADISTICA!N386</f>
        <v>0</v>
      </c>
      <c r="O388" s="51">
        <f>ESTADISTICA!O386</f>
        <v>0</v>
      </c>
      <c r="P388" s="51">
        <f>ESTADISTICA!P386</f>
        <v>0</v>
      </c>
      <c r="Q388" s="51">
        <f>ESTADISTICA!Q386</f>
        <v>0</v>
      </c>
      <c r="R388" s="51">
        <f>ESTADISTICA!R386</f>
        <v>0</v>
      </c>
      <c r="S388" s="51">
        <f>ESTADISTICA!S386</f>
        <v>0</v>
      </c>
      <c r="T388" s="51">
        <f>ESTADISTICA!T386</f>
        <v>0</v>
      </c>
      <c r="U388" s="51">
        <f>ESTADISTICA!U386</f>
        <v>0</v>
      </c>
      <c r="V388" s="51">
        <f>ESTADISTICA!V386</f>
        <v>0</v>
      </c>
      <c r="W388" s="51">
        <f>ESTADISTICA!W386</f>
        <v>0</v>
      </c>
      <c r="X388" s="51">
        <f>ESTADISTICA!X386</f>
        <v>0</v>
      </c>
      <c r="Y388" s="51">
        <f>ESTADISTICA!Y386</f>
        <v>0</v>
      </c>
      <c r="Z388" s="51">
        <f>ESTADISTICA!Z386</f>
        <v>0</v>
      </c>
      <c r="AA388" s="51">
        <f>ESTADISTICA!AA386</f>
        <v>0</v>
      </c>
      <c r="AB388" s="51">
        <f>ESTADISTICA!AB386</f>
        <v>0</v>
      </c>
      <c r="AC388" s="51">
        <f>ESTADISTICA!AC386</f>
        <v>0</v>
      </c>
      <c r="AD388" s="51">
        <f>ESTADISTICA!AD386</f>
        <v>0</v>
      </c>
      <c r="AE388" s="51">
        <f>ESTADISTICA!AE386</f>
        <v>0</v>
      </c>
      <c r="AF388" s="51">
        <f>ESTADISTICA!AF386</f>
        <v>0</v>
      </c>
      <c r="AG388" s="51">
        <f>ESTADISTICA!AG386</f>
        <v>0</v>
      </c>
      <c r="AH388" s="51">
        <f>ESTADISTICA!AH386</f>
        <v>0</v>
      </c>
      <c r="AI388" s="51">
        <f>ESTADISTICA!AI386</f>
        <v>0</v>
      </c>
    </row>
    <row r="389" spans="1:35" hidden="1" x14ac:dyDescent="0.25">
      <c r="A389" s="51" t="str">
        <f>ESTADISTICA!A387</f>
        <v>VILLA SUSANA</v>
      </c>
      <c r="B389" s="51" t="str">
        <f>ESTADISTICA!B387</f>
        <v>VSU 02</v>
      </c>
      <c r="C389" s="51" t="str">
        <f>ESTADISTICA!C387</f>
        <v>CABELLO Y SANTA FE</v>
      </c>
      <c r="D389" s="51" t="str">
        <f>ESTADISTICA!D387</f>
        <v>DOMO</v>
      </c>
      <c r="E389" s="51" t="str">
        <f>ESTADISTICA!E387</f>
        <v>Radio</v>
      </c>
      <c r="F389" s="51">
        <f>ESTADISTICA!F387</f>
        <v>0</v>
      </c>
      <c r="G389" s="51">
        <f>ESTADISTICA!G387</f>
        <v>0</v>
      </c>
      <c r="H389" s="51">
        <f>ESTADISTICA!H387</f>
        <v>0</v>
      </c>
      <c r="I389" s="51">
        <f>ESTADISTICA!I387</f>
        <v>0</v>
      </c>
      <c r="J389" s="51">
        <f>ESTADISTICA!J387</f>
        <v>0</v>
      </c>
      <c r="K389" s="51">
        <f>ESTADISTICA!K387</f>
        <v>0</v>
      </c>
      <c r="L389" s="51">
        <f>ESTADISTICA!L387</f>
        <v>0</v>
      </c>
      <c r="M389" s="51">
        <f>ESTADISTICA!M387</f>
        <v>0</v>
      </c>
      <c r="N389" s="51">
        <f>ESTADISTICA!N387</f>
        <v>0</v>
      </c>
      <c r="O389" s="51">
        <f>ESTADISTICA!O387</f>
        <v>0</v>
      </c>
      <c r="P389" s="51">
        <f>ESTADISTICA!P387</f>
        <v>0</v>
      </c>
      <c r="Q389" s="51">
        <f>ESTADISTICA!Q387</f>
        <v>0</v>
      </c>
      <c r="R389" s="51">
        <f>ESTADISTICA!R387</f>
        <v>0</v>
      </c>
      <c r="S389" s="51">
        <f>ESTADISTICA!S387</f>
        <v>0</v>
      </c>
      <c r="T389" s="51">
        <f>ESTADISTICA!T387</f>
        <v>0</v>
      </c>
      <c r="U389" s="51">
        <f>ESTADISTICA!U387</f>
        <v>0</v>
      </c>
      <c r="V389" s="51">
        <f>ESTADISTICA!V387</f>
        <v>0</v>
      </c>
      <c r="W389" s="51">
        <f>ESTADISTICA!W387</f>
        <v>0</v>
      </c>
      <c r="X389" s="51">
        <f>ESTADISTICA!X387</f>
        <v>0</v>
      </c>
      <c r="Y389" s="51">
        <f>ESTADISTICA!Y387</f>
        <v>0</v>
      </c>
      <c r="Z389" s="51">
        <f>ESTADISTICA!Z387</f>
        <v>0</v>
      </c>
      <c r="AA389" s="51">
        <f>ESTADISTICA!AA387</f>
        <v>0</v>
      </c>
      <c r="AB389" s="51">
        <f>ESTADISTICA!AB387</f>
        <v>0</v>
      </c>
      <c r="AC389" s="51">
        <f>ESTADISTICA!AC387</f>
        <v>0</v>
      </c>
      <c r="AD389" s="51">
        <f>ESTADISTICA!AD387</f>
        <v>0</v>
      </c>
      <c r="AE389" s="51">
        <f>ESTADISTICA!AE387</f>
        <v>0</v>
      </c>
      <c r="AF389" s="51">
        <f>ESTADISTICA!AF387</f>
        <v>0</v>
      </c>
      <c r="AG389" s="51">
        <f>ESTADISTICA!AG387</f>
        <v>0</v>
      </c>
      <c r="AH389" s="51">
        <f>ESTADISTICA!AH387</f>
        <v>0</v>
      </c>
      <c r="AI389" s="51">
        <f>ESTADISTICA!AI387</f>
        <v>0</v>
      </c>
    </row>
    <row r="390" spans="1:35" hidden="1" x14ac:dyDescent="0.25">
      <c r="A390" s="51" t="str">
        <f>ESTADISTICA!A388</f>
        <v>VILLA SUSANA</v>
      </c>
      <c r="B390" s="51" t="str">
        <f>ESTADISTICA!B388</f>
        <v>VSU 03</v>
      </c>
      <c r="C390" s="51" t="str">
        <f>ESTADISTICA!C388</f>
        <v>EE.UU Y SERRANO</v>
      </c>
      <c r="D390" s="51" t="str">
        <f>ESTADISTICA!D388</f>
        <v>DOMO</v>
      </c>
      <c r="E390" s="51" t="str">
        <f>ESTADISTICA!E388</f>
        <v>Radio</v>
      </c>
      <c r="F390" s="51">
        <f>ESTADISTICA!F388</f>
        <v>0</v>
      </c>
      <c r="G390" s="51">
        <f>ESTADISTICA!G388</f>
        <v>0</v>
      </c>
      <c r="H390" s="51">
        <f>ESTADISTICA!H388</f>
        <v>0</v>
      </c>
      <c r="I390" s="51">
        <f>ESTADISTICA!I388</f>
        <v>0</v>
      </c>
      <c r="J390" s="51">
        <f>ESTADISTICA!J388</f>
        <v>0</v>
      </c>
      <c r="K390" s="51">
        <f>ESTADISTICA!K388</f>
        <v>0</v>
      </c>
      <c r="L390" s="51">
        <f>ESTADISTICA!L388</f>
        <v>0</v>
      </c>
      <c r="M390" s="51">
        <f>ESTADISTICA!M388</f>
        <v>0</v>
      </c>
      <c r="N390" s="51">
        <f>ESTADISTICA!N388</f>
        <v>0</v>
      </c>
      <c r="O390" s="51">
        <f>ESTADISTICA!O388</f>
        <v>0</v>
      </c>
      <c r="P390" s="51">
        <f>ESTADISTICA!P388</f>
        <v>0</v>
      </c>
      <c r="Q390" s="51">
        <f>ESTADISTICA!Q388</f>
        <v>0</v>
      </c>
      <c r="R390" s="51">
        <f>ESTADISTICA!R388</f>
        <v>0</v>
      </c>
      <c r="S390" s="51">
        <f>ESTADISTICA!S388</f>
        <v>0</v>
      </c>
      <c r="T390" s="51">
        <f>ESTADISTICA!T388</f>
        <v>0</v>
      </c>
      <c r="U390" s="51">
        <f>ESTADISTICA!U388</f>
        <v>0</v>
      </c>
      <c r="V390" s="51">
        <f>ESTADISTICA!V388</f>
        <v>0</v>
      </c>
      <c r="W390" s="51">
        <f>ESTADISTICA!W388</f>
        <v>0</v>
      </c>
      <c r="X390" s="51">
        <f>ESTADISTICA!X388</f>
        <v>0</v>
      </c>
      <c r="Y390" s="51">
        <f>ESTADISTICA!Y388</f>
        <v>0</v>
      </c>
      <c r="Z390" s="51">
        <f>ESTADISTICA!Z388</f>
        <v>0</v>
      </c>
      <c r="AA390" s="51">
        <f>ESTADISTICA!AA388</f>
        <v>0</v>
      </c>
      <c r="AB390" s="51">
        <f>ESTADISTICA!AB388</f>
        <v>0</v>
      </c>
      <c r="AC390" s="51">
        <f>ESTADISTICA!AC388</f>
        <v>0</v>
      </c>
      <c r="AD390" s="51">
        <f>ESTADISTICA!AD388</f>
        <v>0</v>
      </c>
      <c r="AE390" s="51">
        <f>ESTADISTICA!AE388</f>
        <v>0</v>
      </c>
      <c r="AF390" s="51">
        <f>ESTADISTICA!AF388</f>
        <v>0</v>
      </c>
      <c r="AG390" s="51">
        <f>ESTADISTICA!AG388</f>
        <v>0</v>
      </c>
      <c r="AH390" s="51">
        <f>ESTADISTICA!AH388</f>
        <v>0</v>
      </c>
      <c r="AI390" s="51">
        <f>ESTADISTICA!AI388</f>
        <v>0</v>
      </c>
    </row>
    <row r="391" spans="1:35" hidden="1" x14ac:dyDescent="0.25">
      <c r="A391" s="51" t="str">
        <f>ESTADISTICA!A389</f>
        <v>VILLA SUSANA</v>
      </c>
      <c r="B391" s="51" t="str">
        <f>ESTADISTICA!B389</f>
        <v>VSU01</v>
      </c>
      <c r="C391" s="51" t="str">
        <f>ESTADISTICA!C389</f>
        <v>CJAL. JUAN BROWN Y SANTA FE</v>
      </c>
      <c r="D391" s="51" t="str">
        <f>ESTADISTICA!D389</f>
        <v>DOMO</v>
      </c>
      <c r="E391" s="51" t="str">
        <f>ESTADISTICA!E389</f>
        <v>Radio</v>
      </c>
      <c r="F391" s="51">
        <f>ESTADISTICA!F389</f>
        <v>0</v>
      </c>
      <c r="G391" s="51">
        <f>ESTADISTICA!G389</f>
        <v>0</v>
      </c>
      <c r="H391" s="51">
        <f>ESTADISTICA!H389</f>
        <v>0</v>
      </c>
      <c r="I391" s="51">
        <f>ESTADISTICA!I389</f>
        <v>0</v>
      </c>
      <c r="J391" s="51">
        <f>ESTADISTICA!J389</f>
        <v>0</v>
      </c>
      <c r="K391" s="51">
        <f>ESTADISTICA!K389</f>
        <v>0</v>
      </c>
      <c r="L391" s="51">
        <f>ESTADISTICA!L389</f>
        <v>0</v>
      </c>
      <c r="M391" s="51">
        <f>ESTADISTICA!M389</f>
        <v>0</v>
      </c>
      <c r="N391" s="51">
        <f>ESTADISTICA!N389</f>
        <v>0</v>
      </c>
      <c r="O391" s="51">
        <f>ESTADISTICA!O389</f>
        <v>0</v>
      </c>
      <c r="P391" s="51">
        <f>ESTADISTICA!P389</f>
        <v>0</v>
      </c>
      <c r="Q391" s="51">
        <f>ESTADISTICA!Q389</f>
        <v>0</v>
      </c>
      <c r="R391" s="51">
        <f>ESTADISTICA!R389</f>
        <v>0</v>
      </c>
      <c r="S391" s="51">
        <f>ESTADISTICA!S389</f>
        <v>0</v>
      </c>
      <c r="T391" s="51">
        <f>ESTADISTICA!T389</f>
        <v>0</v>
      </c>
      <c r="U391" s="51">
        <f>ESTADISTICA!U389</f>
        <v>0</v>
      </c>
      <c r="V391" s="51">
        <f>ESTADISTICA!V389</f>
        <v>0</v>
      </c>
      <c r="W391" s="51">
        <f>ESTADISTICA!W389</f>
        <v>0</v>
      </c>
      <c r="X391" s="51">
        <f>ESTADISTICA!X389</f>
        <v>0</v>
      </c>
      <c r="Y391" s="51">
        <f>ESTADISTICA!Y389</f>
        <v>0</v>
      </c>
      <c r="Z391" s="51">
        <f>ESTADISTICA!Z389</f>
        <v>0</v>
      </c>
      <c r="AA391" s="51">
        <f>ESTADISTICA!AA389</f>
        <v>0</v>
      </c>
      <c r="AB391" s="51">
        <f>ESTADISTICA!AB389</f>
        <v>0</v>
      </c>
      <c r="AC391" s="51">
        <f>ESTADISTICA!AC389</f>
        <v>0</v>
      </c>
      <c r="AD391" s="51">
        <f>ESTADISTICA!AD389</f>
        <v>0</v>
      </c>
      <c r="AE391" s="51">
        <f>ESTADISTICA!AE389</f>
        <v>0</v>
      </c>
      <c r="AF391" s="51">
        <f>ESTADISTICA!AF389</f>
        <v>0</v>
      </c>
      <c r="AG391" s="51">
        <f>ESTADISTICA!AG389</f>
        <v>0</v>
      </c>
      <c r="AH391" s="51">
        <f>ESTADISTICA!AH389</f>
        <v>0</v>
      </c>
      <c r="AI391" s="51">
        <f>ESTADISTICA!AI389</f>
        <v>0</v>
      </c>
    </row>
    <row r="392" spans="1:35" hidden="1" x14ac:dyDescent="0.25">
      <c r="A392" s="51" t="str">
        <f>ESTADISTICA!A390</f>
        <v>ZEBALLOS</v>
      </c>
      <c r="B392" s="51" t="str">
        <f>ESTADISTICA!B390</f>
        <v>ZEB 05</v>
      </c>
      <c r="C392" s="51" t="str">
        <f>ESTADISTICA!C390</f>
        <v>DIAG. GRANADEROS Y 214 BIS</v>
      </c>
      <c r="D392" s="51" t="str">
        <f>ESTADISTICA!D390</f>
        <v>Domo</v>
      </c>
      <c r="E392" s="51" t="str">
        <f>ESTADISTICA!E390</f>
        <v>Radio</v>
      </c>
      <c r="F392" s="51">
        <f>ESTADISTICA!F390</f>
        <v>0</v>
      </c>
      <c r="G392" s="51">
        <f>ESTADISTICA!G390</f>
        <v>0</v>
      </c>
      <c r="H392" s="51">
        <f>ESTADISTICA!H390</f>
        <v>0</v>
      </c>
      <c r="I392" s="51">
        <f>ESTADISTICA!I390</f>
        <v>0</v>
      </c>
      <c r="J392" s="51">
        <f>ESTADISTICA!J390</f>
        <v>0</v>
      </c>
      <c r="K392" s="51">
        <f>ESTADISTICA!K390</f>
        <v>0</v>
      </c>
      <c r="L392" s="51">
        <f>ESTADISTICA!L390</f>
        <v>0</v>
      </c>
      <c r="M392" s="51">
        <f>ESTADISTICA!M390</f>
        <v>0</v>
      </c>
      <c r="N392" s="51">
        <f>ESTADISTICA!N390</f>
        <v>0</v>
      </c>
      <c r="O392" s="51">
        <f>ESTADISTICA!O390</f>
        <v>0</v>
      </c>
      <c r="P392" s="51">
        <f>ESTADISTICA!P390</f>
        <v>0</v>
      </c>
      <c r="Q392" s="51">
        <f>ESTADISTICA!Q390</f>
        <v>0</v>
      </c>
      <c r="R392" s="51">
        <f>ESTADISTICA!R390</f>
        <v>0</v>
      </c>
      <c r="S392" s="51">
        <f>ESTADISTICA!S390</f>
        <v>0</v>
      </c>
      <c r="T392" s="51">
        <f>ESTADISTICA!T390</f>
        <v>0</v>
      </c>
      <c r="U392" s="51">
        <f>ESTADISTICA!U390</f>
        <v>0</v>
      </c>
      <c r="V392" s="51">
        <f>ESTADISTICA!V390</f>
        <v>0</v>
      </c>
      <c r="W392" s="51">
        <f>ESTADISTICA!W390</f>
        <v>0</v>
      </c>
      <c r="X392" s="51">
        <f>ESTADISTICA!X390</f>
        <v>0</v>
      </c>
      <c r="Y392" s="51">
        <f>ESTADISTICA!Y390</f>
        <v>0</v>
      </c>
      <c r="Z392" s="51">
        <f>ESTADISTICA!Z390</f>
        <v>0</v>
      </c>
      <c r="AA392" s="51">
        <f>ESTADISTICA!AA390</f>
        <v>0</v>
      </c>
      <c r="AB392" s="51">
        <f>ESTADISTICA!AB390</f>
        <v>0</v>
      </c>
      <c r="AC392" s="51">
        <f>ESTADISTICA!AC390</f>
        <v>0</v>
      </c>
      <c r="AD392" s="51">
        <f>ESTADISTICA!AD390</f>
        <v>0</v>
      </c>
      <c r="AE392" s="51">
        <f>ESTADISTICA!AE390</f>
        <v>0</v>
      </c>
      <c r="AF392" s="51">
        <f>ESTADISTICA!AF390</f>
        <v>0</v>
      </c>
      <c r="AG392" s="51">
        <f>ESTADISTICA!AG390</f>
        <v>0</v>
      </c>
      <c r="AH392" s="51">
        <f>ESTADISTICA!AH390</f>
        <v>0</v>
      </c>
      <c r="AI392" s="51">
        <f>ESTADISTICA!AI390</f>
        <v>0</v>
      </c>
    </row>
    <row r="393" spans="1:35" hidden="1" x14ac:dyDescent="0.25">
      <c r="A393" s="51" t="str">
        <f>ESTADISTICA!A391</f>
        <v>ZEBALLOS</v>
      </c>
      <c r="B393" s="51" t="str">
        <f>ESTADISTICA!B391</f>
        <v>ZEB02</v>
      </c>
      <c r="C393" s="51" t="str">
        <f>ESTADISTICA!C391</f>
        <v>Quinquela Martin y Sgo. del Estero</v>
      </c>
      <c r="D393" s="51" t="str">
        <f>ESTADISTICA!D391</f>
        <v>Domo</v>
      </c>
      <c r="E393" s="51" t="str">
        <f>ESTADISTICA!E391</f>
        <v>Radio</v>
      </c>
      <c r="F393" s="51">
        <f>ESTADISTICA!F391</f>
        <v>0</v>
      </c>
      <c r="G393" s="51">
        <f>ESTADISTICA!G391</f>
        <v>0</v>
      </c>
      <c r="H393" s="51">
        <f>ESTADISTICA!H391</f>
        <v>0</v>
      </c>
      <c r="I393" s="51">
        <f>ESTADISTICA!I391</f>
        <v>0</v>
      </c>
      <c r="J393" s="51">
        <f>ESTADISTICA!J391</f>
        <v>0</v>
      </c>
      <c r="K393" s="51">
        <f>ESTADISTICA!K391</f>
        <v>0</v>
      </c>
      <c r="L393" s="51">
        <f>ESTADISTICA!L391</f>
        <v>0</v>
      </c>
      <c r="M393" s="51">
        <f>ESTADISTICA!M391</f>
        <v>0</v>
      </c>
      <c r="N393" s="51">
        <f>ESTADISTICA!N391</f>
        <v>0</v>
      </c>
      <c r="O393" s="51">
        <f>ESTADISTICA!O391</f>
        <v>0</v>
      </c>
      <c r="P393" s="51">
        <f>ESTADISTICA!P391</f>
        <v>0</v>
      </c>
      <c r="Q393" s="51">
        <f>ESTADISTICA!Q391</f>
        <v>0</v>
      </c>
      <c r="R393" s="51">
        <f>ESTADISTICA!R391</f>
        <v>0</v>
      </c>
      <c r="S393" s="51">
        <f>ESTADISTICA!S391</f>
        <v>0</v>
      </c>
      <c r="T393" s="51">
        <f>ESTADISTICA!T391</f>
        <v>0</v>
      </c>
      <c r="U393" s="51">
        <f>ESTADISTICA!U391</f>
        <v>0</v>
      </c>
      <c r="V393" s="51">
        <f>ESTADISTICA!V391</f>
        <v>0</v>
      </c>
      <c r="W393" s="51">
        <f>ESTADISTICA!W391</f>
        <v>0</v>
      </c>
      <c r="X393" s="51">
        <f>ESTADISTICA!X391</f>
        <v>0</v>
      </c>
      <c r="Y393" s="51">
        <f>ESTADISTICA!Y391</f>
        <v>0</v>
      </c>
      <c r="Z393" s="51">
        <f>ESTADISTICA!Z391</f>
        <v>0</v>
      </c>
      <c r="AA393" s="51">
        <f>ESTADISTICA!AA391</f>
        <v>0</v>
      </c>
      <c r="AB393" s="51">
        <f>ESTADISTICA!AB391</f>
        <v>0</v>
      </c>
      <c r="AC393" s="51">
        <f>ESTADISTICA!AC391</f>
        <v>0</v>
      </c>
      <c r="AD393" s="51">
        <f>ESTADISTICA!AD391</f>
        <v>0</v>
      </c>
      <c r="AE393" s="51">
        <f>ESTADISTICA!AE391</f>
        <v>0</v>
      </c>
      <c r="AF393" s="51">
        <f>ESTADISTICA!AF391</f>
        <v>0</v>
      </c>
      <c r="AG393" s="51">
        <f>ESTADISTICA!AG391</f>
        <v>0</v>
      </c>
      <c r="AH393" s="51">
        <f>ESTADISTICA!AH391</f>
        <v>0</v>
      </c>
      <c r="AI393" s="51">
        <f>ESTADISTICA!AI391</f>
        <v>0</v>
      </c>
    </row>
    <row r="394" spans="1:35" hidden="1" x14ac:dyDescent="0.25">
      <c r="A394" s="51" t="str">
        <f>ESTADISTICA!A392</f>
        <v>9 DE JULIO</v>
      </c>
      <c r="B394" s="51" t="str">
        <f>ESTADISTICA!B392</f>
        <v>ZEB03</v>
      </c>
      <c r="C394" s="51" t="str">
        <f>ESTADISTICA!C392</f>
        <v>Quinquela Martin y Pte. Peron</v>
      </c>
      <c r="D394" s="51" t="str">
        <f>ESTADISTICA!D392</f>
        <v>Domo</v>
      </c>
      <c r="E394" s="51" t="str">
        <f>ESTADISTICA!E392</f>
        <v>Radio</v>
      </c>
      <c r="F394" s="51">
        <f>ESTADISTICA!F392</f>
        <v>0</v>
      </c>
      <c r="G394" s="51">
        <f>ESTADISTICA!G392</f>
        <v>0</v>
      </c>
      <c r="H394" s="51">
        <f>ESTADISTICA!H392</f>
        <v>0</v>
      </c>
      <c r="I394" s="51">
        <f>ESTADISTICA!I392</f>
        <v>0</v>
      </c>
      <c r="J394" s="51">
        <f>ESTADISTICA!J392</f>
        <v>0</v>
      </c>
      <c r="K394" s="51">
        <f>ESTADISTICA!K392</f>
        <v>0</v>
      </c>
      <c r="L394" s="51">
        <f>ESTADISTICA!L392</f>
        <v>0</v>
      </c>
      <c r="M394" s="51">
        <f>ESTADISTICA!M392</f>
        <v>0</v>
      </c>
      <c r="N394" s="51">
        <f>ESTADISTICA!N392</f>
        <v>0</v>
      </c>
      <c r="O394" s="51">
        <f>ESTADISTICA!O392</f>
        <v>0</v>
      </c>
      <c r="P394" s="51">
        <f>ESTADISTICA!P392</f>
        <v>0</v>
      </c>
      <c r="Q394" s="51">
        <f>ESTADISTICA!Q392</f>
        <v>0</v>
      </c>
      <c r="R394" s="51">
        <f>ESTADISTICA!R392</f>
        <v>0</v>
      </c>
      <c r="S394" s="51">
        <f>ESTADISTICA!S392</f>
        <v>0</v>
      </c>
      <c r="T394" s="51">
        <f>ESTADISTICA!T392</f>
        <v>0</v>
      </c>
      <c r="U394" s="51">
        <f>ESTADISTICA!U392</f>
        <v>0</v>
      </c>
      <c r="V394" s="51">
        <f>ESTADISTICA!V392</f>
        <v>0</v>
      </c>
      <c r="W394" s="51">
        <f>ESTADISTICA!W392</f>
        <v>0</v>
      </c>
      <c r="X394" s="51">
        <f>ESTADISTICA!X392</f>
        <v>0</v>
      </c>
      <c r="Y394" s="51">
        <f>ESTADISTICA!Y392</f>
        <v>0</v>
      </c>
      <c r="Z394" s="51">
        <f>ESTADISTICA!Z392</f>
        <v>0</v>
      </c>
      <c r="AA394" s="51">
        <f>ESTADISTICA!AA392</f>
        <v>0</v>
      </c>
      <c r="AB394" s="51">
        <f>ESTADISTICA!AB392</f>
        <v>0</v>
      </c>
      <c r="AC394" s="51">
        <f>ESTADISTICA!AC392</f>
        <v>0</v>
      </c>
      <c r="AD394" s="51">
        <f>ESTADISTICA!AD392</f>
        <v>0</v>
      </c>
      <c r="AE394" s="51">
        <f>ESTADISTICA!AE392</f>
        <v>0</v>
      </c>
      <c r="AF394" s="51">
        <f>ESTADISTICA!AF392</f>
        <v>0</v>
      </c>
      <c r="AG394" s="51">
        <f>ESTADISTICA!AG392</f>
        <v>0</v>
      </c>
      <c r="AH394" s="51">
        <f>ESTADISTICA!AH392</f>
        <v>0</v>
      </c>
      <c r="AI394" s="51">
        <f>ESTADISTICA!AI392</f>
        <v>0</v>
      </c>
    </row>
    <row r="395" spans="1:35" hidden="1" x14ac:dyDescent="0.25">
      <c r="A395" s="51" t="str">
        <f>ESTADISTICA!A393</f>
        <v>ZEBALLOS</v>
      </c>
      <c r="B395" s="51" t="str">
        <f>ESTADISTICA!B393</f>
        <v>ZEB04</v>
      </c>
      <c r="C395" s="51" t="str">
        <f>ESTADISTICA!C393</f>
        <v>THEVENET Y DIAGONAL GRANADEROS</v>
      </c>
      <c r="D395" s="51" t="str">
        <f>ESTADISTICA!D393</f>
        <v>DOMO</v>
      </c>
      <c r="E395" s="51" t="str">
        <f>ESTADISTICA!E393</f>
        <v>Radio</v>
      </c>
      <c r="F395" s="51">
        <f>ESTADISTICA!F393</f>
        <v>0</v>
      </c>
      <c r="G395" s="51">
        <f>ESTADISTICA!G393</f>
        <v>0</v>
      </c>
      <c r="H395" s="51">
        <f>ESTADISTICA!H393</f>
        <v>0</v>
      </c>
      <c r="I395" s="51">
        <f>ESTADISTICA!I393</f>
        <v>0</v>
      </c>
      <c r="J395" s="51">
        <f>ESTADISTICA!J393</f>
        <v>0</v>
      </c>
      <c r="K395" s="51">
        <f>ESTADISTICA!K393</f>
        <v>0</v>
      </c>
      <c r="L395" s="51">
        <f>ESTADISTICA!L393</f>
        <v>0</v>
      </c>
      <c r="M395" s="51">
        <f>ESTADISTICA!M393</f>
        <v>0</v>
      </c>
      <c r="N395" s="51">
        <f>ESTADISTICA!N393</f>
        <v>0</v>
      </c>
      <c r="O395" s="51">
        <f>ESTADISTICA!O393</f>
        <v>0</v>
      </c>
      <c r="P395" s="51">
        <f>ESTADISTICA!P393</f>
        <v>0</v>
      </c>
      <c r="Q395" s="51">
        <f>ESTADISTICA!Q393</f>
        <v>0</v>
      </c>
      <c r="R395" s="51">
        <f>ESTADISTICA!R393</f>
        <v>0</v>
      </c>
      <c r="S395" s="51">
        <f>ESTADISTICA!S393</f>
        <v>0</v>
      </c>
      <c r="T395" s="51">
        <f>ESTADISTICA!T393</f>
        <v>0</v>
      </c>
      <c r="U395" s="51">
        <f>ESTADISTICA!U393</f>
        <v>0</v>
      </c>
      <c r="V395" s="51">
        <f>ESTADISTICA!V393</f>
        <v>0</v>
      </c>
      <c r="W395" s="51">
        <f>ESTADISTICA!W393</f>
        <v>0</v>
      </c>
      <c r="X395" s="51">
        <f>ESTADISTICA!X393</f>
        <v>0</v>
      </c>
      <c r="Y395" s="51">
        <f>ESTADISTICA!Y393</f>
        <v>0</v>
      </c>
      <c r="Z395" s="51">
        <f>ESTADISTICA!Z393</f>
        <v>0</v>
      </c>
      <c r="AA395" s="51">
        <f>ESTADISTICA!AA393</f>
        <v>0</v>
      </c>
      <c r="AB395" s="51">
        <f>ESTADISTICA!AB393</f>
        <v>0</v>
      </c>
      <c r="AC395" s="51">
        <f>ESTADISTICA!AC393</f>
        <v>0</v>
      </c>
      <c r="AD395" s="51">
        <f>ESTADISTICA!AD393</f>
        <v>0</v>
      </c>
      <c r="AE395" s="51">
        <f>ESTADISTICA!AE393</f>
        <v>0</v>
      </c>
      <c r="AF395" s="51">
        <f>ESTADISTICA!AF393</f>
        <v>0</v>
      </c>
      <c r="AG395" s="51">
        <f>ESTADISTICA!AG393</f>
        <v>0</v>
      </c>
      <c r="AH395" s="51">
        <f>ESTADISTICA!AH393</f>
        <v>0</v>
      </c>
      <c r="AI395" s="51">
        <f>ESTADISTICA!AI393</f>
        <v>0</v>
      </c>
    </row>
    <row r="396" spans="1:35" hidden="1" x14ac:dyDescent="0.25">
      <c r="A396" s="51">
        <f>ESTADISTICA!A394</f>
        <v>0</v>
      </c>
      <c r="B396" s="51">
        <f>ESTADISTICA!B394</f>
        <v>0</v>
      </c>
      <c r="C396" s="51">
        <f>ESTADISTICA!C394</f>
        <v>0</v>
      </c>
      <c r="D396" s="51">
        <f>ESTADISTICA!D394</f>
        <v>0</v>
      </c>
      <c r="E396" s="51">
        <f>ESTADISTICA!E394</f>
        <v>0</v>
      </c>
      <c r="F396" s="51">
        <f>ESTADISTICA!F394</f>
        <v>0</v>
      </c>
      <c r="G396" s="51">
        <f>ESTADISTICA!G394</f>
        <v>0</v>
      </c>
      <c r="H396" s="51">
        <f>ESTADISTICA!H394</f>
        <v>0</v>
      </c>
      <c r="I396" s="51">
        <f>ESTADISTICA!I394</f>
        <v>0</v>
      </c>
      <c r="J396" s="51">
        <f>ESTADISTICA!J394</f>
        <v>0</v>
      </c>
      <c r="K396" s="51">
        <f>ESTADISTICA!K394</f>
        <v>0</v>
      </c>
      <c r="L396" s="51">
        <f>ESTADISTICA!L394</f>
        <v>0</v>
      </c>
      <c r="M396" s="51">
        <f>ESTADISTICA!M394</f>
        <v>0</v>
      </c>
      <c r="N396" s="51">
        <f>ESTADISTICA!N394</f>
        <v>0</v>
      </c>
      <c r="O396" s="51">
        <f>ESTADISTICA!O394</f>
        <v>0</v>
      </c>
      <c r="P396" s="51">
        <f>ESTADISTICA!P394</f>
        <v>0</v>
      </c>
      <c r="Q396" s="51">
        <f>ESTADISTICA!Q394</f>
        <v>0</v>
      </c>
      <c r="R396" s="51">
        <f>ESTADISTICA!R394</f>
        <v>0</v>
      </c>
      <c r="S396" s="51">
        <f>ESTADISTICA!S394</f>
        <v>0</v>
      </c>
      <c r="T396" s="51">
        <f>ESTADISTICA!T394</f>
        <v>0</v>
      </c>
      <c r="U396" s="51">
        <f>ESTADISTICA!U394</f>
        <v>0</v>
      </c>
      <c r="V396" s="51">
        <f>ESTADISTICA!V394</f>
        <v>0</v>
      </c>
      <c r="W396" s="51">
        <f>ESTADISTICA!W394</f>
        <v>0</v>
      </c>
      <c r="X396" s="51">
        <f>ESTADISTICA!X394</f>
        <v>0</v>
      </c>
      <c r="Y396" s="51">
        <f>ESTADISTICA!Y394</f>
        <v>0</v>
      </c>
      <c r="Z396" s="51">
        <f>ESTADISTICA!Z394</f>
        <v>0</v>
      </c>
      <c r="AA396" s="51">
        <f>ESTADISTICA!AA394</f>
        <v>0</v>
      </c>
      <c r="AB396" s="51">
        <f>ESTADISTICA!AB394</f>
        <v>0</v>
      </c>
      <c r="AC396" s="51">
        <f>ESTADISTICA!AC394</f>
        <v>0</v>
      </c>
      <c r="AD396" s="51">
        <f>ESTADISTICA!AD394</f>
        <v>0</v>
      </c>
      <c r="AE396" s="51">
        <f>ESTADISTICA!AE394</f>
        <v>0</v>
      </c>
      <c r="AF396" s="51">
        <f>ESTADISTICA!AF394</f>
        <v>0</v>
      </c>
      <c r="AG396" s="51">
        <f>ESTADISTICA!AG394</f>
        <v>0</v>
      </c>
      <c r="AH396" s="51">
        <f>ESTADISTICA!AH394</f>
        <v>0</v>
      </c>
      <c r="AI396" s="51">
        <f>ESTADISTICA!AI394</f>
        <v>0</v>
      </c>
    </row>
    <row r="397" spans="1:35" hidden="1" x14ac:dyDescent="0.25">
      <c r="A397" s="51">
        <f>ESTADISTICA!A395</f>
        <v>0</v>
      </c>
      <c r="B397" s="51">
        <f>ESTADISTICA!B395</f>
        <v>0</v>
      </c>
      <c r="C397" s="51">
        <f>ESTADISTICA!C395</f>
        <v>0</v>
      </c>
      <c r="D397" s="51">
        <f>ESTADISTICA!D395</f>
        <v>0</v>
      </c>
      <c r="E397" s="51">
        <f>ESTADISTICA!E395</f>
        <v>0</v>
      </c>
      <c r="F397" s="51">
        <f>ESTADISTICA!F395</f>
        <v>0</v>
      </c>
      <c r="G397" s="51">
        <f>ESTADISTICA!G395</f>
        <v>0</v>
      </c>
      <c r="H397" s="51">
        <f>ESTADISTICA!H395</f>
        <v>0</v>
      </c>
      <c r="I397" s="51">
        <f>ESTADISTICA!I395</f>
        <v>0</v>
      </c>
      <c r="J397" s="51">
        <f>ESTADISTICA!J395</f>
        <v>0</v>
      </c>
      <c r="K397" s="51">
        <f>ESTADISTICA!K395</f>
        <v>0</v>
      </c>
      <c r="L397" s="51">
        <f>ESTADISTICA!L395</f>
        <v>0</v>
      </c>
      <c r="M397" s="51">
        <f>ESTADISTICA!M395</f>
        <v>0</v>
      </c>
      <c r="N397" s="51">
        <f>ESTADISTICA!N395</f>
        <v>0</v>
      </c>
      <c r="O397" s="51">
        <f>ESTADISTICA!O395</f>
        <v>0</v>
      </c>
      <c r="P397" s="51">
        <f>ESTADISTICA!P395</f>
        <v>0</v>
      </c>
      <c r="Q397" s="51">
        <f>ESTADISTICA!Q395</f>
        <v>0</v>
      </c>
      <c r="R397" s="51">
        <f>ESTADISTICA!R395</f>
        <v>0</v>
      </c>
      <c r="S397" s="51">
        <f>ESTADISTICA!S395</f>
        <v>0</v>
      </c>
      <c r="T397" s="51">
        <f>ESTADISTICA!T395</f>
        <v>0</v>
      </c>
      <c r="U397" s="51">
        <f>ESTADISTICA!U395</f>
        <v>0</v>
      </c>
      <c r="V397" s="51">
        <f>ESTADISTICA!V395</f>
        <v>0</v>
      </c>
      <c r="W397" s="51">
        <f>ESTADISTICA!W395</f>
        <v>0</v>
      </c>
      <c r="X397" s="51">
        <f>ESTADISTICA!X395</f>
        <v>0</v>
      </c>
      <c r="Y397" s="51">
        <f>ESTADISTICA!Y395</f>
        <v>0</v>
      </c>
      <c r="Z397" s="51">
        <f>ESTADISTICA!Z395</f>
        <v>0</v>
      </c>
      <c r="AA397" s="51">
        <f>ESTADISTICA!AA395</f>
        <v>0</v>
      </c>
      <c r="AB397" s="51">
        <f>ESTADISTICA!AB395</f>
        <v>0</v>
      </c>
      <c r="AC397" s="51">
        <f>ESTADISTICA!AC395</f>
        <v>0</v>
      </c>
      <c r="AD397" s="51">
        <f>ESTADISTICA!AD395</f>
        <v>0</v>
      </c>
      <c r="AE397" s="51">
        <f>ESTADISTICA!AE395</f>
        <v>0</v>
      </c>
      <c r="AF397" s="51">
        <f>ESTADISTICA!AF395</f>
        <v>0</v>
      </c>
      <c r="AG397" s="51">
        <f>ESTADISTICA!AG395</f>
        <v>0</v>
      </c>
      <c r="AH397" s="51">
        <f>ESTADISTICA!AH395</f>
        <v>0</v>
      </c>
      <c r="AI397" s="51">
        <f>ESTADISTICA!AI395</f>
        <v>0</v>
      </c>
    </row>
    <row r="398" spans="1:35" hidden="1" x14ac:dyDescent="0.25">
      <c r="A398" s="51">
        <f>ESTADISTICA!A396</f>
        <v>0</v>
      </c>
      <c r="B398" s="51">
        <f>ESTADISTICA!B396</f>
        <v>0</v>
      </c>
      <c r="C398" s="51">
        <f>ESTADISTICA!C396</f>
        <v>0</v>
      </c>
      <c r="D398" s="51">
        <f>ESTADISTICA!D396</f>
        <v>0</v>
      </c>
      <c r="E398" s="51">
        <f>ESTADISTICA!E396</f>
        <v>0</v>
      </c>
      <c r="F398" s="51">
        <f>ESTADISTICA!F396</f>
        <v>0</v>
      </c>
      <c r="G398" s="51">
        <f>ESTADISTICA!G396</f>
        <v>0</v>
      </c>
      <c r="H398" s="51">
        <f>ESTADISTICA!H396</f>
        <v>0</v>
      </c>
      <c r="I398" s="51">
        <f>ESTADISTICA!I396</f>
        <v>0</v>
      </c>
      <c r="J398" s="51">
        <f>ESTADISTICA!J396</f>
        <v>0</v>
      </c>
      <c r="K398" s="51">
        <f>ESTADISTICA!K396</f>
        <v>0</v>
      </c>
      <c r="L398" s="51">
        <f>ESTADISTICA!L396</f>
        <v>0</v>
      </c>
      <c r="M398" s="51">
        <f>ESTADISTICA!M396</f>
        <v>0</v>
      </c>
      <c r="N398" s="51">
        <f>ESTADISTICA!N396</f>
        <v>0</v>
      </c>
      <c r="O398" s="51">
        <f>ESTADISTICA!O396</f>
        <v>0</v>
      </c>
      <c r="P398" s="51">
        <f>ESTADISTICA!P396</f>
        <v>0</v>
      </c>
      <c r="Q398" s="51">
        <f>ESTADISTICA!Q396</f>
        <v>0</v>
      </c>
      <c r="R398" s="51">
        <f>ESTADISTICA!R396</f>
        <v>0</v>
      </c>
      <c r="S398" s="51">
        <f>ESTADISTICA!S396</f>
        <v>0</v>
      </c>
      <c r="T398" s="51">
        <f>ESTADISTICA!T396</f>
        <v>0</v>
      </c>
      <c r="U398" s="51">
        <f>ESTADISTICA!U396</f>
        <v>0</v>
      </c>
      <c r="V398" s="51">
        <f>ESTADISTICA!V396</f>
        <v>0</v>
      </c>
      <c r="W398" s="51">
        <f>ESTADISTICA!W396</f>
        <v>0</v>
      </c>
      <c r="X398" s="51">
        <f>ESTADISTICA!X396</f>
        <v>0</v>
      </c>
      <c r="Y398" s="51">
        <f>ESTADISTICA!Y396</f>
        <v>0</v>
      </c>
      <c r="Z398" s="51">
        <f>ESTADISTICA!Z396</f>
        <v>0</v>
      </c>
      <c r="AA398" s="51">
        <f>ESTADISTICA!AA396</f>
        <v>0</v>
      </c>
      <c r="AB398" s="51">
        <f>ESTADISTICA!AB396</f>
        <v>0</v>
      </c>
      <c r="AC398" s="51">
        <f>ESTADISTICA!AC396</f>
        <v>0</v>
      </c>
      <c r="AD398" s="51">
        <f>ESTADISTICA!AD396</f>
        <v>0</v>
      </c>
      <c r="AE398" s="51">
        <f>ESTADISTICA!AE396</f>
        <v>0</v>
      </c>
      <c r="AF398" s="51">
        <f>ESTADISTICA!AF396</f>
        <v>0</v>
      </c>
      <c r="AG398" s="51">
        <f>ESTADISTICA!AG396</f>
        <v>0</v>
      </c>
      <c r="AH398" s="51">
        <f>ESTADISTICA!AH396</f>
        <v>0</v>
      </c>
      <c r="AI398" s="51">
        <f>ESTADISTICA!AI396</f>
        <v>0</v>
      </c>
    </row>
    <row r="399" spans="1:35" hidden="1" x14ac:dyDescent="0.25">
      <c r="A399" s="51">
        <f>ESTADISTICA!A397</f>
        <v>0</v>
      </c>
      <c r="B399" s="51">
        <f>ESTADISTICA!B397</f>
        <v>0</v>
      </c>
      <c r="C399" s="51">
        <f>ESTADISTICA!C397</f>
        <v>0</v>
      </c>
      <c r="D399" s="51">
        <f>ESTADISTICA!D397</f>
        <v>0</v>
      </c>
      <c r="E399" s="51">
        <f>ESTADISTICA!E397</f>
        <v>0</v>
      </c>
      <c r="F399" s="51">
        <f>ESTADISTICA!F397</f>
        <v>0</v>
      </c>
      <c r="G399" s="51">
        <f>ESTADISTICA!G397</f>
        <v>0</v>
      </c>
      <c r="H399" s="51">
        <f>ESTADISTICA!H397</f>
        <v>0</v>
      </c>
      <c r="I399" s="51">
        <f>ESTADISTICA!I397</f>
        <v>0</v>
      </c>
      <c r="J399" s="51">
        <f>ESTADISTICA!J397</f>
        <v>0</v>
      </c>
      <c r="K399" s="51">
        <f>ESTADISTICA!K397</f>
        <v>0</v>
      </c>
      <c r="L399" s="51">
        <f>ESTADISTICA!L397</f>
        <v>0</v>
      </c>
      <c r="M399" s="51">
        <f>ESTADISTICA!M397</f>
        <v>0</v>
      </c>
      <c r="N399" s="51">
        <f>ESTADISTICA!N397</f>
        <v>0</v>
      </c>
      <c r="O399" s="51">
        <f>ESTADISTICA!O397</f>
        <v>0</v>
      </c>
      <c r="P399" s="51">
        <f>ESTADISTICA!P397</f>
        <v>0</v>
      </c>
      <c r="Q399" s="51">
        <f>ESTADISTICA!Q397</f>
        <v>0</v>
      </c>
      <c r="R399" s="51">
        <f>ESTADISTICA!R397</f>
        <v>0</v>
      </c>
      <c r="S399" s="51">
        <f>ESTADISTICA!S397</f>
        <v>0</v>
      </c>
      <c r="T399" s="51">
        <f>ESTADISTICA!T397</f>
        <v>0</v>
      </c>
      <c r="U399" s="51">
        <f>ESTADISTICA!U397</f>
        <v>0</v>
      </c>
      <c r="V399" s="51">
        <f>ESTADISTICA!V397</f>
        <v>0</v>
      </c>
      <c r="W399" s="51">
        <f>ESTADISTICA!W397</f>
        <v>0</v>
      </c>
      <c r="X399" s="51">
        <f>ESTADISTICA!X397</f>
        <v>0</v>
      </c>
      <c r="Y399" s="51">
        <f>ESTADISTICA!Y397</f>
        <v>0</v>
      </c>
      <c r="Z399" s="51">
        <f>ESTADISTICA!Z397</f>
        <v>0</v>
      </c>
      <c r="AA399" s="51">
        <f>ESTADISTICA!AA397</f>
        <v>0</v>
      </c>
      <c r="AB399" s="51">
        <f>ESTADISTICA!AB397</f>
        <v>0</v>
      </c>
      <c r="AC399" s="51">
        <f>ESTADISTICA!AC397</f>
        <v>0</v>
      </c>
      <c r="AD399" s="51">
        <f>ESTADISTICA!AD397</f>
        <v>0</v>
      </c>
      <c r="AE399" s="51">
        <f>ESTADISTICA!AE397</f>
        <v>0</v>
      </c>
      <c r="AF399" s="51">
        <f>ESTADISTICA!AF397</f>
        <v>0</v>
      </c>
      <c r="AG399" s="51">
        <f>ESTADISTICA!AG397</f>
        <v>0</v>
      </c>
      <c r="AH399" s="51">
        <f>ESTADISTICA!AH397</f>
        <v>0</v>
      </c>
      <c r="AI399" s="51">
        <f>ESTADISTICA!AI397</f>
        <v>0</v>
      </c>
    </row>
    <row r="400" spans="1:35" hidden="1" x14ac:dyDescent="0.25">
      <c r="A400" s="51">
        <f>ESTADISTICA!A398</f>
        <v>0</v>
      </c>
      <c r="B400" s="51">
        <f>ESTADISTICA!B398</f>
        <v>0</v>
      </c>
      <c r="C400" s="51">
        <f>ESTADISTICA!C398</f>
        <v>0</v>
      </c>
      <c r="D400" s="51">
        <f>ESTADISTICA!D398</f>
        <v>0</v>
      </c>
      <c r="E400" s="51">
        <f>ESTADISTICA!E398</f>
        <v>0</v>
      </c>
      <c r="F400" s="51">
        <f>ESTADISTICA!F398</f>
        <v>0</v>
      </c>
      <c r="G400" s="51">
        <f>ESTADISTICA!G398</f>
        <v>0</v>
      </c>
      <c r="H400" s="51">
        <f>ESTADISTICA!H398</f>
        <v>0</v>
      </c>
      <c r="I400" s="51">
        <f>ESTADISTICA!I398</f>
        <v>0</v>
      </c>
      <c r="J400" s="51">
        <f>ESTADISTICA!J398</f>
        <v>0</v>
      </c>
      <c r="K400" s="51">
        <f>ESTADISTICA!K398</f>
        <v>0</v>
      </c>
      <c r="L400" s="51">
        <f>ESTADISTICA!L398</f>
        <v>0</v>
      </c>
      <c r="M400" s="51">
        <f>ESTADISTICA!M398</f>
        <v>0</v>
      </c>
      <c r="N400" s="51">
        <f>ESTADISTICA!N398</f>
        <v>0</v>
      </c>
      <c r="O400" s="51">
        <f>ESTADISTICA!O398</f>
        <v>0</v>
      </c>
      <c r="P400" s="51">
        <f>ESTADISTICA!P398</f>
        <v>0</v>
      </c>
      <c r="Q400" s="51">
        <f>ESTADISTICA!Q398</f>
        <v>0</v>
      </c>
      <c r="R400" s="51">
        <f>ESTADISTICA!R398</f>
        <v>0</v>
      </c>
      <c r="S400" s="51">
        <f>ESTADISTICA!S398</f>
        <v>0</v>
      </c>
      <c r="T400" s="51">
        <f>ESTADISTICA!T398</f>
        <v>0</v>
      </c>
      <c r="U400" s="51">
        <f>ESTADISTICA!U398</f>
        <v>0</v>
      </c>
      <c r="V400" s="51">
        <f>ESTADISTICA!V398</f>
        <v>0</v>
      </c>
      <c r="W400" s="51">
        <f>ESTADISTICA!W398</f>
        <v>0</v>
      </c>
      <c r="X400" s="51">
        <f>ESTADISTICA!X398</f>
        <v>0</v>
      </c>
      <c r="Y400" s="51">
        <f>ESTADISTICA!Y398</f>
        <v>0</v>
      </c>
      <c r="Z400" s="51">
        <f>ESTADISTICA!Z398</f>
        <v>0</v>
      </c>
      <c r="AA400" s="51">
        <f>ESTADISTICA!AA398</f>
        <v>0</v>
      </c>
      <c r="AB400" s="51">
        <f>ESTADISTICA!AB398</f>
        <v>0</v>
      </c>
      <c r="AC400" s="51">
        <f>ESTADISTICA!AC398</f>
        <v>0</v>
      </c>
      <c r="AD400" s="51">
        <f>ESTADISTICA!AD398</f>
        <v>0</v>
      </c>
      <c r="AE400" s="51">
        <f>ESTADISTICA!AE398</f>
        <v>0</v>
      </c>
      <c r="AF400" s="51">
        <f>ESTADISTICA!AF398</f>
        <v>0</v>
      </c>
      <c r="AG400" s="51">
        <f>ESTADISTICA!AG398</f>
        <v>0</v>
      </c>
      <c r="AH400" s="51">
        <f>ESTADISTICA!AH398</f>
        <v>0</v>
      </c>
      <c r="AI400" s="51">
        <f>ESTADISTICA!AI398</f>
        <v>0</v>
      </c>
    </row>
  </sheetData>
  <autoFilter ref="A3:AI400" xr:uid="{FC730B5B-E791-4742-8990-AFF1FAD7E538}">
    <filterColumn colId="4">
      <filters>
        <filter val="Radio"/>
      </filters>
    </filterColumn>
    <filterColumn colId="33">
      <filters>
        <filter val="APAGADO"/>
      </filters>
    </filterColumn>
  </autoFilter>
  <conditionalFormatting sqref="AE3:AE1048576">
    <cfRule type="containsText" dxfId="137" priority="2" operator="containsText" text="APAGADO">
      <formula>NOT(ISERROR(SEARCH("APAGADO",AE3)))</formula>
    </cfRule>
  </conditionalFormatting>
  <conditionalFormatting sqref="F4:AI400">
    <cfRule type="containsText" dxfId="136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4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4" zoomScaleNormal="100" workbookViewId="0">
      <selection activeCell="C8" sqref="C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" workbookViewId="0">
      <selection activeCell="R14" sqref="R14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69"/>
  <sheetViews>
    <sheetView workbookViewId="0">
      <selection activeCell="F31" sqref="F31"/>
    </sheetView>
  </sheetViews>
  <sheetFormatPr baseColWidth="10" defaultRowHeight="15" x14ac:dyDescent="0.25"/>
  <cols>
    <col min="5" max="5" width="15.7109375" bestFit="1" customWidth="1"/>
    <col min="7" max="7" width="11.5703125" style="55"/>
  </cols>
  <sheetData>
    <row r="1" spans="1:7" x14ac:dyDescent="0.25">
      <c r="A1" t="s">
        <v>822</v>
      </c>
      <c r="B1" t="s">
        <v>20</v>
      </c>
      <c r="C1" t="s">
        <v>823</v>
      </c>
      <c r="D1" t="s">
        <v>1185</v>
      </c>
      <c r="E1" t="s">
        <v>825</v>
      </c>
      <c r="F1" t="s">
        <v>824</v>
      </c>
      <c r="G1" s="55" t="s">
        <v>1202</v>
      </c>
    </row>
    <row r="2" spans="1:7" x14ac:dyDescent="0.25">
      <c r="A2" s="25">
        <f>'APAGADOS RADIO'!F3</f>
        <v>44774</v>
      </c>
      <c r="B2">
        <f>'APAGADOS RADIO'!F2+D2</f>
        <v>7</v>
      </c>
      <c r="C2">
        <f>'APAGADOS FIBRA'!F2</f>
        <v>31</v>
      </c>
      <c r="D2">
        <f>'APAGADOS ANTENA'!F2</f>
        <v>3</v>
      </c>
      <c r="E2">
        <f t="shared" ref="E2" si="0">B2+C2</f>
        <v>38</v>
      </c>
      <c r="F2">
        <f>'RESUMEN TOTAL'!B1</f>
        <v>392</v>
      </c>
      <c r="G2" s="55">
        <f t="shared" ref="G2:G3" si="1">E2/F2</f>
        <v>9.6938775510204078E-2</v>
      </c>
    </row>
    <row r="3" spans="1:7" x14ac:dyDescent="0.25">
      <c r="A3" s="25">
        <f>'APAGADOS RADIO'!G3</f>
        <v>44775</v>
      </c>
      <c r="B3" s="51">
        <f>'APAGADOS RADIO'!G2+D3</f>
        <v>6</v>
      </c>
      <c r="C3" s="51">
        <f>'APAGADOS FIBRA'!G2</f>
        <v>35</v>
      </c>
      <c r="D3" s="51">
        <f>'APAGADOS ANTENA'!G2</f>
        <v>2</v>
      </c>
      <c r="E3" s="51">
        <f t="shared" ref="E3" si="2">B3+C3</f>
        <v>41</v>
      </c>
      <c r="F3" s="51">
        <f>'RESUMEN TOTAL'!B1</f>
        <v>392</v>
      </c>
      <c r="G3" s="55">
        <f t="shared" si="1"/>
        <v>0.10459183673469388</v>
      </c>
    </row>
    <row r="4" spans="1:7" x14ac:dyDescent="0.25">
      <c r="A4" s="25">
        <f>'APAGADOS RADIO'!H3</f>
        <v>44776</v>
      </c>
      <c r="B4" s="51">
        <f>'APAGADOS RADIO'!H2+D4</f>
        <v>6</v>
      </c>
      <c r="C4" s="51">
        <f>'APAGADOS FIBRA'!H2</f>
        <v>25</v>
      </c>
      <c r="D4" s="51">
        <f>'APAGADOS ANTENA'!H2</f>
        <v>3</v>
      </c>
      <c r="E4" s="51">
        <f t="shared" ref="E4" si="3">B4+C4</f>
        <v>31</v>
      </c>
      <c r="F4" s="51">
        <f>'RESUMEN TOTAL'!B1</f>
        <v>392</v>
      </c>
      <c r="G4" s="55">
        <f t="shared" ref="G4" si="4">E4/F4</f>
        <v>7.9081632653061229E-2</v>
      </c>
    </row>
    <row r="5" spans="1:7" x14ac:dyDescent="0.25">
      <c r="A5" s="25">
        <f>'APAGADOS RADIO'!I3</f>
        <v>44777</v>
      </c>
      <c r="B5" s="51">
        <f>'APAGADOS RADIO'!I2+D5</f>
        <v>6</v>
      </c>
      <c r="C5" s="51">
        <f>'APAGADOS FIBRA'!I2</f>
        <v>28</v>
      </c>
      <c r="D5" s="51">
        <f>'APAGADOS ANTENA'!I2</f>
        <v>3</v>
      </c>
      <c r="E5" s="51">
        <f t="shared" ref="E5:E6" si="5">B5+C5</f>
        <v>34</v>
      </c>
      <c r="F5" s="51">
        <f>'RESUMEN TOTAL'!B1</f>
        <v>392</v>
      </c>
      <c r="G5" s="55">
        <f t="shared" ref="G5:G7" si="6">E5/F5</f>
        <v>8.673469387755102E-2</v>
      </c>
    </row>
    <row r="6" spans="1:7" x14ac:dyDescent="0.25">
      <c r="A6" s="25">
        <f>'APAGADOS RADIO'!J3</f>
        <v>44778</v>
      </c>
      <c r="B6" s="51">
        <f>'APAGADOS RADIO'!J2+D6</f>
        <v>5</v>
      </c>
      <c r="C6" s="51">
        <f>'APAGADOS FIBRA'!J2</f>
        <v>25</v>
      </c>
      <c r="D6" s="51">
        <f>'APAGADOS ANTENA'!J2</f>
        <v>2</v>
      </c>
      <c r="E6" s="51">
        <f t="shared" si="5"/>
        <v>30</v>
      </c>
      <c r="F6" s="51">
        <f>'RESUMEN TOTAL'!B1</f>
        <v>392</v>
      </c>
      <c r="G6" s="55">
        <f t="shared" si="6"/>
        <v>7.6530612244897961E-2</v>
      </c>
    </row>
    <row r="7" spans="1:7" x14ac:dyDescent="0.25">
      <c r="A7" s="25">
        <f>'APAGADOS RADIO'!K3</f>
        <v>44779</v>
      </c>
      <c r="B7" s="51">
        <v>8</v>
      </c>
      <c r="C7" s="51">
        <v>24</v>
      </c>
      <c r="D7" s="51">
        <v>3</v>
      </c>
      <c r="E7" s="51">
        <v>32</v>
      </c>
      <c r="F7" s="51">
        <f>'RESUMEN TOTAL'!B1</f>
        <v>392</v>
      </c>
      <c r="G7" s="55">
        <f t="shared" si="6"/>
        <v>8.1632653061224483E-2</v>
      </c>
    </row>
    <row r="8" spans="1:7" x14ac:dyDescent="0.25">
      <c r="A8" s="25">
        <f>'APAGADOS RADIO'!L3</f>
        <v>44780</v>
      </c>
      <c r="B8" s="51">
        <f>'APAGADOS RADIO'!L2+D8</f>
        <v>6</v>
      </c>
      <c r="C8" s="51">
        <f>'APAGADOS FIBRA'!L2</f>
        <v>66</v>
      </c>
      <c r="D8" s="51">
        <f>'APAGADOS ANTENA'!L2</f>
        <v>2</v>
      </c>
      <c r="E8" s="51">
        <f t="shared" ref="E8" si="7">B8+C8</f>
        <v>72</v>
      </c>
      <c r="F8" s="51">
        <f>'RESUMEN TOTAL'!B1</f>
        <v>392</v>
      </c>
      <c r="G8" s="55">
        <f t="shared" ref="G8" si="8">E8/F8</f>
        <v>0.18367346938775511</v>
      </c>
    </row>
    <row r="9" spans="1:7" x14ac:dyDescent="0.25">
      <c r="A9" s="25">
        <f>'APAGADOS RADIO'!M3</f>
        <v>44781</v>
      </c>
      <c r="B9" s="51">
        <f>'APAGADOS RADIO'!M2+D9</f>
        <v>0</v>
      </c>
      <c r="C9" s="51">
        <f>'APAGADOS FIBRA'!M2</f>
        <v>0</v>
      </c>
      <c r="D9" s="51">
        <f>'APAGADOS ANTENA'!M2</f>
        <v>0</v>
      </c>
      <c r="E9" s="51">
        <f t="shared" ref="E9" si="9">B9+C9</f>
        <v>0</v>
      </c>
      <c r="F9" s="51">
        <f>'RESUMEN TOTAL'!B1</f>
        <v>392</v>
      </c>
      <c r="G9" s="55">
        <f t="shared" ref="G9" si="10">E9/F9</f>
        <v>0</v>
      </c>
    </row>
    <row r="10" spans="1:7" x14ac:dyDescent="0.25">
      <c r="A10" s="25">
        <f>'APAGADOS RADIO'!N3</f>
        <v>44782</v>
      </c>
      <c r="B10" s="51">
        <f>'APAGADOS RADIO'!N2+D10</f>
        <v>0</v>
      </c>
      <c r="C10" s="51">
        <f>'APAGADOS FIBRA'!N2</f>
        <v>0</v>
      </c>
      <c r="D10" s="51">
        <f>'APAGADOS ANTENA'!N2</f>
        <v>0</v>
      </c>
      <c r="E10" s="51">
        <f t="shared" ref="E10" si="11">B10+C10</f>
        <v>0</v>
      </c>
      <c r="F10" s="51">
        <f>'RESUMEN TOTAL'!B1</f>
        <v>392</v>
      </c>
      <c r="G10" s="55">
        <f t="shared" ref="G10" si="12">E10/F10</f>
        <v>0</v>
      </c>
    </row>
    <row r="11" spans="1:7" x14ac:dyDescent="0.25">
      <c r="A11" s="25">
        <f>'APAGADOS RADIO'!O3</f>
        <v>44783</v>
      </c>
      <c r="B11" s="51">
        <f>'APAGADOS RADIO'!O2+D11</f>
        <v>0</v>
      </c>
      <c r="C11" s="51">
        <f>'APAGADOS FIBRA'!O2</f>
        <v>0</v>
      </c>
      <c r="D11" s="51">
        <f>'APAGADOS ANTENA'!O2</f>
        <v>0</v>
      </c>
      <c r="E11" s="51">
        <f t="shared" ref="E11" si="13">B11+C11</f>
        <v>0</v>
      </c>
      <c r="F11" s="51">
        <f>'RESUMEN TOTAL'!B1</f>
        <v>392</v>
      </c>
      <c r="G11" s="55">
        <f t="shared" ref="G11" si="14">E11/F11</f>
        <v>0</v>
      </c>
    </row>
    <row r="12" spans="1:7" x14ac:dyDescent="0.25">
      <c r="A12" s="25">
        <f>'APAGADOS RADIO'!P3</f>
        <v>44784</v>
      </c>
      <c r="B12" s="51">
        <f>'APAGADOS RADIO'!P2+D12</f>
        <v>0</v>
      </c>
      <c r="C12" s="51">
        <f>'APAGADOS FIBRA'!P2</f>
        <v>0</v>
      </c>
      <c r="D12" s="51">
        <f>'APAGADOS ANTENA'!P2</f>
        <v>0</v>
      </c>
      <c r="E12" s="51">
        <f t="shared" ref="E12" si="15">B12+C12</f>
        <v>0</v>
      </c>
      <c r="F12" s="51">
        <f>'RESUMEN TOTAL'!B1</f>
        <v>392</v>
      </c>
      <c r="G12" s="55">
        <f t="shared" ref="G12" si="16">E12/F12</f>
        <v>0</v>
      </c>
    </row>
    <row r="13" spans="1:7" x14ac:dyDescent="0.25">
      <c r="A13" s="25">
        <f>'APAGADOS RADIO'!Q3</f>
        <v>44785</v>
      </c>
      <c r="B13" s="51">
        <f>'APAGADOS RADIO'!Q2+D13</f>
        <v>0</v>
      </c>
      <c r="C13" s="51">
        <f>'APAGADOS FIBRA'!Q2</f>
        <v>0</v>
      </c>
      <c r="D13" s="51">
        <f>'APAGADOS ANTENA'!Q2</f>
        <v>0</v>
      </c>
      <c r="E13" s="51">
        <f t="shared" ref="E13:E14" si="17">B13+C13</f>
        <v>0</v>
      </c>
      <c r="F13" s="51">
        <f>'RESUMEN TOTAL'!B1</f>
        <v>392</v>
      </c>
      <c r="G13" s="55">
        <f t="shared" ref="G13:G14" si="18">E13/F13</f>
        <v>0</v>
      </c>
    </row>
    <row r="14" spans="1:7" x14ac:dyDescent="0.25">
      <c r="A14" s="25">
        <f>'APAGADOS RADIO'!R3</f>
        <v>44786</v>
      </c>
      <c r="B14" s="51">
        <f>'APAGADOS RADIO'!R2+D14</f>
        <v>0</v>
      </c>
      <c r="C14" s="51">
        <f>'APAGADOS FIBRA'!R2</f>
        <v>0</v>
      </c>
      <c r="D14" s="51">
        <f>'APAGADOS ANTENA'!R2</f>
        <v>0</v>
      </c>
      <c r="E14" s="51">
        <f t="shared" si="17"/>
        <v>0</v>
      </c>
      <c r="F14" s="51">
        <f>'RESUMEN TOTAL'!B1</f>
        <v>392</v>
      </c>
      <c r="G14" s="55">
        <f t="shared" si="18"/>
        <v>0</v>
      </c>
    </row>
    <row r="15" spans="1:7" x14ac:dyDescent="0.25">
      <c r="A15" s="25">
        <f>'APAGADOS RADIO'!S3</f>
        <v>44787</v>
      </c>
      <c r="B15" s="51">
        <f>'APAGADOS RADIO'!S2+D15</f>
        <v>0</v>
      </c>
      <c r="C15" s="51">
        <f>'APAGADOS FIBRA'!S2</f>
        <v>0</v>
      </c>
      <c r="D15" s="51">
        <f>'APAGADOS ANTENA'!S2</f>
        <v>0</v>
      </c>
      <c r="E15" s="51">
        <f t="shared" ref="E15" si="19">B15+C15</f>
        <v>0</v>
      </c>
      <c r="F15" s="51">
        <f>'RESUMEN TOTAL'!B1</f>
        <v>392</v>
      </c>
      <c r="G15" s="55">
        <f t="shared" ref="G15" si="20">E15/F15</f>
        <v>0</v>
      </c>
    </row>
    <row r="16" spans="1:7" x14ac:dyDescent="0.25">
      <c r="A16" s="25">
        <f>'APAGADOS RADIO'!T3</f>
        <v>44788</v>
      </c>
      <c r="B16" s="51">
        <f>'APAGADOS RADIO'!T2+D16</f>
        <v>0</v>
      </c>
      <c r="C16" s="51">
        <f>'APAGADOS FIBRA'!T2</f>
        <v>0</v>
      </c>
      <c r="D16" s="51">
        <f>'APAGADOS ANTENA'!T2</f>
        <v>0</v>
      </c>
      <c r="E16" s="51">
        <f t="shared" ref="E16:E21" si="21">B16+C16</f>
        <v>0</v>
      </c>
      <c r="F16" s="51">
        <f>'RESUMEN TOTAL'!B1</f>
        <v>392</v>
      </c>
      <c r="G16" s="55">
        <f t="shared" ref="G16:G21" si="22">E16/F16</f>
        <v>0</v>
      </c>
    </row>
    <row r="17" spans="1:7" x14ac:dyDescent="0.25">
      <c r="A17" s="25">
        <f>'APAGADOS RADIO'!U3</f>
        <v>44789</v>
      </c>
      <c r="B17" s="51">
        <f>'APAGADOS RADIO'!U2+D17</f>
        <v>0</v>
      </c>
      <c r="C17" s="51">
        <f>'APAGADOS FIBRA'!U2</f>
        <v>0</v>
      </c>
      <c r="D17" s="51">
        <f>'APAGADOS ANTENA'!U2</f>
        <v>0</v>
      </c>
      <c r="E17" s="51">
        <f t="shared" si="21"/>
        <v>0</v>
      </c>
      <c r="F17" s="51">
        <f>'RESUMEN TOTAL'!B1</f>
        <v>392</v>
      </c>
      <c r="G17" s="55">
        <f t="shared" si="22"/>
        <v>0</v>
      </c>
    </row>
    <row r="18" spans="1:7" x14ac:dyDescent="0.25">
      <c r="A18" s="25">
        <f>'APAGADOS RADIO'!V3</f>
        <v>44790</v>
      </c>
      <c r="B18" s="51">
        <f>'APAGADOS RADIO'!V2+D18</f>
        <v>0</v>
      </c>
      <c r="C18" s="51">
        <f>'APAGADOS FIBRA'!V2</f>
        <v>0</v>
      </c>
      <c r="D18" s="51">
        <f>'APAGADOS ANTENA'!V2</f>
        <v>0</v>
      </c>
      <c r="E18" s="51">
        <f t="shared" si="21"/>
        <v>0</v>
      </c>
      <c r="F18" s="51">
        <f>'RESUMEN TOTAL'!B1</f>
        <v>392</v>
      </c>
      <c r="G18" s="55">
        <f t="shared" si="22"/>
        <v>0</v>
      </c>
    </row>
    <row r="19" spans="1:7" x14ac:dyDescent="0.25">
      <c r="A19" s="25">
        <f>'APAGADOS RADIO'!W3</f>
        <v>44791</v>
      </c>
      <c r="B19" s="51">
        <f>'APAGADOS RADIO'!W2+D19</f>
        <v>0</v>
      </c>
      <c r="C19" s="51">
        <f>'APAGADOS FIBRA'!W2</f>
        <v>0</v>
      </c>
      <c r="D19" s="51">
        <f>'APAGADOS ANTENA'!W2</f>
        <v>0</v>
      </c>
      <c r="E19" s="51">
        <f t="shared" si="21"/>
        <v>0</v>
      </c>
      <c r="F19" s="51">
        <f>'RESUMEN TOTAL'!B1</f>
        <v>392</v>
      </c>
      <c r="G19" s="55">
        <f t="shared" si="22"/>
        <v>0</v>
      </c>
    </row>
    <row r="20" spans="1:7" x14ac:dyDescent="0.25">
      <c r="A20" s="25">
        <f>'APAGADOS RADIO'!X3</f>
        <v>44792</v>
      </c>
      <c r="B20" s="51">
        <f>'APAGADOS RADIO'!X2+D20</f>
        <v>0</v>
      </c>
      <c r="C20" s="51">
        <f>'APAGADOS FIBRA'!X2</f>
        <v>0</v>
      </c>
      <c r="D20" s="51">
        <f>'APAGADOS ANTENA'!X2</f>
        <v>0</v>
      </c>
      <c r="E20" s="51">
        <f t="shared" si="21"/>
        <v>0</v>
      </c>
      <c r="F20" s="51">
        <f>'RESUMEN TOTAL'!B1</f>
        <v>392</v>
      </c>
      <c r="G20" s="55">
        <f t="shared" si="22"/>
        <v>0</v>
      </c>
    </row>
    <row r="21" spans="1:7" x14ac:dyDescent="0.25">
      <c r="A21" s="25">
        <f>'APAGADOS RADIO'!Y3</f>
        <v>44793</v>
      </c>
      <c r="B21" s="51">
        <f>'APAGADOS RADIO'!Y2+D21</f>
        <v>0</v>
      </c>
      <c r="C21" s="51">
        <f>'APAGADOS FIBRA'!Y2</f>
        <v>0</v>
      </c>
      <c r="D21" s="51">
        <f>'APAGADOS ANTENA'!Y2</f>
        <v>0</v>
      </c>
      <c r="E21" s="51">
        <f t="shared" si="21"/>
        <v>0</v>
      </c>
      <c r="F21" s="51">
        <f>'RESUMEN TOTAL'!B1</f>
        <v>392</v>
      </c>
      <c r="G21" s="55">
        <f t="shared" si="22"/>
        <v>0</v>
      </c>
    </row>
    <row r="22" spans="1:7" x14ac:dyDescent="0.25">
      <c r="A22" s="25">
        <f>'APAGADOS RADIO'!Z3</f>
        <v>44794</v>
      </c>
      <c r="B22" s="51">
        <f>'APAGADOS RADIO'!Z2+D22</f>
        <v>0</v>
      </c>
      <c r="C22" s="51">
        <f>'APAGADOS FIBRA'!Z2</f>
        <v>0</v>
      </c>
      <c r="D22" s="51">
        <f>'APAGADOS ANTENA'!Z2</f>
        <v>0</v>
      </c>
      <c r="E22" s="51">
        <f t="shared" ref="E22" si="23">B22+C22</f>
        <v>0</v>
      </c>
      <c r="F22" s="51">
        <f>'RESUMEN TOTAL'!B1</f>
        <v>392</v>
      </c>
      <c r="G22" s="55">
        <f t="shared" ref="G22" si="24">E22/F22</f>
        <v>0</v>
      </c>
    </row>
    <row r="23" spans="1:7" x14ac:dyDescent="0.25">
      <c r="A23" s="25">
        <f>'APAGADOS RADIO'!AA3</f>
        <v>44795</v>
      </c>
      <c r="B23" s="51">
        <f>'APAGADOS RADIO'!AA2+D23</f>
        <v>0</v>
      </c>
      <c r="C23" s="51">
        <f>'APAGADOS FIBRA'!AA2</f>
        <v>0</v>
      </c>
      <c r="D23" s="51">
        <f>'APAGADOS ANTENA'!AA2</f>
        <v>0</v>
      </c>
      <c r="E23" s="51">
        <f t="shared" ref="E23" si="25">B23+C23</f>
        <v>0</v>
      </c>
      <c r="F23" s="51">
        <f>'RESUMEN TOTAL'!B1</f>
        <v>392</v>
      </c>
      <c r="G23" s="55">
        <f t="shared" ref="G23" si="26">E23/F23</f>
        <v>0</v>
      </c>
    </row>
    <row r="24" spans="1:7" x14ac:dyDescent="0.25">
      <c r="A24" s="25">
        <f>'APAGADOS RADIO'!AB3</f>
        <v>44796</v>
      </c>
      <c r="B24" s="51">
        <f>'APAGADOS RADIO'!AB2+D24</f>
        <v>0</v>
      </c>
      <c r="C24" s="51">
        <f>'APAGADOS FIBRA'!AB2</f>
        <v>0</v>
      </c>
      <c r="D24" s="51">
        <f>'APAGADOS ANTENA'!AB2</f>
        <v>0</v>
      </c>
      <c r="E24" s="51">
        <f t="shared" ref="E24:E26" si="27">B24+C24</f>
        <v>0</v>
      </c>
      <c r="F24" s="51">
        <f>'RESUMEN TOTAL'!B1</f>
        <v>392</v>
      </c>
      <c r="G24" s="55">
        <f t="shared" ref="G24:G26" si="28">E24/F24</f>
        <v>0</v>
      </c>
    </row>
    <row r="25" spans="1:7" x14ac:dyDescent="0.25">
      <c r="A25" s="25">
        <f>'APAGADOS RADIO'!AC3</f>
        <v>44797</v>
      </c>
      <c r="B25" s="51">
        <f>'APAGADOS RADIO'!AC2+D25</f>
        <v>0</v>
      </c>
      <c r="C25" s="51">
        <f>'APAGADOS FIBRA'!AC2</f>
        <v>0</v>
      </c>
      <c r="D25" s="51">
        <f>'APAGADOS ANTENA'!AC2</f>
        <v>0</v>
      </c>
      <c r="E25" s="51">
        <f t="shared" si="27"/>
        <v>0</v>
      </c>
      <c r="F25" s="51">
        <f>'RESUMEN TOTAL'!B1</f>
        <v>392</v>
      </c>
      <c r="G25" s="55">
        <f t="shared" si="28"/>
        <v>0</v>
      </c>
    </row>
    <row r="26" spans="1:7" x14ac:dyDescent="0.25">
      <c r="A26" s="25">
        <f>'APAGADOS RADIO'!AD3</f>
        <v>44798</v>
      </c>
      <c r="B26" s="51">
        <f>'APAGADOS RADIO'!AD2+D26</f>
        <v>0</v>
      </c>
      <c r="C26" s="51">
        <f>'APAGADOS FIBRA'!AD2</f>
        <v>0</v>
      </c>
      <c r="D26" s="51">
        <f>'APAGADOS ANTENA'!AD2</f>
        <v>0</v>
      </c>
      <c r="E26" s="51">
        <f t="shared" si="27"/>
        <v>0</v>
      </c>
      <c r="F26" s="51">
        <f>'RESUMEN TOTAL'!B1</f>
        <v>392</v>
      </c>
      <c r="G26" s="55">
        <f t="shared" si="28"/>
        <v>0</v>
      </c>
    </row>
    <row r="27" spans="1:7" x14ac:dyDescent="0.25">
      <c r="A27" s="25">
        <f>'APAGADOS RADIO'!AE3</f>
        <v>44799</v>
      </c>
      <c r="B27" s="51">
        <f>'APAGADOS RADIO'!AE2+D27</f>
        <v>0</v>
      </c>
      <c r="C27" s="51">
        <f>'APAGADOS FIBRA'!AE2</f>
        <v>0</v>
      </c>
      <c r="D27" s="51">
        <f>'APAGADOS ANTENA'!AE2</f>
        <v>0</v>
      </c>
      <c r="E27" s="51">
        <f t="shared" ref="E27" si="29">B27+C27</f>
        <v>0</v>
      </c>
      <c r="F27" s="51">
        <f>'RESUMEN TOTAL'!B1</f>
        <v>392</v>
      </c>
      <c r="G27" s="55">
        <f t="shared" ref="G27" si="30">E27/F27</f>
        <v>0</v>
      </c>
    </row>
    <row r="28" spans="1:7" x14ac:dyDescent="0.25">
      <c r="A28" s="25">
        <f>'APAGADOS RADIO'!AF3</f>
        <v>44800</v>
      </c>
      <c r="B28" s="51">
        <f>'APAGADOS RADIO'!AF2+D28</f>
        <v>0</v>
      </c>
      <c r="C28" s="51">
        <f>'APAGADOS FIBRA'!AF2</f>
        <v>0</v>
      </c>
      <c r="D28" s="51">
        <f>'APAGADOS ANTENA'!AF2</f>
        <v>0</v>
      </c>
      <c r="E28" s="51">
        <f t="shared" ref="E28:E29" si="31">B28+C28</f>
        <v>0</v>
      </c>
      <c r="F28" s="51">
        <f>'RESUMEN TOTAL'!B1</f>
        <v>392</v>
      </c>
      <c r="G28" s="55">
        <f t="shared" ref="G28:G29" si="32">E28/F28</f>
        <v>0</v>
      </c>
    </row>
    <row r="29" spans="1:7" x14ac:dyDescent="0.25">
      <c r="A29" s="25">
        <f>'APAGADOS RADIO'!AG3</f>
        <v>44801</v>
      </c>
      <c r="B29" s="51">
        <f>'APAGADOS RADIO'!AG2+D29</f>
        <v>0</v>
      </c>
      <c r="C29" s="51">
        <f>'APAGADOS FIBRA'!AG2</f>
        <v>0</v>
      </c>
      <c r="D29" s="51">
        <f>'APAGADOS ANTENA'!AG2</f>
        <v>0</v>
      </c>
      <c r="E29" s="51">
        <f t="shared" si="31"/>
        <v>0</v>
      </c>
      <c r="F29" s="51">
        <f>'RESUMEN TOTAL'!B1</f>
        <v>392</v>
      </c>
      <c r="G29" s="55">
        <f t="shared" si="32"/>
        <v>0</v>
      </c>
    </row>
    <row r="30" spans="1:7" x14ac:dyDescent="0.25">
      <c r="A30" s="25">
        <f>'APAGADOS RADIO'!AH3</f>
        <v>44802</v>
      </c>
      <c r="B30" s="51">
        <f>'APAGADOS RADIO'!AH2+D30</f>
        <v>0</v>
      </c>
      <c r="C30" s="51">
        <f>'APAGADOS FIBRA'!AH2</f>
        <v>0</v>
      </c>
      <c r="D30" s="51">
        <f>'APAGADOS ANTENA'!AH2</f>
        <v>0</v>
      </c>
      <c r="E30" s="51">
        <f t="shared" ref="E30" si="33">B30+C30</f>
        <v>0</v>
      </c>
      <c r="F30" s="51">
        <f>'RESUMEN TOTAL'!B1</f>
        <v>392</v>
      </c>
      <c r="G30" s="55">
        <f t="shared" ref="G30" si="34">E30/F30</f>
        <v>0</v>
      </c>
    </row>
    <row r="31" spans="1:7" x14ac:dyDescent="0.25">
      <c r="A31" s="25">
        <f>'APAGADOS RADIO'!AI3</f>
        <v>44803</v>
      </c>
      <c r="B31" s="51"/>
      <c r="C31" s="51"/>
      <c r="D31" s="51"/>
      <c r="E31" s="51"/>
    </row>
    <row r="33" spans="1:30" x14ac:dyDescent="0.25">
      <c r="A33" s="31"/>
      <c r="B33" s="31"/>
      <c r="C33" s="31"/>
      <c r="D33" s="31"/>
      <c r="E33" s="31"/>
      <c r="F33" s="31"/>
    </row>
    <row r="34" spans="1:30" x14ac:dyDescent="0.25">
      <c r="A34" s="30"/>
      <c r="B34" s="30"/>
      <c r="C34" s="30"/>
      <c r="D34" s="30"/>
      <c r="E34" s="30"/>
      <c r="F34" s="30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25">
      <c r="G35" s="55"/>
    </row>
    <row r="36" spans="1:30" s="30" customFormat="1" x14ac:dyDescent="0.25">
      <c r="A36" s="20"/>
      <c r="B36" s="20"/>
      <c r="C36" s="20"/>
      <c r="D36" s="20"/>
      <c r="E36" s="20"/>
      <c r="F36" s="20"/>
      <c r="G36" s="55"/>
    </row>
    <row r="37" spans="1:30" s="20" customFormat="1" x14ac:dyDescent="0.25">
      <c r="A37"/>
      <c r="B37"/>
      <c r="C37"/>
      <c r="D37"/>
      <c r="E37"/>
      <c r="F37"/>
      <c r="G37" s="55"/>
    </row>
    <row r="39" spans="1:30" x14ac:dyDescent="0.25">
      <c r="A39" s="51"/>
      <c r="B39" s="51"/>
    </row>
    <row r="40" spans="1:30" x14ac:dyDescent="0.25">
      <c r="A40" s="51"/>
      <c r="B40" s="51"/>
      <c r="D40" s="25"/>
      <c r="E40" s="55"/>
    </row>
    <row r="41" spans="1:30" x14ac:dyDescent="0.25">
      <c r="A41" s="51"/>
      <c r="B41" s="51"/>
      <c r="D41" s="25"/>
      <c r="E41" s="55"/>
    </row>
    <row r="42" spans="1:30" x14ac:dyDescent="0.25">
      <c r="A42" s="51"/>
      <c r="B42" s="51"/>
      <c r="D42" s="25"/>
      <c r="E42" s="55"/>
    </row>
    <row r="43" spans="1:30" x14ac:dyDescent="0.25">
      <c r="A43" s="51"/>
      <c r="B43" s="51"/>
      <c r="D43" s="25"/>
      <c r="E43" s="55"/>
    </row>
    <row r="44" spans="1:30" x14ac:dyDescent="0.25">
      <c r="A44" s="51"/>
      <c r="B44" s="51"/>
      <c r="D44" s="25"/>
      <c r="E44" s="55"/>
    </row>
    <row r="45" spans="1:30" x14ac:dyDescent="0.25">
      <c r="A45" s="51"/>
      <c r="B45" s="51"/>
      <c r="D45" s="25"/>
      <c r="E45" s="55"/>
    </row>
    <row r="46" spans="1:30" x14ac:dyDescent="0.25">
      <c r="A46" s="51"/>
      <c r="B46" s="51"/>
      <c r="D46" s="25"/>
      <c r="E46" s="55"/>
    </row>
    <row r="47" spans="1:30" x14ac:dyDescent="0.25">
      <c r="A47" s="51"/>
      <c r="B47" s="51"/>
      <c r="D47" s="25"/>
      <c r="E47" s="55"/>
    </row>
    <row r="48" spans="1:30" x14ac:dyDescent="0.25">
      <c r="A48" s="51"/>
      <c r="B48" s="51"/>
      <c r="D48" s="25"/>
      <c r="E48" s="55"/>
    </row>
    <row r="49" spans="1:5" x14ac:dyDescent="0.25">
      <c r="A49" s="51"/>
      <c r="B49" s="51"/>
      <c r="D49" s="25"/>
      <c r="E49" s="55"/>
    </row>
    <row r="50" spans="1:5" x14ac:dyDescent="0.25">
      <c r="A50" s="51"/>
      <c r="B50" s="51"/>
      <c r="D50" s="25"/>
      <c r="E50" s="55"/>
    </row>
    <row r="51" spans="1:5" x14ac:dyDescent="0.25">
      <c r="A51" s="51"/>
      <c r="B51" s="51"/>
      <c r="D51" s="25"/>
      <c r="E51" s="55"/>
    </row>
    <row r="52" spans="1:5" x14ac:dyDescent="0.25">
      <c r="A52" s="51"/>
      <c r="B52" s="51"/>
      <c r="D52" s="25"/>
      <c r="E52" s="55"/>
    </row>
    <row r="53" spans="1:5" x14ac:dyDescent="0.25">
      <c r="A53" s="51"/>
      <c r="B53" s="51"/>
      <c r="D53" s="25"/>
      <c r="E53" s="55"/>
    </row>
    <row r="54" spans="1:5" x14ac:dyDescent="0.25">
      <c r="A54" s="51"/>
      <c r="B54" s="51"/>
      <c r="D54" s="25"/>
      <c r="E54" s="55"/>
    </row>
    <row r="55" spans="1:5" x14ac:dyDescent="0.25">
      <c r="A55" s="51"/>
      <c r="B55" s="51"/>
      <c r="D55" s="25"/>
      <c r="E55" s="55"/>
    </row>
    <row r="56" spans="1:5" x14ac:dyDescent="0.25">
      <c r="A56" s="51"/>
      <c r="B56" s="51"/>
      <c r="D56" s="25"/>
      <c r="E56" s="55"/>
    </row>
    <row r="57" spans="1:5" x14ac:dyDescent="0.25">
      <c r="A57" s="51"/>
      <c r="B57" s="51"/>
      <c r="D57" s="25"/>
      <c r="E57" s="55"/>
    </row>
    <row r="58" spans="1:5" x14ac:dyDescent="0.25">
      <c r="A58" s="51"/>
      <c r="B58" s="51"/>
      <c r="D58" s="25"/>
      <c r="E58" s="55"/>
    </row>
    <row r="59" spans="1:5" x14ac:dyDescent="0.25">
      <c r="A59" s="51"/>
      <c r="B59" s="51"/>
      <c r="D59" s="25"/>
      <c r="E59" s="55"/>
    </row>
    <row r="60" spans="1:5" x14ac:dyDescent="0.25">
      <c r="A60" s="51"/>
      <c r="B60" s="51"/>
      <c r="D60" s="25"/>
    </row>
    <row r="61" spans="1:5" x14ac:dyDescent="0.25">
      <c r="A61" s="51"/>
      <c r="B61" s="51"/>
      <c r="D61" s="25"/>
    </row>
    <row r="62" spans="1:5" x14ac:dyDescent="0.25">
      <c r="A62" s="51"/>
      <c r="B62" s="51"/>
      <c r="D62" s="25"/>
    </row>
    <row r="63" spans="1:5" x14ac:dyDescent="0.25">
      <c r="A63" s="51"/>
      <c r="B63" s="51"/>
      <c r="D63" s="25"/>
    </row>
    <row r="64" spans="1:5" x14ac:dyDescent="0.25">
      <c r="A64" s="51"/>
      <c r="B64" s="51"/>
      <c r="D64" s="25"/>
    </row>
    <row r="65" spans="1:4" x14ac:dyDescent="0.25">
      <c r="A65" s="51"/>
      <c r="B65" s="51"/>
      <c r="D65" s="25"/>
    </row>
    <row r="66" spans="1:4" x14ac:dyDescent="0.25">
      <c r="A66" s="51"/>
      <c r="B66" s="51"/>
      <c r="D66" s="25"/>
    </row>
    <row r="67" spans="1:4" x14ac:dyDescent="0.25">
      <c r="A67" s="51"/>
      <c r="B67" s="51"/>
      <c r="D67" s="25"/>
    </row>
    <row r="68" spans="1:4" x14ac:dyDescent="0.25">
      <c r="A68" s="51"/>
      <c r="B68" s="51"/>
      <c r="D68" s="25"/>
    </row>
    <row r="69" spans="1:4" x14ac:dyDescent="0.25">
      <c r="A69" s="51"/>
      <c r="B69" s="51"/>
      <c r="D69" s="25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M53"/>
  <sheetViews>
    <sheetView topLeftCell="A25" workbookViewId="0">
      <selection activeCell="A42" sqref="A42:E46"/>
    </sheetView>
  </sheetViews>
  <sheetFormatPr baseColWidth="10" defaultRowHeight="15" x14ac:dyDescent="0.25"/>
  <cols>
    <col min="1" max="1" width="20.28515625" bestFit="1" customWidth="1"/>
    <col min="2" max="2" width="11.5703125" style="68"/>
    <col min="3" max="3" width="11.5703125" style="11"/>
    <col min="4" max="4" width="11.5703125" style="61"/>
    <col min="7" max="7" width="30.7109375" bestFit="1" customWidth="1"/>
    <col min="8" max="8" width="33.7109375" bestFit="1" customWidth="1"/>
    <col min="11" max="12" width="13.7109375" bestFit="1" customWidth="1"/>
  </cols>
  <sheetData>
    <row r="1" spans="1:13" ht="15.75" thickBot="1" x14ac:dyDescent="0.3">
      <c r="B1" s="11" t="s">
        <v>1206</v>
      </c>
      <c r="D1" s="61" t="s">
        <v>1207</v>
      </c>
    </row>
    <row r="2" spans="1:13" ht="16.5" thickTop="1" thickBot="1" x14ac:dyDescent="0.3">
      <c r="A2" s="58" t="s">
        <v>1203</v>
      </c>
      <c r="B2" s="69">
        <v>375</v>
      </c>
      <c r="C2" s="65"/>
      <c r="D2" s="62"/>
      <c r="E2" s="113">
        <v>44753</v>
      </c>
    </row>
    <row r="3" spans="1:13" ht="15" customHeight="1" thickTop="1" x14ac:dyDescent="0.25">
      <c r="A3" s="59" t="s">
        <v>6</v>
      </c>
      <c r="B3" s="70">
        <v>29</v>
      </c>
      <c r="C3" s="66">
        <v>83</v>
      </c>
      <c r="D3" s="63">
        <f>C3/B2</f>
        <v>0.22133333333333333</v>
      </c>
      <c r="E3" s="114"/>
      <c r="G3" s="85" t="s">
        <v>29</v>
      </c>
      <c r="H3" s="86" t="s">
        <v>820</v>
      </c>
      <c r="I3" s="86" t="s">
        <v>19</v>
      </c>
      <c r="J3" s="86" t="s">
        <v>828</v>
      </c>
      <c r="K3" s="87" t="s">
        <v>987</v>
      </c>
      <c r="L3" s="88" t="s">
        <v>1210</v>
      </c>
      <c r="M3" s="110">
        <v>44753</v>
      </c>
    </row>
    <row r="4" spans="1:13" x14ac:dyDescent="0.25">
      <c r="A4" s="59" t="s">
        <v>1205</v>
      </c>
      <c r="B4" s="70">
        <v>6</v>
      </c>
      <c r="C4" s="66">
        <f>B3-B4</f>
        <v>23</v>
      </c>
      <c r="D4" s="63">
        <f>C4/B2</f>
        <v>6.133333333333333E-2</v>
      </c>
      <c r="E4" s="114"/>
      <c r="G4" s="89" t="s">
        <v>441</v>
      </c>
      <c r="H4" s="90" t="s">
        <v>442</v>
      </c>
      <c r="I4" s="90" t="s">
        <v>24</v>
      </c>
      <c r="J4" s="90" t="s">
        <v>828</v>
      </c>
      <c r="K4" s="91" t="s">
        <v>1000</v>
      </c>
      <c r="L4" s="92" t="s">
        <v>1210</v>
      </c>
      <c r="M4" s="111"/>
    </row>
    <row r="5" spans="1:13" x14ac:dyDescent="0.25">
      <c r="A5" s="59" t="s">
        <v>1204</v>
      </c>
      <c r="B5" s="70">
        <v>3</v>
      </c>
      <c r="C5" s="66">
        <f>C4-B5</f>
        <v>20</v>
      </c>
      <c r="D5" s="63">
        <f>C5/B2</f>
        <v>5.3333333333333337E-2</v>
      </c>
      <c r="E5" s="114"/>
      <c r="G5" s="89" t="s">
        <v>694</v>
      </c>
      <c r="H5" s="90" t="s">
        <v>695</v>
      </c>
      <c r="I5" s="90" t="s">
        <v>19</v>
      </c>
      <c r="J5" s="90" t="s">
        <v>828</v>
      </c>
      <c r="K5" s="91" t="s">
        <v>1135</v>
      </c>
      <c r="L5" s="92" t="s">
        <v>1211</v>
      </c>
      <c r="M5" s="111"/>
    </row>
    <row r="6" spans="1:13" ht="15.75" thickBot="1" x14ac:dyDescent="0.3">
      <c r="A6" s="60" t="s">
        <v>20</v>
      </c>
      <c r="B6" s="71">
        <v>5</v>
      </c>
      <c r="C6" s="67">
        <f>C5-B6</f>
        <v>15</v>
      </c>
      <c r="D6" s="64">
        <f>C6/B2</f>
        <v>0.04</v>
      </c>
      <c r="E6" s="115"/>
      <c r="G6" s="89" t="s">
        <v>494</v>
      </c>
      <c r="H6" s="90" t="s">
        <v>495</v>
      </c>
      <c r="I6" s="90" t="s">
        <v>19</v>
      </c>
      <c r="J6" s="90" t="s">
        <v>828</v>
      </c>
      <c r="K6" s="91" t="s">
        <v>1024</v>
      </c>
      <c r="L6" s="92" t="s">
        <v>1208</v>
      </c>
      <c r="M6" s="111"/>
    </row>
    <row r="7" spans="1:13" ht="15" customHeight="1" thickTop="1" x14ac:dyDescent="0.25">
      <c r="A7" s="58" t="s">
        <v>1203</v>
      </c>
      <c r="B7" s="69">
        <v>375</v>
      </c>
      <c r="C7" s="65"/>
      <c r="D7" s="62"/>
      <c r="E7" s="113">
        <v>44755</v>
      </c>
      <c r="G7" s="89" t="s">
        <v>501</v>
      </c>
      <c r="H7" s="90" t="s">
        <v>502</v>
      </c>
      <c r="I7" s="90" t="s">
        <v>19</v>
      </c>
      <c r="J7" s="90" t="s">
        <v>36</v>
      </c>
      <c r="K7" s="91" t="s">
        <v>1027</v>
      </c>
      <c r="L7" s="92" t="s">
        <v>1208</v>
      </c>
      <c r="M7" s="111"/>
    </row>
    <row r="8" spans="1:13" ht="15.75" thickBot="1" x14ac:dyDescent="0.3">
      <c r="A8" s="59" t="s">
        <v>6</v>
      </c>
      <c r="B8" s="70">
        <v>36</v>
      </c>
      <c r="C8" s="66">
        <v>83</v>
      </c>
      <c r="D8" s="63">
        <f>C8/B7</f>
        <v>0.22133333333333333</v>
      </c>
      <c r="E8" s="114"/>
      <c r="G8" s="93" t="s">
        <v>503</v>
      </c>
      <c r="H8" s="94" t="s">
        <v>502</v>
      </c>
      <c r="I8" s="94" t="s">
        <v>102</v>
      </c>
      <c r="J8" s="94" t="s">
        <v>36</v>
      </c>
      <c r="K8" s="95" t="s">
        <v>1026</v>
      </c>
      <c r="L8" s="96" t="s">
        <v>1208</v>
      </c>
      <c r="M8" s="116"/>
    </row>
    <row r="9" spans="1:13" ht="16.5" thickTop="1" thickBot="1" x14ac:dyDescent="0.3">
      <c r="A9" s="59" t="s">
        <v>1205</v>
      </c>
      <c r="B9" s="70">
        <v>6</v>
      </c>
      <c r="C9" s="66">
        <f>B8-B9</f>
        <v>30</v>
      </c>
      <c r="D9" s="63">
        <f>C9/B7</f>
        <v>0.08</v>
      </c>
      <c r="E9" s="114"/>
      <c r="G9" s="97"/>
      <c r="H9" s="77"/>
      <c r="I9" s="77"/>
      <c r="J9" s="77"/>
      <c r="K9" s="78"/>
      <c r="L9" s="77"/>
      <c r="M9" s="98"/>
    </row>
    <row r="10" spans="1:13" ht="15.75" thickTop="1" x14ac:dyDescent="0.25">
      <c r="A10" s="59" t="s">
        <v>1204</v>
      </c>
      <c r="B10" s="70">
        <v>3</v>
      </c>
      <c r="C10" s="66">
        <f>C9-B10</f>
        <v>27</v>
      </c>
      <c r="D10" s="63">
        <f>C10/B7</f>
        <v>7.1999999999999995E-2</v>
      </c>
      <c r="E10" s="114"/>
      <c r="G10" s="72" t="s">
        <v>833</v>
      </c>
      <c r="H10" s="73" t="s">
        <v>35</v>
      </c>
      <c r="I10" s="73" t="s">
        <v>24</v>
      </c>
      <c r="J10" s="73" t="s">
        <v>828</v>
      </c>
      <c r="K10" s="74" t="s">
        <v>834</v>
      </c>
      <c r="L10" s="75" t="s">
        <v>1210</v>
      </c>
      <c r="M10" s="110">
        <v>44755</v>
      </c>
    </row>
    <row r="11" spans="1:13" ht="15.75" thickBot="1" x14ac:dyDescent="0.3">
      <c r="A11" s="60" t="s">
        <v>20</v>
      </c>
      <c r="B11" s="71">
        <v>5</v>
      </c>
      <c r="C11" s="67">
        <f>C10-B11</f>
        <v>22</v>
      </c>
      <c r="D11" s="64">
        <f>C11/B7</f>
        <v>5.8666666666666666E-2</v>
      </c>
      <c r="E11" s="115"/>
      <c r="G11" s="76" t="s">
        <v>290</v>
      </c>
      <c r="H11" s="77" t="s">
        <v>291</v>
      </c>
      <c r="I11" s="77" t="s">
        <v>24</v>
      </c>
      <c r="J11" s="77" t="s">
        <v>36</v>
      </c>
      <c r="K11" s="78" t="s">
        <v>933</v>
      </c>
      <c r="L11" s="79" t="s">
        <v>1212</v>
      </c>
      <c r="M11" s="111"/>
    </row>
    <row r="12" spans="1:13" ht="15.75" thickTop="1" x14ac:dyDescent="0.25">
      <c r="A12" s="58" t="s">
        <v>1203</v>
      </c>
      <c r="B12" s="69">
        <v>375</v>
      </c>
      <c r="C12" s="65"/>
      <c r="D12" s="62"/>
      <c r="E12" s="113">
        <v>44756</v>
      </c>
      <c r="G12" s="76" t="s">
        <v>371</v>
      </c>
      <c r="H12" s="77" t="s">
        <v>372</v>
      </c>
      <c r="I12" s="77" t="s">
        <v>65</v>
      </c>
      <c r="J12" s="77" t="s">
        <v>36</v>
      </c>
      <c r="K12" s="78" t="s">
        <v>969</v>
      </c>
      <c r="L12" s="79" t="s">
        <v>1212</v>
      </c>
      <c r="M12" s="111"/>
    </row>
    <row r="13" spans="1:13" x14ac:dyDescent="0.25">
      <c r="A13" s="59" t="s">
        <v>6</v>
      </c>
      <c r="B13" s="70">
        <v>34</v>
      </c>
      <c r="C13" s="66">
        <v>83</v>
      </c>
      <c r="D13" s="63">
        <f>C13/B12</f>
        <v>0.22133333333333333</v>
      </c>
      <c r="E13" s="114"/>
      <c r="G13" s="76" t="s">
        <v>746</v>
      </c>
      <c r="H13" s="77" t="s">
        <v>747</v>
      </c>
      <c r="I13" s="77" t="s">
        <v>24</v>
      </c>
      <c r="J13" s="77" t="s">
        <v>36</v>
      </c>
      <c r="K13" s="78" t="s">
        <v>1149</v>
      </c>
      <c r="L13" s="79" t="s">
        <v>1213</v>
      </c>
      <c r="M13" s="111"/>
    </row>
    <row r="14" spans="1:13" x14ac:dyDescent="0.25">
      <c r="A14" s="59" t="s">
        <v>1205</v>
      </c>
      <c r="B14" s="70">
        <v>6</v>
      </c>
      <c r="C14" s="66">
        <f>B13-B14</f>
        <v>28</v>
      </c>
      <c r="D14" s="63">
        <f>C14/B12</f>
        <v>7.4666666666666673E-2</v>
      </c>
      <c r="E14" s="114"/>
      <c r="G14" s="76" t="s">
        <v>494</v>
      </c>
      <c r="H14" s="77" t="s">
        <v>495</v>
      </c>
      <c r="I14" s="77" t="s">
        <v>19</v>
      </c>
      <c r="J14" s="77" t="s">
        <v>828</v>
      </c>
      <c r="K14" s="78" t="s">
        <v>1024</v>
      </c>
      <c r="L14" s="79" t="s">
        <v>1208</v>
      </c>
      <c r="M14" s="111"/>
    </row>
    <row r="15" spans="1:13" ht="15" customHeight="1" thickBot="1" x14ac:dyDescent="0.3">
      <c r="A15" s="59" t="s">
        <v>1204</v>
      </c>
      <c r="B15" s="70">
        <v>3</v>
      </c>
      <c r="C15" s="66">
        <f>C14-B15</f>
        <v>25</v>
      </c>
      <c r="D15" s="63">
        <f>C15/B12</f>
        <v>6.6666666666666666E-2</v>
      </c>
      <c r="E15" s="114"/>
      <c r="G15" s="80" t="s">
        <v>503</v>
      </c>
      <c r="H15" s="81" t="s">
        <v>502</v>
      </c>
      <c r="I15" s="81" t="s">
        <v>102</v>
      </c>
      <c r="J15" s="81" t="s">
        <v>36</v>
      </c>
      <c r="K15" s="81" t="s">
        <v>1026</v>
      </c>
      <c r="L15" s="82" t="s">
        <v>1208</v>
      </c>
      <c r="M15" s="112"/>
    </row>
    <row r="16" spans="1:13" ht="16.5" thickTop="1" thickBot="1" x14ac:dyDescent="0.3">
      <c r="A16" s="60" t="s">
        <v>20</v>
      </c>
      <c r="B16" s="71">
        <v>6</v>
      </c>
      <c r="C16" s="67">
        <f>C15-B16</f>
        <v>19</v>
      </c>
      <c r="D16" s="64">
        <f>C16/B12</f>
        <v>5.0666666666666665E-2</v>
      </c>
      <c r="E16" s="115"/>
      <c r="G16" s="103" t="s">
        <v>833</v>
      </c>
      <c r="H16" s="104" t="s">
        <v>35</v>
      </c>
      <c r="I16" s="104" t="s">
        <v>24</v>
      </c>
      <c r="J16" s="104" t="s">
        <v>828</v>
      </c>
      <c r="K16" s="105" t="s">
        <v>834</v>
      </c>
      <c r="L16" s="106" t="s">
        <v>1394</v>
      </c>
      <c r="M16" s="110">
        <v>44763</v>
      </c>
    </row>
    <row r="17" spans="1:13" ht="15.75" thickTop="1" x14ac:dyDescent="0.25">
      <c r="A17" s="58" t="s">
        <v>1203</v>
      </c>
      <c r="B17" s="69">
        <v>392</v>
      </c>
      <c r="C17" s="65"/>
      <c r="D17" s="62"/>
      <c r="E17" s="113">
        <v>44762</v>
      </c>
      <c r="G17" s="107" t="s">
        <v>290</v>
      </c>
      <c r="H17" s="77" t="s">
        <v>291</v>
      </c>
      <c r="I17" s="77" t="s">
        <v>24</v>
      </c>
      <c r="J17" s="77" t="s">
        <v>36</v>
      </c>
      <c r="K17" s="78" t="s">
        <v>933</v>
      </c>
      <c r="L17" s="108" t="s">
        <v>1212</v>
      </c>
      <c r="M17" s="111"/>
    </row>
    <row r="18" spans="1:13" x14ac:dyDescent="0.25">
      <c r="A18" s="59" t="s">
        <v>6</v>
      </c>
      <c r="B18" s="70">
        <v>24</v>
      </c>
      <c r="C18" s="66">
        <v>24</v>
      </c>
      <c r="D18" s="63">
        <f>C18/B17</f>
        <v>6.1224489795918366E-2</v>
      </c>
      <c r="E18" s="114"/>
      <c r="G18" s="107" t="s">
        <v>783</v>
      </c>
      <c r="H18" s="77" t="s">
        <v>784</v>
      </c>
      <c r="I18" s="77" t="s">
        <v>19</v>
      </c>
      <c r="J18" s="77" t="s">
        <v>36</v>
      </c>
      <c r="K18" s="78" t="s">
        <v>1167</v>
      </c>
      <c r="L18" s="108" t="s">
        <v>1395</v>
      </c>
      <c r="M18" s="111"/>
    </row>
    <row r="19" spans="1:13" x14ac:dyDescent="0.25">
      <c r="A19" s="59" t="s">
        <v>1205</v>
      </c>
      <c r="B19" s="70">
        <v>3</v>
      </c>
      <c r="C19" s="66">
        <f>B18-B19</f>
        <v>21</v>
      </c>
      <c r="D19" s="63">
        <f>C19/B17</f>
        <v>5.3571428571428568E-2</v>
      </c>
      <c r="E19" s="114"/>
      <c r="G19" s="107" t="s">
        <v>503</v>
      </c>
      <c r="H19" s="77" t="s">
        <v>502</v>
      </c>
      <c r="I19" s="77" t="s">
        <v>102</v>
      </c>
      <c r="J19" s="77" t="s">
        <v>36</v>
      </c>
      <c r="K19" s="78" t="s">
        <v>1026</v>
      </c>
      <c r="L19" s="108" t="s">
        <v>1208</v>
      </c>
      <c r="M19" s="111"/>
    </row>
    <row r="20" spans="1:13" x14ac:dyDescent="0.25">
      <c r="A20" s="59" t="s">
        <v>1204</v>
      </c>
      <c r="B20" s="70">
        <v>0</v>
      </c>
      <c r="C20" s="66">
        <f>C19-B20</f>
        <v>21</v>
      </c>
      <c r="D20" s="63">
        <f>C20/B17</f>
        <v>5.3571428571428568E-2</v>
      </c>
      <c r="E20" s="114"/>
      <c r="G20" s="107"/>
      <c r="H20" s="77"/>
      <c r="I20" s="77"/>
      <c r="J20" s="77"/>
      <c r="K20" s="78"/>
      <c r="L20" s="109"/>
      <c r="M20" s="111"/>
    </row>
    <row r="21" spans="1:13" ht="15.75" thickBot="1" x14ac:dyDescent="0.3">
      <c r="A21" s="60" t="s">
        <v>20</v>
      </c>
      <c r="B21" s="71">
        <v>5</v>
      </c>
      <c r="C21" s="67">
        <f>C20-B21</f>
        <v>16</v>
      </c>
      <c r="D21" s="64">
        <f>C21/B17</f>
        <v>4.0816326530612242E-2</v>
      </c>
      <c r="E21" s="115"/>
      <c r="G21" s="80"/>
      <c r="H21" s="81"/>
      <c r="I21" s="81"/>
      <c r="J21" s="81"/>
      <c r="K21" s="81"/>
      <c r="L21" s="82"/>
      <c r="M21" s="112"/>
    </row>
    <row r="22" spans="1:13" ht="15.75" thickTop="1" x14ac:dyDescent="0.25">
      <c r="A22" s="58" t="s">
        <v>1203</v>
      </c>
      <c r="B22" s="69">
        <v>392</v>
      </c>
      <c r="C22" s="65"/>
      <c r="D22" s="62"/>
      <c r="E22" s="113">
        <v>44763</v>
      </c>
    </row>
    <row r="23" spans="1:13" ht="15.75" thickBot="1" x14ac:dyDescent="0.3">
      <c r="A23" s="59" t="s">
        <v>6</v>
      </c>
      <c r="B23" s="70">
        <v>23</v>
      </c>
      <c r="C23" s="66">
        <v>23</v>
      </c>
      <c r="D23" s="63">
        <f>C23/B22</f>
        <v>5.8673469387755105E-2</v>
      </c>
      <c r="E23" s="114"/>
    </row>
    <row r="24" spans="1:13" ht="15.75" thickTop="1" x14ac:dyDescent="0.25">
      <c r="A24" s="59" t="s">
        <v>1205</v>
      </c>
      <c r="B24" s="70">
        <v>4</v>
      </c>
      <c r="C24" s="66">
        <f>B23-B24</f>
        <v>19</v>
      </c>
      <c r="D24" s="63">
        <f>C24/B22</f>
        <v>4.8469387755102039E-2</v>
      </c>
      <c r="E24" s="114"/>
      <c r="G24" s="72"/>
      <c r="H24" s="73"/>
      <c r="I24" s="73"/>
      <c r="J24" s="73"/>
      <c r="K24" s="74"/>
      <c r="L24" s="75"/>
      <c r="M24" s="110"/>
    </row>
    <row r="25" spans="1:13" x14ac:dyDescent="0.25">
      <c r="A25" s="59" t="s">
        <v>1204</v>
      </c>
      <c r="B25" s="70">
        <v>2</v>
      </c>
      <c r="C25" s="66">
        <f>C24-B25</f>
        <v>17</v>
      </c>
      <c r="D25" s="63">
        <f>C25/B22</f>
        <v>4.336734693877551E-2</v>
      </c>
      <c r="E25" s="114"/>
      <c r="G25" s="76"/>
      <c r="H25" s="77"/>
      <c r="I25" s="77"/>
      <c r="J25" s="77"/>
      <c r="K25" s="78"/>
      <c r="L25" s="79"/>
      <c r="M25" s="111"/>
    </row>
    <row r="26" spans="1:13" ht="15.75" thickBot="1" x14ac:dyDescent="0.3">
      <c r="A26" s="60" t="s">
        <v>20</v>
      </c>
      <c r="B26" s="71">
        <v>6</v>
      </c>
      <c r="C26" s="67">
        <f>C25-B26</f>
        <v>11</v>
      </c>
      <c r="D26" s="64">
        <f>C26/B22</f>
        <v>2.8061224489795918E-2</v>
      </c>
      <c r="E26" s="115"/>
      <c r="G26" s="76"/>
      <c r="H26" s="77"/>
      <c r="I26" s="77"/>
      <c r="J26" s="77"/>
      <c r="K26" s="78"/>
      <c r="L26" s="79"/>
      <c r="M26" s="111"/>
    </row>
    <row r="27" spans="1:13" ht="15.75" thickTop="1" x14ac:dyDescent="0.25">
      <c r="A27" s="58" t="s">
        <v>1203</v>
      </c>
      <c r="B27" s="69">
        <v>392</v>
      </c>
      <c r="C27" s="65"/>
      <c r="D27" s="62"/>
      <c r="E27" s="113">
        <v>44764</v>
      </c>
      <c r="G27" s="76"/>
      <c r="H27" s="77"/>
      <c r="I27" s="77"/>
      <c r="J27" s="77"/>
      <c r="K27" s="78"/>
      <c r="L27" s="79"/>
      <c r="M27" s="111"/>
    </row>
    <row r="28" spans="1:13" x14ac:dyDescent="0.25">
      <c r="A28" s="59" t="s">
        <v>6</v>
      </c>
      <c r="B28" s="70">
        <v>25</v>
      </c>
      <c r="C28" s="66">
        <v>25</v>
      </c>
      <c r="D28" s="63">
        <f>C28/B27</f>
        <v>6.3775510204081634E-2</v>
      </c>
      <c r="E28" s="114"/>
      <c r="G28" s="76"/>
      <c r="H28" s="77"/>
      <c r="I28" s="77"/>
      <c r="J28" s="77"/>
      <c r="K28" s="78"/>
      <c r="L28" s="79"/>
      <c r="M28" s="111"/>
    </row>
    <row r="29" spans="1:13" ht="15.75" thickBot="1" x14ac:dyDescent="0.3">
      <c r="A29" s="59" t="s">
        <v>1205</v>
      </c>
      <c r="B29" s="70">
        <v>3</v>
      </c>
      <c r="C29" s="66">
        <f>B28-B29</f>
        <v>22</v>
      </c>
      <c r="D29" s="63">
        <f>C29/B27</f>
        <v>5.6122448979591837E-2</v>
      </c>
      <c r="E29" s="114"/>
      <c r="G29" s="80"/>
      <c r="H29" s="81"/>
      <c r="I29" s="81"/>
      <c r="J29" s="81"/>
      <c r="K29" s="81"/>
      <c r="L29" s="82"/>
      <c r="M29" s="112"/>
    </row>
    <row r="30" spans="1:13" ht="15.75" thickTop="1" x14ac:dyDescent="0.25">
      <c r="A30" s="59" t="s">
        <v>1204</v>
      </c>
      <c r="B30" s="70">
        <v>2</v>
      </c>
      <c r="C30" s="66">
        <f>C29-B30</f>
        <v>20</v>
      </c>
      <c r="D30" s="63">
        <f>C30/B27</f>
        <v>5.1020408163265307E-2</v>
      </c>
      <c r="E30" s="114"/>
    </row>
    <row r="31" spans="1:13" ht="15.75" thickBot="1" x14ac:dyDescent="0.3">
      <c r="A31" s="60" t="s">
        <v>20</v>
      </c>
      <c r="B31" s="71">
        <v>8</v>
      </c>
      <c r="C31" s="67">
        <f>C30-B31</f>
        <v>12</v>
      </c>
      <c r="D31" s="64">
        <f>C31/B27</f>
        <v>3.0612244897959183E-2</v>
      </c>
      <c r="E31" s="115"/>
    </row>
    <row r="32" spans="1:13" ht="15.75" thickTop="1" x14ac:dyDescent="0.25">
      <c r="A32" s="58" t="s">
        <v>1203</v>
      </c>
      <c r="B32" s="69">
        <v>392</v>
      </c>
      <c r="C32" s="65"/>
      <c r="D32" s="62"/>
      <c r="E32" s="113">
        <v>44768</v>
      </c>
      <c r="G32" s="52"/>
      <c r="H32" s="51"/>
      <c r="I32" s="51"/>
      <c r="J32" s="51"/>
      <c r="K32" s="16"/>
      <c r="L32" s="83"/>
    </row>
    <row r="33" spans="1:13" x14ac:dyDescent="0.25">
      <c r="A33" s="59" t="s">
        <v>6</v>
      </c>
      <c r="B33" s="70">
        <v>40</v>
      </c>
      <c r="C33" s="66">
        <v>40</v>
      </c>
      <c r="D33" s="63">
        <f>C33/B32</f>
        <v>0.10204081632653061</v>
      </c>
      <c r="E33" s="114"/>
      <c r="G33" s="52"/>
      <c r="H33" s="51"/>
      <c r="I33" s="51"/>
      <c r="J33" s="51"/>
      <c r="K33" s="16"/>
      <c r="L33" s="83"/>
    </row>
    <row r="34" spans="1:13" x14ac:dyDescent="0.25">
      <c r="A34" s="59" t="s">
        <v>1205</v>
      </c>
      <c r="B34" s="70">
        <v>2</v>
      </c>
      <c r="C34" s="66">
        <f>B33-B34</f>
        <v>38</v>
      </c>
      <c r="D34" s="63">
        <f>C34/B32</f>
        <v>9.6938775510204078E-2</v>
      </c>
      <c r="E34" s="114"/>
      <c r="G34" s="52"/>
      <c r="H34" s="51"/>
      <c r="I34" s="51"/>
      <c r="J34" s="51"/>
      <c r="K34" s="16"/>
      <c r="L34" s="83"/>
    </row>
    <row r="35" spans="1:13" x14ac:dyDescent="0.25">
      <c r="A35" s="59" t="s">
        <v>1204</v>
      </c>
      <c r="B35" s="70">
        <v>2</v>
      </c>
      <c r="C35" s="66">
        <f>C34-B35</f>
        <v>36</v>
      </c>
      <c r="D35" s="63">
        <f>C35/B32</f>
        <v>9.1836734693877556E-2</v>
      </c>
      <c r="E35" s="114"/>
      <c r="G35" s="52"/>
      <c r="H35" s="51"/>
      <c r="I35" s="51"/>
      <c r="J35" s="51"/>
      <c r="K35" s="16"/>
      <c r="L35" s="83"/>
    </row>
    <row r="36" spans="1:13" ht="15.75" thickBot="1" x14ac:dyDescent="0.3">
      <c r="A36" s="60" t="s">
        <v>20</v>
      </c>
      <c r="B36" s="71">
        <v>6</v>
      </c>
      <c r="C36" s="67">
        <f>C35-B36</f>
        <v>30</v>
      </c>
      <c r="D36" s="64">
        <f>C36/B32</f>
        <v>7.6530612244897961E-2</v>
      </c>
      <c r="E36" s="115"/>
      <c r="G36" s="52"/>
      <c r="H36" s="51"/>
      <c r="I36" s="51"/>
      <c r="J36" s="51"/>
      <c r="K36" s="16"/>
      <c r="L36" s="83"/>
    </row>
    <row r="37" spans="1:13" ht="15.75" thickTop="1" x14ac:dyDescent="0.25">
      <c r="A37" s="58" t="s">
        <v>1203</v>
      </c>
      <c r="B37" s="69">
        <v>392</v>
      </c>
      <c r="C37" s="65"/>
      <c r="D37" s="62"/>
      <c r="E37" s="113">
        <v>44770</v>
      </c>
      <c r="G37" s="52"/>
      <c r="H37" s="51"/>
      <c r="I37" s="51"/>
      <c r="J37" s="51"/>
      <c r="K37" s="16"/>
      <c r="L37" s="83"/>
    </row>
    <row r="38" spans="1:13" x14ac:dyDescent="0.25">
      <c r="A38" s="59" t="s">
        <v>6</v>
      </c>
      <c r="B38" s="70">
        <v>50</v>
      </c>
      <c r="C38" s="66">
        <v>50</v>
      </c>
      <c r="D38" s="63">
        <f>C38/B37</f>
        <v>0.12755102040816327</v>
      </c>
      <c r="E38" s="114"/>
      <c r="G38" s="52"/>
      <c r="H38" s="51"/>
      <c r="I38" s="51"/>
      <c r="J38" s="51"/>
      <c r="K38" s="16"/>
      <c r="L38" s="84"/>
    </row>
    <row r="39" spans="1:13" ht="15.75" thickBot="1" x14ac:dyDescent="0.3">
      <c r="A39" s="59" t="s">
        <v>1205</v>
      </c>
      <c r="B39" s="70">
        <v>2</v>
      </c>
      <c r="C39" s="66">
        <f>B38-B39</f>
        <v>48</v>
      </c>
      <c r="D39" s="63">
        <f>C39/B37</f>
        <v>0.12244897959183673</v>
      </c>
      <c r="E39" s="114"/>
    </row>
    <row r="40" spans="1:13" ht="15.75" thickTop="1" x14ac:dyDescent="0.25">
      <c r="A40" s="59" t="s">
        <v>1204</v>
      </c>
      <c r="B40" s="70">
        <v>2</v>
      </c>
      <c r="C40" s="66">
        <f>C39-B40</f>
        <v>46</v>
      </c>
      <c r="D40" s="63">
        <f>C40/B37</f>
        <v>0.11734693877551021</v>
      </c>
      <c r="E40" s="114"/>
      <c r="G40" s="72"/>
      <c r="H40" s="73"/>
      <c r="I40" s="73"/>
      <c r="J40" s="73"/>
      <c r="K40" s="74"/>
      <c r="L40" s="75"/>
      <c r="M40" s="110"/>
    </row>
    <row r="41" spans="1:13" ht="15.75" thickBot="1" x14ac:dyDescent="0.3">
      <c r="A41" s="60" t="s">
        <v>20</v>
      </c>
      <c r="B41" s="71">
        <v>9</v>
      </c>
      <c r="C41" s="67">
        <f>C40-B41</f>
        <v>37</v>
      </c>
      <c r="D41" s="64">
        <f>C41/B37</f>
        <v>9.438775510204081E-2</v>
      </c>
      <c r="E41" s="115"/>
      <c r="G41" s="76"/>
      <c r="H41" s="77"/>
      <c r="I41" s="77"/>
      <c r="J41" s="77"/>
      <c r="K41" s="78"/>
      <c r="L41" s="79"/>
      <c r="M41" s="111"/>
    </row>
    <row r="42" spans="1:13" ht="15" customHeight="1" thickTop="1" x14ac:dyDescent="0.25">
      <c r="A42" s="58" t="s">
        <v>1203</v>
      </c>
      <c r="B42" s="69">
        <v>392</v>
      </c>
      <c r="C42" s="65"/>
      <c r="D42" s="62"/>
      <c r="E42" s="113">
        <v>44771</v>
      </c>
      <c r="G42" s="76"/>
      <c r="H42" s="77"/>
      <c r="I42" s="77"/>
      <c r="J42" s="77"/>
      <c r="K42" s="78"/>
      <c r="L42" s="79"/>
      <c r="M42" s="111"/>
    </row>
    <row r="43" spans="1:13" x14ac:dyDescent="0.25">
      <c r="A43" s="59" t="s">
        <v>6</v>
      </c>
      <c r="B43" s="70">
        <v>45</v>
      </c>
      <c r="C43" s="66">
        <v>45</v>
      </c>
      <c r="D43" s="63">
        <f>C43/B42</f>
        <v>0.11479591836734694</v>
      </c>
      <c r="E43" s="114"/>
      <c r="G43" s="76"/>
      <c r="H43" s="77"/>
      <c r="I43" s="77"/>
      <c r="J43" s="77"/>
      <c r="K43" s="78"/>
      <c r="L43" s="79"/>
      <c r="M43" s="111"/>
    </row>
    <row r="44" spans="1:13" x14ac:dyDescent="0.25">
      <c r="A44" s="59" t="s">
        <v>1205</v>
      </c>
      <c r="B44" s="70">
        <v>2</v>
      </c>
      <c r="C44" s="66">
        <f>B43-B44</f>
        <v>43</v>
      </c>
      <c r="D44" s="63">
        <f>C44/B42</f>
        <v>0.10969387755102041</v>
      </c>
      <c r="E44" s="114"/>
      <c r="G44" s="76"/>
      <c r="H44" s="77"/>
      <c r="I44" s="77"/>
      <c r="J44" s="77"/>
      <c r="K44" s="78"/>
      <c r="L44" s="79"/>
      <c r="M44" s="111"/>
    </row>
    <row r="45" spans="1:13" ht="15.75" thickBot="1" x14ac:dyDescent="0.3">
      <c r="A45" s="59" t="s">
        <v>1204</v>
      </c>
      <c r="B45" s="70">
        <v>2</v>
      </c>
      <c r="C45" s="66">
        <f>C44-B45</f>
        <v>41</v>
      </c>
      <c r="D45" s="63">
        <f>C45/B42</f>
        <v>0.10459183673469388</v>
      </c>
      <c r="E45" s="114"/>
      <c r="G45" s="80"/>
      <c r="H45" s="81"/>
      <c r="I45" s="81"/>
      <c r="J45" s="81"/>
      <c r="K45" s="81"/>
      <c r="L45" s="82"/>
      <c r="M45" s="112"/>
    </row>
    <row r="46" spans="1:13" ht="16.5" thickTop="1" thickBot="1" x14ac:dyDescent="0.3">
      <c r="A46" s="60" t="s">
        <v>20</v>
      </c>
      <c r="B46" s="71">
        <v>7</v>
      </c>
      <c r="C46" s="67">
        <f>C45-B46</f>
        <v>34</v>
      </c>
      <c r="D46" s="64">
        <f>C46/B42</f>
        <v>8.673469387755102E-2</v>
      </c>
      <c r="E46" s="115"/>
    </row>
    <row r="47" spans="1:13" ht="15.75" thickTop="1" x14ac:dyDescent="0.25">
      <c r="G47" s="52"/>
      <c r="H47" s="51"/>
      <c r="I47" s="51"/>
      <c r="J47" s="51"/>
      <c r="K47" s="16"/>
      <c r="L47" s="83"/>
    </row>
    <row r="48" spans="1:13" x14ac:dyDescent="0.25">
      <c r="G48" s="52"/>
      <c r="H48" s="51"/>
      <c r="I48" s="51"/>
      <c r="J48" s="51"/>
      <c r="K48" s="16"/>
      <c r="L48" s="83"/>
    </row>
    <row r="49" spans="7:12" x14ac:dyDescent="0.25">
      <c r="G49" s="52"/>
      <c r="H49" s="51"/>
      <c r="I49" s="51"/>
      <c r="J49" s="51"/>
      <c r="K49" s="16"/>
      <c r="L49" s="83"/>
    </row>
    <row r="50" spans="7:12" x14ac:dyDescent="0.25">
      <c r="G50" s="52"/>
      <c r="H50" s="51"/>
      <c r="I50" s="51"/>
      <c r="J50" s="51"/>
      <c r="K50" s="16"/>
      <c r="L50" s="83"/>
    </row>
    <row r="51" spans="7:12" x14ac:dyDescent="0.25">
      <c r="G51" s="52"/>
      <c r="H51" s="51"/>
      <c r="I51" s="51"/>
      <c r="J51" s="51"/>
      <c r="K51" s="16"/>
      <c r="L51" s="83"/>
    </row>
    <row r="52" spans="7:12" x14ac:dyDescent="0.25">
      <c r="G52" s="52"/>
      <c r="H52" s="51"/>
      <c r="I52" s="51"/>
      <c r="J52" s="51"/>
      <c r="K52" s="16"/>
      <c r="L52" s="83"/>
    </row>
    <row r="53" spans="7:12" x14ac:dyDescent="0.25">
      <c r="G53" s="52"/>
      <c r="H53" s="51"/>
      <c r="I53" s="51"/>
      <c r="J53" s="51"/>
      <c r="K53" s="16"/>
      <c r="L53" s="83"/>
    </row>
  </sheetData>
  <mergeCells count="14">
    <mergeCell ref="M40:M45"/>
    <mergeCell ref="E22:E26"/>
    <mergeCell ref="E2:E6"/>
    <mergeCell ref="E7:E11"/>
    <mergeCell ref="E12:E16"/>
    <mergeCell ref="E17:E21"/>
    <mergeCell ref="M16:M21"/>
    <mergeCell ref="M24:M29"/>
    <mergeCell ref="E27:E31"/>
    <mergeCell ref="E32:E36"/>
    <mergeCell ref="E37:E41"/>
    <mergeCell ref="M3:M8"/>
    <mergeCell ref="M10:M15"/>
    <mergeCell ref="E42:E46"/>
  </mergeCells>
  <conditionalFormatting sqref="I9:L9">
    <cfRule type="containsText" dxfId="135" priority="259" operator="containsText" text="Radio">
      <formula>NOT(ISERROR(SEARCH("Radio",I9)))</formula>
    </cfRule>
  </conditionalFormatting>
  <conditionalFormatting sqref="I9">
    <cfRule type="containsText" dxfId="134" priority="251" operator="containsText" text="fija">
      <formula>NOT(ISERROR(SEARCH("fija",I9)))</formula>
    </cfRule>
    <cfRule type="containsText" dxfId="133" priority="252" operator="containsText" text="domo">
      <formula>NOT(ISERROR(SEARCH("domo",I9)))</formula>
    </cfRule>
  </conditionalFormatting>
  <conditionalFormatting sqref="J9">
    <cfRule type="cellIs" dxfId="132" priority="250" operator="equal">
      <formula>"PTP A FO"</formula>
    </cfRule>
  </conditionalFormatting>
  <conditionalFormatting sqref="L20">
    <cfRule type="containsText" dxfId="131" priority="217" operator="containsText" text="Radio">
      <formula>NOT(ISERROR(SEARCH("Radio",L20)))</formula>
    </cfRule>
  </conditionalFormatting>
  <conditionalFormatting sqref="I20:K20">
    <cfRule type="containsText" dxfId="130" priority="207" operator="containsText" text="Radio">
      <formula>NOT(ISERROR(SEARCH("Radio",I20)))</formula>
    </cfRule>
  </conditionalFormatting>
  <conditionalFormatting sqref="I20">
    <cfRule type="containsText" dxfId="129" priority="205" operator="containsText" text="fija">
      <formula>NOT(ISERROR(SEARCH("fija",I20)))</formula>
    </cfRule>
    <cfRule type="containsText" dxfId="128" priority="206" operator="containsText" text="domo">
      <formula>NOT(ISERROR(SEARCH("domo",I20)))</formula>
    </cfRule>
  </conditionalFormatting>
  <conditionalFormatting sqref="J20">
    <cfRule type="cellIs" dxfId="127" priority="204" operator="equal">
      <formula>"PTP A FO"</formula>
    </cfRule>
  </conditionalFormatting>
  <conditionalFormatting sqref="I24:L27 L28">
    <cfRule type="containsText" dxfId="126" priority="179" operator="containsText" text="Radio">
      <formula>NOT(ISERROR(SEARCH("Radio",I24)))</formula>
    </cfRule>
  </conditionalFormatting>
  <conditionalFormatting sqref="I27">
    <cfRule type="containsText" dxfId="125" priority="177" operator="containsText" text="fija">
      <formula>NOT(ISERROR(SEARCH("fija",I27)))</formula>
    </cfRule>
    <cfRule type="containsText" dxfId="124" priority="178" operator="containsText" text="domo">
      <formula>NOT(ISERROR(SEARCH("domo",I27)))</formula>
    </cfRule>
  </conditionalFormatting>
  <conditionalFormatting sqref="J27">
    <cfRule type="cellIs" dxfId="123" priority="176" operator="equal">
      <formula>"PTP A FO"</formula>
    </cfRule>
  </conditionalFormatting>
  <conditionalFormatting sqref="I24">
    <cfRule type="containsText" dxfId="122" priority="174" operator="containsText" text="fija">
      <formula>NOT(ISERROR(SEARCH("fija",I24)))</formula>
    </cfRule>
    <cfRule type="containsText" dxfId="121" priority="175" operator="containsText" text="domo">
      <formula>NOT(ISERROR(SEARCH("domo",I24)))</formula>
    </cfRule>
  </conditionalFormatting>
  <conditionalFormatting sqref="J24">
    <cfRule type="cellIs" dxfId="120" priority="173" operator="equal">
      <formula>"PTP A FO"</formula>
    </cfRule>
  </conditionalFormatting>
  <conditionalFormatting sqref="I25:I26">
    <cfRule type="containsText" dxfId="119" priority="171" operator="containsText" text="fija">
      <formula>NOT(ISERROR(SEARCH("fija",I25)))</formula>
    </cfRule>
    <cfRule type="containsText" dxfId="118" priority="172" operator="containsText" text="domo">
      <formula>NOT(ISERROR(SEARCH("domo",I25)))</formula>
    </cfRule>
  </conditionalFormatting>
  <conditionalFormatting sqref="J25:J26">
    <cfRule type="cellIs" dxfId="117" priority="170" operator="equal">
      <formula>"PTP A FO"</formula>
    </cfRule>
  </conditionalFormatting>
  <conditionalFormatting sqref="I28:K28">
    <cfRule type="containsText" dxfId="116" priority="169" operator="containsText" text="Radio">
      <formula>NOT(ISERROR(SEARCH("Radio",I28)))</formula>
    </cfRule>
  </conditionalFormatting>
  <conditionalFormatting sqref="I28">
    <cfRule type="containsText" dxfId="115" priority="167" operator="containsText" text="fija">
      <formula>NOT(ISERROR(SEARCH("fija",I28)))</formula>
    </cfRule>
    <cfRule type="containsText" dxfId="114" priority="168" operator="containsText" text="domo">
      <formula>NOT(ISERROR(SEARCH("domo",I28)))</formula>
    </cfRule>
  </conditionalFormatting>
  <conditionalFormatting sqref="J28">
    <cfRule type="cellIs" dxfId="113" priority="166" operator="equal">
      <formula>"PTP A FO"</formula>
    </cfRule>
  </conditionalFormatting>
  <conditionalFormatting sqref="I32:L32 I34:L34">
    <cfRule type="containsText" dxfId="112" priority="165" operator="containsText" text="Radio">
      <formula>NOT(ISERROR(SEARCH("Radio",I32)))</formula>
    </cfRule>
  </conditionalFormatting>
  <conditionalFormatting sqref="I32 I34">
    <cfRule type="containsText" dxfId="111" priority="163" operator="containsText" text="fija">
      <formula>NOT(ISERROR(SEARCH("fija",I32)))</formula>
    </cfRule>
    <cfRule type="containsText" dxfId="110" priority="164" operator="containsText" text="domo">
      <formula>NOT(ISERROR(SEARCH("domo",I32)))</formula>
    </cfRule>
  </conditionalFormatting>
  <conditionalFormatting sqref="J32 L34 J34">
    <cfRule type="cellIs" dxfId="109" priority="162" operator="equal">
      <formula>"PTP A FO"</formula>
    </cfRule>
  </conditionalFormatting>
  <conditionalFormatting sqref="I33:L33">
    <cfRule type="containsText" dxfId="108" priority="161" operator="containsText" text="Radio">
      <formula>NOT(ISERROR(SEARCH("Radio",I33)))</formula>
    </cfRule>
  </conditionalFormatting>
  <conditionalFormatting sqref="I33">
    <cfRule type="containsText" dxfId="107" priority="159" operator="containsText" text="fija">
      <formula>NOT(ISERROR(SEARCH("fija",I33)))</formula>
    </cfRule>
    <cfRule type="containsText" dxfId="106" priority="160" operator="containsText" text="domo">
      <formula>NOT(ISERROR(SEARCH("domo",I33)))</formula>
    </cfRule>
  </conditionalFormatting>
  <conditionalFormatting sqref="J33">
    <cfRule type="cellIs" dxfId="105" priority="158" operator="equal">
      <formula>"PTP A FO"</formula>
    </cfRule>
  </conditionalFormatting>
  <conditionalFormatting sqref="L35">
    <cfRule type="containsText" dxfId="104" priority="157" operator="containsText" text="Radio">
      <formula>NOT(ISERROR(SEARCH("Radio",L35)))</formula>
    </cfRule>
  </conditionalFormatting>
  <conditionalFormatting sqref="L35">
    <cfRule type="cellIs" dxfId="103" priority="156" operator="equal">
      <formula>"PTP A FO"</formula>
    </cfRule>
  </conditionalFormatting>
  <conditionalFormatting sqref="I35:K35">
    <cfRule type="containsText" dxfId="102" priority="155" operator="containsText" text="Radio">
      <formula>NOT(ISERROR(SEARCH("Radio",I35)))</formula>
    </cfRule>
  </conditionalFormatting>
  <conditionalFormatting sqref="I35">
    <cfRule type="containsText" dxfId="101" priority="153" operator="containsText" text="fija">
      <formula>NOT(ISERROR(SEARCH("fija",I35)))</formula>
    </cfRule>
    <cfRule type="containsText" dxfId="100" priority="154" operator="containsText" text="domo">
      <formula>NOT(ISERROR(SEARCH("domo",I35)))</formula>
    </cfRule>
  </conditionalFormatting>
  <conditionalFormatting sqref="J35">
    <cfRule type="cellIs" dxfId="99" priority="152" operator="equal">
      <formula>"PTP A FO"</formula>
    </cfRule>
  </conditionalFormatting>
  <conditionalFormatting sqref="I36:L37">
    <cfRule type="containsText" dxfId="98" priority="151" operator="containsText" text="Radio">
      <formula>NOT(ISERROR(SEARCH("Radio",I36)))</formula>
    </cfRule>
  </conditionalFormatting>
  <conditionalFormatting sqref="I36:I37">
    <cfRule type="containsText" dxfId="97" priority="149" operator="containsText" text="fija">
      <formula>NOT(ISERROR(SEARCH("fija",I36)))</formula>
    </cfRule>
    <cfRule type="containsText" dxfId="96" priority="150" operator="containsText" text="domo">
      <formula>NOT(ISERROR(SEARCH("domo",I36)))</formula>
    </cfRule>
  </conditionalFormatting>
  <conditionalFormatting sqref="J36:J37">
    <cfRule type="cellIs" dxfId="95" priority="148" operator="equal">
      <formula>"PTP A FO"</formula>
    </cfRule>
  </conditionalFormatting>
  <conditionalFormatting sqref="I38:L38">
    <cfRule type="containsText" dxfId="94" priority="147" operator="containsText" text="Radio">
      <formula>NOT(ISERROR(SEARCH("Radio",I38)))</formula>
    </cfRule>
  </conditionalFormatting>
  <conditionalFormatting sqref="I38">
    <cfRule type="containsText" dxfId="93" priority="145" operator="containsText" text="fija">
      <formula>NOT(ISERROR(SEARCH("fija",I38)))</formula>
    </cfRule>
    <cfRule type="containsText" dxfId="92" priority="146" operator="containsText" text="domo">
      <formula>NOT(ISERROR(SEARCH("domo",I38)))</formula>
    </cfRule>
  </conditionalFormatting>
  <conditionalFormatting sqref="J38">
    <cfRule type="cellIs" dxfId="91" priority="144" operator="equal">
      <formula>"PTP A FO"</formula>
    </cfRule>
  </conditionalFormatting>
  <conditionalFormatting sqref="I40:L43 L44">
    <cfRule type="containsText" dxfId="90" priority="113" operator="containsText" text="Radio">
      <formula>NOT(ISERROR(SEARCH("Radio",I40)))</formula>
    </cfRule>
  </conditionalFormatting>
  <conditionalFormatting sqref="I43">
    <cfRule type="containsText" dxfId="89" priority="111" operator="containsText" text="fija">
      <formula>NOT(ISERROR(SEARCH("fija",I43)))</formula>
    </cfRule>
    <cfRule type="containsText" dxfId="88" priority="112" operator="containsText" text="domo">
      <formula>NOT(ISERROR(SEARCH("domo",I43)))</formula>
    </cfRule>
  </conditionalFormatting>
  <conditionalFormatting sqref="J43">
    <cfRule type="cellIs" dxfId="87" priority="110" operator="equal">
      <formula>"PTP A FO"</formula>
    </cfRule>
  </conditionalFormatting>
  <conditionalFormatting sqref="I40">
    <cfRule type="containsText" dxfId="86" priority="108" operator="containsText" text="fija">
      <formula>NOT(ISERROR(SEARCH("fija",I40)))</formula>
    </cfRule>
    <cfRule type="containsText" dxfId="85" priority="109" operator="containsText" text="domo">
      <formula>NOT(ISERROR(SEARCH("domo",I40)))</formula>
    </cfRule>
  </conditionalFormatting>
  <conditionalFormatting sqref="J40">
    <cfRule type="cellIs" dxfId="84" priority="107" operator="equal">
      <formula>"PTP A FO"</formula>
    </cfRule>
  </conditionalFormatting>
  <conditionalFormatting sqref="I41:I42">
    <cfRule type="containsText" dxfId="83" priority="105" operator="containsText" text="fija">
      <formula>NOT(ISERROR(SEARCH("fija",I41)))</formula>
    </cfRule>
    <cfRule type="containsText" dxfId="82" priority="106" operator="containsText" text="domo">
      <formula>NOT(ISERROR(SEARCH("domo",I41)))</formula>
    </cfRule>
  </conditionalFormatting>
  <conditionalFormatting sqref="J41:J42">
    <cfRule type="cellIs" dxfId="81" priority="104" operator="equal">
      <formula>"PTP A FO"</formula>
    </cfRule>
  </conditionalFormatting>
  <conditionalFormatting sqref="I44:K44">
    <cfRule type="containsText" dxfId="80" priority="103" operator="containsText" text="Radio">
      <formula>NOT(ISERROR(SEARCH("Radio",I44)))</formula>
    </cfRule>
  </conditionalFormatting>
  <conditionalFormatting sqref="I44">
    <cfRule type="containsText" dxfId="79" priority="101" operator="containsText" text="fija">
      <formula>NOT(ISERROR(SEARCH("fija",I44)))</formula>
    </cfRule>
    <cfRule type="containsText" dxfId="78" priority="102" operator="containsText" text="domo">
      <formula>NOT(ISERROR(SEARCH("domo",I44)))</formula>
    </cfRule>
  </conditionalFormatting>
  <conditionalFormatting sqref="J44">
    <cfRule type="cellIs" dxfId="77" priority="100" operator="equal">
      <formula>"PTP A FO"</formula>
    </cfRule>
  </conditionalFormatting>
  <conditionalFormatting sqref="I47:L49">
    <cfRule type="containsText" dxfId="76" priority="99" operator="containsText" text="Radio">
      <formula>NOT(ISERROR(SEARCH("Radio",I47)))</formula>
    </cfRule>
  </conditionalFormatting>
  <conditionalFormatting sqref="I47">
    <cfRule type="containsText" dxfId="75" priority="97" operator="containsText" text="fija">
      <formula>NOT(ISERROR(SEARCH("fija",I47)))</formula>
    </cfRule>
    <cfRule type="containsText" dxfId="74" priority="98" operator="containsText" text="domo">
      <formula>NOT(ISERROR(SEARCH("domo",I47)))</formula>
    </cfRule>
  </conditionalFormatting>
  <conditionalFormatting sqref="J47">
    <cfRule type="cellIs" dxfId="73" priority="96" operator="equal">
      <formula>"PTP A FO"</formula>
    </cfRule>
  </conditionalFormatting>
  <conditionalFormatting sqref="I48">
    <cfRule type="containsText" dxfId="72" priority="94" operator="containsText" text="fija">
      <formula>NOT(ISERROR(SEARCH("fija",I48)))</formula>
    </cfRule>
    <cfRule type="containsText" dxfId="71" priority="95" operator="containsText" text="domo">
      <formula>NOT(ISERROR(SEARCH("domo",I48)))</formula>
    </cfRule>
  </conditionalFormatting>
  <conditionalFormatting sqref="J48">
    <cfRule type="cellIs" dxfId="70" priority="93" operator="equal">
      <formula>"PTP A FO"</formula>
    </cfRule>
  </conditionalFormatting>
  <conditionalFormatting sqref="I49">
    <cfRule type="containsText" dxfId="69" priority="91" operator="containsText" text="fija">
      <formula>NOT(ISERROR(SEARCH("fija",I49)))</formula>
    </cfRule>
    <cfRule type="containsText" dxfId="68" priority="92" operator="containsText" text="domo">
      <formula>NOT(ISERROR(SEARCH("domo",I49)))</formula>
    </cfRule>
  </conditionalFormatting>
  <conditionalFormatting sqref="J49">
    <cfRule type="cellIs" dxfId="67" priority="90" operator="equal">
      <formula>"PTP A FO"</formula>
    </cfRule>
  </conditionalFormatting>
  <conditionalFormatting sqref="I50:L50">
    <cfRule type="containsText" dxfId="66" priority="89" operator="containsText" text="Radio">
      <formula>NOT(ISERROR(SEARCH("Radio",I50)))</formula>
    </cfRule>
  </conditionalFormatting>
  <conditionalFormatting sqref="I50">
    <cfRule type="containsText" dxfId="65" priority="87" operator="containsText" text="fija">
      <formula>NOT(ISERROR(SEARCH("fija",I50)))</formula>
    </cfRule>
    <cfRule type="containsText" dxfId="64" priority="88" operator="containsText" text="domo">
      <formula>NOT(ISERROR(SEARCH("domo",I50)))</formula>
    </cfRule>
  </conditionalFormatting>
  <conditionalFormatting sqref="J50">
    <cfRule type="cellIs" dxfId="63" priority="86" operator="equal">
      <formula>"PTP A FO"</formula>
    </cfRule>
  </conditionalFormatting>
  <conditionalFormatting sqref="L51">
    <cfRule type="containsText" dxfId="62" priority="85" operator="containsText" text="Radio">
      <formula>NOT(ISERROR(SEARCH("Radio",L51)))</formula>
    </cfRule>
  </conditionalFormatting>
  <conditionalFormatting sqref="L51">
    <cfRule type="cellIs" dxfId="61" priority="84" operator="equal">
      <formula>"PTP A FO"</formula>
    </cfRule>
  </conditionalFormatting>
  <conditionalFormatting sqref="I51:K51">
    <cfRule type="containsText" dxfId="60" priority="83" operator="containsText" text="Radio">
      <formula>NOT(ISERROR(SEARCH("Radio",I51)))</formula>
    </cfRule>
  </conditionalFormatting>
  <conditionalFormatting sqref="I51">
    <cfRule type="containsText" dxfId="59" priority="81" operator="containsText" text="fija">
      <formula>NOT(ISERROR(SEARCH("fija",I51)))</formula>
    </cfRule>
    <cfRule type="containsText" dxfId="58" priority="82" operator="containsText" text="domo">
      <formula>NOT(ISERROR(SEARCH("domo",I51)))</formula>
    </cfRule>
  </conditionalFormatting>
  <conditionalFormatting sqref="J51">
    <cfRule type="cellIs" dxfId="57" priority="80" operator="equal">
      <formula>"PTP A FO"</formula>
    </cfRule>
  </conditionalFormatting>
  <conditionalFormatting sqref="I52:L53">
    <cfRule type="containsText" dxfId="56" priority="79" operator="containsText" text="Radio">
      <formula>NOT(ISERROR(SEARCH("Radio",I52)))</formula>
    </cfRule>
  </conditionalFormatting>
  <conditionalFormatting sqref="I52:I53">
    <cfRule type="containsText" dxfId="55" priority="77" operator="containsText" text="fija">
      <formula>NOT(ISERROR(SEARCH("fija",I52)))</formula>
    </cfRule>
    <cfRule type="containsText" dxfId="54" priority="78" operator="containsText" text="domo">
      <formula>NOT(ISERROR(SEARCH("domo",I52)))</formula>
    </cfRule>
  </conditionalFormatting>
  <conditionalFormatting sqref="J52:J53">
    <cfRule type="cellIs" dxfId="53" priority="76" operator="equal">
      <formula>"PTP A FO"</formula>
    </cfRule>
  </conditionalFormatting>
  <conditionalFormatting sqref="I3:L3">
    <cfRule type="containsText" dxfId="52" priority="75" operator="containsText" text="Radio">
      <formula>NOT(ISERROR(SEARCH("Radio",I3)))</formula>
    </cfRule>
  </conditionalFormatting>
  <conditionalFormatting sqref="I3">
    <cfRule type="containsText" dxfId="51" priority="73" operator="containsText" text="fija">
      <formula>NOT(ISERROR(SEARCH("fija",I3)))</formula>
    </cfRule>
    <cfRule type="containsText" dxfId="50" priority="74" operator="containsText" text="domo">
      <formula>NOT(ISERROR(SEARCH("domo",I3)))</formula>
    </cfRule>
  </conditionalFormatting>
  <conditionalFormatting sqref="J3">
    <cfRule type="cellIs" dxfId="49" priority="72" operator="equal">
      <formula>"PTP A FO"</formula>
    </cfRule>
  </conditionalFormatting>
  <conditionalFormatting sqref="I4:L4">
    <cfRule type="containsText" dxfId="48" priority="71" operator="containsText" text="Radio">
      <formula>NOT(ISERROR(SEARCH("Radio",I4)))</formula>
    </cfRule>
  </conditionalFormatting>
  <conditionalFormatting sqref="I4">
    <cfRule type="containsText" dxfId="47" priority="69" operator="containsText" text="fija">
      <formula>NOT(ISERROR(SEARCH("fija",I4)))</formula>
    </cfRule>
    <cfRule type="containsText" dxfId="46" priority="70" operator="containsText" text="domo">
      <formula>NOT(ISERROR(SEARCH("domo",I4)))</formula>
    </cfRule>
  </conditionalFormatting>
  <conditionalFormatting sqref="J4">
    <cfRule type="cellIs" dxfId="45" priority="68" operator="equal">
      <formula>"PTP A FO"</formula>
    </cfRule>
  </conditionalFormatting>
  <conditionalFormatting sqref="I5:L5">
    <cfRule type="containsText" dxfId="44" priority="67" operator="containsText" text="Radio">
      <formula>NOT(ISERROR(SEARCH("Radio",I5)))</formula>
    </cfRule>
  </conditionalFormatting>
  <conditionalFormatting sqref="I5">
    <cfRule type="containsText" dxfId="43" priority="65" operator="containsText" text="fija">
      <formula>NOT(ISERROR(SEARCH("fija",I5)))</formula>
    </cfRule>
    <cfRule type="containsText" dxfId="42" priority="66" operator="containsText" text="domo">
      <formula>NOT(ISERROR(SEARCH("domo",I5)))</formula>
    </cfRule>
  </conditionalFormatting>
  <conditionalFormatting sqref="J5">
    <cfRule type="cellIs" dxfId="41" priority="64" operator="equal">
      <formula>"PTP A FO"</formula>
    </cfRule>
  </conditionalFormatting>
  <conditionalFormatting sqref="L6">
    <cfRule type="containsText" dxfId="40" priority="63" operator="containsText" text="Radio">
      <formula>NOT(ISERROR(SEARCH("Radio",L6)))</formula>
    </cfRule>
  </conditionalFormatting>
  <conditionalFormatting sqref="L6">
    <cfRule type="cellIs" dxfId="39" priority="62" operator="equal">
      <formula>"PTP A FO"</formula>
    </cfRule>
  </conditionalFormatting>
  <conditionalFormatting sqref="I6:K6">
    <cfRule type="containsText" dxfId="38" priority="61" operator="containsText" text="Radio">
      <formula>NOT(ISERROR(SEARCH("Radio",I6)))</formula>
    </cfRule>
  </conditionalFormatting>
  <conditionalFormatting sqref="I6">
    <cfRule type="containsText" dxfId="37" priority="59" operator="containsText" text="fija">
      <formula>NOT(ISERROR(SEARCH("fija",I6)))</formula>
    </cfRule>
    <cfRule type="containsText" dxfId="36" priority="60" operator="containsText" text="domo">
      <formula>NOT(ISERROR(SEARCH("domo",I6)))</formula>
    </cfRule>
  </conditionalFormatting>
  <conditionalFormatting sqref="J6">
    <cfRule type="cellIs" dxfId="35" priority="58" operator="equal">
      <formula>"PTP A FO"</formula>
    </cfRule>
  </conditionalFormatting>
  <conditionalFormatting sqref="I7:L8">
    <cfRule type="containsText" dxfId="34" priority="57" operator="containsText" text="Radio">
      <formula>NOT(ISERROR(SEARCH("Radio",I7)))</formula>
    </cfRule>
  </conditionalFormatting>
  <conditionalFormatting sqref="I7:I8">
    <cfRule type="containsText" dxfId="33" priority="55" operator="containsText" text="fija">
      <formula>NOT(ISERROR(SEARCH("fija",I7)))</formula>
    </cfRule>
    <cfRule type="containsText" dxfId="32" priority="56" operator="containsText" text="domo">
      <formula>NOT(ISERROR(SEARCH("domo",I7)))</formula>
    </cfRule>
  </conditionalFormatting>
  <conditionalFormatting sqref="J7:J8">
    <cfRule type="cellIs" dxfId="31" priority="54" operator="equal">
      <formula>"PTP A FO"</formula>
    </cfRule>
  </conditionalFormatting>
  <conditionalFormatting sqref="I10:L13 L14">
    <cfRule type="containsText" dxfId="30" priority="31" operator="containsText" text="Radio">
      <formula>NOT(ISERROR(SEARCH("Radio",I10)))</formula>
    </cfRule>
  </conditionalFormatting>
  <conditionalFormatting sqref="I13">
    <cfRule type="containsText" dxfId="29" priority="29" operator="containsText" text="fija">
      <formula>NOT(ISERROR(SEARCH("fija",I13)))</formula>
    </cfRule>
    <cfRule type="containsText" dxfId="28" priority="30" operator="containsText" text="domo">
      <formula>NOT(ISERROR(SEARCH("domo",I13)))</formula>
    </cfRule>
  </conditionalFormatting>
  <conditionalFormatting sqref="J13">
    <cfRule type="cellIs" dxfId="27" priority="28" operator="equal">
      <formula>"PTP A FO"</formula>
    </cfRule>
  </conditionalFormatting>
  <conditionalFormatting sqref="I10">
    <cfRule type="containsText" dxfId="26" priority="26" operator="containsText" text="fija">
      <formula>NOT(ISERROR(SEARCH("fija",I10)))</formula>
    </cfRule>
    <cfRule type="containsText" dxfId="25" priority="27" operator="containsText" text="domo">
      <formula>NOT(ISERROR(SEARCH("domo",I10)))</formula>
    </cfRule>
  </conditionalFormatting>
  <conditionalFormatting sqref="J10">
    <cfRule type="cellIs" dxfId="24" priority="25" operator="equal">
      <formula>"PTP A FO"</formula>
    </cfRule>
  </conditionalFormatting>
  <conditionalFormatting sqref="I11:I12">
    <cfRule type="containsText" dxfId="23" priority="23" operator="containsText" text="fija">
      <formula>NOT(ISERROR(SEARCH("fija",I11)))</formula>
    </cfRule>
    <cfRule type="containsText" dxfId="22" priority="24" operator="containsText" text="domo">
      <formula>NOT(ISERROR(SEARCH("domo",I11)))</formula>
    </cfRule>
  </conditionalFormatting>
  <conditionalFormatting sqref="J11:J12">
    <cfRule type="cellIs" dxfId="21" priority="22" operator="equal">
      <formula>"PTP A FO"</formula>
    </cfRule>
  </conditionalFormatting>
  <conditionalFormatting sqref="I14:K14">
    <cfRule type="containsText" dxfId="20" priority="21" operator="containsText" text="Radio">
      <formula>NOT(ISERROR(SEARCH("Radio",I14)))</formula>
    </cfRule>
  </conditionalFormatting>
  <conditionalFormatting sqref="I14">
    <cfRule type="containsText" dxfId="19" priority="19" operator="containsText" text="fija">
      <formula>NOT(ISERROR(SEARCH("fija",I14)))</formula>
    </cfRule>
    <cfRule type="containsText" dxfId="18" priority="20" operator="containsText" text="domo">
      <formula>NOT(ISERROR(SEARCH("domo",I14)))</formula>
    </cfRule>
  </conditionalFormatting>
  <conditionalFormatting sqref="J14">
    <cfRule type="cellIs" dxfId="17" priority="18" operator="equal">
      <formula>"PTP A FO"</formula>
    </cfRule>
  </conditionalFormatting>
  <conditionalFormatting sqref="I16:L16">
    <cfRule type="containsText" dxfId="16" priority="17" operator="containsText" text="Radio">
      <formula>NOT(ISERROR(SEARCH("Radio",I16)))</formula>
    </cfRule>
  </conditionalFormatting>
  <conditionalFormatting sqref="I16">
    <cfRule type="containsText" dxfId="15" priority="15" operator="containsText" text="fija">
      <formula>NOT(ISERROR(SEARCH("fija",I16)))</formula>
    </cfRule>
    <cfRule type="containsText" dxfId="14" priority="16" operator="containsText" text="domo">
      <formula>NOT(ISERROR(SEARCH("domo",I16)))</formula>
    </cfRule>
  </conditionalFormatting>
  <conditionalFormatting sqref="J16">
    <cfRule type="cellIs" dxfId="13" priority="14" operator="equal">
      <formula>"PTP A FO"</formula>
    </cfRule>
  </conditionalFormatting>
  <conditionalFormatting sqref="I17:L17">
    <cfRule type="containsText" dxfId="12" priority="13" operator="containsText" text="Radio">
      <formula>NOT(ISERROR(SEARCH("Radio",I17)))</formula>
    </cfRule>
  </conditionalFormatting>
  <conditionalFormatting sqref="I17">
    <cfRule type="containsText" dxfId="11" priority="11" operator="containsText" text="fija">
      <formula>NOT(ISERROR(SEARCH("fija",I17)))</formula>
    </cfRule>
    <cfRule type="containsText" dxfId="10" priority="12" operator="containsText" text="domo">
      <formula>NOT(ISERROR(SEARCH("domo",I17)))</formula>
    </cfRule>
  </conditionalFormatting>
  <conditionalFormatting sqref="J17">
    <cfRule type="cellIs" dxfId="9" priority="10" operator="equal">
      <formula>"PTP A FO"</formula>
    </cfRule>
  </conditionalFormatting>
  <conditionalFormatting sqref="L18">
    <cfRule type="containsText" dxfId="8" priority="9" operator="containsText" text="Radio">
      <formula>NOT(ISERROR(SEARCH("Radio",L18)))</formula>
    </cfRule>
  </conditionalFormatting>
  <conditionalFormatting sqref="I18:K18">
    <cfRule type="containsText" dxfId="7" priority="8" operator="containsText" text="Radio">
      <formula>NOT(ISERROR(SEARCH("Radio",I18)))</formula>
    </cfRule>
  </conditionalFormatting>
  <conditionalFormatting sqref="I18">
    <cfRule type="containsText" dxfId="6" priority="6" operator="containsText" text="fija">
      <formula>NOT(ISERROR(SEARCH("fija",I18)))</formula>
    </cfRule>
    <cfRule type="containsText" dxfId="5" priority="7" operator="containsText" text="domo">
      <formula>NOT(ISERROR(SEARCH("domo",I18)))</formula>
    </cfRule>
  </conditionalFormatting>
  <conditionalFormatting sqref="J18">
    <cfRule type="cellIs" dxfId="4" priority="5" operator="equal">
      <formula>"PTP A FO"</formula>
    </cfRule>
  </conditionalFormatting>
  <conditionalFormatting sqref="I19:L19">
    <cfRule type="containsText" dxfId="3" priority="4" operator="containsText" text="Radio">
      <formula>NOT(ISERROR(SEARCH("Radio",I19)))</formula>
    </cfRule>
  </conditionalFormatting>
  <conditionalFormatting sqref="I19">
    <cfRule type="containsText" dxfId="2" priority="2" operator="containsText" text="fija">
      <formula>NOT(ISERROR(SEARCH("fija",I19)))</formula>
    </cfRule>
    <cfRule type="containsText" dxfId="1" priority="3" operator="containsText" text="domo">
      <formula>NOT(ISERROR(SEARCH("domo",I19)))</formula>
    </cfRule>
  </conditionalFormatting>
  <conditionalFormatting sqref="J19">
    <cfRule type="cellIs" dxfId="0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GRAFICO2</vt:lpstr>
      <vt:lpstr>PORCENTAJE</vt:lpstr>
      <vt:lpstr>AUXILIAR</vt:lpstr>
      <vt:lpstr>informe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2022-08-08T10:36:23Z</dcterms:modified>
</cp:coreProperties>
</file>