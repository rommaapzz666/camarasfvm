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01444D55-20D5-438A-BCA6-8B742F91FA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2" i="14" l="1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Y2" i="21" l="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Y2" i="11" l="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X385" i="11" l="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<sst xmlns="http://schemas.openxmlformats.org/spreadsheetml/2006/main" count="4379" uniqueCount="1294">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</sst>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33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8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0.14666666666666667</c:v>
                      </c:pt>
                      <c:pt idx="26">
                        <c:v>0.15111111111111111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3.9024390243902439E-2</c:v>
                      </c:pt>
                      <c:pt idx="26" formatCode="0.00%">
                        <c:v>3.4146341463414637E-2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0.14666666666666667</c:v>
                </c:pt>
                <c:pt idx="26">
                  <c:v>0.15111111111111111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3.9024390243902439E-2</c:v>
                </c:pt>
                <c:pt idx="26" formatCode="0.00%">
                  <c:v>3.4146341463414637E-2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33</c:v>
                      </c:pt>
                      <c:pt idx="26">
                        <c:v>34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8</c:v>
                      </c:pt>
                      <c:pt idx="26">
                        <c:v>7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K214" activePane="bottomRight" state="frozen"/>
      <selection pane="topRight" activeCell="M1" sqref="M1"/>
      <selection pane="bottomLeft" activeCell="A5" sqref="A5"/>
      <selection pane="bottomRight" activeCell="AK230" sqref="AK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9.5348837209302331E-2</v>
      </c>
      <c r="AK1" s="4">
        <f t="shared" si="0"/>
        <v>9.7674418604651161E-2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389</v>
      </c>
      <c r="AK2" s="127">
        <f t="shared" si="1"/>
        <v>388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41</v>
      </c>
      <c r="AK3" s="12">
        <f t="shared" si="2"/>
        <v>42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5</v>
      </c>
      <c r="I16" s="42">
        <f t="shared" si="3"/>
        <v>25</v>
      </c>
      <c r="J16" s="43">
        <f t="shared" si="4"/>
        <v>0.16666666666666666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 t="s">
        <v>1274</v>
      </c>
      <c r="AK16" s="20" t="s">
        <v>1274</v>
      </c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25</v>
      </c>
      <c r="I27" s="42">
        <f>COUNTIF(K27:AL27,"APAGADO")</f>
        <v>5</v>
      </c>
      <c r="J27" s="43">
        <f>(H27)/(I27+H27)</f>
        <v>0.83333333333333337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 t="s">
        <v>1274</v>
      </c>
      <c r="AK27" s="20" t="s">
        <v>1274</v>
      </c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4</v>
      </c>
      <c r="I34" s="42">
        <f>COUNTIF(K34:AL34,"APAGADO")</f>
        <v>26</v>
      </c>
      <c r="J34" s="43">
        <f>(H34)/(I34+H34)</f>
        <v>0.13333333333333333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 t="s">
        <v>1274</v>
      </c>
      <c r="AK34" s="20" t="s">
        <v>1274</v>
      </c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3</v>
      </c>
      <c r="I40" s="42">
        <f t="shared" si="3"/>
        <v>27</v>
      </c>
      <c r="J40" s="43">
        <f t="shared" si="4"/>
        <v>0.1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 t="s">
        <v>1274</v>
      </c>
      <c r="AK40" s="20" t="s">
        <v>1274</v>
      </c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3</v>
      </c>
      <c r="I48" s="42">
        <f t="shared" si="3"/>
        <v>27</v>
      </c>
      <c r="J48" s="43">
        <f t="shared" si="4"/>
        <v>0.1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 t="s">
        <v>1274</v>
      </c>
      <c r="AK48" s="20" t="s">
        <v>1274</v>
      </c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4</v>
      </c>
      <c r="I49" s="42">
        <f t="shared" si="3"/>
        <v>26</v>
      </c>
      <c r="J49" s="43">
        <f t="shared" si="4"/>
        <v>0.13333333333333333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 t="s">
        <v>1274</v>
      </c>
      <c r="AK49" s="20" t="s">
        <v>1274</v>
      </c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3</v>
      </c>
      <c r="I51" s="42">
        <f t="shared" si="3"/>
        <v>27</v>
      </c>
      <c r="J51" s="43">
        <f t="shared" si="4"/>
        <v>0.1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 t="s">
        <v>1274</v>
      </c>
      <c r="AK51" s="20" t="s">
        <v>1274</v>
      </c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3</v>
      </c>
      <c r="I54" s="42">
        <f t="shared" si="3"/>
        <v>27</v>
      </c>
      <c r="J54" s="43">
        <f t="shared" si="4"/>
        <v>0.1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 t="s">
        <v>1274</v>
      </c>
      <c r="AK54" s="20" t="s">
        <v>1274</v>
      </c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3</v>
      </c>
      <c r="I56" s="42">
        <f t="shared" si="3"/>
        <v>27</v>
      </c>
      <c r="J56" s="43">
        <f t="shared" si="4"/>
        <v>0.1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 t="s">
        <v>1274</v>
      </c>
      <c r="AK56" s="20" t="s">
        <v>1274</v>
      </c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5</v>
      </c>
      <c r="I75" s="42">
        <f t="shared" si="3"/>
        <v>25</v>
      </c>
      <c r="J75" s="43">
        <f t="shared" si="4"/>
        <v>0.16666666666666666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 t="s">
        <v>1274</v>
      </c>
      <c r="AK75" s="20" t="s">
        <v>1274</v>
      </c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23</v>
      </c>
      <c r="I77" s="42">
        <f t="shared" ref="I77:I140" si="10">COUNTIF(K77:AL77,"APAGADO")</f>
        <v>7</v>
      </c>
      <c r="J77" s="43">
        <f t="shared" ref="J77:J140" si="11">(H77)/(I77+H77)</f>
        <v>0.76666666666666672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 t="s">
        <v>1274</v>
      </c>
      <c r="AK77" s="20" t="s">
        <v>1274</v>
      </c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16</v>
      </c>
      <c r="I87" s="42">
        <f>COUNTIF(K87:AL87,"APAGADO")</f>
        <v>14</v>
      </c>
      <c r="J87" s="43">
        <f>(H87)/(I87+H87)</f>
        <v>0.53333333333333333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16</v>
      </c>
      <c r="I88" s="42">
        <f t="shared" si="10"/>
        <v>14</v>
      </c>
      <c r="J88" s="43">
        <f t="shared" si="11"/>
        <v>0.53333333333333333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4</v>
      </c>
      <c r="I94" s="42">
        <f>COUNTIF(K94:AL94,"APAGADO")</f>
        <v>26</v>
      </c>
      <c r="J94" s="43">
        <f>(H94)/(I94+H94)</f>
        <v>0.13333333333333333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 t="s">
        <v>1274</v>
      </c>
      <c r="AK94" s="20" t="s">
        <v>1274</v>
      </c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3</v>
      </c>
      <c r="I98" s="42">
        <f>COUNTIF(K98:AL98,"APAGADO")</f>
        <v>27</v>
      </c>
      <c r="J98" s="43">
        <f>(H98)/(I98+H98)</f>
        <v>0.1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 t="s">
        <v>1274</v>
      </c>
      <c r="AK98" s="20" t="s">
        <v>1274</v>
      </c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4</v>
      </c>
      <c r="I101" s="42">
        <f t="shared" si="10"/>
        <v>26</v>
      </c>
      <c r="J101" s="43">
        <f t="shared" si="11"/>
        <v>0.13333333333333333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 t="s">
        <v>1274</v>
      </c>
      <c r="AK101" s="20" t="s">
        <v>1274</v>
      </c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4</v>
      </c>
      <c r="I102" s="42">
        <f t="shared" si="10"/>
        <v>26</v>
      </c>
      <c r="J102" s="43">
        <f t="shared" si="11"/>
        <v>0.13333333333333333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 t="s">
        <v>1274</v>
      </c>
      <c r="AK102" s="20" t="s">
        <v>1274</v>
      </c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16</v>
      </c>
      <c r="I122" s="42">
        <f t="shared" si="10"/>
        <v>14</v>
      </c>
      <c r="J122" s="43">
        <f t="shared" si="11"/>
        <v>0.53333333333333333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 t="s">
        <v>1274</v>
      </c>
      <c r="AK122" s="20" t="s">
        <v>1274</v>
      </c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4</v>
      </c>
      <c r="I175" s="42">
        <f t="shared" si="12"/>
        <v>26</v>
      </c>
      <c r="J175" s="43">
        <f t="shared" si="13"/>
        <v>0.13333333333333333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 t="s">
        <v>1274</v>
      </c>
      <c r="AK175" s="20" t="s">
        <v>1274</v>
      </c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29</v>
      </c>
      <c r="I176" s="42">
        <f t="shared" si="12"/>
        <v>1</v>
      </c>
      <c r="J176" s="43">
        <f t="shared" si="13"/>
        <v>0.96666666666666667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4</v>
      </c>
      <c r="I177" s="42">
        <f t="shared" si="12"/>
        <v>26</v>
      </c>
      <c r="J177" s="43">
        <f t="shared" si="13"/>
        <v>0.13333333333333333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 t="s">
        <v>1274</v>
      </c>
      <c r="AK177" s="20" t="s">
        <v>1274</v>
      </c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4</v>
      </c>
      <c r="I182" s="42">
        <f t="shared" si="12"/>
        <v>26</v>
      </c>
      <c r="J182" s="43">
        <f t="shared" si="13"/>
        <v>0.13333333333333333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 t="s">
        <v>1274</v>
      </c>
      <c r="AK182" s="20" t="s">
        <v>1274</v>
      </c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22</v>
      </c>
      <c r="I184" s="42">
        <f t="shared" si="12"/>
        <v>8</v>
      </c>
      <c r="J184" s="43">
        <f t="shared" si="13"/>
        <v>0.73333333333333328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 t="s">
        <v>1274</v>
      </c>
      <c r="AK184" s="20" t="s">
        <v>1274</v>
      </c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3</v>
      </c>
      <c r="I185" s="42">
        <f t="shared" si="12"/>
        <v>27</v>
      </c>
      <c r="J185" s="43">
        <f t="shared" si="13"/>
        <v>0.1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 t="s">
        <v>1274</v>
      </c>
      <c r="AK185" s="20" t="s">
        <v>1274</v>
      </c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3</v>
      </c>
      <c r="I187" s="42">
        <f t="shared" si="12"/>
        <v>27</v>
      </c>
      <c r="J187" s="43">
        <f t="shared" si="13"/>
        <v>0.1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 t="s">
        <v>1274</v>
      </c>
      <c r="AK187" s="20" t="s">
        <v>1274</v>
      </c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3</v>
      </c>
      <c r="I198" s="42">
        <f>COUNTIF(K198:AL198,"APAGADO")</f>
        <v>27</v>
      </c>
      <c r="J198" s="43">
        <f>(H198)/(I198+H198)</f>
        <v>0.1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 t="s">
        <v>1274</v>
      </c>
      <c r="AK198" s="20" t="s">
        <v>1274</v>
      </c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26</v>
      </c>
      <c r="I212" s="42">
        <f t="shared" si="12"/>
        <v>4</v>
      </c>
      <c r="J212" s="43">
        <f t="shared" si="13"/>
        <v>0.8666666666666667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 t="s">
        <v>1274</v>
      </c>
      <c r="AK212" s="20" t="s">
        <v>1274</v>
      </c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4</v>
      </c>
      <c r="I229" s="42">
        <f t="shared" si="12"/>
        <v>26</v>
      </c>
      <c r="J229" s="43">
        <f t="shared" si="13"/>
        <v>0.13333333333333333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 t="s">
        <v>1274</v>
      </c>
      <c r="AK229" s="20" t="s">
        <v>1274</v>
      </c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5</v>
      </c>
      <c r="I236" s="42">
        <f t="shared" si="19"/>
        <v>25</v>
      </c>
      <c r="J236" s="43">
        <f t="shared" si="20"/>
        <v>0.16666666666666666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 t="s">
        <v>1274</v>
      </c>
      <c r="AK236" s="20" t="s">
        <v>1274</v>
      </c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27</v>
      </c>
      <c r="I241" s="42">
        <f t="shared" si="19"/>
        <v>3</v>
      </c>
      <c r="J241" s="43">
        <f t="shared" si="20"/>
        <v>0.9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3</v>
      </c>
      <c r="I256" s="42">
        <f t="shared" si="19"/>
        <v>27</v>
      </c>
      <c r="J256" s="43">
        <f t="shared" si="20"/>
        <v>0.1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 t="s">
        <v>1274</v>
      </c>
      <c r="AK256" s="20" t="s">
        <v>1274</v>
      </c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27</v>
      </c>
      <c r="I267" s="42">
        <f t="shared" si="19"/>
        <v>3</v>
      </c>
      <c r="J267" s="43">
        <f t="shared" si="20"/>
        <v>0.9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 t="s">
        <v>1274</v>
      </c>
      <c r="AK267" s="20" t="s">
        <v>1274</v>
      </c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27</v>
      </c>
      <c r="I268" s="42">
        <f t="shared" si="19"/>
        <v>3</v>
      </c>
      <c r="J268" s="43">
        <f t="shared" si="20"/>
        <v>0.9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 t="s">
        <v>1274</v>
      </c>
      <c r="AK268" s="20" t="s">
        <v>1274</v>
      </c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25</v>
      </c>
      <c r="I275" s="42">
        <f t="shared" si="19"/>
        <v>5</v>
      </c>
      <c r="J275" s="43">
        <f t="shared" si="20"/>
        <v>0.83333333333333337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 t="s">
        <v>1274</v>
      </c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20</v>
      </c>
      <c r="I302" s="42">
        <f t="shared" si="22"/>
        <v>10</v>
      </c>
      <c r="J302" s="43">
        <f t="shared" si="23"/>
        <v>0.66666666666666663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 t="s">
        <v>1274</v>
      </c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22</v>
      </c>
      <c r="I345" s="42">
        <f t="shared" si="22"/>
        <v>8</v>
      </c>
      <c r="J345" s="43">
        <f t="shared" si="23"/>
        <v>0.73333333333333328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 t="s">
        <v>1274</v>
      </c>
      <c r="AK345" s="20" t="s">
        <v>1274</v>
      </c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23</v>
      </c>
      <c r="I347" s="42">
        <f t="shared" si="22"/>
        <v>7</v>
      </c>
      <c r="J347" s="43">
        <f t="shared" si="23"/>
        <v>0.76666666666666672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 t="s">
        <v>1274</v>
      </c>
      <c r="AK347" s="20" t="s">
        <v>1274</v>
      </c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25</v>
      </c>
      <c r="I348" s="42">
        <f t="shared" si="22"/>
        <v>5</v>
      </c>
      <c r="J348" s="43">
        <f t="shared" si="23"/>
        <v>0.83333333333333337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 t="s">
        <v>1274</v>
      </c>
      <c r="AK348" s="20" t="s">
        <v>1274</v>
      </c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25</v>
      </c>
      <c r="I349" s="42">
        <f t="shared" si="22"/>
        <v>5</v>
      </c>
      <c r="J349" s="43">
        <f t="shared" si="23"/>
        <v>0.83333333333333337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 t="s">
        <v>1274</v>
      </c>
      <c r="AK349" s="20" t="s">
        <v>1274</v>
      </c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25</v>
      </c>
      <c r="I350" s="42">
        <f t="shared" si="22"/>
        <v>5</v>
      </c>
      <c r="J350" s="43">
        <f t="shared" si="23"/>
        <v>0.83333333333333337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 t="s">
        <v>1274</v>
      </c>
      <c r="AK350" s="20" t="s">
        <v>1274</v>
      </c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25</v>
      </c>
      <c r="I351" s="42">
        <f t="shared" si="22"/>
        <v>5</v>
      </c>
      <c r="J351" s="43">
        <f t="shared" si="23"/>
        <v>0.83333333333333337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 t="s">
        <v>1274</v>
      </c>
      <c r="AK351" s="20" t="s">
        <v>1274</v>
      </c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9</v>
      </c>
      <c r="I374" s="42">
        <f t="shared" si="22"/>
        <v>21</v>
      </c>
      <c r="J374" s="43">
        <f t="shared" si="23"/>
        <v>0.3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 t="s">
        <v>1274</v>
      </c>
      <c r="AK374" s="20" t="s">
        <v>1274</v>
      </c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3</v>
      </c>
      <c r="I379" s="42">
        <f t="shared" si="28"/>
        <v>27</v>
      </c>
      <c r="J379" s="43">
        <f t="shared" si="29"/>
        <v>0.1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 t="s">
        <v>1274</v>
      </c>
      <c r="AK379" s="20" t="s">
        <v>1274</v>
      </c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16</v>
      </c>
      <c r="I390" s="42">
        <f t="shared" si="28"/>
        <v>14</v>
      </c>
      <c r="J390" s="43">
        <f t="shared" si="29"/>
        <v>0.53333333333333333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 t="s">
        <v>1274</v>
      </c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16</v>
      </c>
      <c r="I391" s="42">
        <f t="shared" si="28"/>
        <v>14</v>
      </c>
      <c r="J391" s="43">
        <f t="shared" si="29"/>
        <v>0.53333333333333333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 t="s">
        <v>1274</v>
      </c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25</v>
      </c>
      <c r="I405" s="42">
        <f t="shared" si="28"/>
        <v>5</v>
      </c>
      <c r="J405" s="43">
        <f t="shared" si="29"/>
        <v>0.83333333333333337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 t="s">
        <v>1274</v>
      </c>
      <c r="AK405" s="20" t="s">
        <v>1274</v>
      </c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3</v>
      </c>
      <c r="I420" s="42">
        <f t="shared" si="28"/>
        <v>27</v>
      </c>
      <c r="J420" s="43">
        <f t="shared" si="29"/>
        <v>0.1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 t="s">
        <v>1274</v>
      </c>
      <c r="AK420" s="20" t="s">
        <v>1274</v>
      </c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26</v>
      </c>
      <c r="I432" s="42">
        <f t="shared" si="28"/>
        <v>4</v>
      </c>
      <c r="J432" s="43">
        <f t="shared" si="29"/>
        <v>0.8666666666666667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 t="s">
        <v>1274</v>
      </c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J104:J115 J308:K353 L409:AF434 J396:J434 J4:J22 AO264:AO405 J264:AN307 J261:AO263 L317:AN353 J354:AN377 R378:AN391 AG396:AN405 R205:AN260 J23:AO103 AO106:AO260 J116:AN204 K8:AO22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308:K353 L161:AN204 K161:K260 K435:AO1048576 AO264:AO434 K261:AO263 L317:AN353 K354:AN377 R378:AN391 R205:AN260 R394:AN408 K116:AN160 AO106:AO260 K8:AO103 K409:AN434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AG435:AO1048576 K5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 t="str">
        <f>'RESUMEN TOTAL'!AJ16</f>
        <v>APAGADO</v>
      </c>
      <c r="AF13" s="23" t="str">
        <f>'RESUMEN TOTAL'!AK16</f>
        <v>APAGADO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 t="str">
        <f>'RESUMEN TOTAL'!AJ27</f>
        <v>APAGADO</v>
      </c>
      <c r="AF25" s="23" t="str">
        <f>'RESUMEN TOTAL'!AK27</f>
        <v>APAGADO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 t="str">
        <f>'RESUMEN TOTAL'!AJ34</f>
        <v>APAGADO</v>
      </c>
      <c r="AF32" s="23" t="str">
        <f>'RESUMEN TOTAL'!AK34</f>
        <v>APAGADO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 t="str">
        <f>'RESUMEN TOTAL'!AJ40</f>
        <v>APAGADO</v>
      </c>
      <c r="AF38" s="23" t="str">
        <f>'RESUMEN TOTAL'!AK40</f>
        <v>APAGADO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 t="str">
        <f>'RESUMEN TOTAL'!AJ48</f>
        <v>APAGADO</v>
      </c>
      <c r="AF46" s="23" t="str">
        <f>'RESUMEN TOTAL'!AK48</f>
        <v>APAGADO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 t="str">
        <f>'RESUMEN TOTAL'!AJ49</f>
        <v>APAGADO</v>
      </c>
      <c r="AF47" s="23" t="str">
        <f>'RESUMEN TOTAL'!AK49</f>
        <v>APAGADO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 t="str">
        <f>'RESUMEN TOTAL'!AJ51</f>
        <v>APAGADO</v>
      </c>
      <c r="AF49" s="23" t="str">
        <f>'RESUMEN TOTAL'!AK51</f>
        <v>APAGADO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 t="str">
        <f>'RESUMEN TOTAL'!AJ54</f>
        <v>APAGADO</v>
      </c>
      <c r="AF52" s="23" t="str">
        <f>'RESUMEN TOTAL'!AK54</f>
        <v>APAGADO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 t="str">
        <f>'RESUMEN TOTAL'!AJ56</f>
        <v>APAGADO</v>
      </c>
      <c r="AF54" s="23" t="str">
        <f>'RESUMEN TOTAL'!AK56</f>
        <v>APAGADO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 t="str">
        <f>'RESUMEN TOTAL'!AJ75</f>
        <v>APAGADO</v>
      </c>
      <c r="AF73" s="23" t="str">
        <f>'RESUMEN TOTAL'!AK75</f>
        <v>APAGADO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 t="str">
        <f>'RESUMEN TOTAL'!AJ77</f>
        <v>APAGADO</v>
      </c>
      <c r="AF75" s="23" t="str">
        <f>'RESUMEN TOTAL'!AK77</f>
        <v>APAGADO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 t="str">
        <f>'RESUMEN TOTAL'!AJ94</f>
        <v>APAGADO</v>
      </c>
      <c r="AF92" s="23" t="str">
        <f>'RESUMEN TOTAL'!AK94</f>
        <v>APAGADO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 t="str">
        <f>'RESUMEN TOTAL'!AJ98</f>
        <v>APAGADO</v>
      </c>
      <c r="AF96" s="23" t="str">
        <f>'RESUMEN TOTAL'!AK98</f>
        <v>APAGADO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 t="str">
        <f>'RESUMEN TOTAL'!AJ101</f>
        <v>APAGADO</v>
      </c>
      <c r="AF99" s="23" t="str">
        <f>'RESUMEN TOTAL'!AK101</f>
        <v>APAGADO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 t="str">
        <f>'RESUMEN TOTAL'!AJ102</f>
        <v>APAGADO</v>
      </c>
      <c r="AF100" s="23" t="str">
        <f>'RESUMEN TOTAL'!AK102</f>
        <v>APAGADO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 t="str">
        <f>'RESUMEN TOTAL'!AJ122</f>
        <v>APAGADO</v>
      </c>
      <c r="AF121" s="23" t="str">
        <f>'RESUMEN TOTAL'!AK122</f>
        <v>APAGADO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 t="str">
        <f>'RESUMEN TOTAL'!AJ175</f>
        <v>APAGADO</v>
      </c>
      <c r="AF173" s="23" t="str">
        <f>'RESUMEN TOTAL'!AK175</f>
        <v>APAGADO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 t="str">
        <f>'RESUMEN TOTAL'!AJ177</f>
        <v>APAGADO</v>
      </c>
      <c r="AF175" s="23" t="str">
        <f>'RESUMEN TOTAL'!AK177</f>
        <v>APAGADO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 t="str">
        <f>'RESUMEN TOTAL'!AJ182</f>
        <v>APAGADO</v>
      </c>
      <c r="AF180" s="23" t="str">
        <f>'RESUMEN TOTAL'!AK182</f>
        <v>APAGADO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 t="str">
        <f>'RESUMEN TOTAL'!AJ184</f>
        <v>APAGADO</v>
      </c>
      <c r="AF182" s="23" t="str">
        <f>'RESUMEN TOTAL'!AK184</f>
        <v>APAGADO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 t="str">
        <f>'RESUMEN TOTAL'!AJ185</f>
        <v>APAGADO</v>
      </c>
      <c r="AF183" s="23" t="str">
        <f>'RESUMEN TOTAL'!AK185</f>
        <v>APAGADO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 t="str">
        <f>'RESUMEN TOTAL'!AJ187</f>
        <v>APAGADO</v>
      </c>
      <c r="AF185" s="23" t="str">
        <f>'RESUMEN TOTAL'!AK187</f>
        <v>APAGADO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 t="str">
        <f>'RESUMEN TOTAL'!AJ198</f>
        <v>APAGADO</v>
      </c>
      <c r="AF196" s="23" t="str">
        <f>'RESUMEN TOTAL'!AK198</f>
        <v>APAGADO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 t="str">
        <f>'RESUMEN TOTAL'!AJ212</f>
        <v>APAGADO</v>
      </c>
      <c r="AF210" s="23" t="str">
        <f>'RESUMEN TOTAL'!AK212</f>
        <v>APAGADO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 t="str">
        <f>'RESUMEN TOTAL'!AJ229</f>
        <v>APAGADO</v>
      </c>
      <c r="AF227" s="23" t="str">
        <f>'RESUMEN TOTAL'!AK229</f>
        <v>APAGADO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 t="str">
        <f>'RESUMEN TOTAL'!AJ236</f>
        <v>APAGADO</v>
      </c>
      <c r="AF234" s="23" t="str">
        <f>'RESUMEN TOTAL'!AK236</f>
        <v>APAGADO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 t="str">
        <f>'RESUMEN TOTAL'!AJ256</f>
        <v>APAGADO</v>
      </c>
      <c r="AF254" s="23" t="str">
        <f>'RESUMEN TOTAL'!AK256</f>
        <v>APAGADO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 t="str">
        <f>'RESUMEN TOTAL'!AJ267</f>
        <v>APAGADO</v>
      </c>
      <c r="AF264" s="23" t="str">
        <f>'RESUMEN TOTAL'!AK267</f>
        <v>APAGADO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 t="str">
        <f>'RESUMEN TOTAL'!AJ268</f>
        <v>APAGADO</v>
      </c>
      <c r="AF265" s="23" t="str">
        <f>'RESUMEN TOTAL'!AK268</f>
        <v>APAGADO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 t="str">
        <f>'RESUMEN TOTAL'!AJ275</f>
        <v>APAGADO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 t="str">
        <f>'RESUMEN TOTAL'!AJ302</f>
        <v>APAGADO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 t="str">
        <f>'RESUMEN TOTAL'!AJ345</f>
        <v>APAGADO</v>
      </c>
      <c r="AF342" s="23" t="str">
        <f>'RESUMEN TOTAL'!AK345</f>
        <v>APAGADO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 t="str">
        <f>'RESUMEN TOTAL'!AJ347</f>
        <v>APAGADO</v>
      </c>
      <c r="AF344" s="23" t="str">
        <f>'RESUMEN TOTAL'!AK347</f>
        <v>APAGADO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 t="str">
        <f>'RESUMEN TOTAL'!AJ348</f>
        <v>APAGADO</v>
      </c>
      <c r="AF345" s="23" t="str">
        <f>'RESUMEN TOTAL'!AK348</f>
        <v>APAGADO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 t="str">
        <f>'RESUMEN TOTAL'!AJ349</f>
        <v>APAGADO</v>
      </c>
      <c r="AF346" s="23" t="str">
        <f>'RESUMEN TOTAL'!AK349</f>
        <v>APAGADO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 t="str">
        <f>'RESUMEN TOTAL'!AJ350</f>
        <v>APAGADO</v>
      </c>
      <c r="AF347" s="23" t="str">
        <f>'RESUMEN TOTAL'!AK350</f>
        <v>APAGADO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 t="str">
        <f>'RESUMEN TOTAL'!AJ351</f>
        <v>APAGADO</v>
      </c>
      <c r="AF348" s="23" t="str">
        <f>'RESUMEN TOTAL'!AK351</f>
        <v>APAGADO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 t="str">
        <f>'RESUMEN TOTAL'!AJ374</f>
        <v>APAGADO</v>
      </c>
      <c r="AF371" s="23" t="str">
        <f>'RESUMEN TOTAL'!AK374</f>
        <v>APAGADO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 t="str">
        <f>'RESUMEN TOTAL'!AJ379</f>
        <v>APAGADO</v>
      </c>
      <c r="AF376" s="23" t="str">
        <f>'RESUMEN TOTAL'!AK379</f>
        <v>APAGADO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 t="str">
        <f>'RESUMEN TOTAL'!AK390</f>
        <v>APAGADO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 t="str">
        <f>'RESUMEN TOTAL'!AK391</f>
        <v>APAGADO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 t="str">
        <f>'RESUMEN TOTAL'!AJ405</f>
        <v>APAGADO</v>
      </c>
      <c r="AF402" s="23" t="str">
        <f>'RESUMEN TOTAL'!AK405</f>
        <v>APAGADO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 t="str">
        <f>'RESUMEN TOTAL'!AJ420</f>
        <v>APAGADO</v>
      </c>
      <c r="AF417" s="23" t="str">
        <f>'RESUMEN TOTAL'!AK420</f>
        <v>APAGADO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 t="str">
        <f>'RESUMEN TOTAL'!AK432</f>
        <v>APAGADO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39</v>
      </c>
      <c r="AF1" s="19">
        <f t="shared" si="0"/>
        <v>39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 t="str">
        <f>ESTADISTICA!AE73</f>
        <v>APAGADO</v>
      </c>
      <c r="AF74" t="str">
        <f>ESTADISTICA!AF73</f>
        <v>APAGADO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 t="str">
        <f>ESTADISTICA!AE75</f>
        <v>APAGADO</v>
      </c>
      <c r="AF76" t="str">
        <f>ESTADISTICA!AF75</f>
        <v>APAGADO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 t="str">
        <f>ESTADISTICA!AF210</f>
        <v>APAGADO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 t="str">
        <f>ESTADISTICA!AE254</f>
        <v>APAGADO</v>
      </c>
      <c r="AF255" t="str">
        <f>ESTADISTICA!AF254</f>
        <v>APAGADO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 t="str">
        <f>ESTADISTICA!AE265</f>
        <v>APAGADO</v>
      </c>
      <c r="AF266" t="str">
        <f>ESTADISTICA!AF265</f>
        <v>APAGADO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 t="str">
        <f>ESTADISTICA!AF387</f>
        <v>APAGADO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 t="str">
        <f>ESTADISTICA!AF388</f>
        <v>APAGADO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 t="str">
        <f>ESTADISTICA!AE402</f>
        <v>APAGADO</v>
      </c>
      <c r="AF403" s="40" t="str">
        <f>ESTADISTICA!AF402</f>
        <v>APAGADO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 t="str">
        <f>ESTADISTICA!AE417</f>
        <v>APAGADO</v>
      </c>
      <c r="AF418" s="40" t="str">
        <f>ESTADISTICA!AF417</f>
        <v>APAGADO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 t="str">
        <f>ESTADISTICA!AF429</f>
        <v>APAGADO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38</v>
      </c>
      <c r="AC2" s="19">
        <f>COUNTIFS(AC4:AC400, "=APAGADO",E4:E400,"=Fibra Optica")</f>
        <v>32</v>
      </c>
      <c r="AD2" s="19">
        <f>COUNTIFS(AD4:AD400, "=APAGADO",E4:E400,"=Fibra Optica")</f>
        <v>49</v>
      </c>
      <c r="AE2" s="19">
        <f>COUNTIFS(AE4:AE500, "=APAGADO",E4:E500,"=Fibra Optica")</f>
        <v>32</v>
      </c>
      <c r="AF2" s="19">
        <f>COUNTIFS(AF4:AF500, "=APAGADO",E4:E500,"=Fibra Optica")</f>
        <v>33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 t="str">
        <f>ESTADISTICA!AE13</f>
        <v>APAGADO</v>
      </c>
      <c r="AF15" s="40" t="str">
        <f>ESTADISTICA!AF13</f>
        <v>APAGADO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 t="str">
        <f>ESTADISTICA!AE25</f>
        <v>APAGADO</v>
      </c>
      <c r="AF27" s="40" t="str">
        <f>ESTADISTICA!AF25</f>
        <v>APAGADO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 t="str">
        <f>ESTADISTICA!AE32</f>
        <v>APAGADO</v>
      </c>
      <c r="AF34" s="40" t="str">
        <f>ESTADISTICA!AF32</f>
        <v>APAGADO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 t="str">
        <f>ESTADISTICA!AE38</f>
        <v>APAGADO</v>
      </c>
      <c r="AF40" s="40" t="str">
        <f>ESTADISTICA!AF38</f>
        <v>APAGADO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 t="str">
        <f>ESTADISTICA!AE46</f>
        <v>APAGADO</v>
      </c>
      <c r="AF48" s="40" t="str">
        <f>ESTADISTICA!AF46</f>
        <v>APAGADO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 t="str">
        <f>ESTADISTICA!AE47</f>
        <v>APAGADO</v>
      </c>
      <c r="AF49" s="40" t="str">
        <f>ESTADISTICA!AF47</f>
        <v>APAGADO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 t="str">
        <f>ESTADISTICA!AE49</f>
        <v>APAGADO</v>
      </c>
      <c r="AF51" s="40" t="str">
        <f>ESTADISTICA!AF49</f>
        <v>APAGADO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 t="str">
        <f>ESTADISTICA!AE52</f>
        <v>APAGADO</v>
      </c>
      <c r="AF54" s="40" t="str">
        <f>ESTADISTICA!AF52</f>
        <v>APAGADO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 t="str">
        <f>ESTADISTICA!AE54</f>
        <v>APAGADO</v>
      </c>
      <c r="AF56" s="40" t="str">
        <f>ESTADISTICA!AF54</f>
        <v>APAGADO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 t="str">
        <f>ESTADISTICA!AE73</f>
        <v>APAGADO</v>
      </c>
      <c r="AF75" s="40" t="str">
        <f>ESTADISTICA!AF73</f>
        <v>APAGADO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 t="str">
        <f>ESTADISTICA!AE75</f>
        <v>APAGADO</v>
      </c>
      <c r="AF77" s="40" t="str">
        <f>ESTADISTICA!AF75</f>
        <v>APAGADO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 t="str">
        <f>ESTADISTICA!AE92</f>
        <v>APAGADO</v>
      </c>
      <c r="AF94" s="40" t="str">
        <f>ESTADISTICA!AF92</f>
        <v>APAGADO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 t="str">
        <f>ESTADISTICA!AE96</f>
        <v>APAGADO</v>
      </c>
      <c r="AF98" s="40" t="str">
        <f>ESTADISTICA!AF96</f>
        <v>APAGADO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 t="str">
        <f>ESTADISTICA!AE99</f>
        <v>APAGADO</v>
      </c>
      <c r="AF101" s="40" t="str">
        <f>ESTADISTICA!AF99</f>
        <v>APAGADO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 t="str">
        <f>ESTADISTICA!AE100</f>
        <v>APAGADO</v>
      </c>
      <c r="AF102" s="40" t="str">
        <f>ESTADISTICA!AF100</f>
        <v>APAGADO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 t="str">
        <f>ESTADISTICA!AE121</f>
        <v>APAGADO</v>
      </c>
      <c r="AF123" s="40" t="str">
        <f>ESTADISTICA!AF121</f>
        <v>APAGADO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 t="str">
        <f>ESTADISTICA!AE173</f>
        <v>APAGADO</v>
      </c>
      <c r="AF175" s="40" t="str">
        <f>ESTADISTICA!AF173</f>
        <v>APAGADO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 t="str">
        <f>ESTADISTICA!AE175</f>
        <v>APAGADO</v>
      </c>
      <c r="AF177" s="40" t="str">
        <f>ESTADISTICA!AF175</f>
        <v>APAGADO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 t="str">
        <f>ESTADISTICA!AE180</f>
        <v>APAGADO</v>
      </c>
      <c r="AF182" s="40" t="str">
        <f>ESTADISTICA!AF180</f>
        <v>APAGADO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 t="str">
        <f>ESTADISTICA!AE182</f>
        <v>APAGADO</v>
      </c>
      <c r="AF184" s="40" t="str">
        <f>ESTADISTICA!AF182</f>
        <v>APAGADO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 t="str">
        <f>ESTADISTICA!AE183</f>
        <v>APAGADO</v>
      </c>
      <c r="AF185" s="40" t="str">
        <f>ESTADISTICA!AF183</f>
        <v>APAGADO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 t="str">
        <f>ESTADISTICA!AE185</f>
        <v>APAGADO</v>
      </c>
      <c r="AF187" s="40" t="str">
        <f>ESTADISTICA!AF185</f>
        <v>APAGADO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 t="str">
        <f>ESTADISTICA!AE196</f>
        <v>APAGADO</v>
      </c>
      <c r="AF198" s="40" t="str">
        <f>ESTADISTICA!AF196</f>
        <v>APAGADO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 t="str">
        <f>ESTADISTICA!AE210</f>
        <v>APAGADO</v>
      </c>
      <c r="AF212" s="40" t="str">
        <f>ESTADISTICA!AF210</f>
        <v>APAGADO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 t="str">
        <f>ESTADISTICA!AE227</f>
        <v>APAGADO</v>
      </c>
      <c r="AF229" s="40" t="str">
        <f>ESTADISTICA!AF227</f>
        <v>APAGADO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 t="str">
        <f>ESTADISTICA!AE234</f>
        <v>APAGADO</v>
      </c>
      <c r="AF236" s="40" t="str">
        <f>ESTADISTICA!AF234</f>
        <v>APAGADO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 t="str">
        <f>ESTADISTICA!AE254</f>
        <v>APAGADO</v>
      </c>
      <c r="AF256" s="40" t="str">
        <f>ESTADISTICA!AF254</f>
        <v>APAGADO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 t="str">
        <f>ESTADISTICA!AE264</f>
        <v>APAGADO</v>
      </c>
      <c r="AF266" s="40" t="str">
        <f>ESTADISTICA!AF264</f>
        <v>APAGADO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 t="str">
        <f>ESTADISTICA!AE265</f>
        <v>APAGADO</v>
      </c>
      <c r="AF267" s="40" t="str">
        <f>ESTADISTICA!AF265</f>
        <v>APAGADO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 t="str">
        <f>ESTADISTICA!AE272</f>
        <v>APAGADO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 t="str">
        <f>ESTADISTICA!AE299</f>
        <v>APAGADO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 t="str">
        <f>ESTADISTICA!AE342</f>
        <v>APAGADO</v>
      </c>
      <c r="AF344" s="40" t="str">
        <f>ESTADISTICA!AF342</f>
        <v>APAGADO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 t="str">
        <f>ESTADISTICA!AE344</f>
        <v>APAGADO</v>
      </c>
      <c r="AF346" s="40" t="str">
        <f>ESTADISTICA!AF344</f>
        <v>APAGADO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 t="str">
        <f>ESTADISTICA!AE345</f>
        <v>APAGADO</v>
      </c>
      <c r="AF347" s="40" t="str">
        <f>ESTADISTICA!AF345</f>
        <v>APAGADO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 t="str">
        <f>ESTADISTICA!AE346</f>
        <v>APAGADO</v>
      </c>
      <c r="AF348" s="40" t="str">
        <f>ESTADISTICA!AF346</f>
        <v>APAGADO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 t="str">
        <f>ESTADISTICA!AE347</f>
        <v>APAGADO</v>
      </c>
      <c r="AF349" s="40" t="str">
        <f>ESTADISTICA!AF347</f>
        <v>APAGADO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 t="str">
        <f>ESTADISTICA!AE348</f>
        <v>APAGADO</v>
      </c>
      <c r="AF350" s="40" t="str">
        <f>ESTADISTICA!AF348</f>
        <v>APAGADO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3</v>
      </c>
      <c r="AC2" s="19">
        <f>COUNTIFS(AC4:AC400, "=APAGADO",E4:E400,"=PTO A FO")</f>
        <v>3</v>
      </c>
      <c r="AD2" s="19">
        <f>COUNTIFS(AD4:AD400, "=APAGADO",E4:E400,"=PTO A FO")</f>
        <v>3</v>
      </c>
      <c r="AE2" s="19">
        <f>COUNTIFS(AE4:AE500, "=APAGADO",E4:E500,"=PTO A FO")</f>
        <v>4</v>
      </c>
      <c r="AF2" s="19">
        <f>COUNTIFS(AF4:AF500, "=APAGADO",E4:E500,"=PTO A FO")</f>
        <v>4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8</v>
      </c>
      <c r="AC2" s="19">
        <f>COUNTIFS(AC4:AC367, "=APAGADO",E4:E367,"=radio")</f>
        <v>4</v>
      </c>
      <c r="AD2" s="19">
        <f>COUNTIFS(AD4:AD367, "=APAGADO",E4:E367,"=radio")</f>
        <v>2</v>
      </c>
      <c r="AE2" s="19">
        <f>COUNTIFS(AE4:AE500, "=APAGADO",E4:E500,"=radio")</f>
        <v>5</v>
      </c>
      <c r="AF2" s="19">
        <f>COUNTIFS(AF4:AF500, "=APAGADO",E4:E500,"=radio")</f>
        <v>5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B45" sqref="B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36">
        <v>44887</v>
      </c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33</v>
      </c>
      <c r="AF3" s="64">
        <f>COUNTIFS('RESUMEN TOTAL'!C7:C501, "=BONOMO",'RESUMEN TOTAL'!AK7:AK501,"=APAGADO")</f>
        <v>34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0.14666666666666667</v>
      </c>
      <c r="AF4" s="71">
        <f t="shared" si="0"/>
        <v>0.15111111111111111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8</v>
      </c>
      <c r="AF5" s="66">
        <f>COUNTIFS('RESUMEN TOTAL'!C10:C421, "=COSEIDI",'RESUMEN TOTAL'!AK10:AK421,"=APAGADO")</f>
        <v>7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3.9024390243902439E-2</v>
      </c>
      <c r="AF6" s="52">
        <f t="shared" si="5"/>
        <v>3.4146341463414637E-2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2022-11-28T10:34:34Z</dcterms:modified>
</cp:coreProperties>
</file>