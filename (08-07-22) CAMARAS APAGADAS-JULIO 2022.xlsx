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C3B2D291-19E0-4FB5-A9A0-1C001748C33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<sst xmlns="http://schemas.openxmlformats.org/spreadsheetml/2006/main" count="3212" uniqueCount="1371">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</sst>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0.12533333333333332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16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41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57</c:v>
                </c:pt>
                <c:pt idx="7">
                  <c:v>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0.152</c:v>
                </c:pt>
                <c:pt idx="7">
                  <c:v>0.12533333333333332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V199" activePane="bottomRight" state="frozen"/>
      <selection pane="topRight" activeCell="M1" sqref="M1"/>
      <selection pane="bottomLeft" activeCell="A5" sqref="A5"/>
      <selection pane="bottomRight" activeCell="V209" sqref="V209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0.12533333333333332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328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47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23</v>
      </c>
      <c r="M7" s="17">
        <f t="shared" si="8"/>
        <v>7</v>
      </c>
      <c r="N7" s="18">
        <f t="shared" si="9"/>
        <v>0.76666666666666672</v>
      </c>
      <c r="O7" s="27" t="s">
        <v>1369</v>
      </c>
      <c r="P7" s="8" t="s">
        <v>1369</v>
      </c>
      <c r="Q7" s="8" t="s">
        <v>1369</v>
      </c>
      <c r="R7" s="8" t="s">
        <v>1369</v>
      </c>
      <c r="S7" s="27" t="s">
        <v>1369</v>
      </c>
      <c r="T7" s="27"/>
      <c r="U7" s="8" t="s">
        <v>1369</v>
      </c>
      <c r="V7" s="8" t="s">
        <v>1369</v>
      </c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28</v>
      </c>
      <c r="M10" s="17">
        <f t="shared" si="8"/>
        <v>2</v>
      </c>
      <c r="N10" s="18">
        <f t="shared" si="9"/>
        <v>0.93333333333333335</v>
      </c>
      <c r="O10" s="27"/>
      <c r="P10" s="8"/>
      <c r="Q10" s="8"/>
      <c r="R10" s="8"/>
      <c r="S10" s="27"/>
      <c r="T10" s="27"/>
      <c r="U10" s="8" t="s">
        <v>1369</v>
      </c>
      <c r="V10" s="8" t="s">
        <v>1369</v>
      </c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1369</v>
      </c>
      <c r="V13" s="8" t="s">
        <v>1369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1369</v>
      </c>
      <c r="V14" s="8" t="s">
        <v>1369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1369</v>
      </c>
      <c r="V17" s="8" t="s">
        <v>1369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1369</v>
      </c>
      <c r="V18" s="8" t="s">
        <v>1369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24</v>
      </c>
      <c r="M36" s="17">
        <f t="shared" si="8"/>
        <v>6</v>
      </c>
      <c r="N36" s="18">
        <f t="shared" si="9"/>
        <v>0.8</v>
      </c>
      <c r="O36" s="27"/>
      <c r="P36" s="8" t="s">
        <v>1369</v>
      </c>
      <c r="Q36" s="8" t="s">
        <v>1369</v>
      </c>
      <c r="R36" s="8" t="s">
        <v>1369</v>
      </c>
      <c r="S36" s="27" t="s">
        <v>1369</v>
      </c>
      <c r="T36" s="27"/>
      <c r="U36" s="8" t="s">
        <v>1369</v>
      </c>
      <c r="V36" s="8" t="s">
        <v>1369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1369</v>
      </c>
      <c r="P74" s="8" t="s">
        <v>1369</v>
      </c>
      <c r="Q74" s="8" t="s">
        <v>1369</v>
      </c>
      <c r="R74" s="8" t="s">
        <v>1369</v>
      </c>
      <c r="S74" s="27" t="s">
        <v>1369</v>
      </c>
      <c r="T74" s="27"/>
      <c r="U74" s="8" t="s">
        <v>1369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27</v>
      </c>
      <c r="M80" s="17">
        <f t="shared" si="11"/>
        <v>3</v>
      </c>
      <c r="N80" s="18">
        <f t="shared" si="12"/>
        <v>0.9</v>
      </c>
      <c r="O80" s="27"/>
      <c r="P80" s="8"/>
      <c r="Q80" s="8" t="s">
        <v>1369</v>
      </c>
      <c r="R80" s="8" t="s">
        <v>1369</v>
      </c>
      <c r="S80" s="27" t="s">
        <v>1369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27</v>
      </c>
      <c r="M83" s="17">
        <f t="shared" si="11"/>
        <v>3</v>
      </c>
      <c r="N83" s="18">
        <f t="shared" si="12"/>
        <v>0.9</v>
      </c>
      <c r="O83" s="27"/>
      <c r="P83" s="8"/>
      <c r="Q83" s="8" t="s">
        <v>1369</v>
      </c>
      <c r="R83" s="8" t="s">
        <v>1369</v>
      </c>
      <c r="S83" s="27" t="s">
        <v>1369</v>
      </c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1369</v>
      </c>
      <c r="S102" s="27"/>
      <c r="T102" s="27"/>
      <c r="U102" s="8"/>
      <c r="V102" s="8" t="s">
        <v>1369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1369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1369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1369</v>
      </c>
      <c r="V106" s="8" t="s">
        <v>1369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1369</v>
      </c>
      <c r="V107" s="8" t="s">
        <v>1369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1369</v>
      </c>
      <c r="V108" s="8" t="s">
        <v>1369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1369</v>
      </c>
      <c r="V109" s="8" t="s">
        <v>1369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9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23</v>
      </c>
      <c r="M120" s="17">
        <f t="shared" si="11"/>
        <v>7</v>
      </c>
      <c r="N120" s="18">
        <f t="shared" si="12"/>
        <v>0.76666666666666672</v>
      </c>
      <c r="O120" s="27" t="s">
        <v>1369</v>
      </c>
      <c r="P120" s="8" t="s">
        <v>1369</v>
      </c>
      <c r="Q120" s="8" t="s">
        <v>1369</v>
      </c>
      <c r="R120" s="8" t="s">
        <v>1369</v>
      </c>
      <c r="S120" s="27" t="s">
        <v>1369</v>
      </c>
      <c r="T120" s="27"/>
      <c r="U120" s="8" t="s">
        <v>1369</v>
      </c>
      <c r="V120" s="8" t="s">
        <v>1369</v>
      </c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23</v>
      </c>
      <c r="M121" s="17">
        <f t="shared" si="11"/>
        <v>7</v>
      </c>
      <c r="N121" s="18">
        <f t="shared" si="12"/>
        <v>0.76666666666666672</v>
      </c>
      <c r="O121" s="27" t="s">
        <v>1369</v>
      </c>
      <c r="P121" s="8" t="s">
        <v>1369</v>
      </c>
      <c r="Q121" s="8" t="s">
        <v>1369</v>
      </c>
      <c r="R121" s="8" t="s">
        <v>1369</v>
      </c>
      <c r="S121" s="27" t="s">
        <v>1369</v>
      </c>
      <c r="T121" s="27"/>
      <c r="U121" s="8" t="s">
        <v>1369</v>
      </c>
      <c r="V121" s="8" t="s">
        <v>1369</v>
      </c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1369</v>
      </c>
      <c r="V122" s="8" t="s">
        <v>1369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1369</v>
      </c>
      <c r="V123" s="8" t="s">
        <v>1369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1369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1369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23</v>
      </c>
      <c r="M133" s="17">
        <f t="shared" ref="M133:M196" si="14">COUNTIF(O133:AP133,"APAGADO")</f>
        <v>7</v>
      </c>
      <c r="N133" s="18">
        <f t="shared" ref="N133:N196" si="15">(L133)/(M133+L133)</f>
        <v>0.76666666666666672</v>
      </c>
      <c r="O133" s="27" t="s">
        <v>1369</v>
      </c>
      <c r="P133" s="8" t="s">
        <v>1369</v>
      </c>
      <c r="Q133" s="8" t="s">
        <v>1369</v>
      </c>
      <c r="R133" s="8" t="s">
        <v>1369</v>
      </c>
      <c r="S133" s="27" t="s">
        <v>1369</v>
      </c>
      <c r="T133" s="27"/>
      <c r="U133" s="8" t="s">
        <v>1369</v>
      </c>
      <c r="V133" s="8" t="s">
        <v>1369</v>
      </c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1369</v>
      </c>
      <c r="P136" s="8" t="s">
        <v>1369</v>
      </c>
      <c r="Q136" s="8" t="s">
        <v>1369</v>
      </c>
      <c r="R136" s="8" t="s">
        <v>1369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1369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1369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1369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1369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1369</v>
      </c>
      <c r="V169" s="8" t="s">
        <v>1369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1369</v>
      </c>
      <c r="V171" s="8" t="s">
        <v>1369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1369</v>
      </c>
      <c r="V173" s="8" t="s">
        <v>1369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1369</v>
      </c>
      <c r="V174" s="8" t="s">
        <v>1369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1369</v>
      </c>
      <c r="P177" s="8" t="s">
        <v>1369</v>
      </c>
      <c r="Q177" s="8" t="s">
        <v>1369</v>
      </c>
      <c r="R177" s="8" t="s">
        <v>1369</v>
      </c>
      <c r="S177" s="27" t="s">
        <v>1369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24</v>
      </c>
      <c r="M182" s="17">
        <f t="shared" si="14"/>
        <v>6</v>
      </c>
      <c r="N182" s="18">
        <f t="shared" si="15"/>
        <v>0.8</v>
      </c>
      <c r="O182" s="27"/>
      <c r="P182" s="8" t="s">
        <v>1369</v>
      </c>
      <c r="Q182" s="8" t="s">
        <v>1369</v>
      </c>
      <c r="R182" s="8" t="s">
        <v>1369</v>
      </c>
      <c r="S182" s="27" t="s">
        <v>1369</v>
      </c>
      <c r="T182" s="27"/>
      <c r="U182" s="8" t="s">
        <v>1369</v>
      </c>
      <c r="V182" s="8" t="s">
        <v>1369</v>
      </c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27</v>
      </c>
      <c r="M185" s="17">
        <f t="shared" si="14"/>
        <v>3</v>
      </c>
      <c r="N185" s="18">
        <f t="shared" si="15"/>
        <v>0.9</v>
      </c>
      <c r="O185" s="27"/>
      <c r="P185" s="8"/>
      <c r="Q185" s="8" t="s">
        <v>1369</v>
      </c>
      <c r="R185" s="8" t="s">
        <v>1369</v>
      </c>
      <c r="S185" s="27" t="s">
        <v>1369</v>
      </c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1369</v>
      </c>
      <c r="R186" s="8" t="s">
        <v>1369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1369</v>
      </c>
      <c r="P187" s="8" t="s">
        <v>1369</v>
      </c>
      <c r="Q187" s="8" t="s">
        <v>1369</v>
      </c>
      <c r="R187" s="8" t="s">
        <v>1369</v>
      </c>
      <c r="S187" s="27" t="s">
        <v>1369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23</v>
      </c>
      <c r="M191" s="17">
        <f t="shared" si="14"/>
        <v>7</v>
      </c>
      <c r="N191" s="18">
        <f t="shared" si="15"/>
        <v>0.76666666666666672</v>
      </c>
      <c r="O191" s="27" t="s">
        <v>1369</v>
      </c>
      <c r="P191" s="8" t="s">
        <v>1369</v>
      </c>
      <c r="Q191" s="8" t="s">
        <v>1369</v>
      </c>
      <c r="R191" s="8" t="s">
        <v>1369</v>
      </c>
      <c r="S191" s="27" t="s">
        <v>1369</v>
      </c>
      <c r="T191" s="27"/>
      <c r="U191" s="8" t="s">
        <v>1369</v>
      </c>
      <c r="V191" s="8" t="s">
        <v>1369</v>
      </c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23</v>
      </c>
      <c r="M192" s="17">
        <f t="shared" si="14"/>
        <v>7</v>
      </c>
      <c r="N192" s="18">
        <f t="shared" si="15"/>
        <v>0.76666666666666672</v>
      </c>
      <c r="O192" s="27" t="s">
        <v>1369</v>
      </c>
      <c r="P192" s="8" t="s">
        <v>1369</v>
      </c>
      <c r="Q192" s="8" t="s">
        <v>1369</v>
      </c>
      <c r="R192" s="8" t="s">
        <v>1369</v>
      </c>
      <c r="S192" s="27" t="s">
        <v>1369</v>
      </c>
      <c r="T192" s="27"/>
      <c r="U192" s="8" t="s">
        <v>1369</v>
      </c>
      <c r="V192" s="8" t="s">
        <v>1369</v>
      </c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1369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1369</v>
      </c>
      <c r="V197" s="8" t="s">
        <v>1369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1369</v>
      </c>
      <c r="V198" s="8" t="s">
        <v>1369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1369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1369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29</v>
      </c>
      <c r="M201" s="17">
        <f t="shared" si="17"/>
        <v>1</v>
      </c>
      <c r="N201" s="18">
        <f t="shared" si="18"/>
        <v>0.96666666666666667</v>
      </c>
      <c r="O201" s="27"/>
      <c r="P201" s="8"/>
      <c r="Q201" s="8"/>
      <c r="R201" s="8" t="s">
        <v>1369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29</v>
      </c>
      <c r="M202" s="17">
        <f t="shared" si="17"/>
        <v>1</v>
      </c>
      <c r="N202" s="18">
        <f t="shared" si="18"/>
        <v>0.96666666666666667</v>
      </c>
      <c r="O202" s="27"/>
      <c r="P202" s="8"/>
      <c r="Q202" s="8"/>
      <c r="R202" s="8" t="s">
        <v>1369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23</v>
      </c>
      <c r="M206" s="17">
        <f t="shared" si="17"/>
        <v>7</v>
      </c>
      <c r="N206" s="18">
        <f t="shared" si="18"/>
        <v>0.76666666666666672</v>
      </c>
      <c r="O206" s="27" t="s">
        <v>1369</v>
      </c>
      <c r="P206" s="8" t="s">
        <v>1369</v>
      </c>
      <c r="Q206" s="8" t="s">
        <v>1369</v>
      </c>
      <c r="R206" s="8" t="s">
        <v>1369</v>
      </c>
      <c r="S206" s="27" t="s">
        <v>1369</v>
      </c>
      <c r="T206" s="27"/>
      <c r="U206" s="8" t="s">
        <v>1369</v>
      </c>
      <c r="V206" s="8" t="s">
        <v>1369</v>
      </c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23</v>
      </c>
      <c r="M207" s="17">
        <f t="shared" si="17"/>
        <v>7</v>
      </c>
      <c r="N207" s="18">
        <f t="shared" si="18"/>
        <v>0.76666666666666672</v>
      </c>
      <c r="O207" s="27" t="s">
        <v>1369</v>
      </c>
      <c r="P207" s="8" t="s">
        <v>1369</v>
      </c>
      <c r="Q207" s="8" t="s">
        <v>1369</v>
      </c>
      <c r="R207" s="8" t="s">
        <v>1369</v>
      </c>
      <c r="S207" s="27" t="s">
        <v>1369</v>
      </c>
      <c r="T207" s="27"/>
      <c r="U207" s="8" t="s">
        <v>1369</v>
      </c>
      <c r="V207" s="8" t="s">
        <v>1369</v>
      </c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23</v>
      </c>
      <c r="M211" s="17">
        <f t="shared" si="17"/>
        <v>7</v>
      </c>
      <c r="N211" s="18">
        <f t="shared" si="18"/>
        <v>0.76666666666666672</v>
      </c>
      <c r="O211" s="27" t="s">
        <v>1369</v>
      </c>
      <c r="P211" s="8" t="s">
        <v>1369</v>
      </c>
      <c r="Q211" s="8" t="s">
        <v>1369</v>
      </c>
      <c r="R211" s="8" t="s">
        <v>1369</v>
      </c>
      <c r="S211" s="27" t="s">
        <v>1369</v>
      </c>
      <c r="T211" s="27"/>
      <c r="U211" s="8" t="s">
        <v>1369</v>
      </c>
      <c r="V211" s="8" t="s">
        <v>1369</v>
      </c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23</v>
      </c>
      <c r="M212" s="17">
        <f t="shared" si="17"/>
        <v>7</v>
      </c>
      <c r="N212" s="18">
        <f t="shared" si="18"/>
        <v>0.76666666666666672</v>
      </c>
      <c r="O212" s="27" t="s">
        <v>1369</v>
      </c>
      <c r="P212" s="8" t="s">
        <v>1369</v>
      </c>
      <c r="Q212" s="8" t="s">
        <v>1369</v>
      </c>
      <c r="R212" s="8" t="s">
        <v>1369</v>
      </c>
      <c r="S212" s="27" t="s">
        <v>1369</v>
      </c>
      <c r="T212" s="27"/>
      <c r="U212" s="8" t="s">
        <v>1369</v>
      </c>
      <c r="V212" s="8" t="s">
        <v>1369</v>
      </c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1369</v>
      </c>
      <c r="V230" s="8" t="s">
        <v>1369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23</v>
      </c>
      <c r="M231" s="17">
        <f t="shared" si="17"/>
        <v>7</v>
      </c>
      <c r="N231" s="18">
        <f t="shared" si="18"/>
        <v>0.76666666666666672</v>
      </c>
      <c r="O231" s="27" t="s">
        <v>1369</v>
      </c>
      <c r="P231" s="8" t="s">
        <v>1369</v>
      </c>
      <c r="Q231" s="8" t="s">
        <v>1369</v>
      </c>
      <c r="R231" s="8" t="s">
        <v>1369</v>
      </c>
      <c r="S231" s="27" t="s">
        <v>1369</v>
      </c>
      <c r="T231" s="27"/>
      <c r="U231" s="8" t="s">
        <v>1369</v>
      </c>
      <c r="V231" s="8" t="s">
        <v>1369</v>
      </c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23</v>
      </c>
      <c r="M232" s="17">
        <f t="shared" si="17"/>
        <v>7</v>
      </c>
      <c r="N232" s="18">
        <f t="shared" si="18"/>
        <v>0.76666666666666672</v>
      </c>
      <c r="O232" s="27" t="s">
        <v>1369</v>
      </c>
      <c r="P232" s="8" t="s">
        <v>1369</v>
      </c>
      <c r="Q232" s="8" t="s">
        <v>1369</v>
      </c>
      <c r="R232" s="8" t="s">
        <v>1369</v>
      </c>
      <c r="S232" s="27" t="s">
        <v>1369</v>
      </c>
      <c r="T232" s="27"/>
      <c r="U232" s="8" t="s">
        <v>1369</v>
      </c>
      <c r="V232" s="8" t="s">
        <v>1369</v>
      </c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1369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23</v>
      </c>
      <c r="M283" s="17">
        <f t="shared" si="21"/>
        <v>7</v>
      </c>
      <c r="N283" s="18">
        <f t="shared" si="22"/>
        <v>0.76666666666666672</v>
      </c>
      <c r="O283" s="27" t="s">
        <v>1369</v>
      </c>
      <c r="P283" s="8" t="s">
        <v>1369</v>
      </c>
      <c r="Q283" s="8" t="s">
        <v>1369</v>
      </c>
      <c r="R283" s="8" t="s">
        <v>1369</v>
      </c>
      <c r="S283" s="27" t="s">
        <v>1369</v>
      </c>
      <c r="T283" s="27"/>
      <c r="U283" s="8" t="s">
        <v>1369</v>
      </c>
      <c r="V283" s="8" t="s">
        <v>1369</v>
      </c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24</v>
      </c>
      <c r="M299" s="17">
        <f t="shared" si="21"/>
        <v>6</v>
      </c>
      <c r="N299" s="18">
        <f t="shared" si="22"/>
        <v>0.8</v>
      </c>
      <c r="O299" s="27"/>
      <c r="P299" s="8" t="s">
        <v>1369</v>
      </c>
      <c r="Q299" s="8" t="s">
        <v>1369</v>
      </c>
      <c r="R299" s="8" t="s">
        <v>1369</v>
      </c>
      <c r="S299" s="27" t="s">
        <v>1369</v>
      </c>
      <c r="T299" s="27"/>
      <c r="U299" s="8" t="s">
        <v>1369</v>
      </c>
      <c r="V299" s="8" t="s">
        <v>1369</v>
      </c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24</v>
      </c>
      <c r="M300" s="17">
        <f t="shared" si="21"/>
        <v>6</v>
      </c>
      <c r="N300" s="18">
        <f t="shared" si="22"/>
        <v>0.8</v>
      </c>
      <c r="O300" s="27"/>
      <c r="P300" s="8" t="s">
        <v>1369</v>
      </c>
      <c r="Q300" s="8" t="s">
        <v>1369</v>
      </c>
      <c r="R300" s="8" t="s">
        <v>1369</v>
      </c>
      <c r="S300" s="27" t="s">
        <v>1369</v>
      </c>
      <c r="T300" s="27"/>
      <c r="U300" s="8" t="s">
        <v>1369</v>
      </c>
      <c r="V300" s="8" t="s">
        <v>1369</v>
      </c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1369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1369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24</v>
      </c>
      <c r="M303" s="17">
        <f t="shared" si="21"/>
        <v>6</v>
      </c>
      <c r="N303" s="18">
        <f t="shared" si="22"/>
        <v>0.8</v>
      </c>
      <c r="O303" s="27" t="s">
        <v>1369</v>
      </c>
      <c r="P303" s="8" t="s">
        <v>1369</v>
      </c>
      <c r="Q303" s="8" t="s">
        <v>1369</v>
      </c>
      <c r="R303" s="8" t="s">
        <v>1369</v>
      </c>
      <c r="S303" s="27" t="s">
        <v>1369</v>
      </c>
      <c r="T303" s="27"/>
      <c r="U303" s="8" t="s">
        <v>1369</v>
      </c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1369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1369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1369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1369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23</v>
      </c>
      <c r="M308" s="17">
        <f t="shared" si="21"/>
        <v>7</v>
      </c>
      <c r="N308" s="18">
        <f t="shared" si="22"/>
        <v>0.76666666666666672</v>
      </c>
      <c r="O308" s="27" t="s">
        <v>1369</v>
      </c>
      <c r="P308" s="8" t="s">
        <v>1369</v>
      </c>
      <c r="Q308" s="8" t="s">
        <v>1369</v>
      </c>
      <c r="R308" s="8" t="s">
        <v>1369</v>
      </c>
      <c r="S308" s="27" t="s">
        <v>1369</v>
      </c>
      <c r="T308" s="27"/>
      <c r="U308" s="8" t="s">
        <v>1369</v>
      </c>
      <c r="V308" s="8" t="s">
        <v>1369</v>
      </c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23</v>
      </c>
      <c r="M335" s="17">
        <f t="shared" si="24"/>
        <v>7</v>
      </c>
      <c r="N335" s="18">
        <f t="shared" si="25"/>
        <v>0.76666666666666672</v>
      </c>
      <c r="O335" s="27" t="s">
        <v>1369</v>
      </c>
      <c r="P335" s="8" t="s">
        <v>1369</v>
      </c>
      <c r="Q335" s="8" t="s">
        <v>1369</v>
      </c>
      <c r="R335" s="8" t="s">
        <v>1369</v>
      </c>
      <c r="S335" s="27" t="s">
        <v>1369</v>
      </c>
      <c r="T335" s="27"/>
      <c r="U335" s="8" t="s">
        <v>1369</v>
      </c>
      <c r="V335" s="8" t="s">
        <v>1369</v>
      </c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23</v>
      </c>
      <c r="M336" s="17">
        <f t="shared" si="24"/>
        <v>7</v>
      </c>
      <c r="N336" s="18">
        <f t="shared" si="25"/>
        <v>0.76666666666666672</v>
      </c>
      <c r="O336" s="27" t="s">
        <v>1369</v>
      </c>
      <c r="P336" s="8" t="s">
        <v>1369</v>
      </c>
      <c r="Q336" s="8" t="s">
        <v>1369</v>
      </c>
      <c r="R336" s="8" t="s">
        <v>1369</v>
      </c>
      <c r="S336" s="27" t="s">
        <v>1369</v>
      </c>
      <c r="T336" s="27"/>
      <c r="U336" s="8" t="s">
        <v>1369</v>
      </c>
      <c r="V336" s="8" t="s">
        <v>1369</v>
      </c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23</v>
      </c>
      <c r="M352" s="17">
        <f t="shared" si="24"/>
        <v>7</v>
      </c>
      <c r="N352" s="18">
        <f t="shared" si="25"/>
        <v>0.76666666666666672</v>
      </c>
      <c r="O352" s="27" t="s">
        <v>1369</v>
      </c>
      <c r="P352" s="8" t="s">
        <v>1369</v>
      </c>
      <c r="Q352" s="8" t="s">
        <v>1369</v>
      </c>
      <c r="R352" s="8" t="s">
        <v>1369</v>
      </c>
      <c r="S352" s="27" t="s">
        <v>1369</v>
      </c>
      <c r="T352" s="27"/>
      <c r="U352" s="8" t="s">
        <v>1369</v>
      </c>
      <c r="V352" s="8" t="s">
        <v>1369</v>
      </c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23</v>
      </c>
      <c r="M359" s="17">
        <f t="shared" si="24"/>
        <v>7</v>
      </c>
      <c r="N359" s="18">
        <f t="shared" si="25"/>
        <v>0.76666666666666672</v>
      </c>
      <c r="O359" s="27" t="s">
        <v>1369</v>
      </c>
      <c r="P359" s="8" t="s">
        <v>1369</v>
      </c>
      <c r="Q359" s="8" t="s">
        <v>1369</v>
      </c>
      <c r="R359" s="8" t="s">
        <v>1369</v>
      </c>
      <c r="S359" s="27" t="s">
        <v>1369</v>
      </c>
      <c r="T359" s="27"/>
      <c r="U359" s="8" t="s">
        <v>1369</v>
      </c>
      <c r="V359" s="8" t="s">
        <v>1369</v>
      </c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23</v>
      </c>
      <c r="M360" s="17">
        <f t="shared" si="24"/>
        <v>7</v>
      </c>
      <c r="N360" s="18">
        <f t="shared" si="25"/>
        <v>0.76666666666666672</v>
      </c>
      <c r="O360" s="27" t="s">
        <v>1369</v>
      </c>
      <c r="P360" s="8" t="s">
        <v>1369</v>
      </c>
      <c r="Q360" s="8" t="s">
        <v>1369</v>
      </c>
      <c r="R360" s="8" t="s">
        <v>1369</v>
      </c>
      <c r="S360" s="27" t="s">
        <v>1369</v>
      </c>
      <c r="T360" s="27"/>
      <c r="U360" s="8" t="s">
        <v>1369</v>
      </c>
      <c r="V360" s="8" t="s">
        <v>1369</v>
      </c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23</v>
      </c>
      <c r="M361" s="17">
        <f t="shared" si="24"/>
        <v>7</v>
      </c>
      <c r="N361" s="18">
        <f t="shared" si="25"/>
        <v>0.76666666666666672</v>
      </c>
      <c r="O361" s="27" t="s">
        <v>1369</v>
      </c>
      <c r="P361" s="8" t="s">
        <v>1369</v>
      </c>
      <c r="Q361" s="8" t="s">
        <v>1369</v>
      </c>
      <c r="R361" s="8" t="s">
        <v>1369</v>
      </c>
      <c r="S361" s="27" t="s">
        <v>1369</v>
      </c>
      <c r="T361" s="27"/>
      <c r="U361" s="8" t="s">
        <v>1369</v>
      </c>
      <c r="V361" s="8" t="s">
        <v>1369</v>
      </c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23</v>
      </c>
      <c r="M362" s="17">
        <f t="shared" si="24"/>
        <v>7</v>
      </c>
      <c r="N362" s="18">
        <f t="shared" si="25"/>
        <v>0.76666666666666672</v>
      </c>
      <c r="O362" s="27" t="s">
        <v>1369</v>
      </c>
      <c r="P362" s="8" t="s">
        <v>1369</v>
      </c>
      <c r="Q362" s="8" t="s">
        <v>1369</v>
      </c>
      <c r="R362" s="8" t="s">
        <v>1369</v>
      </c>
      <c r="S362" s="27" t="s">
        <v>1369</v>
      </c>
      <c r="T362" s="27"/>
      <c r="U362" s="8" t="s">
        <v>1369</v>
      </c>
      <c r="V362" s="8" t="s">
        <v>1369</v>
      </c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1369</v>
      </c>
      <c r="P363" s="8" t="s">
        <v>1369</v>
      </c>
      <c r="Q363" s="8" t="s">
        <v>1369</v>
      </c>
      <c r="R363" s="8" t="s">
        <v>1369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47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38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7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38</v>
      </c>
      <c r="D9" s="54">
        <f>'APAGADOS ANTENA'!M2</f>
        <v>4</v>
      </c>
      <c r="E9" s="54">
        <f t="shared" ref="E9" si="9">B9+C9</f>
        <v>47</v>
      </c>
      <c r="F9" s="54">
        <f>'RESUMEN TOTAL'!C1</f>
        <v>375</v>
      </c>
      <c r="G9" s="59">
        <f t="shared" ref="G9" si="10">E9/F9</f>
        <v>0.12533333333333332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6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7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3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7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4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7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4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8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5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6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7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3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7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4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7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4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8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4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6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4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7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7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7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8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100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6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1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7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1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7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1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7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1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8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2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6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7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7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100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7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1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8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1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6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1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7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1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7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2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7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8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6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7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7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7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8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6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7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7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7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100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8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1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1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1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1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2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2022-07-08T11:17:54Z</dcterms:modified>
</cp:coreProperties>
</file>