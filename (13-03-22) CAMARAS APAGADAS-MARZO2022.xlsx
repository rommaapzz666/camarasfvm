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RZO\"/>
    </mc:Choice>
  </mc:AlternateContent>
  <xr:revisionPtr revIDLastSave="0" documentId="8_{259866C8-997F-4C12-BAD9-E26387CA593D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REPARACIONES DIARIAS" sheetId="20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GRAFICO" sheetId="15" r:id="rId8"/>
    <sheet name="GRAFICO2" sheetId="16" r:id="rId9"/>
    <sheet name="BARRAS" sheetId="18" r:id="rId10"/>
    <sheet name="AUXILIAR" sheetId="14" r:id="rId11"/>
  </sheets>
  <definedNames>
    <definedName name="_25_de_agosto" localSheetId="0">'RESUMEN TOTAL'!$A$4:$D$347</definedName>
    <definedName name="_xlnm._FilterDatabase" localSheetId="3" hidden="1">APAGADOS!$A$2:$AG$366</definedName>
    <definedName name="_xlnm._FilterDatabase" localSheetId="5" hidden="1">'APAGADOS ANTENA'!$A$3:$AG$369</definedName>
    <definedName name="_xlnm._FilterDatabase" localSheetId="4" hidden="1">'APAGADOS FIBRA'!$A$3:$AG$369</definedName>
    <definedName name="_xlnm._FilterDatabase" localSheetId="6" hidden="1">'APAGADOS RADIO'!$A$3:$AG$369</definedName>
    <definedName name="_xlnm._FilterDatabase" localSheetId="2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68" i="11" l="1"/>
  <c r="P368" i="11"/>
  <c r="T368" i="11"/>
  <c r="W368" i="11"/>
  <c r="X368" i="11"/>
  <c r="AB368" i="11"/>
  <c r="AE368" i="11"/>
  <c r="C369" i="11"/>
  <c r="G369" i="11"/>
  <c r="K369" i="11"/>
  <c r="O369" i="11"/>
  <c r="S369" i="11"/>
  <c r="W369" i="11"/>
  <c r="AA369" i="11"/>
  <c r="AD369" i="11"/>
  <c r="AE369" i="11"/>
  <c r="B368" i="21"/>
  <c r="E368" i="21"/>
  <c r="F368" i="21"/>
  <c r="J368" i="21"/>
  <c r="M368" i="21"/>
  <c r="N368" i="21"/>
  <c r="R368" i="21"/>
  <c r="U368" i="21"/>
  <c r="Z368" i="21"/>
  <c r="AC368" i="21"/>
  <c r="AD368" i="21"/>
  <c r="A369" i="21"/>
  <c r="I369" i="21"/>
  <c r="L369" i="21"/>
  <c r="Q369" i="21"/>
  <c r="T369" i="21"/>
  <c r="Y369" i="21"/>
  <c r="H368" i="10"/>
  <c r="I368" i="10"/>
  <c r="M368" i="10"/>
  <c r="P368" i="10"/>
  <c r="U368" i="10"/>
  <c r="X368" i="10"/>
  <c r="AC368" i="10"/>
  <c r="AG368" i="10"/>
  <c r="I369" i="10"/>
  <c r="L369" i="10"/>
  <c r="Q369" i="10"/>
  <c r="T369" i="10"/>
  <c r="Y369" i="10"/>
  <c r="C368" i="10"/>
  <c r="C369" i="10"/>
  <c r="AA366" i="8"/>
  <c r="AA368" i="21" s="1"/>
  <c r="AB366" i="8"/>
  <c r="AB368" i="21" s="1"/>
  <c r="AC366" i="8"/>
  <c r="AC368" i="11" s="1"/>
  <c r="AD366" i="8"/>
  <c r="AD368" i="10" s="1"/>
  <c r="AE366" i="8"/>
  <c r="AE368" i="10" s="1"/>
  <c r="AF366" i="8"/>
  <c r="AF368" i="10" s="1"/>
  <c r="AG366" i="8"/>
  <c r="AG368" i="11" s="1"/>
  <c r="AA367" i="8"/>
  <c r="AA369" i="21" s="1"/>
  <c r="AB367" i="8"/>
  <c r="AB369" i="11" s="1"/>
  <c r="AC367" i="8"/>
  <c r="AC369" i="11" s="1"/>
  <c r="AD367" i="8"/>
  <c r="AD369" i="21" s="1"/>
  <c r="AE367" i="8"/>
  <c r="AE369" i="21" s="1"/>
  <c r="AF367" i="8"/>
  <c r="AF369" i="11" s="1"/>
  <c r="AG367" i="8"/>
  <c r="AG369" i="21" s="1"/>
  <c r="O366" i="8"/>
  <c r="O368" i="10" s="1"/>
  <c r="P366" i="8"/>
  <c r="P368" i="21" s="1"/>
  <c r="Q366" i="8"/>
  <c r="Q368" i="10" s="1"/>
  <c r="R366" i="8"/>
  <c r="R368" i="10" s="1"/>
  <c r="S366" i="8"/>
  <c r="S368" i="21" s="1"/>
  <c r="T366" i="8"/>
  <c r="T368" i="21" s="1"/>
  <c r="U366" i="8"/>
  <c r="U368" i="11" s="1"/>
  <c r="V366" i="8"/>
  <c r="V368" i="10" s="1"/>
  <c r="W366" i="8"/>
  <c r="W368" i="10" s="1"/>
  <c r="X366" i="8"/>
  <c r="X368" i="21" s="1"/>
  <c r="Y366" i="8"/>
  <c r="Y368" i="10" s="1"/>
  <c r="Z366" i="8"/>
  <c r="Z368" i="10" s="1"/>
  <c r="O367" i="8"/>
  <c r="O369" i="21" s="1"/>
  <c r="P367" i="8"/>
  <c r="P369" i="11" s="1"/>
  <c r="Q367" i="8"/>
  <c r="Q369" i="11" s="1"/>
  <c r="R367" i="8"/>
  <c r="R369" i="21" s="1"/>
  <c r="S367" i="8"/>
  <c r="S369" i="21" s="1"/>
  <c r="T367" i="8"/>
  <c r="T369" i="11" s="1"/>
  <c r="U367" i="8"/>
  <c r="U369" i="11" s="1"/>
  <c r="V367" i="8"/>
  <c r="V369" i="11" s="1"/>
  <c r="W367" i="8"/>
  <c r="W369" i="21" s="1"/>
  <c r="X367" i="8"/>
  <c r="X369" i="11" s="1"/>
  <c r="Y367" i="8"/>
  <c r="Y369" i="11" s="1"/>
  <c r="Z367" i="8"/>
  <c r="Z369" i="21" s="1"/>
  <c r="E366" i="8"/>
  <c r="E368" i="11" s="1"/>
  <c r="F366" i="8"/>
  <c r="F368" i="10" s="1"/>
  <c r="G366" i="8"/>
  <c r="G368" i="10" s="1"/>
  <c r="H366" i="8"/>
  <c r="H368" i="11" s="1"/>
  <c r="I366" i="8"/>
  <c r="I368" i="11" s="1"/>
  <c r="J366" i="8"/>
  <c r="J368" i="10" s="1"/>
  <c r="K366" i="8"/>
  <c r="K368" i="21" s="1"/>
  <c r="L366" i="8"/>
  <c r="L368" i="21" s="1"/>
  <c r="M366" i="8"/>
  <c r="M368" i="11" s="1"/>
  <c r="N366" i="8"/>
  <c r="N368" i="10" s="1"/>
  <c r="E367" i="8"/>
  <c r="E369" i="11" s="1"/>
  <c r="F367" i="8"/>
  <c r="F369" i="11" s="1"/>
  <c r="G367" i="8"/>
  <c r="G369" i="21" s="1"/>
  <c r="H367" i="8"/>
  <c r="H369" i="11" s="1"/>
  <c r="I367" i="8"/>
  <c r="I369" i="11" s="1"/>
  <c r="J367" i="8"/>
  <c r="J369" i="21" s="1"/>
  <c r="K367" i="8"/>
  <c r="K369" i="21" s="1"/>
  <c r="L367" i="8"/>
  <c r="L369" i="11" s="1"/>
  <c r="M367" i="8"/>
  <c r="M369" i="11" s="1"/>
  <c r="N367" i="8"/>
  <c r="N369" i="11" s="1"/>
  <c r="A366" i="8"/>
  <c r="A368" i="10" s="1"/>
  <c r="B366" i="8"/>
  <c r="B368" i="10" s="1"/>
  <c r="C366" i="8"/>
  <c r="C368" i="21" s="1"/>
  <c r="D366" i="8"/>
  <c r="D368" i="21" s="1"/>
  <c r="A367" i="8"/>
  <c r="A369" i="11" s="1"/>
  <c r="B367" i="8"/>
  <c r="B369" i="21" s="1"/>
  <c r="C367" i="8"/>
  <c r="C369" i="21" s="1"/>
  <c r="D367" i="8"/>
  <c r="D369" i="11" s="1"/>
  <c r="AH2" i="21"/>
  <c r="AI2" i="21"/>
  <c r="AJ2" i="21"/>
  <c r="AI3" i="21"/>
  <c r="AH2" i="10"/>
  <c r="AI2" i="10"/>
  <c r="AJ2" i="10"/>
  <c r="AH2" i="11"/>
  <c r="AI2" i="11"/>
  <c r="AJ2" i="11"/>
  <c r="AJ3" i="11"/>
  <c r="A32" i="14" s="1"/>
  <c r="AJ1" i="8"/>
  <c r="AJ3" i="21" s="1"/>
  <c r="AH1" i="8"/>
  <c r="AH3" i="11" s="1"/>
  <c r="A30" i="14" s="1"/>
  <c r="AI1" i="8"/>
  <c r="AI3" i="11" s="1"/>
  <c r="A31" i="14" s="1"/>
  <c r="AQ2" i="2"/>
  <c r="AR2" i="2"/>
  <c r="AS2" i="2"/>
  <c r="AQ3" i="2"/>
  <c r="AQ1" i="2" s="1"/>
  <c r="AR3" i="2"/>
  <c r="AR1" i="2" s="1"/>
  <c r="AS3" i="2"/>
  <c r="AS1" i="2" s="1"/>
  <c r="AJ3" i="10" l="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M370" i="2"/>
  <c r="L370" i="2"/>
  <c r="M369" i="2"/>
  <c r="L369" i="2"/>
  <c r="N370" i="2" l="1"/>
  <c r="N369" i="2"/>
  <c r="AB3" i="2"/>
  <c r="O2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3" i="8"/>
  <c r="F5" i="21" s="1"/>
  <c r="F4" i="8"/>
  <c r="F6" i="21" s="1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P2" i="2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3" i="8"/>
  <c r="R55" i="21" s="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3" i="8"/>
  <c r="A5" i="21" s="1"/>
  <c r="B3" i="8"/>
  <c r="B5" i="21" s="1"/>
  <c r="C3" i="8"/>
  <c r="C5" i="21" s="1"/>
  <c r="D3" i="8"/>
  <c r="D5" i="21" s="1"/>
  <c r="E3" i="8"/>
  <c r="E5" i="21" s="1"/>
  <c r="G3" i="8"/>
  <c r="G5" i="21" s="1"/>
  <c r="H3" i="8"/>
  <c r="H5" i="21" s="1"/>
  <c r="I3" i="8"/>
  <c r="I5" i="21" s="1"/>
  <c r="J3" i="8"/>
  <c r="J5" i="21" s="1"/>
  <c r="K3" i="8"/>
  <c r="K5" i="21" s="1"/>
  <c r="L3" i="8"/>
  <c r="L5" i="21" s="1"/>
  <c r="M3" i="8"/>
  <c r="M5" i="21" s="1"/>
  <c r="N3" i="8"/>
  <c r="N5" i="21" s="1"/>
  <c r="O3" i="8"/>
  <c r="O5" i="21" s="1"/>
  <c r="P3" i="8"/>
  <c r="P5" i="21" s="1"/>
  <c r="Q3" i="8"/>
  <c r="Q5" i="21" s="1"/>
  <c r="R3" i="8"/>
  <c r="R5" i="21" s="1"/>
  <c r="S3" i="8"/>
  <c r="S5" i="21" s="1"/>
  <c r="T3" i="8"/>
  <c r="T5" i="21" s="1"/>
  <c r="U3" i="8"/>
  <c r="U5" i="21" s="1"/>
  <c r="V3" i="8"/>
  <c r="V5" i="21" s="1"/>
  <c r="W3" i="8"/>
  <c r="W5" i="21" s="1"/>
  <c r="X3" i="8"/>
  <c r="X5" i="21" s="1"/>
  <c r="Y3" i="8"/>
  <c r="Y5" i="21" s="1"/>
  <c r="Z3" i="8"/>
  <c r="Z5" i="21" s="1"/>
  <c r="AA3" i="8"/>
  <c r="AA5" i="21" s="1"/>
  <c r="AB3" i="8"/>
  <c r="AB5" i="21" s="1"/>
  <c r="AC3" i="8"/>
  <c r="AC5" i="21" s="1"/>
  <c r="AD3" i="8"/>
  <c r="AD5" i="21" s="1"/>
  <c r="AE3" i="8"/>
  <c r="AE5" i="21" s="1"/>
  <c r="AF3" i="8"/>
  <c r="AF5" i="21" s="1"/>
  <c r="AG3" i="8"/>
  <c r="AG5" i="21" s="1"/>
  <c r="A4" i="8"/>
  <c r="A6" i="21" s="1"/>
  <c r="B4" i="8"/>
  <c r="B6" i="21" s="1"/>
  <c r="C4" i="8"/>
  <c r="C6" i="21" s="1"/>
  <c r="D4" i="8"/>
  <c r="D6" i="21" s="1"/>
  <c r="E4" i="8"/>
  <c r="E6" i="21" s="1"/>
  <c r="G4" i="8"/>
  <c r="G6" i="21" s="1"/>
  <c r="H4" i="8"/>
  <c r="H6" i="21" s="1"/>
  <c r="I4" i="8"/>
  <c r="I6" i="21" s="1"/>
  <c r="J4" i="8"/>
  <c r="J6" i="21" s="1"/>
  <c r="K4" i="8"/>
  <c r="K6" i="21" s="1"/>
  <c r="L4" i="8"/>
  <c r="L6" i="21" s="1"/>
  <c r="M4" i="8"/>
  <c r="M6" i="21" s="1"/>
  <c r="N4" i="8"/>
  <c r="N6" i="21" s="1"/>
  <c r="O4" i="8"/>
  <c r="O6" i="21" s="1"/>
  <c r="P4" i="8"/>
  <c r="P6" i="21" s="1"/>
  <c r="Q4" i="8"/>
  <c r="Q6" i="21" s="1"/>
  <c r="R4" i="8"/>
  <c r="R6" i="21" s="1"/>
  <c r="S4" i="8"/>
  <c r="S6" i="21" s="1"/>
  <c r="T4" i="8"/>
  <c r="T6" i="21" s="1"/>
  <c r="U4" i="8"/>
  <c r="U6" i="21" s="1"/>
  <c r="V4" i="8"/>
  <c r="V6" i="21" s="1"/>
  <c r="W4" i="8"/>
  <c r="W6" i="21" s="1"/>
  <c r="X4" i="8"/>
  <c r="X6" i="21" s="1"/>
  <c r="Y4" i="8"/>
  <c r="Y6" i="21" s="1"/>
  <c r="Z4" i="8"/>
  <c r="Z6" i="21" s="1"/>
  <c r="AA4" i="8"/>
  <c r="AA6" i="21" s="1"/>
  <c r="AB4" i="8"/>
  <c r="AB6" i="21" s="1"/>
  <c r="AC4" i="8"/>
  <c r="AC6" i="21" s="1"/>
  <c r="AD4" i="8"/>
  <c r="AD6" i="21" s="1"/>
  <c r="AE4" i="8"/>
  <c r="AE6" i="21" s="1"/>
  <c r="AF4" i="8"/>
  <c r="AF6" i="21" s="1"/>
  <c r="AG4" i="8"/>
  <c r="A5" i="8"/>
  <c r="A7" i="21" s="1"/>
  <c r="B5" i="8"/>
  <c r="B7" i="21" s="1"/>
  <c r="C5" i="8"/>
  <c r="C7" i="21" s="1"/>
  <c r="D5" i="8"/>
  <c r="D7" i="21" s="1"/>
  <c r="E5" i="8"/>
  <c r="E7" i="21" s="1"/>
  <c r="F5" i="8"/>
  <c r="F7" i="21" s="1"/>
  <c r="G5" i="8"/>
  <c r="G7" i="21" s="1"/>
  <c r="H5" i="8"/>
  <c r="H7" i="21" s="1"/>
  <c r="I5" i="8"/>
  <c r="I7" i="21" s="1"/>
  <c r="J5" i="8"/>
  <c r="J7" i="21" s="1"/>
  <c r="K5" i="8"/>
  <c r="K7" i="21" s="1"/>
  <c r="L5" i="8"/>
  <c r="L7" i="21" s="1"/>
  <c r="M5" i="8"/>
  <c r="M7" i="21" s="1"/>
  <c r="N5" i="8"/>
  <c r="N7" i="21" s="1"/>
  <c r="O5" i="8"/>
  <c r="O7" i="21" s="1"/>
  <c r="P5" i="8"/>
  <c r="P7" i="21" s="1"/>
  <c r="Q5" i="8"/>
  <c r="Q7" i="21" s="1"/>
  <c r="R5" i="8"/>
  <c r="R7" i="21" s="1"/>
  <c r="S5" i="8"/>
  <c r="S7" i="21" s="1"/>
  <c r="T5" i="8"/>
  <c r="T7" i="21" s="1"/>
  <c r="U5" i="8"/>
  <c r="U7" i="21" s="1"/>
  <c r="V5" i="8"/>
  <c r="V7" i="21" s="1"/>
  <c r="W5" i="8"/>
  <c r="W7" i="21" s="1"/>
  <c r="X5" i="8"/>
  <c r="X7" i="21" s="1"/>
  <c r="Y5" i="8"/>
  <c r="Y7" i="21" s="1"/>
  <c r="Z5" i="8"/>
  <c r="Z7" i="21" s="1"/>
  <c r="AA5" i="8"/>
  <c r="AA7" i="21" s="1"/>
  <c r="AB5" i="8"/>
  <c r="AB7" i="21" s="1"/>
  <c r="AC5" i="8"/>
  <c r="AC7" i="21" s="1"/>
  <c r="AD5" i="8"/>
  <c r="AD7" i="21" s="1"/>
  <c r="AE5" i="8"/>
  <c r="AE7" i="21" s="1"/>
  <c r="AF5" i="8"/>
  <c r="AG5" i="8"/>
  <c r="AG7" i="21" s="1"/>
  <c r="A6" i="8"/>
  <c r="A8" i="21" s="1"/>
  <c r="B6" i="8"/>
  <c r="B8" i="21" s="1"/>
  <c r="C6" i="8"/>
  <c r="C8" i="21" s="1"/>
  <c r="D6" i="8"/>
  <c r="D8" i="21" s="1"/>
  <c r="E6" i="8"/>
  <c r="E8" i="21" s="1"/>
  <c r="F6" i="8"/>
  <c r="F8" i="21" s="1"/>
  <c r="G6" i="8"/>
  <c r="G8" i="21" s="1"/>
  <c r="H6" i="8"/>
  <c r="H8" i="21" s="1"/>
  <c r="I6" i="8"/>
  <c r="I8" i="21" s="1"/>
  <c r="J6" i="8"/>
  <c r="J8" i="21" s="1"/>
  <c r="K6" i="8"/>
  <c r="K8" i="21" s="1"/>
  <c r="L6" i="8"/>
  <c r="L8" i="21" s="1"/>
  <c r="M6" i="8"/>
  <c r="M8" i="21" s="1"/>
  <c r="N6" i="8"/>
  <c r="N8" i="21" s="1"/>
  <c r="O6" i="8"/>
  <c r="O8" i="21" s="1"/>
  <c r="P6" i="8"/>
  <c r="P8" i="21" s="1"/>
  <c r="Q6" i="8"/>
  <c r="Q8" i="21" s="1"/>
  <c r="R6" i="8"/>
  <c r="R8" i="21" s="1"/>
  <c r="S6" i="8"/>
  <c r="S8" i="21" s="1"/>
  <c r="T6" i="8"/>
  <c r="T8" i="21" s="1"/>
  <c r="U6" i="8"/>
  <c r="U8" i="21" s="1"/>
  <c r="V6" i="8"/>
  <c r="V8" i="21" s="1"/>
  <c r="W6" i="8"/>
  <c r="W8" i="21" s="1"/>
  <c r="X6" i="8"/>
  <c r="X8" i="21" s="1"/>
  <c r="Y6" i="8"/>
  <c r="Y8" i="21" s="1"/>
  <c r="Z6" i="8"/>
  <c r="Z8" i="21" s="1"/>
  <c r="AA6" i="8"/>
  <c r="AA8" i="21" s="1"/>
  <c r="AB6" i="8"/>
  <c r="AB8" i="21" s="1"/>
  <c r="AC6" i="8"/>
  <c r="AC8" i="21" s="1"/>
  <c r="AD6" i="8"/>
  <c r="AD8" i="21" s="1"/>
  <c r="AE6" i="8"/>
  <c r="AE8" i="21" s="1"/>
  <c r="AF6" i="8"/>
  <c r="AF8" i="21" s="1"/>
  <c r="AG6" i="8"/>
  <c r="AG8" i="21" s="1"/>
  <c r="A7" i="8"/>
  <c r="A9" i="21" s="1"/>
  <c r="B7" i="8"/>
  <c r="B9" i="21" s="1"/>
  <c r="C7" i="8"/>
  <c r="C9" i="21" s="1"/>
  <c r="D7" i="8"/>
  <c r="D9" i="21" s="1"/>
  <c r="E7" i="8"/>
  <c r="E9" i="21" s="1"/>
  <c r="F7" i="8"/>
  <c r="F9" i="21" s="1"/>
  <c r="G7" i="8"/>
  <c r="G9" i="21" s="1"/>
  <c r="H7" i="8"/>
  <c r="H9" i="21" s="1"/>
  <c r="I7" i="8"/>
  <c r="I9" i="21" s="1"/>
  <c r="J7" i="8"/>
  <c r="J9" i="21" s="1"/>
  <c r="K7" i="8"/>
  <c r="K9" i="21" s="1"/>
  <c r="L7" i="8"/>
  <c r="L9" i="21" s="1"/>
  <c r="M7" i="8"/>
  <c r="M9" i="21" s="1"/>
  <c r="N7" i="8"/>
  <c r="N9" i="21" s="1"/>
  <c r="O7" i="8"/>
  <c r="O9" i="21" s="1"/>
  <c r="P7" i="8"/>
  <c r="P9" i="21" s="1"/>
  <c r="Q7" i="8"/>
  <c r="Q9" i="21" s="1"/>
  <c r="R7" i="8"/>
  <c r="R9" i="21" s="1"/>
  <c r="S7" i="8"/>
  <c r="S9" i="21" s="1"/>
  <c r="T7" i="8"/>
  <c r="T9" i="21" s="1"/>
  <c r="U7" i="8"/>
  <c r="U9" i="21" s="1"/>
  <c r="V7" i="8"/>
  <c r="V9" i="21" s="1"/>
  <c r="W7" i="8"/>
  <c r="W9" i="21" s="1"/>
  <c r="X7" i="8"/>
  <c r="X9" i="21" s="1"/>
  <c r="Y7" i="8"/>
  <c r="Y9" i="21" s="1"/>
  <c r="Z7" i="8"/>
  <c r="Z9" i="21" s="1"/>
  <c r="AA7" i="8"/>
  <c r="AA9" i="21" s="1"/>
  <c r="AB7" i="8"/>
  <c r="AB9" i="21" s="1"/>
  <c r="AC7" i="8"/>
  <c r="AC9" i="21" s="1"/>
  <c r="AD7" i="8"/>
  <c r="AD9" i="21" s="1"/>
  <c r="AE7" i="8"/>
  <c r="AE9" i="21" s="1"/>
  <c r="AF7" i="8"/>
  <c r="AF9" i="21" s="1"/>
  <c r="AG7" i="8"/>
  <c r="AG9" i="21" s="1"/>
  <c r="A8" i="8"/>
  <c r="A10" i="21" s="1"/>
  <c r="B8" i="8"/>
  <c r="B10" i="21" s="1"/>
  <c r="C8" i="8"/>
  <c r="C10" i="21" s="1"/>
  <c r="D8" i="8"/>
  <c r="D10" i="21" s="1"/>
  <c r="E8" i="8"/>
  <c r="E10" i="21" s="1"/>
  <c r="F8" i="8"/>
  <c r="F10" i="21" s="1"/>
  <c r="G8" i="8"/>
  <c r="G10" i="21" s="1"/>
  <c r="H8" i="8"/>
  <c r="H10" i="21" s="1"/>
  <c r="I8" i="8"/>
  <c r="I10" i="21" s="1"/>
  <c r="J8" i="8"/>
  <c r="J10" i="21" s="1"/>
  <c r="K8" i="8"/>
  <c r="K10" i="21" s="1"/>
  <c r="L8" i="8"/>
  <c r="L10" i="21" s="1"/>
  <c r="M8" i="8"/>
  <c r="M10" i="21" s="1"/>
  <c r="N8" i="8"/>
  <c r="N10" i="21" s="1"/>
  <c r="O8" i="8"/>
  <c r="O10" i="21" s="1"/>
  <c r="P8" i="8"/>
  <c r="P10" i="21" s="1"/>
  <c r="Q8" i="8"/>
  <c r="Q10" i="21" s="1"/>
  <c r="R8" i="8"/>
  <c r="R10" i="21" s="1"/>
  <c r="S8" i="8"/>
  <c r="S10" i="21" s="1"/>
  <c r="T8" i="8"/>
  <c r="T10" i="21" s="1"/>
  <c r="U8" i="8"/>
  <c r="U10" i="21" s="1"/>
  <c r="V8" i="8"/>
  <c r="V10" i="21" s="1"/>
  <c r="W8" i="8"/>
  <c r="W10" i="21" s="1"/>
  <c r="X8" i="8"/>
  <c r="X10" i="21" s="1"/>
  <c r="Y8" i="8"/>
  <c r="Y10" i="21" s="1"/>
  <c r="Z8" i="8"/>
  <c r="Z10" i="21" s="1"/>
  <c r="AA8" i="8"/>
  <c r="AA10" i="21" s="1"/>
  <c r="AB8" i="8"/>
  <c r="AB10" i="21" s="1"/>
  <c r="AC8" i="8"/>
  <c r="AC10" i="21" s="1"/>
  <c r="AD8" i="8"/>
  <c r="AD10" i="21" s="1"/>
  <c r="AE8" i="8"/>
  <c r="AE10" i="21" s="1"/>
  <c r="AF8" i="8"/>
  <c r="AF10" i="21" s="1"/>
  <c r="AG8" i="8"/>
  <c r="AG10" i="21" s="1"/>
  <c r="A9" i="8"/>
  <c r="A11" i="21" s="1"/>
  <c r="B9" i="8"/>
  <c r="B11" i="21" s="1"/>
  <c r="C9" i="8"/>
  <c r="C11" i="21" s="1"/>
  <c r="D9" i="8"/>
  <c r="D11" i="21" s="1"/>
  <c r="E9" i="8"/>
  <c r="E11" i="21" s="1"/>
  <c r="F9" i="8"/>
  <c r="F11" i="21" s="1"/>
  <c r="G9" i="8"/>
  <c r="G11" i="21" s="1"/>
  <c r="H9" i="8"/>
  <c r="H11" i="21" s="1"/>
  <c r="I9" i="8"/>
  <c r="I11" i="21" s="1"/>
  <c r="J9" i="8"/>
  <c r="J11" i="21" s="1"/>
  <c r="K9" i="8"/>
  <c r="K11" i="21" s="1"/>
  <c r="L9" i="8"/>
  <c r="L11" i="21" s="1"/>
  <c r="M9" i="8"/>
  <c r="M11" i="21" s="1"/>
  <c r="N9" i="8"/>
  <c r="N11" i="21" s="1"/>
  <c r="O9" i="8"/>
  <c r="O11" i="21" s="1"/>
  <c r="P9" i="8"/>
  <c r="P11" i="21" s="1"/>
  <c r="Q9" i="8"/>
  <c r="Q11" i="21" s="1"/>
  <c r="R9" i="8"/>
  <c r="R11" i="21" s="1"/>
  <c r="S9" i="8"/>
  <c r="S11" i="21" s="1"/>
  <c r="T9" i="8"/>
  <c r="T11" i="21" s="1"/>
  <c r="U9" i="8"/>
  <c r="U11" i="21" s="1"/>
  <c r="V9" i="8"/>
  <c r="V11" i="21" s="1"/>
  <c r="W9" i="8"/>
  <c r="W11" i="21" s="1"/>
  <c r="X9" i="8"/>
  <c r="X11" i="21" s="1"/>
  <c r="Y9" i="8"/>
  <c r="Y11" i="21" s="1"/>
  <c r="Z9" i="8"/>
  <c r="Z11" i="21" s="1"/>
  <c r="AA9" i="8"/>
  <c r="AA11" i="21" s="1"/>
  <c r="AB9" i="8"/>
  <c r="AB11" i="21" s="1"/>
  <c r="AC9" i="8"/>
  <c r="AC11" i="21" s="1"/>
  <c r="AD9" i="8"/>
  <c r="AD11" i="21" s="1"/>
  <c r="AE9" i="8"/>
  <c r="AE11" i="21" s="1"/>
  <c r="AF9" i="8"/>
  <c r="AF11" i="21" s="1"/>
  <c r="AG9" i="8"/>
  <c r="AG11" i="21" s="1"/>
  <c r="A10" i="8"/>
  <c r="A12" i="21" s="1"/>
  <c r="B10" i="8"/>
  <c r="B12" i="21" s="1"/>
  <c r="C10" i="8"/>
  <c r="C12" i="21" s="1"/>
  <c r="D10" i="8"/>
  <c r="D12" i="21" s="1"/>
  <c r="E10" i="8"/>
  <c r="E12" i="21" s="1"/>
  <c r="F10" i="8"/>
  <c r="F12" i="21" s="1"/>
  <c r="G10" i="8"/>
  <c r="G12" i="21" s="1"/>
  <c r="H10" i="8"/>
  <c r="H12" i="21" s="1"/>
  <c r="I10" i="8"/>
  <c r="I12" i="21" s="1"/>
  <c r="J10" i="8"/>
  <c r="J12" i="21" s="1"/>
  <c r="K10" i="8"/>
  <c r="K12" i="21" s="1"/>
  <c r="L10" i="8"/>
  <c r="L12" i="21" s="1"/>
  <c r="M10" i="8"/>
  <c r="M12" i="21" s="1"/>
  <c r="N10" i="8"/>
  <c r="N12" i="21" s="1"/>
  <c r="O10" i="8"/>
  <c r="O12" i="21" s="1"/>
  <c r="P10" i="8"/>
  <c r="P12" i="21" s="1"/>
  <c r="Q10" i="8"/>
  <c r="Q12" i="21" s="1"/>
  <c r="R10" i="8"/>
  <c r="R12" i="21" s="1"/>
  <c r="S10" i="8"/>
  <c r="S12" i="21" s="1"/>
  <c r="T10" i="8"/>
  <c r="T12" i="21" s="1"/>
  <c r="U10" i="8"/>
  <c r="U12" i="21" s="1"/>
  <c r="V10" i="8"/>
  <c r="V12" i="21" s="1"/>
  <c r="W10" i="8"/>
  <c r="W12" i="21" s="1"/>
  <c r="X10" i="8"/>
  <c r="X12" i="21" s="1"/>
  <c r="Y10" i="8"/>
  <c r="Y12" i="21" s="1"/>
  <c r="Z10" i="8"/>
  <c r="Z12" i="21" s="1"/>
  <c r="AA10" i="8"/>
  <c r="AA12" i="21" s="1"/>
  <c r="AB10" i="8"/>
  <c r="AB12" i="21" s="1"/>
  <c r="AC10" i="8"/>
  <c r="AC12" i="21" s="1"/>
  <c r="AD10" i="8"/>
  <c r="AD12" i="21" s="1"/>
  <c r="AE10" i="8"/>
  <c r="AE12" i="21" s="1"/>
  <c r="AF10" i="8"/>
  <c r="AG10" i="8"/>
  <c r="A11" i="8"/>
  <c r="A13" i="21" s="1"/>
  <c r="B11" i="8"/>
  <c r="B13" i="21" s="1"/>
  <c r="C11" i="8"/>
  <c r="C13" i="21" s="1"/>
  <c r="D11" i="8"/>
  <c r="D13" i="21" s="1"/>
  <c r="E11" i="8"/>
  <c r="E13" i="21" s="1"/>
  <c r="F11" i="8"/>
  <c r="F13" i="21" s="1"/>
  <c r="G11" i="8"/>
  <c r="G13" i="21" s="1"/>
  <c r="H11" i="8"/>
  <c r="H13" i="21" s="1"/>
  <c r="I11" i="8"/>
  <c r="I13" i="21" s="1"/>
  <c r="J11" i="8"/>
  <c r="J13" i="21" s="1"/>
  <c r="K11" i="8"/>
  <c r="K13" i="21" s="1"/>
  <c r="L11" i="8"/>
  <c r="L13" i="21" s="1"/>
  <c r="M11" i="8"/>
  <c r="M13" i="21" s="1"/>
  <c r="N11" i="8"/>
  <c r="N13" i="21" s="1"/>
  <c r="O11" i="8"/>
  <c r="O13" i="21" s="1"/>
  <c r="P11" i="8"/>
  <c r="P13" i="21" s="1"/>
  <c r="Q11" i="8"/>
  <c r="Q13" i="21" s="1"/>
  <c r="R11" i="8"/>
  <c r="R13" i="21" s="1"/>
  <c r="S11" i="8"/>
  <c r="S13" i="21" s="1"/>
  <c r="T11" i="8"/>
  <c r="T13" i="21" s="1"/>
  <c r="U11" i="8"/>
  <c r="U13" i="21" s="1"/>
  <c r="V11" i="8"/>
  <c r="V13" i="21" s="1"/>
  <c r="W11" i="8"/>
  <c r="W13" i="21" s="1"/>
  <c r="X11" i="8"/>
  <c r="X13" i="21" s="1"/>
  <c r="Y11" i="8"/>
  <c r="Y13" i="21" s="1"/>
  <c r="Z11" i="8"/>
  <c r="Z13" i="21" s="1"/>
  <c r="AA11" i="8"/>
  <c r="AA13" i="21" s="1"/>
  <c r="AB11" i="8"/>
  <c r="AB13" i="21" s="1"/>
  <c r="AC11" i="8"/>
  <c r="AC13" i="21" s="1"/>
  <c r="AD11" i="8"/>
  <c r="AD13" i="21" s="1"/>
  <c r="AE11" i="8"/>
  <c r="AE13" i="21" s="1"/>
  <c r="AF11" i="8"/>
  <c r="AG11" i="8"/>
  <c r="AG13" i="21" s="1"/>
  <c r="A12" i="8"/>
  <c r="A14" i="21" s="1"/>
  <c r="B12" i="8"/>
  <c r="B14" i="21" s="1"/>
  <c r="C12" i="8"/>
  <c r="C14" i="21" s="1"/>
  <c r="D12" i="8"/>
  <c r="D14" i="21" s="1"/>
  <c r="E12" i="8"/>
  <c r="E14" i="21" s="1"/>
  <c r="F12" i="8"/>
  <c r="F14" i="21" s="1"/>
  <c r="G12" i="8"/>
  <c r="G14" i="21" s="1"/>
  <c r="H12" i="8"/>
  <c r="H14" i="21" s="1"/>
  <c r="I12" i="8"/>
  <c r="I14" i="21" s="1"/>
  <c r="J12" i="8"/>
  <c r="J14" i="21" s="1"/>
  <c r="K12" i="8"/>
  <c r="K14" i="21" s="1"/>
  <c r="L12" i="8"/>
  <c r="L14" i="21" s="1"/>
  <c r="M12" i="8"/>
  <c r="M14" i="21" s="1"/>
  <c r="N12" i="8"/>
  <c r="N14" i="21" s="1"/>
  <c r="O12" i="8"/>
  <c r="O14" i="21" s="1"/>
  <c r="P12" i="8"/>
  <c r="P14" i="21" s="1"/>
  <c r="Q12" i="8"/>
  <c r="Q14" i="21" s="1"/>
  <c r="R12" i="8"/>
  <c r="R14" i="21" s="1"/>
  <c r="S12" i="8"/>
  <c r="S14" i="21" s="1"/>
  <c r="T12" i="8"/>
  <c r="T14" i="21" s="1"/>
  <c r="U12" i="8"/>
  <c r="U14" i="21" s="1"/>
  <c r="V12" i="8"/>
  <c r="V14" i="21" s="1"/>
  <c r="W12" i="8"/>
  <c r="W14" i="21" s="1"/>
  <c r="X12" i="8"/>
  <c r="X14" i="21" s="1"/>
  <c r="Y12" i="8"/>
  <c r="Y14" i="21" s="1"/>
  <c r="Z12" i="8"/>
  <c r="Z14" i="21" s="1"/>
  <c r="AA12" i="8"/>
  <c r="AA14" i="21" s="1"/>
  <c r="AB12" i="8"/>
  <c r="AB14" i="21" s="1"/>
  <c r="AC12" i="8"/>
  <c r="AC14" i="21" s="1"/>
  <c r="AD12" i="8"/>
  <c r="AD14" i="21" s="1"/>
  <c r="AE12" i="8"/>
  <c r="AE14" i="21" s="1"/>
  <c r="AF12" i="8"/>
  <c r="AG12" i="8"/>
  <c r="A13" i="8"/>
  <c r="A15" i="21" s="1"/>
  <c r="B13" i="8"/>
  <c r="B15" i="21" s="1"/>
  <c r="C13" i="8"/>
  <c r="C15" i="21" s="1"/>
  <c r="D13" i="8"/>
  <c r="D15" i="21" s="1"/>
  <c r="E13" i="8"/>
  <c r="E15" i="21" s="1"/>
  <c r="F13" i="8"/>
  <c r="F15" i="21" s="1"/>
  <c r="G13" i="8"/>
  <c r="G15" i="21" s="1"/>
  <c r="H13" i="8"/>
  <c r="H15" i="21" s="1"/>
  <c r="I13" i="8"/>
  <c r="I15" i="21" s="1"/>
  <c r="J13" i="8"/>
  <c r="J15" i="21" s="1"/>
  <c r="K13" i="8"/>
  <c r="K15" i="21" s="1"/>
  <c r="L13" i="8"/>
  <c r="L15" i="21" s="1"/>
  <c r="M13" i="8"/>
  <c r="M15" i="21" s="1"/>
  <c r="N13" i="8"/>
  <c r="N15" i="21" s="1"/>
  <c r="O13" i="8"/>
  <c r="O15" i="21" s="1"/>
  <c r="P13" i="8"/>
  <c r="P15" i="21" s="1"/>
  <c r="Q13" i="8"/>
  <c r="Q15" i="21" s="1"/>
  <c r="R13" i="8"/>
  <c r="R15" i="21" s="1"/>
  <c r="S13" i="8"/>
  <c r="S15" i="21" s="1"/>
  <c r="T13" i="8"/>
  <c r="T15" i="21" s="1"/>
  <c r="U13" i="8"/>
  <c r="U15" i="21" s="1"/>
  <c r="V13" i="8"/>
  <c r="V15" i="21" s="1"/>
  <c r="W13" i="8"/>
  <c r="W15" i="21" s="1"/>
  <c r="X13" i="8"/>
  <c r="X15" i="21" s="1"/>
  <c r="Y13" i="8"/>
  <c r="Y15" i="21" s="1"/>
  <c r="Z13" i="8"/>
  <c r="Z15" i="21" s="1"/>
  <c r="AA13" i="8"/>
  <c r="AA15" i="21" s="1"/>
  <c r="AB13" i="8"/>
  <c r="AB15" i="21" s="1"/>
  <c r="AC13" i="8"/>
  <c r="AC15" i="21" s="1"/>
  <c r="AD13" i="8"/>
  <c r="AD15" i="21" s="1"/>
  <c r="AE13" i="8"/>
  <c r="AE15" i="21" s="1"/>
  <c r="AF13" i="8"/>
  <c r="AF15" i="21" s="1"/>
  <c r="AG13" i="8"/>
  <c r="AG15" i="21" s="1"/>
  <c r="A14" i="8"/>
  <c r="A16" i="21" s="1"/>
  <c r="B14" i="8"/>
  <c r="B16" i="21" s="1"/>
  <c r="C14" i="8"/>
  <c r="C16" i="21" s="1"/>
  <c r="D14" i="8"/>
  <c r="D16" i="21" s="1"/>
  <c r="E14" i="8"/>
  <c r="E16" i="21" s="1"/>
  <c r="F14" i="8"/>
  <c r="F16" i="21" s="1"/>
  <c r="G14" i="8"/>
  <c r="G16" i="21" s="1"/>
  <c r="H14" i="8"/>
  <c r="H16" i="21" s="1"/>
  <c r="I14" i="8"/>
  <c r="I16" i="21" s="1"/>
  <c r="J14" i="8"/>
  <c r="J16" i="21" s="1"/>
  <c r="K14" i="8"/>
  <c r="K16" i="21" s="1"/>
  <c r="L14" i="8"/>
  <c r="L16" i="21" s="1"/>
  <c r="M14" i="8"/>
  <c r="M16" i="21" s="1"/>
  <c r="N14" i="8"/>
  <c r="N16" i="21" s="1"/>
  <c r="O14" i="8"/>
  <c r="O16" i="21" s="1"/>
  <c r="P14" i="8"/>
  <c r="P16" i="21" s="1"/>
  <c r="Q14" i="8"/>
  <c r="Q16" i="21" s="1"/>
  <c r="R14" i="8"/>
  <c r="R16" i="21" s="1"/>
  <c r="S14" i="8"/>
  <c r="S16" i="21" s="1"/>
  <c r="T14" i="8"/>
  <c r="T16" i="21" s="1"/>
  <c r="U14" i="8"/>
  <c r="U16" i="21" s="1"/>
  <c r="V14" i="8"/>
  <c r="V16" i="21" s="1"/>
  <c r="W14" i="8"/>
  <c r="W16" i="21" s="1"/>
  <c r="X14" i="8"/>
  <c r="X16" i="21" s="1"/>
  <c r="Y14" i="8"/>
  <c r="Y16" i="21" s="1"/>
  <c r="Z14" i="8"/>
  <c r="Z16" i="21" s="1"/>
  <c r="AA14" i="8"/>
  <c r="AA16" i="21" s="1"/>
  <c r="AB14" i="8"/>
  <c r="AB16" i="21" s="1"/>
  <c r="AC14" i="8"/>
  <c r="AC16" i="21" s="1"/>
  <c r="AD14" i="8"/>
  <c r="AD16" i="21" s="1"/>
  <c r="AE14" i="8"/>
  <c r="AE16" i="21" s="1"/>
  <c r="AF14" i="8"/>
  <c r="AG14" i="8"/>
  <c r="A15" i="8"/>
  <c r="A17" i="21" s="1"/>
  <c r="B15" i="8"/>
  <c r="B17" i="21" s="1"/>
  <c r="C15" i="8"/>
  <c r="C17" i="21" s="1"/>
  <c r="D15" i="8"/>
  <c r="D17" i="21" s="1"/>
  <c r="E15" i="8"/>
  <c r="E17" i="21" s="1"/>
  <c r="F15" i="8"/>
  <c r="F17" i="21" s="1"/>
  <c r="G15" i="8"/>
  <c r="G17" i="21" s="1"/>
  <c r="H15" i="8"/>
  <c r="H17" i="21" s="1"/>
  <c r="I15" i="8"/>
  <c r="I17" i="21" s="1"/>
  <c r="J15" i="8"/>
  <c r="J17" i="21" s="1"/>
  <c r="K15" i="8"/>
  <c r="K17" i="21" s="1"/>
  <c r="L15" i="8"/>
  <c r="L17" i="21" s="1"/>
  <c r="M15" i="8"/>
  <c r="M17" i="21" s="1"/>
  <c r="N15" i="8"/>
  <c r="N17" i="21" s="1"/>
  <c r="O15" i="8"/>
  <c r="O17" i="21" s="1"/>
  <c r="P15" i="8"/>
  <c r="P17" i="21" s="1"/>
  <c r="Q15" i="8"/>
  <c r="Q17" i="21" s="1"/>
  <c r="R15" i="8"/>
  <c r="R17" i="21" s="1"/>
  <c r="S15" i="8"/>
  <c r="S17" i="21" s="1"/>
  <c r="T15" i="8"/>
  <c r="T17" i="21" s="1"/>
  <c r="U15" i="8"/>
  <c r="U17" i="21" s="1"/>
  <c r="V15" i="8"/>
  <c r="V17" i="21" s="1"/>
  <c r="W15" i="8"/>
  <c r="W17" i="21" s="1"/>
  <c r="X15" i="8"/>
  <c r="X17" i="21" s="1"/>
  <c r="Y15" i="8"/>
  <c r="Y17" i="21" s="1"/>
  <c r="Z15" i="8"/>
  <c r="Z17" i="21" s="1"/>
  <c r="AA15" i="8"/>
  <c r="AA17" i="21" s="1"/>
  <c r="AB15" i="8"/>
  <c r="AB17" i="21" s="1"/>
  <c r="AC15" i="8"/>
  <c r="AC17" i="21" s="1"/>
  <c r="AD15" i="8"/>
  <c r="AD17" i="21" s="1"/>
  <c r="AE15" i="8"/>
  <c r="AE17" i="21" s="1"/>
  <c r="AF15" i="8"/>
  <c r="AG15" i="8"/>
  <c r="A16" i="8"/>
  <c r="A18" i="21" s="1"/>
  <c r="B16" i="8"/>
  <c r="B18" i="21" s="1"/>
  <c r="C16" i="8"/>
  <c r="C18" i="21" s="1"/>
  <c r="D16" i="8"/>
  <c r="D18" i="21" s="1"/>
  <c r="E16" i="8"/>
  <c r="E18" i="21" s="1"/>
  <c r="F16" i="8"/>
  <c r="F18" i="21" s="1"/>
  <c r="G16" i="8"/>
  <c r="G18" i="21" s="1"/>
  <c r="H16" i="8"/>
  <c r="H18" i="21" s="1"/>
  <c r="I16" i="8"/>
  <c r="I18" i="21" s="1"/>
  <c r="J16" i="8"/>
  <c r="J18" i="21" s="1"/>
  <c r="K16" i="8"/>
  <c r="K18" i="21" s="1"/>
  <c r="L16" i="8"/>
  <c r="L18" i="21" s="1"/>
  <c r="M16" i="8"/>
  <c r="M18" i="21" s="1"/>
  <c r="N16" i="8"/>
  <c r="N18" i="21" s="1"/>
  <c r="O16" i="8"/>
  <c r="O18" i="21" s="1"/>
  <c r="P16" i="8"/>
  <c r="P18" i="21" s="1"/>
  <c r="Q16" i="8"/>
  <c r="Q18" i="21" s="1"/>
  <c r="R16" i="8"/>
  <c r="R18" i="21" s="1"/>
  <c r="S16" i="8"/>
  <c r="S18" i="21" s="1"/>
  <c r="T16" i="8"/>
  <c r="T18" i="21" s="1"/>
  <c r="U16" i="8"/>
  <c r="U18" i="21" s="1"/>
  <c r="V16" i="8"/>
  <c r="V18" i="21" s="1"/>
  <c r="W16" i="8"/>
  <c r="W18" i="21" s="1"/>
  <c r="X16" i="8"/>
  <c r="X18" i="21" s="1"/>
  <c r="Y16" i="8"/>
  <c r="Y18" i="21" s="1"/>
  <c r="Z16" i="8"/>
  <c r="Z18" i="21" s="1"/>
  <c r="AA16" i="8"/>
  <c r="AA18" i="21" s="1"/>
  <c r="AB16" i="8"/>
  <c r="AB18" i="21" s="1"/>
  <c r="AC16" i="8"/>
  <c r="AC18" i="21" s="1"/>
  <c r="AD16" i="8"/>
  <c r="AD18" i="21" s="1"/>
  <c r="AE16" i="8"/>
  <c r="AE18" i="21" s="1"/>
  <c r="AF16" i="8"/>
  <c r="AF18" i="21" s="1"/>
  <c r="AG16" i="8"/>
  <c r="AG18" i="21" s="1"/>
  <c r="A17" i="8"/>
  <c r="A19" i="21" s="1"/>
  <c r="B17" i="8"/>
  <c r="B19" i="21" s="1"/>
  <c r="C17" i="8"/>
  <c r="C19" i="21" s="1"/>
  <c r="D17" i="8"/>
  <c r="D19" i="21" s="1"/>
  <c r="E17" i="8"/>
  <c r="E19" i="21" s="1"/>
  <c r="F17" i="8"/>
  <c r="F19" i="21" s="1"/>
  <c r="G17" i="8"/>
  <c r="G19" i="21" s="1"/>
  <c r="H17" i="8"/>
  <c r="H19" i="21" s="1"/>
  <c r="I17" i="8"/>
  <c r="I19" i="21" s="1"/>
  <c r="J17" i="8"/>
  <c r="J19" i="21" s="1"/>
  <c r="K17" i="8"/>
  <c r="K19" i="21" s="1"/>
  <c r="L17" i="8"/>
  <c r="L19" i="21" s="1"/>
  <c r="M17" i="8"/>
  <c r="M19" i="21" s="1"/>
  <c r="N17" i="8"/>
  <c r="N19" i="21" s="1"/>
  <c r="O17" i="8"/>
  <c r="O19" i="21" s="1"/>
  <c r="P17" i="8"/>
  <c r="P19" i="21" s="1"/>
  <c r="Q17" i="8"/>
  <c r="Q19" i="21" s="1"/>
  <c r="R17" i="8"/>
  <c r="R19" i="21" s="1"/>
  <c r="S17" i="8"/>
  <c r="S19" i="21" s="1"/>
  <c r="T17" i="8"/>
  <c r="T19" i="21" s="1"/>
  <c r="U17" i="8"/>
  <c r="U19" i="21" s="1"/>
  <c r="V17" i="8"/>
  <c r="V19" i="21" s="1"/>
  <c r="W17" i="8"/>
  <c r="W19" i="21" s="1"/>
  <c r="X17" i="8"/>
  <c r="X19" i="21" s="1"/>
  <c r="Y17" i="8"/>
  <c r="Y19" i="21" s="1"/>
  <c r="Z17" i="8"/>
  <c r="Z19" i="21" s="1"/>
  <c r="AA17" i="8"/>
  <c r="AA19" i="21" s="1"/>
  <c r="AB17" i="8"/>
  <c r="AB19" i="21" s="1"/>
  <c r="AC17" i="8"/>
  <c r="AC19" i="21" s="1"/>
  <c r="AD17" i="8"/>
  <c r="AD19" i="21" s="1"/>
  <c r="AE17" i="8"/>
  <c r="AE19" i="21" s="1"/>
  <c r="AF17" i="8"/>
  <c r="AF19" i="21" s="1"/>
  <c r="AG17" i="8"/>
  <c r="AG19" i="21" s="1"/>
  <c r="A18" i="8"/>
  <c r="A20" i="21" s="1"/>
  <c r="B18" i="8"/>
  <c r="B20" i="21" s="1"/>
  <c r="C18" i="8"/>
  <c r="C20" i="21" s="1"/>
  <c r="D18" i="8"/>
  <c r="D20" i="21" s="1"/>
  <c r="E18" i="8"/>
  <c r="E20" i="21" s="1"/>
  <c r="F18" i="8"/>
  <c r="F20" i="21" s="1"/>
  <c r="G18" i="8"/>
  <c r="G20" i="21" s="1"/>
  <c r="H18" i="8"/>
  <c r="H20" i="21" s="1"/>
  <c r="I18" i="8"/>
  <c r="I20" i="21" s="1"/>
  <c r="J18" i="8"/>
  <c r="J20" i="21" s="1"/>
  <c r="K18" i="8"/>
  <c r="K20" i="21" s="1"/>
  <c r="L18" i="8"/>
  <c r="L20" i="21" s="1"/>
  <c r="M18" i="8"/>
  <c r="M20" i="21" s="1"/>
  <c r="N18" i="8"/>
  <c r="N20" i="21" s="1"/>
  <c r="O18" i="8"/>
  <c r="O20" i="21" s="1"/>
  <c r="P18" i="8"/>
  <c r="P20" i="21" s="1"/>
  <c r="Q18" i="8"/>
  <c r="Q20" i="21" s="1"/>
  <c r="R18" i="8"/>
  <c r="R20" i="21" s="1"/>
  <c r="S18" i="8"/>
  <c r="S20" i="21" s="1"/>
  <c r="T18" i="8"/>
  <c r="T20" i="21" s="1"/>
  <c r="U18" i="8"/>
  <c r="U20" i="21" s="1"/>
  <c r="V18" i="8"/>
  <c r="V20" i="21" s="1"/>
  <c r="W18" i="8"/>
  <c r="W20" i="21" s="1"/>
  <c r="X18" i="8"/>
  <c r="X20" i="21" s="1"/>
  <c r="Y18" i="8"/>
  <c r="Y20" i="21" s="1"/>
  <c r="Z18" i="8"/>
  <c r="Z20" i="21" s="1"/>
  <c r="AA18" i="8"/>
  <c r="AA20" i="21" s="1"/>
  <c r="AB18" i="8"/>
  <c r="AB20" i="21" s="1"/>
  <c r="AC18" i="8"/>
  <c r="AC20" i="21" s="1"/>
  <c r="AD18" i="8"/>
  <c r="AD20" i="21" s="1"/>
  <c r="AE18" i="8"/>
  <c r="AE20" i="21" s="1"/>
  <c r="AF18" i="8"/>
  <c r="AF20" i="21" s="1"/>
  <c r="AG18" i="8"/>
  <c r="AG20" i="21" s="1"/>
  <c r="A19" i="8"/>
  <c r="A21" i="21" s="1"/>
  <c r="B19" i="8"/>
  <c r="B21" i="21" s="1"/>
  <c r="C19" i="8"/>
  <c r="C21" i="21" s="1"/>
  <c r="D19" i="8"/>
  <c r="D21" i="21" s="1"/>
  <c r="E19" i="8"/>
  <c r="E21" i="21" s="1"/>
  <c r="F19" i="8"/>
  <c r="F21" i="21" s="1"/>
  <c r="G19" i="8"/>
  <c r="G21" i="21" s="1"/>
  <c r="H19" i="8"/>
  <c r="H21" i="21" s="1"/>
  <c r="I19" i="8"/>
  <c r="I21" i="21" s="1"/>
  <c r="J19" i="8"/>
  <c r="J21" i="21" s="1"/>
  <c r="K19" i="8"/>
  <c r="K21" i="21" s="1"/>
  <c r="L19" i="8"/>
  <c r="L21" i="21" s="1"/>
  <c r="M19" i="8"/>
  <c r="M21" i="21" s="1"/>
  <c r="N19" i="8"/>
  <c r="N21" i="21" s="1"/>
  <c r="O19" i="8"/>
  <c r="O21" i="21" s="1"/>
  <c r="P19" i="8"/>
  <c r="P21" i="21" s="1"/>
  <c r="Q19" i="8"/>
  <c r="Q21" i="21" s="1"/>
  <c r="R19" i="8"/>
  <c r="R21" i="21" s="1"/>
  <c r="S19" i="8"/>
  <c r="S21" i="21" s="1"/>
  <c r="T19" i="8"/>
  <c r="T21" i="21" s="1"/>
  <c r="U19" i="8"/>
  <c r="U21" i="21" s="1"/>
  <c r="V19" i="8"/>
  <c r="V21" i="21" s="1"/>
  <c r="W19" i="8"/>
  <c r="W21" i="21" s="1"/>
  <c r="X19" i="8"/>
  <c r="X21" i="21" s="1"/>
  <c r="Y19" i="8"/>
  <c r="Y21" i="21" s="1"/>
  <c r="Z19" i="8"/>
  <c r="Z21" i="21" s="1"/>
  <c r="AA19" i="8"/>
  <c r="AA21" i="21" s="1"/>
  <c r="AB19" i="8"/>
  <c r="AB21" i="21" s="1"/>
  <c r="AC19" i="8"/>
  <c r="AC21" i="21" s="1"/>
  <c r="AD19" i="8"/>
  <c r="AD21" i="21" s="1"/>
  <c r="AE19" i="8"/>
  <c r="AE21" i="21" s="1"/>
  <c r="AF19" i="8"/>
  <c r="AF21" i="21" s="1"/>
  <c r="AG19" i="8"/>
  <c r="AG21" i="21" s="1"/>
  <c r="A20" i="8"/>
  <c r="A22" i="21" s="1"/>
  <c r="B20" i="8"/>
  <c r="B22" i="21" s="1"/>
  <c r="C20" i="8"/>
  <c r="C22" i="21" s="1"/>
  <c r="D20" i="8"/>
  <c r="D22" i="21" s="1"/>
  <c r="E20" i="8"/>
  <c r="E22" i="21" s="1"/>
  <c r="F20" i="8"/>
  <c r="F22" i="21" s="1"/>
  <c r="G20" i="8"/>
  <c r="G22" i="21" s="1"/>
  <c r="H20" i="8"/>
  <c r="H22" i="21" s="1"/>
  <c r="I20" i="8"/>
  <c r="I22" i="21" s="1"/>
  <c r="J20" i="8"/>
  <c r="J22" i="21" s="1"/>
  <c r="K20" i="8"/>
  <c r="K22" i="21" s="1"/>
  <c r="L20" i="8"/>
  <c r="L22" i="21" s="1"/>
  <c r="M20" i="8"/>
  <c r="M22" i="21" s="1"/>
  <c r="N20" i="8"/>
  <c r="N22" i="21" s="1"/>
  <c r="O20" i="8"/>
  <c r="O22" i="21" s="1"/>
  <c r="P20" i="8"/>
  <c r="P22" i="21" s="1"/>
  <c r="Q20" i="8"/>
  <c r="Q22" i="21" s="1"/>
  <c r="R20" i="8"/>
  <c r="R22" i="21" s="1"/>
  <c r="S20" i="8"/>
  <c r="S22" i="21" s="1"/>
  <c r="T20" i="8"/>
  <c r="T22" i="21" s="1"/>
  <c r="U20" i="8"/>
  <c r="U22" i="21" s="1"/>
  <c r="V20" i="8"/>
  <c r="V22" i="21" s="1"/>
  <c r="W20" i="8"/>
  <c r="W22" i="21" s="1"/>
  <c r="X20" i="8"/>
  <c r="X22" i="21" s="1"/>
  <c r="Y20" i="8"/>
  <c r="Y22" i="21" s="1"/>
  <c r="Z20" i="8"/>
  <c r="Z22" i="21" s="1"/>
  <c r="AA20" i="8"/>
  <c r="AA22" i="21" s="1"/>
  <c r="AB20" i="8"/>
  <c r="AB22" i="21" s="1"/>
  <c r="AC20" i="8"/>
  <c r="AC22" i="21" s="1"/>
  <c r="AD20" i="8"/>
  <c r="AD22" i="21" s="1"/>
  <c r="AE20" i="8"/>
  <c r="AE22" i="21" s="1"/>
  <c r="AF20" i="8"/>
  <c r="AF22" i="21" s="1"/>
  <c r="AG20" i="8"/>
  <c r="AG22" i="21" s="1"/>
  <c r="A21" i="8"/>
  <c r="A23" i="21" s="1"/>
  <c r="B21" i="8"/>
  <c r="B23" i="21" s="1"/>
  <c r="C21" i="8"/>
  <c r="C23" i="21" s="1"/>
  <c r="D21" i="8"/>
  <c r="D23" i="21" s="1"/>
  <c r="E21" i="8"/>
  <c r="E23" i="21" s="1"/>
  <c r="F21" i="8"/>
  <c r="F23" i="21" s="1"/>
  <c r="G21" i="8"/>
  <c r="G23" i="21" s="1"/>
  <c r="H21" i="8"/>
  <c r="H23" i="21" s="1"/>
  <c r="I21" i="8"/>
  <c r="I23" i="21" s="1"/>
  <c r="J21" i="8"/>
  <c r="J23" i="21" s="1"/>
  <c r="K21" i="8"/>
  <c r="K23" i="21" s="1"/>
  <c r="L21" i="8"/>
  <c r="L23" i="21" s="1"/>
  <c r="M21" i="8"/>
  <c r="M23" i="21" s="1"/>
  <c r="N21" i="8"/>
  <c r="N23" i="21" s="1"/>
  <c r="O21" i="8"/>
  <c r="O23" i="21" s="1"/>
  <c r="P21" i="8"/>
  <c r="P23" i="21" s="1"/>
  <c r="Q21" i="8"/>
  <c r="Q23" i="21" s="1"/>
  <c r="R21" i="8"/>
  <c r="R23" i="21" s="1"/>
  <c r="S21" i="8"/>
  <c r="S23" i="21" s="1"/>
  <c r="T21" i="8"/>
  <c r="T23" i="21" s="1"/>
  <c r="U21" i="8"/>
  <c r="U23" i="21" s="1"/>
  <c r="V21" i="8"/>
  <c r="V23" i="21" s="1"/>
  <c r="W21" i="8"/>
  <c r="W23" i="21" s="1"/>
  <c r="X21" i="8"/>
  <c r="X23" i="21" s="1"/>
  <c r="Y21" i="8"/>
  <c r="Y23" i="21" s="1"/>
  <c r="Z21" i="8"/>
  <c r="Z23" i="21" s="1"/>
  <c r="AA21" i="8"/>
  <c r="AA23" i="21" s="1"/>
  <c r="AB21" i="8"/>
  <c r="AB23" i="21" s="1"/>
  <c r="AC21" i="8"/>
  <c r="AC23" i="21" s="1"/>
  <c r="AD21" i="8"/>
  <c r="AD23" i="21" s="1"/>
  <c r="AE21" i="8"/>
  <c r="AE23" i="21" s="1"/>
  <c r="AF21" i="8"/>
  <c r="AF23" i="21" s="1"/>
  <c r="AG21" i="8"/>
  <c r="AG23" i="21" s="1"/>
  <c r="A22" i="8"/>
  <c r="A24" i="21" s="1"/>
  <c r="B22" i="8"/>
  <c r="B24" i="21" s="1"/>
  <c r="C22" i="8"/>
  <c r="C24" i="21" s="1"/>
  <c r="D22" i="8"/>
  <c r="D24" i="21" s="1"/>
  <c r="E22" i="8"/>
  <c r="E24" i="21" s="1"/>
  <c r="F22" i="8"/>
  <c r="F24" i="21" s="1"/>
  <c r="G22" i="8"/>
  <c r="G24" i="21" s="1"/>
  <c r="H22" i="8"/>
  <c r="H24" i="21" s="1"/>
  <c r="I22" i="8"/>
  <c r="I24" i="21" s="1"/>
  <c r="J22" i="8"/>
  <c r="J24" i="21" s="1"/>
  <c r="K22" i="8"/>
  <c r="K24" i="21" s="1"/>
  <c r="L22" i="8"/>
  <c r="L24" i="21" s="1"/>
  <c r="M22" i="8"/>
  <c r="M24" i="21" s="1"/>
  <c r="N22" i="8"/>
  <c r="N24" i="21" s="1"/>
  <c r="O22" i="8"/>
  <c r="O24" i="21" s="1"/>
  <c r="P22" i="8"/>
  <c r="P24" i="21" s="1"/>
  <c r="Q22" i="8"/>
  <c r="Q24" i="21" s="1"/>
  <c r="R22" i="8"/>
  <c r="R24" i="21" s="1"/>
  <c r="S22" i="8"/>
  <c r="S24" i="21" s="1"/>
  <c r="T22" i="8"/>
  <c r="T24" i="21" s="1"/>
  <c r="U22" i="8"/>
  <c r="U24" i="21" s="1"/>
  <c r="V22" i="8"/>
  <c r="V24" i="21" s="1"/>
  <c r="W22" i="8"/>
  <c r="W24" i="21" s="1"/>
  <c r="X22" i="8"/>
  <c r="X24" i="21" s="1"/>
  <c r="Y22" i="8"/>
  <c r="Y24" i="21" s="1"/>
  <c r="Z22" i="8"/>
  <c r="Z24" i="21" s="1"/>
  <c r="AA22" i="8"/>
  <c r="AA24" i="21" s="1"/>
  <c r="AB22" i="8"/>
  <c r="AB24" i="21" s="1"/>
  <c r="AC22" i="8"/>
  <c r="AC24" i="21" s="1"/>
  <c r="AD22" i="8"/>
  <c r="AD24" i="21" s="1"/>
  <c r="AE22" i="8"/>
  <c r="AE24" i="21" s="1"/>
  <c r="AF22" i="8"/>
  <c r="AF24" i="21" s="1"/>
  <c r="AG22" i="8"/>
  <c r="AG24" i="21" s="1"/>
  <c r="A23" i="8"/>
  <c r="A25" i="21" s="1"/>
  <c r="B23" i="8"/>
  <c r="B25" i="21" s="1"/>
  <c r="C23" i="8"/>
  <c r="C25" i="21" s="1"/>
  <c r="D23" i="8"/>
  <c r="D25" i="21" s="1"/>
  <c r="E23" i="8"/>
  <c r="E25" i="21" s="1"/>
  <c r="F23" i="8"/>
  <c r="F25" i="21" s="1"/>
  <c r="G23" i="8"/>
  <c r="G25" i="21" s="1"/>
  <c r="H23" i="8"/>
  <c r="H25" i="21" s="1"/>
  <c r="I23" i="8"/>
  <c r="I25" i="21" s="1"/>
  <c r="J23" i="8"/>
  <c r="J25" i="21" s="1"/>
  <c r="K23" i="8"/>
  <c r="K25" i="21" s="1"/>
  <c r="L23" i="8"/>
  <c r="L25" i="21" s="1"/>
  <c r="M23" i="8"/>
  <c r="M25" i="21" s="1"/>
  <c r="N23" i="8"/>
  <c r="N25" i="21" s="1"/>
  <c r="O23" i="8"/>
  <c r="O25" i="21" s="1"/>
  <c r="P23" i="8"/>
  <c r="P25" i="21" s="1"/>
  <c r="Q23" i="8"/>
  <c r="Q25" i="21" s="1"/>
  <c r="R23" i="8"/>
  <c r="R25" i="21" s="1"/>
  <c r="S23" i="8"/>
  <c r="S25" i="21" s="1"/>
  <c r="T23" i="8"/>
  <c r="T25" i="21" s="1"/>
  <c r="U23" i="8"/>
  <c r="U25" i="21" s="1"/>
  <c r="V23" i="8"/>
  <c r="V25" i="21" s="1"/>
  <c r="W23" i="8"/>
  <c r="W25" i="21" s="1"/>
  <c r="X23" i="8"/>
  <c r="X25" i="21" s="1"/>
  <c r="Y23" i="8"/>
  <c r="Y25" i="21" s="1"/>
  <c r="Z23" i="8"/>
  <c r="Z25" i="21" s="1"/>
  <c r="AA23" i="8"/>
  <c r="AA25" i="21" s="1"/>
  <c r="AB23" i="8"/>
  <c r="AB25" i="21" s="1"/>
  <c r="AC23" i="8"/>
  <c r="AC25" i="21" s="1"/>
  <c r="AD23" i="8"/>
  <c r="AD25" i="21" s="1"/>
  <c r="AE23" i="8"/>
  <c r="AE25" i="21" s="1"/>
  <c r="AF23" i="8"/>
  <c r="AF25" i="21" s="1"/>
  <c r="AG23" i="8"/>
  <c r="AG25" i="21" s="1"/>
  <c r="A24" i="8"/>
  <c r="A26" i="21" s="1"/>
  <c r="B24" i="8"/>
  <c r="B26" i="21" s="1"/>
  <c r="C24" i="8"/>
  <c r="C26" i="21" s="1"/>
  <c r="D24" i="8"/>
  <c r="D26" i="21" s="1"/>
  <c r="E24" i="8"/>
  <c r="E26" i="21" s="1"/>
  <c r="F24" i="8"/>
  <c r="F26" i="21" s="1"/>
  <c r="G24" i="8"/>
  <c r="G26" i="21" s="1"/>
  <c r="H24" i="8"/>
  <c r="H26" i="21" s="1"/>
  <c r="I24" i="8"/>
  <c r="I26" i="21" s="1"/>
  <c r="J24" i="8"/>
  <c r="J26" i="21" s="1"/>
  <c r="K24" i="8"/>
  <c r="K26" i="21" s="1"/>
  <c r="L24" i="8"/>
  <c r="L26" i="21" s="1"/>
  <c r="M24" i="8"/>
  <c r="M26" i="21" s="1"/>
  <c r="N24" i="8"/>
  <c r="N26" i="21" s="1"/>
  <c r="O24" i="8"/>
  <c r="O26" i="21" s="1"/>
  <c r="P24" i="8"/>
  <c r="P26" i="21" s="1"/>
  <c r="Q24" i="8"/>
  <c r="Q26" i="21" s="1"/>
  <c r="R24" i="8"/>
  <c r="R26" i="21" s="1"/>
  <c r="S24" i="8"/>
  <c r="S26" i="21" s="1"/>
  <c r="T24" i="8"/>
  <c r="T26" i="21" s="1"/>
  <c r="U24" i="8"/>
  <c r="U26" i="21" s="1"/>
  <c r="V24" i="8"/>
  <c r="V26" i="21" s="1"/>
  <c r="W24" i="8"/>
  <c r="W26" i="21" s="1"/>
  <c r="X24" i="8"/>
  <c r="X26" i="21" s="1"/>
  <c r="Y24" i="8"/>
  <c r="Y26" i="21" s="1"/>
  <c r="Z24" i="8"/>
  <c r="Z26" i="21" s="1"/>
  <c r="AA24" i="8"/>
  <c r="AA26" i="21" s="1"/>
  <c r="AB24" i="8"/>
  <c r="AB26" i="21" s="1"/>
  <c r="AC24" i="8"/>
  <c r="AC26" i="21" s="1"/>
  <c r="AD24" i="8"/>
  <c r="AD26" i="21" s="1"/>
  <c r="AE24" i="8"/>
  <c r="AE26" i="21" s="1"/>
  <c r="AF24" i="8"/>
  <c r="AF26" i="21" s="1"/>
  <c r="AG24" i="8"/>
  <c r="AG26" i="21" s="1"/>
  <c r="A25" i="8"/>
  <c r="A27" i="21" s="1"/>
  <c r="B25" i="8"/>
  <c r="B27" i="21" s="1"/>
  <c r="C25" i="8"/>
  <c r="C27" i="21" s="1"/>
  <c r="D25" i="8"/>
  <c r="D27" i="21" s="1"/>
  <c r="E25" i="8"/>
  <c r="E27" i="21" s="1"/>
  <c r="F25" i="8"/>
  <c r="F27" i="21" s="1"/>
  <c r="G25" i="8"/>
  <c r="G27" i="21" s="1"/>
  <c r="H25" i="8"/>
  <c r="H27" i="21" s="1"/>
  <c r="I25" i="8"/>
  <c r="I27" i="21" s="1"/>
  <c r="J25" i="8"/>
  <c r="J27" i="21" s="1"/>
  <c r="K25" i="8"/>
  <c r="K27" i="21" s="1"/>
  <c r="L25" i="8"/>
  <c r="L27" i="21" s="1"/>
  <c r="M25" i="8"/>
  <c r="M27" i="21" s="1"/>
  <c r="N25" i="8"/>
  <c r="N27" i="21" s="1"/>
  <c r="O25" i="8"/>
  <c r="O27" i="21" s="1"/>
  <c r="P25" i="8"/>
  <c r="P27" i="21" s="1"/>
  <c r="Q25" i="8"/>
  <c r="Q27" i="21" s="1"/>
  <c r="R25" i="8"/>
  <c r="R27" i="21" s="1"/>
  <c r="S25" i="8"/>
  <c r="S27" i="21" s="1"/>
  <c r="T25" i="8"/>
  <c r="T27" i="21" s="1"/>
  <c r="U25" i="8"/>
  <c r="U27" i="21" s="1"/>
  <c r="V25" i="8"/>
  <c r="V27" i="21" s="1"/>
  <c r="W25" i="8"/>
  <c r="W27" i="21" s="1"/>
  <c r="X25" i="8"/>
  <c r="X27" i="21" s="1"/>
  <c r="Y25" i="8"/>
  <c r="Y27" i="21" s="1"/>
  <c r="Z25" i="8"/>
  <c r="Z27" i="21" s="1"/>
  <c r="AA25" i="8"/>
  <c r="AA27" i="21" s="1"/>
  <c r="AB25" i="8"/>
  <c r="AB27" i="21" s="1"/>
  <c r="AC25" i="8"/>
  <c r="AC27" i="21" s="1"/>
  <c r="AD25" i="8"/>
  <c r="AD27" i="21" s="1"/>
  <c r="AE25" i="8"/>
  <c r="AE27" i="21" s="1"/>
  <c r="AF25" i="8"/>
  <c r="AF27" i="21" s="1"/>
  <c r="AG25" i="8"/>
  <c r="AG27" i="21" s="1"/>
  <c r="A26" i="8"/>
  <c r="A28" i="21" s="1"/>
  <c r="B26" i="8"/>
  <c r="B28" i="21" s="1"/>
  <c r="C26" i="8"/>
  <c r="C28" i="21" s="1"/>
  <c r="D26" i="8"/>
  <c r="D28" i="21" s="1"/>
  <c r="E26" i="8"/>
  <c r="E28" i="21" s="1"/>
  <c r="F26" i="8"/>
  <c r="F28" i="21" s="1"/>
  <c r="G26" i="8"/>
  <c r="G28" i="21" s="1"/>
  <c r="H26" i="8"/>
  <c r="H28" i="21" s="1"/>
  <c r="I26" i="8"/>
  <c r="I28" i="21" s="1"/>
  <c r="J26" i="8"/>
  <c r="J28" i="21" s="1"/>
  <c r="K26" i="8"/>
  <c r="K28" i="21" s="1"/>
  <c r="L26" i="8"/>
  <c r="L28" i="21" s="1"/>
  <c r="M26" i="8"/>
  <c r="M28" i="21" s="1"/>
  <c r="N26" i="8"/>
  <c r="N28" i="21" s="1"/>
  <c r="O26" i="8"/>
  <c r="O28" i="21" s="1"/>
  <c r="P26" i="8"/>
  <c r="P28" i="21" s="1"/>
  <c r="Q26" i="8"/>
  <c r="Q28" i="21" s="1"/>
  <c r="R26" i="8"/>
  <c r="R28" i="21" s="1"/>
  <c r="S26" i="8"/>
  <c r="S28" i="21" s="1"/>
  <c r="T26" i="8"/>
  <c r="T28" i="21" s="1"/>
  <c r="U26" i="8"/>
  <c r="U28" i="21" s="1"/>
  <c r="V26" i="8"/>
  <c r="V28" i="21" s="1"/>
  <c r="W26" i="8"/>
  <c r="W28" i="21" s="1"/>
  <c r="X26" i="8"/>
  <c r="X28" i="21" s="1"/>
  <c r="Y26" i="8"/>
  <c r="Y28" i="21" s="1"/>
  <c r="Z26" i="8"/>
  <c r="Z28" i="21" s="1"/>
  <c r="AA26" i="8"/>
  <c r="AA28" i="21" s="1"/>
  <c r="AB26" i="8"/>
  <c r="AB28" i="21" s="1"/>
  <c r="AC26" i="8"/>
  <c r="AC28" i="21" s="1"/>
  <c r="AD26" i="8"/>
  <c r="AD28" i="21" s="1"/>
  <c r="AE26" i="8"/>
  <c r="AE28" i="21" s="1"/>
  <c r="AF26" i="8"/>
  <c r="AF28" i="21" s="1"/>
  <c r="AG26" i="8"/>
  <c r="AG28" i="21" s="1"/>
  <c r="A27" i="8"/>
  <c r="A29" i="21" s="1"/>
  <c r="B27" i="8"/>
  <c r="B29" i="21" s="1"/>
  <c r="C27" i="8"/>
  <c r="C29" i="21" s="1"/>
  <c r="D27" i="8"/>
  <c r="D29" i="21" s="1"/>
  <c r="E27" i="8"/>
  <c r="E29" i="21" s="1"/>
  <c r="F27" i="8"/>
  <c r="F29" i="21" s="1"/>
  <c r="G27" i="8"/>
  <c r="G29" i="21" s="1"/>
  <c r="H27" i="8"/>
  <c r="H29" i="21" s="1"/>
  <c r="I27" i="8"/>
  <c r="I29" i="21" s="1"/>
  <c r="J27" i="8"/>
  <c r="J29" i="21" s="1"/>
  <c r="K27" i="8"/>
  <c r="K29" i="21" s="1"/>
  <c r="L27" i="8"/>
  <c r="L29" i="21" s="1"/>
  <c r="M27" i="8"/>
  <c r="M29" i="21" s="1"/>
  <c r="N27" i="8"/>
  <c r="N29" i="21" s="1"/>
  <c r="O27" i="8"/>
  <c r="O29" i="21" s="1"/>
  <c r="P27" i="8"/>
  <c r="P29" i="21" s="1"/>
  <c r="Q27" i="8"/>
  <c r="Q29" i="21" s="1"/>
  <c r="R27" i="8"/>
  <c r="R29" i="21" s="1"/>
  <c r="S27" i="8"/>
  <c r="S29" i="21" s="1"/>
  <c r="T27" i="8"/>
  <c r="T29" i="21" s="1"/>
  <c r="U27" i="8"/>
  <c r="U29" i="21" s="1"/>
  <c r="V27" i="8"/>
  <c r="V29" i="21" s="1"/>
  <c r="W27" i="8"/>
  <c r="W29" i="21" s="1"/>
  <c r="X27" i="8"/>
  <c r="X29" i="21" s="1"/>
  <c r="Y27" i="8"/>
  <c r="Y29" i="21" s="1"/>
  <c r="Z27" i="8"/>
  <c r="Z29" i="21" s="1"/>
  <c r="AA27" i="8"/>
  <c r="AA29" i="21" s="1"/>
  <c r="AB27" i="8"/>
  <c r="AB29" i="21" s="1"/>
  <c r="AC27" i="8"/>
  <c r="AC29" i="21" s="1"/>
  <c r="AD27" i="8"/>
  <c r="AD29" i="21" s="1"/>
  <c r="AE27" i="8"/>
  <c r="AE29" i="21" s="1"/>
  <c r="AF27" i="8"/>
  <c r="AF29" i="21" s="1"/>
  <c r="AG27" i="8"/>
  <c r="AG29" i="21" s="1"/>
  <c r="A28" i="8"/>
  <c r="A30" i="21" s="1"/>
  <c r="B28" i="8"/>
  <c r="B30" i="21" s="1"/>
  <c r="C28" i="8"/>
  <c r="C30" i="21" s="1"/>
  <c r="D28" i="8"/>
  <c r="D30" i="21" s="1"/>
  <c r="E28" i="8"/>
  <c r="E30" i="21" s="1"/>
  <c r="F28" i="8"/>
  <c r="F30" i="21" s="1"/>
  <c r="G28" i="8"/>
  <c r="G30" i="21" s="1"/>
  <c r="H28" i="8"/>
  <c r="H30" i="21" s="1"/>
  <c r="I28" i="8"/>
  <c r="I30" i="21" s="1"/>
  <c r="J28" i="8"/>
  <c r="J30" i="21" s="1"/>
  <c r="K28" i="8"/>
  <c r="K30" i="21" s="1"/>
  <c r="L28" i="8"/>
  <c r="L30" i="21" s="1"/>
  <c r="M28" i="8"/>
  <c r="M30" i="21" s="1"/>
  <c r="N28" i="8"/>
  <c r="N30" i="21" s="1"/>
  <c r="O28" i="8"/>
  <c r="O30" i="21" s="1"/>
  <c r="P28" i="8"/>
  <c r="P30" i="21" s="1"/>
  <c r="Q28" i="8"/>
  <c r="Q30" i="21" s="1"/>
  <c r="R28" i="8"/>
  <c r="R30" i="21" s="1"/>
  <c r="S28" i="8"/>
  <c r="S30" i="21" s="1"/>
  <c r="T28" i="8"/>
  <c r="T30" i="21" s="1"/>
  <c r="U28" i="8"/>
  <c r="U30" i="21" s="1"/>
  <c r="V28" i="8"/>
  <c r="V30" i="21" s="1"/>
  <c r="W28" i="8"/>
  <c r="W30" i="21" s="1"/>
  <c r="X28" i="8"/>
  <c r="X30" i="21" s="1"/>
  <c r="Y28" i="8"/>
  <c r="Y30" i="21" s="1"/>
  <c r="Z28" i="8"/>
  <c r="Z30" i="21" s="1"/>
  <c r="AA28" i="8"/>
  <c r="AA30" i="21" s="1"/>
  <c r="AB28" i="8"/>
  <c r="AB30" i="21" s="1"/>
  <c r="AC28" i="8"/>
  <c r="AC30" i="21" s="1"/>
  <c r="AD28" i="8"/>
  <c r="AD30" i="21" s="1"/>
  <c r="AE28" i="8"/>
  <c r="AE30" i="21" s="1"/>
  <c r="AF28" i="8"/>
  <c r="AG28" i="8"/>
  <c r="A29" i="8"/>
  <c r="A31" i="21" s="1"/>
  <c r="B29" i="8"/>
  <c r="B31" i="21" s="1"/>
  <c r="C29" i="8"/>
  <c r="C31" i="21" s="1"/>
  <c r="D29" i="8"/>
  <c r="D31" i="21" s="1"/>
  <c r="E29" i="8"/>
  <c r="E31" i="21" s="1"/>
  <c r="F29" i="8"/>
  <c r="F31" i="21" s="1"/>
  <c r="G29" i="8"/>
  <c r="G31" i="21" s="1"/>
  <c r="H29" i="8"/>
  <c r="H31" i="21" s="1"/>
  <c r="I29" i="8"/>
  <c r="I31" i="21" s="1"/>
  <c r="J29" i="8"/>
  <c r="J31" i="21" s="1"/>
  <c r="K29" i="8"/>
  <c r="K31" i="21" s="1"/>
  <c r="L29" i="8"/>
  <c r="L31" i="21" s="1"/>
  <c r="M29" i="8"/>
  <c r="M31" i="21" s="1"/>
  <c r="N29" i="8"/>
  <c r="N31" i="21" s="1"/>
  <c r="O29" i="8"/>
  <c r="O31" i="21" s="1"/>
  <c r="P29" i="8"/>
  <c r="P31" i="21" s="1"/>
  <c r="Q29" i="8"/>
  <c r="Q31" i="21" s="1"/>
  <c r="R29" i="8"/>
  <c r="R31" i="21" s="1"/>
  <c r="S29" i="8"/>
  <c r="S31" i="21" s="1"/>
  <c r="T29" i="8"/>
  <c r="T31" i="21" s="1"/>
  <c r="U29" i="8"/>
  <c r="U31" i="21" s="1"/>
  <c r="V29" i="8"/>
  <c r="V31" i="21" s="1"/>
  <c r="W29" i="8"/>
  <c r="W31" i="21" s="1"/>
  <c r="X29" i="8"/>
  <c r="X31" i="21" s="1"/>
  <c r="Y29" i="8"/>
  <c r="Y31" i="21" s="1"/>
  <c r="Z29" i="8"/>
  <c r="Z31" i="21" s="1"/>
  <c r="AA29" i="8"/>
  <c r="AA31" i="21" s="1"/>
  <c r="AB29" i="8"/>
  <c r="AB31" i="21" s="1"/>
  <c r="AC29" i="8"/>
  <c r="AC31" i="21" s="1"/>
  <c r="AD29" i="8"/>
  <c r="AD31" i="21" s="1"/>
  <c r="AE29" i="8"/>
  <c r="AE31" i="21" s="1"/>
  <c r="AF29" i="8"/>
  <c r="AF31" i="21" s="1"/>
  <c r="AG29" i="8"/>
  <c r="AG31" i="21" s="1"/>
  <c r="A30" i="8"/>
  <c r="A32" i="21" s="1"/>
  <c r="B30" i="8"/>
  <c r="B32" i="21" s="1"/>
  <c r="C30" i="8"/>
  <c r="C32" i="21" s="1"/>
  <c r="D30" i="8"/>
  <c r="D32" i="21" s="1"/>
  <c r="E30" i="8"/>
  <c r="E32" i="21" s="1"/>
  <c r="F30" i="8"/>
  <c r="F32" i="21" s="1"/>
  <c r="G30" i="8"/>
  <c r="G32" i="21" s="1"/>
  <c r="H30" i="8"/>
  <c r="H32" i="21" s="1"/>
  <c r="I30" i="8"/>
  <c r="I32" i="21" s="1"/>
  <c r="J30" i="8"/>
  <c r="J32" i="21" s="1"/>
  <c r="K30" i="8"/>
  <c r="K32" i="21" s="1"/>
  <c r="L30" i="8"/>
  <c r="L32" i="21" s="1"/>
  <c r="M30" i="8"/>
  <c r="M32" i="21" s="1"/>
  <c r="N30" i="8"/>
  <c r="N32" i="21" s="1"/>
  <c r="O30" i="8"/>
  <c r="O32" i="21" s="1"/>
  <c r="P30" i="8"/>
  <c r="P32" i="21" s="1"/>
  <c r="Q30" i="8"/>
  <c r="Q32" i="21" s="1"/>
  <c r="R30" i="8"/>
  <c r="R32" i="21" s="1"/>
  <c r="S30" i="8"/>
  <c r="S32" i="21" s="1"/>
  <c r="T30" i="8"/>
  <c r="T32" i="21" s="1"/>
  <c r="U30" i="8"/>
  <c r="U32" i="21" s="1"/>
  <c r="V30" i="8"/>
  <c r="V32" i="21" s="1"/>
  <c r="W30" i="8"/>
  <c r="W32" i="21" s="1"/>
  <c r="X30" i="8"/>
  <c r="X32" i="21" s="1"/>
  <c r="Y30" i="8"/>
  <c r="Y32" i="21" s="1"/>
  <c r="Z30" i="8"/>
  <c r="Z32" i="21" s="1"/>
  <c r="AA30" i="8"/>
  <c r="AA32" i="21" s="1"/>
  <c r="AB30" i="8"/>
  <c r="AB32" i="21" s="1"/>
  <c r="AC30" i="8"/>
  <c r="AC32" i="21" s="1"/>
  <c r="AD30" i="8"/>
  <c r="AD32" i="21" s="1"/>
  <c r="AE30" i="8"/>
  <c r="AE32" i="21" s="1"/>
  <c r="AF30" i="8"/>
  <c r="AF32" i="21" s="1"/>
  <c r="AG30" i="8"/>
  <c r="AG32" i="21" s="1"/>
  <c r="A31" i="8"/>
  <c r="A33" i="21" s="1"/>
  <c r="B31" i="8"/>
  <c r="B33" i="21" s="1"/>
  <c r="C31" i="8"/>
  <c r="C33" i="21" s="1"/>
  <c r="D31" i="8"/>
  <c r="D33" i="21" s="1"/>
  <c r="E31" i="8"/>
  <c r="E33" i="21" s="1"/>
  <c r="F31" i="8"/>
  <c r="F33" i="21" s="1"/>
  <c r="G31" i="8"/>
  <c r="G33" i="21" s="1"/>
  <c r="H31" i="8"/>
  <c r="H33" i="21" s="1"/>
  <c r="I31" i="8"/>
  <c r="I33" i="21" s="1"/>
  <c r="J31" i="8"/>
  <c r="J33" i="21" s="1"/>
  <c r="K31" i="8"/>
  <c r="K33" i="21" s="1"/>
  <c r="L31" i="8"/>
  <c r="L33" i="21" s="1"/>
  <c r="M31" i="8"/>
  <c r="M33" i="21" s="1"/>
  <c r="N31" i="8"/>
  <c r="N33" i="21" s="1"/>
  <c r="O31" i="8"/>
  <c r="O33" i="21" s="1"/>
  <c r="P31" i="8"/>
  <c r="P33" i="21" s="1"/>
  <c r="Q31" i="8"/>
  <c r="Q33" i="21" s="1"/>
  <c r="R31" i="8"/>
  <c r="R33" i="21" s="1"/>
  <c r="S31" i="8"/>
  <c r="S33" i="21" s="1"/>
  <c r="T31" i="8"/>
  <c r="T33" i="21" s="1"/>
  <c r="U31" i="8"/>
  <c r="U33" i="21" s="1"/>
  <c r="V31" i="8"/>
  <c r="V33" i="21" s="1"/>
  <c r="W31" i="8"/>
  <c r="W33" i="21" s="1"/>
  <c r="X31" i="8"/>
  <c r="X33" i="21" s="1"/>
  <c r="Y31" i="8"/>
  <c r="Y33" i="21" s="1"/>
  <c r="Z31" i="8"/>
  <c r="Z33" i="21" s="1"/>
  <c r="AA31" i="8"/>
  <c r="AA33" i="21" s="1"/>
  <c r="AB31" i="8"/>
  <c r="AB33" i="21" s="1"/>
  <c r="AC31" i="8"/>
  <c r="AC33" i="21" s="1"/>
  <c r="AD31" i="8"/>
  <c r="AD33" i="21" s="1"/>
  <c r="AE31" i="8"/>
  <c r="AE33" i="21" s="1"/>
  <c r="AF31" i="8"/>
  <c r="AF33" i="21" s="1"/>
  <c r="AG31" i="8"/>
  <c r="AG33" i="21" s="1"/>
  <c r="A32" i="8"/>
  <c r="A34" i="21" s="1"/>
  <c r="B32" i="8"/>
  <c r="B34" i="21" s="1"/>
  <c r="C32" i="8"/>
  <c r="C34" i="21" s="1"/>
  <c r="D32" i="8"/>
  <c r="D34" i="21" s="1"/>
  <c r="E32" i="8"/>
  <c r="E34" i="21" s="1"/>
  <c r="F32" i="8"/>
  <c r="F34" i="21" s="1"/>
  <c r="G32" i="8"/>
  <c r="G34" i="21" s="1"/>
  <c r="H32" i="8"/>
  <c r="H34" i="21" s="1"/>
  <c r="I32" i="8"/>
  <c r="I34" i="21" s="1"/>
  <c r="J32" i="8"/>
  <c r="J34" i="21" s="1"/>
  <c r="K32" i="8"/>
  <c r="K34" i="21" s="1"/>
  <c r="L32" i="8"/>
  <c r="L34" i="21" s="1"/>
  <c r="M32" i="8"/>
  <c r="M34" i="21" s="1"/>
  <c r="N32" i="8"/>
  <c r="N34" i="21" s="1"/>
  <c r="O32" i="8"/>
  <c r="O34" i="21" s="1"/>
  <c r="P32" i="8"/>
  <c r="P34" i="21" s="1"/>
  <c r="Q32" i="8"/>
  <c r="Q34" i="21" s="1"/>
  <c r="R32" i="8"/>
  <c r="R34" i="21" s="1"/>
  <c r="S32" i="8"/>
  <c r="S34" i="21" s="1"/>
  <c r="T32" i="8"/>
  <c r="T34" i="21" s="1"/>
  <c r="U32" i="8"/>
  <c r="U34" i="21" s="1"/>
  <c r="V32" i="8"/>
  <c r="V34" i="21" s="1"/>
  <c r="W32" i="8"/>
  <c r="W34" i="21" s="1"/>
  <c r="X32" i="8"/>
  <c r="X34" i="21" s="1"/>
  <c r="Y32" i="8"/>
  <c r="Y34" i="21" s="1"/>
  <c r="Z32" i="8"/>
  <c r="Z34" i="21" s="1"/>
  <c r="AA32" i="8"/>
  <c r="AA34" i="21" s="1"/>
  <c r="AB32" i="8"/>
  <c r="AB34" i="21" s="1"/>
  <c r="AC32" i="8"/>
  <c r="AC34" i="21" s="1"/>
  <c r="AD32" i="8"/>
  <c r="AD34" i="21" s="1"/>
  <c r="AE32" i="8"/>
  <c r="AE34" i="21" s="1"/>
  <c r="AF32" i="8"/>
  <c r="AF34" i="21" s="1"/>
  <c r="AG32" i="8"/>
  <c r="AG34" i="21" s="1"/>
  <c r="A33" i="8"/>
  <c r="A35" i="21" s="1"/>
  <c r="B33" i="8"/>
  <c r="B35" i="21" s="1"/>
  <c r="C33" i="8"/>
  <c r="C35" i="21" s="1"/>
  <c r="D33" i="8"/>
  <c r="D35" i="21" s="1"/>
  <c r="E33" i="8"/>
  <c r="E35" i="21" s="1"/>
  <c r="F33" i="8"/>
  <c r="F35" i="21" s="1"/>
  <c r="G33" i="8"/>
  <c r="G35" i="21" s="1"/>
  <c r="H33" i="8"/>
  <c r="H35" i="21" s="1"/>
  <c r="I33" i="8"/>
  <c r="I35" i="21" s="1"/>
  <c r="J33" i="8"/>
  <c r="J35" i="21" s="1"/>
  <c r="K33" i="8"/>
  <c r="K35" i="21" s="1"/>
  <c r="L33" i="8"/>
  <c r="L35" i="21" s="1"/>
  <c r="M33" i="8"/>
  <c r="M35" i="21" s="1"/>
  <c r="N33" i="8"/>
  <c r="N35" i="21" s="1"/>
  <c r="O33" i="8"/>
  <c r="O35" i="21" s="1"/>
  <c r="P33" i="8"/>
  <c r="P35" i="21" s="1"/>
  <c r="Q33" i="8"/>
  <c r="Q35" i="21" s="1"/>
  <c r="R33" i="8"/>
  <c r="R35" i="21" s="1"/>
  <c r="S33" i="8"/>
  <c r="S35" i="21" s="1"/>
  <c r="T33" i="8"/>
  <c r="T35" i="21" s="1"/>
  <c r="U33" i="8"/>
  <c r="U35" i="21" s="1"/>
  <c r="V33" i="8"/>
  <c r="V35" i="21" s="1"/>
  <c r="W33" i="8"/>
  <c r="W35" i="21" s="1"/>
  <c r="X33" i="8"/>
  <c r="X35" i="21" s="1"/>
  <c r="Y33" i="8"/>
  <c r="Y35" i="21" s="1"/>
  <c r="Z33" i="8"/>
  <c r="Z35" i="21" s="1"/>
  <c r="AA33" i="8"/>
  <c r="AA35" i="21" s="1"/>
  <c r="AB33" i="8"/>
  <c r="AB35" i="21" s="1"/>
  <c r="AC33" i="8"/>
  <c r="AC35" i="21" s="1"/>
  <c r="AD33" i="8"/>
  <c r="AD35" i="21" s="1"/>
  <c r="AE33" i="8"/>
  <c r="AE35" i="21" s="1"/>
  <c r="AF33" i="8"/>
  <c r="AF35" i="21" s="1"/>
  <c r="AG33" i="8"/>
  <c r="AG35" i="21" s="1"/>
  <c r="A34" i="8"/>
  <c r="A36" i="21" s="1"/>
  <c r="B34" i="8"/>
  <c r="B36" i="21" s="1"/>
  <c r="C34" i="8"/>
  <c r="C36" i="21" s="1"/>
  <c r="D34" i="8"/>
  <c r="D36" i="21" s="1"/>
  <c r="E34" i="8"/>
  <c r="E36" i="21" s="1"/>
  <c r="F34" i="8"/>
  <c r="F36" i="21" s="1"/>
  <c r="G34" i="8"/>
  <c r="G36" i="21" s="1"/>
  <c r="H34" i="8"/>
  <c r="H36" i="21" s="1"/>
  <c r="I34" i="8"/>
  <c r="I36" i="21" s="1"/>
  <c r="J34" i="8"/>
  <c r="J36" i="21" s="1"/>
  <c r="K34" i="8"/>
  <c r="K36" i="21" s="1"/>
  <c r="L34" i="8"/>
  <c r="L36" i="21" s="1"/>
  <c r="M34" i="8"/>
  <c r="M36" i="21" s="1"/>
  <c r="N34" i="8"/>
  <c r="N36" i="21" s="1"/>
  <c r="O34" i="8"/>
  <c r="O36" i="21" s="1"/>
  <c r="P34" i="8"/>
  <c r="P36" i="21" s="1"/>
  <c r="Q34" i="8"/>
  <c r="Q36" i="21" s="1"/>
  <c r="R34" i="8"/>
  <c r="R36" i="21" s="1"/>
  <c r="S34" i="8"/>
  <c r="S36" i="21" s="1"/>
  <c r="T34" i="8"/>
  <c r="T36" i="21" s="1"/>
  <c r="U34" i="8"/>
  <c r="U36" i="21" s="1"/>
  <c r="V34" i="8"/>
  <c r="V36" i="21" s="1"/>
  <c r="W34" i="8"/>
  <c r="W36" i="21" s="1"/>
  <c r="X34" i="8"/>
  <c r="X36" i="21" s="1"/>
  <c r="Y34" i="8"/>
  <c r="Y36" i="21" s="1"/>
  <c r="Z34" i="8"/>
  <c r="Z36" i="21" s="1"/>
  <c r="AA34" i="8"/>
  <c r="AA36" i="21" s="1"/>
  <c r="AB34" i="8"/>
  <c r="AB36" i="21" s="1"/>
  <c r="AC34" i="8"/>
  <c r="AC36" i="21" s="1"/>
  <c r="AD34" i="8"/>
  <c r="AD36" i="21" s="1"/>
  <c r="AE34" i="8"/>
  <c r="AE36" i="21" s="1"/>
  <c r="AF34" i="8"/>
  <c r="AF36" i="21" s="1"/>
  <c r="AG34" i="8"/>
  <c r="AG36" i="21" s="1"/>
  <c r="A35" i="8"/>
  <c r="A37" i="21" s="1"/>
  <c r="B35" i="8"/>
  <c r="B37" i="21" s="1"/>
  <c r="C35" i="8"/>
  <c r="C37" i="21" s="1"/>
  <c r="D35" i="8"/>
  <c r="D37" i="21" s="1"/>
  <c r="E35" i="8"/>
  <c r="E37" i="21" s="1"/>
  <c r="F35" i="8"/>
  <c r="F37" i="21" s="1"/>
  <c r="G35" i="8"/>
  <c r="G37" i="21" s="1"/>
  <c r="H35" i="8"/>
  <c r="H37" i="21" s="1"/>
  <c r="I35" i="8"/>
  <c r="I37" i="21" s="1"/>
  <c r="J35" i="8"/>
  <c r="J37" i="21" s="1"/>
  <c r="K35" i="8"/>
  <c r="K37" i="21" s="1"/>
  <c r="L35" i="8"/>
  <c r="L37" i="21" s="1"/>
  <c r="M35" i="8"/>
  <c r="M37" i="21" s="1"/>
  <c r="N35" i="8"/>
  <c r="N37" i="21" s="1"/>
  <c r="O35" i="8"/>
  <c r="O37" i="21" s="1"/>
  <c r="P35" i="8"/>
  <c r="P37" i="21" s="1"/>
  <c r="Q35" i="8"/>
  <c r="Q37" i="21" s="1"/>
  <c r="R35" i="8"/>
  <c r="R37" i="21" s="1"/>
  <c r="S35" i="8"/>
  <c r="S37" i="21" s="1"/>
  <c r="T35" i="8"/>
  <c r="T37" i="21" s="1"/>
  <c r="U35" i="8"/>
  <c r="U37" i="21" s="1"/>
  <c r="V35" i="8"/>
  <c r="V37" i="21" s="1"/>
  <c r="W35" i="8"/>
  <c r="W37" i="21" s="1"/>
  <c r="X35" i="8"/>
  <c r="X37" i="21" s="1"/>
  <c r="Y35" i="8"/>
  <c r="Y37" i="21" s="1"/>
  <c r="Z35" i="8"/>
  <c r="Z37" i="21" s="1"/>
  <c r="AA35" i="8"/>
  <c r="AA37" i="21" s="1"/>
  <c r="AB35" i="8"/>
  <c r="AB37" i="21" s="1"/>
  <c r="AC35" i="8"/>
  <c r="AC37" i="21" s="1"/>
  <c r="AD35" i="8"/>
  <c r="AD37" i="21" s="1"/>
  <c r="AE35" i="8"/>
  <c r="AE37" i="21" s="1"/>
  <c r="AF35" i="8"/>
  <c r="AF37" i="21" s="1"/>
  <c r="AG35" i="8"/>
  <c r="AG37" i="21" s="1"/>
  <c r="A36" i="8"/>
  <c r="A38" i="21" s="1"/>
  <c r="B36" i="8"/>
  <c r="B38" i="21" s="1"/>
  <c r="C36" i="8"/>
  <c r="C38" i="21" s="1"/>
  <c r="D36" i="8"/>
  <c r="D38" i="21" s="1"/>
  <c r="E36" i="8"/>
  <c r="E38" i="21" s="1"/>
  <c r="F36" i="8"/>
  <c r="F38" i="21" s="1"/>
  <c r="G36" i="8"/>
  <c r="G38" i="21" s="1"/>
  <c r="H36" i="8"/>
  <c r="H38" i="21" s="1"/>
  <c r="I36" i="8"/>
  <c r="I38" i="21" s="1"/>
  <c r="J36" i="8"/>
  <c r="J38" i="21" s="1"/>
  <c r="K36" i="8"/>
  <c r="K38" i="21" s="1"/>
  <c r="L36" i="8"/>
  <c r="L38" i="21" s="1"/>
  <c r="M36" i="8"/>
  <c r="M38" i="21" s="1"/>
  <c r="N36" i="8"/>
  <c r="N38" i="21" s="1"/>
  <c r="O36" i="8"/>
  <c r="O38" i="21" s="1"/>
  <c r="P36" i="8"/>
  <c r="P38" i="21" s="1"/>
  <c r="Q36" i="8"/>
  <c r="Q38" i="21" s="1"/>
  <c r="R36" i="8"/>
  <c r="R38" i="21" s="1"/>
  <c r="S36" i="8"/>
  <c r="S38" i="21" s="1"/>
  <c r="T36" i="8"/>
  <c r="T38" i="21" s="1"/>
  <c r="U36" i="8"/>
  <c r="U38" i="21" s="1"/>
  <c r="V36" i="8"/>
  <c r="V38" i="21" s="1"/>
  <c r="W36" i="8"/>
  <c r="W38" i="21" s="1"/>
  <c r="X36" i="8"/>
  <c r="X38" i="21" s="1"/>
  <c r="Y36" i="8"/>
  <c r="Y38" i="21" s="1"/>
  <c r="Z36" i="8"/>
  <c r="Z38" i="21" s="1"/>
  <c r="AA36" i="8"/>
  <c r="AA38" i="21" s="1"/>
  <c r="AB36" i="8"/>
  <c r="AB38" i="21" s="1"/>
  <c r="AC36" i="8"/>
  <c r="AC38" i="21" s="1"/>
  <c r="AD36" i="8"/>
  <c r="AD38" i="21" s="1"/>
  <c r="AE36" i="8"/>
  <c r="AE38" i="21" s="1"/>
  <c r="AF36" i="8"/>
  <c r="AF38" i="21" s="1"/>
  <c r="AG36" i="8"/>
  <c r="AG38" i="21" s="1"/>
  <c r="A37" i="8"/>
  <c r="A39" i="21" s="1"/>
  <c r="B37" i="8"/>
  <c r="B39" i="21" s="1"/>
  <c r="C37" i="8"/>
  <c r="C39" i="21" s="1"/>
  <c r="D37" i="8"/>
  <c r="D39" i="21" s="1"/>
  <c r="E37" i="8"/>
  <c r="E39" i="21" s="1"/>
  <c r="F37" i="8"/>
  <c r="F39" i="21" s="1"/>
  <c r="G37" i="8"/>
  <c r="G39" i="21" s="1"/>
  <c r="H37" i="8"/>
  <c r="H39" i="21" s="1"/>
  <c r="I37" i="8"/>
  <c r="I39" i="21" s="1"/>
  <c r="J37" i="8"/>
  <c r="J39" i="21" s="1"/>
  <c r="K37" i="8"/>
  <c r="K39" i="21" s="1"/>
  <c r="L37" i="8"/>
  <c r="L39" i="21" s="1"/>
  <c r="M37" i="8"/>
  <c r="M39" i="21" s="1"/>
  <c r="N37" i="8"/>
  <c r="N39" i="21" s="1"/>
  <c r="O37" i="8"/>
  <c r="O39" i="21" s="1"/>
  <c r="P37" i="8"/>
  <c r="P39" i="21" s="1"/>
  <c r="Q37" i="8"/>
  <c r="Q39" i="21" s="1"/>
  <c r="R37" i="8"/>
  <c r="R39" i="21" s="1"/>
  <c r="S37" i="8"/>
  <c r="S39" i="21" s="1"/>
  <c r="T37" i="8"/>
  <c r="T39" i="21" s="1"/>
  <c r="U37" i="8"/>
  <c r="U39" i="21" s="1"/>
  <c r="V37" i="8"/>
  <c r="V39" i="21" s="1"/>
  <c r="W37" i="8"/>
  <c r="W39" i="21" s="1"/>
  <c r="X37" i="8"/>
  <c r="X39" i="21" s="1"/>
  <c r="Y37" i="8"/>
  <c r="Y39" i="21" s="1"/>
  <c r="Z37" i="8"/>
  <c r="Z39" i="21" s="1"/>
  <c r="AA37" i="8"/>
  <c r="AA39" i="21" s="1"/>
  <c r="AB37" i="8"/>
  <c r="AB39" i="21" s="1"/>
  <c r="AC37" i="8"/>
  <c r="AC39" i="21" s="1"/>
  <c r="AD37" i="8"/>
  <c r="AD39" i="21" s="1"/>
  <c r="AE37" i="8"/>
  <c r="AE39" i="21" s="1"/>
  <c r="AF37" i="8"/>
  <c r="AF39" i="21" s="1"/>
  <c r="AG37" i="8"/>
  <c r="AG39" i="21" s="1"/>
  <c r="A38" i="8"/>
  <c r="A40" i="21" s="1"/>
  <c r="B38" i="8"/>
  <c r="B40" i="21" s="1"/>
  <c r="C38" i="8"/>
  <c r="C40" i="21" s="1"/>
  <c r="D38" i="8"/>
  <c r="D40" i="21" s="1"/>
  <c r="E38" i="8"/>
  <c r="E40" i="21" s="1"/>
  <c r="F38" i="8"/>
  <c r="F40" i="21" s="1"/>
  <c r="G38" i="8"/>
  <c r="G40" i="21" s="1"/>
  <c r="H38" i="8"/>
  <c r="H40" i="21" s="1"/>
  <c r="I38" i="8"/>
  <c r="I40" i="21" s="1"/>
  <c r="J38" i="8"/>
  <c r="J40" i="21" s="1"/>
  <c r="K38" i="8"/>
  <c r="K40" i="21" s="1"/>
  <c r="L38" i="8"/>
  <c r="L40" i="21" s="1"/>
  <c r="M38" i="8"/>
  <c r="M40" i="21" s="1"/>
  <c r="N38" i="8"/>
  <c r="N40" i="21" s="1"/>
  <c r="O38" i="8"/>
  <c r="O40" i="21" s="1"/>
  <c r="P38" i="8"/>
  <c r="P40" i="21" s="1"/>
  <c r="Q38" i="8"/>
  <c r="Q40" i="21" s="1"/>
  <c r="R38" i="8"/>
  <c r="R40" i="21" s="1"/>
  <c r="S38" i="8"/>
  <c r="S40" i="21" s="1"/>
  <c r="T38" i="8"/>
  <c r="T40" i="21" s="1"/>
  <c r="U38" i="8"/>
  <c r="U40" i="21" s="1"/>
  <c r="V38" i="8"/>
  <c r="V40" i="21" s="1"/>
  <c r="W38" i="8"/>
  <c r="W40" i="21" s="1"/>
  <c r="X38" i="8"/>
  <c r="X40" i="21" s="1"/>
  <c r="Y38" i="8"/>
  <c r="Y40" i="21" s="1"/>
  <c r="Z38" i="8"/>
  <c r="Z40" i="21" s="1"/>
  <c r="AA38" i="8"/>
  <c r="AA40" i="21" s="1"/>
  <c r="AB38" i="8"/>
  <c r="AB40" i="21" s="1"/>
  <c r="AC38" i="8"/>
  <c r="AC40" i="21" s="1"/>
  <c r="AD38" i="8"/>
  <c r="AD40" i="21" s="1"/>
  <c r="AE38" i="8"/>
  <c r="AE40" i="21" s="1"/>
  <c r="AF38" i="8"/>
  <c r="AF40" i="21" s="1"/>
  <c r="AG38" i="8"/>
  <c r="AG40" i="21" s="1"/>
  <c r="A39" i="8"/>
  <c r="A41" i="21" s="1"/>
  <c r="B39" i="8"/>
  <c r="B41" i="21" s="1"/>
  <c r="C39" i="8"/>
  <c r="C41" i="21" s="1"/>
  <c r="D39" i="8"/>
  <c r="D41" i="21" s="1"/>
  <c r="E39" i="8"/>
  <c r="E41" i="21" s="1"/>
  <c r="F39" i="8"/>
  <c r="F41" i="21" s="1"/>
  <c r="G39" i="8"/>
  <c r="G41" i="21" s="1"/>
  <c r="H39" i="8"/>
  <c r="H41" i="21" s="1"/>
  <c r="I39" i="8"/>
  <c r="I41" i="21" s="1"/>
  <c r="J39" i="8"/>
  <c r="J41" i="21" s="1"/>
  <c r="K39" i="8"/>
  <c r="K41" i="21" s="1"/>
  <c r="L39" i="8"/>
  <c r="L41" i="21" s="1"/>
  <c r="M39" i="8"/>
  <c r="M41" i="21" s="1"/>
  <c r="N39" i="8"/>
  <c r="N41" i="21" s="1"/>
  <c r="O39" i="8"/>
  <c r="O41" i="21" s="1"/>
  <c r="P39" i="8"/>
  <c r="P41" i="21" s="1"/>
  <c r="Q39" i="8"/>
  <c r="Q41" i="21" s="1"/>
  <c r="R39" i="8"/>
  <c r="R41" i="21" s="1"/>
  <c r="S39" i="8"/>
  <c r="S41" i="21" s="1"/>
  <c r="T39" i="8"/>
  <c r="T41" i="21" s="1"/>
  <c r="U39" i="8"/>
  <c r="U41" i="21" s="1"/>
  <c r="V39" i="8"/>
  <c r="V41" i="21" s="1"/>
  <c r="W39" i="8"/>
  <c r="W41" i="21" s="1"/>
  <c r="X39" i="8"/>
  <c r="X41" i="21" s="1"/>
  <c r="Y39" i="8"/>
  <c r="Y41" i="21" s="1"/>
  <c r="Z39" i="8"/>
  <c r="Z41" i="21" s="1"/>
  <c r="AA39" i="8"/>
  <c r="AA41" i="21" s="1"/>
  <c r="AB39" i="8"/>
  <c r="AB41" i="21" s="1"/>
  <c r="AC39" i="8"/>
  <c r="AC41" i="21" s="1"/>
  <c r="AD39" i="8"/>
  <c r="AD41" i="21" s="1"/>
  <c r="AE39" i="8"/>
  <c r="AE41" i="21" s="1"/>
  <c r="AF39" i="8"/>
  <c r="AF41" i="21" s="1"/>
  <c r="AG39" i="8"/>
  <c r="AG41" i="21" s="1"/>
  <c r="A40" i="8"/>
  <c r="A42" i="21" s="1"/>
  <c r="B40" i="8"/>
  <c r="B42" i="21" s="1"/>
  <c r="C40" i="8"/>
  <c r="C42" i="21" s="1"/>
  <c r="D40" i="8"/>
  <c r="D42" i="21" s="1"/>
  <c r="E40" i="8"/>
  <c r="E42" i="21" s="1"/>
  <c r="F40" i="8"/>
  <c r="F42" i="21" s="1"/>
  <c r="G40" i="8"/>
  <c r="G42" i="21" s="1"/>
  <c r="H40" i="8"/>
  <c r="H42" i="21" s="1"/>
  <c r="I40" i="8"/>
  <c r="I42" i="21" s="1"/>
  <c r="J40" i="8"/>
  <c r="J42" i="21" s="1"/>
  <c r="K40" i="8"/>
  <c r="K42" i="21" s="1"/>
  <c r="L40" i="8"/>
  <c r="L42" i="21" s="1"/>
  <c r="M40" i="8"/>
  <c r="M42" i="21" s="1"/>
  <c r="N40" i="8"/>
  <c r="N42" i="21" s="1"/>
  <c r="O40" i="8"/>
  <c r="O42" i="21" s="1"/>
  <c r="P40" i="8"/>
  <c r="P42" i="21" s="1"/>
  <c r="Q40" i="8"/>
  <c r="Q42" i="21" s="1"/>
  <c r="R40" i="8"/>
  <c r="R42" i="21" s="1"/>
  <c r="S40" i="8"/>
  <c r="S42" i="21" s="1"/>
  <c r="T40" i="8"/>
  <c r="T42" i="21" s="1"/>
  <c r="U40" i="8"/>
  <c r="U42" i="21" s="1"/>
  <c r="V40" i="8"/>
  <c r="V42" i="21" s="1"/>
  <c r="W40" i="8"/>
  <c r="W42" i="21" s="1"/>
  <c r="X40" i="8"/>
  <c r="X42" i="21" s="1"/>
  <c r="Y40" i="8"/>
  <c r="Y42" i="21" s="1"/>
  <c r="Z40" i="8"/>
  <c r="Z42" i="21" s="1"/>
  <c r="AA40" i="8"/>
  <c r="AA42" i="21" s="1"/>
  <c r="AB40" i="8"/>
  <c r="AB42" i="21" s="1"/>
  <c r="AC40" i="8"/>
  <c r="AC42" i="21" s="1"/>
  <c r="AD40" i="8"/>
  <c r="AD42" i="21" s="1"/>
  <c r="AE40" i="8"/>
  <c r="AE42" i="21" s="1"/>
  <c r="AF40" i="8"/>
  <c r="AF42" i="21" s="1"/>
  <c r="AG40" i="8"/>
  <c r="AG42" i="21" s="1"/>
  <c r="A41" i="8"/>
  <c r="A43" i="21" s="1"/>
  <c r="B41" i="8"/>
  <c r="B43" i="21" s="1"/>
  <c r="C41" i="8"/>
  <c r="C43" i="21" s="1"/>
  <c r="D41" i="8"/>
  <c r="D43" i="21" s="1"/>
  <c r="E41" i="8"/>
  <c r="E43" i="21" s="1"/>
  <c r="F41" i="8"/>
  <c r="F43" i="21" s="1"/>
  <c r="G41" i="8"/>
  <c r="G43" i="21" s="1"/>
  <c r="H41" i="8"/>
  <c r="H43" i="21" s="1"/>
  <c r="I41" i="8"/>
  <c r="I43" i="21" s="1"/>
  <c r="J41" i="8"/>
  <c r="J43" i="21" s="1"/>
  <c r="K41" i="8"/>
  <c r="K43" i="21" s="1"/>
  <c r="L41" i="8"/>
  <c r="L43" i="21" s="1"/>
  <c r="M41" i="8"/>
  <c r="M43" i="21" s="1"/>
  <c r="N41" i="8"/>
  <c r="N43" i="21" s="1"/>
  <c r="O41" i="8"/>
  <c r="O43" i="21" s="1"/>
  <c r="P41" i="8"/>
  <c r="P43" i="21" s="1"/>
  <c r="Q41" i="8"/>
  <c r="Q43" i="21" s="1"/>
  <c r="R41" i="8"/>
  <c r="R43" i="21" s="1"/>
  <c r="S41" i="8"/>
  <c r="S43" i="21" s="1"/>
  <c r="T41" i="8"/>
  <c r="T43" i="21" s="1"/>
  <c r="U41" i="8"/>
  <c r="U43" i="21" s="1"/>
  <c r="V41" i="8"/>
  <c r="V43" i="21" s="1"/>
  <c r="W41" i="8"/>
  <c r="W43" i="21" s="1"/>
  <c r="X41" i="8"/>
  <c r="X43" i="21" s="1"/>
  <c r="Y41" i="8"/>
  <c r="Y43" i="21" s="1"/>
  <c r="Z41" i="8"/>
  <c r="Z43" i="21" s="1"/>
  <c r="AA41" i="8"/>
  <c r="AA43" i="21" s="1"/>
  <c r="AB41" i="8"/>
  <c r="AB43" i="21" s="1"/>
  <c r="AC41" i="8"/>
  <c r="AC43" i="21" s="1"/>
  <c r="AD41" i="8"/>
  <c r="AD43" i="21" s="1"/>
  <c r="AE41" i="8"/>
  <c r="AE43" i="21" s="1"/>
  <c r="AF41" i="8"/>
  <c r="AF43" i="21" s="1"/>
  <c r="AG41" i="8"/>
  <c r="AG43" i="21" s="1"/>
  <c r="A42" i="8"/>
  <c r="A44" i="21" s="1"/>
  <c r="B42" i="8"/>
  <c r="B44" i="21" s="1"/>
  <c r="C42" i="8"/>
  <c r="C44" i="21" s="1"/>
  <c r="D42" i="8"/>
  <c r="D44" i="21" s="1"/>
  <c r="E42" i="8"/>
  <c r="E44" i="21" s="1"/>
  <c r="F42" i="8"/>
  <c r="F44" i="21" s="1"/>
  <c r="G42" i="8"/>
  <c r="G44" i="21" s="1"/>
  <c r="H42" i="8"/>
  <c r="H44" i="21" s="1"/>
  <c r="I42" i="8"/>
  <c r="I44" i="21" s="1"/>
  <c r="J42" i="8"/>
  <c r="J44" i="21" s="1"/>
  <c r="K42" i="8"/>
  <c r="K44" i="21" s="1"/>
  <c r="L42" i="8"/>
  <c r="L44" i="21" s="1"/>
  <c r="M42" i="8"/>
  <c r="M44" i="21" s="1"/>
  <c r="N42" i="8"/>
  <c r="N44" i="21" s="1"/>
  <c r="O42" i="8"/>
  <c r="O44" i="21" s="1"/>
  <c r="P42" i="8"/>
  <c r="P44" i="21" s="1"/>
  <c r="Q42" i="8"/>
  <c r="Q44" i="21" s="1"/>
  <c r="R42" i="8"/>
  <c r="R44" i="21" s="1"/>
  <c r="S42" i="8"/>
  <c r="S44" i="21" s="1"/>
  <c r="T42" i="8"/>
  <c r="T44" i="21" s="1"/>
  <c r="U42" i="8"/>
  <c r="U44" i="21" s="1"/>
  <c r="V42" i="8"/>
  <c r="V44" i="21" s="1"/>
  <c r="W42" i="8"/>
  <c r="W44" i="21" s="1"/>
  <c r="X42" i="8"/>
  <c r="X44" i="21" s="1"/>
  <c r="Y42" i="8"/>
  <c r="Y44" i="21" s="1"/>
  <c r="Z42" i="8"/>
  <c r="Z44" i="21" s="1"/>
  <c r="AA42" i="8"/>
  <c r="AA44" i="21" s="1"/>
  <c r="AB42" i="8"/>
  <c r="AB44" i="21" s="1"/>
  <c r="AC42" i="8"/>
  <c r="AC44" i="21" s="1"/>
  <c r="AD42" i="8"/>
  <c r="AD44" i="21" s="1"/>
  <c r="AE42" i="8"/>
  <c r="AE44" i="21" s="1"/>
  <c r="AF42" i="8"/>
  <c r="AF44" i="21" s="1"/>
  <c r="AG42" i="8"/>
  <c r="AG44" i="21" s="1"/>
  <c r="A43" i="8"/>
  <c r="A45" i="21" s="1"/>
  <c r="B43" i="8"/>
  <c r="B45" i="21" s="1"/>
  <c r="C43" i="8"/>
  <c r="C45" i="21" s="1"/>
  <c r="D43" i="8"/>
  <c r="D45" i="21" s="1"/>
  <c r="E43" i="8"/>
  <c r="E45" i="21" s="1"/>
  <c r="F43" i="8"/>
  <c r="F45" i="21" s="1"/>
  <c r="G43" i="8"/>
  <c r="G45" i="21" s="1"/>
  <c r="H43" i="8"/>
  <c r="H45" i="21" s="1"/>
  <c r="I43" i="8"/>
  <c r="I45" i="21" s="1"/>
  <c r="J43" i="8"/>
  <c r="J45" i="21" s="1"/>
  <c r="K43" i="8"/>
  <c r="K45" i="21" s="1"/>
  <c r="L43" i="8"/>
  <c r="L45" i="21" s="1"/>
  <c r="M43" i="8"/>
  <c r="M45" i="21" s="1"/>
  <c r="N43" i="8"/>
  <c r="N45" i="21" s="1"/>
  <c r="O43" i="8"/>
  <c r="O45" i="21" s="1"/>
  <c r="P43" i="8"/>
  <c r="P45" i="21" s="1"/>
  <c r="Q43" i="8"/>
  <c r="Q45" i="21" s="1"/>
  <c r="R43" i="8"/>
  <c r="R45" i="21" s="1"/>
  <c r="S43" i="8"/>
  <c r="S45" i="21" s="1"/>
  <c r="T43" i="8"/>
  <c r="T45" i="21" s="1"/>
  <c r="U43" i="8"/>
  <c r="U45" i="21" s="1"/>
  <c r="V43" i="8"/>
  <c r="V45" i="21" s="1"/>
  <c r="W43" i="8"/>
  <c r="W45" i="21" s="1"/>
  <c r="X43" i="8"/>
  <c r="X45" i="21" s="1"/>
  <c r="Y43" i="8"/>
  <c r="Y45" i="21" s="1"/>
  <c r="Z43" i="8"/>
  <c r="Z45" i="21" s="1"/>
  <c r="AA43" i="8"/>
  <c r="AA45" i="21" s="1"/>
  <c r="AB43" i="8"/>
  <c r="AB45" i="21" s="1"/>
  <c r="AC43" i="8"/>
  <c r="AC45" i="21" s="1"/>
  <c r="AD43" i="8"/>
  <c r="AD45" i="21" s="1"/>
  <c r="AE43" i="8"/>
  <c r="AE45" i="21" s="1"/>
  <c r="AF43" i="8"/>
  <c r="AF45" i="21" s="1"/>
  <c r="AG43" i="8"/>
  <c r="AG45" i="21" s="1"/>
  <c r="A44" i="8"/>
  <c r="A46" i="21" s="1"/>
  <c r="B44" i="8"/>
  <c r="B46" i="21" s="1"/>
  <c r="C44" i="8"/>
  <c r="C46" i="21" s="1"/>
  <c r="D44" i="8"/>
  <c r="D46" i="21" s="1"/>
  <c r="E44" i="8"/>
  <c r="E46" i="21" s="1"/>
  <c r="F44" i="8"/>
  <c r="F46" i="21" s="1"/>
  <c r="G44" i="8"/>
  <c r="G46" i="21" s="1"/>
  <c r="H44" i="8"/>
  <c r="H46" i="21" s="1"/>
  <c r="I44" i="8"/>
  <c r="I46" i="21" s="1"/>
  <c r="J44" i="8"/>
  <c r="J46" i="21" s="1"/>
  <c r="K44" i="8"/>
  <c r="K46" i="21" s="1"/>
  <c r="L44" i="8"/>
  <c r="L46" i="21" s="1"/>
  <c r="M44" i="8"/>
  <c r="M46" i="21" s="1"/>
  <c r="N44" i="8"/>
  <c r="N46" i="21" s="1"/>
  <c r="O44" i="8"/>
  <c r="O46" i="21" s="1"/>
  <c r="P44" i="8"/>
  <c r="P46" i="21" s="1"/>
  <c r="Q44" i="8"/>
  <c r="Q46" i="21" s="1"/>
  <c r="R44" i="8"/>
  <c r="R46" i="21" s="1"/>
  <c r="S44" i="8"/>
  <c r="S46" i="21" s="1"/>
  <c r="T44" i="8"/>
  <c r="T46" i="21" s="1"/>
  <c r="U44" i="8"/>
  <c r="U46" i="21" s="1"/>
  <c r="V44" i="8"/>
  <c r="V46" i="21" s="1"/>
  <c r="W44" i="8"/>
  <c r="W46" i="21" s="1"/>
  <c r="X44" i="8"/>
  <c r="X46" i="21" s="1"/>
  <c r="Y44" i="8"/>
  <c r="Y46" i="21" s="1"/>
  <c r="Z44" i="8"/>
  <c r="Z46" i="21" s="1"/>
  <c r="AA44" i="8"/>
  <c r="AA46" i="21" s="1"/>
  <c r="AB44" i="8"/>
  <c r="AB46" i="21" s="1"/>
  <c r="AC44" i="8"/>
  <c r="AC46" i="21" s="1"/>
  <c r="AD44" i="8"/>
  <c r="AD46" i="21" s="1"/>
  <c r="AE44" i="8"/>
  <c r="AE46" i="21" s="1"/>
  <c r="AF44" i="8"/>
  <c r="AF46" i="21" s="1"/>
  <c r="AG44" i="8"/>
  <c r="AG46" i="21" s="1"/>
  <c r="A45" i="8"/>
  <c r="A47" i="21" s="1"/>
  <c r="B45" i="8"/>
  <c r="B47" i="21" s="1"/>
  <c r="C45" i="8"/>
  <c r="C47" i="21" s="1"/>
  <c r="D45" i="8"/>
  <c r="D47" i="21" s="1"/>
  <c r="E45" i="8"/>
  <c r="E47" i="21" s="1"/>
  <c r="F45" i="8"/>
  <c r="F47" i="21" s="1"/>
  <c r="G45" i="8"/>
  <c r="G47" i="21" s="1"/>
  <c r="H45" i="8"/>
  <c r="H47" i="21" s="1"/>
  <c r="I45" i="8"/>
  <c r="I47" i="21" s="1"/>
  <c r="J45" i="8"/>
  <c r="J47" i="21" s="1"/>
  <c r="K45" i="8"/>
  <c r="K47" i="21" s="1"/>
  <c r="L45" i="8"/>
  <c r="L47" i="21" s="1"/>
  <c r="M45" i="8"/>
  <c r="M47" i="21" s="1"/>
  <c r="N45" i="8"/>
  <c r="N47" i="21" s="1"/>
  <c r="O45" i="8"/>
  <c r="O47" i="21" s="1"/>
  <c r="P45" i="8"/>
  <c r="P47" i="21" s="1"/>
  <c r="Q45" i="8"/>
  <c r="Q47" i="21" s="1"/>
  <c r="R45" i="8"/>
  <c r="R47" i="21" s="1"/>
  <c r="S45" i="8"/>
  <c r="S47" i="21" s="1"/>
  <c r="T45" i="8"/>
  <c r="T47" i="21" s="1"/>
  <c r="U45" i="8"/>
  <c r="U47" i="21" s="1"/>
  <c r="V45" i="8"/>
  <c r="V47" i="21" s="1"/>
  <c r="W45" i="8"/>
  <c r="W47" i="21" s="1"/>
  <c r="X45" i="8"/>
  <c r="X47" i="21" s="1"/>
  <c r="Y45" i="8"/>
  <c r="Y47" i="21" s="1"/>
  <c r="Z45" i="8"/>
  <c r="Z47" i="21" s="1"/>
  <c r="AA45" i="8"/>
  <c r="AA47" i="21" s="1"/>
  <c r="AB45" i="8"/>
  <c r="AB47" i="21" s="1"/>
  <c r="AC45" i="8"/>
  <c r="AC47" i="21" s="1"/>
  <c r="AD45" i="8"/>
  <c r="AD47" i="21" s="1"/>
  <c r="AE45" i="8"/>
  <c r="AE47" i="21" s="1"/>
  <c r="AF45" i="8"/>
  <c r="AF47" i="21" s="1"/>
  <c r="AG45" i="8"/>
  <c r="AG47" i="21" s="1"/>
  <c r="A46" i="8"/>
  <c r="A48" i="21" s="1"/>
  <c r="B46" i="8"/>
  <c r="B48" i="21" s="1"/>
  <c r="C46" i="8"/>
  <c r="C48" i="21" s="1"/>
  <c r="D46" i="8"/>
  <c r="D48" i="21" s="1"/>
  <c r="E46" i="8"/>
  <c r="E48" i="21" s="1"/>
  <c r="F46" i="8"/>
  <c r="F48" i="21" s="1"/>
  <c r="G46" i="8"/>
  <c r="G48" i="21" s="1"/>
  <c r="H46" i="8"/>
  <c r="H48" i="21" s="1"/>
  <c r="I46" i="8"/>
  <c r="I48" i="21" s="1"/>
  <c r="J46" i="8"/>
  <c r="J48" i="21" s="1"/>
  <c r="K46" i="8"/>
  <c r="K48" i="21" s="1"/>
  <c r="L46" i="8"/>
  <c r="L48" i="21" s="1"/>
  <c r="M46" i="8"/>
  <c r="M48" i="21" s="1"/>
  <c r="N46" i="8"/>
  <c r="N48" i="21" s="1"/>
  <c r="O46" i="8"/>
  <c r="O48" i="21" s="1"/>
  <c r="P46" i="8"/>
  <c r="P48" i="21" s="1"/>
  <c r="Q46" i="8"/>
  <c r="Q48" i="21" s="1"/>
  <c r="R46" i="8"/>
  <c r="R48" i="21" s="1"/>
  <c r="S46" i="8"/>
  <c r="S48" i="21" s="1"/>
  <c r="T46" i="8"/>
  <c r="T48" i="21" s="1"/>
  <c r="U46" i="8"/>
  <c r="U48" i="21" s="1"/>
  <c r="V46" i="8"/>
  <c r="V48" i="21" s="1"/>
  <c r="W46" i="8"/>
  <c r="W48" i="21" s="1"/>
  <c r="X46" i="8"/>
  <c r="X48" i="21" s="1"/>
  <c r="Y46" i="8"/>
  <c r="Y48" i="21" s="1"/>
  <c r="Z46" i="8"/>
  <c r="Z48" i="21" s="1"/>
  <c r="AA46" i="8"/>
  <c r="AA48" i="21" s="1"/>
  <c r="AB46" i="8"/>
  <c r="AB48" i="21" s="1"/>
  <c r="AC46" i="8"/>
  <c r="AC48" i="21" s="1"/>
  <c r="AD46" i="8"/>
  <c r="AD48" i="21" s="1"/>
  <c r="AE46" i="8"/>
  <c r="AE48" i="21" s="1"/>
  <c r="AF46" i="8"/>
  <c r="AF48" i="21" s="1"/>
  <c r="AG46" i="8"/>
  <c r="AG48" i="21" s="1"/>
  <c r="A47" i="8"/>
  <c r="A49" i="21" s="1"/>
  <c r="B47" i="8"/>
  <c r="B49" i="21" s="1"/>
  <c r="C47" i="8"/>
  <c r="C49" i="21" s="1"/>
  <c r="D47" i="8"/>
  <c r="D49" i="21" s="1"/>
  <c r="E47" i="8"/>
  <c r="E49" i="21" s="1"/>
  <c r="F47" i="8"/>
  <c r="F49" i="21" s="1"/>
  <c r="G47" i="8"/>
  <c r="G49" i="21" s="1"/>
  <c r="H47" i="8"/>
  <c r="H49" i="21" s="1"/>
  <c r="I47" i="8"/>
  <c r="I49" i="21" s="1"/>
  <c r="J47" i="8"/>
  <c r="J49" i="21" s="1"/>
  <c r="K47" i="8"/>
  <c r="K49" i="21" s="1"/>
  <c r="L47" i="8"/>
  <c r="L49" i="21" s="1"/>
  <c r="M47" i="8"/>
  <c r="M49" i="21" s="1"/>
  <c r="N47" i="8"/>
  <c r="N49" i="21" s="1"/>
  <c r="O47" i="8"/>
  <c r="O49" i="21" s="1"/>
  <c r="P47" i="8"/>
  <c r="P49" i="21" s="1"/>
  <c r="Q47" i="8"/>
  <c r="Q49" i="21" s="1"/>
  <c r="R47" i="8"/>
  <c r="R49" i="21" s="1"/>
  <c r="S47" i="8"/>
  <c r="S49" i="21" s="1"/>
  <c r="T47" i="8"/>
  <c r="T49" i="21" s="1"/>
  <c r="U47" i="8"/>
  <c r="U49" i="21" s="1"/>
  <c r="V47" i="8"/>
  <c r="V49" i="21" s="1"/>
  <c r="W47" i="8"/>
  <c r="W49" i="21" s="1"/>
  <c r="X47" i="8"/>
  <c r="X49" i="21" s="1"/>
  <c r="Y47" i="8"/>
  <c r="Y49" i="21" s="1"/>
  <c r="Z47" i="8"/>
  <c r="Z49" i="21" s="1"/>
  <c r="AA47" i="8"/>
  <c r="AA49" i="21" s="1"/>
  <c r="AB47" i="8"/>
  <c r="AB49" i="21" s="1"/>
  <c r="AC47" i="8"/>
  <c r="AC49" i="21" s="1"/>
  <c r="AD47" i="8"/>
  <c r="AD49" i="21" s="1"/>
  <c r="AE47" i="8"/>
  <c r="AE49" i="21" s="1"/>
  <c r="AF47" i="8"/>
  <c r="AF49" i="21" s="1"/>
  <c r="AG47" i="8"/>
  <c r="AG49" i="21" s="1"/>
  <c r="A48" i="8"/>
  <c r="A50" i="21" s="1"/>
  <c r="B48" i="8"/>
  <c r="B50" i="21" s="1"/>
  <c r="C48" i="8"/>
  <c r="C50" i="21" s="1"/>
  <c r="D48" i="8"/>
  <c r="D50" i="21" s="1"/>
  <c r="E48" i="8"/>
  <c r="E50" i="21" s="1"/>
  <c r="F48" i="8"/>
  <c r="F50" i="21" s="1"/>
  <c r="G48" i="8"/>
  <c r="G50" i="21" s="1"/>
  <c r="H48" i="8"/>
  <c r="H50" i="21" s="1"/>
  <c r="I48" i="8"/>
  <c r="I50" i="21" s="1"/>
  <c r="J48" i="8"/>
  <c r="J50" i="21" s="1"/>
  <c r="K48" i="8"/>
  <c r="K50" i="21" s="1"/>
  <c r="L48" i="8"/>
  <c r="L50" i="21" s="1"/>
  <c r="M48" i="8"/>
  <c r="M50" i="21" s="1"/>
  <c r="N48" i="8"/>
  <c r="N50" i="21" s="1"/>
  <c r="O48" i="8"/>
  <c r="O50" i="21" s="1"/>
  <c r="P48" i="8"/>
  <c r="P50" i="21" s="1"/>
  <c r="Q48" i="8"/>
  <c r="Q50" i="21" s="1"/>
  <c r="R48" i="8"/>
  <c r="R50" i="21" s="1"/>
  <c r="S48" i="8"/>
  <c r="S50" i="21" s="1"/>
  <c r="T48" i="8"/>
  <c r="T50" i="21" s="1"/>
  <c r="U48" i="8"/>
  <c r="U50" i="21" s="1"/>
  <c r="V48" i="8"/>
  <c r="V50" i="21" s="1"/>
  <c r="W48" i="8"/>
  <c r="W50" i="21" s="1"/>
  <c r="X48" i="8"/>
  <c r="X50" i="21" s="1"/>
  <c r="Y48" i="8"/>
  <c r="Y50" i="21" s="1"/>
  <c r="Z48" i="8"/>
  <c r="Z50" i="21" s="1"/>
  <c r="AA48" i="8"/>
  <c r="AA50" i="21" s="1"/>
  <c r="AB48" i="8"/>
  <c r="AB50" i="21" s="1"/>
  <c r="AC48" i="8"/>
  <c r="AC50" i="21" s="1"/>
  <c r="AD48" i="8"/>
  <c r="AD50" i="21" s="1"/>
  <c r="AE48" i="8"/>
  <c r="AE50" i="21" s="1"/>
  <c r="AF48" i="8"/>
  <c r="AF50" i="21" s="1"/>
  <c r="AG48" i="8"/>
  <c r="AG50" i="21" s="1"/>
  <c r="A49" i="8"/>
  <c r="A51" i="21" s="1"/>
  <c r="B49" i="8"/>
  <c r="B51" i="21" s="1"/>
  <c r="C49" i="8"/>
  <c r="C51" i="21" s="1"/>
  <c r="D49" i="8"/>
  <c r="D51" i="21" s="1"/>
  <c r="E49" i="8"/>
  <c r="E51" i="21" s="1"/>
  <c r="F49" i="8"/>
  <c r="F51" i="21" s="1"/>
  <c r="G49" i="8"/>
  <c r="G51" i="21" s="1"/>
  <c r="H49" i="8"/>
  <c r="H51" i="21" s="1"/>
  <c r="I49" i="8"/>
  <c r="I51" i="21" s="1"/>
  <c r="J49" i="8"/>
  <c r="J51" i="21" s="1"/>
  <c r="K49" i="8"/>
  <c r="K51" i="21" s="1"/>
  <c r="L49" i="8"/>
  <c r="L51" i="21" s="1"/>
  <c r="M49" i="8"/>
  <c r="M51" i="21" s="1"/>
  <c r="N49" i="8"/>
  <c r="N51" i="21" s="1"/>
  <c r="O49" i="8"/>
  <c r="O51" i="21" s="1"/>
  <c r="P49" i="8"/>
  <c r="P51" i="21" s="1"/>
  <c r="Q49" i="8"/>
  <c r="Q51" i="21" s="1"/>
  <c r="R49" i="8"/>
  <c r="R51" i="21" s="1"/>
  <c r="S49" i="8"/>
  <c r="S51" i="21" s="1"/>
  <c r="T49" i="8"/>
  <c r="T51" i="21" s="1"/>
  <c r="U49" i="8"/>
  <c r="U51" i="21" s="1"/>
  <c r="V49" i="8"/>
  <c r="V51" i="21" s="1"/>
  <c r="W49" i="8"/>
  <c r="W51" i="21" s="1"/>
  <c r="X49" i="8"/>
  <c r="X51" i="21" s="1"/>
  <c r="Y49" i="8"/>
  <c r="Y51" i="21" s="1"/>
  <c r="Z49" i="8"/>
  <c r="Z51" i="21" s="1"/>
  <c r="AA49" i="8"/>
  <c r="AA51" i="21" s="1"/>
  <c r="AB49" i="8"/>
  <c r="AB51" i="21" s="1"/>
  <c r="AC49" i="8"/>
  <c r="AC51" i="21" s="1"/>
  <c r="AD49" i="8"/>
  <c r="AD51" i="21" s="1"/>
  <c r="AE49" i="8"/>
  <c r="AE51" i="21" s="1"/>
  <c r="AF49" i="8"/>
  <c r="AF51" i="21" s="1"/>
  <c r="AG49" i="8"/>
  <c r="AG51" i="21" s="1"/>
  <c r="A50" i="8"/>
  <c r="A52" i="21" s="1"/>
  <c r="B50" i="8"/>
  <c r="B52" i="21" s="1"/>
  <c r="C50" i="8"/>
  <c r="C52" i="21" s="1"/>
  <c r="D50" i="8"/>
  <c r="D52" i="21" s="1"/>
  <c r="E50" i="8"/>
  <c r="E52" i="21" s="1"/>
  <c r="F50" i="8"/>
  <c r="F52" i="21" s="1"/>
  <c r="D6" i="14" s="1"/>
  <c r="G50" i="8"/>
  <c r="G52" i="21" s="1"/>
  <c r="H50" i="8"/>
  <c r="H52" i="21" s="1"/>
  <c r="I50" i="8"/>
  <c r="I52" i="21" s="1"/>
  <c r="J50" i="8"/>
  <c r="J52" i="21" s="1"/>
  <c r="K50" i="8"/>
  <c r="K52" i="21" s="1"/>
  <c r="L50" i="8"/>
  <c r="L52" i="21" s="1"/>
  <c r="M50" i="8"/>
  <c r="M52" i="21" s="1"/>
  <c r="N50" i="8"/>
  <c r="N52" i="21" s="1"/>
  <c r="O50" i="8"/>
  <c r="O52" i="21" s="1"/>
  <c r="P50" i="8"/>
  <c r="P52" i="21" s="1"/>
  <c r="Q50" i="8"/>
  <c r="Q52" i="21" s="1"/>
  <c r="R50" i="8"/>
  <c r="R52" i="21" s="1"/>
  <c r="S50" i="8"/>
  <c r="S52" i="21" s="1"/>
  <c r="T50" i="8"/>
  <c r="T52" i="21" s="1"/>
  <c r="U50" i="8"/>
  <c r="U52" i="21" s="1"/>
  <c r="V50" i="8"/>
  <c r="V52" i="21" s="1"/>
  <c r="W50" i="8"/>
  <c r="W52" i="21" s="1"/>
  <c r="X50" i="8"/>
  <c r="X52" i="21" s="1"/>
  <c r="Y50" i="8"/>
  <c r="Y52" i="21" s="1"/>
  <c r="Z50" i="8"/>
  <c r="Z52" i="21" s="1"/>
  <c r="AA50" i="8"/>
  <c r="AA52" i="21" s="1"/>
  <c r="AB50" i="8"/>
  <c r="AB52" i="21" s="1"/>
  <c r="AC50" i="8"/>
  <c r="AC52" i="21" s="1"/>
  <c r="AD50" i="8"/>
  <c r="AD52" i="21" s="1"/>
  <c r="AE50" i="8"/>
  <c r="AE52" i="21" s="1"/>
  <c r="AF50" i="8"/>
  <c r="AF52" i="21" s="1"/>
  <c r="AG50" i="8"/>
  <c r="AG52" i="21" s="1"/>
  <c r="A51" i="8"/>
  <c r="A53" i="21" s="1"/>
  <c r="B51" i="8"/>
  <c r="B53" i="21" s="1"/>
  <c r="C51" i="8"/>
  <c r="C53" i="21" s="1"/>
  <c r="D51" i="8"/>
  <c r="D53" i="21" s="1"/>
  <c r="E51" i="8"/>
  <c r="E53" i="21" s="1"/>
  <c r="F51" i="8"/>
  <c r="F53" i="21" s="1"/>
  <c r="G51" i="8"/>
  <c r="G53" i="21" s="1"/>
  <c r="H51" i="8"/>
  <c r="H53" i="21" s="1"/>
  <c r="I51" i="8"/>
  <c r="I53" i="21" s="1"/>
  <c r="J51" i="8"/>
  <c r="J53" i="21" s="1"/>
  <c r="K51" i="8"/>
  <c r="K53" i="21" s="1"/>
  <c r="L51" i="8"/>
  <c r="L53" i="21" s="1"/>
  <c r="M51" i="8"/>
  <c r="M53" i="21" s="1"/>
  <c r="N51" i="8"/>
  <c r="N53" i="21" s="1"/>
  <c r="O51" i="8"/>
  <c r="O53" i="21" s="1"/>
  <c r="P51" i="8"/>
  <c r="P53" i="21" s="1"/>
  <c r="Q51" i="8"/>
  <c r="Q53" i="21" s="1"/>
  <c r="R51" i="8"/>
  <c r="R53" i="21" s="1"/>
  <c r="S51" i="8"/>
  <c r="S53" i="21" s="1"/>
  <c r="T51" i="8"/>
  <c r="T53" i="21" s="1"/>
  <c r="U51" i="8"/>
  <c r="U53" i="21" s="1"/>
  <c r="V51" i="8"/>
  <c r="V53" i="21" s="1"/>
  <c r="W51" i="8"/>
  <c r="W53" i="21" s="1"/>
  <c r="X51" i="8"/>
  <c r="X53" i="21" s="1"/>
  <c r="Y51" i="8"/>
  <c r="Y53" i="21" s="1"/>
  <c r="Z51" i="8"/>
  <c r="Z53" i="21" s="1"/>
  <c r="AA51" i="8"/>
  <c r="AA53" i="21" s="1"/>
  <c r="AB51" i="8"/>
  <c r="AB53" i="21" s="1"/>
  <c r="AC51" i="8"/>
  <c r="AC53" i="21" s="1"/>
  <c r="AD51" i="8"/>
  <c r="AD53" i="21" s="1"/>
  <c r="AE51" i="8"/>
  <c r="AE53" i="21" s="1"/>
  <c r="AF51" i="8"/>
  <c r="AF53" i="21" s="1"/>
  <c r="AG51" i="8"/>
  <c r="AG53" i="21" s="1"/>
  <c r="A52" i="8"/>
  <c r="A54" i="21" s="1"/>
  <c r="B52" i="8"/>
  <c r="B54" i="21" s="1"/>
  <c r="C52" i="8"/>
  <c r="C54" i="21" s="1"/>
  <c r="D52" i="8"/>
  <c r="D54" i="21" s="1"/>
  <c r="E52" i="8"/>
  <c r="E54" i="21" s="1"/>
  <c r="F52" i="8"/>
  <c r="F54" i="21" s="1"/>
  <c r="G52" i="8"/>
  <c r="G54" i="21" s="1"/>
  <c r="H52" i="8"/>
  <c r="H54" i="21" s="1"/>
  <c r="I52" i="8"/>
  <c r="I54" i="21" s="1"/>
  <c r="J52" i="8"/>
  <c r="J54" i="21" s="1"/>
  <c r="K52" i="8"/>
  <c r="K54" i="21" s="1"/>
  <c r="L52" i="8"/>
  <c r="L54" i="21" s="1"/>
  <c r="M52" i="8"/>
  <c r="M54" i="21" s="1"/>
  <c r="N52" i="8"/>
  <c r="N54" i="21" s="1"/>
  <c r="O52" i="8"/>
  <c r="O54" i="21" s="1"/>
  <c r="P52" i="8"/>
  <c r="P54" i="21" s="1"/>
  <c r="Q52" i="8"/>
  <c r="Q54" i="21" s="1"/>
  <c r="R52" i="8"/>
  <c r="R54" i="21" s="1"/>
  <c r="S52" i="8"/>
  <c r="S54" i="21" s="1"/>
  <c r="T52" i="8"/>
  <c r="T54" i="21" s="1"/>
  <c r="U52" i="8"/>
  <c r="U54" i="21" s="1"/>
  <c r="V52" i="8"/>
  <c r="V54" i="21" s="1"/>
  <c r="W52" i="8"/>
  <c r="W54" i="21" s="1"/>
  <c r="X52" i="8"/>
  <c r="X54" i="21" s="1"/>
  <c r="Y52" i="8"/>
  <c r="Y54" i="21" s="1"/>
  <c r="Z52" i="8"/>
  <c r="Z54" i="21" s="1"/>
  <c r="AA52" i="8"/>
  <c r="AA54" i="21" s="1"/>
  <c r="AB52" i="8"/>
  <c r="AB54" i="21" s="1"/>
  <c r="AC52" i="8"/>
  <c r="AC54" i="21" s="1"/>
  <c r="AD52" i="8"/>
  <c r="AD54" i="21" s="1"/>
  <c r="AE52" i="8"/>
  <c r="AE54" i="21" s="1"/>
  <c r="AF52" i="8"/>
  <c r="AF54" i="21" s="1"/>
  <c r="AG52" i="8"/>
  <c r="AG54" i="21" s="1"/>
  <c r="A53" i="8"/>
  <c r="A55" i="21" s="1"/>
  <c r="B53" i="8"/>
  <c r="B55" i="21" s="1"/>
  <c r="C53" i="8"/>
  <c r="C55" i="21" s="1"/>
  <c r="D53" i="8"/>
  <c r="D55" i="21" s="1"/>
  <c r="E53" i="8"/>
  <c r="E55" i="21" s="1"/>
  <c r="F53" i="8"/>
  <c r="F55" i="21" s="1"/>
  <c r="G53" i="8"/>
  <c r="G55" i="21" s="1"/>
  <c r="H53" i="8"/>
  <c r="H55" i="21" s="1"/>
  <c r="I53" i="8"/>
  <c r="I55" i="21" s="1"/>
  <c r="J53" i="8"/>
  <c r="J55" i="21" s="1"/>
  <c r="K53" i="8"/>
  <c r="K55" i="21" s="1"/>
  <c r="L53" i="8"/>
  <c r="L55" i="21" s="1"/>
  <c r="M53" i="8"/>
  <c r="M55" i="21" s="1"/>
  <c r="N53" i="8"/>
  <c r="N55" i="21" s="1"/>
  <c r="O53" i="8"/>
  <c r="O55" i="21" s="1"/>
  <c r="P53" i="8"/>
  <c r="P55" i="21" s="1"/>
  <c r="Q53" i="8"/>
  <c r="Q55" i="21" s="1"/>
  <c r="S53" i="8"/>
  <c r="S55" i="21" s="1"/>
  <c r="T53" i="8"/>
  <c r="T55" i="21" s="1"/>
  <c r="U53" i="8"/>
  <c r="U55" i="21" s="1"/>
  <c r="V53" i="8"/>
  <c r="V55" i="21" s="1"/>
  <c r="W53" i="8"/>
  <c r="W55" i="21" s="1"/>
  <c r="X53" i="8"/>
  <c r="X55" i="21" s="1"/>
  <c r="Y53" i="8"/>
  <c r="Y55" i="21" s="1"/>
  <c r="Z53" i="8"/>
  <c r="Z55" i="21" s="1"/>
  <c r="AA53" i="8"/>
  <c r="AA55" i="21" s="1"/>
  <c r="AB53" i="8"/>
  <c r="AB55" i="21" s="1"/>
  <c r="AC53" i="8"/>
  <c r="AC55" i="21" s="1"/>
  <c r="AD53" i="8"/>
  <c r="AD55" i="21" s="1"/>
  <c r="AE53" i="8"/>
  <c r="AE55" i="21" s="1"/>
  <c r="AF53" i="8"/>
  <c r="AF55" i="21" s="1"/>
  <c r="AG53" i="8"/>
  <c r="AG55" i="21" s="1"/>
  <c r="A54" i="8"/>
  <c r="A56" i="21" s="1"/>
  <c r="B54" i="8"/>
  <c r="B56" i="21" s="1"/>
  <c r="C54" i="8"/>
  <c r="C56" i="21" s="1"/>
  <c r="D54" i="8"/>
  <c r="D56" i="21" s="1"/>
  <c r="E54" i="8"/>
  <c r="E56" i="21" s="1"/>
  <c r="F54" i="8"/>
  <c r="F56" i="21" s="1"/>
  <c r="G54" i="8"/>
  <c r="G56" i="21" s="1"/>
  <c r="H54" i="8"/>
  <c r="H56" i="21" s="1"/>
  <c r="I54" i="8"/>
  <c r="I56" i="21" s="1"/>
  <c r="J54" i="8"/>
  <c r="J56" i="21" s="1"/>
  <c r="K54" i="8"/>
  <c r="K56" i="21" s="1"/>
  <c r="L54" i="8"/>
  <c r="L56" i="21" s="1"/>
  <c r="M54" i="8"/>
  <c r="M56" i="21" s="1"/>
  <c r="N54" i="8"/>
  <c r="N56" i="21" s="1"/>
  <c r="O54" i="8"/>
  <c r="O56" i="21" s="1"/>
  <c r="P54" i="8"/>
  <c r="P56" i="21" s="1"/>
  <c r="Q54" i="8"/>
  <c r="Q56" i="21" s="1"/>
  <c r="R54" i="8"/>
  <c r="R56" i="21" s="1"/>
  <c r="S54" i="8"/>
  <c r="S56" i="21" s="1"/>
  <c r="T54" i="8"/>
  <c r="T56" i="21" s="1"/>
  <c r="U54" i="8"/>
  <c r="U56" i="21" s="1"/>
  <c r="V54" i="8"/>
  <c r="V56" i="21" s="1"/>
  <c r="W54" i="8"/>
  <c r="W56" i="21" s="1"/>
  <c r="X54" i="8"/>
  <c r="X56" i="21" s="1"/>
  <c r="Y54" i="8"/>
  <c r="Y56" i="21" s="1"/>
  <c r="Z54" i="8"/>
  <c r="Z56" i="21" s="1"/>
  <c r="AA54" i="8"/>
  <c r="AA56" i="21" s="1"/>
  <c r="AB54" i="8"/>
  <c r="AB56" i="21" s="1"/>
  <c r="AC54" i="8"/>
  <c r="AC56" i="21" s="1"/>
  <c r="AD54" i="8"/>
  <c r="AD56" i="21" s="1"/>
  <c r="AE54" i="8"/>
  <c r="AE56" i="21" s="1"/>
  <c r="AF54" i="8"/>
  <c r="AF56" i="21" s="1"/>
  <c r="AG54" i="8"/>
  <c r="AG56" i="21" s="1"/>
  <c r="A55" i="8"/>
  <c r="A57" i="21" s="1"/>
  <c r="B55" i="8"/>
  <c r="B57" i="21" s="1"/>
  <c r="C55" i="8"/>
  <c r="C57" i="21" s="1"/>
  <c r="D55" i="8"/>
  <c r="D57" i="21" s="1"/>
  <c r="E55" i="8"/>
  <c r="E57" i="21" s="1"/>
  <c r="F55" i="8"/>
  <c r="F57" i="21" s="1"/>
  <c r="G55" i="8"/>
  <c r="G57" i="21" s="1"/>
  <c r="H55" i="8"/>
  <c r="H57" i="21" s="1"/>
  <c r="I55" i="8"/>
  <c r="I57" i="21" s="1"/>
  <c r="J55" i="8"/>
  <c r="J57" i="21" s="1"/>
  <c r="K55" i="8"/>
  <c r="K57" i="21" s="1"/>
  <c r="L55" i="8"/>
  <c r="L57" i="21" s="1"/>
  <c r="M55" i="8"/>
  <c r="M57" i="21" s="1"/>
  <c r="N55" i="8"/>
  <c r="N57" i="21" s="1"/>
  <c r="O55" i="8"/>
  <c r="O57" i="21" s="1"/>
  <c r="P55" i="8"/>
  <c r="P57" i="21" s="1"/>
  <c r="Q55" i="8"/>
  <c r="Q57" i="21" s="1"/>
  <c r="R55" i="8"/>
  <c r="R57" i="21" s="1"/>
  <c r="S55" i="8"/>
  <c r="S57" i="21" s="1"/>
  <c r="T55" i="8"/>
  <c r="T57" i="21" s="1"/>
  <c r="U55" i="8"/>
  <c r="U57" i="21" s="1"/>
  <c r="V55" i="8"/>
  <c r="V57" i="21" s="1"/>
  <c r="W55" i="8"/>
  <c r="W57" i="21" s="1"/>
  <c r="X55" i="8"/>
  <c r="X57" i="21" s="1"/>
  <c r="Y55" i="8"/>
  <c r="Y57" i="21" s="1"/>
  <c r="Z55" i="8"/>
  <c r="Z57" i="21" s="1"/>
  <c r="AA55" i="8"/>
  <c r="AA57" i="21" s="1"/>
  <c r="AB55" i="8"/>
  <c r="AB57" i="21" s="1"/>
  <c r="AC55" i="8"/>
  <c r="AC57" i="21" s="1"/>
  <c r="AD55" i="8"/>
  <c r="AD57" i="21" s="1"/>
  <c r="AE55" i="8"/>
  <c r="AE57" i="21" s="1"/>
  <c r="AF55" i="8"/>
  <c r="AF57" i="21" s="1"/>
  <c r="AG55" i="8"/>
  <c r="AG57" i="21" s="1"/>
  <c r="A56" i="8"/>
  <c r="A58" i="21" s="1"/>
  <c r="B56" i="8"/>
  <c r="B58" i="21" s="1"/>
  <c r="C56" i="8"/>
  <c r="C58" i="21" s="1"/>
  <c r="D56" i="8"/>
  <c r="D58" i="21" s="1"/>
  <c r="E56" i="8"/>
  <c r="E58" i="21" s="1"/>
  <c r="F56" i="8"/>
  <c r="F58" i="21" s="1"/>
  <c r="G56" i="8"/>
  <c r="G58" i="21" s="1"/>
  <c r="H56" i="8"/>
  <c r="H58" i="21" s="1"/>
  <c r="I56" i="8"/>
  <c r="I58" i="21" s="1"/>
  <c r="J56" i="8"/>
  <c r="J58" i="21" s="1"/>
  <c r="K56" i="8"/>
  <c r="K58" i="21" s="1"/>
  <c r="L56" i="8"/>
  <c r="L58" i="21" s="1"/>
  <c r="M56" i="8"/>
  <c r="M58" i="21" s="1"/>
  <c r="N56" i="8"/>
  <c r="N58" i="21" s="1"/>
  <c r="O56" i="8"/>
  <c r="O58" i="21" s="1"/>
  <c r="P56" i="8"/>
  <c r="P58" i="21" s="1"/>
  <c r="Q56" i="8"/>
  <c r="Q58" i="21" s="1"/>
  <c r="R56" i="8"/>
  <c r="R58" i="21" s="1"/>
  <c r="S56" i="8"/>
  <c r="S58" i="21" s="1"/>
  <c r="T56" i="8"/>
  <c r="T58" i="21" s="1"/>
  <c r="U56" i="8"/>
  <c r="U58" i="21" s="1"/>
  <c r="V56" i="8"/>
  <c r="V58" i="21" s="1"/>
  <c r="W56" i="8"/>
  <c r="W58" i="21" s="1"/>
  <c r="X56" i="8"/>
  <c r="X58" i="21" s="1"/>
  <c r="Y56" i="8"/>
  <c r="Y58" i="21" s="1"/>
  <c r="Z56" i="8"/>
  <c r="Z58" i="21" s="1"/>
  <c r="AA56" i="8"/>
  <c r="AA58" i="21" s="1"/>
  <c r="AB56" i="8"/>
  <c r="AB58" i="21" s="1"/>
  <c r="AC56" i="8"/>
  <c r="AC58" i="21" s="1"/>
  <c r="AD56" i="8"/>
  <c r="AD58" i="21" s="1"/>
  <c r="AE56" i="8"/>
  <c r="AE58" i="21" s="1"/>
  <c r="AF56" i="8"/>
  <c r="AF58" i="21" s="1"/>
  <c r="AG56" i="8"/>
  <c r="AG58" i="21" s="1"/>
  <c r="A57" i="8"/>
  <c r="A59" i="21" s="1"/>
  <c r="B57" i="8"/>
  <c r="B59" i="21" s="1"/>
  <c r="C57" i="8"/>
  <c r="C59" i="21" s="1"/>
  <c r="D57" i="8"/>
  <c r="D59" i="21" s="1"/>
  <c r="E57" i="8"/>
  <c r="E59" i="21" s="1"/>
  <c r="F57" i="8"/>
  <c r="F59" i="21" s="1"/>
  <c r="G57" i="8"/>
  <c r="G59" i="21" s="1"/>
  <c r="H57" i="8"/>
  <c r="H59" i="21" s="1"/>
  <c r="I57" i="8"/>
  <c r="I59" i="21" s="1"/>
  <c r="J57" i="8"/>
  <c r="J59" i="21" s="1"/>
  <c r="K57" i="8"/>
  <c r="K59" i="21" s="1"/>
  <c r="L57" i="8"/>
  <c r="L59" i="21" s="1"/>
  <c r="M57" i="8"/>
  <c r="M59" i="21" s="1"/>
  <c r="N57" i="8"/>
  <c r="N59" i="21" s="1"/>
  <c r="O57" i="8"/>
  <c r="O59" i="21" s="1"/>
  <c r="P57" i="8"/>
  <c r="P59" i="21" s="1"/>
  <c r="Q57" i="8"/>
  <c r="Q59" i="21" s="1"/>
  <c r="R57" i="8"/>
  <c r="R59" i="21" s="1"/>
  <c r="S57" i="8"/>
  <c r="S59" i="21" s="1"/>
  <c r="T57" i="8"/>
  <c r="T59" i="21" s="1"/>
  <c r="U57" i="8"/>
  <c r="U59" i="21" s="1"/>
  <c r="V57" i="8"/>
  <c r="V59" i="21" s="1"/>
  <c r="W57" i="8"/>
  <c r="W59" i="21" s="1"/>
  <c r="X57" i="8"/>
  <c r="X59" i="21" s="1"/>
  <c r="Y57" i="8"/>
  <c r="Y59" i="21" s="1"/>
  <c r="Z57" i="8"/>
  <c r="Z59" i="21" s="1"/>
  <c r="AA57" i="8"/>
  <c r="AA59" i="21" s="1"/>
  <c r="AB57" i="8"/>
  <c r="AB59" i="21" s="1"/>
  <c r="AC57" i="8"/>
  <c r="AC59" i="21" s="1"/>
  <c r="AD57" i="8"/>
  <c r="AD59" i="21" s="1"/>
  <c r="AE57" i="8"/>
  <c r="AE59" i="21" s="1"/>
  <c r="AF57" i="8"/>
  <c r="AG57" i="8"/>
  <c r="AG59" i="21" s="1"/>
  <c r="A58" i="8"/>
  <c r="A60" i="21" s="1"/>
  <c r="B58" i="8"/>
  <c r="B60" i="21" s="1"/>
  <c r="C58" i="8"/>
  <c r="C60" i="21" s="1"/>
  <c r="D58" i="8"/>
  <c r="D60" i="21" s="1"/>
  <c r="E58" i="8"/>
  <c r="E60" i="21" s="1"/>
  <c r="F58" i="8"/>
  <c r="F60" i="21" s="1"/>
  <c r="G58" i="8"/>
  <c r="G60" i="21" s="1"/>
  <c r="H58" i="8"/>
  <c r="H60" i="21" s="1"/>
  <c r="I58" i="8"/>
  <c r="I60" i="21" s="1"/>
  <c r="J58" i="8"/>
  <c r="J60" i="21" s="1"/>
  <c r="K58" i="8"/>
  <c r="K60" i="21" s="1"/>
  <c r="L58" i="8"/>
  <c r="L60" i="21" s="1"/>
  <c r="M58" i="8"/>
  <c r="M60" i="21" s="1"/>
  <c r="N58" i="8"/>
  <c r="N60" i="21" s="1"/>
  <c r="O58" i="8"/>
  <c r="O60" i="21" s="1"/>
  <c r="P58" i="8"/>
  <c r="P60" i="21" s="1"/>
  <c r="Q58" i="8"/>
  <c r="Q60" i="21" s="1"/>
  <c r="R58" i="8"/>
  <c r="R60" i="21" s="1"/>
  <c r="S58" i="8"/>
  <c r="S60" i="21" s="1"/>
  <c r="T58" i="8"/>
  <c r="T60" i="21" s="1"/>
  <c r="U58" i="8"/>
  <c r="U60" i="21" s="1"/>
  <c r="V58" i="8"/>
  <c r="V60" i="21" s="1"/>
  <c r="W58" i="8"/>
  <c r="W60" i="21" s="1"/>
  <c r="X58" i="8"/>
  <c r="X60" i="21" s="1"/>
  <c r="Y58" i="8"/>
  <c r="Y60" i="21" s="1"/>
  <c r="Z58" i="8"/>
  <c r="Z60" i="21" s="1"/>
  <c r="AA58" i="8"/>
  <c r="AA60" i="21" s="1"/>
  <c r="AB58" i="8"/>
  <c r="AB60" i="21" s="1"/>
  <c r="AC58" i="8"/>
  <c r="AC60" i="21" s="1"/>
  <c r="AD58" i="8"/>
  <c r="AD60" i="21" s="1"/>
  <c r="AE58" i="8"/>
  <c r="AE60" i="21" s="1"/>
  <c r="AF58" i="8"/>
  <c r="AF60" i="21" s="1"/>
  <c r="AG58" i="8"/>
  <c r="AG60" i="21" s="1"/>
  <c r="A59" i="8"/>
  <c r="A61" i="21" s="1"/>
  <c r="B59" i="8"/>
  <c r="B61" i="21" s="1"/>
  <c r="C59" i="8"/>
  <c r="C61" i="21" s="1"/>
  <c r="D59" i="8"/>
  <c r="D61" i="21" s="1"/>
  <c r="E59" i="8"/>
  <c r="E61" i="21" s="1"/>
  <c r="F59" i="8"/>
  <c r="F61" i="21" s="1"/>
  <c r="G59" i="8"/>
  <c r="G61" i="21" s="1"/>
  <c r="H59" i="8"/>
  <c r="H61" i="21" s="1"/>
  <c r="I59" i="8"/>
  <c r="I61" i="21" s="1"/>
  <c r="J59" i="8"/>
  <c r="J61" i="21" s="1"/>
  <c r="K59" i="8"/>
  <c r="K61" i="21" s="1"/>
  <c r="L59" i="8"/>
  <c r="L61" i="21" s="1"/>
  <c r="M59" i="8"/>
  <c r="M61" i="21" s="1"/>
  <c r="N59" i="8"/>
  <c r="N61" i="21" s="1"/>
  <c r="O59" i="8"/>
  <c r="O61" i="21" s="1"/>
  <c r="P59" i="8"/>
  <c r="P61" i="21" s="1"/>
  <c r="Q59" i="8"/>
  <c r="Q61" i="21" s="1"/>
  <c r="R59" i="8"/>
  <c r="R61" i="21" s="1"/>
  <c r="S59" i="8"/>
  <c r="S61" i="21" s="1"/>
  <c r="T59" i="8"/>
  <c r="T61" i="21" s="1"/>
  <c r="U59" i="8"/>
  <c r="U61" i="21" s="1"/>
  <c r="V59" i="8"/>
  <c r="V61" i="21" s="1"/>
  <c r="W59" i="8"/>
  <c r="W61" i="21" s="1"/>
  <c r="X59" i="8"/>
  <c r="X61" i="21" s="1"/>
  <c r="Y59" i="8"/>
  <c r="Y61" i="21" s="1"/>
  <c r="Z59" i="8"/>
  <c r="Z61" i="21" s="1"/>
  <c r="AA59" i="8"/>
  <c r="AA61" i="21" s="1"/>
  <c r="AB59" i="8"/>
  <c r="AB61" i="21" s="1"/>
  <c r="AC59" i="8"/>
  <c r="AC61" i="21" s="1"/>
  <c r="AD59" i="8"/>
  <c r="AD61" i="21" s="1"/>
  <c r="AE59" i="8"/>
  <c r="AE61" i="21" s="1"/>
  <c r="AF59" i="8"/>
  <c r="AF61" i="21" s="1"/>
  <c r="AG59" i="8"/>
  <c r="AG61" i="21" s="1"/>
  <c r="A60" i="8"/>
  <c r="A62" i="21" s="1"/>
  <c r="B60" i="8"/>
  <c r="B62" i="21" s="1"/>
  <c r="C60" i="8"/>
  <c r="C62" i="21" s="1"/>
  <c r="D60" i="8"/>
  <c r="D62" i="21" s="1"/>
  <c r="E60" i="8"/>
  <c r="E62" i="21" s="1"/>
  <c r="F60" i="8"/>
  <c r="F62" i="21" s="1"/>
  <c r="G60" i="8"/>
  <c r="G62" i="21" s="1"/>
  <c r="H60" i="8"/>
  <c r="H62" i="21" s="1"/>
  <c r="I60" i="8"/>
  <c r="I62" i="21" s="1"/>
  <c r="J60" i="8"/>
  <c r="J62" i="21" s="1"/>
  <c r="K60" i="8"/>
  <c r="K62" i="21" s="1"/>
  <c r="L60" i="8"/>
  <c r="L62" i="21" s="1"/>
  <c r="M60" i="8"/>
  <c r="M62" i="21" s="1"/>
  <c r="N60" i="8"/>
  <c r="N62" i="21" s="1"/>
  <c r="O60" i="8"/>
  <c r="O62" i="21" s="1"/>
  <c r="P60" i="8"/>
  <c r="P62" i="21" s="1"/>
  <c r="Q60" i="8"/>
  <c r="Q62" i="21" s="1"/>
  <c r="R60" i="8"/>
  <c r="R62" i="21" s="1"/>
  <c r="S60" i="8"/>
  <c r="S62" i="21" s="1"/>
  <c r="T60" i="8"/>
  <c r="T62" i="21" s="1"/>
  <c r="U60" i="8"/>
  <c r="U62" i="21" s="1"/>
  <c r="V60" i="8"/>
  <c r="V62" i="21" s="1"/>
  <c r="W60" i="8"/>
  <c r="W62" i="21" s="1"/>
  <c r="X60" i="8"/>
  <c r="X62" i="21" s="1"/>
  <c r="Y60" i="8"/>
  <c r="Y62" i="21" s="1"/>
  <c r="Z60" i="8"/>
  <c r="Z62" i="21" s="1"/>
  <c r="AA60" i="8"/>
  <c r="AA62" i="21" s="1"/>
  <c r="AB60" i="8"/>
  <c r="AB62" i="21" s="1"/>
  <c r="AC60" i="8"/>
  <c r="AC62" i="21" s="1"/>
  <c r="AD60" i="8"/>
  <c r="AD62" i="21" s="1"/>
  <c r="AE60" i="8"/>
  <c r="AE62" i="21" s="1"/>
  <c r="AF60" i="8"/>
  <c r="AG60" i="8"/>
  <c r="AG62" i="21" s="1"/>
  <c r="A61" i="8"/>
  <c r="A63" i="21" s="1"/>
  <c r="B61" i="8"/>
  <c r="B63" i="21" s="1"/>
  <c r="C61" i="8"/>
  <c r="C63" i="21" s="1"/>
  <c r="D61" i="8"/>
  <c r="D63" i="21" s="1"/>
  <c r="E61" i="8"/>
  <c r="E63" i="21" s="1"/>
  <c r="F61" i="8"/>
  <c r="F63" i="21" s="1"/>
  <c r="G61" i="8"/>
  <c r="G63" i="21" s="1"/>
  <c r="H61" i="8"/>
  <c r="H63" i="21" s="1"/>
  <c r="I61" i="8"/>
  <c r="I63" i="21" s="1"/>
  <c r="J61" i="8"/>
  <c r="J63" i="21" s="1"/>
  <c r="K61" i="8"/>
  <c r="K63" i="21" s="1"/>
  <c r="L61" i="8"/>
  <c r="L63" i="21" s="1"/>
  <c r="M61" i="8"/>
  <c r="M63" i="21" s="1"/>
  <c r="N61" i="8"/>
  <c r="N63" i="21" s="1"/>
  <c r="O61" i="8"/>
  <c r="O63" i="21" s="1"/>
  <c r="P61" i="8"/>
  <c r="P63" i="21" s="1"/>
  <c r="Q61" i="8"/>
  <c r="Q63" i="21" s="1"/>
  <c r="R61" i="8"/>
  <c r="R63" i="21" s="1"/>
  <c r="S61" i="8"/>
  <c r="S63" i="21" s="1"/>
  <c r="T61" i="8"/>
  <c r="T63" i="21" s="1"/>
  <c r="U61" i="8"/>
  <c r="U63" i="21" s="1"/>
  <c r="V61" i="8"/>
  <c r="V63" i="21" s="1"/>
  <c r="W61" i="8"/>
  <c r="W63" i="21" s="1"/>
  <c r="X61" i="8"/>
  <c r="X63" i="21" s="1"/>
  <c r="Y61" i="8"/>
  <c r="Y63" i="21" s="1"/>
  <c r="Z61" i="8"/>
  <c r="Z63" i="21" s="1"/>
  <c r="AA61" i="8"/>
  <c r="AA63" i="21" s="1"/>
  <c r="AB61" i="8"/>
  <c r="AB63" i="21" s="1"/>
  <c r="AC61" i="8"/>
  <c r="AC63" i="21" s="1"/>
  <c r="AD61" i="8"/>
  <c r="AD63" i="21" s="1"/>
  <c r="AE61" i="8"/>
  <c r="AE63" i="21" s="1"/>
  <c r="AF61" i="8"/>
  <c r="AF63" i="21" s="1"/>
  <c r="AG61" i="8"/>
  <c r="AG63" i="21" s="1"/>
  <c r="A62" i="8"/>
  <c r="A64" i="21" s="1"/>
  <c r="B62" i="8"/>
  <c r="B64" i="21" s="1"/>
  <c r="C62" i="8"/>
  <c r="C64" i="21" s="1"/>
  <c r="D62" i="8"/>
  <c r="D64" i="21" s="1"/>
  <c r="E62" i="8"/>
  <c r="E64" i="21" s="1"/>
  <c r="F62" i="8"/>
  <c r="F64" i="21" s="1"/>
  <c r="G62" i="8"/>
  <c r="G64" i="21" s="1"/>
  <c r="H62" i="8"/>
  <c r="H64" i="21" s="1"/>
  <c r="I62" i="8"/>
  <c r="I64" i="21" s="1"/>
  <c r="J62" i="8"/>
  <c r="J64" i="21" s="1"/>
  <c r="K62" i="8"/>
  <c r="K64" i="21" s="1"/>
  <c r="L62" i="8"/>
  <c r="L64" i="21" s="1"/>
  <c r="M62" i="8"/>
  <c r="M64" i="21" s="1"/>
  <c r="N62" i="8"/>
  <c r="N64" i="21" s="1"/>
  <c r="O62" i="8"/>
  <c r="O64" i="21" s="1"/>
  <c r="P62" i="8"/>
  <c r="P64" i="21" s="1"/>
  <c r="Q62" i="8"/>
  <c r="Q64" i="21" s="1"/>
  <c r="R62" i="8"/>
  <c r="R64" i="21" s="1"/>
  <c r="S62" i="8"/>
  <c r="S64" i="21" s="1"/>
  <c r="T62" i="8"/>
  <c r="T64" i="21" s="1"/>
  <c r="U62" i="8"/>
  <c r="U64" i="21" s="1"/>
  <c r="V62" i="8"/>
  <c r="V64" i="21" s="1"/>
  <c r="W62" i="8"/>
  <c r="W64" i="21" s="1"/>
  <c r="X62" i="8"/>
  <c r="X64" i="21" s="1"/>
  <c r="Y62" i="8"/>
  <c r="Y64" i="21" s="1"/>
  <c r="Z62" i="8"/>
  <c r="Z64" i="21" s="1"/>
  <c r="AA62" i="8"/>
  <c r="AA64" i="21" s="1"/>
  <c r="AB62" i="8"/>
  <c r="AB64" i="21" s="1"/>
  <c r="AC62" i="8"/>
  <c r="AC64" i="21" s="1"/>
  <c r="AD62" i="8"/>
  <c r="AD64" i="21" s="1"/>
  <c r="AE62" i="8"/>
  <c r="AE64" i="21" s="1"/>
  <c r="AF62" i="8"/>
  <c r="AG62" i="8"/>
  <c r="AG64" i="21" s="1"/>
  <c r="A63" i="8"/>
  <c r="A65" i="21" s="1"/>
  <c r="B63" i="8"/>
  <c r="B65" i="21" s="1"/>
  <c r="C63" i="8"/>
  <c r="C65" i="21" s="1"/>
  <c r="D63" i="8"/>
  <c r="D65" i="21" s="1"/>
  <c r="E63" i="8"/>
  <c r="E65" i="21" s="1"/>
  <c r="F63" i="8"/>
  <c r="F65" i="21" s="1"/>
  <c r="G63" i="8"/>
  <c r="G65" i="21" s="1"/>
  <c r="H63" i="8"/>
  <c r="H65" i="21" s="1"/>
  <c r="I63" i="8"/>
  <c r="I65" i="21" s="1"/>
  <c r="J63" i="8"/>
  <c r="J65" i="21" s="1"/>
  <c r="K63" i="8"/>
  <c r="K65" i="21" s="1"/>
  <c r="L63" i="8"/>
  <c r="L65" i="21" s="1"/>
  <c r="M63" i="8"/>
  <c r="M65" i="21" s="1"/>
  <c r="N63" i="8"/>
  <c r="N65" i="21" s="1"/>
  <c r="O63" i="8"/>
  <c r="O65" i="21" s="1"/>
  <c r="P63" i="8"/>
  <c r="P65" i="21" s="1"/>
  <c r="Q63" i="8"/>
  <c r="Q65" i="21" s="1"/>
  <c r="R63" i="8"/>
  <c r="R65" i="21" s="1"/>
  <c r="S63" i="8"/>
  <c r="S65" i="21" s="1"/>
  <c r="T63" i="8"/>
  <c r="T65" i="21" s="1"/>
  <c r="U63" i="8"/>
  <c r="U65" i="21" s="1"/>
  <c r="V63" i="8"/>
  <c r="V65" i="21" s="1"/>
  <c r="W63" i="8"/>
  <c r="W65" i="21" s="1"/>
  <c r="X63" i="8"/>
  <c r="X65" i="21" s="1"/>
  <c r="Y63" i="8"/>
  <c r="Y65" i="21" s="1"/>
  <c r="Z63" i="8"/>
  <c r="Z65" i="21" s="1"/>
  <c r="AA63" i="8"/>
  <c r="AA65" i="21" s="1"/>
  <c r="AB63" i="8"/>
  <c r="AB65" i="21" s="1"/>
  <c r="AC63" i="8"/>
  <c r="AC65" i="21" s="1"/>
  <c r="AD63" i="8"/>
  <c r="AD65" i="21" s="1"/>
  <c r="AE63" i="8"/>
  <c r="AE65" i="21" s="1"/>
  <c r="AF63" i="8"/>
  <c r="AF65" i="21" s="1"/>
  <c r="AG63" i="8"/>
  <c r="AG65" i="21" s="1"/>
  <c r="A64" i="8"/>
  <c r="A66" i="21" s="1"/>
  <c r="B64" i="8"/>
  <c r="B66" i="21" s="1"/>
  <c r="C64" i="8"/>
  <c r="C66" i="21" s="1"/>
  <c r="D64" i="8"/>
  <c r="D66" i="21" s="1"/>
  <c r="E64" i="8"/>
  <c r="E66" i="21" s="1"/>
  <c r="F64" i="8"/>
  <c r="F66" i="21" s="1"/>
  <c r="G64" i="8"/>
  <c r="G66" i="21" s="1"/>
  <c r="H64" i="8"/>
  <c r="H66" i="21" s="1"/>
  <c r="I64" i="8"/>
  <c r="I66" i="21" s="1"/>
  <c r="J64" i="8"/>
  <c r="J66" i="21" s="1"/>
  <c r="K64" i="8"/>
  <c r="K66" i="21" s="1"/>
  <c r="L64" i="8"/>
  <c r="L66" i="21" s="1"/>
  <c r="M64" i="8"/>
  <c r="M66" i="21" s="1"/>
  <c r="N64" i="8"/>
  <c r="N66" i="21" s="1"/>
  <c r="O64" i="8"/>
  <c r="O66" i="21" s="1"/>
  <c r="P64" i="8"/>
  <c r="P66" i="21" s="1"/>
  <c r="Q64" i="8"/>
  <c r="Q66" i="21" s="1"/>
  <c r="R64" i="8"/>
  <c r="R66" i="21" s="1"/>
  <c r="S64" i="8"/>
  <c r="S66" i="21" s="1"/>
  <c r="T64" i="8"/>
  <c r="T66" i="21" s="1"/>
  <c r="U64" i="8"/>
  <c r="U66" i="21" s="1"/>
  <c r="V64" i="8"/>
  <c r="V66" i="21" s="1"/>
  <c r="W64" i="8"/>
  <c r="W66" i="21" s="1"/>
  <c r="X64" i="8"/>
  <c r="X66" i="21" s="1"/>
  <c r="Y64" i="8"/>
  <c r="Y66" i="21" s="1"/>
  <c r="Z64" i="8"/>
  <c r="Z66" i="21" s="1"/>
  <c r="AA64" i="8"/>
  <c r="AA66" i="21" s="1"/>
  <c r="AB64" i="8"/>
  <c r="AB66" i="21" s="1"/>
  <c r="AC64" i="8"/>
  <c r="AC66" i="21" s="1"/>
  <c r="AD64" i="8"/>
  <c r="AD66" i="21" s="1"/>
  <c r="AE64" i="8"/>
  <c r="AE66" i="21" s="1"/>
  <c r="AF64" i="8"/>
  <c r="AF66" i="21" s="1"/>
  <c r="AG64" i="8"/>
  <c r="AG66" i="21" s="1"/>
  <c r="A65" i="8"/>
  <c r="A67" i="21" s="1"/>
  <c r="B65" i="8"/>
  <c r="B67" i="21" s="1"/>
  <c r="C65" i="8"/>
  <c r="C67" i="21" s="1"/>
  <c r="D65" i="8"/>
  <c r="D67" i="21" s="1"/>
  <c r="E65" i="8"/>
  <c r="E67" i="21" s="1"/>
  <c r="F65" i="8"/>
  <c r="F67" i="21" s="1"/>
  <c r="G65" i="8"/>
  <c r="G67" i="21" s="1"/>
  <c r="H65" i="8"/>
  <c r="H67" i="21" s="1"/>
  <c r="I65" i="8"/>
  <c r="I67" i="21" s="1"/>
  <c r="J65" i="8"/>
  <c r="J67" i="21" s="1"/>
  <c r="K65" i="8"/>
  <c r="K67" i="21" s="1"/>
  <c r="L65" i="8"/>
  <c r="L67" i="21" s="1"/>
  <c r="M65" i="8"/>
  <c r="M67" i="21" s="1"/>
  <c r="N65" i="8"/>
  <c r="N67" i="21" s="1"/>
  <c r="O65" i="8"/>
  <c r="O67" i="21" s="1"/>
  <c r="P65" i="8"/>
  <c r="P67" i="21" s="1"/>
  <c r="Q65" i="8"/>
  <c r="Q67" i="21" s="1"/>
  <c r="R65" i="8"/>
  <c r="R67" i="21" s="1"/>
  <c r="S65" i="8"/>
  <c r="S67" i="21" s="1"/>
  <c r="T65" i="8"/>
  <c r="T67" i="21" s="1"/>
  <c r="U65" i="8"/>
  <c r="U67" i="21" s="1"/>
  <c r="V65" i="8"/>
  <c r="V67" i="21" s="1"/>
  <c r="W65" i="8"/>
  <c r="W67" i="21" s="1"/>
  <c r="X65" i="8"/>
  <c r="X67" i="21" s="1"/>
  <c r="Y65" i="8"/>
  <c r="Y67" i="21" s="1"/>
  <c r="Z65" i="8"/>
  <c r="Z67" i="21" s="1"/>
  <c r="AA65" i="8"/>
  <c r="AA67" i="21" s="1"/>
  <c r="AB65" i="8"/>
  <c r="AB67" i="21" s="1"/>
  <c r="AC65" i="8"/>
  <c r="AC67" i="21" s="1"/>
  <c r="AD65" i="8"/>
  <c r="AD67" i="21" s="1"/>
  <c r="AE65" i="8"/>
  <c r="AE67" i="21" s="1"/>
  <c r="AF65" i="8"/>
  <c r="AG65" i="8"/>
  <c r="AG67" i="21" s="1"/>
  <c r="A66" i="8"/>
  <c r="A68" i="21" s="1"/>
  <c r="B66" i="8"/>
  <c r="B68" i="21" s="1"/>
  <c r="C66" i="8"/>
  <c r="C68" i="21" s="1"/>
  <c r="D66" i="8"/>
  <c r="D68" i="21" s="1"/>
  <c r="E66" i="8"/>
  <c r="E68" i="21" s="1"/>
  <c r="F66" i="8"/>
  <c r="F68" i="21" s="1"/>
  <c r="G66" i="8"/>
  <c r="G68" i="21" s="1"/>
  <c r="H66" i="8"/>
  <c r="H68" i="21" s="1"/>
  <c r="I66" i="8"/>
  <c r="I68" i="21" s="1"/>
  <c r="J66" i="8"/>
  <c r="J68" i="21" s="1"/>
  <c r="K66" i="8"/>
  <c r="K68" i="21" s="1"/>
  <c r="L66" i="8"/>
  <c r="L68" i="21" s="1"/>
  <c r="M66" i="8"/>
  <c r="M68" i="21" s="1"/>
  <c r="N66" i="8"/>
  <c r="N68" i="21" s="1"/>
  <c r="O66" i="8"/>
  <c r="O68" i="21" s="1"/>
  <c r="P66" i="8"/>
  <c r="P68" i="21" s="1"/>
  <c r="Q66" i="8"/>
  <c r="Q68" i="21" s="1"/>
  <c r="R66" i="8"/>
  <c r="R68" i="21" s="1"/>
  <c r="S66" i="8"/>
  <c r="S68" i="21" s="1"/>
  <c r="T66" i="8"/>
  <c r="T68" i="21" s="1"/>
  <c r="U66" i="8"/>
  <c r="U68" i="21" s="1"/>
  <c r="V66" i="8"/>
  <c r="V68" i="21" s="1"/>
  <c r="W66" i="8"/>
  <c r="W68" i="21" s="1"/>
  <c r="X66" i="8"/>
  <c r="X68" i="21" s="1"/>
  <c r="Y66" i="8"/>
  <c r="Y68" i="21" s="1"/>
  <c r="Z66" i="8"/>
  <c r="Z68" i="21" s="1"/>
  <c r="AA66" i="8"/>
  <c r="AA68" i="21" s="1"/>
  <c r="AB66" i="8"/>
  <c r="AB68" i="21" s="1"/>
  <c r="AC66" i="8"/>
  <c r="AC68" i="21" s="1"/>
  <c r="AD66" i="8"/>
  <c r="AD68" i="21" s="1"/>
  <c r="AE66" i="8"/>
  <c r="AF66" i="8"/>
  <c r="AF68" i="21" s="1"/>
  <c r="AG66" i="8"/>
  <c r="AG68" i="21" s="1"/>
  <c r="A67" i="8"/>
  <c r="A69" i="21" s="1"/>
  <c r="B67" i="8"/>
  <c r="B69" i="21" s="1"/>
  <c r="C67" i="8"/>
  <c r="C69" i="21" s="1"/>
  <c r="D67" i="8"/>
  <c r="D69" i="21" s="1"/>
  <c r="E67" i="8"/>
  <c r="E69" i="21" s="1"/>
  <c r="F67" i="8"/>
  <c r="F69" i="21" s="1"/>
  <c r="G67" i="8"/>
  <c r="G69" i="21" s="1"/>
  <c r="H67" i="8"/>
  <c r="H69" i="21" s="1"/>
  <c r="I67" i="8"/>
  <c r="I69" i="21" s="1"/>
  <c r="J67" i="8"/>
  <c r="J69" i="21" s="1"/>
  <c r="K67" i="8"/>
  <c r="K69" i="21" s="1"/>
  <c r="L67" i="8"/>
  <c r="L69" i="21" s="1"/>
  <c r="M67" i="8"/>
  <c r="M69" i="21" s="1"/>
  <c r="N67" i="8"/>
  <c r="N69" i="21" s="1"/>
  <c r="O67" i="8"/>
  <c r="O69" i="21" s="1"/>
  <c r="P67" i="8"/>
  <c r="P69" i="21" s="1"/>
  <c r="Q67" i="8"/>
  <c r="Q69" i="21" s="1"/>
  <c r="R67" i="8"/>
  <c r="R69" i="21" s="1"/>
  <c r="S67" i="8"/>
  <c r="S69" i="21" s="1"/>
  <c r="T67" i="8"/>
  <c r="T69" i="21" s="1"/>
  <c r="U67" i="8"/>
  <c r="U69" i="21" s="1"/>
  <c r="V67" i="8"/>
  <c r="V69" i="21" s="1"/>
  <c r="W67" i="8"/>
  <c r="W69" i="21" s="1"/>
  <c r="X67" i="8"/>
  <c r="X69" i="21" s="1"/>
  <c r="Y67" i="8"/>
  <c r="Y69" i="21" s="1"/>
  <c r="Z67" i="8"/>
  <c r="Z69" i="21" s="1"/>
  <c r="AA67" i="8"/>
  <c r="AA69" i="21" s="1"/>
  <c r="AB67" i="8"/>
  <c r="AB69" i="21" s="1"/>
  <c r="AC67" i="8"/>
  <c r="AC69" i="21" s="1"/>
  <c r="AD67" i="8"/>
  <c r="AD69" i="21" s="1"/>
  <c r="AE67" i="8"/>
  <c r="AE69" i="21" s="1"/>
  <c r="AF67" i="8"/>
  <c r="AG67" i="8"/>
  <c r="A68" i="8"/>
  <c r="A70" i="21" s="1"/>
  <c r="B68" i="8"/>
  <c r="B70" i="21" s="1"/>
  <c r="C68" i="8"/>
  <c r="C70" i="21" s="1"/>
  <c r="D68" i="8"/>
  <c r="D70" i="21" s="1"/>
  <c r="E68" i="8"/>
  <c r="E70" i="21" s="1"/>
  <c r="F68" i="8"/>
  <c r="F70" i="21" s="1"/>
  <c r="G68" i="8"/>
  <c r="G70" i="21" s="1"/>
  <c r="H68" i="8"/>
  <c r="H70" i="21" s="1"/>
  <c r="I68" i="8"/>
  <c r="I70" i="21" s="1"/>
  <c r="J68" i="8"/>
  <c r="J70" i="21" s="1"/>
  <c r="K68" i="8"/>
  <c r="K70" i="21" s="1"/>
  <c r="L68" i="8"/>
  <c r="L70" i="21" s="1"/>
  <c r="M68" i="8"/>
  <c r="M70" i="21" s="1"/>
  <c r="N68" i="8"/>
  <c r="N70" i="21" s="1"/>
  <c r="O68" i="8"/>
  <c r="O70" i="21" s="1"/>
  <c r="P68" i="8"/>
  <c r="P70" i="21" s="1"/>
  <c r="Q68" i="8"/>
  <c r="Q70" i="21" s="1"/>
  <c r="R68" i="8"/>
  <c r="R70" i="21" s="1"/>
  <c r="S68" i="8"/>
  <c r="S70" i="21" s="1"/>
  <c r="T68" i="8"/>
  <c r="T70" i="21" s="1"/>
  <c r="U68" i="8"/>
  <c r="U70" i="21" s="1"/>
  <c r="V68" i="8"/>
  <c r="V70" i="21" s="1"/>
  <c r="W68" i="8"/>
  <c r="W70" i="21" s="1"/>
  <c r="X68" i="8"/>
  <c r="X70" i="21" s="1"/>
  <c r="Y68" i="8"/>
  <c r="Y70" i="21" s="1"/>
  <c r="Z68" i="8"/>
  <c r="Z70" i="21" s="1"/>
  <c r="AA68" i="8"/>
  <c r="AA70" i="21" s="1"/>
  <c r="AB68" i="8"/>
  <c r="AB70" i="21" s="1"/>
  <c r="AC68" i="8"/>
  <c r="AC70" i="21" s="1"/>
  <c r="AD68" i="8"/>
  <c r="AD70" i="21" s="1"/>
  <c r="AE68" i="8"/>
  <c r="AE70" i="21" s="1"/>
  <c r="AF68" i="8"/>
  <c r="AF70" i="21" s="1"/>
  <c r="AG68" i="8"/>
  <c r="AG70" i="21" s="1"/>
  <c r="A69" i="8"/>
  <c r="A71" i="21" s="1"/>
  <c r="B69" i="8"/>
  <c r="B71" i="21" s="1"/>
  <c r="C69" i="8"/>
  <c r="C71" i="21" s="1"/>
  <c r="D69" i="8"/>
  <c r="D71" i="21" s="1"/>
  <c r="E69" i="8"/>
  <c r="E71" i="21" s="1"/>
  <c r="F69" i="8"/>
  <c r="F71" i="21" s="1"/>
  <c r="G69" i="8"/>
  <c r="G71" i="21" s="1"/>
  <c r="H69" i="8"/>
  <c r="H71" i="21" s="1"/>
  <c r="I69" i="8"/>
  <c r="I71" i="21" s="1"/>
  <c r="J69" i="8"/>
  <c r="J71" i="21" s="1"/>
  <c r="K69" i="8"/>
  <c r="K71" i="21" s="1"/>
  <c r="L69" i="8"/>
  <c r="L71" i="21" s="1"/>
  <c r="M69" i="8"/>
  <c r="M71" i="21" s="1"/>
  <c r="N69" i="8"/>
  <c r="N71" i="21" s="1"/>
  <c r="O69" i="8"/>
  <c r="O71" i="21" s="1"/>
  <c r="P69" i="8"/>
  <c r="P71" i="21" s="1"/>
  <c r="Q69" i="8"/>
  <c r="Q71" i="21" s="1"/>
  <c r="R69" i="8"/>
  <c r="R71" i="21" s="1"/>
  <c r="S69" i="8"/>
  <c r="S71" i="21" s="1"/>
  <c r="T69" i="8"/>
  <c r="T71" i="21" s="1"/>
  <c r="U69" i="8"/>
  <c r="U71" i="21" s="1"/>
  <c r="V69" i="8"/>
  <c r="V71" i="21" s="1"/>
  <c r="W69" i="8"/>
  <c r="W71" i="21" s="1"/>
  <c r="X69" i="8"/>
  <c r="X71" i="21" s="1"/>
  <c r="Y69" i="8"/>
  <c r="Y71" i="21" s="1"/>
  <c r="Z69" i="8"/>
  <c r="Z71" i="21" s="1"/>
  <c r="AA69" i="8"/>
  <c r="AA71" i="21" s="1"/>
  <c r="AB69" i="8"/>
  <c r="AB71" i="21" s="1"/>
  <c r="AC69" i="8"/>
  <c r="AC71" i="21" s="1"/>
  <c r="AD69" i="8"/>
  <c r="AD71" i="21" s="1"/>
  <c r="AE69" i="8"/>
  <c r="AE71" i="21" s="1"/>
  <c r="AF69" i="8"/>
  <c r="AF71" i="21" s="1"/>
  <c r="AG69" i="8"/>
  <c r="AG71" i="21" s="1"/>
  <c r="A70" i="8"/>
  <c r="A72" i="21" s="1"/>
  <c r="B70" i="8"/>
  <c r="B72" i="21" s="1"/>
  <c r="C70" i="8"/>
  <c r="C72" i="21" s="1"/>
  <c r="D70" i="8"/>
  <c r="D72" i="21" s="1"/>
  <c r="E70" i="8"/>
  <c r="E72" i="21" s="1"/>
  <c r="F70" i="8"/>
  <c r="F72" i="21" s="1"/>
  <c r="G70" i="8"/>
  <c r="G72" i="21" s="1"/>
  <c r="H70" i="8"/>
  <c r="H72" i="21" s="1"/>
  <c r="I70" i="8"/>
  <c r="I72" i="21" s="1"/>
  <c r="J70" i="8"/>
  <c r="J72" i="21" s="1"/>
  <c r="K70" i="8"/>
  <c r="K72" i="21" s="1"/>
  <c r="L70" i="8"/>
  <c r="L72" i="21" s="1"/>
  <c r="M70" i="8"/>
  <c r="M72" i="21" s="1"/>
  <c r="N70" i="8"/>
  <c r="N72" i="21" s="1"/>
  <c r="O70" i="8"/>
  <c r="O72" i="21" s="1"/>
  <c r="P70" i="8"/>
  <c r="P72" i="21" s="1"/>
  <c r="Q70" i="8"/>
  <c r="Q72" i="21" s="1"/>
  <c r="R70" i="8"/>
  <c r="R72" i="21" s="1"/>
  <c r="S70" i="8"/>
  <c r="S72" i="21" s="1"/>
  <c r="T70" i="8"/>
  <c r="T72" i="21" s="1"/>
  <c r="U70" i="8"/>
  <c r="U72" i="21" s="1"/>
  <c r="V70" i="8"/>
  <c r="V72" i="21" s="1"/>
  <c r="W70" i="8"/>
  <c r="W72" i="21" s="1"/>
  <c r="X70" i="8"/>
  <c r="X72" i="21" s="1"/>
  <c r="Y70" i="8"/>
  <c r="Y72" i="21" s="1"/>
  <c r="Z70" i="8"/>
  <c r="Z72" i="21" s="1"/>
  <c r="AA70" i="8"/>
  <c r="AA72" i="21" s="1"/>
  <c r="AB70" i="8"/>
  <c r="AB72" i="21" s="1"/>
  <c r="AC70" i="8"/>
  <c r="AC72" i="21" s="1"/>
  <c r="AD70" i="8"/>
  <c r="AD72" i="21" s="1"/>
  <c r="AE70" i="8"/>
  <c r="AE72" i="21" s="1"/>
  <c r="AF70" i="8"/>
  <c r="AF72" i="21" s="1"/>
  <c r="AG70" i="8"/>
  <c r="AG72" i="21" s="1"/>
  <c r="A71" i="8"/>
  <c r="A73" i="21" s="1"/>
  <c r="B71" i="8"/>
  <c r="B73" i="21" s="1"/>
  <c r="C71" i="8"/>
  <c r="C73" i="21" s="1"/>
  <c r="D71" i="8"/>
  <c r="D73" i="21" s="1"/>
  <c r="E71" i="8"/>
  <c r="E73" i="21" s="1"/>
  <c r="F71" i="8"/>
  <c r="F73" i="21" s="1"/>
  <c r="G71" i="8"/>
  <c r="G73" i="21" s="1"/>
  <c r="H71" i="8"/>
  <c r="H73" i="21" s="1"/>
  <c r="I71" i="8"/>
  <c r="I73" i="21" s="1"/>
  <c r="J71" i="8"/>
  <c r="J73" i="21" s="1"/>
  <c r="K71" i="8"/>
  <c r="K73" i="21" s="1"/>
  <c r="L71" i="8"/>
  <c r="L73" i="21" s="1"/>
  <c r="M71" i="8"/>
  <c r="M73" i="21" s="1"/>
  <c r="N71" i="8"/>
  <c r="N73" i="21" s="1"/>
  <c r="O71" i="8"/>
  <c r="O73" i="21" s="1"/>
  <c r="P71" i="8"/>
  <c r="P73" i="21" s="1"/>
  <c r="Q71" i="8"/>
  <c r="Q73" i="21" s="1"/>
  <c r="R71" i="8"/>
  <c r="R73" i="21" s="1"/>
  <c r="S71" i="8"/>
  <c r="S73" i="21" s="1"/>
  <c r="T71" i="8"/>
  <c r="T73" i="21" s="1"/>
  <c r="U71" i="8"/>
  <c r="U73" i="21" s="1"/>
  <c r="V71" i="8"/>
  <c r="V73" i="21" s="1"/>
  <c r="W71" i="8"/>
  <c r="W73" i="21" s="1"/>
  <c r="X71" i="8"/>
  <c r="X73" i="21" s="1"/>
  <c r="Y71" i="8"/>
  <c r="Y73" i="21" s="1"/>
  <c r="Z71" i="8"/>
  <c r="Z73" i="21" s="1"/>
  <c r="AA71" i="8"/>
  <c r="AA73" i="21" s="1"/>
  <c r="AB71" i="8"/>
  <c r="AB73" i="21" s="1"/>
  <c r="AC71" i="8"/>
  <c r="AC73" i="21" s="1"/>
  <c r="AD71" i="8"/>
  <c r="AD73" i="21" s="1"/>
  <c r="AE71" i="8"/>
  <c r="AE73" i="21" s="1"/>
  <c r="AF71" i="8"/>
  <c r="AF73" i="21" s="1"/>
  <c r="AG71" i="8"/>
  <c r="AG73" i="21" s="1"/>
  <c r="A72" i="8"/>
  <c r="A74" i="21" s="1"/>
  <c r="B72" i="8"/>
  <c r="B74" i="21" s="1"/>
  <c r="C72" i="8"/>
  <c r="C74" i="21" s="1"/>
  <c r="D72" i="8"/>
  <c r="D74" i="21" s="1"/>
  <c r="E72" i="8"/>
  <c r="E74" i="21" s="1"/>
  <c r="F72" i="8"/>
  <c r="F74" i="21" s="1"/>
  <c r="G72" i="8"/>
  <c r="G74" i="21" s="1"/>
  <c r="H72" i="8"/>
  <c r="H74" i="21" s="1"/>
  <c r="I72" i="8"/>
  <c r="I74" i="21" s="1"/>
  <c r="J72" i="8"/>
  <c r="J74" i="21" s="1"/>
  <c r="K72" i="8"/>
  <c r="K74" i="21" s="1"/>
  <c r="L72" i="8"/>
  <c r="L74" i="21" s="1"/>
  <c r="M72" i="8"/>
  <c r="M74" i="21" s="1"/>
  <c r="N72" i="8"/>
  <c r="N74" i="21" s="1"/>
  <c r="O72" i="8"/>
  <c r="O74" i="21" s="1"/>
  <c r="P72" i="8"/>
  <c r="P74" i="21" s="1"/>
  <c r="Q72" i="8"/>
  <c r="Q74" i="21" s="1"/>
  <c r="R72" i="8"/>
  <c r="R74" i="21" s="1"/>
  <c r="S72" i="8"/>
  <c r="S74" i="21" s="1"/>
  <c r="T72" i="8"/>
  <c r="T74" i="21" s="1"/>
  <c r="U72" i="8"/>
  <c r="U74" i="21" s="1"/>
  <c r="V72" i="8"/>
  <c r="V74" i="21" s="1"/>
  <c r="W72" i="8"/>
  <c r="W74" i="21" s="1"/>
  <c r="X72" i="8"/>
  <c r="X74" i="21" s="1"/>
  <c r="Y72" i="8"/>
  <c r="Y74" i="21" s="1"/>
  <c r="Z72" i="8"/>
  <c r="Z74" i="21" s="1"/>
  <c r="AA72" i="8"/>
  <c r="AA74" i="21" s="1"/>
  <c r="AB72" i="8"/>
  <c r="AB74" i="21" s="1"/>
  <c r="AC72" i="8"/>
  <c r="AC74" i="21" s="1"/>
  <c r="AD72" i="8"/>
  <c r="AD74" i="21" s="1"/>
  <c r="AE72" i="8"/>
  <c r="AE74" i="21" s="1"/>
  <c r="AF72" i="8"/>
  <c r="AF74" i="21" s="1"/>
  <c r="AG72" i="8"/>
  <c r="AG74" i="21" s="1"/>
  <c r="A73" i="8"/>
  <c r="A75" i="21" s="1"/>
  <c r="B73" i="8"/>
  <c r="B75" i="21" s="1"/>
  <c r="C73" i="8"/>
  <c r="C75" i="21" s="1"/>
  <c r="D73" i="8"/>
  <c r="D75" i="21" s="1"/>
  <c r="E73" i="8"/>
  <c r="E75" i="21" s="1"/>
  <c r="F73" i="8"/>
  <c r="F75" i="21" s="1"/>
  <c r="G73" i="8"/>
  <c r="G75" i="21" s="1"/>
  <c r="H73" i="8"/>
  <c r="H75" i="21" s="1"/>
  <c r="I73" i="8"/>
  <c r="I75" i="21" s="1"/>
  <c r="J73" i="8"/>
  <c r="J75" i="21" s="1"/>
  <c r="K73" i="8"/>
  <c r="K75" i="21" s="1"/>
  <c r="L73" i="8"/>
  <c r="L75" i="21" s="1"/>
  <c r="M73" i="8"/>
  <c r="M75" i="21" s="1"/>
  <c r="N73" i="8"/>
  <c r="N75" i="21" s="1"/>
  <c r="O73" i="8"/>
  <c r="O75" i="21" s="1"/>
  <c r="P73" i="8"/>
  <c r="P75" i="21" s="1"/>
  <c r="Q73" i="8"/>
  <c r="Q75" i="21" s="1"/>
  <c r="R73" i="8"/>
  <c r="R75" i="21" s="1"/>
  <c r="S73" i="8"/>
  <c r="S75" i="21" s="1"/>
  <c r="T73" i="8"/>
  <c r="T75" i="21" s="1"/>
  <c r="U73" i="8"/>
  <c r="U75" i="21" s="1"/>
  <c r="V73" i="8"/>
  <c r="V75" i="21" s="1"/>
  <c r="W73" i="8"/>
  <c r="W75" i="21" s="1"/>
  <c r="X73" i="8"/>
  <c r="X75" i="21" s="1"/>
  <c r="Y73" i="8"/>
  <c r="Y75" i="21" s="1"/>
  <c r="Z73" i="8"/>
  <c r="Z75" i="21" s="1"/>
  <c r="AA73" i="8"/>
  <c r="AA75" i="21" s="1"/>
  <c r="AB73" i="8"/>
  <c r="AB75" i="21" s="1"/>
  <c r="AC73" i="8"/>
  <c r="AC75" i="21" s="1"/>
  <c r="AD73" i="8"/>
  <c r="AD75" i="21" s="1"/>
  <c r="AE73" i="8"/>
  <c r="AE75" i="21" s="1"/>
  <c r="AF73" i="8"/>
  <c r="AF75" i="21" s="1"/>
  <c r="AG73" i="8"/>
  <c r="AG75" i="21" s="1"/>
  <c r="A74" i="8"/>
  <c r="A76" i="21" s="1"/>
  <c r="B74" i="8"/>
  <c r="B76" i="21" s="1"/>
  <c r="C74" i="8"/>
  <c r="C76" i="21" s="1"/>
  <c r="D74" i="8"/>
  <c r="D76" i="21" s="1"/>
  <c r="E74" i="8"/>
  <c r="E76" i="21" s="1"/>
  <c r="F74" i="8"/>
  <c r="F76" i="21" s="1"/>
  <c r="G74" i="8"/>
  <c r="G76" i="21" s="1"/>
  <c r="H74" i="8"/>
  <c r="H76" i="21" s="1"/>
  <c r="I74" i="8"/>
  <c r="I76" i="21" s="1"/>
  <c r="J74" i="8"/>
  <c r="J76" i="21" s="1"/>
  <c r="K74" i="8"/>
  <c r="K76" i="21" s="1"/>
  <c r="L74" i="8"/>
  <c r="L76" i="21" s="1"/>
  <c r="M74" i="8"/>
  <c r="M76" i="21" s="1"/>
  <c r="N74" i="8"/>
  <c r="N76" i="21" s="1"/>
  <c r="O74" i="8"/>
  <c r="O76" i="21" s="1"/>
  <c r="P74" i="8"/>
  <c r="P76" i="21" s="1"/>
  <c r="Q74" i="8"/>
  <c r="Q76" i="21" s="1"/>
  <c r="R74" i="8"/>
  <c r="R76" i="21" s="1"/>
  <c r="S74" i="8"/>
  <c r="S76" i="21" s="1"/>
  <c r="T74" i="8"/>
  <c r="T76" i="21" s="1"/>
  <c r="U74" i="8"/>
  <c r="U76" i="21" s="1"/>
  <c r="V74" i="8"/>
  <c r="V76" i="21" s="1"/>
  <c r="W74" i="8"/>
  <c r="W76" i="21" s="1"/>
  <c r="X74" i="8"/>
  <c r="X76" i="21" s="1"/>
  <c r="Y74" i="8"/>
  <c r="Y76" i="21" s="1"/>
  <c r="Z74" i="8"/>
  <c r="Z76" i="21" s="1"/>
  <c r="AA74" i="8"/>
  <c r="AA76" i="21" s="1"/>
  <c r="AB74" i="8"/>
  <c r="AB76" i="21" s="1"/>
  <c r="AC74" i="8"/>
  <c r="AC76" i="21" s="1"/>
  <c r="AD74" i="8"/>
  <c r="AD76" i="21" s="1"/>
  <c r="AE74" i="8"/>
  <c r="AE76" i="21" s="1"/>
  <c r="AF74" i="8"/>
  <c r="AF76" i="21" s="1"/>
  <c r="AG74" i="8"/>
  <c r="AG76" i="21" s="1"/>
  <c r="A75" i="8"/>
  <c r="A77" i="21" s="1"/>
  <c r="B75" i="8"/>
  <c r="B77" i="21" s="1"/>
  <c r="C75" i="8"/>
  <c r="C77" i="21" s="1"/>
  <c r="D75" i="8"/>
  <c r="D77" i="21" s="1"/>
  <c r="E75" i="8"/>
  <c r="E77" i="21" s="1"/>
  <c r="F75" i="8"/>
  <c r="F77" i="21" s="1"/>
  <c r="G75" i="8"/>
  <c r="G77" i="21" s="1"/>
  <c r="H75" i="8"/>
  <c r="H77" i="21" s="1"/>
  <c r="I75" i="8"/>
  <c r="I77" i="21" s="1"/>
  <c r="J75" i="8"/>
  <c r="J77" i="21" s="1"/>
  <c r="K75" i="8"/>
  <c r="K77" i="21" s="1"/>
  <c r="L75" i="8"/>
  <c r="L77" i="21" s="1"/>
  <c r="M75" i="8"/>
  <c r="M77" i="21" s="1"/>
  <c r="N75" i="8"/>
  <c r="N77" i="21" s="1"/>
  <c r="O75" i="8"/>
  <c r="O77" i="21" s="1"/>
  <c r="P75" i="8"/>
  <c r="P77" i="21" s="1"/>
  <c r="Q75" i="8"/>
  <c r="Q77" i="21" s="1"/>
  <c r="R75" i="8"/>
  <c r="R77" i="21" s="1"/>
  <c r="S75" i="8"/>
  <c r="S77" i="21" s="1"/>
  <c r="T75" i="8"/>
  <c r="T77" i="21" s="1"/>
  <c r="U75" i="8"/>
  <c r="U77" i="21" s="1"/>
  <c r="V75" i="8"/>
  <c r="V77" i="21" s="1"/>
  <c r="W75" i="8"/>
  <c r="W77" i="21" s="1"/>
  <c r="X75" i="8"/>
  <c r="X77" i="21" s="1"/>
  <c r="Y75" i="8"/>
  <c r="Y77" i="21" s="1"/>
  <c r="Z75" i="8"/>
  <c r="Z77" i="21" s="1"/>
  <c r="AA75" i="8"/>
  <c r="AA77" i="21" s="1"/>
  <c r="AB75" i="8"/>
  <c r="AB77" i="21" s="1"/>
  <c r="AC75" i="8"/>
  <c r="AC77" i="21" s="1"/>
  <c r="AD75" i="8"/>
  <c r="AD77" i="21" s="1"/>
  <c r="AE75" i="8"/>
  <c r="AE77" i="21" s="1"/>
  <c r="AF75" i="8"/>
  <c r="AF77" i="21" s="1"/>
  <c r="AG75" i="8"/>
  <c r="AG77" i="21" s="1"/>
  <c r="A76" i="8"/>
  <c r="A78" i="21" s="1"/>
  <c r="B76" i="8"/>
  <c r="B78" i="21" s="1"/>
  <c r="C76" i="8"/>
  <c r="C78" i="21" s="1"/>
  <c r="D76" i="8"/>
  <c r="D78" i="21" s="1"/>
  <c r="E76" i="8"/>
  <c r="E78" i="21" s="1"/>
  <c r="F76" i="8"/>
  <c r="F78" i="21" s="1"/>
  <c r="G76" i="8"/>
  <c r="G78" i="21" s="1"/>
  <c r="H76" i="8"/>
  <c r="H78" i="21" s="1"/>
  <c r="I76" i="8"/>
  <c r="I78" i="21" s="1"/>
  <c r="J76" i="8"/>
  <c r="J78" i="21" s="1"/>
  <c r="K76" i="8"/>
  <c r="K78" i="21" s="1"/>
  <c r="L76" i="8"/>
  <c r="L78" i="21" s="1"/>
  <c r="M76" i="8"/>
  <c r="M78" i="21" s="1"/>
  <c r="N76" i="8"/>
  <c r="N78" i="21" s="1"/>
  <c r="O76" i="8"/>
  <c r="O78" i="21" s="1"/>
  <c r="P76" i="8"/>
  <c r="P78" i="21" s="1"/>
  <c r="Q76" i="8"/>
  <c r="Q78" i="21" s="1"/>
  <c r="R76" i="8"/>
  <c r="R78" i="21" s="1"/>
  <c r="S76" i="8"/>
  <c r="S78" i="21" s="1"/>
  <c r="T76" i="8"/>
  <c r="T78" i="21" s="1"/>
  <c r="U76" i="8"/>
  <c r="U78" i="21" s="1"/>
  <c r="V76" i="8"/>
  <c r="V78" i="21" s="1"/>
  <c r="W76" i="8"/>
  <c r="W78" i="21" s="1"/>
  <c r="X76" i="8"/>
  <c r="X78" i="21" s="1"/>
  <c r="Y76" i="8"/>
  <c r="Y78" i="21" s="1"/>
  <c r="Z76" i="8"/>
  <c r="Z78" i="21" s="1"/>
  <c r="AA76" i="8"/>
  <c r="AA78" i="21" s="1"/>
  <c r="AB76" i="8"/>
  <c r="AB78" i="21" s="1"/>
  <c r="AC76" i="8"/>
  <c r="AC78" i="21" s="1"/>
  <c r="AD76" i="8"/>
  <c r="AD78" i="21" s="1"/>
  <c r="AE76" i="8"/>
  <c r="AE78" i="21" s="1"/>
  <c r="AF76" i="8"/>
  <c r="AF78" i="21" s="1"/>
  <c r="AG76" i="8"/>
  <c r="AG78" i="21" s="1"/>
  <c r="A77" i="8"/>
  <c r="A79" i="21" s="1"/>
  <c r="B77" i="8"/>
  <c r="B79" i="21" s="1"/>
  <c r="C77" i="8"/>
  <c r="C79" i="21" s="1"/>
  <c r="D77" i="8"/>
  <c r="D79" i="21" s="1"/>
  <c r="E77" i="8"/>
  <c r="E79" i="21" s="1"/>
  <c r="F77" i="8"/>
  <c r="F79" i="21" s="1"/>
  <c r="G77" i="8"/>
  <c r="G79" i="21" s="1"/>
  <c r="H77" i="8"/>
  <c r="H79" i="21" s="1"/>
  <c r="I77" i="8"/>
  <c r="I79" i="21" s="1"/>
  <c r="J77" i="8"/>
  <c r="J79" i="21" s="1"/>
  <c r="K77" i="8"/>
  <c r="K79" i="21" s="1"/>
  <c r="L77" i="8"/>
  <c r="L79" i="21" s="1"/>
  <c r="M77" i="8"/>
  <c r="M79" i="21" s="1"/>
  <c r="N77" i="8"/>
  <c r="N79" i="21" s="1"/>
  <c r="O77" i="8"/>
  <c r="O79" i="21" s="1"/>
  <c r="P77" i="8"/>
  <c r="P79" i="21" s="1"/>
  <c r="Q77" i="8"/>
  <c r="Q79" i="21" s="1"/>
  <c r="R77" i="8"/>
  <c r="R79" i="21" s="1"/>
  <c r="S77" i="8"/>
  <c r="S79" i="21" s="1"/>
  <c r="T77" i="8"/>
  <c r="T79" i="21" s="1"/>
  <c r="U77" i="8"/>
  <c r="U79" i="21" s="1"/>
  <c r="V77" i="8"/>
  <c r="V79" i="21" s="1"/>
  <c r="W77" i="8"/>
  <c r="W79" i="21" s="1"/>
  <c r="X77" i="8"/>
  <c r="X79" i="21" s="1"/>
  <c r="Y77" i="8"/>
  <c r="Y79" i="21" s="1"/>
  <c r="Z77" i="8"/>
  <c r="Z79" i="21" s="1"/>
  <c r="AA77" i="8"/>
  <c r="AA79" i="21" s="1"/>
  <c r="AB77" i="8"/>
  <c r="AB79" i="21" s="1"/>
  <c r="AC77" i="8"/>
  <c r="AC79" i="21" s="1"/>
  <c r="AD77" i="8"/>
  <c r="AD79" i="21" s="1"/>
  <c r="AE77" i="8"/>
  <c r="AE79" i="21" s="1"/>
  <c r="AF77" i="8"/>
  <c r="AG77" i="8"/>
  <c r="A78" i="8"/>
  <c r="A80" i="21" s="1"/>
  <c r="B78" i="8"/>
  <c r="B80" i="21" s="1"/>
  <c r="C78" i="8"/>
  <c r="C80" i="21" s="1"/>
  <c r="D78" i="8"/>
  <c r="D80" i="21" s="1"/>
  <c r="E78" i="8"/>
  <c r="E80" i="21" s="1"/>
  <c r="F78" i="8"/>
  <c r="F80" i="21" s="1"/>
  <c r="G78" i="8"/>
  <c r="G80" i="21" s="1"/>
  <c r="H78" i="8"/>
  <c r="H80" i="21" s="1"/>
  <c r="I78" i="8"/>
  <c r="I80" i="21" s="1"/>
  <c r="J78" i="8"/>
  <c r="J80" i="21" s="1"/>
  <c r="K78" i="8"/>
  <c r="K80" i="21" s="1"/>
  <c r="L78" i="8"/>
  <c r="L80" i="21" s="1"/>
  <c r="M78" i="8"/>
  <c r="M80" i="21" s="1"/>
  <c r="N78" i="8"/>
  <c r="N80" i="21" s="1"/>
  <c r="O78" i="8"/>
  <c r="O80" i="21" s="1"/>
  <c r="P78" i="8"/>
  <c r="P80" i="21" s="1"/>
  <c r="Q78" i="8"/>
  <c r="Q80" i="21" s="1"/>
  <c r="R78" i="8"/>
  <c r="R80" i="21" s="1"/>
  <c r="S78" i="8"/>
  <c r="S80" i="21" s="1"/>
  <c r="T78" i="8"/>
  <c r="T80" i="21" s="1"/>
  <c r="U78" i="8"/>
  <c r="U80" i="21" s="1"/>
  <c r="V78" i="8"/>
  <c r="V80" i="21" s="1"/>
  <c r="W78" i="8"/>
  <c r="W80" i="21" s="1"/>
  <c r="X78" i="8"/>
  <c r="X80" i="21" s="1"/>
  <c r="Y78" i="8"/>
  <c r="Y80" i="21" s="1"/>
  <c r="Z78" i="8"/>
  <c r="Z80" i="21" s="1"/>
  <c r="AA78" i="8"/>
  <c r="AA80" i="21" s="1"/>
  <c r="AB78" i="8"/>
  <c r="AB80" i="21" s="1"/>
  <c r="AC78" i="8"/>
  <c r="AC80" i="21" s="1"/>
  <c r="AD78" i="8"/>
  <c r="AD80" i="21" s="1"/>
  <c r="AE78" i="8"/>
  <c r="AE80" i="21" s="1"/>
  <c r="AF78" i="8"/>
  <c r="AF80" i="21" s="1"/>
  <c r="AG78" i="8"/>
  <c r="AG80" i="21" s="1"/>
  <c r="A79" i="8"/>
  <c r="A81" i="21" s="1"/>
  <c r="B79" i="8"/>
  <c r="B81" i="21" s="1"/>
  <c r="C79" i="8"/>
  <c r="C81" i="21" s="1"/>
  <c r="D79" i="8"/>
  <c r="D81" i="21" s="1"/>
  <c r="E79" i="8"/>
  <c r="E81" i="21" s="1"/>
  <c r="F79" i="8"/>
  <c r="F81" i="21" s="1"/>
  <c r="G79" i="8"/>
  <c r="G81" i="21" s="1"/>
  <c r="H79" i="8"/>
  <c r="H81" i="21" s="1"/>
  <c r="I79" i="8"/>
  <c r="I81" i="21" s="1"/>
  <c r="J79" i="8"/>
  <c r="J81" i="21" s="1"/>
  <c r="K79" i="8"/>
  <c r="K81" i="21" s="1"/>
  <c r="L79" i="8"/>
  <c r="L81" i="21" s="1"/>
  <c r="M79" i="8"/>
  <c r="M81" i="21" s="1"/>
  <c r="N79" i="8"/>
  <c r="N81" i="21" s="1"/>
  <c r="O79" i="8"/>
  <c r="O81" i="21" s="1"/>
  <c r="P79" i="8"/>
  <c r="P81" i="21" s="1"/>
  <c r="Q79" i="8"/>
  <c r="Q81" i="21" s="1"/>
  <c r="R79" i="8"/>
  <c r="R81" i="21" s="1"/>
  <c r="S79" i="8"/>
  <c r="S81" i="21" s="1"/>
  <c r="T79" i="8"/>
  <c r="T81" i="21" s="1"/>
  <c r="U79" i="8"/>
  <c r="U81" i="21" s="1"/>
  <c r="V79" i="8"/>
  <c r="V81" i="21" s="1"/>
  <c r="W79" i="8"/>
  <c r="W81" i="21" s="1"/>
  <c r="X79" i="8"/>
  <c r="X81" i="21" s="1"/>
  <c r="Y79" i="8"/>
  <c r="Y81" i="21" s="1"/>
  <c r="Z79" i="8"/>
  <c r="Z81" i="21" s="1"/>
  <c r="AA79" i="8"/>
  <c r="AA81" i="21" s="1"/>
  <c r="AB79" i="8"/>
  <c r="AB81" i="21" s="1"/>
  <c r="AC79" i="8"/>
  <c r="AC81" i="21" s="1"/>
  <c r="AD79" i="8"/>
  <c r="AD81" i="21" s="1"/>
  <c r="AE79" i="8"/>
  <c r="AE81" i="21" s="1"/>
  <c r="AF79" i="8"/>
  <c r="AF81" i="21" s="1"/>
  <c r="AG79" i="8"/>
  <c r="AG81" i="21" s="1"/>
  <c r="A80" i="8"/>
  <c r="A82" i="21" s="1"/>
  <c r="B80" i="8"/>
  <c r="B82" i="21" s="1"/>
  <c r="C80" i="8"/>
  <c r="C82" i="21" s="1"/>
  <c r="D80" i="8"/>
  <c r="D82" i="21" s="1"/>
  <c r="E80" i="8"/>
  <c r="E82" i="21" s="1"/>
  <c r="F80" i="8"/>
  <c r="F82" i="21" s="1"/>
  <c r="G80" i="8"/>
  <c r="G82" i="21" s="1"/>
  <c r="H80" i="8"/>
  <c r="H82" i="21" s="1"/>
  <c r="I80" i="8"/>
  <c r="I82" i="21" s="1"/>
  <c r="J80" i="8"/>
  <c r="J82" i="21" s="1"/>
  <c r="K80" i="8"/>
  <c r="K82" i="21" s="1"/>
  <c r="L80" i="8"/>
  <c r="L82" i="21" s="1"/>
  <c r="M80" i="8"/>
  <c r="M82" i="21" s="1"/>
  <c r="N80" i="8"/>
  <c r="N82" i="21" s="1"/>
  <c r="O80" i="8"/>
  <c r="O82" i="21" s="1"/>
  <c r="P80" i="8"/>
  <c r="P82" i="21" s="1"/>
  <c r="Q80" i="8"/>
  <c r="Q82" i="21" s="1"/>
  <c r="R80" i="8"/>
  <c r="R82" i="21" s="1"/>
  <c r="S80" i="8"/>
  <c r="S82" i="21" s="1"/>
  <c r="T80" i="8"/>
  <c r="T82" i="21" s="1"/>
  <c r="U80" i="8"/>
  <c r="U82" i="21" s="1"/>
  <c r="V80" i="8"/>
  <c r="V82" i="21" s="1"/>
  <c r="W80" i="8"/>
  <c r="W82" i="21" s="1"/>
  <c r="X80" i="8"/>
  <c r="X82" i="21" s="1"/>
  <c r="Y80" i="8"/>
  <c r="Y82" i="21" s="1"/>
  <c r="Z80" i="8"/>
  <c r="Z82" i="21" s="1"/>
  <c r="AA80" i="8"/>
  <c r="AA82" i="21" s="1"/>
  <c r="AB80" i="8"/>
  <c r="AB82" i="21" s="1"/>
  <c r="AC80" i="8"/>
  <c r="AC82" i="21" s="1"/>
  <c r="AD80" i="8"/>
  <c r="AD82" i="21" s="1"/>
  <c r="AE80" i="8"/>
  <c r="AE82" i="21" s="1"/>
  <c r="AF80" i="8"/>
  <c r="AF82" i="21" s="1"/>
  <c r="AG80" i="8"/>
  <c r="AG82" i="21" s="1"/>
  <c r="A81" i="8"/>
  <c r="A83" i="21" s="1"/>
  <c r="B81" i="8"/>
  <c r="B83" i="21" s="1"/>
  <c r="C81" i="8"/>
  <c r="C83" i="21" s="1"/>
  <c r="D81" i="8"/>
  <c r="D83" i="21" s="1"/>
  <c r="E81" i="8"/>
  <c r="E83" i="21" s="1"/>
  <c r="F81" i="8"/>
  <c r="F83" i="21" s="1"/>
  <c r="G81" i="8"/>
  <c r="G83" i="21" s="1"/>
  <c r="H81" i="8"/>
  <c r="H83" i="21" s="1"/>
  <c r="I81" i="8"/>
  <c r="I83" i="21" s="1"/>
  <c r="J81" i="8"/>
  <c r="J83" i="21" s="1"/>
  <c r="K81" i="8"/>
  <c r="K83" i="21" s="1"/>
  <c r="L81" i="8"/>
  <c r="L83" i="21" s="1"/>
  <c r="M81" i="8"/>
  <c r="M83" i="21" s="1"/>
  <c r="N81" i="8"/>
  <c r="N83" i="21" s="1"/>
  <c r="O81" i="8"/>
  <c r="O83" i="21" s="1"/>
  <c r="P81" i="8"/>
  <c r="P83" i="21" s="1"/>
  <c r="Q81" i="8"/>
  <c r="Q83" i="21" s="1"/>
  <c r="R81" i="8"/>
  <c r="R83" i="21" s="1"/>
  <c r="S81" i="8"/>
  <c r="S83" i="21" s="1"/>
  <c r="T81" i="8"/>
  <c r="T83" i="21" s="1"/>
  <c r="U81" i="8"/>
  <c r="U83" i="21" s="1"/>
  <c r="V81" i="8"/>
  <c r="V83" i="21" s="1"/>
  <c r="W81" i="8"/>
  <c r="W83" i="21" s="1"/>
  <c r="X81" i="8"/>
  <c r="X83" i="21" s="1"/>
  <c r="Y81" i="8"/>
  <c r="Y83" i="21" s="1"/>
  <c r="Z81" i="8"/>
  <c r="Z83" i="21" s="1"/>
  <c r="AA81" i="8"/>
  <c r="AA83" i="21" s="1"/>
  <c r="AB81" i="8"/>
  <c r="AB83" i="21" s="1"/>
  <c r="AC81" i="8"/>
  <c r="AC83" i="21" s="1"/>
  <c r="AD81" i="8"/>
  <c r="AD83" i="21" s="1"/>
  <c r="AE81" i="8"/>
  <c r="AE83" i="21" s="1"/>
  <c r="AF81" i="8"/>
  <c r="AF83" i="21" s="1"/>
  <c r="AG81" i="8"/>
  <c r="AG83" i="21" s="1"/>
  <c r="A82" i="8"/>
  <c r="A84" i="21" s="1"/>
  <c r="B82" i="8"/>
  <c r="B84" i="21" s="1"/>
  <c r="C82" i="8"/>
  <c r="C84" i="21" s="1"/>
  <c r="D82" i="8"/>
  <c r="D84" i="21" s="1"/>
  <c r="E82" i="8"/>
  <c r="E84" i="21" s="1"/>
  <c r="F82" i="8"/>
  <c r="F84" i="21" s="1"/>
  <c r="G82" i="8"/>
  <c r="G84" i="21" s="1"/>
  <c r="H82" i="8"/>
  <c r="H84" i="21" s="1"/>
  <c r="I82" i="8"/>
  <c r="I84" i="21" s="1"/>
  <c r="J82" i="8"/>
  <c r="J84" i="21" s="1"/>
  <c r="K82" i="8"/>
  <c r="K84" i="21" s="1"/>
  <c r="L82" i="8"/>
  <c r="L84" i="21" s="1"/>
  <c r="M82" i="8"/>
  <c r="M84" i="21" s="1"/>
  <c r="N82" i="8"/>
  <c r="N84" i="21" s="1"/>
  <c r="O82" i="8"/>
  <c r="O84" i="21" s="1"/>
  <c r="P82" i="8"/>
  <c r="P84" i="21" s="1"/>
  <c r="Q82" i="8"/>
  <c r="Q84" i="21" s="1"/>
  <c r="R82" i="8"/>
  <c r="R84" i="21" s="1"/>
  <c r="S82" i="8"/>
  <c r="S84" i="21" s="1"/>
  <c r="T82" i="8"/>
  <c r="T84" i="21" s="1"/>
  <c r="U82" i="8"/>
  <c r="U84" i="21" s="1"/>
  <c r="V82" i="8"/>
  <c r="V84" i="21" s="1"/>
  <c r="W82" i="8"/>
  <c r="W84" i="21" s="1"/>
  <c r="X82" i="8"/>
  <c r="X84" i="21" s="1"/>
  <c r="Y82" i="8"/>
  <c r="Y84" i="21" s="1"/>
  <c r="Z82" i="8"/>
  <c r="Z84" i="21" s="1"/>
  <c r="AA82" i="8"/>
  <c r="AA84" i="21" s="1"/>
  <c r="AB82" i="8"/>
  <c r="AB84" i="21" s="1"/>
  <c r="AC82" i="8"/>
  <c r="AC84" i="21" s="1"/>
  <c r="AD82" i="8"/>
  <c r="AD84" i="21" s="1"/>
  <c r="AE82" i="8"/>
  <c r="AE84" i="21" s="1"/>
  <c r="AF82" i="8"/>
  <c r="AF84" i="21" s="1"/>
  <c r="AG82" i="8"/>
  <c r="AG84" i="21" s="1"/>
  <c r="A83" i="8"/>
  <c r="A85" i="21" s="1"/>
  <c r="B83" i="8"/>
  <c r="B85" i="21" s="1"/>
  <c r="C83" i="8"/>
  <c r="C85" i="21" s="1"/>
  <c r="D83" i="8"/>
  <c r="D85" i="21" s="1"/>
  <c r="E83" i="8"/>
  <c r="E85" i="21" s="1"/>
  <c r="F83" i="8"/>
  <c r="F85" i="21" s="1"/>
  <c r="G83" i="8"/>
  <c r="G85" i="21" s="1"/>
  <c r="H83" i="8"/>
  <c r="H85" i="21" s="1"/>
  <c r="I83" i="8"/>
  <c r="I85" i="21" s="1"/>
  <c r="J83" i="8"/>
  <c r="J85" i="21" s="1"/>
  <c r="K83" i="8"/>
  <c r="K85" i="21" s="1"/>
  <c r="L83" i="8"/>
  <c r="L85" i="21" s="1"/>
  <c r="M83" i="8"/>
  <c r="M85" i="21" s="1"/>
  <c r="N83" i="8"/>
  <c r="N85" i="21" s="1"/>
  <c r="O83" i="8"/>
  <c r="O85" i="21" s="1"/>
  <c r="P83" i="8"/>
  <c r="P85" i="21" s="1"/>
  <c r="Q83" i="8"/>
  <c r="Q85" i="21" s="1"/>
  <c r="R83" i="8"/>
  <c r="R85" i="21" s="1"/>
  <c r="S83" i="8"/>
  <c r="S85" i="21" s="1"/>
  <c r="T83" i="8"/>
  <c r="T85" i="21" s="1"/>
  <c r="U83" i="8"/>
  <c r="U85" i="21" s="1"/>
  <c r="V83" i="8"/>
  <c r="V85" i="21" s="1"/>
  <c r="W83" i="8"/>
  <c r="W85" i="21" s="1"/>
  <c r="X83" i="8"/>
  <c r="X85" i="21" s="1"/>
  <c r="Y83" i="8"/>
  <c r="Y85" i="21" s="1"/>
  <c r="Z83" i="8"/>
  <c r="Z85" i="21" s="1"/>
  <c r="AA83" i="8"/>
  <c r="AA85" i="21" s="1"/>
  <c r="AB83" i="8"/>
  <c r="AB85" i="21" s="1"/>
  <c r="AC83" i="8"/>
  <c r="AC85" i="21" s="1"/>
  <c r="AD83" i="8"/>
  <c r="AD85" i="21" s="1"/>
  <c r="AE83" i="8"/>
  <c r="AE85" i="21" s="1"/>
  <c r="AF83" i="8"/>
  <c r="AF85" i="21" s="1"/>
  <c r="AG83" i="8"/>
  <c r="AG85" i="21" s="1"/>
  <c r="A84" i="8"/>
  <c r="A86" i="21" s="1"/>
  <c r="B84" i="8"/>
  <c r="B86" i="21" s="1"/>
  <c r="C84" i="8"/>
  <c r="C86" i="21" s="1"/>
  <c r="D84" i="8"/>
  <c r="D86" i="21" s="1"/>
  <c r="E84" i="8"/>
  <c r="E86" i="21" s="1"/>
  <c r="F84" i="8"/>
  <c r="F86" i="21" s="1"/>
  <c r="G84" i="8"/>
  <c r="G86" i="21" s="1"/>
  <c r="H84" i="8"/>
  <c r="H86" i="21" s="1"/>
  <c r="I84" i="8"/>
  <c r="I86" i="21" s="1"/>
  <c r="J84" i="8"/>
  <c r="J86" i="21" s="1"/>
  <c r="K84" i="8"/>
  <c r="K86" i="21" s="1"/>
  <c r="L84" i="8"/>
  <c r="L86" i="21" s="1"/>
  <c r="M84" i="8"/>
  <c r="M86" i="21" s="1"/>
  <c r="N84" i="8"/>
  <c r="N86" i="21" s="1"/>
  <c r="O84" i="8"/>
  <c r="O86" i="21" s="1"/>
  <c r="P84" i="8"/>
  <c r="P86" i="21" s="1"/>
  <c r="Q84" i="8"/>
  <c r="Q86" i="21" s="1"/>
  <c r="R84" i="8"/>
  <c r="R86" i="21" s="1"/>
  <c r="S84" i="8"/>
  <c r="S86" i="21" s="1"/>
  <c r="T84" i="8"/>
  <c r="T86" i="21" s="1"/>
  <c r="U84" i="8"/>
  <c r="U86" i="21" s="1"/>
  <c r="V84" i="8"/>
  <c r="V86" i="21" s="1"/>
  <c r="W84" i="8"/>
  <c r="W86" i="21" s="1"/>
  <c r="X84" i="8"/>
  <c r="X86" i="21" s="1"/>
  <c r="Y84" i="8"/>
  <c r="Y86" i="21" s="1"/>
  <c r="Z84" i="8"/>
  <c r="Z86" i="21" s="1"/>
  <c r="AA84" i="8"/>
  <c r="AA86" i="21" s="1"/>
  <c r="AB84" i="8"/>
  <c r="AB86" i="21" s="1"/>
  <c r="AC84" i="8"/>
  <c r="AC86" i="21" s="1"/>
  <c r="AD84" i="8"/>
  <c r="AD86" i="21" s="1"/>
  <c r="AE84" i="8"/>
  <c r="AE86" i="21" s="1"/>
  <c r="AF84" i="8"/>
  <c r="AF86" i="21" s="1"/>
  <c r="AG84" i="8"/>
  <c r="AG86" i="21" s="1"/>
  <c r="A85" i="8"/>
  <c r="A87" i="21" s="1"/>
  <c r="B85" i="8"/>
  <c r="B87" i="21" s="1"/>
  <c r="C85" i="8"/>
  <c r="C87" i="21" s="1"/>
  <c r="D85" i="8"/>
  <c r="D87" i="21" s="1"/>
  <c r="E85" i="8"/>
  <c r="E87" i="21" s="1"/>
  <c r="F85" i="8"/>
  <c r="F87" i="21" s="1"/>
  <c r="G85" i="8"/>
  <c r="G87" i="21" s="1"/>
  <c r="H85" i="8"/>
  <c r="H87" i="21" s="1"/>
  <c r="I85" i="8"/>
  <c r="I87" i="21" s="1"/>
  <c r="J85" i="8"/>
  <c r="J87" i="21" s="1"/>
  <c r="K85" i="8"/>
  <c r="K87" i="21" s="1"/>
  <c r="L85" i="8"/>
  <c r="L87" i="21" s="1"/>
  <c r="M85" i="8"/>
  <c r="M87" i="21" s="1"/>
  <c r="N85" i="8"/>
  <c r="N87" i="21" s="1"/>
  <c r="O85" i="8"/>
  <c r="O87" i="21" s="1"/>
  <c r="P85" i="8"/>
  <c r="P87" i="21" s="1"/>
  <c r="Q85" i="8"/>
  <c r="Q87" i="21" s="1"/>
  <c r="R85" i="8"/>
  <c r="R87" i="21" s="1"/>
  <c r="S85" i="8"/>
  <c r="S87" i="21" s="1"/>
  <c r="T85" i="8"/>
  <c r="T87" i="21" s="1"/>
  <c r="U85" i="8"/>
  <c r="U87" i="21" s="1"/>
  <c r="V85" i="8"/>
  <c r="V87" i="21" s="1"/>
  <c r="W85" i="8"/>
  <c r="W87" i="21" s="1"/>
  <c r="X85" i="8"/>
  <c r="X87" i="21" s="1"/>
  <c r="Y85" i="8"/>
  <c r="Y87" i="21" s="1"/>
  <c r="Z85" i="8"/>
  <c r="Z87" i="21" s="1"/>
  <c r="AA85" i="8"/>
  <c r="AA87" i="21" s="1"/>
  <c r="AB85" i="8"/>
  <c r="AB87" i="21" s="1"/>
  <c r="AC85" i="8"/>
  <c r="AC87" i="21" s="1"/>
  <c r="AD85" i="8"/>
  <c r="AD87" i="21" s="1"/>
  <c r="AE85" i="8"/>
  <c r="AE87" i="21" s="1"/>
  <c r="AF85" i="8"/>
  <c r="AG85" i="8"/>
  <c r="A86" i="8"/>
  <c r="A88" i="21" s="1"/>
  <c r="B86" i="8"/>
  <c r="B88" i="21" s="1"/>
  <c r="C86" i="8"/>
  <c r="C88" i="21" s="1"/>
  <c r="D86" i="8"/>
  <c r="D88" i="21" s="1"/>
  <c r="E86" i="8"/>
  <c r="E88" i="21" s="1"/>
  <c r="F86" i="8"/>
  <c r="F88" i="21" s="1"/>
  <c r="G86" i="8"/>
  <c r="G88" i="21" s="1"/>
  <c r="H86" i="8"/>
  <c r="H88" i="21" s="1"/>
  <c r="I86" i="8"/>
  <c r="I88" i="21" s="1"/>
  <c r="J86" i="8"/>
  <c r="J88" i="21" s="1"/>
  <c r="K86" i="8"/>
  <c r="K88" i="21" s="1"/>
  <c r="L86" i="8"/>
  <c r="L88" i="21" s="1"/>
  <c r="M86" i="8"/>
  <c r="M88" i="21" s="1"/>
  <c r="N86" i="8"/>
  <c r="N88" i="21" s="1"/>
  <c r="O86" i="8"/>
  <c r="O88" i="21" s="1"/>
  <c r="P86" i="8"/>
  <c r="P88" i="21" s="1"/>
  <c r="Q86" i="8"/>
  <c r="Q88" i="21" s="1"/>
  <c r="R86" i="8"/>
  <c r="R88" i="21" s="1"/>
  <c r="S86" i="8"/>
  <c r="S88" i="21" s="1"/>
  <c r="T86" i="8"/>
  <c r="T88" i="21" s="1"/>
  <c r="U86" i="8"/>
  <c r="U88" i="21" s="1"/>
  <c r="V86" i="8"/>
  <c r="V88" i="21" s="1"/>
  <c r="W86" i="8"/>
  <c r="W88" i="21" s="1"/>
  <c r="X86" i="8"/>
  <c r="X88" i="21" s="1"/>
  <c r="Y86" i="8"/>
  <c r="Y88" i="21" s="1"/>
  <c r="Z86" i="8"/>
  <c r="Z88" i="21" s="1"/>
  <c r="AA86" i="8"/>
  <c r="AA88" i="21" s="1"/>
  <c r="AB86" i="8"/>
  <c r="AB88" i="21" s="1"/>
  <c r="AC86" i="8"/>
  <c r="AC88" i="21" s="1"/>
  <c r="AD86" i="8"/>
  <c r="AD88" i="21" s="1"/>
  <c r="AE86" i="8"/>
  <c r="AE88" i="21" s="1"/>
  <c r="AF86" i="8"/>
  <c r="AF88" i="21" s="1"/>
  <c r="AG86" i="8"/>
  <c r="AG88" i="21" s="1"/>
  <c r="A87" i="8"/>
  <c r="A89" i="21" s="1"/>
  <c r="B87" i="8"/>
  <c r="B89" i="21" s="1"/>
  <c r="C87" i="8"/>
  <c r="C89" i="21" s="1"/>
  <c r="D87" i="8"/>
  <c r="D89" i="21" s="1"/>
  <c r="E87" i="8"/>
  <c r="E89" i="21" s="1"/>
  <c r="F87" i="8"/>
  <c r="F89" i="21" s="1"/>
  <c r="G87" i="8"/>
  <c r="G89" i="21" s="1"/>
  <c r="H87" i="8"/>
  <c r="H89" i="21" s="1"/>
  <c r="I87" i="8"/>
  <c r="I89" i="21" s="1"/>
  <c r="J87" i="8"/>
  <c r="J89" i="21" s="1"/>
  <c r="K87" i="8"/>
  <c r="K89" i="21" s="1"/>
  <c r="L87" i="8"/>
  <c r="L89" i="21" s="1"/>
  <c r="M87" i="8"/>
  <c r="M89" i="21" s="1"/>
  <c r="N87" i="8"/>
  <c r="N89" i="21" s="1"/>
  <c r="O87" i="8"/>
  <c r="O89" i="21" s="1"/>
  <c r="P87" i="8"/>
  <c r="P89" i="21" s="1"/>
  <c r="Q87" i="8"/>
  <c r="Q89" i="21" s="1"/>
  <c r="R87" i="8"/>
  <c r="R89" i="21" s="1"/>
  <c r="S87" i="8"/>
  <c r="S89" i="21" s="1"/>
  <c r="T87" i="8"/>
  <c r="T89" i="21" s="1"/>
  <c r="U87" i="8"/>
  <c r="U89" i="21" s="1"/>
  <c r="V87" i="8"/>
  <c r="V89" i="21" s="1"/>
  <c r="W87" i="8"/>
  <c r="W89" i="21" s="1"/>
  <c r="X87" i="8"/>
  <c r="X89" i="21" s="1"/>
  <c r="Y87" i="8"/>
  <c r="Y89" i="21" s="1"/>
  <c r="Z87" i="8"/>
  <c r="Z89" i="21" s="1"/>
  <c r="AA87" i="8"/>
  <c r="AA89" i="21" s="1"/>
  <c r="AB87" i="8"/>
  <c r="AB89" i="21" s="1"/>
  <c r="AC87" i="8"/>
  <c r="AC89" i="21" s="1"/>
  <c r="AD87" i="8"/>
  <c r="AD89" i="21" s="1"/>
  <c r="AE87" i="8"/>
  <c r="AE89" i="21" s="1"/>
  <c r="AF87" i="8"/>
  <c r="AF89" i="21" s="1"/>
  <c r="AG87" i="8"/>
  <c r="AG89" i="21" s="1"/>
  <c r="A88" i="8"/>
  <c r="A90" i="21" s="1"/>
  <c r="B88" i="8"/>
  <c r="B90" i="21" s="1"/>
  <c r="C88" i="8"/>
  <c r="C90" i="21" s="1"/>
  <c r="D88" i="8"/>
  <c r="D90" i="21" s="1"/>
  <c r="E88" i="8"/>
  <c r="E90" i="21" s="1"/>
  <c r="F88" i="8"/>
  <c r="F90" i="21" s="1"/>
  <c r="G88" i="8"/>
  <c r="G90" i="21" s="1"/>
  <c r="H88" i="8"/>
  <c r="H90" i="21" s="1"/>
  <c r="I88" i="8"/>
  <c r="I90" i="21" s="1"/>
  <c r="J88" i="8"/>
  <c r="J90" i="21" s="1"/>
  <c r="K88" i="8"/>
  <c r="K90" i="21" s="1"/>
  <c r="L88" i="8"/>
  <c r="L90" i="21" s="1"/>
  <c r="M88" i="8"/>
  <c r="M90" i="21" s="1"/>
  <c r="N88" i="8"/>
  <c r="N90" i="21" s="1"/>
  <c r="O88" i="8"/>
  <c r="O90" i="21" s="1"/>
  <c r="P88" i="8"/>
  <c r="P90" i="21" s="1"/>
  <c r="Q88" i="8"/>
  <c r="Q90" i="21" s="1"/>
  <c r="R88" i="8"/>
  <c r="R90" i="21" s="1"/>
  <c r="S88" i="8"/>
  <c r="S90" i="21" s="1"/>
  <c r="T88" i="8"/>
  <c r="T90" i="21" s="1"/>
  <c r="U88" i="8"/>
  <c r="U90" i="21" s="1"/>
  <c r="V88" i="8"/>
  <c r="V90" i="21" s="1"/>
  <c r="W88" i="8"/>
  <c r="W90" i="21" s="1"/>
  <c r="X88" i="8"/>
  <c r="X90" i="21" s="1"/>
  <c r="Y88" i="8"/>
  <c r="Y90" i="21" s="1"/>
  <c r="Z88" i="8"/>
  <c r="Z90" i="21" s="1"/>
  <c r="AA88" i="8"/>
  <c r="AA90" i="21" s="1"/>
  <c r="AB88" i="8"/>
  <c r="AB90" i="21" s="1"/>
  <c r="AC88" i="8"/>
  <c r="AC90" i="21" s="1"/>
  <c r="AD88" i="8"/>
  <c r="AD90" i="21" s="1"/>
  <c r="AE88" i="8"/>
  <c r="AE90" i="21" s="1"/>
  <c r="AF88" i="8"/>
  <c r="AF90" i="21" s="1"/>
  <c r="AG88" i="8"/>
  <c r="AG90" i="21" s="1"/>
  <c r="A89" i="8"/>
  <c r="A91" i="21" s="1"/>
  <c r="B89" i="8"/>
  <c r="B91" i="21" s="1"/>
  <c r="C89" i="8"/>
  <c r="C91" i="21" s="1"/>
  <c r="D89" i="8"/>
  <c r="D91" i="21" s="1"/>
  <c r="E89" i="8"/>
  <c r="E91" i="21" s="1"/>
  <c r="F89" i="8"/>
  <c r="F91" i="21" s="1"/>
  <c r="G89" i="8"/>
  <c r="G91" i="21" s="1"/>
  <c r="H89" i="8"/>
  <c r="H91" i="21" s="1"/>
  <c r="I89" i="8"/>
  <c r="I91" i="21" s="1"/>
  <c r="J89" i="8"/>
  <c r="J91" i="21" s="1"/>
  <c r="K89" i="8"/>
  <c r="K91" i="21" s="1"/>
  <c r="L89" i="8"/>
  <c r="L91" i="21" s="1"/>
  <c r="M89" i="8"/>
  <c r="M91" i="21" s="1"/>
  <c r="N89" i="8"/>
  <c r="N91" i="21" s="1"/>
  <c r="O89" i="8"/>
  <c r="O91" i="21" s="1"/>
  <c r="P89" i="8"/>
  <c r="P91" i="21" s="1"/>
  <c r="Q89" i="8"/>
  <c r="Q91" i="21" s="1"/>
  <c r="R89" i="8"/>
  <c r="R91" i="21" s="1"/>
  <c r="S89" i="8"/>
  <c r="S91" i="21" s="1"/>
  <c r="T89" i="8"/>
  <c r="T91" i="21" s="1"/>
  <c r="U89" i="8"/>
  <c r="U91" i="21" s="1"/>
  <c r="V89" i="8"/>
  <c r="V91" i="21" s="1"/>
  <c r="W89" i="8"/>
  <c r="W91" i="21" s="1"/>
  <c r="X89" i="8"/>
  <c r="X91" i="21" s="1"/>
  <c r="Y89" i="8"/>
  <c r="Y91" i="21" s="1"/>
  <c r="Z89" i="8"/>
  <c r="Z91" i="21" s="1"/>
  <c r="AA89" i="8"/>
  <c r="AA91" i="21" s="1"/>
  <c r="AB89" i="8"/>
  <c r="AB91" i="21" s="1"/>
  <c r="AC89" i="8"/>
  <c r="AC91" i="21" s="1"/>
  <c r="AD89" i="8"/>
  <c r="AD91" i="21" s="1"/>
  <c r="AE89" i="8"/>
  <c r="AE91" i="21" s="1"/>
  <c r="AF89" i="8"/>
  <c r="AG89" i="8"/>
  <c r="A90" i="8"/>
  <c r="A92" i="21" s="1"/>
  <c r="B90" i="8"/>
  <c r="B92" i="21" s="1"/>
  <c r="C90" i="8"/>
  <c r="C92" i="21" s="1"/>
  <c r="D90" i="8"/>
  <c r="D92" i="21" s="1"/>
  <c r="E90" i="8"/>
  <c r="E92" i="21" s="1"/>
  <c r="F90" i="8"/>
  <c r="F92" i="21" s="1"/>
  <c r="G90" i="8"/>
  <c r="G92" i="21" s="1"/>
  <c r="H90" i="8"/>
  <c r="H92" i="21" s="1"/>
  <c r="I90" i="8"/>
  <c r="I92" i="21" s="1"/>
  <c r="J90" i="8"/>
  <c r="J92" i="21" s="1"/>
  <c r="K90" i="8"/>
  <c r="K92" i="21" s="1"/>
  <c r="L90" i="8"/>
  <c r="L92" i="21" s="1"/>
  <c r="M90" i="8"/>
  <c r="M92" i="21" s="1"/>
  <c r="N90" i="8"/>
  <c r="N92" i="21" s="1"/>
  <c r="O90" i="8"/>
  <c r="O92" i="21" s="1"/>
  <c r="P90" i="8"/>
  <c r="P92" i="21" s="1"/>
  <c r="Q90" i="8"/>
  <c r="Q92" i="21" s="1"/>
  <c r="R90" i="8"/>
  <c r="R92" i="21" s="1"/>
  <c r="S90" i="8"/>
  <c r="S92" i="21" s="1"/>
  <c r="T90" i="8"/>
  <c r="T92" i="21" s="1"/>
  <c r="U90" i="8"/>
  <c r="U92" i="21" s="1"/>
  <c r="V90" i="8"/>
  <c r="V92" i="21" s="1"/>
  <c r="W90" i="8"/>
  <c r="W92" i="21" s="1"/>
  <c r="X90" i="8"/>
  <c r="X92" i="21" s="1"/>
  <c r="Y90" i="8"/>
  <c r="Y92" i="21" s="1"/>
  <c r="Z90" i="8"/>
  <c r="Z92" i="21" s="1"/>
  <c r="AA90" i="8"/>
  <c r="AA92" i="21" s="1"/>
  <c r="AB90" i="8"/>
  <c r="AB92" i="21" s="1"/>
  <c r="AC90" i="8"/>
  <c r="AC92" i="21" s="1"/>
  <c r="AD90" i="8"/>
  <c r="AD92" i="21" s="1"/>
  <c r="AE90" i="8"/>
  <c r="AE92" i="21" s="1"/>
  <c r="AF90" i="8"/>
  <c r="AF92" i="21" s="1"/>
  <c r="AG90" i="8"/>
  <c r="AG92" i="21" s="1"/>
  <c r="A91" i="8"/>
  <c r="A93" i="21" s="1"/>
  <c r="B91" i="8"/>
  <c r="B93" i="21" s="1"/>
  <c r="C91" i="8"/>
  <c r="C93" i="21" s="1"/>
  <c r="D91" i="8"/>
  <c r="D93" i="21" s="1"/>
  <c r="E91" i="8"/>
  <c r="E93" i="21" s="1"/>
  <c r="F91" i="8"/>
  <c r="F93" i="21" s="1"/>
  <c r="G91" i="8"/>
  <c r="G93" i="21" s="1"/>
  <c r="H91" i="8"/>
  <c r="H93" i="21" s="1"/>
  <c r="I91" i="8"/>
  <c r="I93" i="21" s="1"/>
  <c r="J91" i="8"/>
  <c r="J93" i="21" s="1"/>
  <c r="K91" i="8"/>
  <c r="K93" i="21" s="1"/>
  <c r="L91" i="8"/>
  <c r="L93" i="21" s="1"/>
  <c r="M91" i="8"/>
  <c r="M93" i="21" s="1"/>
  <c r="N91" i="8"/>
  <c r="N93" i="21" s="1"/>
  <c r="O91" i="8"/>
  <c r="O93" i="21" s="1"/>
  <c r="P91" i="8"/>
  <c r="P93" i="21" s="1"/>
  <c r="Q91" i="8"/>
  <c r="Q93" i="21" s="1"/>
  <c r="R91" i="8"/>
  <c r="R93" i="21" s="1"/>
  <c r="S91" i="8"/>
  <c r="S93" i="21" s="1"/>
  <c r="T91" i="8"/>
  <c r="T93" i="21" s="1"/>
  <c r="U91" i="8"/>
  <c r="U93" i="21" s="1"/>
  <c r="V91" i="8"/>
  <c r="V93" i="21" s="1"/>
  <c r="W91" i="8"/>
  <c r="W93" i="21" s="1"/>
  <c r="X91" i="8"/>
  <c r="X93" i="21" s="1"/>
  <c r="Y91" i="8"/>
  <c r="Y93" i="21" s="1"/>
  <c r="Z91" i="8"/>
  <c r="Z93" i="21" s="1"/>
  <c r="AA91" i="8"/>
  <c r="AA93" i="21" s="1"/>
  <c r="AB91" i="8"/>
  <c r="AB93" i="21" s="1"/>
  <c r="AC91" i="8"/>
  <c r="AC93" i="21" s="1"/>
  <c r="AD91" i="8"/>
  <c r="AD93" i="21" s="1"/>
  <c r="AE91" i="8"/>
  <c r="AE93" i="21" s="1"/>
  <c r="AF91" i="8"/>
  <c r="AF93" i="21" s="1"/>
  <c r="AG91" i="8"/>
  <c r="AG93" i="21" s="1"/>
  <c r="A92" i="8"/>
  <c r="A94" i="21" s="1"/>
  <c r="B92" i="8"/>
  <c r="B94" i="21" s="1"/>
  <c r="C92" i="8"/>
  <c r="C94" i="21" s="1"/>
  <c r="D92" i="8"/>
  <c r="D94" i="21" s="1"/>
  <c r="E92" i="8"/>
  <c r="E94" i="21" s="1"/>
  <c r="F92" i="8"/>
  <c r="F94" i="21" s="1"/>
  <c r="G92" i="8"/>
  <c r="G94" i="21" s="1"/>
  <c r="H92" i="8"/>
  <c r="H94" i="21" s="1"/>
  <c r="I92" i="8"/>
  <c r="I94" i="21" s="1"/>
  <c r="J92" i="8"/>
  <c r="J94" i="21" s="1"/>
  <c r="K92" i="8"/>
  <c r="K94" i="21" s="1"/>
  <c r="L92" i="8"/>
  <c r="L94" i="21" s="1"/>
  <c r="M92" i="8"/>
  <c r="M94" i="21" s="1"/>
  <c r="N92" i="8"/>
  <c r="N94" i="21" s="1"/>
  <c r="O92" i="8"/>
  <c r="O94" i="21" s="1"/>
  <c r="P92" i="8"/>
  <c r="P94" i="21" s="1"/>
  <c r="Q92" i="8"/>
  <c r="Q94" i="21" s="1"/>
  <c r="R92" i="8"/>
  <c r="R94" i="21" s="1"/>
  <c r="S92" i="8"/>
  <c r="S94" i="21" s="1"/>
  <c r="T92" i="8"/>
  <c r="T94" i="21" s="1"/>
  <c r="U92" i="8"/>
  <c r="U94" i="21" s="1"/>
  <c r="V92" i="8"/>
  <c r="V94" i="21" s="1"/>
  <c r="W92" i="8"/>
  <c r="W94" i="21" s="1"/>
  <c r="X92" i="8"/>
  <c r="X94" i="21" s="1"/>
  <c r="Y92" i="8"/>
  <c r="Y94" i="21" s="1"/>
  <c r="Z92" i="8"/>
  <c r="Z94" i="21" s="1"/>
  <c r="AA92" i="8"/>
  <c r="AA94" i="21" s="1"/>
  <c r="AB92" i="8"/>
  <c r="AB94" i="21" s="1"/>
  <c r="AC92" i="8"/>
  <c r="AC94" i="21" s="1"/>
  <c r="AD92" i="8"/>
  <c r="AD94" i="21" s="1"/>
  <c r="AE92" i="8"/>
  <c r="AE94" i="21" s="1"/>
  <c r="AF92" i="8"/>
  <c r="AF94" i="21" s="1"/>
  <c r="AG92" i="8"/>
  <c r="AG94" i="21" s="1"/>
  <c r="A93" i="8"/>
  <c r="A95" i="21" s="1"/>
  <c r="B93" i="8"/>
  <c r="B95" i="21" s="1"/>
  <c r="C93" i="8"/>
  <c r="C95" i="21" s="1"/>
  <c r="D93" i="8"/>
  <c r="D95" i="21" s="1"/>
  <c r="E93" i="8"/>
  <c r="E95" i="21" s="1"/>
  <c r="F93" i="8"/>
  <c r="F95" i="21" s="1"/>
  <c r="G93" i="8"/>
  <c r="G95" i="21" s="1"/>
  <c r="H93" i="8"/>
  <c r="H95" i="21" s="1"/>
  <c r="I93" i="8"/>
  <c r="I95" i="21" s="1"/>
  <c r="J93" i="8"/>
  <c r="J95" i="21" s="1"/>
  <c r="K93" i="8"/>
  <c r="K95" i="21" s="1"/>
  <c r="L93" i="8"/>
  <c r="L95" i="21" s="1"/>
  <c r="M93" i="8"/>
  <c r="M95" i="21" s="1"/>
  <c r="N93" i="8"/>
  <c r="N95" i="21" s="1"/>
  <c r="O93" i="8"/>
  <c r="O95" i="21" s="1"/>
  <c r="P93" i="8"/>
  <c r="P95" i="21" s="1"/>
  <c r="Q93" i="8"/>
  <c r="Q95" i="21" s="1"/>
  <c r="R93" i="8"/>
  <c r="R95" i="21" s="1"/>
  <c r="S93" i="8"/>
  <c r="S95" i="21" s="1"/>
  <c r="T93" i="8"/>
  <c r="T95" i="21" s="1"/>
  <c r="U93" i="8"/>
  <c r="U95" i="21" s="1"/>
  <c r="V93" i="8"/>
  <c r="V95" i="21" s="1"/>
  <c r="W93" i="8"/>
  <c r="W95" i="21" s="1"/>
  <c r="X93" i="8"/>
  <c r="X95" i="21" s="1"/>
  <c r="Y93" i="8"/>
  <c r="Y95" i="21" s="1"/>
  <c r="Z93" i="8"/>
  <c r="Z95" i="21" s="1"/>
  <c r="AA93" i="8"/>
  <c r="AA95" i="21" s="1"/>
  <c r="AB93" i="8"/>
  <c r="AB95" i="21" s="1"/>
  <c r="AC93" i="8"/>
  <c r="AC95" i="21" s="1"/>
  <c r="AD93" i="8"/>
  <c r="AD95" i="21" s="1"/>
  <c r="AE93" i="8"/>
  <c r="AE95" i="21" s="1"/>
  <c r="AF93" i="8"/>
  <c r="AF95" i="21" s="1"/>
  <c r="AG93" i="8"/>
  <c r="AG95" i="21" s="1"/>
  <c r="A94" i="8"/>
  <c r="A96" i="21" s="1"/>
  <c r="B94" i="8"/>
  <c r="B96" i="21" s="1"/>
  <c r="C94" i="8"/>
  <c r="C96" i="21" s="1"/>
  <c r="D94" i="8"/>
  <c r="D96" i="21" s="1"/>
  <c r="E94" i="8"/>
  <c r="E96" i="21" s="1"/>
  <c r="F94" i="8"/>
  <c r="F96" i="21" s="1"/>
  <c r="G94" i="8"/>
  <c r="G96" i="21" s="1"/>
  <c r="H94" i="8"/>
  <c r="H96" i="21" s="1"/>
  <c r="I94" i="8"/>
  <c r="I96" i="21" s="1"/>
  <c r="J94" i="8"/>
  <c r="J96" i="21" s="1"/>
  <c r="K94" i="8"/>
  <c r="K96" i="21" s="1"/>
  <c r="L94" i="8"/>
  <c r="L96" i="21" s="1"/>
  <c r="M94" i="8"/>
  <c r="M96" i="21" s="1"/>
  <c r="N94" i="8"/>
  <c r="N96" i="21" s="1"/>
  <c r="O94" i="8"/>
  <c r="O96" i="21" s="1"/>
  <c r="P94" i="8"/>
  <c r="P96" i="21" s="1"/>
  <c r="Q94" i="8"/>
  <c r="Q96" i="21" s="1"/>
  <c r="R94" i="8"/>
  <c r="R96" i="21" s="1"/>
  <c r="S94" i="8"/>
  <c r="S96" i="21" s="1"/>
  <c r="T94" i="8"/>
  <c r="T96" i="21" s="1"/>
  <c r="U94" i="8"/>
  <c r="U96" i="21" s="1"/>
  <c r="V94" i="8"/>
  <c r="V96" i="21" s="1"/>
  <c r="W94" i="8"/>
  <c r="W96" i="21" s="1"/>
  <c r="X94" i="8"/>
  <c r="X96" i="21" s="1"/>
  <c r="Y94" i="8"/>
  <c r="Y96" i="21" s="1"/>
  <c r="Z94" i="8"/>
  <c r="Z96" i="21" s="1"/>
  <c r="AA94" i="8"/>
  <c r="AA96" i="21" s="1"/>
  <c r="AB94" i="8"/>
  <c r="AB96" i="21" s="1"/>
  <c r="AC94" i="8"/>
  <c r="AC96" i="21" s="1"/>
  <c r="AD94" i="8"/>
  <c r="AD96" i="21" s="1"/>
  <c r="AE94" i="8"/>
  <c r="AE96" i="21" s="1"/>
  <c r="AF94" i="8"/>
  <c r="AF96" i="21" s="1"/>
  <c r="AG94" i="8"/>
  <c r="AG96" i="21" s="1"/>
  <c r="A95" i="8"/>
  <c r="A97" i="21" s="1"/>
  <c r="B95" i="8"/>
  <c r="B97" i="21" s="1"/>
  <c r="C95" i="8"/>
  <c r="C97" i="21" s="1"/>
  <c r="D95" i="8"/>
  <c r="D97" i="21" s="1"/>
  <c r="E95" i="8"/>
  <c r="E97" i="21" s="1"/>
  <c r="F95" i="8"/>
  <c r="F97" i="21" s="1"/>
  <c r="G95" i="8"/>
  <c r="G97" i="21" s="1"/>
  <c r="H95" i="8"/>
  <c r="H97" i="21" s="1"/>
  <c r="I95" i="8"/>
  <c r="I97" i="21" s="1"/>
  <c r="J95" i="8"/>
  <c r="J97" i="21" s="1"/>
  <c r="K95" i="8"/>
  <c r="K97" i="21" s="1"/>
  <c r="L95" i="8"/>
  <c r="L97" i="21" s="1"/>
  <c r="M95" i="8"/>
  <c r="M97" i="21" s="1"/>
  <c r="N95" i="8"/>
  <c r="N97" i="21" s="1"/>
  <c r="O95" i="8"/>
  <c r="O97" i="21" s="1"/>
  <c r="P95" i="8"/>
  <c r="P97" i="21" s="1"/>
  <c r="Q95" i="8"/>
  <c r="Q97" i="21" s="1"/>
  <c r="R95" i="8"/>
  <c r="R97" i="21" s="1"/>
  <c r="S95" i="8"/>
  <c r="S97" i="21" s="1"/>
  <c r="T95" i="8"/>
  <c r="T97" i="21" s="1"/>
  <c r="U95" i="8"/>
  <c r="U97" i="21" s="1"/>
  <c r="V95" i="8"/>
  <c r="V97" i="21" s="1"/>
  <c r="W95" i="8"/>
  <c r="W97" i="21" s="1"/>
  <c r="X95" i="8"/>
  <c r="X97" i="21" s="1"/>
  <c r="Y95" i="8"/>
  <c r="Y97" i="21" s="1"/>
  <c r="Z95" i="8"/>
  <c r="Z97" i="21" s="1"/>
  <c r="AA95" i="8"/>
  <c r="AA97" i="21" s="1"/>
  <c r="AB95" i="8"/>
  <c r="AB97" i="21" s="1"/>
  <c r="AC95" i="8"/>
  <c r="AC97" i="21" s="1"/>
  <c r="AD95" i="8"/>
  <c r="AD97" i="21" s="1"/>
  <c r="AE95" i="8"/>
  <c r="AE97" i="21" s="1"/>
  <c r="AF95" i="8"/>
  <c r="AF97" i="21" s="1"/>
  <c r="AG95" i="8"/>
  <c r="AG97" i="21" s="1"/>
  <c r="A96" i="8"/>
  <c r="A98" i="21" s="1"/>
  <c r="B96" i="8"/>
  <c r="B98" i="21" s="1"/>
  <c r="C96" i="8"/>
  <c r="C98" i="21" s="1"/>
  <c r="D96" i="8"/>
  <c r="D98" i="21" s="1"/>
  <c r="E96" i="8"/>
  <c r="E98" i="21" s="1"/>
  <c r="F96" i="8"/>
  <c r="F98" i="21" s="1"/>
  <c r="G96" i="8"/>
  <c r="G98" i="21" s="1"/>
  <c r="H96" i="8"/>
  <c r="H98" i="21" s="1"/>
  <c r="I96" i="8"/>
  <c r="I98" i="21" s="1"/>
  <c r="J96" i="8"/>
  <c r="J98" i="21" s="1"/>
  <c r="K96" i="8"/>
  <c r="K98" i="21" s="1"/>
  <c r="L96" i="8"/>
  <c r="L98" i="21" s="1"/>
  <c r="M96" i="8"/>
  <c r="M98" i="21" s="1"/>
  <c r="N96" i="8"/>
  <c r="N98" i="21" s="1"/>
  <c r="O96" i="8"/>
  <c r="O98" i="21" s="1"/>
  <c r="P96" i="8"/>
  <c r="P98" i="21" s="1"/>
  <c r="Q96" i="8"/>
  <c r="Q98" i="21" s="1"/>
  <c r="R96" i="8"/>
  <c r="R98" i="21" s="1"/>
  <c r="S96" i="8"/>
  <c r="S98" i="21" s="1"/>
  <c r="T96" i="8"/>
  <c r="T98" i="21" s="1"/>
  <c r="U96" i="8"/>
  <c r="U98" i="21" s="1"/>
  <c r="V96" i="8"/>
  <c r="V98" i="21" s="1"/>
  <c r="W96" i="8"/>
  <c r="W98" i="21" s="1"/>
  <c r="X96" i="8"/>
  <c r="X98" i="21" s="1"/>
  <c r="Y96" i="8"/>
  <c r="Y98" i="21" s="1"/>
  <c r="Z96" i="8"/>
  <c r="Z98" i="21" s="1"/>
  <c r="AA96" i="8"/>
  <c r="AA98" i="21" s="1"/>
  <c r="AB96" i="8"/>
  <c r="AB98" i="21" s="1"/>
  <c r="AC96" i="8"/>
  <c r="AC98" i="21" s="1"/>
  <c r="AD96" i="8"/>
  <c r="AD98" i="21" s="1"/>
  <c r="AE96" i="8"/>
  <c r="AE98" i="21" s="1"/>
  <c r="AF96" i="8"/>
  <c r="AF98" i="21" s="1"/>
  <c r="AG96" i="8"/>
  <c r="AG98" i="21" s="1"/>
  <c r="A97" i="8"/>
  <c r="A99" i="21" s="1"/>
  <c r="B97" i="8"/>
  <c r="B99" i="21" s="1"/>
  <c r="C97" i="8"/>
  <c r="C99" i="21" s="1"/>
  <c r="D97" i="8"/>
  <c r="D99" i="21" s="1"/>
  <c r="E97" i="8"/>
  <c r="E99" i="21" s="1"/>
  <c r="F97" i="8"/>
  <c r="F99" i="21" s="1"/>
  <c r="G97" i="8"/>
  <c r="G99" i="21" s="1"/>
  <c r="H97" i="8"/>
  <c r="H99" i="21" s="1"/>
  <c r="I97" i="8"/>
  <c r="I99" i="21" s="1"/>
  <c r="J97" i="8"/>
  <c r="J99" i="21" s="1"/>
  <c r="K97" i="8"/>
  <c r="K99" i="21" s="1"/>
  <c r="L97" i="8"/>
  <c r="L99" i="21" s="1"/>
  <c r="M97" i="8"/>
  <c r="M99" i="21" s="1"/>
  <c r="N97" i="8"/>
  <c r="N99" i="21" s="1"/>
  <c r="O97" i="8"/>
  <c r="O99" i="21" s="1"/>
  <c r="P97" i="8"/>
  <c r="P99" i="21" s="1"/>
  <c r="Q97" i="8"/>
  <c r="Q99" i="21" s="1"/>
  <c r="R97" i="8"/>
  <c r="R99" i="21" s="1"/>
  <c r="S97" i="8"/>
  <c r="S99" i="21" s="1"/>
  <c r="T97" i="8"/>
  <c r="T99" i="21" s="1"/>
  <c r="U97" i="8"/>
  <c r="U99" i="21" s="1"/>
  <c r="V97" i="8"/>
  <c r="V99" i="21" s="1"/>
  <c r="W97" i="8"/>
  <c r="W99" i="21" s="1"/>
  <c r="X97" i="8"/>
  <c r="X99" i="21" s="1"/>
  <c r="Y97" i="8"/>
  <c r="Y99" i="21" s="1"/>
  <c r="Z97" i="8"/>
  <c r="Z99" i="21" s="1"/>
  <c r="AA97" i="8"/>
  <c r="AA99" i="21" s="1"/>
  <c r="AB97" i="8"/>
  <c r="AB99" i="21" s="1"/>
  <c r="AC97" i="8"/>
  <c r="AC99" i="21" s="1"/>
  <c r="AD97" i="8"/>
  <c r="AD99" i="21" s="1"/>
  <c r="AE97" i="8"/>
  <c r="AE99" i="21" s="1"/>
  <c r="AF97" i="8"/>
  <c r="AG97" i="8"/>
  <c r="AG99" i="21" s="1"/>
  <c r="A98" i="8"/>
  <c r="A100" i="21" s="1"/>
  <c r="B98" i="8"/>
  <c r="B100" i="21" s="1"/>
  <c r="C98" i="8"/>
  <c r="C100" i="21" s="1"/>
  <c r="D98" i="8"/>
  <c r="D100" i="21" s="1"/>
  <c r="E98" i="8"/>
  <c r="E100" i="21" s="1"/>
  <c r="F98" i="8"/>
  <c r="F100" i="21" s="1"/>
  <c r="G98" i="8"/>
  <c r="G100" i="21" s="1"/>
  <c r="H98" i="8"/>
  <c r="H100" i="21" s="1"/>
  <c r="I98" i="8"/>
  <c r="I100" i="21" s="1"/>
  <c r="J98" i="8"/>
  <c r="J100" i="21" s="1"/>
  <c r="K98" i="8"/>
  <c r="K100" i="21" s="1"/>
  <c r="L98" i="8"/>
  <c r="L100" i="21" s="1"/>
  <c r="M98" i="8"/>
  <c r="M100" i="21" s="1"/>
  <c r="N98" i="8"/>
  <c r="N100" i="21" s="1"/>
  <c r="O98" i="8"/>
  <c r="O100" i="21" s="1"/>
  <c r="P98" i="8"/>
  <c r="P100" i="21" s="1"/>
  <c r="Q98" i="8"/>
  <c r="Q100" i="21" s="1"/>
  <c r="R98" i="8"/>
  <c r="R100" i="21" s="1"/>
  <c r="S98" i="8"/>
  <c r="S100" i="21" s="1"/>
  <c r="T98" i="8"/>
  <c r="T100" i="21" s="1"/>
  <c r="U98" i="8"/>
  <c r="U100" i="21" s="1"/>
  <c r="V98" i="8"/>
  <c r="V100" i="21" s="1"/>
  <c r="W98" i="8"/>
  <c r="W100" i="21" s="1"/>
  <c r="X98" i="8"/>
  <c r="X100" i="21" s="1"/>
  <c r="Y98" i="8"/>
  <c r="Y100" i="21" s="1"/>
  <c r="Z98" i="8"/>
  <c r="Z100" i="21" s="1"/>
  <c r="AA98" i="8"/>
  <c r="AA100" i="21" s="1"/>
  <c r="AB98" i="8"/>
  <c r="AB100" i="21" s="1"/>
  <c r="AC98" i="8"/>
  <c r="AC100" i="21" s="1"/>
  <c r="AD98" i="8"/>
  <c r="AD100" i="21" s="1"/>
  <c r="AE98" i="8"/>
  <c r="AE100" i="21" s="1"/>
  <c r="AF98" i="8"/>
  <c r="AF100" i="21" s="1"/>
  <c r="AG98" i="8"/>
  <c r="AG100" i="21" s="1"/>
  <c r="A99" i="8"/>
  <c r="A101" i="21" s="1"/>
  <c r="B99" i="8"/>
  <c r="B101" i="21" s="1"/>
  <c r="C99" i="8"/>
  <c r="C101" i="21" s="1"/>
  <c r="D99" i="8"/>
  <c r="D101" i="21" s="1"/>
  <c r="E99" i="8"/>
  <c r="E101" i="21" s="1"/>
  <c r="F99" i="8"/>
  <c r="F101" i="21" s="1"/>
  <c r="G99" i="8"/>
  <c r="G101" i="21" s="1"/>
  <c r="H99" i="8"/>
  <c r="H101" i="21" s="1"/>
  <c r="I99" i="8"/>
  <c r="I101" i="21" s="1"/>
  <c r="J99" i="8"/>
  <c r="J101" i="21" s="1"/>
  <c r="K99" i="8"/>
  <c r="K101" i="21" s="1"/>
  <c r="L99" i="8"/>
  <c r="L101" i="21" s="1"/>
  <c r="M99" i="8"/>
  <c r="M101" i="21" s="1"/>
  <c r="N99" i="8"/>
  <c r="N101" i="21" s="1"/>
  <c r="O99" i="8"/>
  <c r="O101" i="21" s="1"/>
  <c r="P99" i="8"/>
  <c r="P101" i="21" s="1"/>
  <c r="Q99" i="8"/>
  <c r="Q101" i="21" s="1"/>
  <c r="R99" i="8"/>
  <c r="R101" i="21" s="1"/>
  <c r="S99" i="8"/>
  <c r="S101" i="21" s="1"/>
  <c r="T99" i="8"/>
  <c r="T101" i="21" s="1"/>
  <c r="U99" i="8"/>
  <c r="U101" i="21" s="1"/>
  <c r="V99" i="8"/>
  <c r="V101" i="21" s="1"/>
  <c r="W99" i="8"/>
  <c r="W101" i="21" s="1"/>
  <c r="X99" i="8"/>
  <c r="X101" i="21" s="1"/>
  <c r="Y99" i="8"/>
  <c r="Y101" i="21" s="1"/>
  <c r="Z99" i="8"/>
  <c r="Z101" i="21" s="1"/>
  <c r="AA99" i="8"/>
  <c r="AA101" i="21" s="1"/>
  <c r="AB99" i="8"/>
  <c r="AB101" i="21" s="1"/>
  <c r="AC99" i="8"/>
  <c r="AC101" i="21" s="1"/>
  <c r="AD99" i="8"/>
  <c r="AD101" i="21" s="1"/>
  <c r="AE99" i="8"/>
  <c r="AE101" i="21" s="1"/>
  <c r="AF99" i="8"/>
  <c r="AF101" i="21" s="1"/>
  <c r="AG99" i="8"/>
  <c r="AG101" i="21" s="1"/>
  <c r="A100" i="8"/>
  <c r="A102" i="21" s="1"/>
  <c r="B100" i="8"/>
  <c r="B102" i="21" s="1"/>
  <c r="C100" i="8"/>
  <c r="C102" i="21" s="1"/>
  <c r="D100" i="8"/>
  <c r="D102" i="21" s="1"/>
  <c r="E100" i="8"/>
  <c r="E102" i="21" s="1"/>
  <c r="F100" i="8"/>
  <c r="F102" i="21" s="1"/>
  <c r="G100" i="8"/>
  <c r="G102" i="21" s="1"/>
  <c r="H100" i="8"/>
  <c r="H102" i="21" s="1"/>
  <c r="I100" i="8"/>
  <c r="I102" i="21" s="1"/>
  <c r="J100" i="8"/>
  <c r="J102" i="21" s="1"/>
  <c r="K100" i="8"/>
  <c r="K102" i="21" s="1"/>
  <c r="L100" i="8"/>
  <c r="L102" i="21" s="1"/>
  <c r="M100" i="8"/>
  <c r="M102" i="21" s="1"/>
  <c r="N100" i="8"/>
  <c r="N102" i="21" s="1"/>
  <c r="O100" i="8"/>
  <c r="O102" i="21" s="1"/>
  <c r="P100" i="8"/>
  <c r="P102" i="21" s="1"/>
  <c r="Q100" i="8"/>
  <c r="Q102" i="21" s="1"/>
  <c r="R100" i="8"/>
  <c r="R102" i="21" s="1"/>
  <c r="S100" i="8"/>
  <c r="S102" i="21" s="1"/>
  <c r="T100" i="8"/>
  <c r="T102" i="21" s="1"/>
  <c r="U100" i="8"/>
  <c r="U102" i="21" s="1"/>
  <c r="V100" i="8"/>
  <c r="V102" i="21" s="1"/>
  <c r="W100" i="8"/>
  <c r="W102" i="21" s="1"/>
  <c r="X100" i="8"/>
  <c r="X102" i="21" s="1"/>
  <c r="Y100" i="8"/>
  <c r="Y102" i="21" s="1"/>
  <c r="Z100" i="8"/>
  <c r="Z102" i="21" s="1"/>
  <c r="AA100" i="8"/>
  <c r="AA102" i="21" s="1"/>
  <c r="AB100" i="8"/>
  <c r="AB102" i="21" s="1"/>
  <c r="AC100" i="8"/>
  <c r="AC102" i="21" s="1"/>
  <c r="AD100" i="8"/>
  <c r="AD102" i="21" s="1"/>
  <c r="AE100" i="8"/>
  <c r="AE102" i="21" s="1"/>
  <c r="AF100" i="8"/>
  <c r="AF102" i="21" s="1"/>
  <c r="AG100" i="8"/>
  <c r="AG102" i="21" s="1"/>
  <c r="A101" i="8"/>
  <c r="A103" i="21" s="1"/>
  <c r="B101" i="8"/>
  <c r="B103" i="21" s="1"/>
  <c r="C101" i="8"/>
  <c r="C103" i="21" s="1"/>
  <c r="D101" i="8"/>
  <c r="D103" i="21" s="1"/>
  <c r="E101" i="8"/>
  <c r="E103" i="21" s="1"/>
  <c r="F101" i="8"/>
  <c r="F103" i="21" s="1"/>
  <c r="G101" i="8"/>
  <c r="G103" i="21" s="1"/>
  <c r="H101" i="8"/>
  <c r="H103" i="21" s="1"/>
  <c r="I101" i="8"/>
  <c r="I103" i="21" s="1"/>
  <c r="J101" i="8"/>
  <c r="J103" i="21" s="1"/>
  <c r="K101" i="8"/>
  <c r="K103" i="21" s="1"/>
  <c r="L101" i="8"/>
  <c r="L103" i="21" s="1"/>
  <c r="M101" i="8"/>
  <c r="M103" i="21" s="1"/>
  <c r="N101" i="8"/>
  <c r="N103" i="21" s="1"/>
  <c r="O101" i="8"/>
  <c r="O103" i="21" s="1"/>
  <c r="P101" i="8"/>
  <c r="P103" i="21" s="1"/>
  <c r="Q101" i="8"/>
  <c r="Q103" i="21" s="1"/>
  <c r="R101" i="8"/>
  <c r="R103" i="21" s="1"/>
  <c r="S101" i="8"/>
  <c r="S103" i="21" s="1"/>
  <c r="T101" i="8"/>
  <c r="T103" i="21" s="1"/>
  <c r="U101" i="8"/>
  <c r="U103" i="21" s="1"/>
  <c r="V101" i="8"/>
  <c r="V103" i="21" s="1"/>
  <c r="W101" i="8"/>
  <c r="W103" i="21" s="1"/>
  <c r="X101" i="8"/>
  <c r="X103" i="21" s="1"/>
  <c r="Y101" i="8"/>
  <c r="Y103" i="21" s="1"/>
  <c r="Z101" i="8"/>
  <c r="Z103" i="21" s="1"/>
  <c r="AA101" i="8"/>
  <c r="AA103" i="21" s="1"/>
  <c r="AB101" i="8"/>
  <c r="AB103" i="21" s="1"/>
  <c r="AC101" i="8"/>
  <c r="AC103" i="21" s="1"/>
  <c r="AD101" i="8"/>
  <c r="AD103" i="21" s="1"/>
  <c r="AE101" i="8"/>
  <c r="AE103" i="21" s="1"/>
  <c r="AF101" i="8"/>
  <c r="AG101" i="8"/>
  <c r="A102" i="8"/>
  <c r="A104" i="21" s="1"/>
  <c r="B102" i="8"/>
  <c r="B104" i="21" s="1"/>
  <c r="C102" i="8"/>
  <c r="C104" i="21" s="1"/>
  <c r="D102" i="8"/>
  <c r="D104" i="21" s="1"/>
  <c r="E102" i="8"/>
  <c r="E104" i="21" s="1"/>
  <c r="F102" i="8"/>
  <c r="F104" i="21" s="1"/>
  <c r="G102" i="8"/>
  <c r="G104" i="21" s="1"/>
  <c r="H102" i="8"/>
  <c r="H104" i="21" s="1"/>
  <c r="I102" i="8"/>
  <c r="I104" i="21" s="1"/>
  <c r="J102" i="8"/>
  <c r="J104" i="21" s="1"/>
  <c r="K102" i="8"/>
  <c r="K104" i="21" s="1"/>
  <c r="L102" i="8"/>
  <c r="L104" i="21" s="1"/>
  <c r="M102" i="8"/>
  <c r="M104" i="21" s="1"/>
  <c r="N102" i="8"/>
  <c r="N104" i="21" s="1"/>
  <c r="O102" i="8"/>
  <c r="O104" i="21" s="1"/>
  <c r="P102" i="8"/>
  <c r="P104" i="21" s="1"/>
  <c r="Q102" i="8"/>
  <c r="Q104" i="21" s="1"/>
  <c r="R102" i="8"/>
  <c r="R104" i="21" s="1"/>
  <c r="S102" i="8"/>
  <c r="S104" i="21" s="1"/>
  <c r="T102" i="8"/>
  <c r="T104" i="21" s="1"/>
  <c r="U102" i="8"/>
  <c r="U104" i="21" s="1"/>
  <c r="V102" i="8"/>
  <c r="V104" i="21" s="1"/>
  <c r="W102" i="8"/>
  <c r="W104" i="21" s="1"/>
  <c r="X102" i="8"/>
  <c r="X104" i="21" s="1"/>
  <c r="Y102" i="8"/>
  <c r="Y104" i="21" s="1"/>
  <c r="Z102" i="8"/>
  <c r="Z104" i="21" s="1"/>
  <c r="AA102" i="8"/>
  <c r="AA104" i="21" s="1"/>
  <c r="AB102" i="8"/>
  <c r="AB104" i="21" s="1"/>
  <c r="AC102" i="8"/>
  <c r="AC104" i="21" s="1"/>
  <c r="AD102" i="8"/>
  <c r="AD104" i="21" s="1"/>
  <c r="AE102" i="8"/>
  <c r="AE104" i="21" s="1"/>
  <c r="AF102" i="8"/>
  <c r="AG102" i="8"/>
  <c r="A103" i="8"/>
  <c r="A105" i="21" s="1"/>
  <c r="B103" i="8"/>
  <c r="B105" i="21" s="1"/>
  <c r="C103" i="8"/>
  <c r="C105" i="21" s="1"/>
  <c r="D103" i="8"/>
  <c r="D105" i="21" s="1"/>
  <c r="E103" i="8"/>
  <c r="E105" i="21" s="1"/>
  <c r="F103" i="8"/>
  <c r="F105" i="21" s="1"/>
  <c r="G103" i="8"/>
  <c r="G105" i="21" s="1"/>
  <c r="H103" i="8"/>
  <c r="H105" i="21" s="1"/>
  <c r="I103" i="8"/>
  <c r="I105" i="21" s="1"/>
  <c r="J103" i="8"/>
  <c r="J105" i="21" s="1"/>
  <c r="K103" i="8"/>
  <c r="K105" i="21" s="1"/>
  <c r="L103" i="8"/>
  <c r="L105" i="21" s="1"/>
  <c r="M103" i="8"/>
  <c r="M105" i="21" s="1"/>
  <c r="N103" i="8"/>
  <c r="N105" i="21" s="1"/>
  <c r="O103" i="8"/>
  <c r="O105" i="21" s="1"/>
  <c r="P103" i="8"/>
  <c r="P105" i="21" s="1"/>
  <c r="Q103" i="8"/>
  <c r="Q105" i="21" s="1"/>
  <c r="R103" i="8"/>
  <c r="R105" i="21" s="1"/>
  <c r="S103" i="8"/>
  <c r="S105" i="21" s="1"/>
  <c r="T103" i="8"/>
  <c r="T105" i="21" s="1"/>
  <c r="U103" i="8"/>
  <c r="U105" i="21" s="1"/>
  <c r="V103" i="8"/>
  <c r="V105" i="21" s="1"/>
  <c r="W103" i="8"/>
  <c r="W105" i="21" s="1"/>
  <c r="X103" i="8"/>
  <c r="X105" i="21" s="1"/>
  <c r="Y103" i="8"/>
  <c r="Y105" i="21" s="1"/>
  <c r="Z103" i="8"/>
  <c r="Z105" i="21" s="1"/>
  <c r="AA103" i="8"/>
  <c r="AA105" i="21" s="1"/>
  <c r="AB103" i="8"/>
  <c r="AB105" i="21" s="1"/>
  <c r="AC103" i="8"/>
  <c r="AC105" i="21" s="1"/>
  <c r="AD103" i="8"/>
  <c r="AD105" i="21" s="1"/>
  <c r="AE103" i="8"/>
  <c r="AE105" i="21" s="1"/>
  <c r="AF103" i="8"/>
  <c r="AF105" i="21" s="1"/>
  <c r="AG103" i="8"/>
  <c r="AG105" i="21" s="1"/>
  <c r="A104" i="8"/>
  <c r="A106" i="21" s="1"/>
  <c r="B104" i="8"/>
  <c r="B106" i="21" s="1"/>
  <c r="C104" i="8"/>
  <c r="C106" i="21" s="1"/>
  <c r="D104" i="8"/>
  <c r="D106" i="21" s="1"/>
  <c r="E104" i="8"/>
  <c r="E106" i="21" s="1"/>
  <c r="F104" i="8"/>
  <c r="F106" i="21" s="1"/>
  <c r="G104" i="8"/>
  <c r="G106" i="21" s="1"/>
  <c r="H104" i="8"/>
  <c r="H106" i="21" s="1"/>
  <c r="I104" i="8"/>
  <c r="I106" i="21" s="1"/>
  <c r="J104" i="8"/>
  <c r="J106" i="21" s="1"/>
  <c r="K104" i="8"/>
  <c r="K106" i="21" s="1"/>
  <c r="L104" i="8"/>
  <c r="L106" i="21" s="1"/>
  <c r="M104" i="8"/>
  <c r="M106" i="21" s="1"/>
  <c r="N104" i="8"/>
  <c r="N106" i="21" s="1"/>
  <c r="O104" i="8"/>
  <c r="O106" i="21" s="1"/>
  <c r="P104" i="8"/>
  <c r="P106" i="21" s="1"/>
  <c r="Q104" i="8"/>
  <c r="Q106" i="21" s="1"/>
  <c r="R104" i="8"/>
  <c r="R106" i="21" s="1"/>
  <c r="S104" i="8"/>
  <c r="S106" i="21" s="1"/>
  <c r="T104" i="8"/>
  <c r="T106" i="21" s="1"/>
  <c r="U104" i="8"/>
  <c r="U106" i="21" s="1"/>
  <c r="V104" i="8"/>
  <c r="V106" i="21" s="1"/>
  <c r="W104" i="8"/>
  <c r="W106" i="21" s="1"/>
  <c r="X104" i="8"/>
  <c r="X106" i="21" s="1"/>
  <c r="Y104" i="8"/>
  <c r="Y106" i="21" s="1"/>
  <c r="Z104" i="8"/>
  <c r="Z106" i="21" s="1"/>
  <c r="AA104" i="8"/>
  <c r="AA106" i="21" s="1"/>
  <c r="AB104" i="8"/>
  <c r="AB106" i="21" s="1"/>
  <c r="AC104" i="8"/>
  <c r="AC106" i="21" s="1"/>
  <c r="AD104" i="8"/>
  <c r="AD106" i="21" s="1"/>
  <c r="AE104" i="8"/>
  <c r="AE106" i="21" s="1"/>
  <c r="AF104" i="8"/>
  <c r="AG104" i="8"/>
  <c r="AG106" i="21" s="1"/>
  <c r="A105" i="8"/>
  <c r="A107" i="21" s="1"/>
  <c r="B105" i="8"/>
  <c r="B107" i="21" s="1"/>
  <c r="C105" i="8"/>
  <c r="C107" i="21" s="1"/>
  <c r="D105" i="8"/>
  <c r="D107" i="21" s="1"/>
  <c r="E105" i="8"/>
  <c r="E107" i="21" s="1"/>
  <c r="F105" i="8"/>
  <c r="F107" i="21" s="1"/>
  <c r="G105" i="8"/>
  <c r="G107" i="21" s="1"/>
  <c r="H105" i="8"/>
  <c r="H107" i="21" s="1"/>
  <c r="I105" i="8"/>
  <c r="I107" i="21" s="1"/>
  <c r="J105" i="8"/>
  <c r="J107" i="21" s="1"/>
  <c r="K105" i="8"/>
  <c r="K107" i="21" s="1"/>
  <c r="L105" i="8"/>
  <c r="L107" i="21" s="1"/>
  <c r="M105" i="8"/>
  <c r="M107" i="21" s="1"/>
  <c r="N105" i="8"/>
  <c r="N107" i="21" s="1"/>
  <c r="O105" i="8"/>
  <c r="O107" i="21" s="1"/>
  <c r="P105" i="8"/>
  <c r="P107" i="21" s="1"/>
  <c r="Q105" i="8"/>
  <c r="Q107" i="21" s="1"/>
  <c r="R105" i="8"/>
  <c r="R107" i="21" s="1"/>
  <c r="S105" i="8"/>
  <c r="S107" i="21" s="1"/>
  <c r="T105" i="8"/>
  <c r="T107" i="21" s="1"/>
  <c r="U105" i="8"/>
  <c r="U107" i="21" s="1"/>
  <c r="V105" i="8"/>
  <c r="V107" i="21" s="1"/>
  <c r="W105" i="8"/>
  <c r="W107" i="21" s="1"/>
  <c r="X105" i="8"/>
  <c r="X107" i="21" s="1"/>
  <c r="Y105" i="8"/>
  <c r="Y107" i="21" s="1"/>
  <c r="Z105" i="8"/>
  <c r="Z107" i="21" s="1"/>
  <c r="AA105" i="8"/>
  <c r="AA107" i="21" s="1"/>
  <c r="AB105" i="8"/>
  <c r="AB107" i="21" s="1"/>
  <c r="AC105" i="8"/>
  <c r="AC107" i="21" s="1"/>
  <c r="AD105" i="8"/>
  <c r="AD107" i="21" s="1"/>
  <c r="AE105" i="8"/>
  <c r="AE107" i="21" s="1"/>
  <c r="AF105" i="8"/>
  <c r="AG105" i="8"/>
  <c r="AG107" i="21" s="1"/>
  <c r="A106" i="8"/>
  <c r="A108" i="21" s="1"/>
  <c r="B106" i="8"/>
  <c r="B108" i="21" s="1"/>
  <c r="C106" i="8"/>
  <c r="C108" i="21" s="1"/>
  <c r="D106" i="8"/>
  <c r="D108" i="21" s="1"/>
  <c r="E106" i="8"/>
  <c r="E108" i="21" s="1"/>
  <c r="F106" i="8"/>
  <c r="F108" i="21" s="1"/>
  <c r="G106" i="8"/>
  <c r="G108" i="21" s="1"/>
  <c r="H106" i="8"/>
  <c r="H108" i="21" s="1"/>
  <c r="I106" i="8"/>
  <c r="I108" i="21" s="1"/>
  <c r="J106" i="8"/>
  <c r="J108" i="21" s="1"/>
  <c r="K106" i="8"/>
  <c r="K108" i="21" s="1"/>
  <c r="L106" i="8"/>
  <c r="L108" i="21" s="1"/>
  <c r="M106" i="8"/>
  <c r="M108" i="21" s="1"/>
  <c r="N106" i="8"/>
  <c r="N108" i="21" s="1"/>
  <c r="O106" i="8"/>
  <c r="O108" i="21" s="1"/>
  <c r="P106" i="8"/>
  <c r="P108" i="21" s="1"/>
  <c r="Q106" i="8"/>
  <c r="Q108" i="21" s="1"/>
  <c r="R106" i="8"/>
  <c r="R108" i="21" s="1"/>
  <c r="S106" i="8"/>
  <c r="S108" i="21" s="1"/>
  <c r="T106" i="8"/>
  <c r="T108" i="21" s="1"/>
  <c r="U106" i="8"/>
  <c r="U108" i="21" s="1"/>
  <c r="V106" i="8"/>
  <c r="V108" i="21" s="1"/>
  <c r="W106" i="8"/>
  <c r="W108" i="21" s="1"/>
  <c r="X106" i="8"/>
  <c r="X108" i="21" s="1"/>
  <c r="Y106" i="8"/>
  <c r="Y108" i="21" s="1"/>
  <c r="Z106" i="8"/>
  <c r="Z108" i="21" s="1"/>
  <c r="AA106" i="8"/>
  <c r="AA108" i="21" s="1"/>
  <c r="AB106" i="8"/>
  <c r="AB108" i="21" s="1"/>
  <c r="AC106" i="8"/>
  <c r="AC108" i="21" s="1"/>
  <c r="AD106" i="8"/>
  <c r="AD108" i="21" s="1"/>
  <c r="AE106" i="8"/>
  <c r="AE108" i="21" s="1"/>
  <c r="AF106" i="8"/>
  <c r="AG106" i="8"/>
  <c r="AG108" i="21" s="1"/>
  <c r="A107" i="8"/>
  <c r="A109" i="21" s="1"/>
  <c r="B107" i="8"/>
  <c r="B109" i="21" s="1"/>
  <c r="C107" i="8"/>
  <c r="C109" i="21" s="1"/>
  <c r="D107" i="8"/>
  <c r="D109" i="21" s="1"/>
  <c r="E107" i="8"/>
  <c r="E109" i="21" s="1"/>
  <c r="F107" i="8"/>
  <c r="F109" i="21" s="1"/>
  <c r="G107" i="8"/>
  <c r="G109" i="21" s="1"/>
  <c r="H107" i="8"/>
  <c r="H109" i="21" s="1"/>
  <c r="I107" i="8"/>
  <c r="I109" i="21" s="1"/>
  <c r="J107" i="8"/>
  <c r="J109" i="21" s="1"/>
  <c r="K107" i="8"/>
  <c r="K109" i="21" s="1"/>
  <c r="L107" i="8"/>
  <c r="L109" i="21" s="1"/>
  <c r="M107" i="8"/>
  <c r="M109" i="21" s="1"/>
  <c r="N107" i="8"/>
  <c r="N109" i="21" s="1"/>
  <c r="O107" i="8"/>
  <c r="O109" i="21" s="1"/>
  <c r="P107" i="8"/>
  <c r="P109" i="21" s="1"/>
  <c r="Q107" i="8"/>
  <c r="Q109" i="21" s="1"/>
  <c r="R107" i="8"/>
  <c r="R109" i="21" s="1"/>
  <c r="S107" i="8"/>
  <c r="S109" i="21" s="1"/>
  <c r="T107" i="8"/>
  <c r="T109" i="21" s="1"/>
  <c r="U107" i="8"/>
  <c r="U109" i="21" s="1"/>
  <c r="V107" i="8"/>
  <c r="V109" i="21" s="1"/>
  <c r="W107" i="8"/>
  <c r="W109" i="21" s="1"/>
  <c r="X107" i="8"/>
  <c r="X109" i="21" s="1"/>
  <c r="Y107" i="8"/>
  <c r="Y109" i="21" s="1"/>
  <c r="Z107" i="8"/>
  <c r="Z109" i="21" s="1"/>
  <c r="AA107" i="8"/>
  <c r="AA109" i="21" s="1"/>
  <c r="AB107" i="8"/>
  <c r="AB109" i="21" s="1"/>
  <c r="AC107" i="8"/>
  <c r="AC109" i="21" s="1"/>
  <c r="AD107" i="8"/>
  <c r="AD109" i="21" s="1"/>
  <c r="AE107" i="8"/>
  <c r="AE109" i="21" s="1"/>
  <c r="AF107" i="8"/>
  <c r="AF109" i="21" s="1"/>
  <c r="AG107" i="8"/>
  <c r="AG109" i="21" s="1"/>
  <c r="A108" i="8"/>
  <c r="A110" i="21" s="1"/>
  <c r="B108" i="8"/>
  <c r="B110" i="21" s="1"/>
  <c r="C108" i="8"/>
  <c r="C110" i="21" s="1"/>
  <c r="D108" i="8"/>
  <c r="D110" i="21" s="1"/>
  <c r="E108" i="8"/>
  <c r="E110" i="21" s="1"/>
  <c r="F108" i="8"/>
  <c r="F110" i="21" s="1"/>
  <c r="G108" i="8"/>
  <c r="G110" i="21" s="1"/>
  <c r="H108" i="8"/>
  <c r="H110" i="21" s="1"/>
  <c r="I108" i="8"/>
  <c r="I110" i="21" s="1"/>
  <c r="J108" i="8"/>
  <c r="J110" i="21" s="1"/>
  <c r="K108" i="8"/>
  <c r="K110" i="21" s="1"/>
  <c r="L108" i="8"/>
  <c r="L110" i="21" s="1"/>
  <c r="M108" i="8"/>
  <c r="M110" i="21" s="1"/>
  <c r="N108" i="8"/>
  <c r="N110" i="21" s="1"/>
  <c r="O108" i="8"/>
  <c r="O110" i="21" s="1"/>
  <c r="P108" i="8"/>
  <c r="P110" i="21" s="1"/>
  <c r="Q108" i="8"/>
  <c r="Q110" i="21" s="1"/>
  <c r="R108" i="8"/>
  <c r="R110" i="21" s="1"/>
  <c r="S108" i="8"/>
  <c r="S110" i="21" s="1"/>
  <c r="T108" i="8"/>
  <c r="T110" i="21" s="1"/>
  <c r="U108" i="8"/>
  <c r="U110" i="21" s="1"/>
  <c r="V108" i="8"/>
  <c r="V110" i="21" s="1"/>
  <c r="W108" i="8"/>
  <c r="W110" i="21" s="1"/>
  <c r="X108" i="8"/>
  <c r="X110" i="21" s="1"/>
  <c r="Y108" i="8"/>
  <c r="Y110" i="21" s="1"/>
  <c r="Z108" i="8"/>
  <c r="Z110" i="21" s="1"/>
  <c r="AA108" i="8"/>
  <c r="AA110" i="21" s="1"/>
  <c r="AB108" i="8"/>
  <c r="AB110" i="21" s="1"/>
  <c r="AC108" i="8"/>
  <c r="AC110" i="21" s="1"/>
  <c r="AD108" i="8"/>
  <c r="AD110" i="21" s="1"/>
  <c r="AE108" i="8"/>
  <c r="AE110" i="21" s="1"/>
  <c r="AF108" i="8"/>
  <c r="AF110" i="21" s="1"/>
  <c r="AG108" i="8"/>
  <c r="AG110" i="21" s="1"/>
  <c r="A109" i="8"/>
  <c r="A111" i="21" s="1"/>
  <c r="B109" i="8"/>
  <c r="B111" i="21" s="1"/>
  <c r="C109" i="8"/>
  <c r="C111" i="21" s="1"/>
  <c r="D109" i="8"/>
  <c r="D111" i="21" s="1"/>
  <c r="E109" i="8"/>
  <c r="E111" i="21" s="1"/>
  <c r="F109" i="8"/>
  <c r="F111" i="21" s="1"/>
  <c r="G109" i="8"/>
  <c r="G111" i="21" s="1"/>
  <c r="H109" i="8"/>
  <c r="H111" i="21" s="1"/>
  <c r="I109" i="8"/>
  <c r="I111" i="21" s="1"/>
  <c r="J109" i="8"/>
  <c r="J111" i="21" s="1"/>
  <c r="K109" i="8"/>
  <c r="K111" i="21" s="1"/>
  <c r="L109" i="8"/>
  <c r="L111" i="21" s="1"/>
  <c r="M109" i="8"/>
  <c r="M111" i="21" s="1"/>
  <c r="N109" i="8"/>
  <c r="N111" i="21" s="1"/>
  <c r="O109" i="8"/>
  <c r="O111" i="21" s="1"/>
  <c r="P109" i="8"/>
  <c r="P111" i="21" s="1"/>
  <c r="Q109" i="8"/>
  <c r="Q111" i="21" s="1"/>
  <c r="R109" i="8"/>
  <c r="R111" i="21" s="1"/>
  <c r="S109" i="8"/>
  <c r="S111" i="21" s="1"/>
  <c r="T109" i="8"/>
  <c r="T111" i="21" s="1"/>
  <c r="U109" i="8"/>
  <c r="U111" i="21" s="1"/>
  <c r="V109" i="8"/>
  <c r="V111" i="21" s="1"/>
  <c r="W109" i="8"/>
  <c r="W111" i="21" s="1"/>
  <c r="X109" i="8"/>
  <c r="X111" i="21" s="1"/>
  <c r="Y109" i="8"/>
  <c r="Y111" i="21" s="1"/>
  <c r="Z109" i="8"/>
  <c r="Z111" i="21" s="1"/>
  <c r="AA109" i="8"/>
  <c r="AA111" i="21" s="1"/>
  <c r="AB109" i="8"/>
  <c r="AB111" i="21" s="1"/>
  <c r="AC109" i="8"/>
  <c r="AC111" i="21" s="1"/>
  <c r="AD109" i="8"/>
  <c r="AD111" i="21" s="1"/>
  <c r="AE109" i="8"/>
  <c r="AE111" i="21" s="1"/>
  <c r="AF109" i="8"/>
  <c r="AF111" i="21" s="1"/>
  <c r="AG109" i="8"/>
  <c r="AG111" i="21" s="1"/>
  <c r="A110" i="8"/>
  <c r="A112" i="21" s="1"/>
  <c r="B110" i="8"/>
  <c r="B112" i="21" s="1"/>
  <c r="C110" i="8"/>
  <c r="C112" i="21" s="1"/>
  <c r="D110" i="8"/>
  <c r="D112" i="21" s="1"/>
  <c r="E110" i="8"/>
  <c r="E112" i="21" s="1"/>
  <c r="F110" i="8"/>
  <c r="F112" i="21" s="1"/>
  <c r="G110" i="8"/>
  <c r="G112" i="21" s="1"/>
  <c r="H110" i="8"/>
  <c r="H112" i="21" s="1"/>
  <c r="I110" i="8"/>
  <c r="I112" i="21" s="1"/>
  <c r="J110" i="8"/>
  <c r="J112" i="21" s="1"/>
  <c r="K110" i="8"/>
  <c r="K112" i="21" s="1"/>
  <c r="L110" i="8"/>
  <c r="L112" i="21" s="1"/>
  <c r="M110" i="8"/>
  <c r="M112" i="21" s="1"/>
  <c r="N110" i="8"/>
  <c r="N112" i="21" s="1"/>
  <c r="O110" i="8"/>
  <c r="O112" i="21" s="1"/>
  <c r="P110" i="8"/>
  <c r="P112" i="21" s="1"/>
  <c r="Q110" i="8"/>
  <c r="Q112" i="21" s="1"/>
  <c r="R110" i="8"/>
  <c r="R112" i="21" s="1"/>
  <c r="S110" i="8"/>
  <c r="S112" i="21" s="1"/>
  <c r="T110" i="8"/>
  <c r="T112" i="21" s="1"/>
  <c r="U110" i="8"/>
  <c r="U112" i="21" s="1"/>
  <c r="V110" i="8"/>
  <c r="V112" i="21" s="1"/>
  <c r="W110" i="8"/>
  <c r="W112" i="21" s="1"/>
  <c r="X110" i="8"/>
  <c r="X112" i="21" s="1"/>
  <c r="Y110" i="8"/>
  <c r="Y112" i="21" s="1"/>
  <c r="Z110" i="8"/>
  <c r="Z112" i="21" s="1"/>
  <c r="AA110" i="8"/>
  <c r="AA112" i="21" s="1"/>
  <c r="AB110" i="8"/>
  <c r="AB112" i="21" s="1"/>
  <c r="AC110" i="8"/>
  <c r="AC112" i="21" s="1"/>
  <c r="AD110" i="8"/>
  <c r="AD112" i="21" s="1"/>
  <c r="AE110" i="8"/>
  <c r="AE112" i="21" s="1"/>
  <c r="AF110" i="8"/>
  <c r="AF112" i="21" s="1"/>
  <c r="AG110" i="8"/>
  <c r="AG112" i="21" s="1"/>
  <c r="A111" i="8"/>
  <c r="A113" i="21" s="1"/>
  <c r="B111" i="8"/>
  <c r="B113" i="21" s="1"/>
  <c r="C111" i="8"/>
  <c r="C113" i="21" s="1"/>
  <c r="D111" i="8"/>
  <c r="D113" i="21" s="1"/>
  <c r="E111" i="8"/>
  <c r="E113" i="21" s="1"/>
  <c r="F111" i="8"/>
  <c r="F113" i="21" s="1"/>
  <c r="G111" i="8"/>
  <c r="G113" i="21" s="1"/>
  <c r="H111" i="8"/>
  <c r="H113" i="21" s="1"/>
  <c r="I111" i="8"/>
  <c r="I113" i="21" s="1"/>
  <c r="J111" i="8"/>
  <c r="J113" i="21" s="1"/>
  <c r="K111" i="8"/>
  <c r="K113" i="21" s="1"/>
  <c r="L111" i="8"/>
  <c r="L113" i="21" s="1"/>
  <c r="M111" i="8"/>
  <c r="M113" i="21" s="1"/>
  <c r="N111" i="8"/>
  <c r="N113" i="21" s="1"/>
  <c r="O111" i="8"/>
  <c r="O113" i="21" s="1"/>
  <c r="P111" i="8"/>
  <c r="P113" i="21" s="1"/>
  <c r="Q111" i="8"/>
  <c r="Q113" i="21" s="1"/>
  <c r="R111" i="8"/>
  <c r="R113" i="21" s="1"/>
  <c r="S111" i="8"/>
  <c r="S113" i="21" s="1"/>
  <c r="T111" i="8"/>
  <c r="T113" i="21" s="1"/>
  <c r="U111" i="8"/>
  <c r="U113" i="21" s="1"/>
  <c r="V111" i="8"/>
  <c r="V113" i="21" s="1"/>
  <c r="W111" i="8"/>
  <c r="W113" i="21" s="1"/>
  <c r="X111" i="8"/>
  <c r="X113" i="21" s="1"/>
  <c r="Y111" i="8"/>
  <c r="Y113" i="21" s="1"/>
  <c r="Z111" i="8"/>
  <c r="Z113" i="21" s="1"/>
  <c r="AA111" i="8"/>
  <c r="AA113" i="21" s="1"/>
  <c r="AB111" i="8"/>
  <c r="AB113" i="21" s="1"/>
  <c r="AC111" i="8"/>
  <c r="AC113" i="21" s="1"/>
  <c r="AD111" i="8"/>
  <c r="AD113" i="21" s="1"/>
  <c r="AE111" i="8"/>
  <c r="AE113" i="21" s="1"/>
  <c r="AF111" i="8"/>
  <c r="AF113" i="21" s="1"/>
  <c r="AG111" i="8"/>
  <c r="AG113" i="21" s="1"/>
  <c r="A112" i="8"/>
  <c r="A114" i="21" s="1"/>
  <c r="B112" i="8"/>
  <c r="B114" i="21" s="1"/>
  <c r="C112" i="8"/>
  <c r="C114" i="21" s="1"/>
  <c r="D112" i="8"/>
  <c r="D114" i="21" s="1"/>
  <c r="E112" i="8"/>
  <c r="E114" i="21" s="1"/>
  <c r="F112" i="8"/>
  <c r="F114" i="21" s="1"/>
  <c r="G112" i="8"/>
  <c r="G114" i="21" s="1"/>
  <c r="H112" i="8"/>
  <c r="H114" i="21" s="1"/>
  <c r="I112" i="8"/>
  <c r="I114" i="21" s="1"/>
  <c r="J112" i="8"/>
  <c r="J114" i="21" s="1"/>
  <c r="K112" i="8"/>
  <c r="K114" i="21" s="1"/>
  <c r="L112" i="8"/>
  <c r="L114" i="21" s="1"/>
  <c r="M112" i="8"/>
  <c r="M114" i="21" s="1"/>
  <c r="N112" i="8"/>
  <c r="N114" i="21" s="1"/>
  <c r="O112" i="8"/>
  <c r="O114" i="21" s="1"/>
  <c r="P112" i="8"/>
  <c r="P114" i="21" s="1"/>
  <c r="Q112" i="8"/>
  <c r="Q114" i="21" s="1"/>
  <c r="R112" i="8"/>
  <c r="R114" i="21" s="1"/>
  <c r="S112" i="8"/>
  <c r="S114" i="21" s="1"/>
  <c r="T112" i="8"/>
  <c r="T114" i="21" s="1"/>
  <c r="U112" i="8"/>
  <c r="U114" i="21" s="1"/>
  <c r="V112" i="8"/>
  <c r="V114" i="21" s="1"/>
  <c r="W112" i="8"/>
  <c r="W114" i="21" s="1"/>
  <c r="X112" i="8"/>
  <c r="X114" i="21" s="1"/>
  <c r="Y112" i="8"/>
  <c r="Y114" i="21" s="1"/>
  <c r="Z112" i="8"/>
  <c r="Z114" i="21" s="1"/>
  <c r="AA112" i="8"/>
  <c r="AA114" i="21" s="1"/>
  <c r="AB112" i="8"/>
  <c r="AB114" i="21" s="1"/>
  <c r="AC112" i="8"/>
  <c r="AC114" i="21" s="1"/>
  <c r="AD112" i="8"/>
  <c r="AD114" i="21" s="1"/>
  <c r="AE112" i="8"/>
  <c r="AE114" i="21" s="1"/>
  <c r="AF112" i="8"/>
  <c r="AG112" i="8"/>
  <c r="A113" i="8"/>
  <c r="A115" i="21" s="1"/>
  <c r="B113" i="8"/>
  <c r="B115" i="21" s="1"/>
  <c r="C113" i="8"/>
  <c r="C115" i="21" s="1"/>
  <c r="D113" i="8"/>
  <c r="D115" i="21" s="1"/>
  <c r="E113" i="8"/>
  <c r="E115" i="21" s="1"/>
  <c r="F113" i="8"/>
  <c r="F115" i="21" s="1"/>
  <c r="G113" i="8"/>
  <c r="G115" i="21" s="1"/>
  <c r="H113" i="8"/>
  <c r="H115" i="21" s="1"/>
  <c r="I113" i="8"/>
  <c r="I115" i="21" s="1"/>
  <c r="J113" i="8"/>
  <c r="J115" i="21" s="1"/>
  <c r="K113" i="8"/>
  <c r="K115" i="21" s="1"/>
  <c r="L113" i="8"/>
  <c r="L115" i="21" s="1"/>
  <c r="M113" i="8"/>
  <c r="M115" i="21" s="1"/>
  <c r="N113" i="8"/>
  <c r="N115" i="21" s="1"/>
  <c r="O113" i="8"/>
  <c r="O115" i="21" s="1"/>
  <c r="P113" i="8"/>
  <c r="P115" i="21" s="1"/>
  <c r="Q113" i="8"/>
  <c r="Q115" i="21" s="1"/>
  <c r="R113" i="8"/>
  <c r="R115" i="21" s="1"/>
  <c r="S113" i="8"/>
  <c r="S115" i="21" s="1"/>
  <c r="T113" i="8"/>
  <c r="T115" i="21" s="1"/>
  <c r="U113" i="8"/>
  <c r="U115" i="21" s="1"/>
  <c r="V113" i="8"/>
  <c r="V115" i="21" s="1"/>
  <c r="W113" i="8"/>
  <c r="W115" i="21" s="1"/>
  <c r="X113" i="8"/>
  <c r="X115" i="21" s="1"/>
  <c r="Y113" i="8"/>
  <c r="Y115" i="21" s="1"/>
  <c r="Z113" i="8"/>
  <c r="Z115" i="21" s="1"/>
  <c r="AA113" i="8"/>
  <c r="AA115" i="21" s="1"/>
  <c r="AB113" i="8"/>
  <c r="AB115" i="21" s="1"/>
  <c r="AC113" i="8"/>
  <c r="AC115" i="21" s="1"/>
  <c r="AD113" i="8"/>
  <c r="AD115" i="21" s="1"/>
  <c r="AE113" i="8"/>
  <c r="AE115" i="21" s="1"/>
  <c r="AF113" i="8"/>
  <c r="AG113" i="8"/>
  <c r="A114" i="8"/>
  <c r="A116" i="21" s="1"/>
  <c r="B114" i="8"/>
  <c r="B116" i="21" s="1"/>
  <c r="C114" i="8"/>
  <c r="C116" i="21" s="1"/>
  <c r="D114" i="8"/>
  <c r="D116" i="21" s="1"/>
  <c r="E114" i="8"/>
  <c r="E116" i="21" s="1"/>
  <c r="F114" i="8"/>
  <c r="F116" i="21" s="1"/>
  <c r="G114" i="8"/>
  <c r="G116" i="21" s="1"/>
  <c r="H114" i="8"/>
  <c r="H116" i="21" s="1"/>
  <c r="I114" i="8"/>
  <c r="I116" i="21" s="1"/>
  <c r="J114" i="8"/>
  <c r="J116" i="21" s="1"/>
  <c r="K114" i="8"/>
  <c r="K116" i="21" s="1"/>
  <c r="L114" i="8"/>
  <c r="L116" i="21" s="1"/>
  <c r="M114" i="8"/>
  <c r="M116" i="21" s="1"/>
  <c r="N114" i="8"/>
  <c r="N116" i="21" s="1"/>
  <c r="O114" i="8"/>
  <c r="O116" i="21" s="1"/>
  <c r="P114" i="8"/>
  <c r="P116" i="21" s="1"/>
  <c r="Q114" i="8"/>
  <c r="Q116" i="21" s="1"/>
  <c r="R114" i="8"/>
  <c r="R116" i="21" s="1"/>
  <c r="S114" i="8"/>
  <c r="S116" i="21" s="1"/>
  <c r="T114" i="8"/>
  <c r="T116" i="21" s="1"/>
  <c r="U114" i="8"/>
  <c r="U116" i="21" s="1"/>
  <c r="V114" i="8"/>
  <c r="V116" i="21" s="1"/>
  <c r="W114" i="8"/>
  <c r="W116" i="21" s="1"/>
  <c r="X114" i="8"/>
  <c r="X116" i="21" s="1"/>
  <c r="Y114" i="8"/>
  <c r="Y116" i="21" s="1"/>
  <c r="Z114" i="8"/>
  <c r="Z116" i="21" s="1"/>
  <c r="AA114" i="8"/>
  <c r="AA116" i="21" s="1"/>
  <c r="AB114" i="8"/>
  <c r="AB116" i="21" s="1"/>
  <c r="AC114" i="8"/>
  <c r="AC116" i="21" s="1"/>
  <c r="AD114" i="8"/>
  <c r="AD116" i="21" s="1"/>
  <c r="AE114" i="8"/>
  <c r="AE116" i="21" s="1"/>
  <c r="AF114" i="8"/>
  <c r="AF116" i="21" s="1"/>
  <c r="AG114" i="8"/>
  <c r="AG116" i="21" s="1"/>
  <c r="A115" i="8"/>
  <c r="A117" i="21" s="1"/>
  <c r="B115" i="8"/>
  <c r="B117" i="21" s="1"/>
  <c r="C115" i="8"/>
  <c r="C117" i="21" s="1"/>
  <c r="D115" i="8"/>
  <c r="D117" i="21" s="1"/>
  <c r="E115" i="8"/>
  <c r="E117" i="21" s="1"/>
  <c r="F115" i="8"/>
  <c r="F117" i="21" s="1"/>
  <c r="G115" i="8"/>
  <c r="G117" i="21" s="1"/>
  <c r="H115" i="8"/>
  <c r="H117" i="21" s="1"/>
  <c r="I115" i="8"/>
  <c r="I117" i="21" s="1"/>
  <c r="J115" i="8"/>
  <c r="J117" i="21" s="1"/>
  <c r="K115" i="8"/>
  <c r="K117" i="21" s="1"/>
  <c r="L115" i="8"/>
  <c r="L117" i="21" s="1"/>
  <c r="M115" i="8"/>
  <c r="M117" i="21" s="1"/>
  <c r="N115" i="8"/>
  <c r="N117" i="21" s="1"/>
  <c r="O115" i="8"/>
  <c r="O117" i="21" s="1"/>
  <c r="P115" i="8"/>
  <c r="P117" i="21" s="1"/>
  <c r="Q115" i="8"/>
  <c r="Q117" i="21" s="1"/>
  <c r="R115" i="8"/>
  <c r="R117" i="21" s="1"/>
  <c r="S115" i="8"/>
  <c r="S117" i="21" s="1"/>
  <c r="T115" i="8"/>
  <c r="T117" i="21" s="1"/>
  <c r="U115" i="8"/>
  <c r="U117" i="21" s="1"/>
  <c r="V115" i="8"/>
  <c r="V117" i="21" s="1"/>
  <c r="W115" i="8"/>
  <c r="W117" i="21" s="1"/>
  <c r="X115" i="8"/>
  <c r="X117" i="21" s="1"/>
  <c r="Y115" i="8"/>
  <c r="Y117" i="21" s="1"/>
  <c r="Z115" i="8"/>
  <c r="Z117" i="21" s="1"/>
  <c r="AA115" i="8"/>
  <c r="AA117" i="21" s="1"/>
  <c r="AB115" i="8"/>
  <c r="AB117" i="21" s="1"/>
  <c r="AC115" i="8"/>
  <c r="AC117" i="21" s="1"/>
  <c r="AD115" i="8"/>
  <c r="AD117" i="21" s="1"/>
  <c r="AE115" i="8"/>
  <c r="AE117" i="21" s="1"/>
  <c r="AF115" i="8"/>
  <c r="AF117" i="21" s="1"/>
  <c r="AG115" i="8"/>
  <c r="AG117" i="21" s="1"/>
  <c r="A116" i="8"/>
  <c r="A118" i="21" s="1"/>
  <c r="B116" i="8"/>
  <c r="B118" i="21" s="1"/>
  <c r="C116" i="8"/>
  <c r="C118" i="21" s="1"/>
  <c r="D116" i="8"/>
  <c r="D118" i="21" s="1"/>
  <c r="E116" i="8"/>
  <c r="E118" i="21" s="1"/>
  <c r="F116" i="8"/>
  <c r="F118" i="21" s="1"/>
  <c r="G116" i="8"/>
  <c r="G118" i="21" s="1"/>
  <c r="H116" i="8"/>
  <c r="H118" i="21" s="1"/>
  <c r="I116" i="8"/>
  <c r="I118" i="21" s="1"/>
  <c r="J116" i="8"/>
  <c r="J118" i="21" s="1"/>
  <c r="K116" i="8"/>
  <c r="K118" i="21" s="1"/>
  <c r="L116" i="8"/>
  <c r="L118" i="21" s="1"/>
  <c r="M116" i="8"/>
  <c r="M118" i="21" s="1"/>
  <c r="N116" i="8"/>
  <c r="N118" i="21" s="1"/>
  <c r="O116" i="8"/>
  <c r="O118" i="21" s="1"/>
  <c r="P116" i="8"/>
  <c r="P118" i="21" s="1"/>
  <c r="Q116" i="8"/>
  <c r="Q118" i="21" s="1"/>
  <c r="R116" i="8"/>
  <c r="R118" i="21" s="1"/>
  <c r="S116" i="8"/>
  <c r="S118" i="21" s="1"/>
  <c r="T116" i="8"/>
  <c r="T118" i="21" s="1"/>
  <c r="U116" i="8"/>
  <c r="U118" i="21" s="1"/>
  <c r="V116" i="8"/>
  <c r="V118" i="21" s="1"/>
  <c r="W116" i="8"/>
  <c r="W118" i="21" s="1"/>
  <c r="X116" i="8"/>
  <c r="X118" i="21" s="1"/>
  <c r="Y116" i="8"/>
  <c r="Y118" i="21" s="1"/>
  <c r="Z116" i="8"/>
  <c r="Z118" i="21" s="1"/>
  <c r="AA116" i="8"/>
  <c r="AA118" i="21" s="1"/>
  <c r="AB116" i="8"/>
  <c r="AB118" i="21" s="1"/>
  <c r="AC116" i="8"/>
  <c r="AC118" i="21" s="1"/>
  <c r="AD116" i="8"/>
  <c r="AD118" i="21" s="1"/>
  <c r="AE116" i="8"/>
  <c r="AE118" i="21" s="1"/>
  <c r="AF116" i="8"/>
  <c r="AF118" i="21" s="1"/>
  <c r="AG116" i="8"/>
  <c r="AG118" i="21" s="1"/>
  <c r="A117" i="8"/>
  <c r="A119" i="21" s="1"/>
  <c r="B117" i="8"/>
  <c r="B119" i="21" s="1"/>
  <c r="C117" i="8"/>
  <c r="C119" i="21" s="1"/>
  <c r="D117" i="8"/>
  <c r="D119" i="21" s="1"/>
  <c r="E117" i="8"/>
  <c r="E119" i="21" s="1"/>
  <c r="F117" i="8"/>
  <c r="F119" i="21" s="1"/>
  <c r="G117" i="8"/>
  <c r="G119" i="21" s="1"/>
  <c r="H117" i="8"/>
  <c r="H119" i="21" s="1"/>
  <c r="I117" i="8"/>
  <c r="I119" i="21" s="1"/>
  <c r="J117" i="8"/>
  <c r="J119" i="21" s="1"/>
  <c r="K117" i="8"/>
  <c r="K119" i="21" s="1"/>
  <c r="L117" i="8"/>
  <c r="L119" i="21" s="1"/>
  <c r="M117" i="8"/>
  <c r="M119" i="21" s="1"/>
  <c r="N117" i="8"/>
  <c r="N119" i="21" s="1"/>
  <c r="O117" i="8"/>
  <c r="O119" i="21" s="1"/>
  <c r="P117" i="8"/>
  <c r="P119" i="21" s="1"/>
  <c r="Q117" i="8"/>
  <c r="Q119" i="21" s="1"/>
  <c r="R117" i="8"/>
  <c r="R119" i="21" s="1"/>
  <c r="S117" i="8"/>
  <c r="S119" i="21" s="1"/>
  <c r="T117" i="8"/>
  <c r="T119" i="21" s="1"/>
  <c r="U117" i="8"/>
  <c r="U119" i="21" s="1"/>
  <c r="V117" i="8"/>
  <c r="V119" i="21" s="1"/>
  <c r="W117" i="8"/>
  <c r="W119" i="21" s="1"/>
  <c r="X117" i="8"/>
  <c r="X119" i="21" s="1"/>
  <c r="Y117" i="8"/>
  <c r="Y119" i="21" s="1"/>
  <c r="Z117" i="8"/>
  <c r="Z119" i="21" s="1"/>
  <c r="AA117" i="8"/>
  <c r="AA119" i="21" s="1"/>
  <c r="AB117" i="8"/>
  <c r="AB119" i="21" s="1"/>
  <c r="AC117" i="8"/>
  <c r="AC119" i="21" s="1"/>
  <c r="AD117" i="8"/>
  <c r="AD119" i="21" s="1"/>
  <c r="AE117" i="8"/>
  <c r="AE119" i="21" s="1"/>
  <c r="AF117" i="8"/>
  <c r="AG117" i="8"/>
  <c r="A118" i="8"/>
  <c r="A120" i="21" s="1"/>
  <c r="B118" i="8"/>
  <c r="B120" i="21" s="1"/>
  <c r="C118" i="8"/>
  <c r="C120" i="21" s="1"/>
  <c r="D118" i="8"/>
  <c r="D120" i="21" s="1"/>
  <c r="E118" i="8"/>
  <c r="E120" i="21" s="1"/>
  <c r="F118" i="8"/>
  <c r="F120" i="21" s="1"/>
  <c r="G118" i="8"/>
  <c r="G120" i="21" s="1"/>
  <c r="H118" i="8"/>
  <c r="H120" i="21" s="1"/>
  <c r="I118" i="8"/>
  <c r="I120" i="21" s="1"/>
  <c r="J118" i="8"/>
  <c r="J120" i="21" s="1"/>
  <c r="K118" i="8"/>
  <c r="K120" i="21" s="1"/>
  <c r="L118" i="8"/>
  <c r="L120" i="21" s="1"/>
  <c r="M118" i="8"/>
  <c r="M120" i="21" s="1"/>
  <c r="N118" i="8"/>
  <c r="N120" i="21" s="1"/>
  <c r="O118" i="8"/>
  <c r="O120" i="21" s="1"/>
  <c r="P118" i="8"/>
  <c r="P120" i="21" s="1"/>
  <c r="Q118" i="8"/>
  <c r="Q120" i="21" s="1"/>
  <c r="R118" i="8"/>
  <c r="R120" i="21" s="1"/>
  <c r="S118" i="8"/>
  <c r="S120" i="21" s="1"/>
  <c r="T118" i="8"/>
  <c r="T120" i="21" s="1"/>
  <c r="U118" i="8"/>
  <c r="U120" i="21" s="1"/>
  <c r="V118" i="8"/>
  <c r="V120" i="21" s="1"/>
  <c r="W118" i="8"/>
  <c r="W120" i="21" s="1"/>
  <c r="X118" i="8"/>
  <c r="X120" i="21" s="1"/>
  <c r="Y118" i="8"/>
  <c r="Y120" i="21" s="1"/>
  <c r="Z118" i="8"/>
  <c r="Z120" i="21" s="1"/>
  <c r="AA118" i="8"/>
  <c r="AA120" i="21" s="1"/>
  <c r="AB118" i="8"/>
  <c r="AB120" i="21" s="1"/>
  <c r="AC118" i="8"/>
  <c r="AC120" i="21" s="1"/>
  <c r="AD118" i="8"/>
  <c r="AD120" i="21" s="1"/>
  <c r="AE118" i="8"/>
  <c r="AE120" i="21" s="1"/>
  <c r="AF118" i="8"/>
  <c r="AG118" i="8"/>
  <c r="A119" i="8"/>
  <c r="A121" i="21" s="1"/>
  <c r="B119" i="8"/>
  <c r="B121" i="21" s="1"/>
  <c r="C119" i="8"/>
  <c r="C121" i="21" s="1"/>
  <c r="D119" i="8"/>
  <c r="D121" i="21" s="1"/>
  <c r="E119" i="8"/>
  <c r="E121" i="21" s="1"/>
  <c r="F119" i="8"/>
  <c r="F121" i="21" s="1"/>
  <c r="G119" i="8"/>
  <c r="G121" i="21" s="1"/>
  <c r="H119" i="8"/>
  <c r="H121" i="21" s="1"/>
  <c r="I119" i="8"/>
  <c r="I121" i="21" s="1"/>
  <c r="J119" i="8"/>
  <c r="J121" i="21" s="1"/>
  <c r="K119" i="8"/>
  <c r="K121" i="21" s="1"/>
  <c r="L119" i="8"/>
  <c r="L121" i="21" s="1"/>
  <c r="M119" i="8"/>
  <c r="M121" i="21" s="1"/>
  <c r="N119" i="8"/>
  <c r="N121" i="21" s="1"/>
  <c r="O119" i="8"/>
  <c r="O121" i="21" s="1"/>
  <c r="P119" i="8"/>
  <c r="P121" i="21" s="1"/>
  <c r="Q119" i="8"/>
  <c r="Q121" i="21" s="1"/>
  <c r="R119" i="8"/>
  <c r="R121" i="21" s="1"/>
  <c r="S119" i="8"/>
  <c r="S121" i="21" s="1"/>
  <c r="T119" i="8"/>
  <c r="T121" i="21" s="1"/>
  <c r="U119" i="8"/>
  <c r="U121" i="21" s="1"/>
  <c r="V119" i="8"/>
  <c r="V121" i="21" s="1"/>
  <c r="W119" i="8"/>
  <c r="W121" i="21" s="1"/>
  <c r="X119" i="8"/>
  <c r="X121" i="21" s="1"/>
  <c r="Y119" i="8"/>
  <c r="Y121" i="21" s="1"/>
  <c r="Z119" i="8"/>
  <c r="Z121" i="21" s="1"/>
  <c r="AA119" i="8"/>
  <c r="AA121" i="21" s="1"/>
  <c r="AB119" i="8"/>
  <c r="AB121" i="21" s="1"/>
  <c r="AC119" i="8"/>
  <c r="AC121" i="21" s="1"/>
  <c r="AD119" i="8"/>
  <c r="AD121" i="21" s="1"/>
  <c r="AE119" i="8"/>
  <c r="AE121" i="21" s="1"/>
  <c r="AF119" i="8"/>
  <c r="AG119" i="8"/>
  <c r="AG121" i="21" s="1"/>
  <c r="A120" i="8"/>
  <c r="A122" i="21" s="1"/>
  <c r="B120" i="8"/>
  <c r="B122" i="21" s="1"/>
  <c r="C120" i="8"/>
  <c r="C122" i="21" s="1"/>
  <c r="D120" i="8"/>
  <c r="D122" i="21" s="1"/>
  <c r="E120" i="8"/>
  <c r="E122" i="21" s="1"/>
  <c r="F120" i="8"/>
  <c r="F122" i="21" s="1"/>
  <c r="G120" i="8"/>
  <c r="G122" i="21" s="1"/>
  <c r="H120" i="8"/>
  <c r="H122" i="21" s="1"/>
  <c r="I120" i="8"/>
  <c r="I122" i="21" s="1"/>
  <c r="J120" i="8"/>
  <c r="J122" i="21" s="1"/>
  <c r="K120" i="8"/>
  <c r="K122" i="21" s="1"/>
  <c r="L120" i="8"/>
  <c r="L122" i="21" s="1"/>
  <c r="M120" i="8"/>
  <c r="M122" i="21" s="1"/>
  <c r="N120" i="8"/>
  <c r="N122" i="21" s="1"/>
  <c r="O120" i="8"/>
  <c r="O122" i="21" s="1"/>
  <c r="P120" i="8"/>
  <c r="P122" i="21" s="1"/>
  <c r="Q120" i="8"/>
  <c r="Q122" i="21" s="1"/>
  <c r="R120" i="8"/>
  <c r="R122" i="21" s="1"/>
  <c r="S120" i="8"/>
  <c r="S122" i="21" s="1"/>
  <c r="T120" i="8"/>
  <c r="T122" i="21" s="1"/>
  <c r="U120" i="8"/>
  <c r="U122" i="21" s="1"/>
  <c r="V120" i="8"/>
  <c r="V122" i="21" s="1"/>
  <c r="W120" i="8"/>
  <c r="W122" i="21" s="1"/>
  <c r="X120" i="8"/>
  <c r="X122" i="21" s="1"/>
  <c r="Y120" i="8"/>
  <c r="Y122" i="21" s="1"/>
  <c r="Z120" i="8"/>
  <c r="Z122" i="21" s="1"/>
  <c r="AA120" i="8"/>
  <c r="AA122" i="21" s="1"/>
  <c r="AB120" i="8"/>
  <c r="AB122" i="21" s="1"/>
  <c r="AC120" i="8"/>
  <c r="AC122" i="21" s="1"/>
  <c r="AD120" i="8"/>
  <c r="AD122" i="21" s="1"/>
  <c r="AE120" i="8"/>
  <c r="AE122" i="21" s="1"/>
  <c r="AF120" i="8"/>
  <c r="AG120" i="8"/>
  <c r="AG122" i="21" s="1"/>
  <c r="A121" i="8"/>
  <c r="A123" i="21" s="1"/>
  <c r="B121" i="8"/>
  <c r="B123" i="21" s="1"/>
  <c r="C121" i="8"/>
  <c r="C123" i="21" s="1"/>
  <c r="D121" i="8"/>
  <c r="D123" i="21" s="1"/>
  <c r="E121" i="8"/>
  <c r="E123" i="21" s="1"/>
  <c r="F121" i="8"/>
  <c r="F123" i="21" s="1"/>
  <c r="G121" i="8"/>
  <c r="G123" i="21" s="1"/>
  <c r="H121" i="8"/>
  <c r="H123" i="21" s="1"/>
  <c r="I121" i="8"/>
  <c r="I123" i="21" s="1"/>
  <c r="J121" i="8"/>
  <c r="J123" i="21" s="1"/>
  <c r="K121" i="8"/>
  <c r="K123" i="21" s="1"/>
  <c r="L121" i="8"/>
  <c r="L123" i="21" s="1"/>
  <c r="M121" i="8"/>
  <c r="M123" i="21" s="1"/>
  <c r="N121" i="8"/>
  <c r="N123" i="21" s="1"/>
  <c r="O121" i="8"/>
  <c r="O123" i="21" s="1"/>
  <c r="P121" i="8"/>
  <c r="P123" i="21" s="1"/>
  <c r="Q121" i="8"/>
  <c r="Q123" i="21" s="1"/>
  <c r="R121" i="8"/>
  <c r="R123" i="21" s="1"/>
  <c r="S121" i="8"/>
  <c r="S123" i="21" s="1"/>
  <c r="T121" i="8"/>
  <c r="T123" i="21" s="1"/>
  <c r="U121" i="8"/>
  <c r="U123" i="21" s="1"/>
  <c r="V121" i="8"/>
  <c r="V123" i="21" s="1"/>
  <c r="W121" i="8"/>
  <c r="W123" i="21" s="1"/>
  <c r="X121" i="8"/>
  <c r="X123" i="21" s="1"/>
  <c r="Y121" i="8"/>
  <c r="Y123" i="21" s="1"/>
  <c r="Z121" i="8"/>
  <c r="Z123" i="21" s="1"/>
  <c r="AA121" i="8"/>
  <c r="AA123" i="21" s="1"/>
  <c r="AB121" i="8"/>
  <c r="AB123" i="21" s="1"/>
  <c r="AC121" i="8"/>
  <c r="AC123" i="21" s="1"/>
  <c r="AD121" i="8"/>
  <c r="AD123" i="21" s="1"/>
  <c r="AE121" i="8"/>
  <c r="AE123" i="21" s="1"/>
  <c r="AF121" i="8"/>
  <c r="AF123" i="21" s="1"/>
  <c r="AG121" i="8"/>
  <c r="AG123" i="21" s="1"/>
  <c r="A122" i="8"/>
  <c r="A124" i="21" s="1"/>
  <c r="B122" i="8"/>
  <c r="B124" i="21" s="1"/>
  <c r="C122" i="8"/>
  <c r="C124" i="21" s="1"/>
  <c r="D122" i="8"/>
  <c r="D124" i="21" s="1"/>
  <c r="E122" i="8"/>
  <c r="E124" i="21" s="1"/>
  <c r="F122" i="8"/>
  <c r="F124" i="21" s="1"/>
  <c r="G122" i="8"/>
  <c r="G124" i="21" s="1"/>
  <c r="H122" i="8"/>
  <c r="H124" i="21" s="1"/>
  <c r="I122" i="8"/>
  <c r="I124" i="21" s="1"/>
  <c r="J122" i="8"/>
  <c r="J124" i="21" s="1"/>
  <c r="K122" i="8"/>
  <c r="K124" i="21" s="1"/>
  <c r="L122" i="8"/>
  <c r="L124" i="21" s="1"/>
  <c r="M122" i="8"/>
  <c r="M124" i="21" s="1"/>
  <c r="N122" i="8"/>
  <c r="N124" i="21" s="1"/>
  <c r="O122" i="8"/>
  <c r="O124" i="21" s="1"/>
  <c r="P122" i="8"/>
  <c r="P124" i="21" s="1"/>
  <c r="Q122" i="8"/>
  <c r="Q124" i="21" s="1"/>
  <c r="R122" i="8"/>
  <c r="R124" i="21" s="1"/>
  <c r="S122" i="8"/>
  <c r="S124" i="21" s="1"/>
  <c r="T122" i="8"/>
  <c r="T124" i="21" s="1"/>
  <c r="U122" i="8"/>
  <c r="U124" i="21" s="1"/>
  <c r="V122" i="8"/>
  <c r="V124" i="21" s="1"/>
  <c r="W122" i="8"/>
  <c r="W124" i="21" s="1"/>
  <c r="X122" i="8"/>
  <c r="X124" i="21" s="1"/>
  <c r="Y122" i="8"/>
  <c r="Y124" i="21" s="1"/>
  <c r="Z122" i="8"/>
  <c r="Z124" i="21" s="1"/>
  <c r="AA122" i="8"/>
  <c r="AA124" i="21" s="1"/>
  <c r="AB122" i="8"/>
  <c r="AB124" i="21" s="1"/>
  <c r="AC122" i="8"/>
  <c r="AC124" i="21" s="1"/>
  <c r="AD122" i="8"/>
  <c r="AD124" i="21" s="1"/>
  <c r="AE122" i="8"/>
  <c r="AE124" i="21" s="1"/>
  <c r="AF122" i="8"/>
  <c r="AF124" i="21" s="1"/>
  <c r="AG122" i="8"/>
  <c r="AG124" i="21" s="1"/>
  <c r="A123" i="8"/>
  <c r="A125" i="21" s="1"/>
  <c r="B123" i="8"/>
  <c r="B125" i="21" s="1"/>
  <c r="C123" i="8"/>
  <c r="C125" i="21" s="1"/>
  <c r="D123" i="8"/>
  <c r="D125" i="21" s="1"/>
  <c r="E123" i="8"/>
  <c r="E125" i="21" s="1"/>
  <c r="F123" i="8"/>
  <c r="F125" i="21" s="1"/>
  <c r="G123" i="8"/>
  <c r="G125" i="21" s="1"/>
  <c r="H123" i="8"/>
  <c r="H125" i="21" s="1"/>
  <c r="I123" i="8"/>
  <c r="I125" i="21" s="1"/>
  <c r="J123" i="8"/>
  <c r="J125" i="21" s="1"/>
  <c r="K123" i="8"/>
  <c r="K125" i="21" s="1"/>
  <c r="L123" i="8"/>
  <c r="L125" i="21" s="1"/>
  <c r="M123" i="8"/>
  <c r="M125" i="21" s="1"/>
  <c r="N123" i="8"/>
  <c r="N125" i="21" s="1"/>
  <c r="O123" i="8"/>
  <c r="O125" i="21" s="1"/>
  <c r="P123" i="8"/>
  <c r="P125" i="21" s="1"/>
  <c r="Q123" i="8"/>
  <c r="Q125" i="21" s="1"/>
  <c r="R123" i="8"/>
  <c r="R125" i="21" s="1"/>
  <c r="S123" i="8"/>
  <c r="S125" i="21" s="1"/>
  <c r="T123" i="8"/>
  <c r="T125" i="21" s="1"/>
  <c r="U123" i="8"/>
  <c r="U125" i="21" s="1"/>
  <c r="V123" i="8"/>
  <c r="V125" i="21" s="1"/>
  <c r="W123" i="8"/>
  <c r="W125" i="21" s="1"/>
  <c r="X123" i="8"/>
  <c r="X125" i="21" s="1"/>
  <c r="Y123" i="8"/>
  <c r="Y125" i="21" s="1"/>
  <c r="Z123" i="8"/>
  <c r="Z125" i="21" s="1"/>
  <c r="AA123" i="8"/>
  <c r="AA125" i="21" s="1"/>
  <c r="AB123" i="8"/>
  <c r="AB125" i="21" s="1"/>
  <c r="AC123" i="8"/>
  <c r="AC125" i="21" s="1"/>
  <c r="AD123" i="8"/>
  <c r="AD125" i="21" s="1"/>
  <c r="AE123" i="8"/>
  <c r="AE125" i="21" s="1"/>
  <c r="AF123" i="8"/>
  <c r="AF125" i="21" s="1"/>
  <c r="AG123" i="8"/>
  <c r="AG125" i="21" s="1"/>
  <c r="A124" i="8"/>
  <c r="A126" i="21" s="1"/>
  <c r="B124" i="8"/>
  <c r="B126" i="21" s="1"/>
  <c r="C124" i="8"/>
  <c r="C126" i="21" s="1"/>
  <c r="D124" i="8"/>
  <c r="D126" i="21" s="1"/>
  <c r="E124" i="8"/>
  <c r="E126" i="21" s="1"/>
  <c r="F124" i="8"/>
  <c r="F126" i="21" s="1"/>
  <c r="G124" i="8"/>
  <c r="G126" i="21" s="1"/>
  <c r="H124" i="8"/>
  <c r="H126" i="21" s="1"/>
  <c r="I124" i="8"/>
  <c r="I126" i="21" s="1"/>
  <c r="J124" i="8"/>
  <c r="J126" i="21" s="1"/>
  <c r="K124" i="8"/>
  <c r="K126" i="21" s="1"/>
  <c r="L124" i="8"/>
  <c r="L126" i="21" s="1"/>
  <c r="M124" i="8"/>
  <c r="M126" i="21" s="1"/>
  <c r="N124" i="8"/>
  <c r="N126" i="21" s="1"/>
  <c r="O124" i="8"/>
  <c r="O126" i="21" s="1"/>
  <c r="P124" i="8"/>
  <c r="P126" i="21" s="1"/>
  <c r="Q124" i="8"/>
  <c r="Q126" i="21" s="1"/>
  <c r="R124" i="8"/>
  <c r="R126" i="21" s="1"/>
  <c r="S124" i="8"/>
  <c r="S126" i="21" s="1"/>
  <c r="T124" i="8"/>
  <c r="T126" i="21" s="1"/>
  <c r="U124" i="8"/>
  <c r="U126" i="21" s="1"/>
  <c r="V124" i="8"/>
  <c r="V126" i="21" s="1"/>
  <c r="W124" i="8"/>
  <c r="W126" i="21" s="1"/>
  <c r="X124" i="8"/>
  <c r="X126" i="21" s="1"/>
  <c r="Y124" i="8"/>
  <c r="Y126" i="21" s="1"/>
  <c r="Z124" i="8"/>
  <c r="Z126" i="21" s="1"/>
  <c r="AA124" i="8"/>
  <c r="AA126" i="21" s="1"/>
  <c r="AB124" i="8"/>
  <c r="AB126" i="21" s="1"/>
  <c r="AC124" i="8"/>
  <c r="AC126" i="21" s="1"/>
  <c r="AD124" i="8"/>
  <c r="AD126" i="21" s="1"/>
  <c r="AE124" i="8"/>
  <c r="AE126" i="21" s="1"/>
  <c r="AF124" i="8"/>
  <c r="AF126" i="21" s="1"/>
  <c r="AG124" i="8"/>
  <c r="AG126" i="21" s="1"/>
  <c r="A125" i="8"/>
  <c r="A127" i="21" s="1"/>
  <c r="B125" i="8"/>
  <c r="B127" i="21" s="1"/>
  <c r="C125" i="8"/>
  <c r="C127" i="21" s="1"/>
  <c r="D125" i="8"/>
  <c r="D127" i="21" s="1"/>
  <c r="E125" i="8"/>
  <c r="E127" i="21" s="1"/>
  <c r="F125" i="8"/>
  <c r="F127" i="21" s="1"/>
  <c r="G125" i="8"/>
  <c r="G127" i="21" s="1"/>
  <c r="H125" i="8"/>
  <c r="H127" i="21" s="1"/>
  <c r="I125" i="8"/>
  <c r="I127" i="21" s="1"/>
  <c r="J125" i="8"/>
  <c r="J127" i="21" s="1"/>
  <c r="K125" i="8"/>
  <c r="K127" i="21" s="1"/>
  <c r="L125" i="8"/>
  <c r="L127" i="21" s="1"/>
  <c r="M125" i="8"/>
  <c r="M127" i="21" s="1"/>
  <c r="N125" i="8"/>
  <c r="N127" i="21" s="1"/>
  <c r="O125" i="8"/>
  <c r="O127" i="21" s="1"/>
  <c r="P125" i="8"/>
  <c r="P127" i="21" s="1"/>
  <c r="Q125" i="8"/>
  <c r="Q127" i="21" s="1"/>
  <c r="R125" i="8"/>
  <c r="R127" i="21" s="1"/>
  <c r="S125" i="8"/>
  <c r="S127" i="21" s="1"/>
  <c r="T125" i="8"/>
  <c r="T127" i="21" s="1"/>
  <c r="U125" i="8"/>
  <c r="U127" i="21" s="1"/>
  <c r="V125" i="8"/>
  <c r="V127" i="21" s="1"/>
  <c r="W125" i="8"/>
  <c r="W127" i="21" s="1"/>
  <c r="X125" i="8"/>
  <c r="X127" i="21" s="1"/>
  <c r="Y125" i="8"/>
  <c r="Y127" i="21" s="1"/>
  <c r="Z125" i="8"/>
  <c r="Z127" i="21" s="1"/>
  <c r="AA125" i="8"/>
  <c r="AA127" i="21" s="1"/>
  <c r="AB125" i="8"/>
  <c r="AB127" i="21" s="1"/>
  <c r="AC125" i="8"/>
  <c r="AC127" i="21" s="1"/>
  <c r="AD125" i="8"/>
  <c r="AD127" i="21" s="1"/>
  <c r="AE125" i="8"/>
  <c r="AF125" i="8"/>
  <c r="AF127" i="21" s="1"/>
  <c r="AG125" i="8"/>
  <c r="AG127" i="21" s="1"/>
  <c r="A126" i="8"/>
  <c r="A128" i="21" s="1"/>
  <c r="B126" i="8"/>
  <c r="B128" i="21" s="1"/>
  <c r="C126" i="8"/>
  <c r="C128" i="21" s="1"/>
  <c r="D126" i="8"/>
  <c r="D128" i="21" s="1"/>
  <c r="E126" i="8"/>
  <c r="E128" i="21" s="1"/>
  <c r="F126" i="8"/>
  <c r="F128" i="21" s="1"/>
  <c r="G126" i="8"/>
  <c r="G128" i="21" s="1"/>
  <c r="H126" i="8"/>
  <c r="H128" i="21" s="1"/>
  <c r="I126" i="8"/>
  <c r="I128" i="21" s="1"/>
  <c r="J126" i="8"/>
  <c r="J128" i="21" s="1"/>
  <c r="K126" i="8"/>
  <c r="K128" i="21" s="1"/>
  <c r="L126" i="8"/>
  <c r="L128" i="21" s="1"/>
  <c r="M126" i="8"/>
  <c r="M128" i="21" s="1"/>
  <c r="N126" i="8"/>
  <c r="N128" i="21" s="1"/>
  <c r="O126" i="8"/>
  <c r="O128" i="21" s="1"/>
  <c r="P126" i="8"/>
  <c r="P128" i="21" s="1"/>
  <c r="Q126" i="8"/>
  <c r="Q128" i="21" s="1"/>
  <c r="R126" i="8"/>
  <c r="R128" i="21" s="1"/>
  <c r="S126" i="8"/>
  <c r="S128" i="21" s="1"/>
  <c r="T126" i="8"/>
  <c r="T128" i="21" s="1"/>
  <c r="U126" i="8"/>
  <c r="U128" i="21" s="1"/>
  <c r="V126" i="8"/>
  <c r="V128" i="21" s="1"/>
  <c r="W126" i="8"/>
  <c r="W128" i="21" s="1"/>
  <c r="X126" i="8"/>
  <c r="X128" i="21" s="1"/>
  <c r="Y126" i="8"/>
  <c r="Y128" i="21" s="1"/>
  <c r="Z126" i="8"/>
  <c r="Z128" i="21" s="1"/>
  <c r="AA126" i="8"/>
  <c r="AA128" i="21" s="1"/>
  <c r="AB126" i="8"/>
  <c r="AB128" i="21" s="1"/>
  <c r="AC126" i="8"/>
  <c r="AC128" i="21" s="1"/>
  <c r="AD126" i="8"/>
  <c r="AD128" i="21" s="1"/>
  <c r="AE126" i="8"/>
  <c r="AE128" i="21" s="1"/>
  <c r="AF126" i="8"/>
  <c r="AF128" i="21" s="1"/>
  <c r="AG126" i="8"/>
  <c r="A127" i="8"/>
  <c r="A129" i="21" s="1"/>
  <c r="B127" i="8"/>
  <c r="B129" i="21" s="1"/>
  <c r="C127" i="8"/>
  <c r="C129" i="21" s="1"/>
  <c r="D127" i="8"/>
  <c r="D129" i="21" s="1"/>
  <c r="E127" i="8"/>
  <c r="E129" i="21" s="1"/>
  <c r="F127" i="8"/>
  <c r="F129" i="21" s="1"/>
  <c r="G127" i="8"/>
  <c r="G129" i="21" s="1"/>
  <c r="H127" i="8"/>
  <c r="H129" i="21" s="1"/>
  <c r="I127" i="8"/>
  <c r="I129" i="21" s="1"/>
  <c r="J127" i="8"/>
  <c r="J129" i="21" s="1"/>
  <c r="K127" i="8"/>
  <c r="K129" i="21" s="1"/>
  <c r="L127" i="8"/>
  <c r="L129" i="21" s="1"/>
  <c r="M127" i="8"/>
  <c r="M129" i="21" s="1"/>
  <c r="N127" i="8"/>
  <c r="N129" i="21" s="1"/>
  <c r="O127" i="8"/>
  <c r="O129" i="21" s="1"/>
  <c r="P127" i="8"/>
  <c r="P129" i="21" s="1"/>
  <c r="Q127" i="8"/>
  <c r="Q129" i="21" s="1"/>
  <c r="R127" i="8"/>
  <c r="R129" i="21" s="1"/>
  <c r="S127" i="8"/>
  <c r="S129" i="21" s="1"/>
  <c r="T127" i="8"/>
  <c r="T129" i="21" s="1"/>
  <c r="U127" i="8"/>
  <c r="U129" i="21" s="1"/>
  <c r="V127" i="8"/>
  <c r="V129" i="21" s="1"/>
  <c r="W127" i="8"/>
  <c r="W129" i="21" s="1"/>
  <c r="X127" i="8"/>
  <c r="X129" i="21" s="1"/>
  <c r="Y127" i="8"/>
  <c r="Y129" i="21" s="1"/>
  <c r="Z127" i="8"/>
  <c r="Z129" i="21" s="1"/>
  <c r="AA127" i="8"/>
  <c r="AA129" i="21" s="1"/>
  <c r="AB127" i="8"/>
  <c r="AB129" i="21" s="1"/>
  <c r="AC127" i="8"/>
  <c r="AC129" i="21" s="1"/>
  <c r="AD127" i="8"/>
  <c r="AD129" i="21" s="1"/>
  <c r="AE127" i="8"/>
  <c r="AF127" i="8"/>
  <c r="AG127" i="8"/>
  <c r="A128" i="8"/>
  <c r="A130" i="21" s="1"/>
  <c r="B128" i="8"/>
  <c r="B130" i="21" s="1"/>
  <c r="C128" i="8"/>
  <c r="C130" i="21" s="1"/>
  <c r="D128" i="8"/>
  <c r="D130" i="21" s="1"/>
  <c r="E128" i="8"/>
  <c r="E130" i="21" s="1"/>
  <c r="F128" i="8"/>
  <c r="F130" i="21" s="1"/>
  <c r="G128" i="8"/>
  <c r="G130" i="21" s="1"/>
  <c r="H128" i="8"/>
  <c r="H130" i="21" s="1"/>
  <c r="I128" i="8"/>
  <c r="I130" i="21" s="1"/>
  <c r="J128" i="8"/>
  <c r="J130" i="21" s="1"/>
  <c r="K128" i="8"/>
  <c r="K130" i="21" s="1"/>
  <c r="L128" i="8"/>
  <c r="L130" i="21" s="1"/>
  <c r="M128" i="8"/>
  <c r="M130" i="21" s="1"/>
  <c r="N128" i="8"/>
  <c r="N130" i="21" s="1"/>
  <c r="O128" i="8"/>
  <c r="O130" i="21" s="1"/>
  <c r="P128" i="8"/>
  <c r="P130" i="21" s="1"/>
  <c r="Q128" i="8"/>
  <c r="Q130" i="21" s="1"/>
  <c r="R128" i="8"/>
  <c r="R130" i="21" s="1"/>
  <c r="S128" i="8"/>
  <c r="S130" i="21" s="1"/>
  <c r="T128" i="8"/>
  <c r="T130" i="21" s="1"/>
  <c r="U128" i="8"/>
  <c r="U130" i="21" s="1"/>
  <c r="V128" i="8"/>
  <c r="V130" i="21" s="1"/>
  <c r="W128" i="8"/>
  <c r="W130" i="21" s="1"/>
  <c r="X128" i="8"/>
  <c r="X130" i="21" s="1"/>
  <c r="Y128" i="8"/>
  <c r="Y130" i="21" s="1"/>
  <c r="Z128" i="8"/>
  <c r="Z130" i="21" s="1"/>
  <c r="AA128" i="8"/>
  <c r="AA130" i="21" s="1"/>
  <c r="AB128" i="8"/>
  <c r="AB130" i="21" s="1"/>
  <c r="AC128" i="8"/>
  <c r="AC130" i="21" s="1"/>
  <c r="AD128" i="8"/>
  <c r="AD130" i="21" s="1"/>
  <c r="AE128" i="8"/>
  <c r="AE130" i="21" s="1"/>
  <c r="AF128" i="8"/>
  <c r="AG128" i="8"/>
  <c r="A129" i="8"/>
  <c r="A131" i="21" s="1"/>
  <c r="B129" i="8"/>
  <c r="B131" i="21" s="1"/>
  <c r="C129" i="8"/>
  <c r="C131" i="21" s="1"/>
  <c r="D129" i="8"/>
  <c r="D131" i="21" s="1"/>
  <c r="E129" i="8"/>
  <c r="E131" i="21" s="1"/>
  <c r="F129" i="8"/>
  <c r="F131" i="21" s="1"/>
  <c r="G129" i="8"/>
  <c r="G131" i="21" s="1"/>
  <c r="H129" i="8"/>
  <c r="H131" i="21" s="1"/>
  <c r="I129" i="8"/>
  <c r="I131" i="21" s="1"/>
  <c r="J129" i="8"/>
  <c r="J131" i="21" s="1"/>
  <c r="K129" i="8"/>
  <c r="K131" i="21" s="1"/>
  <c r="L129" i="8"/>
  <c r="L131" i="21" s="1"/>
  <c r="M129" i="8"/>
  <c r="M131" i="21" s="1"/>
  <c r="N129" i="8"/>
  <c r="N131" i="21" s="1"/>
  <c r="O129" i="8"/>
  <c r="O131" i="21" s="1"/>
  <c r="P129" i="8"/>
  <c r="P131" i="21" s="1"/>
  <c r="Q129" i="8"/>
  <c r="Q131" i="21" s="1"/>
  <c r="R129" i="8"/>
  <c r="R131" i="21" s="1"/>
  <c r="S129" i="8"/>
  <c r="S131" i="21" s="1"/>
  <c r="T129" i="8"/>
  <c r="T131" i="21" s="1"/>
  <c r="U129" i="8"/>
  <c r="U131" i="21" s="1"/>
  <c r="V129" i="8"/>
  <c r="V131" i="21" s="1"/>
  <c r="W129" i="8"/>
  <c r="W131" i="21" s="1"/>
  <c r="X129" i="8"/>
  <c r="X131" i="21" s="1"/>
  <c r="Y129" i="8"/>
  <c r="Y131" i="21" s="1"/>
  <c r="Z129" i="8"/>
  <c r="Z131" i="21" s="1"/>
  <c r="AA129" i="8"/>
  <c r="AA131" i="21" s="1"/>
  <c r="AB129" i="8"/>
  <c r="AB131" i="21" s="1"/>
  <c r="AC129" i="8"/>
  <c r="AC131" i="21" s="1"/>
  <c r="AD129" i="8"/>
  <c r="AD131" i="21" s="1"/>
  <c r="AE129" i="8"/>
  <c r="AF129" i="8"/>
  <c r="AF131" i="21" s="1"/>
  <c r="AG129" i="8"/>
  <c r="AG131" i="21" s="1"/>
  <c r="A130" i="8"/>
  <c r="A132" i="21" s="1"/>
  <c r="B130" i="8"/>
  <c r="B132" i="21" s="1"/>
  <c r="C130" i="8"/>
  <c r="C132" i="21" s="1"/>
  <c r="D130" i="8"/>
  <c r="D132" i="21" s="1"/>
  <c r="E130" i="8"/>
  <c r="E132" i="21" s="1"/>
  <c r="F130" i="8"/>
  <c r="F132" i="21" s="1"/>
  <c r="G130" i="8"/>
  <c r="G132" i="21" s="1"/>
  <c r="H130" i="8"/>
  <c r="H132" i="21" s="1"/>
  <c r="I130" i="8"/>
  <c r="I132" i="21" s="1"/>
  <c r="J130" i="8"/>
  <c r="J132" i="21" s="1"/>
  <c r="K130" i="8"/>
  <c r="K132" i="21" s="1"/>
  <c r="L130" i="8"/>
  <c r="L132" i="21" s="1"/>
  <c r="M130" i="8"/>
  <c r="M132" i="21" s="1"/>
  <c r="N130" i="8"/>
  <c r="N132" i="21" s="1"/>
  <c r="O130" i="8"/>
  <c r="O132" i="21" s="1"/>
  <c r="P130" i="8"/>
  <c r="P132" i="21" s="1"/>
  <c r="Q130" i="8"/>
  <c r="Q132" i="21" s="1"/>
  <c r="R130" i="8"/>
  <c r="R132" i="21" s="1"/>
  <c r="S130" i="8"/>
  <c r="S132" i="21" s="1"/>
  <c r="T130" i="8"/>
  <c r="T132" i="21" s="1"/>
  <c r="U130" i="8"/>
  <c r="U132" i="21" s="1"/>
  <c r="V130" i="8"/>
  <c r="V132" i="21" s="1"/>
  <c r="W130" i="8"/>
  <c r="W132" i="21" s="1"/>
  <c r="X130" i="8"/>
  <c r="X132" i="21" s="1"/>
  <c r="Y130" i="8"/>
  <c r="Y132" i="21" s="1"/>
  <c r="Z130" i="8"/>
  <c r="Z132" i="21" s="1"/>
  <c r="AA130" i="8"/>
  <c r="AA132" i="21" s="1"/>
  <c r="AB130" i="8"/>
  <c r="AB132" i="21" s="1"/>
  <c r="AC130" i="8"/>
  <c r="AC132" i="21" s="1"/>
  <c r="AD130" i="8"/>
  <c r="AD132" i="21" s="1"/>
  <c r="AE130" i="8"/>
  <c r="AF130" i="8"/>
  <c r="AG130" i="8"/>
  <c r="A131" i="8"/>
  <c r="A133" i="21" s="1"/>
  <c r="B131" i="8"/>
  <c r="B133" i="21" s="1"/>
  <c r="C131" i="8"/>
  <c r="C133" i="21" s="1"/>
  <c r="D131" i="8"/>
  <c r="D133" i="21" s="1"/>
  <c r="E131" i="8"/>
  <c r="E133" i="21" s="1"/>
  <c r="F131" i="8"/>
  <c r="F133" i="21" s="1"/>
  <c r="G131" i="8"/>
  <c r="G133" i="21" s="1"/>
  <c r="H131" i="8"/>
  <c r="H133" i="21" s="1"/>
  <c r="I131" i="8"/>
  <c r="I133" i="21" s="1"/>
  <c r="J131" i="8"/>
  <c r="J133" i="21" s="1"/>
  <c r="K131" i="8"/>
  <c r="K133" i="21" s="1"/>
  <c r="L131" i="8"/>
  <c r="L133" i="21" s="1"/>
  <c r="M131" i="8"/>
  <c r="M133" i="21" s="1"/>
  <c r="N131" i="8"/>
  <c r="N133" i="21" s="1"/>
  <c r="O131" i="8"/>
  <c r="O133" i="21" s="1"/>
  <c r="P131" i="8"/>
  <c r="P133" i="21" s="1"/>
  <c r="Q131" i="8"/>
  <c r="Q133" i="21" s="1"/>
  <c r="R131" i="8"/>
  <c r="R133" i="21" s="1"/>
  <c r="S131" i="8"/>
  <c r="S133" i="21" s="1"/>
  <c r="T131" i="8"/>
  <c r="T133" i="21" s="1"/>
  <c r="U131" i="8"/>
  <c r="U133" i="21" s="1"/>
  <c r="V131" i="8"/>
  <c r="V133" i="21" s="1"/>
  <c r="W131" i="8"/>
  <c r="W133" i="21" s="1"/>
  <c r="X131" i="8"/>
  <c r="X133" i="21" s="1"/>
  <c r="Y131" i="8"/>
  <c r="Y133" i="21" s="1"/>
  <c r="Z131" i="8"/>
  <c r="Z133" i="21" s="1"/>
  <c r="AA131" i="8"/>
  <c r="AA133" i="21" s="1"/>
  <c r="AB131" i="8"/>
  <c r="AB133" i="21" s="1"/>
  <c r="AC131" i="8"/>
  <c r="AC133" i="21" s="1"/>
  <c r="AD131" i="8"/>
  <c r="AD133" i="21" s="1"/>
  <c r="AE131" i="8"/>
  <c r="AF131" i="8"/>
  <c r="AF133" i="21" s="1"/>
  <c r="AG131" i="8"/>
  <c r="AG133" i="21" s="1"/>
  <c r="A132" i="8"/>
  <c r="A134" i="21" s="1"/>
  <c r="B132" i="8"/>
  <c r="B134" i="21" s="1"/>
  <c r="C132" i="8"/>
  <c r="C134" i="21" s="1"/>
  <c r="D132" i="8"/>
  <c r="D134" i="21" s="1"/>
  <c r="E132" i="8"/>
  <c r="E134" i="21" s="1"/>
  <c r="F132" i="8"/>
  <c r="F134" i="21" s="1"/>
  <c r="G132" i="8"/>
  <c r="G134" i="21" s="1"/>
  <c r="H132" i="8"/>
  <c r="H134" i="21" s="1"/>
  <c r="I132" i="8"/>
  <c r="I134" i="21" s="1"/>
  <c r="J132" i="8"/>
  <c r="J134" i="21" s="1"/>
  <c r="K132" i="8"/>
  <c r="K134" i="21" s="1"/>
  <c r="L132" i="8"/>
  <c r="L134" i="21" s="1"/>
  <c r="M132" i="8"/>
  <c r="M134" i="21" s="1"/>
  <c r="N132" i="8"/>
  <c r="N134" i="21" s="1"/>
  <c r="O132" i="8"/>
  <c r="O134" i="21" s="1"/>
  <c r="P132" i="8"/>
  <c r="P134" i="21" s="1"/>
  <c r="Q132" i="8"/>
  <c r="Q134" i="21" s="1"/>
  <c r="R132" i="8"/>
  <c r="R134" i="21" s="1"/>
  <c r="S132" i="8"/>
  <c r="S134" i="21" s="1"/>
  <c r="T132" i="8"/>
  <c r="T134" i="21" s="1"/>
  <c r="U132" i="8"/>
  <c r="U134" i="21" s="1"/>
  <c r="V132" i="8"/>
  <c r="V134" i="21" s="1"/>
  <c r="W132" i="8"/>
  <c r="W134" i="21" s="1"/>
  <c r="X132" i="8"/>
  <c r="X134" i="21" s="1"/>
  <c r="Y132" i="8"/>
  <c r="Y134" i="21" s="1"/>
  <c r="Z132" i="8"/>
  <c r="Z134" i="21" s="1"/>
  <c r="AA132" i="8"/>
  <c r="AA134" i="21" s="1"/>
  <c r="AB132" i="8"/>
  <c r="AB134" i="21" s="1"/>
  <c r="AC132" i="8"/>
  <c r="AC134" i="21" s="1"/>
  <c r="AD132" i="8"/>
  <c r="AD134" i="21" s="1"/>
  <c r="AE132" i="8"/>
  <c r="AE134" i="21" s="1"/>
  <c r="AF132" i="8"/>
  <c r="AG132" i="8"/>
  <c r="AG134" i="21" s="1"/>
  <c r="A133" i="8"/>
  <c r="A135" i="21" s="1"/>
  <c r="B133" i="8"/>
  <c r="B135" i="21" s="1"/>
  <c r="C133" i="8"/>
  <c r="C135" i="21" s="1"/>
  <c r="D133" i="8"/>
  <c r="D135" i="21" s="1"/>
  <c r="E133" i="8"/>
  <c r="E135" i="21" s="1"/>
  <c r="F133" i="8"/>
  <c r="F135" i="21" s="1"/>
  <c r="G133" i="8"/>
  <c r="G135" i="21" s="1"/>
  <c r="H133" i="8"/>
  <c r="H135" i="21" s="1"/>
  <c r="I133" i="8"/>
  <c r="I135" i="21" s="1"/>
  <c r="J133" i="8"/>
  <c r="J135" i="21" s="1"/>
  <c r="K133" i="8"/>
  <c r="K135" i="21" s="1"/>
  <c r="L133" i="8"/>
  <c r="L135" i="21" s="1"/>
  <c r="M133" i="8"/>
  <c r="M135" i="21" s="1"/>
  <c r="N133" i="8"/>
  <c r="N135" i="21" s="1"/>
  <c r="O133" i="8"/>
  <c r="O135" i="21" s="1"/>
  <c r="P133" i="8"/>
  <c r="P135" i="21" s="1"/>
  <c r="Q133" i="8"/>
  <c r="Q135" i="21" s="1"/>
  <c r="R133" i="8"/>
  <c r="R135" i="21" s="1"/>
  <c r="S133" i="8"/>
  <c r="S135" i="21" s="1"/>
  <c r="T133" i="8"/>
  <c r="T135" i="21" s="1"/>
  <c r="U133" i="8"/>
  <c r="U135" i="21" s="1"/>
  <c r="V133" i="8"/>
  <c r="V135" i="21" s="1"/>
  <c r="W133" i="8"/>
  <c r="W135" i="21" s="1"/>
  <c r="X133" i="8"/>
  <c r="X135" i="21" s="1"/>
  <c r="Y133" i="8"/>
  <c r="Y135" i="21" s="1"/>
  <c r="Z133" i="8"/>
  <c r="Z135" i="21" s="1"/>
  <c r="AA133" i="8"/>
  <c r="AA135" i="21" s="1"/>
  <c r="AB133" i="8"/>
  <c r="AB135" i="21" s="1"/>
  <c r="AC133" i="8"/>
  <c r="AC135" i="21" s="1"/>
  <c r="AD133" i="8"/>
  <c r="AD135" i="21" s="1"/>
  <c r="AE133" i="8"/>
  <c r="AF133" i="8"/>
  <c r="AG133" i="8"/>
  <c r="A134" i="8"/>
  <c r="A136" i="21" s="1"/>
  <c r="B134" i="8"/>
  <c r="B136" i="21" s="1"/>
  <c r="C134" i="8"/>
  <c r="C136" i="21" s="1"/>
  <c r="D134" i="8"/>
  <c r="D136" i="21" s="1"/>
  <c r="E134" i="8"/>
  <c r="E136" i="21" s="1"/>
  <c r="F134" i="8"/>
  <c r="F136" i="21" s="1"/>
  <c r="G134" i="8"/>
  <c r="G136" i="21" s="1"/>
  <c r="H134" i="8"/>
  <c r="H136" i="21" s="1"/>
  <c r="I134" i="8"/>
  <c r="I136" i="21" s="1"/>
  <c r="J134" i="8"/>
  <c r="J136" i="21" s="1"/>
  <c r="K134" i="8"/>
  <c r="K136" i="21" s="1"/>
  <c r="L134" i="8"/>
  <c r="L136" i="21" s="1"/>
  <c r="M134" i="8"/>
  <c r="M136" i="21" s="1"/>
  <c r="N134" i="8"/>
  <c r="N136" i="21" s="1"/>
  <c r="O134" i="8"/>
  <c r="O136" i="21" s="1"/>
  <c r="P134" i="8"/>
  <c r="P136" i="21" s="1"/>
  <c r="Q134" i="8"/>
  <c r="Q136" i="21" s="1"/>
  <c r="R134" i="8"/>
  <c r="R136" i="21" s="1"/>
  <c r="S134" i="8"/>
  <c r="S136" i="21" s="1"/>
  <c r="T134" i="8"/>
  <c r="T136" i="21" s="1"/>
  <c r="U134" i="8"/>
  <c r="U136" i="21" s="1"/>
  <c r="V134" i="8"/>
  <c r="V136" i="21" s="1"/>
  <c r="W134" i="8"/>
  <c r="W136" i="21" s="1"/>
  <c r="X134" i="8"/>
  <c r="X136" i="21" s="1"/>
  <c r="Y134" i="8"/>
  <c r="Y136" i="21" s="1"/>
  <c r="Z134" i="8"/>
  <c r="Z136" i="21" s="1"/>
  <c r="AA134" i="8"/>
  <c r="AA136" i="21" s="1"/>
  <c r="AB134" i="8"/>
  <c r="AB136" i="21" s="1"/>
  <c r="AC134" i="8"/>
  <c r="AC136" i="21" s="1"/>
  <c r="AD134" i="8"/>
  <c r="AD136" i="21" s="1"/>
  <c r="AE134" i="8"/>
  <c r="AE136" i="21" s="1"/>
  <c r="AF134" i="8"/>
  <c r="AF136" i="21" s="1"/>
  <c r="AG134" i="8"/>
  <c r="AG136" i="21" s="1"/>
  <c r="A135" i="8"/>
  <c r="A137" i="21" s="1"/>
  <c r="B135" i="8"/>
  <c r="B137" i="21" s="1"/>
  <c r="C135" i="8"/>
  <c r="C137" i="21" s="1"/>
  <c r="D135" i="8"/>
  <c r="D137" i="21" s="1"/>
  <c r="E135" i="8"/>
  <c r="E137" i="21" s="1"/>
  <c r="F135" i="8"/>
  <c r="F137" i="21" s="1"/>
  <c r="G135" i="8"/>
  <c r="G137" i="21" s="1"/>
  <c r="H135" i="8"/>
  <c r="H137" i="21" s="1"/>
  <c r="I135" i="8"/>
  <c r="I137" i="21" s="1"/>
  <c r="J135" i="8"/>
  <c r="J137" i="21" s="1"/>
  <c r="K135" i="8"/>
  <c r="K137" i="21" s="1"/>
  <c r="L135" i="8"/>
  <c r="L137" i="21" s="1"/>
  <c r="M135" i="8"/>
  <c r="M137" i="21" s="1"/>
  <c r="N135" i="8"/>
  <c r="N137" i="21" s="1"/>
  <c r="O135" i="8"/>
  <c r="O137" i="21" s="1"/>
  <c r="P135" i="8"/>
  <c r="P137" i="21" s="1"/>
  <c r="Q135" i="8"/>
  <c r="Q137" i="21" s="1"/>
  <c r="R135" i="8"/>
  <c r="R137" i="21" s="1"/>
  <c r="S135" i="8"/>
  <c r="S137" i="21" s="1"/>
  <c r="T135" i="8"/>
  <c r="T137" i="21" s="1"/>
  <c r="U135" i="8"/>
  <c r="U137" i="21" s="1"/>
  <c r="V135" i="8"/>
  <c r="V137" i="21" s="1"/>
  <c r="W135" i="8"/>
  <c r="W137" i="21" s="1"/>
  <c r="X135" i="8"/>
  <c r="X137" i="21" s="1"/>
  <c r="Y135" i="8"/>
  <c r="Y137" i="21" s="1"/>
  <c r="Z135" i="8"/>
  <c r="Z137" i="21" s="1"/>
  <c r="AA135" i="8"/>
  <c r="AA137" i="21" s="1"/>
  <c r="AB135" i="8"/>
  <c r="AB137" i="21" s="1"/>
  <c r="AC135" i="8"/>
  <c r="AC137" i="21" s="1"/>
  <c r="AD135" i="8"/>
  <c r="AD137" i="21" s="1"/>
  <c r="AE135" i="8"/>
  <c r="AF135" i="8"/>
  <c r="AG135" i="8"/>
  <c r="A136" i="8"/>
  <c r="A138" i="21" s="1"/>
  <c r="B136" i="8"/>
  <c r="B138" i="21" s="1"/>
  <c r="C136" i="8"/>
  <c r="C138" i="21" s="1"/>
  <c r="D136" i="8"/>
  <c r="D138" i="21" s="1"/>
  <c r="E136" i="8"/>
  <c r="E138" i="21" s="1"/>
  <c r="F136" i="8"/>
  <c r="F138" i="21" s="1"/>
  <c r="G136" i="8"/>
  <c r="G138" i="21" s="1"/>
  <c r="H136" i="8"/>
  <c r="H138" i="21" s="1"/>
  <c r="I136" i="8"/>
  <c r="I138" i="21" s="1"/>
  <c r="J136" i="8"/>
  <c r="J138" i="21" s="1"/>
  <c r="K136" i="8"/>
  <c r="K138" i="21" s="1"/>
  <c r="L136" i="8"/>
  <c r="L138" i="21" s="1"/>
  <c r="M136" i="8"/>
  <c r="M138" i="21" s="1"/>
  <c r="N136" i="8"/>
  <c r="N138" i="21" s="1"/>
  <c r="O136" i="8"/>
  <c r="O138" i="21" s="1"/>
  <c r="P136" i="8"/>
  <c r="P138" i="21" s="1"/>
  <c r="Q136" i="8"/>
  <c r="Q138" i="21" s="1"/>
  <c r="R136" i="8"/>
  <c r="R138" i="21" s="1"/>
  <c r="S136" i="8"/>
  <c r="S138" i="21" s="1"/>
  <c r="T136" i="8"/>
  <c r="T138" i="21" s="1"/>
  <c r="U136" i="8"/>
  <c r="U138" i="21" s="1"/>
  <c r="V136" i="8"/>
  <c r="V138" i="21" s="1"/>
  <c r="W136" i="8"/>
  <c r="W138" i="21" s="1"/>
  <c r="X136" i="8"/>
  <c r="X138" i="21" s="1"/>
  <c r="Y136" i="8"/>
  <c r="Y138" i="21" s="1"/>
  <c r="Z136" i="8"/>
  <c r="Z138" i="21" s="1"/>
  <c r="AA136" i="8"/>
  <c r="AA138" i="21" s="1"/>
  <c r="AB136" i="8"/>
  <c r="AB138" i="21" s="1"/>
  <c r="AC136" i="8"/>
  <c r="AC138" i="21" s="1"/>
  <c r="AD136" i="8"/>
  <c r="AD138" i="21" s="1"/>
  <c r="AE136" i="8"/>
  <c r="AE138" i="21" s="1"/>
  <c r="AF136" i="8"/>
  <c r="AG136" i="8"/>
  <c r="AG138" i="21" s="1"/>
  <c r="A137" i="8"/>
  <c r="A139" i="21" s="1"/>
  <c r="B137" i="8"/>
  <c r="B139" i="21" s="1"/>
  <c r="C137" i="8"/>
  <c r="C139" i="21" s="1"/>
  <c r="D137" i="8"/>
  <c r="D139" i="21" s="1"/>
  <c r="E137" i="8"/>
  <c r="E139" i="21" s="1"/>
  <c r="F137" i="8"/>
  <c r="F139" i="21" s="1"/>
  <c r="G137" i="8"/>
  <c r="G139" i="21" s="1"/>
  <c r="H137" i="8"/>
  <c r="H139" i="21" s="1"/>
  <c r="I137" i="8"/>
  <c r="I139" i="21" s="1"/>
  <c r="J137" i="8"/>
  <c r="J139" i="21" s="1"/>
  <c r="K137" i="8"/>
  <c r="K139" i="21" s="1"/>
  <c r="L137" i="8"/>
  <c r="L139" i="21" s="1"/>
  <c r="M137" i="8"/>
  <c r="M139" i="21" s="1"/>
  <c r="N137" i="8"/>
  <c r="N139" i="21" s="1"/>
  <c r="O137" i="8"/>
  <c r="O139" i="21" s="1"/>
  <c r="P137" i="8"/>
  <c r="P139" i="21" s="1"/>
  <c r="Q137" i="8"/>
  <c r="Q139" i="21" s="1"/>
  <c r="R137" i="8"/>
  <c r="R139" i="21" s="1"/>
  <c r="S137" i="8"/>
  <c r="S139" i="21" s="1"/>
  <c r="T137" i="8"/>
  <c r="T139" i="21" s="1"/>
  <c r="U137" i="8"/>
  <c r="U139" i="21" s="1"/>
  <c r="V137" i="8"/>
  <c r="V139" i="21" s="1"/>
  <c r="W137" i="8"/>
  <c r="W139" i="21" s="1"/>
  <c r="X137" i="8"/>
  <c r="X139" i="21" s="1"/>
  <c r="Y137" i="8"/>
  <c r="Y139" i="21" s="1"/>
  <c r="Z137" i="8"/>
  <c r="Z139" i="21" s="1"/>
  <c r="AA137" i="8"/>
  <c r="AA139" i="21" s="1"/>
  <c r="AB137" i="8"/>
  <c r="AB139" i="21" s="1"/>
  <c r="AC137" i="8"/>
  <c r="AC139" i="21" s="1"/>
  <c r="AD137" i="8"/>
  <c r="AD139" i="21" s="1"/>
  <c r="AE137" i="8"/>
  <c r="AF137" i="8"/>
  <c r="AG137" i="8"/>
  <c r="A138" i="8"/>
  <c r="A140" i="21" s="1"/>
  <c r="B138" i="8"/>
  <c r="B140" i="21" s="1"/>
  <c r="C138" i="8"/>
  <c r="C140" i="21" s="1"/>
  <c r="D138" i="8"/>
  <c r="D140" i="21" s="1"/>
  <c r="E138" i="8"/>
  <c r="E140" i="21" s="1"/>
  <c r="F138" i="8"/>
  <c r="F140" i="21" s="1"/>
  <c r="G138" i="8"/>
  <c r="G140" i="21" s="1"/>
  <c r="H138" i="8"/>
  <c r="H140" i="21" s="1"/>
  <c r="I138" i="8"/>
  <c r="I140" i="21" s="1"/>
  <c r="J138" i="8"/>
  <c r="J140" i="21" s="1"/>
  <c r="K138" i="8"/>
  <c r="K140" i="21" s="1"/>
  <c r="L138" i="8"/>
  <c r="L140" i="21" s="1"/>
  <c r="M138" i="8"/>
  <c r="M140" i="21" s="1"/>
  <c r="N138" i="8"/>
  <c r="N140" i="21" s="1"/>
  <c r="O138" i="8"/>
  <c r="O140" i="21" s="1"/>
  <c r="P138" i="8"/>
  <c r="P140" i="21" s="1"/>
  <c r="Q138" i="8"/>
  <c r="Q140" i="21" s="1"/>
  <c r="R138" i="8"/>
  <c r="R140" i="21" s="1"/>
  <c r="S138" i="8"/>
  <c r="S140" i="21" s="1"/>
  <c r="T138" i="8"/>
  <c r="T140" i="21" s="1"/>
  <c r="U138" i="8"/>
  <c r="U140" i="21" s="1"/>
  <c r="V138" i="8"/>
  <c r="V140" i="21" s="1"/>
  <c r="W138" i="8"/>
  <c r="W140" i="21" s="1"/>
  <c r="X138" i="8"/>
  <c r="X140" i="21" s="1"/>
  <c r="Y138" i="8"/>
  <c r="Y140" i="21" s="1"/>
  <c r="Z138" i="8"/>
  <c r="Z140" i="21" s="1"/>
  <c r="AA138" i="8"/>
  <c r="AA140" i="21" s="1"/>
  <c r="AB138" i="8"/>
  <c r="AB140" i="21" s="1"/>
  <c r="AC138" i="8"/>
  <c r="AC140" i="21" s="1"/>
  <c r="AD138" i="8"/>
  <c r="AD140" i="21" s="1"/>
  <c r="AE138" i="8"/>
  <c r="AE140" i="21" s="1"/>
  <c r="AF138" i="8"/>
  <c r="AG138" i="8"/>
  <c r="A139" i="8"/>
  <c r="A141" i="21" s="1"/>
  <c r="B139" i="8"/>
  <c r="B141" i="21" s="1"/>
  <c r="C139" i="8"/>
  <c r="C141" i="21" s="1"/>
  <c r="D139" i="8"/>
  <c r="D141" i="21" s="1"/>
  <c r="E139" i="8"/>
  <c r="E141" i="21" s="1"/>
  <c r="F139" i="8"/>
  <c r="F141" i="21" s="1"/>
  <c r="G139" i="8"/>
  <c r="G141" i="21" s="1"/>
  <c r="H139" i="8"/>
  <c r="H141" i="21" s="1"/>
  <c r="I139" i="8"/>
  <c r="I141" i="21" s="1"/>
  <c r="J139" i="8"/>
  <c r="J141" i="21" s="1"/>
  <c r="K139" i="8"/>
  <c r="K141" i="21" s="1"/>
  <c r="L139" i="8"/>
  <c r="L141" i="21" s="1"/>
  <c r="M139" i="8"/>
  <c r="M141" i="21" s="1"/>
  <c r="N139" i="8"/>
  <c r="N141" i="21" s="1"/>
  <c r="O139" i="8"/>
  <c r="O141" i="21" s="1"/>
  <c r="P139" i="8"/>
  <c r="P141" i="21" s="1"/>
  <c r="Q139" i="8"/>
  <c r="Q141" i="21" s="1"/>
  <c r="R139" i="8"/>
  <c r="R141" i="21" s="1"/>
  <c r="S139" i="8"/>
  <c r="S141" i="21" s="1"/>
  <c r="T139" i="8"/>
  <c r="T141" i="21" s="1"/>
  <c r="U139" i="8"/>
  <c r="U141" i="21" s="1"/>
  <c r="V139" i="8"/>
  <c r="V141" i="21" s="1"/>
  <c r="W139" i="8"/>
  <c r="W141" i="21" s="1"/>
  <c r="X139" i="8"/>
  <c r="X141" i="21" s="1"/>
  <c r="Y139" i="8"/>
  <c r="Y141" i="21" s="1"/>
  <c r="Z139" i="8"/>
  <c r="Z141" i="21" s="1"/>
  <c r="AA139" i="8"/>
  <c r="AA141" i="21" s="1"/>
  <c r="AB139" i="8"/>
  <c r="AB141" i="21" s="1"/>
  <c r="AC139" i="8"/>
  <c r="AC141" i="21" s="1"/>
  <c r="AD139" i="8"/>
  <c r="AD141" i="21" s="1"/>
  <c r="AE139" i="8"/>
  <c r="AF139" i="8"/>
  <c r="AF141" i="21" s="1"/>
  <c r="AG139" i="8"/>
  <c r="AG141" i="21" s="1"/>
  <c r="A140" i="8"/>
  <c r="A142" i="21" s="1"/>
  <c r="B140" i="8"/>
  <c r="B142" i="21" s="1"/>
  <c r="C140" i="8"/>
  <c r="C142" i="21" s="1"/>
  <c r="D140" i="8"/>
  <c r="D142" i="21" s="1"/>
  <c r="E140" i="8"/>
  <c r="E142" i="21" s="1"/>
  <c r="F140" i="8"/>
  <c r="F142" i="21" s="1"/>
  <c r="G140" i="8"/>
  <c r="G142" i="21" s="1"/>
  <c r="H140" i="8"/>
  <c r="H142" i="21" s="1"/>
  <c r="I140" i="8"/>
  <c r="I142" i="21" s="1"/>
  <c r="J140" i="8"/>
  <c r="J142" i="21" s="1"/>
  <c r="K140" i="8"/>
  <c r="K142" i="21" s="1"/>
  <c r="L140" i="8"/>
  <c r="L142" i="21" s="1"/>
  <c r="M140" i="8"/>
  <c r="M142" i="21" s="1"/>
  <c r="N140" i="8"/>
  <c r="N142" i="21" s="1"/>
  <c r="O140" i="8"/>
  <c r="O142" i="21" s="1"/>
  <c r="P140" i="8"/>
  <c r="P142" i="21" s="1"/>
  <c r="Q140" i="8"/>
  <c r="Q142" i="21" s="1"/>
  <c r="R140" i="8"/>
  <c r="R142" i="21" s="1"/>
  <c r="S140" i="8"/>
  <c r="S142" i="21" s="1"/>
  <c r="T140" i="8"/>
  <c r="T142" i="21" s="1"/>
  <c r="U140" i="8"/>
  <c r="U142" i="21" s="1"/>
  <c r="V140" i="8"/>
  <c r="V142" i="21" s="1"/>
  <c r="W140" i="8"/>
  <c r="W142" i="21" s="1"/>
  <c r="X140" i="8"/>
  <c r="X142" i="21" s="1"/>
  <c r="Y140" i="8"/>
  <c r="Y142" i="21" s="1"/>
  <c r="Z140" i="8"/>
  <c r="Z142" i="21" s="1"/>
  <c r="AA140" i="8"/>
  <c r="AA142" i="21" s="1"/>
  <c r="AB140" i="8"/>
  <c r="AB142" i="21" s="1"/>
  <c r="AC140" i="8"/>
  <c r="AC142" i="21" s="1"/>
  <c r="AD140" i="8"/>
  <c r="AD142" i="21" s="1"/>
  <c r="AE140" i="8"/>
  <c r="AE142" i="21" s="1"/>
  <c r="AF140" i="8"/>
  <c r="AF142" i="21" s="1"/>
  <c r="AG140" i="8"/>
  <c r="AG142" i="21" s="1"/>
  <c r="A141" i="8"/>
  <c r="A143" i="21" s="1"/>
  <c r="B141" i="8"/>
  <c r="B143" i="21" s="1"/>
  <c r="C141" i="8"/>
  <c r="C143" i="21" s="1"/>
  <c r="D141" i="8"/>
  <c r="D143" i="21" s="1"/>
  <c r="E141" i="8"/>
  <c r="E143" i="21" s="1"/>
  <c r="F141" i="8"/>
  <c r="F143" i="21" s="1"/>
  <c r="G141" i="8"/>
  <c r="G143" i="21" s="1"/>
  <c r="H141" i="8"/>
  <c r="H143" i="21" s="1"/>
  <c r="I141" i="8"/>
  <c r="I143" i="21" s="1"/>
  <c r="J141" i="8"/>
  <c r="J143" i="21" s="1"/>
  <c r="K141" i="8"/>
  <c r="K143" i="21" s="1"/>
  <c r="L141" i="8"/>
  <c r="L143" i="21" s="1"/>
  <c r="M141" i="8"/>
  <c r="M143" i="21" s="1"/>
  <c r="N141" i="8"/>
  <c r="N143" i="21" s="1"/>
  <c r="O141" i="8"/>
  <c r="O143" i="21" s="1"/>
  <c r="P141" i="8"/>
  <c r="P143" i="21" s="1"/>
  <c r="Q141" i="8"/>
  <c r="Q143" i="21" s="1"/>
  <c r="R141" i="8"/>
  <c r="R143" i="21" s="1"/>
  <c r="S141" i="8"/>
  <c r="S143" i="21" s="1"/>
  <c r="T141" i="8"/>
  <c r="T143" i="21" s="1"/>
  <c r="U141" i="8"/>
  <c r="U143" i="21" s="1"/>
  <c r="V141" i="8"/>
  <c r="V143" i="21" s="1"/>
  <c r="W141" i="8"/>
  <c r="W143" i="21" s="1"/>
  <c r="X141" i="8"/>
  <c r="X143" i="21" s="1"/>
  <c r="Y141" i="8"/>
  <c r="Y143" i="21" s="1"/>
  <c r="Z141" i="8"/>
  <c r="Z143" i="21" s="1"/>
  <c r="AA141" i="8"/>
  <c r="AA143" i="21" s="1"/>
  <c r="AB141" i="8"/>
  <c r="AB143" i="21" s="1"/>
  <c r="AC141" i="8"/>
  <c r="AC143" i="21" s="1"/>
  <c r="AD141" i="8"/>
  <c r="AD143" i="21" s="1"/>
  <c r="AE141" i="8"/>
  <c r="AF141" i="8"/>
  <c r="AF143" i="21" s="1"/>
  <c r="AG141" i="8"/>
  <c r="AG143" i="21" s="1"/>
  <c r="A142" i="8"/>
  <c r="A144" i="21" s="1"/>
  <c r="B142" i="8"/>
  <c r="B144" i="21" s="1"/>
  <c r="C142" i="8"/>
  <c r="C144" i="21" s="1"/>
  <c r="D142" i="8"/>
  <c r="D144" i="21" s="1"/>
  <c r="E142" i="8"/>
  <c r="E144" i="21" s="1"/>
  <c r="F142" i="8"/>
  <c r="F144" i="21" s="1"/>
  <c r="G142" i="8"/>
  <c r="G144" i="21" s="1"/>
  <c r="H142" i="8"/>
  <c r="H144" i="21" s="1"/>
  <c r="I142" i="8"/>
  <c r="I144" i="21" s="1"/>
  <c r="J142" i="8"/>
  <c r="J144" i="21" s="1"/>
  <c r="K142" i="8"/>
  <c r="K144" i="21" s="1"/>
  <c r="L142" i="8"/>
  <c r="L144" i="21" s="1"/>
  <c r="M142" i="8"/>
  <c r="M144" i="21" s="1"/>
  <c r="N142" i="8"/>
  <c r="N144" i="21" s="1"/>
  <c r="O142" i="8"/>
  <c r="O144" i="21" s="1"/>
  <c r="P142" i="8"/>
  <c r="P144" i="21" s="1"/>
  <c r="Q142" i="8"/>
  <c r="Q144" i="21" s="1"/>
  <c r="R142" i="8"/>
  <c r="R144" i="21" s="1"/>
  <c r="S142" i="8"/>
  <c r="S144" i="21" s="1"/>
  <c r="T142" i="8"/>
  <c r="T144" i="21" s="1"/>
  <c r="U142" i="8"/>
  <c r="U144" i="21" s="1"/>
  <c r="V142" i="8"/>
  <c r="V144" i="21" s="1"/>
  <c r="W142" i="8"/>
  <c r="W144" i="21" s="1"/>
  <c r="X142" i="8"/>
  <c r="X144" i="21" s="1"/>
  <c r="Y142" i="8"/>
  <c r="Y144" i="21" s="1"/>
  <c r="Z142" i="8"/>
  <c r="Z144" i="21" s="1"/>
  <c r="AA142" i="8"/>
  <c r="AA144" i="21" s="1"/>
  <c r="AB142" i="8"/>
  <c r="AB144" i="21" s="1"/>
  <c r="AC142" i="8"/>
  <c r="AC144" i="21" s="1"/>
  <c r="AD142" i="8"/>
  <c r="AD144" i="21" s="1"/>
  <c r="AE142" i="8"/>
  <c r="AE144" i="21" s="1"/>
  <c r="AF142" i="8"/>
  <c r="AF144" i="21" s="1"/>
  <c r="AG142" i="8"/>
  <c r="AG144" i="21" s="1"/>
  <c r="A143" i="8"/>
  <c r="A145" i="21" s="1"/>
  <c r="B143" i="8"/>
  <c r="B145" i="21" s="1"/>
  <c r="C143" i="8"/>
  <c r="C145" i="21" s="1"/>
  <c r="D143" i="8"/>
  <c r="D145" i="21" s="1"/>
  <c r="E143" i="8"/>
  <c r="E145" i="21" s="1"/>
  <c r="F143" i="8"/>
  <c r="F145" i="21" s="1"/>
  <c r="G143" i="8"/>
  <c r="G145" i="21" s="1"/>
  <c r="H143" i="8"/>
  <c r="H145" i="21" s="1"/>
  <c r="I143" i="8"/>
  <c r="I145" i="21" s="1"/>
  <c r="J143" i="8"/>
  <c r="J145" i="21" s="1"/>
  <c r="K143" i="8"/>
  <c r="K145" i="21" s="1"/>
  <c r="L143" i="8"/>
  <c r="L145" i="21" s="1"/>
  <c r="M143" i="8"/>
  <c r="M145" i="21" s="1"/>
  <c r="N143" i="8"/>
  <c r="N145" i="21" s="1"/>
  <c r="O143" i="8"/>
  <c r="O145" i="21" s="1"/>
  <c r="P143" i="8"/>
  <c r="P145" i="21" s="1"/>
  <c r="Q143" i="8"/>
  <c r="Q145" i="21" s="1"/>
  <c r="R143" i="8"/>
  <c r="R145" i="21" s="1"/>
  <c r="S143" i="8"/>
  <c r="S145" i="21" s="1"/>
  <c r="T143" i="8"/>
  <c r="T145" i="21" s="1"/>
  <c r="U143" i="8"/>
  <c r="U145" i="21" s="1"/>
  <c r="V143" i="8"/>
  <c r="V145" i="21" s="1"/>
  <c r="W143" i="8"/>
  <c r="W145" i="21" s="1"/>
  <c r="X143" i="8"/>
  <c r="X145" i="21" s="1"/>
  <c r="Y143" i="8"/>
  <c r="Y145" i="21" s="1"/>
  <c r="Z143" i="8"/>
  <c r="Z145" i="21" s="1"/>
  <c r="AA143" i="8"/>
  <c r="AA145" i="21" s="1"/>
  <c r="AB143" i="8"/>
  <c r="AB145" i="21" s="1"/>
  <c r="AC143" i="8"/>
  <c r="AC145" i="21" s="1"/>
  <c r="AD143" i="8"/>
  <c r="AD145" i="21" s="1"/>
  <c r="AE143" i="8"/>
  <c r="AF143" i="8"/>
  <c r="AF145" i="21" s="1"/>
  <c r="AG143" i="8"/>
  <c r="AG145" i="21" s="1"/>
  <c r="A144" i="8"/>
  <c r="A146" i="21" s="1"/>
  <c r="B144" i="8"/>
  <c r="B146" i="21" s="1"/>
  <c r="C144" i="8"/>
  <c r="C146" i="21" s="1"/>
  <c r="D144" i="8"/>
  <c r="D146" i="21" s="1"/>
  <c r="E144" i="8"/>
  <c r="E146" i="21" s="1"/>
  <c r="F144" i="8"/>
  <c r="F146" i="21" s="1"/>
  <c r="G144" i="8"/>
  <c r="G146" i="21" s="1"/>
  <c r="H144" i="8"/>
  <c r="H146" i="21" s="1"/>
  <c r="I144" i="8"/>
  <c r="I146" i="21" s="1"/>
  <c r="J144" i="8"/>
  <c r="J146" i="21" s="1"/>
  <c r="K144" i="8"/>
  <c r="K146" i="21" s="1"/>
  <c r="L144" i="8"/>
  <c r="L146" i="21" s="1"/>
  <c r="M144" i="8"/>
  <c r="M146" i="21" s="1"/>
  <c r="N144" i="8"/>
  <c r="N146" i="21" s="1"/>
  <c r="O144" i="8"/>
  <c r="O146" i="21" s="1"/>
  <c r="P144" i="8"/>
  <c r="P146" i="21" s="1"/>
  <c r="Q144" i="8"/>
  <c r="Q146" i="21" s="1"/>
  <c r="R144" i="8"/>
  <c r="R146" i="21" s="1"/>
  <c r="S144" i="8"/>
  <c r="S146" i="21" s="1"/>
  <c r="T144" i="8"/>
  <c r="T146" i="21" s="1"/>
  <c r="U144" i="8"/>
  <c r="U146" i="21" s="1"/>
  <c r="V144" i="8"/>
  <c r="V146" i="21" s="1"/>
  <c r="W144" i="8"/>
  <c r="W146" i="21" s="1"/>
  <c r="X144" i="8"/>
  <c r="X146" i="21" s="1"/>
  <c r="Y144" i="8"/>
  <c r="Y146" i="21" s="1"/>
  <c r="Z144" i="8"/>
  <c r="Z146" i="21" s="1"/>
  <c r="AA144" i="8"/>
  <c r="AA146" i="21" s="1"/>
  <c r="AB144" i="8"/>
  <c r="AB146" i="21" s="1"/>
  <c r="AC144" i="8"/>
  <c r="AC146" i="21" s="1"/>
  <c r="AD144" i="8"/>
  <c r="AD146" i="21" s="1"/>
  <c r="AE144" i="8"/>
  <c r="AE146" i="21" s="1"/>
  <c r="AF144" i="8"/>
  <c r="AF146" i="21" s="1"/>
  <c r="AG144" i="8"/>
  <c r="AG146" i="21" s="1"/>
  <c r="A145" i="8"/>
  <c r="A147" i="21" s="1"/>
  <c r="B145" i="8"/>
  <c r="B147" i="21" s="1"/>
  <c r="C145" i="8"/>
  <c r="C147" i="21" s="1"/>
  <c r="D145" i="8"/>
  <c r="D147" i="21" s="1"/>
  <c r="E145" i="8"/>
  <c r="E147" i="21" s="1"/>
  <c r="F145" i="8"/>
  <c r="F147" i="21" s="1"/>
  <c r="G145" i="8"/>
  <c r="G147" i="21" s="1"/>
  <c r="H145" i="8"/>
  <c r="H147" i="21" s="1"/>
  <c r="I145" i="8"/>
  <c r="I147" i="21" s="1"/>
  <c r="J145" i="8"/>
  <c r="J147" i="21" s="1"/>
  <c r="K145" i="8"/>
  <c r="K147" i="21" s="1"/>
  <c r="L145" i="8"/>
  <c r="L147" i="21" s="1"/>
  <c r="M145" i="8"/>
  <c r="M147" i="21" s="1"/>
  <c r="N145" i="8"/>
  <c r="N147" i="21" s="1"/>
  <c r="O145" i="8"/>
  <c r="O147" i="21" s="1"/>
  <c r="P145" i="8"/>
  <c r="P147" i="21" s="1"/>
  <c r="Q145" i="8"/>
  <c r="Q147" i="21" s="1"/>
  <c r="R145" i="8"/>
  <c r="R147" i="21" s="1"/>
  <c r="S145" i="8"/>
  <c r="S147" i="21" s="1"/>
  <c r="T145" i="8"/>
  <c r="T147" i="21" s="1"/>
  <c r="U145" i="8"/>
  <c r="U147" i="21" s="1"/>
  <c r="V145" i="8"/>
  <c r="V147" i="21" s="1"/>
  <c r="W145" i="8"/>
  <c r="W147" i="21" s="1"/>
  <c r="X145" i="8"/>
  <c r="X147" i="21" s="1"/>
  <c r="Y145" i="8"/>
  <c r="Y147" i="21" s="1"/>
  <c r="Z145" i="8"/>
  <c r="Z147" i="21" s="1"/>
  <c r="AA145" i="8"/>
  <c r="AA147" i="21" s="1"/>
  <c r="AB145" i="8"/>
  <c r="AB147" i="21" s="1"/>
  <c r="AC145" i="8"/>
  <c r="AC147" i="21" s="1"/>
  <c r="AD145" i="8"/>
  <c r="AD147" i="21" s="1"/>
  <c r="AE145" i="8"/>
  <c r="AF145" i="8"/>
  <c r="AF147" i="21" s="1"/>
  <c r="AG145" i="8"/>
  <c r="AG147" i="21" s="1"/>
  <c r="A146" i="8"/>
  <c r="A148" i="21" s="1"/>
  <c r="B146" i="8"/>
  <c r="B148" i="21" s="1"/>
  <c r="C146" i="8"/>
  <c r="C148" i="21" s="1"/>
  <c r="D146" i="8"/>
  <c r="D148" i="21" s="1"/>
  <c r="E146" i="8"/>
  <c r="E148" i="21" s="1"/>
  <c r="F146" i="8"/>
  <c r="F148" i="21" s="1"/>
  <c r="G146" i="8"/>
  <c r="G148" i="21" s="1"/>
  <c r="H146" i="8"/>
  <c r="H148" i="21" s="1"/>
  <c r="I146" i="8"/>
  <c r="I148" i="21" s="1"/>
  <c r="J146" i="8"/>
  <c r="J148" i="21" s="1"/>
  <c r="K146" i="8"/>
  <c r="K148" i="21" s="1"/>
  <c r="L146" i="8"/>
  <c r="L148" i="21" s="1"/>
  <c r="M146" i="8"/>
  <c r="M148" i="21" s="1"/>
  <c r="N146" i="8"/>
  <c r="N148" i="21" s="1"/>
  <c r="O146" i="8"/>
  <c r="O148" i="21" s="1"/>
  <c r="P146" i="8"/>
  <c r="P148" i="21" s="1"/>
  <c r="Q146" i="8"/>
  <c r="Q148" i="21" s="1"/>
  <c r="R146" i="8"/>
  <c r="R148" i="21" s="1"/>
  <c r="S146" i="8"/>
  <c r="S148" i="21" s="1"/>
  <c r="T146" i="8"/>
  <c r="T148" i="21" s="1"/>
  <c r="U146" i="8"/>
  <c r="U148" i="21" s="1"/>
  <c r="V146" i="8"/>
  <c r="V148" i="21" s="1"/>
  <c r="W146" i="8"/>
  <c r="W148" i="21" s="1"/>
  <c r="X146" i="8"/>
  <c r="X148" i="21" s="1"/>
  <c r="Y146" i="8"/>
  <c r="Y148" i="21" s="1"/>
  <c r="Z146" i="8"/>
  <c r="Z148" i="21" s="1"/>
  <c r="AA146" i="8"/>
  <c r="AA148" i="21" s="1"/>
  <c r="AB146" i="8"/>
  <c r="AB148" i="21" s="1"/>
  <c r="AC146" i="8"/>
  <c r="AC148" i="21" s="1"/>
  <c r="AD146" i="8"/>
  <c r="AD148" i="21" s="1"/>
  <c r="AE146" i="8"/>
  <c r="AE148" i="21" s="1"/>
  <c r="AF146" i="8"/>
  <c r="AG146" i="8"/>
  <c r="A147" i="8"/>
  <c r="A149" i="21" s="1"/>
  <c r="B147" i="8"/>
  <c r="B149" i="21" s="1"/>
  <c r="C147" i="8"/>
  <c r="C149" i="21" s="1"/>
  <c r="D147" i="8"/>
  <c r="D149" i="21" s="1"/>
  <c r="E147" i="8"/>
  <c r="E149" i="21" s="1"/>
  <c r="F147" i="8"/>
  <c r="F149" i="21" s="1"/>
  <c r="G147" i="8"/>
  <c r="G149" i="21" s="1"/>
  <c r="H147" i="8"/>
  <c r="H149" i="21" s="1"/>
  <c r="I147" i="8"/>
  <c r="I149" i="21" s="1"/>
  <c r="J147" i="8"/>
  <c r="J149" i="21" s="1"/>
  <c r="K147" i="8"/>
  <c r="K149" i="21" s="1"/>
  <c r="L147" i="8"/>
  <c r="L149" i="21" s="1"/>
  <c r="M147" i="8"/>
  <c r="M149" i="21" s="1"/>
  <c r="N147" i="8"/>
  <c r="N149" i="21" s="1"/>
  <c r="O147" i="8"/>
  <c r="O149" i="21" s="1"/>
  <c r="P147" i="8"/>
  <c r="P149" i="21" s="1"/>
  <c r="Q147" i="8"/>
  <c r="Q149" i="21" s="1"/>
  <c r="R147" i="8"/>
  <c r="R149" i="21" s="1"/>
  <c r="S147" i="8"/>
  <c r="S149" i="21" s="1"/>
  <c r="T147" i="8"/>
  <c r="T149" i="21" s="1"/>
  <c r="U147" i="8"/>
  <c r="U149" i="21" s="1"/>
  <c r="V147" i="8"/>
  <c r="V149" i="21" s="1"/>
  <c r="W147" i="8"/>
  <c r="W149" i="21" s="1"/>
  <c r="X147" i="8"/>
  <c r="X149" i="21" s="1"/>
  <c r="Y147" i="8"/>
  <c r="Y149" i="21" s="1"/>
  <c r="Z147" i="8"/>
  <c r="Z149" i="21" s="1"/>
  <c r="AA147" i="8"/>
  <c r="AA149" i="21" s="1"/>
  <c r="AB147" i="8"/>
  <c r="AB149" i="21" s="1"/>
  <c r="AC147" i="8"/>
  <c r="AC149" i="21" s="1"/>
  <c r="AD147" i="8"/>
  <c r="AD149" i="21" s="1"/>
  <c r="AE147" i="8"/>
  <c r="AF147" i="8"/>
  <c r="AG147" i="8"/>
  <c r="A148" i="8"/>
  <c r="A150" i="21" s="1"/>
  <c r="B148" i="8"/>
  <c r="B150" i="21" s="1"/>
  <c r="C148" i="8"/>
  <c r="C150" i="21" s="1"/>
  <c r="D148" i="8"/>
  <c r="D150" i="21" s="1"/>
  <c r="E148" i="8"/>
  <c r="E150" i="21" s="1"/>
  <c r="F148" i="8"/>
  <c r="F150" i="21" s="1"/>
  <c r="G148" i="8"/>
  <c r="G150" i="21" s="1"/>
  <c r="H148" i="8"/>
  <c r="H150" i="21" s="1"/>
  <c r="I148" i="8"/>
  <c r="I150" i="21" s="1"/>
  <c r="J148" i="8"/>
  <c r="J150" i="21" s="1"/>
  <c r="K148" i="8"/>
  <c r="K150" i="21" s="1"/>
  <c r="L148" i="8"/>
  <c r="L150" i="21" s="1"/>
  <c r="M148" i="8"/>
  <c r="M150" i="21" s="1"/>
  <c r="N148" i="8"/>
  <c r="N150" i="21" s="1"/>
  <c r="O148" i="8"/>
  <c r="O150" i="21" s="1"/>
  <c r="P148" i="8"/>
  <c r="P150" i="21" s="1"/>
  <c r="Q148" i="8"/>
  <c r="Q150" i="21" s="1"/>
  <c r="R148" i="8"/>
  <c r="R150" i="21" s="1"/>
  <c r="S148" i="8"/>
  <c r="S150" i="21" s="1"/>
  <c r="T148" i="8"/>
  <c r="T150" i="21" s="1"/>
  <c r="U148" i="8"/>
  <c r="U150" i="21" s="1"/>
  <c r="V148" i="8"/>
  <c r="V150" i="21" s="1"/>
  <c r="W148" i="8"/>
  <c r="W150" i="21" s="1"/>
  <c r="X148" i="8"/>
  <c r="X150" i="21" s="1"/>
  <c r="Y148" i="8"/>
  <c r="Y150" i="21" s="1"/>
  <c r="Z148" i="8"/>
  <c r="Z150" i="21" s="1"/>
  <c r="AA148" i="8"/>
  <c r="AA150" i="21" s="1"/>
  <c r="AB148" i="8"/>
  <c r="AB150" i="21" s="1"/>
  <c r="AC148" i="8"/>
  <c r="AC150" i="21" s="1"/>
  <c r="AD148" i="8"/>
  <c r="AD150" i="21" s="1"/>
  <c r="AE148" i="8"/>
  <c r="AE150" i="21" s="1"/>
  <c r="AF148" i="8"/>
  <c r="AG148" i="8"/>
  <c r="A149" i="8"/>
  <c r="A151" i="21" s="1"/>
  <c r="B149" i="8"/>
  <c r="B151" i="21" s="1"/>
  <c r="C149" i="8"/>
  <c r="C151" i="21" s="1"/>
  <c r="D149" i="8"/>
  <c r="D151" i="21" s="1"/>
  <c r="E149" i="8"/>
  <c r="E151" i="21" s="1"/>
  <c r="F149" i="8"/>
  <c r="F151" i="21" s="1"/>
  <c r="G149" i="8"/>
  <c r="G151" i="21" s="1"/>
  <c r="H149" i="8"/>
  <c r="H151" i="21" s="1"/>
  <c r="I149" i="8"/>
  <c r="I151" i="21" s="1"/>
  <c r="J149" i="8"/>
  <c r="J151" i="21" s="1"/>
  <c r="K149" i="8"/>
  <c r="K151" i="21" s="1"/>
  <c r="L149" i="8"/>
  <c r="L151" i="21" s="1"/>
  <c r="M149" i="8"/>
  <c r="M151" i="21" s="1"/>
  <c r="N149" i="8"/>
  <c r="N151" i="21" s="1"/>
  <c r="O149" i="8"/>
  <c r="O151" i="21" s="1"/>
  <c r="P149" i="8"/>
  <c r="P151" i="21" s="1"/>
  <c r="Q149" i="8"/>
  <c r="Q151" i="21" s="1"/>
  <c r="R149" i="8"/>
  <c r="R151" i="21" s="1"/>
  <c r="S149" i="8"/>
  <c r="S151" i="21" s="1"/>
  <c r="T149" i="8"/>
  <c r="T151" i="21" s="1"/>
  <c r="U149" i="8"/>
  <c r="U151" i="21" s="1"/>
  <c r="V149" i="8"/>
  <c r="V151" i="21" s="1"/>
  <c r="W149" i="8"/>
  <c r="W151" i="21" s="1"/>
  <c r="X149" i="8"/>
  <c r="X151" i="21" s="1"/>
  <c r="Y149" i="8"/>
  <c r="Y151" i="21" s="1"/>
  <c r="Z149" i="8"/>
  <c r="Z151" i="21" s="1"/>
  <c r="AA149" i="8"/>
  <c r="AA151" i="21" s="1"/>
  <c r="AB149" i="8"/>
  <c r="AB151" i="21" s="1"/>
  <c r="AC149" i="8"/>
  <c r="AC151" i="21" s="1"/>
  <c r="AD149" i="8"/>
  <c r="AD151" i="21" s="1"/>
  <c r="AE149" i="8"/>
  <c r="AF149" i="8"/>
  <c r="AF151" i="21" s="1"/>
  <c r="AG149" i="8"/>
  <c r="AG151" i="21" s="1"/>
  <c r="A150" i="8"/>
  <c r="A152" i="21" s="1"/>
  <c r="B150" i="8"/>
  <c r="B152" i="21" s="1"/>
  <c r="C150" i="8"/>
  <c r="C152" i="21" s="1"/>
  <c r="D150" i="8"/>
  <c r="D152" i="21" s="1"/>
  <c r="E150" i="8"/>
  <c r="E152" i="21" s="1"/>
  <c r="F150" i="8"/>
  <c r="F152" i="21" s="1"/>
  <c r="G150" i="8"/>
  <c r="G152" i="21" s="1"/>
  <c r="H150" i="8"/>
  <c r="H152" i="21" s="1"/>
  <c r="I150" i="8"/>
  <c r="I152" i="21" s="1"/>
  <c r="J150" i="8"/>
  <c r="J152" i="21" s="1"/>
  <c r="K150" i="8"/>
  <c r="K152" i="21" s="1"/>
  <c r="L150" i="8"/>
  <c r="L152" i="21" s="1"/>
  <c r="M150" i="8"/>
  <c r="M152" i="21" s="1"/>
  <c r="N150" i="8"/>
  <c r="N152" i="21" s="1"/>
  <c r="O150" i="8"/>
  <c r="O152" i="21" s="1"/>
  <c r="P150" i="8"/>
  <c r="P152" i="21" s="1"/>
  <c r="Q150" i="8"/>
  <c r="Q152" i="21" s="1"/>
  <c r="R150" i="8"/>
  <c r="R152" i="21" s="1"/>
  <c r="S150" i="8"/>
  <c r="S152" i="21" s="1"/>
  <c r="T150" i="8"/>
  <c r="T152" i="21" s="1"/>
  <c r="U150" i="8"/>
  <c r="U152" i="21" s="1"/>
  <c r="V150" i="8"/>
  <c r="V152" i="21" s="1"/>
  <c r="W150" i="8"/>
  <c r="W152" i="21" s="1"/>
  <c r="X150" i="8"/>
  <c r="X152" i="21" s="1"/>
  <c r="Y150" i="8"/>
  <c r="Y152" i="21" s="1"/>
  <c r="Z150" i="8"/>
  <c r="Z152" i="21" s="1"/>
  <c r="AA150" i="8"/>
  <c r="AA152" i="21" s="1"/>
  <c r="AB150" i="8"/>
  <c r="AB152" i="21" s="1"/>
  <c r="AC150" i="8"/>
  <c r="AC152" i="21" s="1"/>
  <c r="AD150" i="8"/>
  <c r="AD152" i="21" s="1"/>
  <c r="AE150" i="8"/>
  <c r="AE152" i="21" s="1"/>
  <c r="AF150" i="8"/>
  <c r="AF152" i="21" s="1"/>
  <c r="AG150" i="8"/>
  <c r="AG152" i="21" s="1"/>
  <c r="A151" i="8"/>
  <c r="A153" i="21" s="1"/>
  <c r="B151" i="8"/>
  <c r="B153" i="21" s="1"/>
  <c r="C151" i="8"/>
  <c r="C153" i="21" s="1"/>
  <c r="D151" i="8"/>
  <c r="D153" i="21" s="1"/>
  <c r="E151" i="8"/>
  <c r="E153" i="21" s="1"/>
  <c r="F151" i="8"/>
  <c r="F153" i="21" s="1"/>
  <c r="G151" i="8"/>
  <c r="G153" i="21" s="1"/>
  <c r="H151" i="8"/>
  <c r="H153" i="21" s="1"/>
  <c r="I151" i="8"/>
  <c r="I153" i="21" s="1"/>
  <c r="J151" i="8"/>
  <c r="J153" i="21" s="1"/>
  <c r="K151" i="8"/>
  <c r="K153" i="21" s="1"/>
  <c r="L151" i="8"/>
  <c r="L153" i="21" s="1"/>
  <c r="M151" i="8"/>
  <c r="M153" i="21" s="1"/>
  <c r="N151" i="8"/>
  <c r="N153" i="21" s="1"/>
  <c r="O151" i="8"/>
  <c r="O153" i="21" s="1"/>
  <c r="P151" i="8"/>
  <c r="P153" i="21" s="1"/>
  <c r="Q151" i="8"/>
  <c r="Q153" i="21" s="1"/>
  <c r="R151" i="8"/>
  <c r="R153" i="21" s="1"/>
  <c r="S151" i="8"/>
  <c r="S153" i="21" s="1"/>
  <c r="T151" i="8"/>
  <c r="T153" i="21" s="1"/>
  <c r="U151" i="8"/>
  <c r="U153" i="21" s="1"/>
  <c r="V151" i="8"/>
  <c r="V153" i="21" s="1"/>
  <c r="W151" i="8"/>
  <c r="W153" i="21" s="1"/>
  <c r="X151" i="8"/>
  <c r="X153" i="21" s="1"/>
  <c r="Y151" i="8"/>
  <c r="Y153" i="21" s="1"/>
  <c r="Z151" i="8"/>
  <c r="Z153" i="21" s="1"/>
  <c r="AA151" i="8"/>
  <c r="AA153" i="21" s="1"/>
  <c r="AB151" i="8"/>
  <c r="AB153" i="21" s="1"/>
  <c r="AC151" i="8"/>
  <c r="AC153" i="21" s="1"/>
  <c r="AD151" i="8"/>
  <c r="AD153" i="21" s="1"/>
  <c r="AE151" i="8"/>
  <c r="AF151" i="8"/>
  <c r="AF153" i="21" s="1"/>
  <c r="AG151" i="8"/>
  <c r="AG153" i="21" s="1"/>
  <c r="A152" i="8"/>
  <c r="A154" i="21" s="1"/>
  <c r="B152" i="8"/>
  <c r="B154" i="21" s="1"/>
  <c r="C152" i="8"/>
  <c r="C154" i="21" s="1"/>
  <c r="D152" i="8"/>
  <c r="D154" i="21" s="1"/>
  <c r="E152" i="8"/>
  <c r="E154" i="21" s="1"/>
  <c r="F152" i="8"/>
  <c r="F154" i="21" s="1"/>
  <c r="G152" i="8"/>
  <c r="G154" i="21" s="1"/>
  <c r="H152" i="8"/>
  <c r="H154" i="21" s="1"/>
  <c r="I152" i="8"/>
  <c r="I154" i="21" s="1"/>
  <c r="J152" i="8"/>
  <c r="J154" i="21" s="1"/>
  <c r="K152" i="8"/>
  <c r="K154" i="21" s="1"/>
  <c r="L152" i="8"/>
  <c r="L154" i="21" s="1"/>
  <c r="M152" i="8"/>
  <c r="M154" i="21" s="1"/>
  <c r="N152" i="8"/>
  <c r="N154" i="21" s="1"/>
  <c r="O152" i="8"/>
  <c r="O154" i="21" s="1"/>
  <c r="P152" i="8"/>
  <c r="P154" i="21" s="1"/>
  <c r="Q152" i="8"/>
  <c r="Q154" i="21" s="1"/>
  <c r="R152" i="8"/>
  <c r="R154" i="21" s="1"/>
  <c r="S152" i="8"/>
  <c r="S154" i="21" s="1"/>
  <c r="T152" i="8"/>
  <c r="T154" i="21" s="1"/>
  <c r="U152" i="8"/>
  <c r="U154" i="21" s="1"/>
  <c r="V152" i="8"/>
  <c r="V154" i="21" s="1"/>
  <c r="W152" i="8"/>
  <c r="W154" i="21" s="1"/>
  <c r="X152" i="8"/>
  <c r="X154" i="21" s="1"/>
  <c r="Y152" i="8"/>
  <c r="Y154" i="21" s="1"/>
  <c r="Z152" i="8"/>
  <c r="Z154" i="21" s="1"/>
  <c r="AA152" i="8"/>
  <c r="AA154" i="21" s="1"/>
  <c r="AB152" i="8"/>
  <c r="AB154" i="21" s="1"/>
  <c r="AC152" i="8"/>
  <c r="AC154" i="21" s="1"/>
  <c r="AD152" i="8"/>
  <c r="AD154" i="21" s="1"/>
  <c r="AE152" i="8"/>
  <c r="AE154" i="21" s="1"/>
  <c r="AF152" i="8"/>
  <c r="AF154" i="21" s="1"/>
  <c r="AG152" i="8"/>
  <c r="AG154" i="21" s="1"/>
  <c r="A153" i="8"/>
  <c r="A155" i="21" s="1"/>
  <c r="B153" i="8"/>
  <c r="B155" i="21" s="1"/>
  <c r="C153" i="8"/>
  <c r="C155" i="21" s="1"/>
  <c r="D153" i="8"/>
  <c r="D155" i="21" s="1"/>
  <c r="E153" i="8"/>
  <c r="E155" i="21" s="1"/>
  <c r="F153" i="8"/>
  <c r="F155" i="21" s="1"/>
  <c r="G153" i="8"/>
  <c r="G155" i="21" s="1"/>
  <c r="H153" i="8"/>
  <c r="H155" i="21" s="1"/>
  <c r="I153" i="8"/>
  <c r="I155" i="21" s="1"/>
  <c r="J153" i="8"/>
  <c r="J155" i="21" s="1"/>
  <c r="K153" i="8"/>
  <c r="K155" i="21" s="1"/>
  <c r="L153" i="8"/>
  <c r="L155" i="21" s="1"/>
  <c r="M153" i="8"/>
  <c r="M155" i="21" s="1"/>
  <c r="N153" i="8"/>
  <c r="N155" i="21" s="1"/>
  <c r="O153" i="8"/>
  <c r="O155" i="21" s="1"/>
  <c r="P153" i="8"/>
  <c r="P155" i="21" s="1"/>
  <c r="Q153" i="8"/>
  <c r="Q155" i="21" s="1"/>
  <c r="R153" i="8"/>
  <c r="R155" i="21" s="1"/>
  <c r="S153" i="8"/>
  <c r="S155" i="21" s="1"/>
  <c r="T153" i="8"/>
  <c r="T155" i="21" s="1"/>
  <c r="U153" i="8"/>
  <c r="U155" i="21" s="1"/>
  <c r="V153" i="8"/>
  <c r="V155" i="21" s="1"/>
  <c r="W153" i="8"/>
  <c r="W155" i="21" s="1"/>
  <c r="X153" i="8"/>
  <c r="X155" i="21" s="1"/>
  <c r="Y153" i="8"/>
  <c r="Y155" i="21" s="1"/>
  <c r="Z153" i="8"/>
  <c r="Z155" i="21" s="1"/>
  <c r="AA153" i="8"/>
  <c r="AA155" i="21" s="1"/>
  <c r="AB153" i="8"/>
  <c r="AB155" i="21" s="1"/>
  <c r="AC153" i="8"/>
  <c r="AC155" i="21" s="1"/>
  <c r="AD153" i="8"/>
  <c r="AD155" i="21" s="1"/>
  <c r="AE153" i="8"/>
  <c r="AF153" i="8"/>
  <c r="AF155" i="21" s="1"/>
  <c r="AG153" i="8"/>
  <c r="AG155" i="21" s="1"/>
  <c r="A154" i="8"/>
  <c r="A156" i="21" s="1"/>
  <c r="B154" i="8"/>
  <c r="B156" i="21" s="1"/>
  <c r="C154" i="8"/>
  <c r="C156" i="21" s="1"/>
  <c r="D154" i="8"/>
  <c r="D156" i="21" s="1"/>
  <c r="E154" i="8"/>
  <c r="E156" i="21" s="1"/>
  <c r="F154" i="8"/>
  <c r="F156" i="21" s="1"/>
  <c r="G154" i="8"/>
  <c r="G156" i="21" s="1"/>
  <c r="H154" i="8"/>
  <c r="H156" i="21" s="1"/>
  <c r="I154" i="8"/>
  <c r="I156" i="21" s="1"/>
  <c r="J154" i="8"/>
  <c r="J156" i="21" s="1"/>
  <c r="K154" i="8"/>
  <c r="K156" i="21" s="1"/>
  <c r="L154" i="8"/>
  <c r="L156" i="21" s="1"/>
  <c r="M154" i="8"/>
  <c r="M156" i="21" s="1"/>
  <c r="N154" i="8"/>
  <c r="N156" i="21" s="1"/>
  <c r="O154" i="8"/>
  <c r="O156" i="21" s="1"/>
  <c r="P154" i="8"/>
  <c r="P156" i="21" s="1"/>
  <c r="Q154" i="8"/>
  <c r="Q156" i="21" s="1"/>
  <c r="R154" i="8"/>
  <c r="R156" i="21" s="1"/>
  <c r="S154" i="8"/>
  <c r="S156" i="21" s="1"/>
  <c r="T154" i="8"/>
  <c r="T156" i="21" s="1"/>
  <c r="U154" i="8"/>
  <c r="U156" i="21" s="1"/>
  <c r="V154" i="8"/>
  <c r="V156" i="21" s="1"/>
  <c r="W154" i="8"/>
  <c r="W156" i="21" s="1"/>
  <c r="X154" i="8"/>
  <c r="X156" i="21" s="1"/>
  <c r="Y154" i="8"/>
  <c r="Y156" i="21" s="1"/>
  <c r="Z154" i="8"/>
  <c r="Z156" i="21" s="1"/>
  <c r="AA154" i="8"/>
  <c r="AA156" i="21" s="1"/>
  <c r="AB154" i="8"/>
  <c r="AB156" i="21" s="1"/>
  <c r="AC154" i="8"/>
  <c r="AC156" i="21" s="1"/>
  <c r="AD154" i="8"/>
  <c r="AD156" i="21" s="1"/>
  <c r="AE154" i="8"/>
  <c r="AE156" i="21" s="1"/>
  <c r="AF154" i="8"/>
  <c r="AF156" i="21" s="1"/>
  <c r="AG154" i="8"/>
  <c r="AG156" i="21" s="1"/>
  <c r="A155" i="8"/>
  <c r="A157" i="21" s="1"/>
  <c r="B155" i="8"/>
  <c r="B157" i="21" s="1"/>
  <c r="C155" i="8"/>
  <c r="C157" i="21" s="1"/>
  <c r="D155" i="8"/>
  <c r="D157" i="21" s="1"/>
  <c r="E155" i="8"/>
  <c r="E157" i="21" s="1"/>
  <c r="F155" i="8"/>
  <c r="F157" i="21" s="1"/>
  <c r="G155" i="8"/>
  <c r="G157" i="21" s="1"/>
  <c r="H155" i="8"/>
  <c r="H157" i="21" s="1"/>
  <c r="I155" i="8"/>
  <c r="I157" i="21" s="1"/>
  <c r="J155" i="8"/>
  <c r="J157" i="21" s="1"/>
  <c r="K155" i="8"/>
  <c r="K157" i="21" s="1"/>
  <c r="L155" i="8"/>
  <c r="L157" i="21" s="1"/>
  <c r="M155" i="8"/>
  <c r="M157" i="21" s="1"/>
  <c r="N155" i="8"/>
  <c r="N157" i="21" s="1"/>
  <c r="O155" i="8"/>
  <c r="O157" i="21" s="1"/>
  <c r="P155" i="8"/>
  <c r="P157" i="21" s="1"/>
  <c r="Q155" i="8"/>
  <c r="Q157" i="21" s="1"/>
  <c r="R155" i="8"/>
  <c r="R157" i="21" s="1"/>
  <c r="S155" i="8"/>
  <c r="S157" i="21" s="1"/>
  <c r="T155" i="8"/>
  <c r="T157" i="21" s="1"/>
  <c r="U155" i="8"/>
  <c r="U157" i="21" s="1"/>
  <c r="V155" i="8"/>
  <c r="V157" i="21" s="1"/>
  <c r="W155" i="8"/>
  <c r="W157" i="21" s="1"/>
  <c r="X155" i="8"/>
  <c r="X157" i="21" s="1"/>
  <c r="Y155" i="8"/>
  <c r="Y157" i="21" s="1"/>
  <c r="Z155" i="8"/>
  <c r="Z157" i="21" s="1"/>
  <c r="AA155" i="8"/>
  <c r="AA157" i="21" s="1"/>
  <c r="AB155" i="8"/>
  <c r="AB157" i="21" s="1"/>
  <c r="AC155" i="8"/>
  <c r="AC157" i="21" s="1"/>
  <c r="AD155" i="8"/>
  <c r="AD157" i="21" s="1"/>
  <c r="AE155" i="8"/>
  <c r="AF155" i="8"/>
  <c r="AF157" i="21" s="1"/>
  <c r="AG155" i="8"/>
  <c r="AG157" i="21" s="1"/>
  <c r="A156" i="8"/>
  <c r="A158" i="21" s="1"/>
  <c r="B156" i="8"/>
  <c r="B158" i="21" s="1"/>
  <c r="C156" i="8"/>
  <c r="C158" i="21" s="1"/>
  <c r="D156" i="8"/>
  <c r="D158" i="21" s="1"/>
  <c r="E156" i="8"/>
  <c r="E158" i="21" s="1"/>
  <c r="F156" i="8"/>
  <c r="F158" i="21" s="1"/>
  <c r="G156" i="8"/>
  <c r="G158" i="21" s="1"/>
  <c r="H156" i="8"/>
  <c r="H158" i="21" s="1"/>
  <c r="I156" i="8"/>
  <c r="I158" i="21" s="1"/>
  <c r="J156" i="8"/>
  <c r="J158" i="21" s="1"/>
  <c r="K156" i="8"/>
  <c r="K158" i="21" s="1"/>
  <c r="L156" i="8"/>
  <c r="L158" i="21" s="1"/>
  <c r="M156" i="8"/>
  <c r="M158" i="21" s="1"/>
  <c r="N156" i="8"/>
  <c r="N158" i="21" s="1"/>
  <c r="O156" i="8"/>
  <c r="O158" i="21" s="1"/>
  <c r="P156" i="8"/>
  <c r="P158" i="21" s="1"/>
  <c r="Q156" i="8"/>
  <c r="Q158" i="21" s="1"/>
  <c r="R156" i="8"/>
  <c r="R158" i="21" s="1"/>
  <c r="S156" i="8"/>
  <c r="S158" i="21" s="1"/>
  <c r="T156" i="8"/>
  <c r="T158" i="21" s="1"/>
  <c r="U156" i="8"/>
  <c r="U158" i="21" s="1"/>
  <c r="V156" i="8"/>
  <c r="V158" i="21" s="1"/>
  <c r="W156" i="8"/>
  <c r="W158" i="21" s="1"/>
  <c r="X156" i="8"/>
  <c r="X158" i="21" s="1"/>
  <c r="Y156" i="8"/>
  <c r="Y158" i="21" s="1"/>
  <c r="Z156" i="8"/>
  <c r="Z158" i="21" s="1"/>
  <c r="AA156" i="8"/>
  <c r="AA158" i="21" s="1"/>
  <c r="AB156" i="8"/>
  <c r="AB158" i="21" s="1"/>
  <c r="AC156" i="8"/>
  <c r="AC158" i="21" s="1"/>
  <c r="AD156" i="8"/>
  <c r="AD158" i="21" s="1"/>
  <c r="AE156" i="8"/>
  <c r="AE158" i="21" s="1"/>
  <c r="AF156" i="8"/>
  <c r="AF158" i="21" s="1"/>
  <c r="AG156" i="8"/>
  <c r="AG158" i="21" s="1"/>
  <c r="A157" i="8"/>
  <c r="A159" i="21" s="1"/>
  <c r="B157" i="8"/>
  <c r="B159" i="21" s="1"/>
  <c r="C157" i="8"/>
  <c r="C159" i="21" s="1"/>
  <c r="D157" i="8"/>
  <c r="D159" i="21" s="1"/>
  <c r="E157" i="8"/>
  <c r="E159" i="21" s="1"/>
  <c r="F157" i="8"/>
  <c r="F159" i="21" s="1"/>
  <c r="G157" i="8"/>
  <c r="G159" i="21" s="1"/>
  <c r="H157" i="8"/>
  <c r="H159" i="21" s="1"/>
  <c r="I157" i="8"/>
  <c r="I159" i="21" s="1"/>
  <c r="J157" i="8"/>
  <c r="J159" i="21" s="1"/>
  <c r="K157" i="8"/>
  <c r="K159" i="21" s="1"/>
  <c r="L157" i="8"/>
  <c r="L159" i="21" s="1"/>
  <c r="M157" i="8"/>
  <c r="M159" i="21" s="1"/>
  <c r="N157" i="8"/>
  <c r="N159" i="21" s="1"/>
  <c r="O157" i="8"/>
  <c r="O159" i="21" s="1"/>
  <c r="P157" i="8"/>
  <c r="P159" i="21" s="1"/>
  <c r="Q157" i="8"/>
  <c r="Q159" i="21" s="1"/>
  <c r="R157" i="8"/>
  <c r="R159" i="21" s="1"/>
  <c r="S157" i="8"/>
  <c r="S159" i="21" s="1"/>
  <c r="T157" i="8"/>
  <c r="T159" i="21" s="1"/>
  <c r="U157" i="8"/>
  <c r="U159" i="21" s="1"/>
  <c r="V157" i="8"/>
  <c r="V159" i="21" s="1"/>
  <c r="W157" i="8"/>
  <c r="W159" i="21" s="1"/>
  <c r="X157" i="8"/>
  <c r="X159" i="21" s="1"/>
  <c r="Y157" i="8"/>
  <c r="Y159" i="21" s="1"/>
  <c r="Z157" i="8"/>
  <c r="Z159" i="21" s="1"/>
  <c r="AA157" i="8"/>
  <c r="AA159" i="21" s="1"/>
  <c r="AB157" i="8"/>
  <c r="AB159" i="21" s="1"/>
  <c r="AC157" i="8"/>
  <c r="AC159" i="21" s="1"/>
  <c r="AD157" i="8"/>
  <c r="AD159" i="21" s="1"/>
  <c r="AE157" i="8"/>
  <c r="AF157" i="8"/>
  <c r="AF159" i="21" s="1"/>
  <c r="AG157" i="8"/>
  <c r="AG159" i="21" s="1"/>
  <c r="A158" i="8"/>
  <c r="A160" i="21" s="1"/>
  <c r="B158" i="8"/>
  <c r="B160" i="21" s="1"/>
  <c r="C158" i="8"/>
  <c r="C160" i="21" s="1"/>
  <c r="D158" i="8"/>
  <c r="D160" i="21" s="1"/>
  <c r="E158" i="8"/>
  <c r="E160" i="21" s="1"/>
  <c r="F158" i="8"/>
  <c r="F160" i="21" s="1"/>
  <c r="G158" i="8"/>
  <c r="G160" i="21" s="1"/>
  <c r="H158" i="8"/>
  <c r="H160" i="21" s="1"/>
  <c r="I158" i="8"/>
  <c r="I160" i="21" s="1"/>
  <c r="J158" i="8"/>
  <c r="J160" i="21" s="1"/>
  <c r="K158" i="8"/>
  <c r="K160" i="21" s="1"/>
  <c r="L158" i="8"/>
  <c r="L160" i="21" s="1"/>
  <c r="M158" i="8"/>
  <c r="M160" i="21" s="1"/>
  <c r="N158" i="8"/>
  <c r="N160" i="21" s="1"/>
  <c r="O158" i="8"/>
  <c r="O160" i="21" s="1"/>
  <c r="P158" i="8"/>
  <c r="P160" i="21" s="1"/>
  <c r="Q158" i="8"/>
  <c r="Q160" i="21" s="1"/>
  <c r="R158" i="8"/>
  <c r="R160" i="21" s="1"/>
  <c r="S158" i="8"/>
  <c r="S160" i="21" s="1"/>
  <c r="T158" i="8"/>
  <c r="T160" i="21" s="1"/>
  <c r="U158" i="8"/>
  <c r="U160" i="21" s="1"/>
  <c r="V158" i="8"/>
  <c r="V160" i="21" s="1"/>
  <c r="W158" i="8"/>
  <c r="W160" i="21" s="1"/>
  <c r="X158" i="8"/>
  <c r="X160" i="21" s="1"/>
  <c r="Y158" i="8"/>
  <c r="Y160" i="21" s="1"/>
  <c r="Z158" i="8"/>
  <c r="Z160" i="21" s="1"/>
  <c r="AA158" i="8"/>
  <c r="AA160" i="21" s="1"/>
  <c r="AB158" i="8"/>
  <c r="AB160" i="21" s="1"/>
  <c r="AC158" i="8"/>
  <c r="AC160" i="21" s="1"/>
  <c r="AD158" i="8"/>
  <c r="AD160" i="21" s="1"/>
  <c r="AE158" i="8"/>
  <c r="AE160" i="21" s="1"/>
  <c r="AF158" i="8"/>
  <c r="AF160" i="21" s="1"/>
  <c r="AG158" i="8"/>
  <c r="AG160" i="21" s="1"/>
  <c r="A159" i="8"/>
  <c r="A161" i="21" s="1"/>
  <c r="B159" i="8"/>
  <c r="B161" i="21" s="1"/>
  <c r="C159" i="8"/>
  <c r="C161" i="21" s="1"/>
  <c r="D159" i="8"/>
  <c r="D161" i="21" s="1"/>
  <c r="E159" i="8"/>
  <c r="E161" i="21" s="1"/>
  <c r="F159" i="8"/>
  <c r="F161" i="21" s="1"/>
  <c r="G159" i="8"/>
  <c r="G161" i="21" s="1"/>
  <c r="H159" i="8"/>
  <c r="H161" i="21" s="1"/>
  <c r="I159" i="8"/>
  <c r="I161" i="21" s="1"/>
  <c r="J159" i="8"/>
  <c r="J161" i="21" s="1"/>
  <c r="K159" i="8"/>
  <c r="K161" i="21" s="1"/>
  <c r="L159" i="8"/>
  <c r="L161" i="21" s="1"/>
  <c r="M159" i="8"/>
  <c r="M161" i="21" s="1"/>
  <c r="N159" i="8"/>
  <c r="N161" i="21" s="1"/>
  <c r="O159" i="8"/>
  <c r="O161" i="21" s="1"/>
  <c r="P159" i="8"/>
  <c r="P161" i="21" s="1"/>
  <c r="Q159" i="8"/>
  <c r="Q161" i="21" s="1"/>
  <c r="R159" i="8"/>
  <c r="R161" i="21" s="1"/>
  <c r="S159" i="8"/>
  <c r="S161" i="21" s="1"/>
  <c r="T159" i="8"/>
  <c r="T161" i="21" s="1"/>
  <c r="U159" i="8"/>
  <c r="U161" i="21" s="1"/>
  <c r="V159" i="8"/>
  <c r="V161" i="21" s="1"/>
  <c r="W159" i="8"/>
  <c r="W161" i="21" s="1"/>
  <c r="X159" i="8"/>
  <c r="X161" i="21" s="1"/>
  <c r="Y159" i="8"/>
  <c r="Y161" i="21" s="1"/>
  <c r="Z159" i="8"/>
  <c r="Z161" i="21" s="1"/>
  <c r="AA159" i="8"/>
  <c r="AA161" i="21" s="1"/>
  <c r="AB159" i="8"/>
  <c r="AB161" i="21" s="1"/>
  <c r="AC159" i="8"/>
  <c r="AC161" i="21" s="1"/>
  <c r="AD159" i="8"/>
  <c r="AD161" i="21" s="1"/>
  <c r="AE159" i="8"/>
  <c r="AF159" i="8"/>
  <c r="AF161" i="21" s="1"/>
  <c r="AG159" i="8"/>
  <c r="AG161" i="21" s="1"/>
  <c r="A160" i="8"/>
  <c r="A162" i="21" s="1"/>
  <c r="B160" i="8"/>
  <c r="B162" i="21" s="1"/>
  <c r="C160" i="8"/>
  <c r="C162" i="21" s="1"/>
  <c r="D160" i="8"/>
  <c r="D162" i="21" s="1"/>
  <c r="E160" i="8"/>
  <c r="E162" i="21" s="1"/>
  <c r="F160" i="8"/>
  <c r="F162" i="21" s="1"/>
  <c r="G160" i="8"/>
  <c r="G162" i="21" s="1"/>
  <c r="H160" i="8"/>
  <c r="H162" i="21" s="1"/>
  <c r="I160" i="8"/>
  <c r="I162" i="21" s="1"/>
  <c r="J160" i="8"/>
  <c r="J162" i="21" s="1"/>
  <c r="K160" i="8"/>
  <c r="K162" i="21" s="1"/>
  <c r="L160" i="8"/>
  <c r="L162" i="21" s="1"/>
  <c r="M160" i="8"/>
  <c r="M162" i="21" s="1"/>
  <c r="N160" i="8"/>
  <c r="N162" i="21" s="1"/>
  <c r="O160" i="8"/>
  <c r="O162" i="21" s="1"/>
  <c r="P160" i="8"/>
  <c r="P162" i="21" s="1"/>
  <c r="Q160" i="8"/>
  <c r="Q162" i="21" s="1"/>
  <c r="R160" i="8"/>
  <c r="R162" i="21" s="1"/>
  <c r="S160" i="8"/>
  <c r="S162" i="21" s="1"/>
  <c r="T160" i="8"/>
  <c r="T162" i="21" s="1"/>
  <c r="U160" i="8"/>
  <c r="U162" i="21" s="1"/>
  <c r="V160" i="8"/>
  <c r="V162" i="21" s="1"/>
  <c r="W160" i="8"/>
  <c r="W162" i="21" s="1"/>
  <c r="X160" i="8"/>
  <c r="X162" i="21" s="1"/>
  <c r="Y160" i="8"/>
  <c r="Y162" i="21" s="1"/>
  <c r="Z160" i="8"/>
  <c r="Z162" i="21" s="1"/>
  <c r="AA160" i="8"/>
  <c r="AA162" i="21" s="1"/>
  <c r="AB160" i="8"/>
  <c r="AB162" i="21" s="1"/>
  <c r="AC160" i="8"/>
  <c r="AC162" i="21" s="1"/>
  <c r="AD160" i="8"/>
  <c r="AD162" i="21" s="1"/>
  <c r="AE160" i="8"/>
  <c r="AE162" i="21" s="1"/>
  <c r="AF160" i="8"/>
  <c r="AF162" i="21" s="1"/>
  <c r="AG160" i="8"/>
  <c r="AG162" i="21" s="1"/>
  <c r="A161" i="8"/>
  <c r="A163" i="21" s="1"/>
  <c r="B161" i="8"/>
  <c r="B163" i="21" s="1"/>
  <c r="C161" i="8"/>
  <c r="C163" i="21" s="1"/>
  <c r="D161" i="8"/>
  <c r="D163" i="21" s="1"/>
  <c r="E161" i="8"/>
  <c r="E163" i="21" s="1"/>
  <c r="F161" i="8"/>
  <c r="F163" i="21" s="1"/>
  <c r="G161" i="8"/>
  <c r="G163" i="21" s="1"/>
  <c r="H161" i="8"/>
  <c r="H163" i="21" s="1"/>
  <c r="I161" i="8"/>
  <c r="I163" i="21" s="1"/>
  <c r="J161" i="8"/>
  <c r="J163" i="21" s="1"/>
  <c r="K161" i="8"/>
  <c r="K163" i="21" s="1"/>
  <c r="L161" i="8"/>
  <c r="L163" i="21" s="1"/>
  <c r="M161" i="8"/>
  <c r="M163" i="21" s="1"/>
  <c r="N161" i="8"/>
  <c r="N163" i="21" s="1"/>
  <c r="O161" i="8"/>
  <c r="O163" i="21" s="1"/>
  <c r="P161" i="8"/>
  <c r="P163" i="21" s="1"/>
  <c r="Q161" i="8"/>
  <c r="Q163" i="21" s="1"/>
  <c r="R161" i="8"/>
  <c r="R163" i="21" s="1"/>
  <c r="S161" i="8"/>
  <c r="S163" i="21" s="1"/>
  <c r="T161" i="8"/>
  <c r="T163" i="21" s="1"/>
  <c r="U161" i="8"/>
  <c r="U163" i="21" s="1"/>
  <c r="V161" i="8"/>
  <c r="V163" i="21" s="1"/>
  <c r="W161" i="8"/>
  <c r="W163" i="21" s="1"/>
  <c r="X161" i="8"/>
  <c r="X163" i="21" s="1"/>
  <c r="Y161" i="8"/>
  <c r="Y163" i="21" s="1"/>
  <c r="Z161" i="8"/>
  <c r="Z163" i="21" s="1"/>
  <c r="AA161" i="8"/>
  <c r="AA163" i="21" s="1"/>
  <c r="AB161" i="8"/>
  <c r="AB163" i="21" s="1"/>
  <c r="AC161" i="8"/>
  <c r="AC163" i="21" s="1"/>
  <c r="AD161" i="8"/>
  <c r="AD163" i="21" s="1"/>
  <c r="AE161" i="8"/>
  <c r="AF161" i="8"/>
  <c r="AF163" i="21" s="1"/>
  <c r="AG161" i="8"/>
  <c r="AG163" i="21" s="1"/>
  <c r="A162" i="8"/>
  <c r="A164" i="21" s="1"/>
  <c r="B162" i="8"/>
  <c r="B164" i="21" s="1"/>
  <c r="C162" i="8"/>
  <c r="C164" i="21" s="1"/>
  <c r="D162" i="8"/>
  <c r="D164" i="21" s="1"/>
  <c r="E162" i="8"/>
  <c r="E164" i="21" s="1"/>
  <c r="F162" i="8"/>
  <c r="F164" i="21" s="1"/>
  <c r="G162" i="8"/>
  <c r="G164" i="21" s="1"/>
  <c r="H162" i="8"/>
  <c r="H164" i="21" s="1"/>
  <c r="I162" i="8"/>
  <c r="I164" i="21" s="1"/>
  <c r="J162" i="8"/>
  <c r="J164" i="21" s="1"/>
  <c r="K162" i="8"/>
  <c r="K164" i="21" s="1"/>
  <c r="L162" i="8"/>
  <c r="L164" i="21" s="1"/>
  <c r="M162" i="8"/>
  <c r="M164" i="21" s="1"/>
  <c r="N162" i="8"/>
  <c r="N164" i="21" s="1"/>
  <c r="O162" i="8"/>
  <c r="O164" i="21" s="1"/>
  <c r="P162" i="8"/>
  <c r="P164" i="21" s="1"/>
  <c r="Q162" i="8"/>
  <c r="Q164" i="21" s="1"/>
  <c r="R162" i="8"/>
  <c r="R164" i="21" s="1"/>
  <c r="S162" i="8"/>
  <c r="S164" i="21" s="1"/>
  <c r="T162" i="8"/>
  <c r="T164" i="21" s="1"/>
  <c r="U162" i="8"/>
  <c r="U164" i="21" s="1"/>
  <c r="V162" i="8"/>
  <c r="V164" i="21" s="1"/>
  <c r="W162" i="8"/>
  <c r="W164" i="21" s="1"/>
  <c r="X162" i="8"/>
  <c r="X164" i="21" s="1"/>
  <c r="Y162" i="8"/>
  <c r="Y164" i="21" s="1"/>
  <c r="Z162" i="8"/>
  <c r="Z164" i="21" s="1"/>
  <c r="AA162" i="8"/>
  <c r="AA164" i="21" s="1"/>
  <c r="AB162" i="8"/>
  <c r="AB164" i="21" s="1"/>
  <c r="AC162" i="8"/>
  <c r="AC164" i="21" s="1"/>
  <c r="AD162" i="8"/>
  <c r="AD164" i="21" s="1"/>
  <c r="AE162" i="8"/>
  <c r="AE164" i="21" s="1"/>
  <c r="AF162" i="8"/>
  <c r="AF164" i="21" s="1"/>
  <c r="AG162" i="8"/>
  <c r="AG164" i="21" s="1"/>
  <c r="A163" i="8"/>
  <c r="A165" i="21" s="1"/>
  <c r="B163" i="8"/>
  <c r="B165" i="21" s="1"/>
  <c r="C163" i="8"/>
  <c r="C165" i="21" s="1"/>
  <c r="D163" i="8"/>
  <c r="D165" i="21" s="1"/>
  <c r="E163" i="8"/>
  <c r="E165" i="21" s="1"/>
  <c r="F163" i="8"/>
  <c r="F165" i="21" s="1"/>
  <c r="G163" i="8"/>
  <c r="G165" i="21" s="1"/>
  <c r="H163" i="8"/>
  <c r="H165" i="21" s="1"/>
  <c r="I163" i="8"/>
  <c r="I165" i="21" s="1"/>
  <c r="J163" i="8"/>
  <c r="J165" i="21" s="1"/>
  <c r="K163" i="8"/>
  <c r="K165" i="21" s="1"/>
  <c r="L163" i="8"/>
  <c r="L165" i="21" s="1"/>
  <c r="M163" i="8"/>
  <c r="M165" i="21" s="1"/>
  <c r="N163" i="8"/>
  <c r="N165" i="21" s="1"/>
  <c r="O163" i="8"/>
  <c r="O165" i="21" s="1"/>
  <c r="P163" i="8"/>
  <c r="P165" i="21" s="1"/>
  <c r="Q163" i="8"/>
  <c r="Q165" i="21" s="1"/>
  <c r="R163" i="8"/>
  <c r="R165" i="21" s="1"/>
  <c r="S163" i="8"/>
  <c r="S165" i="21" s="1"/>
  <c r="T163" i="8"/>
  <c r="T165" i="21" s="1"/>
  <c r="U163" i="8"/>
  <c r="U165" i="21" s="1"/>
  <c r="V163" i="8"/>
  <c r="V165" i="21" s="1"/>
  <c r="W163" i="8"/>
  <c r="W165" i="21" s="1"/>
  <c r="X163" i="8"/>
  <c r="X165" i="21" s="1"/>
  <c r="Y163" i="8"/>
  <c r="Y165" i="21" s="1"/>
  <c r="Z163" i="8"/>
  <c r="Z165" i="21" s="1"/>
  <c r="AA163" i="8"/>
  <c r="AA165" i="21" s="1"/>
  <c r="AB163" i="8"/>
  <c r="AB165" i="21" s="1"/>
  <c r="AC163" i="8"/>
  <c r="AC165" i="21" s="1"/>
  <c r="AD163" i="8"/>
  <c r="AD165" i="21" s="1"/>
  <c r="AE163" i="8"/>
  <c r="AF163" i="8"/>
  <c r="AG163" i="8"/>
  <c r="AG165" i="21" s="1"/>
  <c r="A164" i="8"/>
  <c r="A166" i="21" s="1"/>
  <c r="B164" i="8"/>
  <c r="B166" i="21" s="1"/>
  <c r="C164" i="8"/>
  <c r="C166" i="21" s="1"/>
  <c r="D164" i="8"/>
  <c r="D166" i="21" s="1"/>
  <c r="E164" i="8"/>
  <c r="E166" i="21" s="1"/>
  <c r="F164" i="8"/>
  <c r="F166" i="21" s="1"/>
  <c r="G164" i="8"/>
  <c r="G166" i="21" s="1"/>
  <c r="H164" i="8"/>
  <c r="H166" i="21" s="1"/>
  <c r="I164" i="8"/>
  <c r="I166" i="21" s="1"/>
  <c r="J164" i="8"/>
  <c r="J166" i="21" s="1"/>
  <c r="K164" i="8"/>
  <c r="K166" i="21" s="1"/>
  <c r="L164" i="8"/>
  <c r="L166" i="21" s="1"/>
  <c r="M164" i="8"/>
  <c r="M166" i="21" s="1"/>
  <c r="N164" i="8"/>
  <c r="N166" i="21" s="1"/>
  <c r="O164" i="8"/>
  <c r="O166" i="21" s="1"/>
  <c r="P164" i="8"/>
  <c r="P166" i="21" s="1"/>
  <c r="Q164" i="8"/>
  <c r="Q166" i="21" s="1"/>
  <c r="R164" i="8"/>
  <c r="R166" i="21" s="1"/>
  <c r="S164" i="8"/>
  <c r="S166" i="21" s="1"/>
  <c r="T164" i="8"/>
  <c r="T166" i="21" s="1"/>
  <c r="U164" i="8"/>
  <c r="U166" i="21" s="1"/>
  <c r="V164" i="8"/>
  <c r="V166" i="21" s="1"/>
  <c r="W164" i="8"/>
  <c r="W166" i="21" s="1"/>
  <c r="X164" i="8"/>
  <c r="X166" i="21" s="1"/>
  <c r="Y164" i="8"/>
  <c r="Y166" i="21" s="1"/>
  <c r="Z164" i="8"/>
  <c r="Z166" i="21" s="1"/>
  <c r="AA164" i="8"/>
  <c r="AA166" i="21" s="1"/>
  <c r="AB164" i="8"/>
  <c r="AB166" i="21" s="1"/>
  <c r="AC164" i="8"/>
  <c r="AC166" i="21" s="1"/>
  <c r="AD164" i="8"/>
  <c r="AD166" i="21" s="1"/>
  <c r="AE164" i="8"/>
  <c r="AE166" i="21" s="1"/>
  <c r="AF164" i="8"/>
  <c r="AG164" i="8"/>
  <c r="A165" i="8"/>
  <c r="A167" i="21" s="1"/>
  <c r="B165" i="8"/>
  <c r="B167" i="21" s="1"/>
  <c r="C165" i="8"/>
  <c r="C167" i="21" s="1"/>
  <c r="D165" i="8"/>
  <c r="D167" i="21" s="1"/>
  <c r="E165" i="8"/>
  <c r="E167" i="21" s="1"/>
  <c r="F165" i="8"/>
  <c r="F167" i="21" s="1"/>
  <c r="G165" i="8"/>
  <c r="G167" i="21" s="1"/>
  <c r="H165" i="8"/>
  <c r="H167" i="21" s="1"/>
  <c r="I165" i="8"/>
  <c r="I167" i="21" s="1"/>
  <c r="J165" i="8"/>
  <c r="J167" i="21" s="1"/>
  <c r="K165" i="8"/>
  <c r="K167" i="21" s="1"/>
  <c r="L165" i="8"/>
  <c r="L167" i="21" s="1"/>
  <c r="M165" i="8"/>
  <c r="M167" i="21" s="1"/>
  <c r="N165" i="8"/>
  <c r="N167" i="21" s="1"/>
  <c r="O165" i="8"/>
  <c r="O167" i="21" s="1"/>
  <c r="P165" i="8"/>
  <c r="P167" i="21" s="1"/>
  <c r="Q165" i="8"/>
  <c r="Q167" i="21" s="1"/>
  <c r="R165" i="8"/>
  <c r="R167" i="21" s="1"/>
  <c r="S165" i="8"/>
  <c r="S167" i="21" s="1"/>
  <c r="T165" i="8"/>
  <c r="T167" i="21" s="1"/>
  <c r="U165" i="8"/>
  <c r="U167" i="21" s="1"/>
  <c r="V165" i="8"/>
  <c r="V167" i="21" s="1"/>
  <c r="W165" i="8"/>
  <c r="W167" i="21" s="1"/>
  <c r="X165" i="8"/>
  <c r="X167" i="21" s="1"/>
  <c r="Y165" i="8"/>
  <c r="Y167" i="21" s="1"/>
  <c r="Z165" i="8"/>
  <c r="Z167" i="21" s="1"/>
  <c r="AA165" i="8"/>
  <c r="AA167" i="21" s="1"/>
  <c r="AB165" i="8"/>
  <c r="AB167" i="21" s="1"/>
  <c r="AC165" i="8"/>
  <c r="AC167" i="21" s="1"/>
  <c r="AD165" i="8"/>
  <c r="AD167" i="21" s="1"/>
  <c r="AE165" i="8"/>
  <c r="AF165" i="8"/>
  <c r="AF167" i="21" s="1"/>
  <c r="AG165" i="8"/>
  <c r="AG167" i="21" s="1"/>
  <c r="A166" i="8"/>
  <c r="A168" i="21" s="1"/>
  <c r="B166" i="8"/>
  <c r="B168" i="21" s="1"/>
  <c r="C166" i="8"/>
  <c r="C168" i="21" s="1"/>
  <c r="D166" i="8"/>
  <c r="D168" i="21" s="1"/>
  <c r="E166" i="8"/>
  <c r="E168" i="21" s="1"/>
  <c r="F166" i="8"/>
  <c r="F168" i="21" s="1"/>
  <c r="G166" i="8"/>
  <c r="G168" i="21" s="1"/>
  <c r="H166" i="8"/>
  <c r="H168" i="21" s="1"/>
  <c r="I166" i="8"/>
  <c r="I168" i="21" s="1"/>
  <c r="J166" i="8"/>
  <c r="J168" i="21" s="1"/>
  <c r="K166" i="8"/>
  <c r="K168" i="21" s="1"/>
  <c r="L166" i="8"/>
  <c r="L168" i="21" s="1"/>
  <c r="M166" i="8"/>
  <c r="M168" i="21" s="1"/>
  <c r="N166" i="8"/>
  <c r="N168" i="21" s="1"/>
  <c r="O166" i="8"/>
  <c r="O168" i="21" s="1"/>
  <c r="P166" i="8"/>
  <c r="P168" i="21" s="1"/>
  <c r="Q166" i="8"/>
  <c r="Q168" i="21" s="1"/>
  <c r="R166" i="8"/>
  <c r="R168" i="21" s="1"/>
  <c r="S166" i="8"/>
  <c r="S168" i="21" s="1"/>
  <c r="T166" i="8"/>
  <c r="T168" i="21" s="1"/>
  <c r="U166" i="8"/>
  <c r="U168" i="21" s="1"/>
  <c r="V166" i="8"/>
  <c r="V168" i="21" s="1"/>
  <c r="W166" i="8"/>
  <c r="W168" i="21" s="1"/>
  <c r="X166" i="8"/>
  <c r="X168" i="21" s="1"/>
  <c r="Y166" i="8"/>
  <c r="Y168" i="21" s="1"/>
  <c r="Z166" i="8"/>
  <c r="Z168" i="21" s="1"/>
  <c r="AA166" i="8"/>
  <c r="AA168" i="21" s="1"/>
  <c r="AB166" i="8"/>
  <c r="AB168" i="21" s="1"/>
  <c r="AC166" i="8"/>
  <c r="AC168" i="21" s="1"/>
  <c r="AD166" i="8"/>
  <c r="AD168" i="21" s="1"/>
  <c r="AE166" i="8"/>
  <c r="AE168" i="21" s="1"/>
  <c r="AF166" i="8"/>
  <c r="AF168" i="21" s="1"/>
  <c r="AG166" i="8"/>
  <c r="AG168" i="21" s="1"/>
  <c r="A167" i="8"/>
  <c r="A169" i="21" s="1"/>
  <c r="B167" i="8"/>
  <c r="B169" i="21" s="1"/>
  <c r="C167" i="8"/>
  <c r="C169" i="21" s="1"/>
  <c r="D167" i="8"/>
  <c r="D169" i="21" s="1"/>
  <c r="E167" i="8"/>
  <c r="E169" i="21" s="1"/>
  <c r="F167" i="8"/>
  <c r="F169" i="21" s="1"/>
  <c r="G167" i="8"/>
  <c r="G169" i="21" s="1"/>
  <c r="H167" i="8"/>
  <c r="H169" i="21" s="1"/>
  <c r="I167" i="8"/>
  <c r="I169" i="21" s="1"/>
  <c r="J167" i="8"/>
  <c r="J169" i="21" s="1"/>
  <c r="K167" i="8"/>
  <c r="K169" i="21" s="1"/>
  <c r="L167" i="8"/>
  <c r="L169" i="21" s="1"/>
  <c r="M167" i="8"/>
  <c r="M169" i="21" s="1"/>
  <c r="N167" i="8"/>
  <c r="N169" i="21" s="1"/>
  <c r="O167" i="8"/>
  <c r="O169" i="21" s="1"/>
  <c r="P167" i="8"/>
  <c r="P169" i="21" s="1"/>
  <c r="Q167" i="8"/>
  <c r="Q169" i="21" s="1"/>
  <c r="R167" i="8"/>
  <c r="R169" i="21" s="1"/>
  <c r="S167" i="8"/>
  <c r="S169" i="21" s="1"/>
  <c r="T167" i="8"/>
  <c r="T169" i="21" s="1"/>
  <c r="U167" i="8"/>
  <c r="U169" i="21" s="1"/>
  <c r="V167" i="8"/>
  <c r="V169" i="21" s="1"/>
  <c r="W167" i="8"/>
  <c r="W169" i="21" s="1"/>
  <c r="X167" i="8"/>
  <c r="X169" i="21" s="1"/>
  <c r="Y167" i="8"/>
  <c r="Y169" i="21" s="1"/>
  <c r="Z167" i="8"/>
  <c r="Z169" i="21" s="1"/>
  <c r="AA167" i="8"/>
  <c r="AA169" i="21" s="1"/>
  <c r="AB167" i="8"/>
  <c r="AB169" i="21" s="1"/>
  <c r="AC167" i="8"/>
  <c r="AC169" i="21" s="1"/>
  <c r="AD167" i="8"/>
  <c r="AD169" i="21" s="1"/>
  <c r="AE167" i="8"/>
  <c r="AF167" i="8"/>
  <c r="AF169" i="21" s="1"/>
  <c r="AG167" i="8"/>
  <c r="AG169" i="21" s="1"/>
  <c r="A168" i="8"/>
  <c r="A170" i="21" s="1"/>
  <c r="B168" i="8"/>
  <c r="B170" i="21" s="1"/>
  <c r="C168" i="8"/>
  <c r="C170" i="21" s="1"/>
  <c r="D168" i="8"/>
  <c r="D170" i="21" s="1"/>
  <c r="E168" i="8"/>
  <c r="E170" i="21" s="1"/>
  <c r="F168" i="8"/>
  <c r="F170" i="21" s="1"/>
  <c r="G168" i="8"/>
  <c r="G170" i="21" s="1"/>
  <c r="H168" i="8"/>
  <c r="H170" i="21" s="1"/>
  <c r="I168" i="8"/>
  <c r="I170" i="21" s="1"/>
  <c r="J168" i="8"/>
  <c r="J170" i="21" s="1"/>
  <c r="K168" i="8"/>
  <c r="K170" i="21" s="1"/>
  <c r="L168" i="8"/>
  <c r="L170" i="21" s="1"/>
  <c r="M168" i="8"/>
  <c r="M170" i="21" s="1"/>
  <c r="N168" i="8"/>
  <c r="N170" i="21" s="1"/>
  <c r="O168" i="8"/>
  <c r="O170" i="21" s="1"/>
  <c r="P168" i="8"/>
  <c r="P170" i="21" s="1"/>
  <c r="Q168" i="8"/>
  <c r="Q170" i="21" s="1"/>
  <c r="R168" i="8"/>
  <c r="R170" i="21" s="1"/>
  <c r="S168" i="8"/>
  <c r="S170" i="21" s="1"/>
  <c r="T168" i="8"/>
  <c r="T170" i="21" s="1"/>
  <c r="U168" i="8"/>
  <c r="U170" i="21" s="1"/>
  <c r="V168" i="8"/>
  <c r="V170" i="21" s="1"/>
  <c r="W168" i="8"/>
  <c r="W170" i="21" s="1"/>
  <c r="X168" i="8"/>
  <c r="X170" i="21" s="1"/>
  <c r="Y168" i="8"/>
  <c r="Y170" i="21" s="1"/>
  <c r="Z168" i="8"/>
  <c r="Z170" i="21" s="1"/>
  <c r="AA168" i="8"/>
  <c r="AA170" i="21" s="1"/>
  <c r="AB168" i="8"/>
  <c r="AB170" i="21" s="1"/>
  <c r="AC168" i="8"/>
  <c r="AC170" i="21" s="1"/>
  <c r="AD168" i="8"/>
  <c r="AD170" i="21" s="1"/>
  <c r="AE168" i="8"/>
  <c r="AE170" i="21" s="1"/>
  <c r="AF168" i="8"/>
  <c r="AG168" i="8"/>
  <c r="A169" i="8"/>
  <c r="A171" i="21" s="1"/>
  <c r="B169" i="8"/>
  <c r="B171" i="21" s="1"/>
  <c r="C169" i="8"/>
  <c r="C171" i="21" s="1"/>
  <c r="D169" i="8"/>
  <c r="D171" i="21" s="1"/>
  <c r="E169" i="8"/>
  <c r="E171" i="21" s="1"/>
  <c r="F169" i="8"/>
  <c r="F171" i="21" s="1"/>
  <c r="G169" i="8"/>
  <c r="G171" i="21" s="1"/>
  <c r="H169" i="8"/>
  <c r="H171" i="21" s="1"/>
  <c r="I169" i="8"/>
  <c r="I171" i="21" s="1"/>
  <c r="J169" i="8"/>
  <c r="J171" i="21" s="1"/>
  <c r="K169" i="8"/>
  <c r="K171" i="21" s="1"/>
  <c r="L169" i="8"/>
  <c r="L171" i="21" s="1"/>
  <c r="M169" i="8"/>
  <c r="M171" i="21" s="1"/>
  <c r="N169" i="8"/>
  <c r="N171" i="21" s="1"/>
  <c r="O169" i="8"/>
  <c r="O171" i="21" s="1"/>
  <c r="P169" i="8"/>
  <c r="P171" i="21" s="1"/>
  <c r="Q169" i="8"/>
  <c r="Q171" i="21" s="1"/>
  <c r="R169" i="8"/>
  <c r="R171" i="21" s="1"/>
  <c r="S169" i="8"/>
  <c r="S171" i="21" s="1"/>
  <c r="T169" i="8"/>
  <c r="T171" i="21" s="1"/>
  <c r="U169" i="8"/>
  <c r="U171" i="21" s="1"/>
  <c r="V169" i="8"/>
  <c r="V171" i="21" s="1"/>
  <c r="W169" i="8"/>
  <c r="W171" i="21" s="1"/>
  <c r="X169" i="8"/>
  <c r="X171" i="21" s="1"/>
  <c r="Y169" i="8"/>
  <c r="Y171" i="21" s="1"/>
  <c r="Z169" i="8"/>
  <c r="Z171" i="21" s="1"/>
  <c r="AA169" i="8"/>
  <c r="AA171" i="21" s="1"/>
  <c r="AB169" i="8"/>
  <c r="AB171" i="21" s="1"/>
  <c r="AC169" i="8"/>
  <c r="AC171" i="21" s="1"/>
  <c r="AD169" i="8"/>
  <c r="AD171" i="21" s="1"/>
  <c r="AE169" i="8"/>
  <c r="AF169" i="8"/>
  <c r="AF171" i="21" s="1"/>
  <c r="AG169" i="8"/>
  <c r="AG171" i="21" s="1"/>
  <c r="A170" i="8"/>
  <c r="A172" i="21" s="1"/>
  <c r="B170" i="8"/>
  <c r="B172" i="21" s="1"/>
  <c r="C170" i="8"/>
  <c r="C172" i="21" s="1"/>
  <c r="D170" i="8"/>
  <c r="D172" i="21" s="1"/>
  <c r="E170" i="8"/>
  <c r="E172" i="21" s="1"/>
  <c r="F170" i="8"/>
  <c r="F172" i="21" s="1"/>
  <c r="G170" i="8"/>
  <c r="G172" i="21" s="1"/>
  <c r="H170" i="8"/>
  <c r="H172" i="21" s="1"/>
  <c r="I170" i="8"/>
  <c r="I172" i="21" s="1"/>
  <c r="J170" i="8"/>
  <c r="J172" i="21" s="1"/>
  <c r="K170" i="8"/>
  <c r="K172" i="21" s="1"/>
  <c r="L170" i="8"/>
  <c r="L172" i="21" s="1"/>
  <c r="M170" i="8"/>
  <c r="M172" i="21" s="1"/>
  <c r="N170" i="8"/>
  <c r="N172" i="21" s="1"/>
  <c r="O170" i="8"/>
  <c r="O172" i="21" s="1"/>
  <c r="P170" i="8"/>
  <c r="P172" i="21" s="1"/>
  <c r="Q170" i="8"/>
  <c r="Q172" i="21" s="1"/>
  <c r="R170" i="8"/>
  <c r="R172" i="21" s="1"/>
  <c r="S170" i="8"/>
  <c r="S172" i="21" s="1"/>
  <c r="T170" i="8"/>
  <c r="T172" i="21" s="1"/>
  <c r="U170" i="8"/>
  <c r="U172" i="21" s="1"/>
  <c r="V170" i="8"/>
  <c r="V172" i="21" s="1"/>
  <c r="W170" i="8"/>
  <c r="W172" i="21" s="1"/>
  <c r="X170" i="8"/>
  <c r="X172" i="21" s="1"/>
  <c r="Y170" i="8"/>
  <c r="Y172" i="21" s="1"/>
  <c r="Z170" i="8"/>
  <c r="Z172" i="21" s="1"/>
  <c r="AA170" i="8"/>
  <c r="AA172" i="21" s="1"/>
  <c r="AB170" i="8"/>
  <c r="AB172" i="21" s="1"/>
  <c r="AC170" i="8"/>
  <c r="AC172" i="21" s="1"/>
  <c r="AD170" i="8"/>
  <c r="AD172" i="21" s="1"/>
  <c r="AE170" i="8"/>
  <c r="AE172" i="21" s="1"/>
  <c r="AF170" i="8"/>
  <c r="AG170" i="8"/>
  <c r="AG172" i="21" s="1"/>
  <c r="A171" i="8"/>
  <c r="A173" i="21" s="1"/>
  <c r="B171" i="8"/>
  <c r="B173" i="21" s="1"/>
  <c r="C171" i="8"/>
  <c r="C173" i="21" s="1"/>
  <c r="D171" i="8"/>
  <c r="D173" i="21" s="1"/>
  <c r="E171" i="8"/>
  <c r="E173" i="21" s="1"/>
  <c r="F171" i="8"/>
  <c r="F173" i="21" s="1"/>
  <c r="G171" i="8"/>
  <c r="G173" i="21" s="1"/>
  <c r="H171" i="8"/>
  <c r="H173" i="21" s="1"/>
  <c r="I171" i="8"/>
  <c r="I173" i="21" s="1"/>
  <c r="J171" i="8"/>
  <c r="J173" i="21" s="1"/>
  <c r="K171" i="8"/>
  <c r="K173" i="21" s="1"/>
  <c r="L171" i="8"/>
  <c r="L173" i="21" s="1"/>
  <c r="M171" i="8"/>
  <c r="M173" i="21" s="1"/>
  <c r="N171" i="8"/>
  <c r="N173" i="21" s="1"/>
  <c r="O171" i="8"/>
  <c r="O173" i="21" s="1"/>
  <c r="P171" i="8"/>
  <c r="P173" i="21" s="1"/>
  <c r="Q171" i="8"/>
  <c r="Q173" i="21" s="1"/>
  <c r="R171" i="8"/>
  <c r="R173" i="21" s="1"/>
  <c r="S171" i="8"/>
  <c r="S173" i="21" s="1"/>
  <c r="T171" i="8"/>
  <c r="T173" i="21" s="1"/>
  <c r="U171" i="8"/>
  <c r="U173" i="21" s="1"/>
  <c r="V171" i="8"/>
  <c r="V173" i="21" s="1"/>
  <c r="W171" i="8"/>
  <c r="W173" i="21" s="1"/>
  <c r="X171" i="8"/>
  <c r="X173" i="21" s="1"/>
  <c r="Y171" i="8"/>
  <c r="Y173" i="21" s="1"/>
  <c r="Z171" i="8"/>
  <c r="Z173" i="21" s="1"/>
  <c r="AA171" i="8"/>
  <c r="AA173" i="21" s="1"/>
  <c r="AB171" i="8"/>
  <c r="AB173" i="21" s="1"/>
  <c r="AC171" i="8"/>
  <c r="AC173" i="21" s="1"/>
  <c r="AD171" i="8"/>
  <c r="AD173" i="21" s="1"/>
  <c r="AE171" i="8"/>
  <c r="AF171" i="8"/>
  <c r="AG171" i="8"/>
  <c r="A172" i="8"/>
  <c r="A174" i="21" s="1"/>
  <c r="B172" i="8"/>
  <c r="B174" i="21" s="1"/>
  <c r="C172" i="8"/>
  <c r="C174" i="21" s="1"/>
  <c r="D172" i="8"/>
  <c r="D174" i="21" s="1"/>
  <c r="E172" i="8"/>
  <c r="E174" i="21" s="1"/>
  <c r="F172" i="8"/>
  <c r="F174" i="21" s="1"/>
  <c r="G172" i="8"/>
  <c r="G174" i="21" s="1"/>
  <c r="H172" i="8"/>
  <c r="H174" i="21" s="1"/>
  <c r="I172" i="8"/>
  <c r="I174" i="21" s="1"/>
  <c r="J172" i="8"/>
  <c r="J174" i="21" s="1"/>
  <c r="K172" i="8"/>
  <c r="K174" i="21" s="1"/>
  <c r="L172" i="8"/>
  <c r="L174" i="21" s="1"/>
  <c r="M172" i="8"/>
  <c r="M174" i="21" s="1"/>
  <c r="N172" i="8"/>
  <c r="N174" i="21" s="1"/>
  <c r="O172" i="8"/>
  <c r="O174" i="21" s="1"/>
  <c r="P172" i="8"/>
  <c r="P174" i="21" s="1"/>
  <c r="Q172" i="8"/>
  <c r="Q174" i="21" s="1"/>
  <c r="R172" i="8"/>
  <c r="R174" i="21" s="1"/>
  <c r="S172" i="8"/>
  <c r="S174" i="21" s="1"/>
  <c r="T172" i="8"/>
  <c r="T174" i="21" s="1"/>
  <c r="U172" i="8"/>
  <c r="U174" i="21" s="1"/>
  <c r="V172" i="8"/>
  <c r="V174" i="21" s="1"/>
  <c r="W172" i="8"/>
  <c r="W174" i="21" s="1"/>
  <c r="X172" i="8"/>
  <c r="X174" i="21" s="1"/>
  <c r="Y172" i="8"/>
  <c r="Y174" i="21" s="1"/>
  <c r="Z172" i="8"/>
  <c r="Z174" i="21" s="1"/>
  <c r="AA172" i="8"/>
  <c r="AA174" i="21" s="1"/>
  <c r="AB172" i="8"/>
  <c r="AB174" i="21" s="1"/>
  <c r="AC172" i="8"/>
  <c r="AC174" i="21" s="1"/>
  <c r="AD172" i="8"/>
  <c r="AD174" i="21" s="1"/>
  <c r="AE172" i="8"/>
  <c r="AE174" i="21" s="1"/>
  <c r="AF172" i="8"/>
  <c r="AF174" i="21" s="1"/>
  <c r="AG172" i="8"/>
  <c r="AG174" i="21" s="1"/>
  <c r="A173" i="8"/>
  <c r="A175" i="21" s="1"/>
  <c r="B173" i="8"/>
  <c r="B175" i="21" s="1"/>
  <c r="C173" i="8"/>
  <c r="C175" i="21" s="1"/>
  <c r="D173" i="8"/>
  <c r="D175" i="21" s="1"/>
  <c r="E173" i="8"/>
  <c r="E175" i="21" s="1"/>
  <c r="F173" i="8"/>
  <c r="F175" i="21" s="1"/>
  <c r="G173" i="8"/>
  <c r="G175" i="21" s="1"/>
  <c r="H173" i="8"/>
  <c r="H175" i="21" s="1"/>
  <c r="I173" i="8"/>
  <c r="I175" i="21" s="1"/>
  <c r="J173" i="8"/>
  <c r="J175" i="21" s="1"/>
  <c r="K173" i="8"/>
  <c r="K175" i="21" s="1"/>
  <c r="L173" i="8"/>
  <c r="L175" i="21" s="1"/>
  <c r="M173" i="8"/>
  <c r="M175" i="21" s="1"/>
  <c r="N173" i="8"/>
  <c r="N175" i="21" s="1"/>
  <c r="O173" i="8"/>
  <c r="O175" i="21" s="1"/>
  <c r="P173" i="8"/>
  <c r="P175" i="21" s="1"/>
  <c r="Q173" i="8"/>
  <c r="Q175" i="21" s="1"/>
  <c r="R173" i="8"/>
  <c r="R175" i="21" s="1"/>
  <c r="S173" i="8"/>
  <c r="S175" i="21" s="1"/>
  <c r="T173" i="8"/>
  <c r="T175" i="21" s="1"/>
  <c r="U173" i="8"/>
  <c r="U175" i="21" s="1"/>
  <c r="V173" i="8"/>
  <c r="V175" i="21" s="1"/>
  <c r="W173" i="8"/>
  <c r="W175" i="21" s="1"/>
  <c r="X173" i="8"/>
  <c r="X175" i="21" s="1"/>
  <c r="Y173" i="8"/>
  <c r="Y175" i="21" s="1"/>
  <c r="Z173" i="8"/>
  <c r="Z175" i="21" s="1"/>
  <c r="AA173" i="8"/>
  <c r="AA175" i="21" s="1"/>
  <c r="AB173" i="8"/>
  <c r="AB175" i="21" s="1"/>
  <c r="AC173" i="8"/>
  <c r="AC175" i="21" s="1"/>
  <c r="AD173" i="8"/>
  <c r="AD175" i="21" s="1"/>
  <c r="AE173" i="8"/>
  <c r="AF173" i="8"/>
  <c r="AF175" i="21" s="1"/>
  <c r="AG173" i="8"/>
  <c r="AG175" i="21" s="1"/>
  <c r="A174" i="8"/>
  <c r="A176" i="21" s="1"/>
  <c r="B174" i="8"/>
  <c r="B176" i="21" s="1"/>
  <c r="C174" i="8"/>
  <c r="C176" i="21" s="1"/>
  <c r="D174" i="8"/>
  <c r="D176" i="21" s="1"/>
  <c r="E174" i="8"/>
  <c r="E176" i="21" s="1"/>
  <c r="F174" i="8"/>
  <c r="F176" i="21" s="1"/>
  <c r="G174" i="8"/>
  <c r="G176" i="21" s="1"/>
  <c r="H174" i="8"/>
  <c r="H176" i="21" s="1"/>
  <c r="I174" i="8"/>
  <c r="I176" i="21" s="1"/>
  <c r="J174" i="8"/>
  <c r="J176" i="21" s="1"/>
  <c r="K174" i="8"/>
  <c r="K176" i="21" s="1"/>
  <c r="L174" i="8"/>
  <c r="L176" i="21" s="1"/>
  <c r="M174" i="8"/>
  <c r="M176" i="21" s="1"/>
  <c r="N174" i="8"/>
  <c r="N176" i="21" s="1"/>
  <c r="O174" i="8"/>
  <c r="O176" i="21" s="1"/>
  <c r="P174" i="8"/>
  <c r="P176" i="21" s="1"/>
  <c r="Q174" i="8"/>
  <c r="Q176" i="21" s="1"/>
  <c r="R174" i="8"/>
  <c r="R176" i="21" s="1"/>
  <c r="S174" i="8"/>
  <c r="S176" i="21" s="1"/>
  <c r="T174" i="8"/>
  <c r="T176" i="21" s="1"/>
  <c r="U174" i="8"/>
  <c r="U176" i="21" s="1"/>
  <c r="V174" i="8"/>
  <c r="V176" i="21" s="1"/>
  <c r="W174" i="8"/>
  <c r="W176" i="21" s="1"/>
  <c r="X174" i="8"/>
  <c r="X176" i="21" s="1"/>
  <c r="Y174" i="8"/>
  <c r="Y176" i="21" s="1"/>
  <c r="Z174" i="8"/>
  <c r="Z176" i="21" s="1"/>
  <c r="AA174" i="8"/>
  <c r="AA176" i="21" s="1"/>
  <c r="AB174" i="8"/>
  <c r="AB176" i="21" s="1"/>
  <c r="AC174" i="8"/>
  <c r="AC176" i="21" s="1"/>
  <c r="AD174" i="8"/>
  <c r="AD176" i="21" s="1"/>
  <c r="AE174" i="8"/>
  <c r="AE176" i="21" s="1"/>
  <c r="AF174" i="8"/>
  <c r="AF176" i="21" s="1"/>
  <c r="AG174" i="8"/>
  <c r="AG176" i="21" s="1"/>
  <c r="A175" i="8"/>
  <c r="A177" i="21" s="1"/>
  <c r="B175" i="8"/>
  <c r="B177" i="21" s="1"/>
  <c r="C175" i="8"/>
  <c r="C177" i="21" s="1"/>
  <c r="D175" i="8"/>
  <c r="D177" i="21" s="1"/>
  <c r="E175" i="8"/>
  <c r="E177" i="21" s="1"/>
  <c r="F175" i="8"/>
  <c r="F177" i="21" s="1"/>
  <c r="G175" i="8"/>
  <c r="G177" i="21" s="1"/>
  <c r="H175" i="8"/>
  <c r="H177" i="21" s="1"/>
  <c r="I175" i="8"/>
  <c r="I177" i="21" s="1"/>
  <c r="J175" i="8"/>
  <c r="J177" i="21" s="1"/>
  <c r="K175" i="8"/>
  <c r="K177" i="21" s="1"/>
  <c r="L175" i="8"/>
  <c r="L177" i="21" s="1"/>
  <c r="M175" i="8"/>
  <c r="M177" i="21" s="1"/>
  <c r="N175" i="8"/>
  <c r="N177" i="21" s="1"/>
  <c r="O175" i="8"/>
  <c r="O177" i="21" s="1"/>
  <c r="P175" i="8"/>
  <c r="P177" i="21" s="1"/>
  <c r="Q175" i="8"/>
  <c r="Q177" i="21" s="1"/>
  <c r="R175" i="8"/>
  <c r="R177" i="21" s="1"/>
  <c r="S175" i="8"/>
  <c r="S177" i="21" s="1"/>
  <c r="T175" i="8"/>
  <c r="T177" i="21" s="1"/>
  <c r="U175" i="8"/>
  <c r="U177" i="21" s="1"/>
  <c r="V175" i="8"/>
  <c r="V177" i="21" s="1"/>
  <c r="W175" i="8"/>
  <c r="W177" i="21" s="1"/>
  <c r="X175" i="8"/>
  <c r="X177" i="21" s="1"/>
  <c r="Y175" i="8"/>
  <c r="Y177" i="21" s="1"/>
  <c r="Z175" i="8"/>
  <c r="Z177" i="21" s="1"/>
  <c r="AA175" i="8"/>
  <c r="AA177" i="21" s="1"/>
  <c r="AB175" i="8"/>
  <c r="AB177" i="21" s="1"/>
  <c r="AC175" i="8"/>
  <c r="AC177" i="21" s="1"/>
  <c r="AD175" i="8"/>
  <c r="AD177" i="21" s="1"/>
  <c r="AE175" i="8"/>
  <c r="AF175" i="8"/>
  <c r="AF177" i="21" s="1"/>
  <c r="AG175" i="8"/>
  <c r="AG177" i="21" s="1"/>
  <c r="A176" i="8"/>
  <c r="A178" i="21" s="1"/>
  <c r="B176" i="8"/>
  <c r="B178" i="21" s="1"/>
  <c r="C176" i="8"/>
  <c r="C178" i="21" s="1"/>
  <c r="D176" i="8"/>
  <c r="D178" i="21" s="1"/>
  <c r="E176" i="8"/>
  <c r="E178" i="21" s="1"/>
  <c r="F176" i="8"/>
  <c r="F178" i="21" s="1"/>
  <c r="G176" i="8"/>
  <c r="G178" i="21" s="1"/>
  <c r="H176" i="8"/>
  <c r="H178" i="21" s="1"/>
  <c r="I176" i="8"/>
  <c r="I178" i="21" s="1"/>
  <c r="J176" i="8"/>
  <c r="J178" i="21" s="1"/>
  <c r="K176" i="8"/>
  <c r="K178" i="21" s="1"/>
  <c r="L176" i="8"/>
  <c r="L178" i="21" s="1"/>
  <c r="M176" i="8"/>
  <c r="M178" i="21" s="1"/>
  <c r="N176" i="8"/>
  <c r="N178" i="21" s="1"/>
  <c r="O176" i="8"/>
  <c r="O178" i="21" s="1"/>
  <c r="P176" i="8"/>
  <c r="P178" i="21" s="1"/>
  <c r="Q176" i="8"/>
  <c r="Q178" i="21" s="1"/>
  <c r="R176" i="8"/>
  <c r="R178" i="21" s="1"/>
  <c r="S176" i="8"/>
  <c r="S178" i="21" s="1"/>
  <c r="T176" i="8"/>
  <c r="T178" i="21" s="1"/>
  <c r="U176" i="8"/>
  <c r="U178" i="21" s="1"/>
  <c r="V176" i="8"/>
  <c r="V178" i="21" s="1"/>
  <c r="W176" i="8"/>
  <c r="W178" i="21" s="1"/>
  <c r="X176" i="8"/>
  <c r="X178" i="21" s="1"/>
  <c r="Y176" i="8"/>
  <c r="Y178" i="21" s="1"/>
  <c r="Z176" i="8"/>
  <c r="Z178" i="21" s="1"/>
  <c r="AA176" i="8"/>
  <c r="AA178" i="21" s="1"/>
  <c r="AB176" i="8"/>
  <c r="AB178" i="21" s="1"/>
  <c r="AC176" i="8"/>
  <c r="AC178" i="21" s="1"/>
  <c r="AD176" i="8"/>
  <c r="AD178" i="21" s="1"/>
  <c r="AE176" i="8"/>
  <c r="AE178" i="21" s="1"/>
  <c r="AF176" i="8"/>
  <c r="AF178" i="21" s="1"/>
  <c r="AG176" i="8"/>
  <c r="AG178" i="21" s="1"/>
  <c r="A177" i="8"/>
  <c r="A179" i="21" s="1"/>
  <c r="B177" i="8"/>
  <c r="B179" i="21" s="1"/>
  <c r="C177" i="8"/>
  <c r="C179" i="21" s="1"/>
  <c r="D177" i="8"/>
  <c r="D179" i="21" s="1"/>
  <c r="E177" i="8"/>
  <c r="E179" i="21" s="1"/>
  <c r="F177" i="8"/>
  <c r="F179" i="21" s="1"/>
  <c r="G177" i="8"/>
  <c r="G179" i="21" s="1"/>
  <c r="H177" i="8"/>
  <c r="H179" i="21" s="1"/>
  <c r="I177" i="8"/>
  <c r="I179" i="21" s="1"/>
  <c r="J177" i="8"/>
  <c r="J179" i="21" s="1"/>
  <c r="K177" i="8"/>
  <c r="K179" i="21" s="1"/>
  <c r="L177" i="8"/>
  <c r="L179" i="21" s="1"/>
  <c r="M177" i="8"/>
  <c r="M179" i="21" s="1"/>
  <c r="N177" i="8"/>
  <c r="N179" i="21" s="1"/>
  <c r="O177" i="8"/>
  <c r="O179" i="21" s="1"/>
  <c r="P177" i="8"/>
  <c r="P179" i="21" s="1"/>
  <c r="Q177" i="8"/>
  <c r="Q179" i="21" s="1"/>
  <c r="R177" i="8"/>
  <c r="R179" i="21" s="1"/>
  <c r="S177" i="8"/>
  <c r="S179" i="21" s="1"/>
  <c r="T177" i="8"/>
  <c r="T179" i="21" s="1"/>
  <c r="U177" i="8"/>
  <c r="U179" i="21" s="1"/>
  <c r="V177" i="8"/>
  <c r="V179" i="21" s="1"/>
  <c r="W177" i="8"/>
  <c r="W179" i="21" s="1"/>
  <c r="X177" i="8"/>
  <c r="X179" i="21" s="1"/>
  <c r="Y177" i="8"/>
  <c r="Y179" i="21" s="1"/>
  <c r="Z177" i="8"/>
  <c r="Z179" i="21" s="1"/>
  <c r="AA177" i="8"/>
  <c r="AA179" i="21" s="1"/>
  <c r="AB177" i="8"/>
  <c r="AB179" i="21" s="1"/>
  <c r="AC177" i="8"/>
  <c r="AC179" i="21" s="1"/>
  <c r="AD177" i="8"/>
  <c r="AD179" i="21" s="1"/>
  <c r="AE177" i="8"/>
  <c r="AF177" i="8"/>
  <c r="AF179" i="21" s="1"/>
  <c r="AG177" i="8"/>
  <c r="AG179" i="21" s="1"/>
  <c r="A178" i="8"/>
  <c r="A180" i="21" s="1"/>
  <c r="B178" i="8"/>
  <c r="B180" i="21" s="1"/>
  <c r="C178" i="8"/>
  <c r="C180" i="21" s="1"/>
  <c r="D178" i="8"/>
  <c r="D180" i="21" s="1"/>
  <c r="E178" i="8"/>
  <c r="E180" i="21" s="1"/>
  <c r="F178" i="8"/>
  <c r="F180" i="21" s="1"/>
  <c r="G178" i="8"/>
  <c r="G180" i="21" s="1"/>
  <c r="H178" i="8"/>
  <c r="H180" i="21" s="1"/>
  <c r="I178" i="8"/>
  <c r="I180" i="21" s="1"/>
  <c r="J178" i="8"/>
  <c r="J180" i="21" s="1"/>
  <c r="K178" i="8"/>
  <c r="K180" i="21" s="1"/>
  <c r="L178" i="8"/>
  <c r="L180" i="21" s="1"/>
  <c r="M178" i="8"/>
  <c r="M180" i="21" s="1"/>
  <c r="N178" i="8"/>
  <c r="N180" i="21" s="1"/>
  <c r="O178" i="8"/>
  <c r="O180" i="21" s="1"/>
  <c r="P178" i="8"/>
  <c r="P180" i="21" s="1"/>
  <c r="Q178" i="8"/>
  <c r="Q180" i="21" s="1"/>
  <c r="R178" i="8"/>
  <c r="R180" i="21" s="1"/>
  <c r="S178" i="8"/>
  <c r="S180" i="21" s="1"/>
  <c r="T178" i="8"/>
  <c r="T180" i="21" s="1"/>
  <c r="U178" i="8"/>
  <c r="U180" i="21" s="1"/>
  <c r="V178" i="8"/>
  <c r="V180" i="21" s="1"/>
  <c r="W178" i="8"/>
  <c r="W180" i="21" s="1"/>
  <c r="X178" i="8"/>
  <c r="X180" i="21" s="1"/>
  <c r="Y178" i="8"/>
  <c r="Y180" i="21" s="1"/>
  <c r="Z178" i="8"/>
  <c r="Z180" i="21" s="1"/>
  <c r="AA178" i="8"/>
  <c r="AA180" i="21" s="1"/>
  <c r="AB178" i="8"/>
  <c r="AB180" i="21" s="1"/>
  <c r="AC178" i="8"/>
  <c r="AC180" i="21" s="1"/>
  <c r="AD178" i="8"/>
  <c r="AD180" i="21" s="1"/>
  <c r="AE178" i="8"/>
  <c r="AE180" i="21" s="1"/>
  <c r="AF178" i="8"/>
  <c r="AF180" i="21" s="1"/>
  <c r="AG178" i="8"/>
  <c r="AG180" i="21" s="1"/>
  <c r="A179" i="8"/>
  <c r="A181" i="21" s="1"/>
  <c r="B179" i="8"/>
  <c r="B181" i="21" s="1"/>
  <c r="C179" i="8"/>
  <c r="C181" i="21" s="1"/>
  <c r="D179" i="8"/>
  <c r="D181" i="21" s="1"/>
  <c r="E179" i="8"/>
  <c r="E181" i="21" s="1"/>
  <c r="F179" i="8"/>
  <c r="F181" i="21" s="1"/>
  <c r="G179" i="8"/>
  <c r="G181" i="21" s="1"/>
  <c r="H179" i="8"/>
  <c r="H181" i="21" s="1"/>
  <c r="I179" i="8"/>
  <c r="I181" i="21" s="1"/>
  <c r="J179" i="8"/>
  <c r="J181" i="21" s="1"/>
  <c r="K179" i="8"/>
  <c r="K181" i="21" s="1"/>
  <c r="L179" i="8"/>
  <c r="L181" i="21" s="1"/>
  <c r="M179" i="8"/>
  <c r="M181" i="21" s="1"/>
  <c r="N179" i="8"/>
  <c r="N181" i="21" s="1"/>
  <c r="O179" i="8"/>
  <c r="O181" i="21" s="1"/>
  <c r="P179" i="8"/>
  <c r="P181" i="21" s="1"/>
  <c r="Q179" i="8"/>
  <c r="Q181" i="21" s="1"/>
  <c r="R179" i="8"/>
  <c r="R181" i="21" s="1"/>
  <c r="S179" i="8"/>
  <c r="S181" i="21" s="1"/>
  <c r="T179" i="8"/>
  <c r="T181" i="21" s="1"/>
  <c r="U179" i="8"/>
  <c r="U181" i="21" s="1"/>
  <c r="V179" i="8"/>
  <c r="V181" i="21" s="1"/>
  <c r="W179" i="8"/>
  <c r="W181" i="21" s="1"/>
  <c r="X179" i="8"/>
  <c r="X181" i="21" s="1"/>
  <c r="Y179" i="8"/>
  <c r="Y181" i="21" s="1"/>
  <c r="Z179" i="8"/>
  <c r="Z181" i="21" s="1"/>
  <c r="AA179" i="8"/>
  <c r="AA181" i="21" s="1"/>
  <c r="AB179" i="8"/>
  <c r="AB181" i="21" s="1"/>
  <c r="AC179" i="8"/>
  <c r="AC181" i="21" s="1"/>
  <c r="AD179" i="8"/>
  <c r="AD181" i="21" s="1"/>
  <c r="AE179" i="8"/>
  <c r="AF179" i="8"/>
  <c r="AF181" i="21" s="1"/>
  <c r="AG179" i="8"/>
  <c r="AG181" i="21" s="1"/>
  <c r="A180" i="8"/>
  <c r="A182" i="21" s="1"/>
  <c r="B180" i="8"/>
  <c r="B182" i="21" s="1"/>
  <c r="C180" i="8"/>
  <c r="C182" i="21" s="1"/>
  <c r="D180" i="8"/>
  <c r="D182" i="21" s="1"/>
  <c r="E180" i="8"/>
  <c r="E182" i="21" s="1"/>
  <c r="F180" i="8"/>
  <c r="F182" i="21" s="1"/>
  <c r="G180" i="8"/>
  <c r="G182" i="21" s="1"/>
  <c r="H180" i="8"/>
  <c r="H182" i="21" s="1"/>
  <c r="I180" i="8"/>
  <c r="I182" i="21" s="1"/>
  <c r="J180" i="8"/>
  <c r="J182" i="21" s="1"/>
  <c r="K180" i="8"/>
  <c r="K182" i="21" s="1"/>
  <c r="L180" i="8"/>
  <c r="L182" i="21" s="1"/>
  <c r="M180" i="8"/>
  <c r="M182" i="21" s="1"/>
  <c r="N180" i="8"/>
  <c r="N182" i="21" s="1"/>
  <c r="O180" i="8"/>
  <c r="O182" i="21" s="1"/>
  <c r="P180" i="8"/>
  <c r="P182" i="21" s="1"/>
  <c r="Q180" i="8"/>
  <c r="Q182" i="21" s="1"/>
  <c r="R180" i="8"/>
  <c r="R182" i="21" s="1"/>
  <c r="S180" i="8"/>
  <c r="S182" i="21" s="1"/>
  <c r="T180" i="8"/>
  <c r="T182" i="21" s="1"/>
  <c r="U180" i="8"/>
  <c r="U182" i="21" s="1"/>
  <c r="V180" i="8"/>
  <c r="V182" i="21" s="1"/>
  <c r="W180" i="8"/>
  <c r="W182" i="21" s="1"/>
  <c r="X180" i="8"/>
  <c r="X182" i="21" s="1"/>
  <c r="Y180" i="8"/>
  <c r="Y182" i="21" s="1"/>
  <c r="Z180" i="8"/>
  <c r="Z182" i="21" s="1"/>
  <c r="AA180" i="8"/>
  <c r="AA182" i="21" s="1"/>
  <c r="AB180" i="8"/>
  <c r="AB182" i="21" s="1"/>
  <c r="AC180" i="8"/>
  <c r="AC182" i="21" s="1"/>
  <c r="AD180" i="8"/>
  <c r="AD182" i="21" s="1"/>
  <c r="AE180" i="8"/>
  <c r="AE182" i="21" s="1"/>
  <c r="AF180" i="8"/>
  <c r="AF182" i="21" s="1"/>
  <c r="AG180" i="8"/>
  <c r="A181" i="8"/>
  <c r="A183" i="21" s="1"/>
  <c r="B181" i="8"/>
  <c r="B183" i="21" s="1"/>
  <c r="C181" i="8"/>
  <c r="C183" i="21" s="1"/>
  <c r="D181" i="8"/>
  <c r="D183" i="21" s="1"/>
  <c r="E181" i="8"/>
  <c r="E183" i="21" s="1"/>
  <c r="F181" i="8"/>
  <c r="F183" i="21" s="1"/>
  <c r="G181" i="8"/>
  <c r="G183" i="21" s="1"/>
  <c r="H181" i="8"/>
  <c r="H183" i="21" s="1"/>
  <c r="I181" i="8"/>
  <c r="I183" i="21" s="1"/>
  <c r="J181" i="8"/>
  <c r="J183" i="21" s="1"/>
  <c r="K181" i="8"/>
  <c r="K183" i="21" s="1"/>
  <c r="L181" i="8"/>
  <c r="L183" i="21" s="1"/>
  <c r="M181" i="8"/>
  <c r="M183" i="21" s="1"/>
  <c r="N181" i="8"/>
  <c r="N183" i="21" s="1"/>
  <c r="O181" i="8"/>
  <c r="O183" i="21" s="1"/>
  <c r="P181" i="8"/>
  <c r="P183" i="21" s="1"/>
  <c r="Q181" i="8"/>
  <c r="Q183" i="21" s="1"/>
  <c r="R181" i="8"/>
  <c r="R183" i="21" s="1"/>
  <c r="S181" i="8"/>
  <c r="S183" i="21" s="1"/>
  <c r="T181" i="8"/>
  <c r="T183" i="21" s="1"/>
  <c r="U181" i="8"/>
  <c r="U183" i="21" s="1"/>
  <c r="V181" i="8"/>
  <c r="V183" i="21" s="1"/>
  <c r="W181" i="8"/>
  <c r="W183" i="21" s="1"/>
  <c r="X181" i="8"/>
  <c r="X183" i="21" s="1"/>
  <c r="Y181" i="8"/>
  <c r="Y183" i="21" s="1"/>
  <c r="Z181" i="8"/>
  <c r="Z183" i="21" s="1"/>
  <c r="AA181" i="8"/>
  <c r="AA183" i="21" s="1"/>
  <c r="AB181" i="8"/>
  <c r="AB183" i="21" s="1"/>
  <c r="AC181" i="8"/>
  <c r="AC183" i="21" s="1"/>
  <c r="AD181" i="8"/>
  <c r="AD183" i="21" s="1"/>
  <c r="AE181" i="8"/>
  <c r="AF181" i="8"/>
  <c r="AF183" i="21" s="1"/>
  <c r="AG181" i="8"/>
  <c r="AG183" i="21" s="1"/>
  <c r="A182" i="8"/>
  <c r="A184" i="21" s="1"/>
  <c r="B182" i="8"/>
  <c r="B184" i="21" s="1"/>
  <c r="C182" i="8"/>
  <c r="C184" i="21" s="1"/>
  <c r="D182" i="8"/>
  <c r="D184" i="21" s="1"/>
  <c r="E182" i="8"/>
  <c r="E184" i="21" s="1"/>
  <c r="F182" i="8"/>
  <c r="F184" i="21" s="1"/>
  <c r="G182" i="8"/>
  <c r="G184" i="21" s="1"/>
  <c r="H182" i="8"/>
  <c r="H184" i="21" s="1"/>
  <c r="I182" i="8"/>
  <c r="I184" i="21" s="1"/>
  <c r="J182" i="8"/>
  <c r="J184" i="21" s="1"/>
  <c r="K182" i="8"/>
  <c r="K184" i="21" s="1"/>
  <c r="L182" i="8"/>
  <c r="L184" i="21" s="1"/>
  <c r="M182" i="8"/>
  <c r="M184" i="21" s="1"/>
  <c r="N182" i="8"/>
  <c r="N184" i="21" s="1"/>
  <c r="O182" i="8"/>
  <c r="O184" i="21" s="1"/>
  <c r="P182" i="8"/>
  <c r="P184" i="21" s="1"/>
  <c r="Q182" i="8"/>
  <c r="Q184" i="21" s="1"/>
  <c r="R182" i="8"/>
  <c r="R184" i="21" s="1"/>
  <c r="S182" i="8"/>
  <c r="S184" i="21" s="1"/>
  <c r="T182" i="8"/>
  <c r="T184" i="21" s="1"/>
  <c r="U182" i="8"/>
  <c r="U184" i="21" s="1"/>
  <c r="V182" i="8"/>
  <c r="V184" i="21" s="1"/>
  <c r="W182" i="8"/>
  <c r="W184" i="21" s="1"/>
  <c r="X182" i="8"/>
  <c r="X184" i="21" s="1"/>
  <c r="Y182" i="8"/>
  <c r="Y184" i="21" s="1"/>
  <c r="Z182" i="8"/>
  <c r="Z184" i="21" s="1"/>
  <c r="AA182" i="8"/>
  <c r="AA184" i="21" s="1"/>
  <c r="AB182" i="8"/>
  <c r="AB184" i="21" s="1"/>
  <c r="AC182" i="8"/>
  <c r="AC184" i="21" s="1"/>
  <c r="AD182" i="8"/>
  <c r="AD184" i="21" s="1"/>
  <c r="AE182" i="8"/>
  <c r="AE184" i="21" s="1"/>
  <c r="AF182" i="8"/>
  <c r="AG182" i="8"/>
  <c r="AG184" i="21" s="1"/>
  <c r="A183" i="8"/>
  <c r="A185" i="21" s="1"/>
  <c r="B183" i="8"/>
  <c r="B185" i="21" s="1"/>
  <c r="C183" i="8"/>
  <c r="C185" i="21" s="1"/>
  <c r="D183" i="8"/>
  <c r="D185" i="21" s="1"/>
  <c r="E183" i="8"/>
  <c r="E185" i="21" s="1"/>
  <c r="F183" i="8"/>
  <c r="F185" i="21" s="1"/>
  <c r="G183" i="8"/>
  <c r="G185" i="21" s="1"/>
  <c r="H183" i="8"/>
  <c r="H185" i="21" s="1"/>
  <c r="I183" i="8"/>
  <c r="I185" i="21" s="1"/>
  <c r="J183" i="8"/>
  <c r="J185" i="21" s="1"/>
  <c r="K183" i="8"/>
  <c r="K185" i="21" s="1"/>
  <c r="L183" i="8"/>
  <c r="L185" i="21" s="1"/>
  <c r="M183" i="8"/>
  <c r="M185" i="21" s="1"/>
  <c r="N183" i="8"/>
  <c r="N185" i="21" s="1"/>
  <c r="O183" i="8"/>
  <c r="O185" i="21" s="1"/>
  <c r="P183" i="8"/>
  <c r="P185" i="21" s="1"/>
  <c r="Q183" i="8"/>
  <c r="Q185" i="21" s="1"/>
  <c r="R183" i="8"/>
  <c r="R185" i="21" s="1"/>
  <c r="S183" i="8"/>
  <c r="S185" i="21" s="1"/>
  <c r="T183" i="8"/>
  <c r="T185" i="21" s="1"/>
  <c r="U183" i="8"/>
  <c r="U185" i="21" s="1"/>
  <c r="V183" i="8"/>
  <c r="V185" i="21" s="1"/>
  <c r="W183" i="8"/>
  <c r="W185" i="21" s="1"/>
  <c r="X183" i="8"/>
  <c r="X185" i="21" s="1"/>
  <c r="Y183" i="8"/>
  <c r="Y185" i="21" s="1"/>
  <c r="Z183" i="8"/>
  <c r="Z185" i="21" s="1"/>
  <c r="AA183" i="8"/>
  <c r="AA185" i="21" s="1"/>
  <c r="AB183" i="8"/>
  <c r="AB185" i="21" s="1"/>
  <c r="AC183" i="8"/>
  <c r="AC185" i="21" s="1"/>
  <c r="AD183" i="8"/>
  <c r="AD185" i="21" s="1"/>
  <c r="AE183" i="8"/>
  <c r="AF183" i="8"/>
  <c r="AF185" i="21" s="1"/>
  <c r="AG183" i="8"/>
  <c r="AG185" i="21" s="1"/>
  <c r="A184" i="8"/>
  <c r="A186" i="21" s="1"/>
  <c r="B184" i="8"/>
  <c r="B186" i="21" s="1"/>
  <c r="C184" i="8"/>
  <c r="C186" i="21" s="1"/>
  <c r="D184" i="8"/>
  <c r="D186" i="21" s="1"/>
  <c r="E184" i="8"/>
  <c r="E186" i="21" s="1"/>
  <c r="F184" i="8"/>
  <c r="G184" i="8"/>
  <c r="G186" i="21" s="1"/>
  <c r="H184" i="8"/>
  <c r="H186" i="21" s="1"/>
  <c r="I184" i="8"/>
  <c r="I186" i="21" s="1"/>
  <c r="J184" i="8"/>
  <c r="J186" i="21" s="1"/>
  <c r="K184" i="8"/>
  <c r="K186" i="21" s="1"/>
  <c r="L184" i="8"/>
  <c r="L186" i="21" s="1"/>
  <c r="M184" i="8"/>
  <c r="M186" i="21" s="1"/>
  <c r="N184" i="8"/>
  <c r="N186" i="21" s="1"/>
  <c r="O184" i="8"/>
  <c r="O186" i="21" s="1"/>
  <c r="P184" i="8"/>
  <c r="P186" i="21" s="1"/>
  <c r="Q184" i="8"/>
  <c r="Q186" i="21" s="1"/>
  <c r="R184" i="8"/>
  <c r="R186" i="21" s="1"/>
  <c r="S184" i="8"/>
  <c r="S186" i="21" s="1"/>
  <c r="T184" i="8"/>
  <c r="T186" i="21" s="1"/>
  <c r="U184" i="8"/>
  <c r="U186" i="21" s="1"/>
  <c r="V184" i="8"/>
  <c r="V186" i="21" s="1"/>
  <c r="W184" i="8"/>
  <c r="W186" i="21" s="1"/>
  <c r="X184" i="8"/>
  <c r="X186" i="21" s="1"/>
  <c r="Y184" i="8"/>
  <c r="Y186" i="21" s="1"/>
  <c r="Z184" i="8"/>
  <c r="Z186" i="21" s="1"/>
  <c r="AA184" i="8"/>
  <c r="AA186" i="21" s="1"/>
  <c r="AB184" i="8"/>
  <c r="AB186" i="21" s="1"/>
  <c r="AC184" i="8"/>
  <c r="AC186" i="21" s="1"/>
  <c r="AD184" i="8"/>
  <c r="AD186" i="21" s="1"/>
  <c r="AE184" i="8"/>
  <c r="AE186" i="21" s="1"/>
  <c r="AF184" i="8"/>
  <c r="AG184" i="8"/>
  <c r="A185" i="8"/>
  <c r="A187" i="21" s="1"/>
  <c r="B185" i="8"/>
  <c r="B187" i="21" s="1"/>
  <c r="C185" i="8"/>
  <c r="C187" i="21" s="1"/>
  <c r="D185" i="8"/>
  <c r="D187" i="21" s="1"/>
  <c r="E185" i="8"/>
  <c r="E187" i="21" s="1"/>
  <c r="F185" i="8"/>
  <c r="F187" i="21" s="1"/>
  <c r="G185" i="8"/>
  <c r="G187" i="21" s="1"/>
  <c r="H185" i="8"/>
  <c r="H187" i="21" s="1"/>
  <c r="I185" i="8"/>
  <c r="I187" i="21" s="1"/>
  <c r="J185" i="8"/>
  <c r="J187" i="21" s="1"/>
  <c r="K185" i="8"/>
  <c r="K187" i="21" s="1"/>
  <c r="L185" i="8"/>
  <c r="L187" i="21" s="1"/>
  <c r="M185" i="8"/>
  <c r="M187" i="21" s="1"/>
  <c r="N185" i="8"/>
  <c r="N187" i="21" s="1"/>
  <c r="O185" i="8"/>
  <c r="O187" i="21" s="1"/>
  <c r="P185" i="8"/>
  <c r="P187" i="21" s="1"/>
  <c r="Q185" i="8"/>
  <c r="Q187" i="21" s="1"/>
  <c r="R185" i="8"/>
  <c r="R187" i="21" s="1"/>
  <c r="S185" i="8"/>
  <c r="S187" i="21" s="1"/>
  <c r="T185" i="8"/>
  <c r="T187" i="21" s="1"/>
  <c r="U185" i="8"/>
  <c r="U187" i="21" s="1"/>
  <c r="V185" i="8"/>
  <c r="V187" i="21" s="1"/>
  <c r="W185" i="8"/>
  <c r="W187" i="21" s="1"/>
  <c r="X185" i="8"/>
  <c r="X187" i="21" s="1"/>
  <c r="Y185" i="8"/>
  <c r="Y187" i="21" s="1"/>
  <c r="Z185" i="8"/>
  <c r="Z187" i="21" s="1"/>
  <c r="AA185" i="8"/>
  <c r="AA187" i="21" s="1"/>
  <c r="AB185" i="8"/>
  <c r="AB187" i="21" s="1"/>
  <c r="AC185" i="8"/>
  <c r="AC187" i="21" s="1"/>
  <c r="AD185" i="8"/>
  <c r="AD187" i="21" s="1"/>
  <c r="AE185" i="8"/>
  <c r="AF185" i="8"/>
  <c r="AG185" i="8"/>
  <c r="A186" i="8"/>
  <c r="A188" i="21" s="1"/>
  <c r="B186" i="8"/>
  <c r="B188" i="21" s="1"/>
  <c r="C186" i="8"/>
  <c r="C188" i="21" s="1"/>
  <c r="D186" i="8"/>
  <c r="D188" i="21" s="1"/>
  <c r="E186" i="8"/>
  <c r="E188" i="21" s="1"/>
  <c r="F186" i="8"/>
  <c r="F188" i="21" s="1"/>
  <c r="G186" i="8"/>
  <c r="G188" i="21" s="1"/>
  <c r="H186" i="8"/>
  <c r="H188" i="21" s="1"/>
  <c r="I186" i="8"/>
  <c r="I188" i="21" s="1"/>
  <c r="J186" i="8"/>
  <c r="J188" i="21" s="1"/>
  <c r="K186" i="8"/>
  <c r="K188" i="21" s="1"/>
  <c r="L186" i="8"/>
  <c r="L188" i="21" s="1"/>
  <c r="M186" i="8"/>
  <c r="M188" i="21" s="1"/>
  <c r="N186" i="8"/>
  <c r="N188" i="21" s="1"/>
  <c r="O186" i="8"/>
  <c r="O188" i="21" s="1"/>
  <c r="P186" i="8"/>
  <c r="P188" i="21" s="1"/>
  <c r="Q186" i="8"/>
  <c r="Q188" i="21" s="1"/>
  <c r="R186" i="8"/>
  <c r="R188" i="21" s="1"/>
  <c r="S186" i="8"/>
  <c r="S188" i="21" s="1"/>
  <c r="T186" i="8"/>
  <c r="T188" i="21" s="1"/>
  <c r="U186" i="8"/>
  <c r="U188" i="21" s="1"/>
  <c r="V186" i="8"/>
  <c r="V188" i="21" s="1"/>
  <c r="W186" i="8"/>
  <c r="W188" i="21" s="1"/>
  <c r="X186" i="8"/>
  <c r="X188" i="21" s="1"/>
  <c r="Y186" i="8"/>
  <c r="Y188" i="21" s="1"/>
  <c r="Z186" i="8"/>
  <c r="Z188" i="21" s="1"/>
  <c r="AA186" i="8"/>
  <c r="AA188" i="21" s="1"/>
  <c r="AB186" i="8"/>
  <c r="AB188" i="21" s="1"/>
  <c r="AC186" i="8"/>
  <c r="AC188" i="21" s="1"/>
  <c r="AD186" i="8"/>
  <c r="AD188" i="21" s="1"/>
  <c r="AE186" i="8"/>
  <c r="AE188" i="21" s="1"/>
  <c r="AF186" i="8"/>
  <c r="AF188" i="21" s="1"/>
  <c r="AG186" i="8"/>
  <c r="AG188" i="21" s="1"/>
  <c r="A187" i="8"/>
  <c r="A189" i="21" s="1"/>
  <c r="B187" i="8"/>
  <c r="B189" i="21" s="1"/>
  <c r="C187" i="8"/>
  <c r="C189" i="21" s="1"/>
  <c r="D187" i="8"/>
  <c r="D189" i="21" s="1"/>
  <c r="E187" i="8"/>
  <c r="E189" i="21" s="1"/>
  <c r="F187" i="8"/>
  <c r="F189" i="21" s="1"/>
  <c r="G187" i="8"/>
  <c r="G189" i="21" s="1"/>
  <c r="H187" i="8"/>
  <c r="H189" i="21" s="1"/>
  <c r="I187" i="8"/>
  <c r="I189" i="21" s="1"/>
  <c r="J187" i="8"/>
  <c r="J189" i="21" s="1"/>
  <c r="K187" i="8"/>
  <c r="K189" i="21" s="1"/>
  <c r="L187" i="8"/>
  <c r="L189" i="21" s="1"/>
  <c r="M187" i="8"/>
  <c r="M189" i="21" s="1"/>
  <c r="N187" i="8"/>
  <c r="N189" i="21" s="1"/>
  <c r="O187" i="8"/>
  <c r="O189" i="21" s="1"/>
  <c r="P187" i="8"/>
  <c r="P189" i="21" s="1"/>
  <c r="Q187" i="8"/>
  <c r="Q189" i="21" s="1"/>
  <c r="R187" i="8"/>
  <c r="R189" i="21" s="1"/>
  <c r="S187" i="8"/>
  <c r="S189" i="21" s="1"/>
  <c r="T187" i="8"/>
  <c r="T189" i="21" s="1"/>
  <c r="U187" i="8"/>
  <c r="U189" i="21" s="1"/>
  <c r="V187" i="8"/>
  <c r="V189" i="21" s="1"/>
  <c r="W187" i="8"/>
  <c r="W189" i="21" s="1"/>
  <c r="X187" i="8"/>
  <c r="X189" i="21" s="1"/>
  <c r="Y187" i="8"/>
  <c r="Y189" i="21" s="1"/>
  <c r="Z187" i="8"/>
  <c r="Z189" i="21" s="1"/>
  <c r="AA187" i="8"/>
  <c r="AA189" i="21" s="1"/>
  <c r="AB187" i="8"/>
  <c r="AB189" i="21" s="1"/>
  <c r="AC187" i="8"/>
  <c r="AC189" i="21" s="1"/>
  <c r="AD187" i="8"/>
  <c r="AD189" i="21" s="1"/>
  <c r="AE187" i="8"/>
  <c r="AF187" i="8"/>
  <c r="AF189" i="21" s="1"/>
  <c r="AG187" i="8"/>
  <c r="AG189" i="21" s="1"/>
  <c r="A188" i="8"/>
  <c r="A190" i="21" s="1"/>
  <c r="B188" i="8"/>
  <c r="B190" i="21" s="1"/>
  <c r="C188" i="8"/>
  <c r="C190" i="21" s="1"/>
  <c r="D188" i="8"/>
  <c r="D190" i="21" s="1"/>
  <c r="E188" i="8"/>
  <c r="E190" i="21" s="1"/>
  <c r="F188" i="8"/>
  <c r="F190" i="21" s="1"/>
  <c r="G188" i="8"/>
  <c r="G190" i="21" s="1"/>
  <c r="H188" i="8"/>
  <c r="H190" i="21" s="1"/>
  <c r="I188" i="8"/>
  <c r="I190" i="21" s="1"/>
  <c r="J188" i="8"/>
  <c r="J190" i="21" s="1"/>
  <c r="K188" i="8"/>
  <c r="K190" i="21" s="1"/>
  <c r="L188" i="8"/>
  <c r="L190" i="21" s="1"/>
  <c r="M188" i="8"/>
  <c r="M190" i="21" s="1"/>
  <c r="N188" i="8"/>
  <c r="N190" i="21" s="1"/>
  <c r="O188" i="8"/>
  <c r="O190" i="21" s="1"/>
  <c r="P188" i="8"/>
  <c r="P190" i="21" s="1"/>
  <c r="Q188" i="8"/>
  <c r="Q190" i="21" s="1"/>
  <c r="R188" i="8"/>
  <c r="R190" i="21" s="1"/>
  <c r="S188" i="8"/>
  <c r="S190" i="21" s="1"/>
  <c r="T188" i="8"/>
  <c r="T190" i="21" s="1"/>
  <c r="U188" i="8"/>
  <c r="U190" i="21" s="1"/>
  <c r="V188" i="8"/>
  <c r="V190" i="21" s="1"/>
  <c r="W188" i="8"/>
  <c r="W190" i="21" s="1"/>
  <c r="X188" i="8"/>
  <c r="X190" i="21" s="1"/>
  <c r="Y188" i="8"/>
  <c r="Y190" i="21" s="1"/>
  <c r="Z188" i="8"/>
  <c r="Z190" i="21" s="1"/>
  <c r="AA188" i="8"/>
  <c r="AA190" i="21" s="1"/>
  <c r="AB188" i="8"/>
  <c r="AB190" i="21" s="1"/>
  <c r="AC188" i="8"/>
  <c r="AC190" i="21" s="1"/>
  <c r="AD188" i="8"/>
  <c r="AD190" i="21" s="1"/>
  <c r="AE188" i="8"/>
  <c r="AE190" i="21" s="1"/>
  <c r="AF188" i="8"/>
  <c r="AG188" i="8"/>
  <c r="A189" i="8"/>
  <c r="A191" i="21" s="1"/>
  <c r="B189" i="8"/>
  <c r="B191" i="21" s="1"/>
  <c r="C189" i="8"/>
  <c r="C191" i="21" s="1"/>
  <c r="D189" i="8"/>
  <c r="D191" i="21" s="1"/>
  <c r="E189" i="8"/>
  <c r="E191" i="21" s="1"/>
  <c r="F189" i="8"/>
  <c r="F191" i="21" s="1"/>
  <c r="G189" i="8"/>
  <c r="G191" i="21" s="1"/>
  <c r="H189" i="8"/>
  <c r="H191" i="21" s="1"/>
  <c r="I189" i="8"/>
  <c r="I191" i="21" s="1"/>
  <c r="J189" i="8"/>
  <c r="J191" i="21" s="1"/>
  <c r="K189" i="8"/>
  <c r="K191" i="21" s="1"/>
  <c r="L189" i="8"/>
  <c r="L191" i="21" s="1"/>
  <c r="M189" i="8"/>
  <c r="M191" i="21" s="1"/>
  <c r="N189" i="8"/>
  <c r="N191" i="21" s="1"/>
  <c r="O189" i="8"/>
  <c r="O191" i="21" s="1"/>
  <c r="P189" i="8"/>
  <c r="P191" i="21" s="1"/>
  <c r="Q189" i="8"/>
  <c r="Q191" i="21" s="1"/>
  <c r="R189" i="8"/>
  <c r="R191" i="21" s="1"/>
  <c r="S189" i="8"/>
  <c r="S191" i="21" s="1"/>
  <c r="T189" i="8"/>
  <c r="T191" i="21" s="1"/>
  <c r="U189" i="8"/>
  <c r="U191" i="21" s="1"/>
  <c r="V189" i="8"/>
  <c r="V191" i="21" s="1"/>
  <c r="W189" i="8"/>
  <c r="W191" i="21" s="1"/>
  <c r="X189" i="8"/>
  <c r="X191" i="21" s="1"/>
  <c r="Y189" i="8"/>
  <c r="Y191" i="21" s="1"/>
  <c r="Z189" i="8"/>
  <c r="Z191" i="21" s="1"/>
  <c r="AA189" i="8"/>
  <c r="AA191" i="21" s="1"/>
  <c r="AB189" i="8"/>
  <c r="AB191" i="21" s="1"/>
  <c r="AC189" i="8"/>
  <c r="AC191" i="21" s="1"/>
  <c r="AD189" i="8"/>
  <c r="AD191" i="21" s="1"/>
  <c r="AE189" i="8"/>
  <c r="AF189" i="8"/>
  <c r="AG189" i="8"/>
  <c r="A190" i="8"/>
  <c r="A192" i="21" s="1"/>
  <c r="B190" i="8"/>
  <c r="B192" i="21" s="1"/>
  <c r="C190" i="8"/>
  <c r="C192" i="21" s="1"/>
  <c r="D190" i="8"/>
  <c r="D192" i="21" s="1"/>
  <c r="E190" i="8"/>
  <c r="E192" i="21" s="1"/>
  <c r="F190" i="8"/>
  <c r="F192" i="21" s="1"/>
  <c r="G190" i="8"/>
  <c r="G192" i="21" s="1"/>
  <c r="H190" i="8"/>
  <c r="H192" i="21" s="1"/>
  <c r="I190" i="8"/>
  <c r="I192" i="21" s="1"/>
  <c r="J190" i="8"/>
  <c r="J192" i="21" s="1"/>
  <c r="K190" i="8"/>
  <c r="K192" i="21" s="1"/>
  <c r="L190" i="8"/>
  <c r="L192" i="21" s="1"/>
  <c r="M190" i="8"/>
  <c r="M192" i="21" s="1"/>
  <c r="N190" i="8"/>
  <c r="N192" i="21" s="1"/>
  <c r="O190" i="8"/>
  <c r="O192" i="21" s="1"/>
  <c r="P190" i="8"/>
  <c r="P192" i="21" s="1"/>
  <c r="Q190" i="8"/>
  <c r="Q192" i="21" s="1"/>
  <c r="R190" i="8"/>
  <c r="R192" i="21" s="1"/>
  <c r="S190" i="8"/>
  <c r="S192" i="21" s="1"/>
  <c r="T190" i="8"/>
  <c r="T192" i="21" s="1"/>
  <c r="U190" i="8"/>
  <c r="U192" i="21" s="1"/>
  <c r="V190" i="8"/>
  <c r="V192" i="21" s="1"/>
  <c r="W190" i="8"/>
  <c r="W192" i="21" s="1"/>
  <c r="X190" i="8"/>
  <c r="X192" i="21" s="1"/>
  <c r="Y190" i="8"/>
  <c r="Y192" i="21" s="1"/>
  <c r="Z190" i="8"/>
  <c r="Z192" i="21" s="1"/>
  <c r="AA190" i="8"/>
  <c r="AA192" i="21" s="1"/>
  <c r="AB190" i="8"/>
  <c r="AB192" i="21" s="1"/>
  <c r="AC190" i="8"/>
  <c r="AC192" i="21" s="1"/>
  <c r="AD190" i="8"/>
  <c r="AD192" i="21" s="1"/>
  <c r="AE190" i="8"/>
  <c r="AE192" i="21" s="1"/>
  <c r="AF190" i="8"/>
  <c r="AG190" i="8"/>
  <c r="AG192" i="21" s="1"/>
  <c r="A191" i="8"/>
  <c r="A193" i="21" s="1"/>
  <c r="B191" i="8"/>
  <c r="B193" i="21" s="1"/>
  <c r="C191" i="8"/>
  <c r="C193" i="21" s="1"/>
  <c r="D191" i="8"/>
  <c r="D193" i="21" s="1"/>
  <c r="E191" i="8"/>
  <c r="E193" i="21" s="1"/>
  <c r="F191" i="8"/>
  <c r="F193" i="21" s="1"/>
  <c r="G191" i="8"/>
  <c r="G193" i="21" s="1"/>
  <c r="H191" i="8"/>
  <c r="H193" i="21" s="1"/>
  <c r="I191" i="8"/>
  <c r="I193" i="21" s="1"/>
  <c r="J191" i="8"/>
  <c r="J193" i="21" s="1"/>
  <c r="K191" i="8"/>
  <c r="K193" i="21" s="1"/>
  <c r="L191" i="8"/>
  <c r="L193" i="21" s="1"/>
  <c r="M191" i="8"/>
  <c r="M193" i="21" s="1"/>
  <c r="N191" i="8"/>
  <c r="N193" i="21" s="1"/>
  <c r="O191" i="8"/>
  <c r="O193" i="21" s="1"/>
  <c r="P191" i="8"/>
  <c r="P193" i="21" s="1"/>
  <c r="Q191" i="8"/>
  <c r="Q193" i="21" s="1"/>
  <c r="R191" i="8"/>
  <c r="R193" i="21" s="1"/>
  <c r="S191" i="8"/>
  <c r="S193" i="21" s="1"/>
  <c r="T191" i="8"/>
  <c r="T193" i="21" s="1"/>
  <c r="U191" i="8"/>
  <c r="U193" i="21" s="1"/>
  <c r="V191" i="8"/>
  <c r="V193" i="21" s="1"/>
  <c r="W191" i="8"/>
  <c r="W193" i="21" s="1"/>
  <c r="X191" i="8"/>
  <c r="X193" i="21" s="1"/>
  <c r="Y191" i="8"/>
  <c r="Y193" i="21" s="1"/>
  <c r="Z191" i="8"/>
  <c r="Z193" i="21" s="1"/>
  <c r="AA191" i="8"/>
  <c r="AA193" i="21" s="1"/>
  <c r="AB191" i="8"/>
  <c r="AB193" i="21" s="1"/>
  <c r="AC191" i="8"/>
  <c r="AC193" i="21" s="1"/>
  <c r="AD191" i="8"/>
  <c r="AD193" i="21" s="1"/>
  <c r="AE191" i="8"/>
  <c r="AF191" i="8"/>
  <c r="AG191" i="8"/>
  <c r="A192" i="8"/>
  <c r="A194" i="21" s="1"/>
  <c r="B192" i="8"/>
  <c r="B194" i="21" s="1"/>
  <c r="C192" i="8"/>
  <c r="C194" i="21" s="1"/>
  <c r="D192" i="8"/>
  <c r="D194" i="21" s="1"/>
  <c r="E192" i="8"/>
  <c r="E194" i="21" s="1"/>
  <c r="F192" i="8"/>
  <c r="F194" i="21" s="1"/>
  <c r="G192" i="8"/>
  <c r="G194" i="21" s="1"/>
  <c r="H192" i="8"/>
  <c r="H194" i="21" s="1"/>
  <c r="I192" i="8"/>
  <c r="I194" i="21" s="1"/>
  <c r="J192" i="8"/>
  <c r="J194" i="21" s="1"/>
  <c r="K192" i="8"/>
  <c r="K194" i="21" s="1"/>
  <c r="L192" i="8"/>
  <c r="L194" i="21" s="1"/>
  <c r="M192" i="8"/>
  <c r="M194" i="21" s="1"/>
  <c r="N192" i="8"/>
  <c r="N194" i="21" s="1"/>
  <c r="O192" i="8"/>
  <c r="O194" i="21" s="1"/>
  <c r="P192" i="8"/>
  <c r="P194" i="21" s="1"/>
  <c r="Q192" i="8"/>
  <c r="Q194" i="21" s="1"/>
  <c r="R192" i="8"/>
  <c r="R194" i="21" s="1"/>
  <c r="S192" i="8"/>
  <c r="S194" i="21" s="1"/>
  <c r="T192" i="8"/>
  <c r="T194" i="21" s="1"/>
  <c r="U192" i="8"/>
  <c r="U194" i="21" s="1"/>
  <c r="V192" i="8"/>
  <c r="V194" i="21" s="1"/>
  <c r="W192" i="8"/>
  <c r="W194" i="21" s="1"/>
  <c r="X192" i="8"/>
  <c r="X194" i="21" s="1"/>
  <c r="Y192" i="8"/>
  <c r="Y194" i="21" s="1"/>
  <c r="Z192" i="8"/>
  <c r="Z194" i="21" s="1"/>
  <c r="AA192" i="8"/>
  <c r="AA194" i="21" s="1"/>
  <c r="AB192" i="8"/>
  <c r="AB194" i="21" s="1"/>
  <c r="AC192" i="8"/>
  <c r="AC194" i="21" s="1"/>
  <c r="AD192" i="8"/>
  <c r="AD194" i="21" s="1"/>
  <c r="AE192" i="8"/>
  <c r="AE194" i="21" s="1"/>
  <c r="AF192" i="8"/>
  <c r="AF194" i="21" s="1"/>
  <c r="AG192" i="8"/>
  <c r="AG194" i="21" s="1"/>
  <c r="A193" i="8"/>
  <c r="A195" i="21" s="1"/>
  <c r="B193" i="8"/>
  <c r="B195" i="21" s="1"/>
  <c r="C193" i="8"/>
  <c r="C195" i="21" s="1"/>
  <c r="D193" i="8"/>
  <c r="D195" i="21" s="1"/>
  <c r="E193" i="8"/>
  <c r="E195" i="21" s="1"/>
  <c r="F193" i="8"/>
  <c r="F195" i="21" s="1"/>
  <c r="G193" i="8"/>
  <c r="G195" i="21" s="1"/>
  <c r="H193" i="8"/>
  <c r="H195" i="21" s="1"/>
  <c r="I193" i="8"/>
  <c r="I195" i="21" s="1"/>
  <c r="J193" i="8"/>
  <c r="J195" i="21" s="1"/>
  <c r="K193" i="8"/>
  <c r="K195" i="21" s="1"/>
  <c r="L193" i="8"/>
  <c r="L195" i="21" s="1"/>
  <c r="M193" i="8"/>
  <c r="M195" i="21" s="1"/>
  <c r="N193" i="8"/>
  <c r="N195" i="21" s="1"/>
  <c r="O193" i="8"/>
  <c r="O195" i="21" s="1"/>
  <c r="P193" i="8"/>
  <c r="P195" i="21" s="1"/>
  <c r="Q193" i="8"/>
  <c r="Q195" i="21" s="1"/>
  <c r="R193" i="8"/>
  <c r="R195" i="21" s="1"/>
  <c r="S193" i="8"/>
  <c r="S195" i="21" s="1"/>
  <c r="T193" i="8"/>
  <c r="T195" i="21" s="1"/>
  <c r="U193" i="8"/>
  <c r="U195" i="21" s="1"/>
  <c r="V193" i="8"/>
  <c r="V195" i="21" s="1"/>
  <c r="W193" i="8"/>
  <c r="W195" i="21" s="1"/>
  <c r="X193" i="8"/>
  <c r="X195" i="21" s="1"/>
  <c r="Y193" i="8"/>
  <c r="Y195" i="21" s="1"/>
  <c r="Z193" i="8"/>
  <c r="Z195" i="21" s="1"/>
  <c r="AA193" i="8"/>
  <c r="AA195" i="21" s="1"/>
  <c r="AB193" i="8"/>
  <c r="AB195" i="21" s="1"/>
  <c r="AC193" i="8"/>
  <c r="AC195" i="21" s="1"/>
  <c r="AD193" i="8"/>
  <c r="AD195" i="21" s="1"/>
  <c r="AE193" i="8"/>
  <c r="AF193" i="8"/>
  <c r="AF195" i="21" s="1"/>
  <c r="AG193" i="8"/>
  <c r="AG195" i="21" s="1"/>
  <c r="A194" i="8"/>
  <c r="A196" i="21" s="1"/>
  <c r="B194" i="8"/>
  <c r="B196" i="21" s="1"/>
  <c r="C194" i="8"/>
  <c r="C196" i="21" s="1"/>
  <c r="D194" i="8"/>
  <c r="D196" i="21" s="1"/>
  <c r="E194" i="8"/>
  <c r="E196" i="21" s="1"/>
  <c r="F194" i="8"/>
  <c r="F196" i="21" s="1"/>
  <c r="G194" i="8"/>
  <c r="G196" i="21" s="1"/>
  <c r="H194" i="8"/>
  <c r="H196" i="21" s="1"/>
  <c r="I194" i="8"/>
  <c r="I196" i="21" s="1"/>
  <c r="J194" i="8"/>
  <c r="J196" i="21" s="1"/>
  <c r="K194" i="8"/>
  <c r="K196" i="21" s="1"/>
  <c r="L194" i="8"/>
  <c r="L196" i="21" s="1"/>
  <c r="M194" i="8"/>
  <c r="M196" i="21" s="1"/>
  <c r="N194" i="8"/>
  <c r="N196" i="21" s="1"/>
  <c r="O194" i="8"/>
  <c r="O196" i="21" s="1"/>
  <c r="P194" i="8"/>
  <c r="P196" i="21" s="1"/>
  <c r="Q194" i="8"/>
  <c r="Q196" i="21" s="1"/>
  <c r="R194" i="8"/>
  <c r="R196" i="21" s="1"/>
  <c r="S194" i="8"/>
  <c r="S196" i="21" s="1"/>
  <c r="T194" i="8"/>
  <c r="T196" i="21" s="1"/>
  <c r="U194" i="8"/>
  <c r="U196" i="21" s="1"/>
  <c r="V194" i="8"/>
  <c r="V196" i="21" s="1"/>
  <c r="W194" i="8"/>
  <c r="W196" i="21" s="1"/>
  <c r="X194" i="8"/>
  <c r="X196" i="21" s="1"/>
  <c r="Y194" i="8"/>
  <c r="Y196" i="21" s="1"/>
  <c r="Z194" i="8"/>
  <c r="Z196" i="21" s="1"/>
  <c r="AA194" i="8"/>
  <c r="AA196" i="21" s="1"/>
  <c r="AB194" i="8"/>
  <c r="AB196" i="21" s="1"/>
  <c r="AC194" i="8"/>
  <c r="AC196" i="21" s="1"/>
  <c r="AD194" i="8"/>
  <c r="AD196" i="21" s="1"/>
  <c r="AE194" i="8"/>
  <c r="AF194" i="8"/>
  <c r="AG194" i="8"/>
  <c r="AG196" i="21" s="1"/>
  <c r="A195" i="8"/>
  <c r="A197" i="21" s="1"/>
  <c r="B195" i="8"/>
  <c r="B197" i="21" s="1"/>
  <c r="C195" i="8"/>
  <c r="C197" i="21" s="1"/>
  <c r="D195" i="8"/>
  <c r="D197" i="21" s="1"/>
  <c r="E195" i="8"/>
  <c r="E197" i="21" s="1"/>
  <c r="F195" i="8"/>
  <c r="F197" i="21" s="1"/>
  <c r="G195" i="8"/>
  <c r="G197" i="21" s="1"/>
  <c r="H195" i="8"/>
  <c r="H197" i="21" s="1"/>
  <c r="I195" i="8"/>
  <c r="I197" i="21" s="1"/>
  <c r="J195" i="8"/>
  <c r="J197" i="21" s="1"/>
  <c r="K195" i="8"/>
  <c r="K197" i="21" s="1"/>
  <c r="L195" i="8"/>
  <c r="L197" i="21" s="1"/>
  <c r="M195" i="8"/>
  <c r="M197" i="21" s="1"/>
  <c r="N195" i="8"/>
  <c r="N197" i="21" s="1"/>
  <c r="O195" i="8"/>
  <c r="O197" i="21" s="1"/>
  <c r="P195" i="8"/>
  <c r="P197" i="21" s="1"/>
  <c r="Q195" i="8"/>
  <c r="Q197" i="21" s="1"/>
  <c r="R195" i="8"/>
  <c r="R197" i="21" s="1"/>
  <c r="S195" i="8"/>
  <c r="S197" i="21" s="1"/>
  <c r="T195" i="8"/>
  <c r="T197" i="21" s="1"/>
  <c r="U195" i="8"/>
  <c r="U197" i="21" s="1"/>
  <c r="V195" i="8"/>
  <c r="V197" i="21" s="1"/>
  <c r="W195" i="8"/>
  <c r="W197" i="21" s="1"/>
  <c r="X195" i="8"/>
  <c r="X197" i="21" s="1"/>
  <c r="Y195" i="8"/>
  <c r="Y197" i="21" s="1"/>
  <c r="Z195" i="8"/>
  <c r="Z197" i="21" s="1"/>
  <c r="AA195" i="8"/>
  <c r="AA197" i="21" s="1"/>
  <c r="AB195" i="8"/>
  <c r="AB197" i="21" s="1"/>
  <c r="AC195" i="8"/>
  <c r="AC197" i="21" s="1"/>
  <c r="AD195" i="8"/>
  <c r="AD197" i="21" s="1"/>
  <c r="AE195" i="8"/>
  <c r="AF195" i="8"/>
  <c r="AG195" i="8"/>
  <c r="AG197" i="21" s="1"/>
  <c r="A196" i="8"/>
  <c r="A198" i="21" s="1"/>
  <c r="B196" i="8"/>
  <c r="B198" i="21" s="1"/>
  <c r="C196" i="8"/>
  <c r="C198" i="21" s="1"/>
  <c r="D196" i="8"/>
  <c r="D198" i="21" s="1"/>
  <c r="E196" i="8"/>
  <c r="E198" i="21" s="1"/>
  <c r="F196" i="8"/>
  <c r="F198" i="21" s="1"/>
  <c r="G196" i="8"/>
  <c r="G198" i="21" s="1"/>
  <c r="H196" i="8"/>
  <c r="H198" i="21" s="1"/>
  <c r="I196" i="8"/>
  <c r="I198" i="21" s="1"/>
  <c r="J196" i="8"/>
  <c r="J198" i="21" s="1"/>
  <c r="K196" i="8"/>
  <c r="K198" i="21" s="1"/>
  <c r="L196" i="8"/>
  <c r="L198" i="21" s="1"/>
  <c r="M196" i="8"/>
  <c r="M198" i="21" s="1"/>
  <c r="N196" i="8"/>
  <c r="N198" i="21" s="1"/>
  <c r="O196" i="8"/>
  <c r="O198" i="21" s="1"/>
  <c r="P196" i="8"/>
  <c r="P198" i="21" s="1"/>
  <c r="Q196" i="8"/>
  <c r="Q198" i="21" s="1"/>
  <c r="R196" i="8"/>
  <c r="R198" i="21" s="1"/>
  <c r="S196" i="8"/>
  <c r="S198" i="21" s="1"/>
  <c r="T196" i="8"/>
  <c r="T198" i="21" s="1"/>
  <c r="U196" i="8"/>
  <c r="U198" i="21" s="1"/>
  <c r="V196" i="8"/>
  <c r="V198" i="21" s="1"/>
  <c r="W196" i="8"/>
  <c r="W198" i="21" s="1"/>
  <c r="X196" i="8"/>
  <c r="X198" i="21" s="1"/>
  <c r="Y196" i="8"/>
  <c r="Y198" i="21" s="1"/>
  <c r="Z196" i="8"/>
  <c r="Z198" i="21" s="1"/>
  <c r="AA196" i="8"/>
  <c r="AA198" i="21" s="1"/>
  <c r="AB196" i="8"/>
  <c r="AB198" i="21" s="1"/>
  <c r="AC196" i="8"/>
  <c r="AC198" i="21" s="1"/>
  <c r="AD196" i="8"/>
  <c r="AD198" i="21" s="1"/>
  <c r="AE196" i="8"/>
  <c r="AE198" i="21" s="1"/>
  <c r="AF196" i="8"/>
  <c r="AF198" i="21" s="1"/>
  <c r="AG196" i="8"/>
  <c r="AG198" i="21" s="1"/>
  <c r="A197" i="8"/>
  <c r="A199" i="21" s="1"/>
  <c r="B197" i="8"/>
  <c r="B199" i="21" s="1"/>
  <c r="C197" i="8"/>
  <c r="C199" i="21" s="1"/>
  <c r="D197" i="8"/>
  <c r="D199" i="21" s="1"/>
  <c r="E197" i="8"/>
  <c r="E199" i="21" s="1"/>
  <c r="F197" i="8"/>
  <c r="F199" i="21" s="1"/>
  <c r="G197" i="8"/>
  <c r="G199" i="21" s="1"/>
  <c r="H197" i="8"/>
  <c r="H199" i="21" s="1"/>
  <c r="I197" i="8"/>
  <c r="I199" i="21" s="1"/>
  <c r="J197" i="8"/>
  <c r="J199" i="21" s="1"/>
  <c r="K197" i="8"/>
  <c r="K199" i="21" s="1"/>
  <c r="L197" i="8"/>
  <c r="L199" i="21" s="1"/>
  <c r="M197" i="8"/>
  <c r="M199" i="21" s="1"/>
  <c r="N197" i="8"/>
  <c r="N199" i="21" s="1"/>
  <c r="O197" i="8"/>
  <c r="O199" i="21" s="1"/>
  <c r="P197" i="8"/>
  <c r="P199" i="21" s="1"/>
  <c r="Q197" i="8"/>
  <c r="Q199" i="21" s="1"/>
  <c r="R197" i="8"/>
  <c r="R199" i="21" s="1"/>
  <c r="S197" i="8"/>
  <c r="S199" i="21" s="1"/>
  <c r="T197" i="8"/>
  <c r="T199" i="21" s="1"/>
  <c r="U197" i="8"/>
  <c r="U199" i="21" s="1"/>
  <c r="V197" i="8"/>
  <c r="V199" i="21" s="1"/>
  <c r="W197" i="8"/>
  <c r="W199" i="21" s="1"/>
  <c r="X197" i="8"/>
  <c r="X199" i="21" s="1"/>
  <c r="Y197" i="8"/>
  <c r="Y199" i="21" s="1"/>
  <c r="Z197" i="8"/>
  <c r="Z199" i="21" s="1"/>
  <c r="AA197" i="8"/>
  <c r="AA199" i="21" s="1"/>
  <c r="AB197" i="8"/>
  <c r="AB199" i="21" s="1"/>
  <c r="AC197" i="8"/>
  <c r="AC199" i="21" s="1"/>
  <c r="AD197" i="8"/>
  <c r="AD199" i="21" s="1"/>
  <c r="AE197" i="8"/>
  <c r="AF197" i="8"/>
  <c r="AF199" i="21" s="1"/>
  <c r="AG197" i="8"/>
  <c r="AG199" i="21" s="1"/>
  <c r="A198" i="8"/>
  <c r="A200" i="21" s="1"/>
  <c r="B198" i="8"/>
  <c r="B200" i="21" s="1"/>
  <c r="C198" i="8"/>
  <c r="C200" i="21" s="1"/>
  <c r="D198" i="8"/>
  <c r="D200" i="21" s="1"/>
  <c r="E198" i="8"/>
  <c r="E200" i="21" s="1"/>
  <c r="F198" i="8"/>
  <c r="F200" i="21" s="1"/>
  <c r="G198" i="8"/>
  <c r="G200" i="21" s="1"/>
  <c r="H198" i="8"/>
  <c r="H200" i="21" s="1"/>
  <c r="I198" i="8"/>
  <c r="I200" i="21" s="1"/>
  <c r="J198" i="8"/>
  <c r="J200" i="21" s="1"/>
  <c r="K198" i="8"/>
  <c r="K200" i="21" s="1"/>
  <c r="L198" i="8"/>
  <c r="L200" i="21" s="1"/>
  <c r="M198" i="8"/>
  <c r="M200" i="21" s="1"/>
  <c r="N198" i="8"/>
  <c r="N200" i="21" s="1"/>
  <c r="O198" i="8"/>
  <c r="O200" i="21" s="1"/>
  <c r="P198" i="8"/>
  <c r="P200" i="21" s="1"/>
  <c r="Q198" i="8"/>
  <c r="Q200" i="21" s="1"/>
  <c r="R198" i="8"/>
  <c r="R200" i="21" s="1"/>
  <c r="S198" i="8"/>
  <c r="S200" i="21" s="1"/>
  <c r="T198" i="8"/>
  <c r="T200" i="21" s="1"/>
  <c r="U198" i="8"/>
  <c r="U200" i="21" s="1"/>
  <c r="V198" i="8"/>
  <c r="V200" i="21" s="1"/>
  <c r="W198" i="8"/>
  <c r="W200" i="21" s="1"/>
  <c r="X198" i="8"/>
  <c r="X200" i="21" s="1"/>
  <c r="Y198" i="8"/>
  <c r="Y200" i="21" s="1"/>
  <c r="Z198" i="8"/>
  <c r="Z200" i="21" s="1"/>
  <c r="AA198" i="8"/>
  <c r="AA200" i="21" s="1"/>
  <c r="AB198" i="8"/>
  <c r="AB200" i="21" s="1"/>
  <c r="AC198" i="8"/>
  <c r="AC200" i="21" s="1"/>
  <c r="AD198" i="8"/>
  <c r="AD200" i="21" s="1"/>
  <c r="AE198" i="8"/>
  <c r="AE200" i="21" s="1"/>
  <c r="AF198" i="8"/>
  <c r="AG198" i="8"/>
  <c r="AG200" i="21" s="1"/>
  <c r="A199" i="8"/>
  <c r="A201" i="21" s="1"/>
  <c r="B199" i="8"/>
  <c r="B201" i="21" s="1"/>
  <c r="C199" i="8"/>
  <c r="C201" i="21" s="1"/>
  <c r="D199" i="8"/>
  <c r="D201" i="21" s="1"/>
  <c r="E199" i="8"/>
  <c r="E201" i="21" s="1"/>
  <c r="F199" i="8"/>
  <c r="F201" i="21" s="1"/>
  <c r="G199" i="8"/>
  <c r="G201" i="21" s="1"/>
  <c r="H199" i="8"/>
  <c r="H201" i="21" s="1"/>
  <c r="I199" i="8"/>
  <c r="I201" i="21" s="1"/>
  <c r="J199" i="8"/>
  <c r="J201" i="21" s="1"/>
  <c r="K199" i="8"/>
  <c r="K201" i="21" s="1"/>
  <c r="L199" i="8"/>
  <c r="L201" i="21" s="1"/>
  <c r="M199" i="8"/>
  <c r="M201" i="21" s="1"/>
  <c r="N199" i="8"/>
  <c r="N201" i="21" s="1"/>
  <c r="O199" i="8"/>
  <c r="O201" i="21" s="1"/>
  <c r="P199" i="8"/>
  <c r="P201" i="21" s="1"/>
  <c r="Q199" i="8"/>
  <c r="Q201" i="21" s="1"/>
  <c r="R199" i="8"/>
  <c r="R201" i="21" s="1"/>
  <c r="S199" i="8"/>
  <c r="S201" i="21" s="1"/>
  <c r="T199" i="8"/>
  <c r="T201" i="21" s="1"/>
  <c r="U199" i="8"/>
  <c r="U201" i="21" s="1"/>
  <c r="V199" i="8"/>
  <c r="V201" i="21" s="1"/>
  <c r="W199" i="8"/>
  <c r="W201" i="21" s="1"/>
  <c r="X199" i="8"/>
  <c r="X201" i="21" s="1"/>
  <c r="Y199" i="8"/>
  <c r="Y201" i="21" s="1"/>
  <c r="Z199" i="8"/>
  <c r="Z201" i="21" s="1"/>
  <c r="AA199" i="8"/>
  <c r="AA201" i="21" s="1"/>
  <c r="AB199" i="8"/>
  <c r="AB201" i="21" s="1"/>
  <c r="AC199" i="8"/>
  <c r="AC201" i="21" s="1"/>
  <c r="AD199" i="8"/>
  <c r="AD201" i="21" s="1"/>
  <c r="AE199" i="8"/>
  <c r="AF199" i="8"/>
  <c r="AG199" i="8"/>
  <c r="AG201" i="21" s="1"/>
  <c r="A200" i="8"/>
  <c r="A202" i="21" s="1"/>
  <c r="B200" i="8"/>
  <c r="B202" i="21" s="1"/>
  <c r="C200" i="8"/>
  <c r="C202" i="21" s="1"/>
  <c r="D200" i="8"/>
  <c r="D202" i="21" s="1"/>
  <c r="E200" i="8"/>
  <c r="E202" i="21" s="1"/>
  <c r="F200" i="8"/>
  <c r="F202" i="21" s="1"/>
  <c r="G200" i="8"/>
  <c r="G202" i="21" s="1"/>
  <c r="H200" i="8"/>
  <c r="H202" i="21" s="1"/>
  <c r="I200" i="8"/>
  <c r="I202" i="21" s="1"/>
  <c r="J200" i="8"/>
  <c r="J202" i="21" s="1"/>
  <c r="K200" i="8"/>
  <c r="K202" i="21" s="1"/>
  <c r="L200" i="8"/>
  <c r="L202" i="21" s="1"/>
  <c r="M200" i="8"/>
  <c r="M202" i="21" s="1"/>
  <c r="N200" i="8"/>
  <c r="N202" i="21" s="1"/>
  <c r="O200" i="8"/>
  <c r="O202" i="21" s="1"/>
  <c r="P200" i="8"/>
  <c r="P202" i="21" s="1"/>
  <c r="Q200" i="8"/>
  <c r="Q202" i="21" s="1"/>
  <c r="R200" i="8"/>
  <c r="R202" i="21" s="1"/>
  <c r="S200" i="8"/>
  <c r="S202" i="21" s="1"/>
  <c r="T200" i="8"/>
  <c r="T202" i="21" s="1"/>
  <c r="U200" i="8"/>
  <c r="U202" i="21" s="1"/>
  <c r="V200" i="8"/>
  <c r="V202" i="21" s="1"/>
  <c r="W200" i="8"/>
  <c r="W202" i="21" s="1"/>
  <c r="X200" i="8"/>
  <c r="X202" i="21" s="1"/>
  <c r="Y200" i="8"/>
  <c r="Y202" i="21" s="1"/>
  <c r="Z200" i="8"/>
  <c r="Z202" i="21" s="1"/>
  <c r="AA200" i="8"/>
  <c r="AA202" i="21" s="1"/>
  <c r="AB200" i="8"/>
  <c r="AB202" i="21" s="1"/>
  <c r="AC200" i="8"/>
  <c r="AC202" i="21" s="1"/>
  <c r="AD200" i="8"/>
  <c r="AD202" i="21" s="1"/>
  <c r="AE200" i="8"/>
  <c r="AE202" i="21" s="1"/>
  <c r="AF200" i="8"/>
  <c r="AF202" i="21" s="1"/>
  <c r="AG200" i="8"/>
  <c r="AG202" i="21" s="1"/>
  <c r="A201" i="8"/>
  <c r="A203" i="21" s="1"/>
  <c r="B201" i="8"/>
  <c r="B203" i="21" s="1"/>
  <c r="C201" i="8"/>
  <c r="C203" i="21" s="1"/>
  <c r="D201" i="8"/>
  <c r="D203" i="21" s="1"/>
  <c r="E201" i="8"/>
  <c r="E203" i="21" s="1"/>
  <c r="F201" i="8"/>
  <c r="F203" i="21" s="1"/>
  <c r="G201" i="8"/>
  <c r="G203" i="21" s="1"/>
  <c r="H201" i="8"/>
  <c r="H203" i="21" s="1"/>
  <c r="I201" i="8"/>
  <c r="I203" i="21" s="1"/>
  <c r="J201" i="8"/>
  <c r="J203" i="21" s="1"/>
  <c r="K201" i="8"/>
  <c r="K203" i="21" s="1"/>
  <c r="L201" i="8"/>
  <c r="L203" i="21" s="1"/>
  <c r="M201" i="8"/>
  <c r="M203" i="21" s="1"/>
  <c r="N201" i="8"/>
  <c r="N203" i="21" s="1"/>
  <c r="O201" i="8"/>
  <c r="O203" i="21" s="1"/>
  <c r="P201" i="8"/>
  <c r="P203" i="21" s="1"/>
  <c r="Q201" i="8"/>
  <c r="Q203" i="21" s="1"/>
  <c r="R201" i="8"/>
  <c r="R203" i="21" s="1"/>
  <c r="S201" i="8"/>
  <c r="S203" i="21" s="1"/>
  <c r="T201" i="8"/>
  <c r="T203" i="21" s="1"/>
  <c r="U201" i="8"/>
  <c r="U203" i="21" s="1"/>
  <c r="V201" i="8"/>
  <c r="V203" i="21" s="1"/>
  <c r="W201" i="8"/>
  <c r="W203" i="21" s="1"/>
  <c r="X201" i="8"/>
  <c r="X203" i="21" s="1"/>
  <c r="Y201" i="8"/>
  <c r="Y203" i="21" s="1"/>
  <c r="Z201" i="8"/>
  <c r="Z203" i="21" s="1"/>
  <c r="AA201" i="8"/>
  <c r="AA203" i="21" s="1"/>
  <c r="AB201" i="8"/>
  <c r="AB203" i="21" s="1"/>
  <c r="AC201" i="8"/>
  <c r="AC203" i="21" s="1"/>
  <c r="AD201" i="8"/>
  <c r="AD203" i="21" s="1"/>
  <c r="AE201" i="8"/>
  <c r="AF201" i="8"/>
  <c r="AF203" i="21" s="1"/>
  <c r="AG201" i="8"/>
  <c r="AG203" i="21" s="1"/>
  <c r="A202" i="8"/>
  <c r="A204" i="21" s="1"/>
  <c r="B202" i="8"/>
  <c r="B204" i="21" s="1"/>
  <c r="C202" i="8"/>
  <c r="C204" i="21" s="1"/>
  <c r="D202" i="8"/>
  <c r="D204" i="21" s="1"/>
  <c r="E202" i="8"/>
  <c r="E204" i="21" s="1"/>
  <c r="F202" i="8"/>
  <c r="F204" i="21" s="1"/>
  <c r="G202" i="8"/>
  <c r="G204" i="21" s="1"/>
  <c r="H202" i="8"/>
  <c r="H204" i="21" s="1"/>
  <c r="I202" i="8"/>
  <c r="I204" i="21" s="1"/>
  <c r="J202" i="8"/>
  <c r="J204" i="21" s="1"/>
  <c r="K202" i="8"/>
  <c r="K204" i="21" s="1"/>
  <c r="L202" i="8"/>
  <c r="L204" i="21" s="1"/>
  <c r="M202" i="8"/>
  <c r="M204" i="21" s="1"/>
  <c r="N202" i="8"/>
  <c r="N204" i="21" s="1"/>
  <c r="O202" i="8"/>
  <c r="O204" i="21" s="1"/>
  <c r="P202" i="8"/>
  <c r="P204" i="21" s="1"/>
  <c r="Q202" i="8"/>
  <c r="Q204" i="21" s="1"/>
  <c r="R202" i="8"/>
  <c r="R204" i="21" s="1"/>
  <c r="S202" i="8"/>
  <c r="S204" i="21" s="1"/>
  <c r="T202" i="8"/>
  <c r="T204" i="21" s="1"/>
  <c r="U202" i="8"/>
  <c r="U204" i="21" s="1"/>
  <c r="V202" i="8"/>
  <c r="V204" i="21" s="1"/>
  <c r="W202" i="8"/>
  <c r="W204" i="21" s="1"/>
  <c r="X202" i="8"/>
  <c r="X204" i="21" s="1"/>
  <c r="Y202" i="8"/>
  <c r="Y204" i="21" s="1"/>
  <c r="Z202" i="8"/>
  <c r="Z204" i="21" s="1"/>
  <c r="AA202" i="8"/>
  <c r="AA204" i="21" s="1"/>
  <c r="AB202" i="8"/>
  <c r="AB204" i="21" s="1"/>
  <c r="AC202" i="8"/>
  <c r="AC204" i="21" s="1"/>
  <c r="AD202" i="8"/>
  <c r="AD204" i="21" s="1"/>
  <c r="AE202" i="8"/>
  <c r="AE204" i="21" s="1"/>
  <c r="AF202" i="8"/>
  <c r="AG202" i="8"/>
  <c r="A203" i="8"/>
  <c r="A205" i="21" s="1"/>
  <c r="B203" i="8"/>
  <c r="B205" i="21" s="1"/>
  <c r="C203" i="8"/>
  <c r="C205" i="21" s="1"/>
  <c r="D203" i="8"/>
  <c r="D205" i="21" s="1"/>
  <c r="E203" i="8"/>
  <c r="E205" i="21" s="1"/>
  <c r="F203" i="8"/>
  <c r="F205" i="21" s="1"/>
  <c r="G203" i="8"/>
  <c r="G205" i="21" s="1"/>
  <c r="H203" i="8"/>
  <c r="H205" i="21" s="1"/>
  <c r="I203" i="8"/>
  <c r="I205" i="21" s="1"/>
  <c r="J203" i="8"/>
  <c r="J205" i="21" s="1"/>
  <c r="K203" i="8"/>
  <c r="K205" i="21" s="1"/>
  <c r="L203" i="8"/>
  <c r="L205" i="21" s="1"/>
  <c r="M203" i="8"/>
  <c r="M205" i="21" s="1"/>
  <c r="N203" i="8"/>
  <c r="N205" i="21" s="1"/>
  <c r="O203" i="8"/>
  <c r="O205" i="21" s="1"/>
  <c r="P203" i="8"/>
  <c r="P205" i="21" s="1"/>
  <c r="Q203" i="8"/>
  <c r="Q205" i="21" s="1"/>
  <c r="R203" i="8"/>
  <c r="R205" i="21" s="1"/>
  <c r="S203" i="8"/>
  <c r="S205" i="21" s="1"/>
  <c r="T203" i="8"/>
  <c r="T205" i="21" s="1"/>
  <c r="U203" i="8"/>
  <c r="U205" i="21" s="1"/>
  <c r="V203" i="8"/>
  <c r="V205" i="21" s="1"/>
  <c r="W203" i="8"/>
  <c r="W205" i="21" s="1"/>
  <c r="X203" i="8"/>
  <c r="X205" i="21" s="1"/>
  <c r="Y203" i="8"/>
  <c r="Y205" i="21" s="1"/>
  <c r="Z203" i="8"/>
  <c r="Z205" i="21" s="1"/>
  <c r="AA203" i="8"/>
  <c r="AA205" i="21" s="1"/>
  <c r="AB203" i="8"/>
  <c r="AB205" i="21" s="1"/>
  <c r="AC203" i="8"/>
  <c r="AC205" i="21" s="1"/>
  <c r="AD203" i="8"/>
  <c r="AD205" i="21" s="1"/>
  <c r="AE203" i="8"/>
  <c r="AF203" i="8"/>
  <c r="AG203" i="8"/>
  <c r="A204" i="8"/>
  <c r="A206" i="21" s="1"/>
  <c r="B204" i="8"/>
  <c r="B206" i="21" s="1"/>
  <c r="C204" i="8"/>
  <c r="C206" i="21" s="1"/>
  <c r="D204" i="8"/>
  <c r="D206" i="21" s="1"/>
  <c r="E204" i="8"/>
  <c r="E206" i="21" s="1"/>
  <c r="F204" i="8"/>
  <c r="F206" i="21" s="1"/>
  <c r="G204" i="8"/>
  <c r="G206" i="21" s="1"/>
  <c r="H204" i="8"/>
  <c r="H206" i="21" s="1"/>
  <c r="I204" i="8"/>
  <c r="I206" i="21" s="1"/>
  <c r="J204" i="8"/>
  <c r="J206" i="21" s="1"/>
  <c r="K204" i="8"/>
  <c r="K206" i="21" s="1"/>
  <c r="L204" i="8"/>
  <c r="L206" i="21" s="1"/>
  <c r="M204" i="8"/>
  <c r="M206" i="21" s="1"/>
  <c r="N204" i="8"/>
  <c r="N206" i="21" s="1"/>
  <c r="O204" i="8"/>
  <c r="O206" i="21" s="1"/>
  <c r="P204" i="8"/>
  <c r="P206" i="21" s="1"/>
  <c r="Q204" i="8"/>
  <c r="Q206" i="21" s="1"/>
  <c r="R204" i="8"/>
  <c r="R206" i="21" s="1"/>
  <c r="S204" i="8"/>
  <c r="S206" i="21" s="1"/>
  <c r="T204" i="8"/>
  <c r="T206" i="21" s="1"/>
  <c r="U204" i="8"/>
  <c r="U206" i="21" s="1"/>
  <c r="V204" i="8"/>
  <c r="V206" i="21" s="1"/>
  <c r="W204" i="8"/>
  <c r="W206" i="21" s="1"/>
  <c r="X204" i="8"/>
  <c r="X206" i="21" s="1"/>
  <c r="Y204" i="8"/>
  <c r="Y206" i="21" s="1"/>
  <c r="Z204" i="8"/>
  <c r="Z206" i="21" s="1"/>
  <c r="AA204" i="8"/>
  <c r="AA206" i="21" s="1"/>
  <c r="AB204" i="8"/>
  <c r="AB206" i="21" s="1"/>
  <c r="AC204" i="8"/>
  <c r="AC206" i="21" s="1"/>
  <c r="AD204" i="8"/>
  <c r="AD206" i="21" s="1"/>
  <c r="AE204" i="8"/>
  <c r="AE206" i="21" s="1"/>
  <c r="AF204" i="8"/>
  <c r="AF206" i="21" s="1"/>
  <c r="AG204" i="8"/>
  <c r="AG206" i="21" s="1"/>
  <c r="A205" i="8"/>
  <c r="A207" i="21" s="1"/>
  <c r="B205" i="8"/>
  <c r="B207" i="21" s="1"/>
  <c r="C205" i="8"/>
  <c r="C207" i="21" s="1"/>
  <c r="D205" i="8"/>
  <c r="D207" i="21" s="1"/>
  <c r="E205" i="8"/>
  <c r="E207" i="21" s="1"/>
  <c r="F205" i="8"/>
  <c r="F207" i="21" s="1"/>
  <c r="G205" i="8"/>
  <c r="G207" i="21" s="1"/>
  <c r="H205" i="8"/>
  <c r="H207" i="21" s="1"/>
  <c r="I205" i="8"/>
  <c r="I207" i="21" s="1"/>
  <c r="J205" i="8"/>
  <c r="J207" i="21" s="1"/>
  <c r="K205" i="8"/>
  <c r="K207" i="21" s="1"/>
  <c r="L205" i="8"/>
  <c r="L207" i="21" s="1"/>
  <c r="M205" i="8"/>
  <c r="M207" i="21" s="1"/>
  <c r="N205" i="8"/>
  <c r="N207" i="21" s="1"/>
  <c r="O205" i="8"/>
  <c r="O207" i="21" s="1"/>
  <c r="P205" i="8"/>
  <c r="P207" i="21" s="1"/>
  <c r="Q205" i="8"/>
  <c r="Q207" i="21" s="1"/>
  <c r="R205" i="8"/>
  <c r="R207" i="21" s="1"/>
  <c r="S205" i="8"/>
  <c r="S207" i="21" s="1"/>
  <c r="T205" i="8"/>
  <c r="T207" i="21" s="1"/>
  <c r="U205" i="8"/>
  <c r="U207" i="21" s="1"/>
  <c r="V205" i="8"/>
  <c r="V207" i="21" s="1"/>
  <c r="W205" i="8"/>
  <c r="W207" i="21" s="1"/>
  <c r="X205" i="8"/>
  <c r="X207" i="21" s="1"/>
  <c r="Y205" i="8"/>
  <c r="Y207" i="21" s="1"/>
  <c r="Z205" i="8"/>
  <c r="Z207" i="21" s="1"/>
  <c r="AA205" i="8"/>
  <c r="AA207" i="21" s="1"/>
  <c r="AB205" i="8"/>
  <c r="AB207" i="21" s="1"/>
  <c r="AC205" i="8"/>
  <c r="AC207" i="21" s="1"/>
  <c r="AD205" i="8"/>
  <c r="AD207" i="21" s="1"/>
  <c r="AE205" i="8"/>
  <c r="AF205" i="8"/>
  <c r="AF207" i="21" s="1"/>
  <c r="AG205" i="8"/>
  <c r="AG207" i="21" s="1"/>
  <c r="A206" i="8"/>
  <c r="A208" i="21" s="1"/>
  <c r="B206" i="8"/>
  <c r="B208" i="21" s="1"/>
  <c r="C206" i="8"/>
  <c r="C208" i="21" s="1"/>
  <c r="D206" i="8"/>
  <c r="D208" i="21" s="1"/>
  <c r="E206" i="8"/>
  <c r="E208" i="21" s="1"/>
  <c r="F206" i="8"/>
  <c r="F208" i="21" s="1"/>
  <c r="G206" i="8"/>
  <c r="G208" i="21" s="1"/>
  <c r="H206" i="8"/>
  <c r="H208" i="21" s="1"/>
  <c r="I206" i="8"/>
  <c r="I208" i="21" s="1"/>
  <c r="J206" i="8"/>
  <c r="J208" i="21" s="1"/>
  <c r="K206" i="8"/>
  <c r="K208" i="21" s="1"/>
  <c r="L206" i="8"/>
  <c r="L208" i="21" s="1"/>
  <c r="M206" i="8"/>
  <c r="M208" i="21" s="1"/>
  <c r="N206" i="8"/>
  <c r="N208" i="21" s="1"/>
  <c r="O206" i="8"/>
  <c r="O208" i="21" s="1"/>
  <c r="P206" i="8"/>
  <c r="P208" i="21" s="1"/>
  <c r="Q206" i="8"/>
  <c r="Q208" i="21" s="1"/>
  <c r="R206" i="8"/>
  <c r="R208" i="21" s="1"/>
  <c r="S206" i="8"/>
  <c r="S208" i="21" s="1"/>
  <c r="T206" i="8"/>
  <c r="T208" i="21" s="1"/>
  <c r="U206" i="8"/>
  <c r="U208" i="21" s="1"/>
  <c r="V206" i="8"/>
  <c r="V208" i="21" s="1"/>
  <c r="W206" i="8"/>
  <c r="W208" i="21" s="1"/>
  <c r="X206" i="8"/>
  <c r="X208" i="21" s="1"/>
  <c r="Y206" i="8"/>
  <c r="Y208" i="21" s="1"/>
  <c r="Z206" i="8"/>
  <c r="Z208" i="21" s="1"/>
  <c r="AA206" i="8"/>
  <c r="AA208" i="21" s="1"/>
  <c r="AB206" i="8"/>
  <c r="AB208" i="21" s="1"/>
  <c r="AC206" i="8"/>
  <c r="AC208" i="21" s="1"/>
  <c r="AD206" i="8"/>
  <c r="AD208" i="21" s="1"/>
  <c r="AE206" i="8"/>
  <c r="AE208" i="21" s="1"/>
  <c r="AF206" i="8"/>
  <c r="AF208" i="21" s="1"/>
  <c r="AG206" i="8"/>
  <c r="AG208" i="21" s="1"/>
  <c r="A207" i="8"/>
  <c r="A209" i="21" s="1"/>
  <c r="B207" i="8"/>
  <c r="B209" i="21" s="1"/>
  <c r="C207" i="8"/>
  <c r="C209" i="21" s="1"/>
  <c r="D207" i="8"/>
  <c r="D209" i="21" s="1"/>
  <c r="E207" i="8"/>
  <c r="E209" i="21" s="1"/>
  <c r="F207" i="8"/>
  <c r="F209" i="21" s="1"/>
  <c r="G207" i="8"/>
  <c r="G209" i="21" s="1"/>
  <c r="H207" i="8"/>
  <c r="H209" i="21" s="1"/>
  <c r="I207" i="8"/>
  <c r="I209" i="21" s="1"/>
  <c r="J207" i="8"/>
  <c r="J209" i="21" s="1"/>
  <c r="K207" i="8"/>
  <c r="K209" i="21" s="1"/>
  <c r="L207" i="8"/>
  <c r="L209" i="21" s="1"/>
  <c r="M207" i="8"/>
  <c r="M209" i="21" s="1"/>
  <c r="N207" i="8"/>
  <c r="N209" i="21" s="1"/>
  <c r="O207" i="8"/>
  <c r="O209" i="21" s="1"/>
  <c r="P207" i="8"/>
  <c r="P209" i="21" s="1"/>
  <c r="Q207" i="8"/>
  <c r="Q209" i="21" s="1"/>
  <c r="R207" i="8"/>
  <c r="R209" i="21" s="1"/>
  <c r="S207" i="8"/>
  <c r="S209" i="21" s="1"/>
  <c r="T207" i="8"/>
  <c r="T209" i="21" s="1"/>
  <c r="U207" i="8"/>
  <c r="U209" i="21" s="1"/>
  <c r="V207" i="8"/>
  <c r="V209" i="21" s="1"/>
  <c r="W207" i="8"/>
  <c r="W209" i="21" s="1"/>
  <c r="X207" i="8"/>
  <c r="X209" i="21" s="1"/>
  <c r="Y207" i="8"/>
  <c r="Y209" i="21" s="1"/>
  <c r="Z207" i="8"/>
  <c r="Z209" i="21" s="1"/>
  <c r="AA207" i="8"/>
  <c r="AA209" i="21" s="1"/>
  <c r="AB207" i="8"/>
  <c r="AB209" i="21" s="1"/>
  <c r="AC207" i="8"/>
  <c r="AC209" i="21" s="1"/>
  <c r="AD207" i="8"/>
  <c r="AD209" i="21" s="1"/>
  <c r="AE207" i="8"/>
  <c r="AF207" i="8"/>
  <c r="AF209" i="21" s="1"/>
  <c r="AG207" i="8"/>
  <c r="AG209" i="21" s="1"/>
  <c r="A208" i="8"/>
  <c r="A210" i="21" s="1"/>
  <c r="B208" i="8"/>
  <c r="B210" i="21" s="1"/>
  <c r="C208" i="8"/>
  <c r="C210" i="21" s="1"/>
  <c r="D208" i="8"/>
  <c r="D210" i="21" s="1"/>
  <c r="E208" i="8"/>
  <c r="E210" i="21" s="1"/>
  <c r="F208" i="8"/>
  <c r="F210" i="21" s="1"/>
  <c r="G208" i="8"/>
  <c r="G210" i="21" s="1"/>
  <c r="H208" i="8"/>
  <c r="H210" i="21" s="1"/>
  <c r="I208" i="8"/>
  <c r="I210" i="21" s="1"/>
  <c r="J208" i="8"/>
  <c r="J210" i="21" s="1"/>
  <c r="K208" i="8"/>
  <c r="K210" i="21" s="1"/>
  <c r="L208" i="8"/>
  <c r="L210" i="21" s="1"/>
  <c r="M208" i="8"/>
  <c r="M210" i="21" s="1"/>
  <c r="N208" i="8"/>
  <c r="N210" i="21" s="1"/>
  <c r="O208" i="8"/>
  <c r="O210" i="21" s="1"/>
  <c r="P208" i="8"/>
  <c r="P210" i="21" s="1"/>
  <c r="Q208" i="8"/>
  <c r="Q210" i="21" s="1"/>
  <c r="R208" i="8"/>
  <c r="R210" i="21" s="1"/>
  <c r="S208" i="8"/>
  <c r="S210" i="21" s="1"/>
  <c r="T208" i="8"/>
  <c r="T210" i="21" s="1"/>
  <c r="U208" i="8"/>
  <c r="U210" i="21" s="1"/>
  <c r="V208" i="8"/>
  <c r="V210" i="21" s="1"/>
  <c r="W208" i="8"/>
  <c r="W210" i="21" s="1"/>
  <c r="X208" i="8"/>
  <c r="X210" i="21" s="1"/>
  <c r="Y208" i="8"/>
  <c r="Y210" i="21" s="1"/>
  <c r="Z208" i="8"/>
  <c r="Z210" i="21" s="1"/>
  <c r="AA208" i="8"/>
  <c r="AA210" i="21" s="1"/>
  <c r="AB208" i="8"/>
  <c r="AB210" i="21" s="1"/>
  <c r="AC208" i="8"/>
  <c r="AC210" i="21" s="1"/>
  <c r="AD208" i="8"/>
  <c r="AD210" i="21" s="1"/>
  <c r="AE208" i="8"/>
  <c r="AE210" i="21" s="1"/>
  <c r="AF208" i="8"/>
  <c r="AF210" i="21" s="1"/>
  <c r="AG208" i="8"/>
  <c r="AG210" i="21" s="1"/>
  <c r="A209" i="8"/>
  <c r="A211" i="21" s="1"/>
  <c r="B209" i="8"/>
  <c r="B211" i="21" s="1"/>
  <c r="C209" i="8"/>
  <c r="C211" i="21" s="1"/>
  <c r="D209" i="8"/>
  <c r="D211" i="21" s="1"/>
  <c r="E209" i="8"/>
  <c r="E211" i="21" s="1"/>
  <c r="F209" i="8"/>
  <c r="F211" i="21" s="1"/>
  <c r="G209" i="8"/>
  <c r="G211" i="21" s="1"/>
  <c r="H209" i="8"/>
  <c r="H211" i="21" s="1"/>
  <c r="I209" i="8"/>
  <c r="I211" i="21" s="1"/>
  <c r="J209" i="8"/>
  <c r="J211" i="21" s="1"/>
  <c r="K209" i="8"/>
  <c r="K211" i="21" s="1"/>
  <c r="L209" i="8"/>
  <c r="L211" i="21" s="1"/>
  <c r="M209" i="8"/>
  <c r="M211" i="21" s="1"/>
  <c r="N209" i="8"/>
  <c r="N211" i="21" s="1"/>
  <c r="O209" i="8"/>
  <c r="O211" i="21" s="1"/>
  <c r="P209" i="8"/>
  <c r="P211" i="21" s="1"/>
  <c r="Q209" i="8"/>
  <c r="Q211" i="21" s="1"/>
  <c r="R209" i="8"/>
  <c r="R211" i="21" s="1"/>
  <c r="S209" i="8"/>
  <c r="S211" i="21" s="1"/>
  <c r="T209" i="8"/>
  <c r="T211" i="21" s="1"/>
  <c r="U209" i="8"/>
  <c r="U211" i="21" s="1"/>
  <c r="V209" i="8"/>
  <c r="V211" i="21" s="1"/>
  <c r="W209" i="8"/>
  <c r="W211" i="21" s="1"/>
  <c r="X209" i="8"/>
  <c r="X211" i="21" s="1"/>
  <c r="Y209" i="8"/>
  <c r="Y211" i="21" s="1"/>
  <c r="Z209" i="8"/>
  <c r="Z211" i="21" s="1"/>
  <c r="AA209" i="8"/>
  <c r="AA211" i="21" s="1"/>
  <c r="AB209" i="8"/>
  <c r="AB211" i="21" s="1"/>
  <c r="AC209" i="8"/>
  <c r="AC211" i="21" s="1"/>
  <c r="AD209" i="8"/>
  <c r="AD211" i="21" s="1"/>
  <c r="AE209" i="8"/>
  <c r="AF209" i="8"/>
  <c r="AF211" i="21" s="1"/>
  <c r="AG209" i="8"/>
  <c r="AG211" i="21" s="1"/>
  <c r="A210" i="8"/>
  <c r="A212" i="21" s="1"/>
  <c r="B210" i="8"/>
  <c r="B212" i="21" s="1"/>
  <c r="C210" i="8"/>
  <c r="C212" i="21" s="1"/>
  <c r="D210" i="8"/>
  <c r="D212" i="21" s="1"/>
  <c r="E210" i="8"/>
  <c r="E212" i="21" s="1"/>
  <c r="F210" i="8"/>
  <c r="F212" i="21" s="1"/>
  <c r="G210" i="8"/>
  <c r="G212" i="21" s="1"/>
  <c r="H210" i="8"/>
  <c r="H212" i="21" s="1"/>
  <c r="I210" i="8"/>
  <c r="I212" i="21" s="1"/>
  <c r="J210" i="8"/>
  <c r="J212" i="21" s="1"/>
  <c r="K210" i="8"/>
  <c r="K212" i="21" s="1"/>
  <c r="L210" i="8"/>
  <c r="L212" i="21" s="1"/>
  <c r="M210" i="8"/>
  <c r="M212" i="21" s="1"/>
  <c r="N210" i="8"/>
  <c r="N212" i="21" s="1"/>
  <c r="O210" i="8"/>
  <c r="O212" i="21" s="1"/>
  <c r="P210" i="8"/>
  <c r="P212" i="21" s="1"/>
  <c r="Q210" i="8"/>
  <c r="Q212" i="21" s="1"/>
  <c r="R210" i="8"/>
  <c r="R212" i="21" s="1"/>
  <c r="S210" i="8"/>
  <c r="S212" i="21" s="1"/>
  <c r="T210" i="8"/>
  <c r="T212" i="21" s="1"/>
  <c r="U210" i="8"/>
  <c r="U212" i="21" s="1"/>
  <c r="V210" i="8"/>
  <c r="V212" i="21" s="1"/>
  <c r="W210" i="8"/>
  <c r="W212" i="21" s="1"/>
  <c r="X210" i="8"/>
  <c r="X212" i="21" s="1"/>
  <c r="Y210" i="8"/>
  <c r="Y212" i="21" s="1"/>
  <c r="Z210" i="8"/>
  <c r="Z212" i="21" s="1"/>
  <c r="AA210" i="8"/>
  <c r="AA212" i="21" s="1"/>
  <c r="AB210" i="8"/>
  <c r="AB212" i="21" s="1"/>
  <c r="AC210" i="8"/>
  <c r="AC212" i="21" s="1"/>
  <c r="AD210" i="8"/>
  <c r="AD212" i="21" s="1"/>
  <c r="AE210" i="8"/>
  <c r="AE212" i="21" s="1"/>
  <c r="AF210" i="8"/>
  <c r="AF212" i="21" s="1"/>
  <c r="AG210" i="8"/>
  <c r="AG212" i="21" s="1"/>
  <c r="A211" i="8"/>
  <c r="A213" i="21" s="1"/>
  <c r="B211" i="8"/>
  <c r="B213" i="21" s="1"/>
  <c r="C211" i="8"/>
  <c r="C213" i="21" s="1"/>
  <c r="D211" i="8"/>
  <c r="D213" i="21" s="1"/>
  <c r="E211" i="8"/>
  <c r="E213" i="21" s="1"/>
  <c r="F211" i="8"/>
  <c r="F213" i="21" s="1"/>
  <c r="G211" i="8"/>
  <c r="G213" i="21" s="1"/>
  <c r="H211" i="8"/>
  <c r="H213" i="21" s="1"/>
  <c r="I211" i="8"/>
  <c r="I213" i="21" s="1"/>
  <c r="J211" i="8"/>
  <c r="J213" i="21" s="1"/>
  <c r="K211" i="8"/>
  <c r="K213" i="21" s="1"/>
  <c r="L211" i="8"/>
  <c r="L213" i="21" s="1"/>
  <c r="M211" i="8"/>
  <c r="M213" i="21" s="1"/>
  <c r="N211" i="8"/>
  <c r="N213" i="21" s="1"/>
  <c r="O211" i="8"/>
  <c r="O213" i="21" s="1"/>
  <c r="P211" i="8"/>
  <c r="P213" i="21" s="1"/>
  <c r="Q211" i="8"/>
  <c r="Q213" i="21" s="1"/>
  <c r="R211" i="8"/>
  <c r="R213" i="21" s="1"/>
  <c r="S211" i="8"/>
  <c r="S213" i="21" s="1"/>
  <c r="T211" i="8"/>
  <c r="T213" i="21" s="1"/>
  <c r="U211" i="8"/>
  <c r="U213" i="21" s="1"/>
  <c r="V211" i="8"/>
  <c r="V213" i="21" s="1"/>
  <c r="W211" i="8"/>
  <c r="W213" i="21" s="1"/>
  <c r="X211" i="8"/>
  <c r="X213" i="21" s="1"/>
  <c r="Y211" i="8"/>
  <c r="Y213" i="21" s="1"/>
  <c r="Z211" i="8"/>
  <c r="Z213" i="21" s="1"/>
  <c r="AA211" i="8"/>
  <c r="AA213" i="21" s="1"/>
  <c r="AB211" i="8"/>
  <c r="AB213" i="21" s="1"/>
  <c r="AC211" i="8"/>
  <c r="AC213" i="21" s="1"/>
  <c r="AD211" i="8"/>
  <c r="AD213" i="21" s="1"/>
  <c r="AE211" i="8"/>
  <c r="AF211" i="8"/>
  <c r="AF213" i="21" s="1"/>
  <c r="AG211" i="8"/>
  <c r="AG213" i="21" s="1"/>
  <c r="A212" i="8"/>
  <c r="A214" i="21" s="1"/>
  <c r="B212" i="8"/>
  <c r="B214" i="21" s="1"/>
  <c r="C212" i="8"/>
  <c r="C214" i="21" s="1"/>
  <c r="D212" i="8"/>
  <c r="D214" i="21" s="1"/>
  <c r="E212" i="8"/>
  <c r="E214" i="21" s="1"/>
  <c r="F212" i="8"/>
  <c r="F214" i="21" s="1"/>
  <c r="G212" i="8"/>
  <c r="G214" i="21" s="1"/>
  <c r="H212" i="8"/>
  <c r="H214" i="21" s="1"/>
  <c r="I212" i="8"/>
  <c r="I214" i="21" s="1"/>
  <c r="J212" i="8"/>
  <c r="J214" i="21" s="1"/>
  <c r="K212" i="8"/>
  <c r="K214" i="21" s="1"/>
  <c r="L212" i="8"/>
  <c r="L214" i="21" s="1"/>
  <c r="M212" i="8"/>
  <c r="M214" i="21" s="1"/>
  <c r="N212" i="8"/>
  <c r="N214" i="21" s="1"/>
  <c r="O212" i="8"/>
  <c r="O214" i="21" s="1"/>
  <c r="P212" i="8"/>
  <c r="P214" i="21" s="1"/>
  <c r="Q212" i="8"/>
  <c r="Q214" i="21" s="1"/>
  <c r="R212" i="8"/>
  <c r="R214" i="21" s="1"/>
  <c r="S212" i="8"/>
  <c r="S214" i="21" s="1"/>
  <c r="T212" i="8"/>
  <c r="T214" i="21" s="1"/>
  <c r="U212" i="8"/>
  <c r="U214" i="21" s="1"/>
  <c r="V212" i="8"/>
  <c r="V214" i="21" s="1"/>
  <c r="W212" i="8"/>
  <c r="W214" i="21" s="1"/>
  <c r="X212" i="8"/>
  <c r="X214" i="21" s="1"/>
  <c r="Y212" i="8"/>
  <c r="Y214" i="21" s="1"/>
  <c r="Z212" i="8"/>
  <c r="Z214" i="21" s="1"/>
  <c r="AA212" i="8"/>
  <c r="AA214" i="21" s="1"/>
  <c r="AB212" i="8"/>
  <c r="AB214" i="21" s="1"/>
  <c r="AC212" i="8"/>
  <c r="AC214" i="21" s="1"/>
  <c r="AD212" i="8"/>
  <c r="AD214" i="21" s="1"/>
  <c r="AE212" i="8"/>
  <c r="AE214" i="21" s="1"/>
  <c r="AF212" i="8"/>
  <c r="AF214" i="21" s="1"/>
  <c r="AG212" i="8"/>
  <c r="AG214" i="21" s="1"/>
  <c r="A213" i="8"/>
  <c r="A215" i="21" s="1"/>
  <c r="B213" i="8"/>
  <c r="B215" i="21" s="1"/>
  <c r="C213" i="8"/>
  <c r="C215" i="21" s="1"/>
  <c r="D213" i="8"/>
  <c r="D215" i="21" s="1"/>
  <c r="E213" i="8"/>
  <c r="E215" i="21" s="1"/>
  <c r="F213" i="8"/>
  <c r="F215" i="21" s="1"/>
  <c r="G213" i="8"/>
  <c r="G215" i="21" s="1"/>
  <c r="H213" i="8"/>
  <c r="H215" i="21" s="1"/>
  <c r="I213" i="8"/>
  <c r="I215" i="21" s="1"/>
  <c r="J213" i="8"/>
  <c r="J215" i="21" s="1"/>
  <c r="K213" i="8"/>
  <c r="K215" i="21" s="1"/>
  <c r="L213" i="8"/>
  <c r="L215" i="21" s="1"/>
  <c r="M213" i="8"/>
  <c r="M215" i="21" s="1"/>
  <c r="N213" i="8"/>
  <c r="N215" i="21" s="1"/>
  <c r="O213" i="8"/>
  <c r="O215" i="21" s="1"/>
  <c r="P213" i="8"/>
  <c r="P215" i="21" s="1"/>
  <c r="Q213" i="8"/>
  <c r="Q215" i="21" s="1"/>
  <c r="R213" i="8"/>
  <c r="R215" i="21" s="1"/>
  <c r="S213" i="8"/>
  <c r="S215" i="21" s="1"/>
  <c r="T213" i="8"/>
  <c r="T215" i="21" s="1"/>
  <c r="U213" i="8"/>
  <c r="U215" i="21" s="1"/>
  <c r="V213" i="8"/>
  <c r="V215" i="21" s="1"/>
  <c r="W213" i="8"/>
  <c r="W215" i="21" s="1"/>
  <c r="X213" i="8"/>
  <c r="X215" i="21" s="1"/>
  <c r="Y213" i="8"/>
  <c r="Y215" i="21" s="1"/>
  <c r="Z213" i="8"/>
  <c r="Z215" i="21" s="1"/>
  <c r="AA213" i="8"/>
  <c r="AA215" i="21" s="1"/>
  <c r="AB213" i="8"/>
  <c r="AB215" i="21" s="1"/>
  <c r="AC213" i="8"/>
  <c r="AC215" i="21" s="1"/>
  <c r="AD213" i="8"/>
  <c r="AD215" i="21" s="1"/>
  <c r="AE213" i="8"/>
  <c r="AF213" i="8"/>
  <c r="AF215" i="21" s="1"/>
  <c r="AG213" i="8"/>
  <c r="AG215" i="21" s="1"/>
  <c r="A214" i="8"/>
  <c r="A216" i="21" s="1"/>
  <c r="B214" i="8"/>
  <c r="B216" i="21" s="1"/>
  <c r="C214" i="8"/>
  <c r="C216" i="21" s="1"/>
  <c r="D214" i="8"/>
  <c r="D216" i="21" s="1"/>
  <c r="E214" i="8"/>
  <c r="E216" i="21" s="1"/>
  <c r="F214" i="8"/>
  <c r="F216" i="21" s="1"/>
  <c r="G214" i="8"/>
  <c r="G216" i="21" s="1"/>
  <c r="H214" i="8"/>
  <c r="H216" i="21" s="1"/>
  <c r="I214" i="8"/>
  <c r="I216" i="21" s="1"/>
  <c r="J214" i="8"/>
  <c r="J216" i="21" s="1"/>
  <c r="K214" i="8"/>
  <c r="K216" i="21" s="1"/>
  <c r="L214" i="8"/>
  <c r="L216" i="21" s="1"/>
  <c r="M214" i="8"/>
  <c r="M216" i="21" s="1"/>
  <c r="N214" i="8"/>
  <c r="N216" i="21" s="1"/>
  <c r="O214" i="8"/>
  <c r="O216" i="21" s="1"/>
  <c r="P214" i="8"/>
  <c r="P216" i="21" s="1"/>
  <c r="Q214" i="8"/>
  <c r="Q216" i="21" s="1"/>
  <c r="R214" i="8"/>
  <c r="R216" i="21" s="1"/>
  <c r="S214" i="8"/>
  <c r="S216" i="21" s="1"/>
  <c r="T214" i="8"/>
  <c r="T216" i="21" s="1"/>
  <c r="U214" i="8"/>
  <c r="U216" i="21" s="1"/>
  <c r="V214" i="8"/>
  <c r="V216" i="21" s="1"/>
  <c r="W214" i="8"/>
  <c r="W216" i="21" s="1"/>
  <c r="X214" i="8"/>
  <c r="X216" i="21" s="1"/>
  <c r="Y214" i="8"/>
  <c r="Y216" i="21" s="1"/>
  <c r="Z214" i="8"/>
  <c r="Z216" i="21" s="1"/>
  <c r="AA214" i="8"/>
  <c r="AA216" i="21" s="1"/>
  <c r="AB214" i="8"/>
  <c r="AB216" i="21" s="1"/>
  <c r="AC214" i="8"/>
  <c r="AC216" i="21" s="1"/>
  <c r="AD214" i="8"/>
  <c r="AD216" i="21" s="1"/>
  <c r="AE214" i="8"/>
  <c r="AE216" i="21" s="1"/>
  <c r="AF214" i="8"/>
  <c r="AF216" i="21" s="1"/>
  <c r="AG214" i="8"/>
  <c r="AG216" i="21" s="1"/>
  <c r="A215" i="8"/>
  <c r="A217" i="21" s="1"/>
  <c r="B215" i="8"/>
  <c r="B217" i="21" s="1"/>
  <c r="C215" i="8"/>
  <c r="C217" i="21" s="1"/>
  <c r="D215" i="8"/>
  <c r="D217" i="21" s="1"/>
  <c r="E215" i="8"/>
  <c r="E217" i="21" s="1"/>
  <c r="F215" i="8"/>
  <c r="F217" i="21" s="1"/>
  <c r="G215" i="8"/>
  <c r="G217" i="21" s="1"/>
  <c r="H215" i="8"/>
  <c r="H217" i="21" s="1"/>
  <c r="I215" i="8"/>
  <c r="I217" i="21" s="1"/>
  <c r="J215" i="8"/>
  <c r="J217" i="21" s="1"/>
  <c r="K215" i="8"/>
  <c r="K217" i="21" s="1"/>
  <c r="L215" i="8"/>
  <c r="L217" i="21" s="1"/>
  <c r="M215" i="8"/>
  <c r="M217" i="21" s="1"/>
  <c r="N215" i="8"/>
  <c r="N217" i="21" s="1"/>
  <c r="O215" i="8"/>
  <c r="O217" i="21" s="1"/>
  <c r="P215" i="8"/>
  <c r="P217" i="21" s="1"/>
  <c r="Q215" i="8"/>
  <c r="Q217" i="21" s="1"/>
  <c r="R215" i="8"/>
  <c r="R217" i="21" s="1"/>
  <c r="S215" i="8"/>
  <c r="S217" i="21" s="1"/>
  <c r="T215" i="8"/>
  <c r="T217" i="21" s="1"/>
  <c r="U215" i="8"/>
  <c r="U217" i="21" s="1"/>
  <c r="V215" i="8"/>
  <c r="V217" i="21" s="1"/>
  <c r="W215" i="8"/>
  <c r="W217" i="21" s="1"/>
  <c r="X215" i="8"/>
  <c r="X217" i="21" s="1"/>
  <c r="Y215" i="8"/>
  <c r="Y217" i="21" s="1"/>
  <c r="Z215" i="8"/>
  <c r="Z217" i="21" s="1"/>
  <c r="AA215" i="8"/>
  <c r="AA217" i="21" s="1"/>
  <c r="AB215" i="8"/>
  <c r="AB217" i="21" s="1"/>
  <c r="AC215" i="8"/>
  <c r="AC217" i="21" s="1"/>
  <c r="AD215" i="8"/>
  <c r="AD217" i="21" s="1"/>
  <c r="AE215" i="8"/>
  <c r="AF215" i="8"/>
  <c r="AF217" i="21" s="1"/>
  <c r="AG215" i="8"/>
  <c r="AG217" i="21" s="1"/>
  <c r="A216" i="8"/>
  <c r="A218" i="21" s="1"/>
  <c r="B216" i="8"/>
  <c r="B218" i="21" s="1"/>
  <c r="C216" i="8"/>
  <c r="C218" i="21" s="1"/>
  <c r="D216" i="8"/>
  <c r="D218" i="21" s="1"/>
  <c r="E216" i="8"/>
  <c r="E218" i="21" s="1"/>
  <c r="F216" i="8"/>
  <c r="F218" i="21" s="1"/>
  <c r="G216" i="8"/>
  <c r="G218" i="21" s="1"/>
  <c r="H216" i="8"/>
  <c r="H218" i="21" s="1"/>
  <c r="I216" i="8"/>
  <c r="I218" i="21" s="1"/>
  <c r="J216" i="8"/>
  <c r="J218" i="21" s="1"/>
  <c r="K216" i="8"/>
  <c r="K218" i="21" s="1"/>
  <c r="L216" i="8"/>
  <c r="L218" i="21" s="1"/>
  <c r="M216" i="8"/>
  <c r="M218" i="21" s="1"/>
  <c r="N216" i="8"/>
  <c r="N218" i="21" s="1"/>
  <c r="O216" i="8"/>
  <c r="O218" i="21" s="1"/>
  <c r="P216" i="8"/>
  <c r="P218" i="21" s="1"/>
  <c r="Q216" i="8"/>
  <c r="Q218" i="21" s="1"/>
  <c r="R216" i="8"/>
  <c r="R218" i="21" s="1"/>
  <c r="S216" i="8"/>
  <c r="S218" i="21" s="1"/>
  <c r="T216" i="8"/>
  <c r="T218" i="21" s="1"/>
  <c r="U216" i="8"/>
  <c r="U218" i="21" s="1"/>
  <c r="V216" i="8"/>
  <c r="V218" i="21" s="1"/>
  <c r="W216" i="8"/>
  <c r="W218" i="21" s="1"/>
  <c r="X216" i="8"/>
  <c r="X218" i="21" s="1"/>
  <c r="Y216" i="8"/>
  <c r="Y218" i="21" s="1"/>
  <c r="Z216" i="8"/>
  <c r="Z218" i="21" s="1"/>
  <c r="AA216" i="8"/>
  <c r="AA218" i="21" s="1"/>
  <c r="AB216" i="8"/>
  <c r="AB218" i="21" s="1"/>
  <c r="AC216" i="8"/>
  <c r="AC218" i="21" s="1"/>
  <c r="AD216" i="8"/>
  <c r="AD218" i="21" s="1"/>
  <c r="AE216" i="8"/>
  <c r="AE218" i="21" s="1"/>
  <c r="AF216" i="8"/>
  <c r="AF218" i="21" s="1"/>
  <c r="AG216" i="8"/>
  <c r="AG218" i="21" s="1"/>
  <c r="A217" i="8"/>
  <c r="A219" i="21" s="1"/>
  <c r="B217" i="8"/>
  <c r="B219" i="21" s="1"/>
  <c r="C217" i="8"/>
  <c r="C219" i="21" s="1"/>
  <c r="D217" i="8"/>
  <c r="D219" i="21" s="1"/>
  <c r="E217" i="8"/>
  <c r="E219" i="21" s="1"/>
  <c r="F217" i="8"/>
  <c r="F219" i="21" s="1"/>
  <c r="G217" i="8"/>
  <c r="G219" i="21" s="1"/>
  <c r="H217" i="8"/>
  <c r="H219" i="21" s="1"/>
  <c r="I217" i="8"/>
  <c r="I219" i="21" s="1"/>
  <c r="J217" i="8"/>
  <c r="J219" i="21" s="1"/>
  <c r="K217" i="8"/>
  <c r="K219" i="21" s="1"/>
  <c r="L217" i="8"/>
  <c r="L219" i="21" s="1"/>
  <c r="M217" i="8"/>
  <c r="M219" i="21" s="1"/>
  <c r="N217" i="8"/>
  <c r="N219" i="21" s="1"/>
  <c r="O217" i="8"/>
  <c r="O219" i="21" s="1"/>
  <c r="P217" i="8"/>
  <c r="P219" i="21" s="1"/>
  <c r="Q217" i="8"/>
  <c r="Q219" i="21" s="1"/>
  <c r="R217" i="8"/>
  <c r="R219" i="21" s="1"/>
  <c r="S217" i="8"/>
  <c r="S219" i="21" s="1"/>
  <c r="T217" i="8"/>
  <c r="T219" i="21" s="1"/>
  <c r="U217" i="8"/>
  <c r="U219" i="21" s="1"/>
  <c r="V217" i="8"/>
  <c r="V219" i="21" s="1"/>
  <c r="W217" i="8"/>
  <c r="W219" i="21" s="1"/>
  <c r="X217" i="8"/>
  <c r="X219" i="21" s="1"/>
  <c r="Y217" i="8"/>
  <c r="Y219" i="21" s="1"/>
  <c r="Z217" i="8"/>
  <c r="Z219" i="21" s="1"/>
  <c r="AA217" i="8"/>
  <c r="AA219" i="21" s="1"/>
  <c r="AB217" i="8"/>
  <c r="AB219" i="21" s="1"/>
  <c r="AC217" i="8"/>
  <c r="AC219" i="21" s="1"/>
  <c r="AD217" i="8"/>
  <c r="AD219" i="21" s="1"/>
  <c r="AE217" i="8"/>
  <c r="AF217" i="8"/>
  <c r="AF219" i="21" s="1"/>
  <c r="AG217" i="8"/>
  <c r="AG219" i="21" s="1"/>
  <c r="A218" i="8"/>
  <c r="A220" i="21" s="1"/>
  <c r="B218" i="8"/>
  <c r="B220" i="21" s="1"/>
  <c r="C218" i="8"/>
  <c r="C220" i="21" s="1"/>
  <c r="D218" i="8"/>
  <c r="D220" i="21" s="1"/>
  <c r="E218" i="8"/>
  <c r="E220" i="21" s="1"/>
  <c r="F218" i="8"/>
  <c r="F220" i="21" s="1"/>
  <c r="G218" i="8"/>
  <c r="G220" i="21" s="1"/>
  <c r="H218" i="8"/>
  <c r="H220" i="21" s="1"/>
  <c r="I218" i="8"/>
  <c r="I220" i="21" s="1"/>
  <c r="J218" i="8"/>
  <c r="J220" i="21" s="1"/>
  <c r="K218" i="8"/>
  <c r="K220" i="21" s="1"/>
  <c r="L218" i="8"/>
  <c r="L220" i="21" s="1"/>
  <c r="M218" i="8"/>
  <c r="M220" i="21" s="1"/>
  <c r="N218" i="8"/>
  <c r="N220" i="21" s="1"/>
  <c r="O218" i="8"/>
  <c r="O220" i="21" s="1"/>
  <c r="P218" i="8"/>
  <c r="P220" i="21" s="1"/>
  <c r="Q218" i="8"/>
  <c r="Q220" i="21" s="1"/>
  <c r="R218" i="8"/>
  <c r="R220" i="21" s="1"/>
  <c r="S218" i="8"/>
  <c r="S220" i="21" s="1"/>
  <c r="T218" i="8"/>
  <c r="T220" i="21" s="1"/>
  <c r="U218" i="8"/>
  <c r="U220" i="21" s="1"/>
  <c r="V218" i="8"/>
  <c r="V220" i="21" s="1"/>
  <c r="W218" i="8"/>
  <c r="W220" i="21" s="1"/>
  <c r="X218" i="8"/>
  <c r="X220" i="21" s="1"/>
  <c r="Y218" i="8"/>
  <c r="Y220" i="21" s="1"/>
  <c r="Z218" i="8"/>
  <c r="Z220" i="21" s="1"/>
  <c r="AA218" i="8"/>
  <c r="AA220" i="21" s="1"/>
  <c r="AB218" i="8"/>
  <c r="AB220" i="21" s="1"/>
  <c r="AC218" i="8"/>
  <c r="AC220" i="21" s="1"/>
  <c r="AD218" i="8"/>
  <c r="AD220" i="21" s="1"/>
  <c r="AE218" i="8"/>
  <c r="AE220" i="21" s="1"/>
  <c r="AF218" i="8"/>
  <c r="AF220" i="21" s="1"/>
  <c r="AG218" i="8"/>
  <c r="AG220" i="21" s="1"/>
  <c r="A219" i="8"/>
  <c r="A221" i="21" s="1"/>
  <c r="B219" i="8"/>
  <c r="B221" i="21" s="1"/>
  <c r="C219" i="8"/>
  <c r="C221" i="21" s="1"/>
  <c r="D219" i="8"/>
  <c r="D221" i="21" s="1"/>
  <c r="E219" i="8"/>
  <c r="E221" i="21" s="1"/>
  <c r="F219" i="8"/>
  <c r="F221" i="21" s="1"/>
  <c r="G219" i="8"/>
  <c r="G221" i="21" s="1"/>
  <c r="H219" i="8"/>
  <c r="H221" i="21" s="1"/>
  <c r="I219" i="8"/>
  <c r="I221" i="21" s="1"/>
  <c r="J219" i="8"/>
  <c r="J221" i="21" s="1"/>
  <c r="K219" i="8"/>
  <c r="K221" i="21" s="1"/>
  <c r="L219" i="8"/>
  <c r="L221" i="21" s="1"/>
  <c r="M219" i="8"/>
  <c r="M221" i="21" s="1"/>
  <c r="N219" i="8"/>
  <c r="N221" i="21" s="1"/>
  <c r="O219" i="8"/>
  <c r="O221" i="21" s="1"/>
  <c r="P219" i="8"/>
  <c r="P221" i="21" s="1"/>
  <c r="Q219" i="8"/>
  <c r="Q221" i="21" s="1"/>
  <c r="R219" i="8"/>
  <c r="R221" i="21" s="1"/>
  <c r="S219" i="8"/>
  <c r="S221" i="21" s="1"/>
  <c r="T219" i="8"/>
  <c r="T221" i="21" s="1"/>
  <c r="U219" i="8"/>
  <c r="U221" i="21" s="1"/>
  <c r="V219" i="8"/>
  <c r="V221" i="21" s="1"/>
  <c r="W219" i="8"/>
  <c r="W221" i="21" s="1"/>
  <c r="X219" i="8"/>
  <c r="X221" i="21" s="1"/>
  <c r="Y219" i="8"/>
  <c r="Y221" i="21" s="1"/>
  <c r="Z219" i="8"/>
  <c r="Z221" i="21" s="1"/>
  <c r="AA219" i="8"/>
  <c r="AA221" i="21" s="1"/>
  <c r="AB219" i="8"/>
  <c r="AB221" i="21" s="1"/>
  <c r="AC219" i="8"/>
  <c r="AC221" i="21" s="1"/>
  <c r="AD219" i="8"/>
  <c r="AD221" i="21" s="1"/>
  <c r="AE219" i="8"/>
  <c r="AF219" i="8"/>
  <c r="AF221" i="21" s="1"/>
  <c r="AG219" i="8"/>
  <c r="AG221" i="21" s="1"/>
  <c r="A220" i="8"/>
  <c r="A222" i="21" s="1"/>
  <c r="B220" i="8"/>
  <c r="B222" i="21" s="1"/>
  <c r="C220" i="8"/>
  <c r="C222" i="21" s="1"/>
  <c r="D220" i="8"/>
  <c r="D222" i="21" s="1"/>
  <c r="E220" i="8"/>
  <c r="E222" i="21" s="1"/>
  <c r="F220" i="8"/>
  <c r="F222" i="21" s="1"/>
  <c r="G220" i="8"/>
  <c r="G222" i="21" s="1"/>
  <c r="H220" i="8"/>
  <c r="H222" i="21" s="1"/>
  <c r="I220" i="8"/>
  <c r="I222" i="21" s="1"/>
  <c r="J220" i="8"/>
  <c r="J222" i="21" s="1"/>
  <c r="K220" i="8"/>
  <c r="K222" i="21" s="1"/>
  <c r="L220" i="8"/>
  <c r="L222" i="21" s="1"/>
  <c r="M220" i="8"/>
  <c r="M222" i="21" s="1"/>
  <c r="N220" i="8"/>
  <c r="N222" i="21" s="1"/>
  <c r="O220" i="8"/>
  <c r="O222" i="21" s="1"/>
  <c r="P220" i="8"/>
  <c r="P222" i="21" s="1"/>
  <c r="Q220" i="8"/>
  <c r="Q222" i="21" s="1"/>
  <c r="R220" i="8"/>
  <c r="R222" i="21" s="1"/>
  <c r="S220" i="8"/>
  <c r="S222" i="21" s="1"/>
  <c r="T220" i="8"/>
  <c r="T222" i="21" s="1"/>
  <c r="U220" i="8"/>
  <c r="U222" i="21" s="1"/>
  <c r="V220" i="8"/>
  <c r="V222" i="21" s="1"/>
  <c r="W220" i="8"/>
  <c r="W222" i="21" s="1"/>
  <c r="X220" i="8"/>
  <c r="X222" i="21" s="1"/>
  <c r="Y220" i="8"/>
  <c r="Y222" i="21" s="1"/>
  <c r="Z220" i="8"/>
  <c r="Z222" i="21" s="1"/>
  <c r="AA220" i="8"/>
  <c r="AA222" i="21" s="1"/>
  <c r="AB220" i="8"/>
  <c r="AB222" i="21" s="1"/>
  <c r="AC220" i="8"/>
  <c r="AC222" i="21" s="1"/>
  <c r="AD220" i="8"/>
  <c r="AD222" i="21" s="1"/>
  <c r="AE220" i="8"/>
  <c r="AE222" i="21" s="1"/>
  <c r="AF220" i="8"/>
  <c r="AF222" i="21" s="1"/>
  <c r="AG220" i="8"/>
  <c r="AG222" i="21" s="1"/>
  <c r="A221" i="8"/>
  <c r="A223" i="21" s="1"/>
  <c r="B221" i="8"/>
  <c r="B223" i="21" s="1"/>
  <c r="C221" i="8"/>
  <c r="C223" i="21" s="1"/>
  <c r="D221" i="8"/>
  <c r="D223" i="21" s="1"/>
  <c r="E221" i="8"/>
  <c r="E223" i="21" s="1"/>
  <c r="F221" i="8"/>
  <c r="F223" i="21" s="1"/>
  <c r="G221" i="8"/>
  <c r="G223" i="21" s="1"/>
  <c r="H221" i="8"/>
  <c r="H223" i="21" s="1"/>
  <c r="I221" i="8"/>
  <c r="I223" i="21" s="1"/>
  <c r="J221" i="8"/>
  <c r="J223" i="21" s="1"/>
  <c r="K221" i="8"/>
  <c r="K223" i="21" s="1"/>
  <c r="L221" i="8"/>
  <c r="L223" i="21" s="1"/>
  <c r="M221" i="8"/>
  <c r="M223" i="21" s="1"/>
  <c r="N221" i="8"/>
  <c r="N223" i="21" s="1"/>
  <c r="O221" i="8"/>
  <c r="O223" i="21" s="1"/>
  <c r="P221" i="8"/>
  <c r="P223" i="21" s="1"/>
  <c r="Q221" i="8"/>
  <c r="Q223" i="21" s="1"/>
  <c r="R221" i="8"/>
  <c r="R223" i="21" s="1"/>
  <c r="S221" i="8"/>
  <c r="S223" i="21" s="1"/>
  <c r="T221" i="8"/>
  <c r="T223" i="21" s="1"/>
  <c r="U221" i="8"/>
  <c r="U223" i="21" s="1"/>
  <c r="V221" i="8"/>
  <c r="V223" i="21" s="1"/>
  <c r="W221" i="8"/>
  <c r="W223" i="21" s="1"/>
  <c r="X221" i="8"/>
  <c r="X223" i="21" s="1"/>
  <c r="Y221" i="8"/>
  <c r="Y223" i="21" s="1"/>
  <c r="Z221" i="8"/>
  <c r="Z223" i="21" s="1"/>
  <c r="AA221" i="8"/>
  <c r="AA223" i="21" s="1"/>
  <c r="AB221" i="8"/>
  <c r="AB223" i="21" s="1"/>
  <c r="AC221" i="8"/>
  <c r="AC223" i="21" s="1"/>
  <c r="AD221" i="8"/>
  <c r="AD223" i="21" s="1"/>
  <c r="AE221" i="8"/>
  <c r="AF221" i="8"/>
  <c r="AG221" i="8"/>
  <c r="A222" i="8"/>
  <c r="A224" i="21" s="1"/>
  <c r="B222" i="8"/>
  <c r="B224" i="21" s="1"/>
  <c r="C222" i="8"/>
  <c r="C224" i="21" s="1"/>
  <c r="D222" i="8"/>
  <c r="D224" i="21" s="1"/>
  <c r="E222" i="8"/>
  <c r="E224" i="21" s="1"/>
  <c r="F222" i="8"/>
  <c r="F224" i="21" s="1"/>
  <c r="G222" i="8"/>
  <c r="G224" i="21" s="1"/>
  <c r="H222" i="8"/>
  <c r="H224" i="21" s="1"/>
  <c r="I222" i="8"/>
  <c r="I224" i="21" s="1"/>
  <c r="J222" i="8"/>
  <c r="J224" i="21" s="1"/>
  <c r="K222" i="8"/>
  <c r="K224" i="21" s="1"/>
  <c r="L222" i="8"/>
  <c r="L224" i="21" s="1"/>
  <c r="M222" i="8"/>
  <c r="M224" i="21" s="1"/>
  <c r="N222" i="8"/>
  <c r="N224" i="21" s="1"/>
  <c r="O222" i="8"/>
  <c r="O224" i="21" s="1"/>
  <c r="P222" i="8"/>
  <c r="P224" i="21" s="1"/>
  <c r="Q222" i="8"/>
  <c r="Q224" i="21" s="1"/>
  <c r="R222" i="8"/>
  <c r="R224" i="21" s="1"/>
  <c r="S222" i="8"/>
  <c r="S224" i="21" s="1"/>
  <c r="T222" i="8"/>
  <c r="T224" i="21" s="1"/>
  <c r="U222" i="8"/>
  <c r="U224" i="21" s="1"/>
  <c r="V222" i="8"/>
  <c r="V224" i="21" s="1"/>
  <c r="W222" i="8"/>
  <c r="W224" i="21" s="1"/>
  <c r="X222" i="8"/>
  <c r="X224" i="21" s="1"/>
  <c r="Y222" i="8"/>
  <c r="Y224" i="21" s="1"/>
  <c r="Z222" i="8"/>
  <c r="Z224" i="21" s="1"/>
  <c r="AA222" i="8"/>
  <c r="AA224" i="21" s="1"/>
  <c r="AB222" i="8"/>
  <c r="AB224" i="21" s="1"/>
  <c r="AC222" i="8"/>
  <c r="AC224" i="21" s="1"/>
  <c r="AD222" i="8"/>
  <c r="AD224" i="21" s="1"/>
  <c r="AE222" i="8"/>
  <c r="AE224" i="21" s="1"/>
  <c r="AF222" i="8"/>
  <c r="AF224" i="21" s="1"/>
  <c r="AG222" i="8"/>
  <c r="AG224" i="21" s="1"/>
  <c r="A223" i="8"/>
  <c r="A225" i="21" s="1"/>
  <c r="B223" i="8"/>
  <c r="B225" i="21" s="1"/>
  <c r="C223" i="8"/>
  <c r="C225" i="21" s="1"/>
  <c r="D223" i="8"/>
  <c r="D225" i="21" s="1"/>
  <c r="E223" i="8"/>
  <c r="E225" i="21" s="1"/>
  <c r="F223" i="8"/>
  <c r="F225" i="21" s="1"/>
  <c r="G223" i="8"/>
  <c r="G225" i="21" s="1"/>
  <c r="H223" i="8"/>
  <c r="H225" i="21" s="1"/>
  <c r="I223" i="8"/>
  <c r="I225" i="21" s="1"/>
  <c r="J223" i="8"/>
  <c r="J225" i="21" s="1"/>
  <c r="K223" i="8"/>
  <c r="K225" i="21" s="1"/>
  <c r="L223" i="8"/>
  <c r="L225" i="21" s="1"/>
  <c r="M223" i="8"/>
  <c r="M225" i="21" s="1"/>
  <c r="N223" i="8"/>
  <c r="N225" i="21" s="1"/>
  <c r="O223" i="8"/>
  <c r="O225" i="21" s="1"/>
  <c r="P223" i="8"/>
  <c r="P225" i="21" s="1"/>
  <c r="Q223" i="8"/>
  <c r="Q225" i="21" s="1"/>
  <c r="R223" i="8"/>
  <c r="R225" i="21" s="1"/>
  <c r="S223" i="8"/>
  <c r="S225" i="21" s="1"/>
  <c r="T223" i="8"/>
  <c r="T225" i="21" s="1"/>
  <c r="U223" i="8"/>
  <c r="U225" i="21" s="1"/>
  <c r="V223" i="8"/>
  <c r="V225" i="21" s="1"/>
  <c r="W223" i="8"/>
  <c r="W225" i="21" s="1"/>
  <c r="X223" i="8"/>
  <c r="X225" i="21" s="1"/>
  <c r="Y223" i="8"/>
  <c r="Y225" i="21" s="1"/>
  <c r="Z223" i="8"/>
  <c r="Z225" i="21" s="1"/>
  <c r="AA223" i="8"/>
  <c r="AA225" i="21" s="1"/>
  <c r="AB223" i="8"/>
  <c r="AB225" i="21" s="1"/>
  <c r="AC223" i="8"/>
  <c r="AC225" i="21" s="1"/>
  <c r="AD223" i="8"/>
  <c r="AD225" i="21" s="1"/>
  <c r="AE223" i="8"/>
  <c r="AF223" i="8"/>
  <c r="AF225" i="21" s="1"/>
  <c r="AG223" i="8"/>
  <c r="AG225" i="21" s="1"/>
  <c r="A224" i="8"/>
  <c r="A226" i="21" s="1"/>
  <c r="B224" i="8"/>
  <c r="B226" i="21" s="1"/>
  <c r="C224" i="8"/>
  <c r="C226" i="21" s="1"/>
  <c r="D224" i="8"/>
  <c r="D226" i="21" s="1"/>
  <c r="E224" i="8"/>
  <c r="E226" i="21" s="1"/>
  <c r="F224" i="8"/>
  <c r="F226" i="21" s="1"/>
  <c r="G224" i="8"/>
  <c r="G226" i="21" s="1"/>
  <c r="H224" i="8"/>
  <c r="H226" i="21" s="1"/>
  <c r="I224" i="8"/>
  <c r="I226" i="21" s="1"/>
  <c r="J224" i="8"/>
  <c r="J226" i="21" s="1"/>
  <c r="K224" i="8"/>
  <c r="K226" i="21" s="1"/>
  <c r="L224" i="8"/>
  <c r="L226" i="21" s="1"/>
  <c r="M224" i="8"/>
  <c r="M226" i="21" s="1"/>
  <c r="N224" i="8"/>
  <c r="N226" i="21" s="1"/>
  <c r="O224" i="8"/>
  <c r="O226" i="21" s="1"/>
  <c r="P224" i="8"/>
  <c r="P226" i="21" s="1"/>
  <c r="Q224" i="8"/>
  <c r="Q226" i="21" s="1"/>
  <c r="R224" i="8"/>
  <c r="R226" i="21" s="1"/>
  <c r="S224" i="8"/>
  <c r="S226" i="21" s="1"/>
  <c r="T224" i="8"/>
  <c r="T226" i="21" s="1"/>
  <c r="U224" i="8"/>
  <c r="U226" i="21" s="1"/>
  <c r="V224" i="8"/>
  <c r="V226" i="21" s="1"/>
  <c r="W224" i="8"/>
  <c r="W226" i="21" s="1"/>
  <c r="X224" i="8"/>
  <c r="X226" i="21" s="1"/>
  <c r="Y224" i="8"/>
  <c r="Y226" i="21" s="1"/>
  <c r="Z224" i="8"/>
  <c r="Z226" i="21" s="1"/>
  <c r="AA224" i="8"/>
  <c r="AA226" i="21" s="1"/>
  <c r="AB224" i="8"/>
  <c r="AB226" i="21" s="1"/>
  <c r="AC224" i="8"/>
  <c r="AC226" i="21" s="1"/>
  <c r="AD224" i="8"/>
  <c r="AD226" i="21" s="1"/>
  <c r="AE224" i="8"/>
  <c r="AE226" i="21" s="1"/>
  <c r="AF224" i="8"/>
  <c r="AF226" i="21" s="1"/>
  <c r="AG224" i="8"/>
  <c r="AG226" i="21" s="1"/>
  <c r="A225" i="8"/>
  <c r="A227" i="21" s="1"/>
  <c r="B225" i="8"/>
  <c r="B227" i="21" s="1"/>
  <c r="C225" i="8"/>
  <c r="C227" i="21" s="1"/>
  <c r="D225" i="8"/>
  <c r="D227" i="21" s="1"/>
  <c r="E225" i="8"/>
  <c r="E227" i="21" s="1"/>
  <c r="F225" i="8"/>
  <c r="F227" i="21" s="1"/>
  <c r="G225" i="8"/>
  <c r="G227" i="21" s="1"/>
  <c r="H225" i="8"/>
  <c r="H227" i="21" s="1"/>
  <c r="I225" i="8"/>
  <c r="I227" i="21" s="1"/>
  <c r="J225" i="8"/>
  <c r="J227" i="21" s="1"/>
  <c r="K225" i="8"/>
  <c r="K227" i="21" s="1"/>
  <c r="L225" i="8"/>
  <c r="L227" i="21" s="1"/>
  <c r="M225" i="8"/>
  <c r="M227" i="21" s="1"/>
  <c r="N225" i="8"/>
  <c r="N227" i="21" s="1"/>
  <c r="O225" i="8"/>
  <c r="O227" i="21" s="1"/>
  <c r="P225" i="8"/>
  <c r="P227" i="21" s="1"/>
  <c r="Q225" i="8"/>
  <c r="Q227" i="21" s="1"/>
  <c r="R225" i="8"/>
  <c r="R227" i="21" s="1"/>
  <c r="S225" i="8"/>
  <c r="S227" i="21" s="1"/>
  <c r="T225" i="8"/>
  <c r="T227" i="21" s="1"/>
  <c r="U225" i="8"/>
  <c r="U227" i="21" s="1"/>
  <c r="V225" i="8"/>
  <c r="V227" i="21" s="1"/>
  <c r="W225" i="8"/>
  <c r="W227" i="21" s="1"/>
  <c r="X225" i="8"/>
  <c r="X227" i="21" s="1"/>
  <c r="Y225" i="8"/>
  <c r="Y227" i="21" s="1"/>
  <c r="Z225" i="8"/>
  <c r="Z227" i="21" s="1"/>
  <c r="AA225" i="8"/>
  <c r="AA227" i="21" s="1"/>
  <c r="AB225" i="8"/>
  <c r="AB227" i="21" s="1"/>
  <c r="AC225" i="8"/>
  <c r="AC227" i="21" s="1"/>
  <c r="AD225" i="8"/>
  <c r="AD227" i="21" s="1"/>
  <c r="AE225" i="8"/>
  <c r="AF225" i="8"/>
  <c r="AG225" i="8"/>
  <c r="A226" i="8"/>
  <c r="A228" i="21" s="1"/>
  <c r="B226" i="8"/>
  <c r="B228" i="21" s="1"/>
  <c r="C226" i="8"/>
  <c r="C228" i="21" s="1"/>
  <c r="D226" i="8"/>
  <c r="D228" i="21" s="1"/>
  <c r="E226" i="8"/>
  <c r="E228" i="21" s="1"/>
  <c r="F226" i="8"/>
  <c r="F228" i="21" s="1"/>
  <c r="G226" i="8"/>
  <c r="G228" i="21" s="1"/>
  <c r="H226" i="8"/>
  <c r="H228" i="21" s="1"/>
  <c r="I226" i="8"/>
  <c r="I228" i="21" s="1"/>
  <c r="J226" i="8"/>
  <c r="J228" i="21" s="1"/>
  <c r="K226" i="8"/>
  <c r="K228" i="21" s="1"/>
  <c r="L226" i="8"/>
  <c r="L228" i="21" s="1"/>
  <c r="M226" i="8"/>
  <c r="M228" i="21" s="1"/>
  <c r="N226" i="8"/>
  <c r="N228" i="21" s="1"/>
  <c r="O226" i="8"/>
  <c r="O228" i="21" s="1"/>
  <c r="P226" i="8"/>
  <c r="P228" i="21" s="1"/>
  <c r="Q226" i="8"/>
  <c r="Q228" i="21" s="1"/>
  <c r="R226" i="8"/>
  <c r="R228" i="21" s="1"/>
  <c r="S226" i="8"/>
  <c r="S228" i="21" s="1"/>
  <c r="T226" i="8"/>
  <c r="T228" i="21" s="1"/>
  <c r="U226" i="8"/>
  <c r="U228" i="21" s="1"/>
  <c r="V226" i="8"/>
  <c r="V228" i="21" s="1"/>
  <c r="W226" i="8"/>
  <c r="W228" i="21" s="1"/>
  <c r="X226" i="8"/>
  <c r="X228" i="21" s="1"/>
  <c r="Y226" i="8"/>
  <c r="Y228" i="21" s="1"/>
  <c r="Z226" i="8"/>
  <c r="Z228" i="21" s="1"/>
  <c r="AA226" i="8"/>
  <c r="AA228" i="21" s="1"/>
  <c r="AB226" i="8"/>
  <c r="AB228" i="21" s="1"/>
  <c r="AC226" i="8"/>
  <c r="AC228" i="21" s="1"/>
  <c r="AD226" i="8"/>
  <c r="AD228" i="21" s="1"/>
  <c r="AE226" i="8"/>
  <c r="AE228" i="21" s="1"/>
  <c r="AF226" i="8"/>
  <c r="AF228" i="21" s="1"/>
  <c r="AG226" i="8"/>
  <c r="AG228" i="21" s="1"/>
  <c r="A227" i="8"/>
  <c r="A229" i="21" s="1"/>
  <c r="B227" i="8"/>
  <c r="B229" i="21" s="1"/>
  <c r="C227" i="8"/>
  <c r="C229" i="21" s="1"/>
  <c r="D227" i="8"/>
  <c r="D229" i="21" s="1"/>
  <c r="E227" i="8"/>
  <c r="E229" i="21" s="1"/>
  <c r="F227" i="8"/>
  <c r="F229" i="21" s="1"/>
  <c r="G227" i="8"/>
  <c r="G229" i="21" s="1"/>
  <c r="H227" i="8"/>
  <c r="H229" i="21" s="1"/>
  <c r="I227" i="8"/>
  <c r="I229" i="21" s="1"/>
  <c r="J227" i="8"/>
  <c r="J229" i="21" s="1"/>
  <c r="K227" i="8"/>
  <c r="K229" i="21" s="1"/>
  <c r="L227" i="8"/>
  <c r="L229" i="21" s="1"/>
  <c r="M227" i="8"/>
  <c r="M229" i="21" s="1"/>
  <c r="N227" i="8"/>
  <c r="N229" i="21" s="1"/>
  <c r="O227" i="8"/>
  <c r="O229" i="21" s="1"/>
  <c r="P227" i="8"/>
  <c r="P229" i="21" s="1"/>
  <c r="Q227" i="8"/>
  <c r="Q229" i="21" s="1"/>
  <c r="R227" i="8"/>
  <c r="R229" i="21" s="1"/>
  <c r="S227" i="8"/>
  <c r="S229" i="21" s="1"/>
  <c r="T227" i="8"/>
  <c r="T229" i="21" s="1"/>
  <c r="U227" i="8"/>
  <c r="U229" i="21" s="1"/>
  <c r="V227" i="8"/>
  <c r="V229" i="21" s="1"/>
  <c r="W227" i="8"/>
  <c r="W229" i="21" s="1"/>
  <c r="X227" i="8"/>
  <c r="X229" i="21" s="1"/>
  <c r="Y227" i="8"/>
  <c r="Y229" i="21" s="1"/>
  <c r="Z227" i="8"/>
  <c r="Z229" i="21" s="1"/>
  <c r="AA227" i="8"/>
  <c r="AA229" i="21" s="1"/>
  <c r="AB227" i="8"/>
  <c r="AB229" i="21" s="1"/>
  <c r="AC227" i="8"/>
  <c r="AC229" i="21" s="1"/>
  <c r="AD227" i="8"/>
  <c r="AD229" i="21" s="1"/>
  <c r="AE227" i="8"/>
  <c r="AF227" i="8"/>
  <c r="AG227" i="8"/>
  <c r="A228" i="8"/>
  <c r="A230" i="21" s="1"/>
  <c r="B228" i="8"/>
  <c r="B230" i="21" s="1"/>
  <c r="C228" i="8"/>
  <c r="C230" i="21" s="1"/>
  <c r="D228" i="8"/>
  <c r="D230" i="21" s="1"/>
  <c r="E228" i="8"/>
  <c r="E230" i="21" s="1"/>
  <c r="F228" i="8"/>
  <c r="F230" i="21" s="1"/>
  <c r="G228" i="8"/>
  <c r="G230" i="21" s="1"/>
  <c r="H228" i="8"/>
  <c r="H230" i="21" s="1"/>
  <c r="I228" i="8"/>
  <c r="I230" i="21" s="1"/>
  <c r="J228" i="8"/>
  <c r="J230" i="21" s="1"/>
  <c r="K228" i="8"/>
  <c r="K230" i="21" s="1"/>
  <c r="L228" i="8"/>
  <c r="L230" i="21" s="1"/>
  <c r="M228" i="8"/>
  <c r="M230" i="21" s="1"/>
  <c r="N228" i="8"/>
  <c r="N230" i="21" s="1"/>
  <c r="O228" i="8"/>
  <c r="O230" i="21" s="1"/>
  <c r="P228" i="8"/>
  <c r="P230" i="21" s="1"/>
  <c r="Q228" i="8"/>
  <c r="Q230" i="21" s="1"/>
  <c r="R228" i="8"/>
  <c r="R230" i="21" s="1"/>
  <c r="S228" i="8"/>
  <c r="S230" i="21" s="1"/>
  <c r="T228" i="8"/>
  <c r="T230" i="21" s="1"/>
  <c r="U228" i="8"/>
  <c r="U230" i="21" s="1"/>
  <c r="V228" i="8"/>
  <c r="V230" i="21" s="1"/>
  <c r="W228" i="8"/>
  <c r="W230" i="21" s="1"/>
  <c r="X228" i="8"/>
  <c r="X230" i="21" s="1"/>
  <c r="Y228" i="8"/>
  <c r="Y230" i="21" s="1"/>
  <c r="Z228" i="8"/>
  <c r="Z230" i="21" s="1"/>
  <c r="AA228" i="8"/>
  <c r="AA230" i="21" s="1"/>
  <c r="AB228" i="8"/>
  <c r="AB230" i="21" s="1"/>
  <c r="AC228" i="8"/>
  <c r="AC230" i="21" s="1"/>
  <c r="AD228" i="8"/>
  <c r="AD230" i="21" s="1"/>
  <c r="AE228" i="8"/>
  <c r="AE230" i="21" s="1"/>
  <c r="AF228" i="8"/>
  <c r="AF230" i="21" s="1"/>
  <c r="AG228" i="8"/>
  <c r="AG230" i="21" s="1"/>
  <c r="A229" i="8"/>
  <c r="A231" i="21" s="1"/>
  <c r="B229" i="8"/>
  <c r="B231" i="21" s="1"/>
  <c r="C229" i="8"/>
  <c r="C231" i="21" s="1"/>
  <c r="D229" i="8"/>
  <c r="D231" i="21" s="1"/>
  <c r="E229" i="8"/>
  <c r="E231" i="21" s="1"/>
  <c r="F229" i="8"/>
  <c r="F231" i="21" s="1"/>
  <c r="G229" i="8"/>
  <c r="G231" i="21" s="1"/>
  <c r="H229" i="8"/>
  <c r="H231" i="21" s="1"/>
  <c r="I229" i="8"/>
  <c r="I231" i="21" s="1"/>
  <c r="J229" i="8"/>
  <c r="J231" i="21" s="1"/>
  <c r="K229" i="8"/>
  <c r="K231" i="21" s="1"/>
  <c r="L229" i="8"/>
  <c r="L231" i="21" s="1"/>
  <c r="M229" i="8"/>
  <c r="M231" i="21" s="1"/>
  <c r="N229" i="8"/>
  <c r="N231" i="21" s="1"/>
  <c r="O229" i="8"/>
  <c r="O231" i="21" s="1"/>
  <c r="P229" i="8"/>
  <c r="P231" i="21" s="1"/>
  <c r="Q229" i="8"/>
  <c r="Q231" i="21" s="1"/>
  <c r="R229" i="8"/>
  <c r="R231" i="21" s="1"/>
  <c r="S229" i="8"/>
  <c r="S231" i="21" s="1"/>
  <c r="T229" i="8"/>
  <c r="T231" i="21" s="1"/>
  <c r="U229" i="8"/>
  <c r="U231" i="21" s="1"/>
  <c r="V229" i="8"/>
  <c r="V231" i="21" s="1"/>
  <c r="W229" i="8"/>
  <c r="W231" i="21" s="1"/>
  <c r="X229" i="8"/>
  <c r="X231" i="21" s="1"/>
  <c r="Y229" i="8"/>
  <c r="Y231" i="21" s="1"/>
  <c r="Z229" i="8"/>
  <c r="Z231" i="21" s="1"/>
  <c r="AA229" i="8"/>
  <c r="AA231" i="21" s="1"/>
  <c r="AB229" i="8"/>
  <c r="AB231" i="21" s="1"/>
  <c r="AC229" i="8"/>
  <c r="AC231" i="21" s="1"/>
  <c r="AD229" i="8"/>
  <c r="AD231" i="21" s="1"/>
  <c r="AE229" i="8"/>
  <c r="AF229" i="8"/>
  <c r="AF231" i="21" s="1"/>
  <c r="AG229" i="8"/>
  <c r="AG231" i="21" s="1"/>
  <c r="A230" i="8"/>
  <c r="A232" i="21" s="1"/>
  <c r="B230" i="8"/>
  <c r="B232" i="21" s="1"/>
  <c r="C230" i="8"/>
  <c r="C232" i="21" s="1"/>
  <c r="D230" i="8"/>
  <c r="D232" i="21" s="1"/>
  <c r="E230" i="8"/>
  <c r="E232" i="21" s="1"/>
  <c r="F230" i="8"/>
  <c r="F232" i="21" s="1"/>
  <c r="G230" i="8"/>
  <c r="G232" i="21" s="1"/>
  <c r="H230" i="8"/>
  <c r="H232" i="21" s="1"/>
  <c r="I230" i="8"/>
  <c r="I232" i="21" s="1"/>
  <c r="J230" i="8"/>
  <c r="J232" i="21" s="1"/>
  <c r="K230" i="8"/>
  <c r="K232" i="21" s="1"/>
  <c r="L230" i="8"/>
  <c r="L232" i="21" s="1"/>
  <c r="M230" i="8"/>
  <c r="M232" i="21" s="1"/>
  <c r="N230" i="8"/>
  <c r="N232" i="21" s="1"/>
  <c r="O230" i="8"/>
  <c r="O232" i="21" s="1"/>
  <c r="P230" i="8"/>
  <c r="P232" i="21" s="1"/>
  <c r="Q230" i="8"/>
  <c r="Q232" i="21" s="1"/>
  <c r="R230" i="8"/>
  <c r="R232" i="21" s="1"/>
  <c r="S230" i="8"/>
  <c r="S232" i="21" s="1"/>
  <c r="T230" i="8"/>
  <c r="T232" i="21" s="1"/>
  <c r="U230" i="8"/>
  <c r="U232" i="21" s="1"/>
  <c r="V230" i="8"/>
  <c r="V232" i="21" s="1"/>
  <c r="W230" i="8"/>
  <c r="W232" i="21" s="1"/>
  <c r="X230" i="8"/>
  <c r="X232" i="21" s="1"/>
  <c r="Y230" i="8"/>
  <c r="Y232" i="21" s="1"/>
  <c r="Z230" i="8"/>
  <c r="Z232" i="21" s="1"/>
  <c r="AA230" i="8"/>
  <c r="AA232" i="21" s="1"/>
  <c r="AB230" i="8"/>
  <c r="AB232" i="21" s="1"/>
  <c r="AC230" i="8"/>
  <c r="AC232" i="21" s="1"/>
  <c r="AD230" i="8"/>
  <c r="AD232" i="21" s="1"/>
  <c r="AE230" i="8"/>
  <c r="AE232" i="21" s="1"/>
  <c r="AF230" i="8"/>
  <c r="AF232" i="21" s="1"/>
  <c r="AG230" i="8"/>
  <c r="AG232" i="21" s="1"/>
  <c r="A231" i="8"/>
  <c r="A233" i="21" s="1"/>
  <c r="B231" i="8"/>
  <c r="B233" i="21" s="1"/>
  <c r="C231" i="8"/>
  <c r="C233" i="21" s="1"/>
  <c r="D231" i="8"/>
  <c r="D233" i="21" s="1"/>
  <c r="E231" i="8"/>
  <c r="E233" i="21" s="1"/>
  <c r="F231" i="8"/>
  <c r="F233" i="21" s="1"/>
  <c r="G231" i="8"/>
  <c r="G233" i="21" s="1"/>
  <c r="H231" i="8"/>
  <c r="H233" i="21" s="1"/>
  <c r="I231" i="8"/>
  <c r="I233" i="21" s="1"/>
  <c r="J231" i="8"/>
  <c r="J233" i="21" s="1"/>
  <c r="K231" i="8"/>
  <c r="K233" i="21" s="1"/>
  <c r="L231" i="8"/>
  <c r="L233" i="21" s="1"/>
  <c r="M231" i="8"/>
  <c r="M233" i="21" s="1"/>
  <c r="N231" i="8"/>
  <c r="N233" i="21" s="1"/>
  <c r="O231" i="8"/>
  <c r="O233" i="21" s="1"/>
  <c r="P231" i="8"/>
  <c r="P233" i="21" s="1"/>
  <c r="Q231" i="8"/>
  <c r="Q233" i="21" s="1"/>
  <c r="R231" i="8"/>
  <c r="R233" i="21" s="1"/>
  <c r="S231" i="8"/>
  <c r="S233" i="21" s="1"/>
  <c r="T231" i="8"/>
  <c r="T233" i="21" s="1"/>
  <c r="U231" i="8"/>
  <c r="U233" i="21" s="1"/>
  <c r="V231" i="8"/>
  <c r="V233" i="21" s="1"/>
  <c r="W231" i="8"/>
  <c r="W233" i="21" s="1"/>
  <c r="X231" i="8"/>
  <c r="X233" i="21" s="1"/>
  <c r="Y231" i="8"/>
  <c r="Y233" i="21" s="1"/>
  <c r="Z231" i="8"/>
  <c r="Z233" i="21" s="1"/>
  <c r="AA231" i="8"/>
  <c r="AA233" i="21" s="1"/>
  <c r="AB231" i="8"/>
  <c r="AB233" i="21" s="1"/>
  <c r="AC231" i="8"/>
  <c r="AC233" i="21" s="1"/>
  <c r="AD231" i="8"/>
  <c r="AD233" i="21" s="1"/>
  <c r="AE231" i="8"/>
  <c r="AF231" i="8"/>
  <c r="AF233" i="21" s="1"/>
  <c r="AG231" i="8"/>
  <c r="AG233" i="21" s="1"/>
  <c r="A232" i="8"/>
  <c r="A234" i="21" s="1"/>
  <c r="B232" i="8"/>
  <c r="B234" i="21" s="1"/>
  <c r="C232" i="8"/>
  <c r="C234" i="21" s="1"/>
  <c r="D232" i="8"/>
  <c r="D234" i="21" s="1"/>
  <c r="E232" i="8"/>
  <c r="E234" i="21" s="1"/>
  <c r="F232" i="8"/>
  <c r="F234" i="21" s="1"/>
  <c r="G232" i="8"/>
  <c r="G234" i="21" s="1"/>
  <c r="H232" i="8"/>
  <c r="H234" i="21" s="1"/>
  <c r="I232" i="8"/>
  <c r="I234" i="21" s="1"/>
  <c r="J232" i="8"/>
  <c r="J234" i="21" s="1"/>
  <c r="K232" i="8"/>
  <c r="K234" i="21" s="1"/>
  <c r="L232" i="8"/>
  <c r="L234" i="21" s="1"/>
  <c r="M232" i="8"/>
  <c r="M234" i="21" s="1"/>
  <c r="N232" i="8"/>
  <c r="N234" i="21" s="1"/>
  <c r="O232" i="8"/>
  <c r="O234" i="21" s="1"/>
  <c r="P232" i="8"/>
  <c r="P234" i="21" s="1"/>
  <c r="Q232" i="8"/>
  <c r="Q234" i="21" s="1"/>
  <c r="R232" i="8"/>
  <c r="R234" i="21" s="1"/>
  <c r="S232" i="8"/>
  <c r="S234" i="21" s="1"/>
  <c r="T232" i="8"/>
  <c r="T234" i="21" s="1"/>
  <c r="U232" i="8"/>
  <c r="U234" i="21" s="1"/>
  <c r="V232" i="8"/>
  <c r="V234" i="21" s="1"/>
  <c r="W232" i="8"/>
  <c r="W234" i="21" s="1"/>
  <c r="X232" i="8"/>
  <c r="X234" i="21" s="1"/>
  <c r="Y232" i="8"/>
  <c r="Y234" i="21" s="1"/>
  <c r="Z232" i="8"/>
  <c r="Z234" i="21" s="1"/>
  <c r="AA232" i="8"/>
  <c r="AA234" i="21" s="1"/>
  <c r="AB232" i="8"/>
  <c r="AB234" i="21" s="1"/>
  <c r="AC232" i="8"/>
  <c r="AC234" i="21" s="1"/>
  <c r="AD232" i="8"/>
  <c r="AD234" i="21" s="1"/>
  <c r="AE232" i="8"/>
  <c r="AE234" i="21" s="1"/>
  <c r="AF232" i="8"/>
  <c r="AF234" i="21" s="1"/>
  <c r="AG232" i="8"/>
  <c r="AG234" i="21" s="1"/>
  <c r="A233" i="8"/>
  <c r="A235" i="21" s="1"/>
  <c r="B233" i="8"/>
  <c r="B235" i="21" s="1"/>
  <c r="C233" i="8"/>
  <c r="C235" i="21" s="1"/>
  <c r="D233" i="8"/>
  <c r="D235" i="21" s="1"/>
  <c r="E233" i="8"/>
  <c r="E235" i="21" s="1"/>
  <c r="F233" i="8"/>
  <c r="F235" i="21" s="1"/>
  <c r="G233" i="8"/>
  <c r="G235" i="21" s="1"/>
  <c r="H233" i="8"/>
  <c r="H235" i="21" s="1"/>
  <c r="I233" i="8"/>
  <c r="I235" i="21" s="1"/>
  <c r="J233" i="8"/>
  <c r="J235" i="21" s="1"/>
  <c r="K233" i="8"/>
  <c r="K235" i="21" s="1"/>
  <c r="L233" i="8"/>
  <c r="L235" i="21" s="1"/>
  <c r="M233" i="8"/>
  <c r="M235" i="21" s="1"/>
  <c r="N233" i="8"/>
  <c r="N235" i="21" s="1"/>
  <c r="O233" i="8"/>
  <c r="O235" i="21" s="1"/>
  <c r="P233" i="8"/>
  <c r="P235" i="21" s="1"/>
  <c r="Q233" i="8"/>
  <c r="Q235" i="21" s="1"/>
  <c r="R233" i="8"/>
  <c r="R235" i="21" s="1"/>
  <c r="S233" i="8"/>
  <c r="S235" i="21" s="1"/>
  <c r="T233" i="8"/>
  <c r="T235" i="21" s="1"/>
  <c r="U233" i="8"/>
  <c r="U235" i="21" s="1"/>
  <c r="V233" i="8"/>
  <c r="V235" i="21" s="1"/>
  <c r="W233" i="8"/>
  <c r="W235" i="21" s="1"/>
  <c r="X233" i="8"/>
  <c r="X235" i="21" s="1"/>
  <c r="Y233" i="8"/>
  <c r="Y235" i="21" s="1"/>
  <c r="Z233" i="8"/>
  <c r="Z235" i="21" s="1"/>
  <c r="AA233" i="8"/>
  <c r="AA235" i="21" s="1"/>
  <c r="AB233" i="8"/>
  <c r="AB235" i="21" s="1"/>
  <c r="AC233" i="8"/>
  <c r="AC235" i="21" s="1"/>
  <c r="AD233" i="8"/>
  <c r="AD235" i="21" s="1"/>
  <c r="AE233" i="8"/>
  <c r="AF233" i="8"/>
  <c r="AF235" i="21" s="1"/>
  <c r="AG233" i="8"/>
  <c r="AG235" i="21" s="1"/>
  <c r="A234" i="8"/>
  <c r="A236" i="21" s="1"/>
  <c r="B234" i="8"/>
  <c r="B236" i="21" s="1"/>
  <c r="C234" i="8"/>
  <c r="C236" i="21" s="1"/>
  <c r="D234" i="8"/>
  <c r="D236" i="21" s="1"/>
  <c r="E234" i="8"/>
  <c r="E236" i="21" s="1"/>
  <c r="F234" i="8"/>
  <c r="F236" i="21" s="1"/>
  <c r="G234" i="8"/>
  <c r="G236" i="21" s="1"/>
  <c r="H234" i="8"/>
  <c r="H236" i="21" s="1"/>
  <c r="I234" i="8"/>
  <c r="I236" i="21" s="1"/>
  <c r="J234" i="8"/>
  <c r="J236" i="21" s="1"/>
  <c r="K234" i="8"/>
  <c r="K236" i="21" s="1"/>
  <c r="L234" i="8"/>
  <c r="L236" i="21" s="1"/>
  <c r="M234" i="8"/>
  <c r="M236" i="21" s="1"/>
  <c r="N234" i="8"/>
  <c r="N236" i="21" s="1"/>
  <c r="O234" i="8"/>
  <c r="O236" i="21" s="1"/>
  <c r="P234" i="8"/>
  <c r="P236" i="21" s="1"/>
  <c r="Q234" i="8"/>
  <c r="Q236" i="21" s="1"/>
  <c r="R234" i="8"/>
  <c r="R236" i="21" s="1"/>
  <c r="S234" i="8"/>
  <c r="S236" i="21" s="1"/>
  <c r="T234" i="8"/>
  <c r="T236" i="21" s="1"/>
  <c r="U234" i="8"/>
  <c r="U236" i="21" s="1"/>
  <c r="V234" i="8"/>
  <c r="V236" i="21" s="1"/>
  <c r="W234" i="8"/>
  <c r="W236" i="21" s="1"/>
  <c r="X234" i="8"/>
  <c r="X236" i="21" s="1"/>
  <c r="Y234" i="8"/>
  <c r="Y236" i="21" s="1"/>
  <c r="Z234" i="8"/>
  <c r="Z236" i="21" s="1"/>
  <c r="AA234" i="8"/>
  <c r="AA236" i="21" s="1"/>
  <c r="AB234" i="8"/>
  <c r="AB236" i="21" s="1"/>
  <c r="AC234" i="8"/>
  <c r="AC236" i="21" s="1"/>
  <c r="AD234" i="8"/>
  <c r="AD236" i="21" s="1"/>
  <c r="AE234" i="8"/>
  <c r="AE236" i="21" s="1"/>
  <c r="AF234" i="8"/>
  <c r="AF236" i="21" s="1"/>
  <c r="AG234" i="8"/>
  <c r="AG236" i="21" s="1"/>
  <c r="A235" i="8"/>
  <c r="A237" i="21" s="1"/>
  <c r="B235" i="8"/>
  <c r="B237" i="21" s="1"/>
  <c r="C235" i="8"/>
  <c r="C237" i="21" s="1"/>
  <c r="D235" i="8"/>
  <c r="D237" i="21" s="1"/>
  <c r="E235" i="8"/>
  <c r="E237" i="21" s="1"/>
  <c r="F235" i="8"/>
  <c r="F237" i="21" s="1"/>
  <c r="G235" i="8"/>
  <c r="G237" i="21" s="1"/>
  <c r="H235" i="8"/>
  <c r="H237" i="21" s="1"/>
  <c r="I235" i="8"/>
  <c r="I237" i="21" s="1"/>
  <c r="J235" i="8"/>
  <c r="J237" i="21" s="1"/>
  <c r="K235" i="8"/>
  <c r="K237" i="21" s="1"/>
  <c r="L235" i="8"/>
  <c r="L237" i="21" s="1"/>
  <c r="M235" i="8"/>
  <c r="M237" i="21" s="1"/>
  <c r="N235" i="8"/>
  <c r="N237" i="21" s="1"/>
  <c r="O235" i="8"/>
  <c r="O237" i="21" s="1"/>
  <c r="P235" i="8"/>
  <c r="P237" i="21" s="1"/>
  <c r="Q235" i="8"/>
  <c r="Q237" i="21" s="1"/>
  <c r="R235" i="8"/>
  <c r="R237" i="21" s="1"/>
  <c r="S235" i="8"/>
  <c r="S237" i="21" s="1"/>
  <c r="T235" i="8"/>
  <c r="T237" i="21" s="1"/>
  <c r="U235" i="8"/>
  <c r="U237" i="21" s="1"/>
  <c r="V235" i="8"/>
  <c r="V237" i="21" s="1"/>
  <c r="W235" i="8"/>
  <c r="W237" i="21" s="1"/>
  <c r="X235" i="8"/>
  <c r="X237" i="21" s="1"/>
  <c r="Y235" i="8"/>
  <c r="Y237" i="21" s="1"/>
  <c r="Z235" i="8"/>
  <c r="Z237" i="21" s="1"/>
  <c r="AA235" i="8"/>
  <c r="AA237" i="21" s="1"/>
  <c r="AB235" i="8"/>
  <c r="AB237" i="21" s="1"/>
  <c r="AC235" i="8"/>
  <c r="AC237" i="21" s="1"/>
  <c r="AD235" i="8"/>
  <c r="AD237" i="21" s="1"/>
  <c r="AE235" i="8"/>
  <c r="AF235" i="8"/>
  <c r="AG235" i="8"/>
  <c r="A236" i="8"/>
  <c r="A238" i="21" s="1"/>
  <c r="B236" i="8"/>
  <c r="B238" i="21" s="1"/>
  <c r="C236" i="8"/>
  <c r="C238" i="21" s="1"/>
  <c r="D236" i="8"/>
  <c r="D238" i="21" s="1"/>
  <c r="E236" i="8"/>
  <c r="E238" i="21" s="1"/>
  <c r="F236" i="8"/>
  <c r="F238" i="21" s="1"/>
  <c r="G236" i="8"/>
  <c r="G238" i="21" s="1"/>
  <c r="H236" i="8"/>
  <c r="H238" i="21" s="1"/>
  <c r="I236" i="8"/>
  <c r="I238" i="21" s="1"/>
  <c r="J236" i="8"/>
  <c r="J238" i="21" s="1"/>
  <c r="K236" i="8"/>
  <c r="K238" i="21" s="1"/>
  <c r="L236" i="8"/>
  <c r="L238" i="21" s="1"/>
  <c r="M236" i="8"/>
  <c r="M238" i="21" s="1"/>
  <c r="N236" i="8"/>
  <c r="N238" i="21" s="1"/>
  <c r="O236" i="8"/>
  <c r="O238" i="21" s="1"/>
  <c r="P236" i="8"/>
  <c r="P238" i="21" s="1"/>
  <c r="Q236" i="8"/>
  <c r="Q238" i="21" s="1"/>
  <c r="R236" i="8"/>
  <c r="R238" i="21" s="1"/>
  <c r="S236" i="8"/>
  <c r="S238" i="21" s="1"/>
  <c r="T236" i="8"/>
  <c r="T238" i="21" s="1"/>
  <c r="U236" i="8"/>
  <c r="U238" i="21" s="1"/>
  <c r="V236" i="8"/>
  <c r="V238" i="21" s="1"/>
  <c r="W236" i="8"/>
  <c r="W238" i="21" s="1"/>
  <c r="X236" i="8"/>
  <c r="X238" i="21" s="1"/>
  <c r="Y236" i="8"/>
  <c r="Y238" i="21" s="1"/>
  <c r="Z236" i="8"/>
  <c r="Z238" i="21" s="1"/>
  <c r="AA236" i="8"/>
  <c r="AA238" i="21" s="1"/>
  <c r="AB236" i="8"/>
  <c r="AB238" i="21" s="1"/>
  <c r="AC236" i="8"/>
  <c r="AC238" i="21" s="1"/>
  <c r="AD236" i="8"/>
  <c r="AD238" i="21" s="1"/>
  <c r="AE236" i="8"/>
  <c r="AE238" i="21" s="1"/>
  <c r="AF236" i="8"/>
  <c r="AF238" i="21" s="1"/>
  <c r="AG236" i="8"/>
  <c r="AG238" i="21" s="1"/>
  <c r="A237" i="8"/>
  <c r="A239" i="21" s="1"/>
  <c r="B237" i="8"/>
  <c r="B239" i="21" s="1"/>
  <c r="C237" i="8"/>
  <c r="C239" i="21" s="1"/>
  <c r="D237" i="8"/>
  <c r="D239" i="21" s="1"/>
  <c r="E237" i="8"/>
  <c r="E239" i="21" s="1"/>
  <c r="F237" i="8"/>
  <c r="F239" i="21" s="1"/>
  <c r="G237" i="8"/>
  <c r="G239" i="21" s="1"/>
  <c r="H237" i="8"/>
  <c r="H239" i="21" s="1"/>
  <c r="I237" i="8"/>
  <c r="I239" i="21" s="1"/>
  <c r="J237" i="8"/>
  <c r="J239" i="21" s="1"/>
  <c r="K237" i="8"/>
  <c r="K239" i="21" s="1"/>
  <c r="L237" i="8"/>
  <c r="L239" i="21" s="1"/>
  <c r="M237" i="8"/>
  <c r="M239" i="21" s="1"/>
  <c r="N237" i="8"/>
  <c r="N239" i="21" s="1"/>
  <c r="O237" i="8"/>
  <c r="O239" i="21" s="1"/>
  <c r="P237" i="8"/>
  <c r="P239" i="21" s="1"/>
  <c r="Q237" i="8"/>
  <c r="Q239" i="21" s="1"/>
  <c r="R237" i="8"/>
  <c r="R239" i="21" s="1"/>
  <c r="S237" i="8"/>
  <c r="S239" i="21" s="1"/>
  <c r="T237" i="8"/>
  <c r="T239" i="21" s="1"/>
  <c r="U237" i="8"/>
  <c r="U239" i="21" s="1"/>
  <c r="V237" i="8"/>
  <c r="V239" i="21" s="1"/>
  <c r="W237" i="8"/>
  <c r="W239" i="21" s="1"/>
  <c r="X237" i="8"/>
  <c r="X239" i="21" s="1"/>
  <c r="Y237" i="8"/>
  <c r="Y239" i="21" s="1"/>
  <c r="Z237" i="8"/>
  <c r="Z239" i="21" s="1"/>
  <c r="AA237" i="8"/>
  <c r="AA239" i="21" s="1"/>
  <c r="AB237" i="8"/>
  <c r="AB239" i="21" s="1"/>
  <c r="AC237" i="8"/>
  <c r="AC239" i="21" s="1"/>
  <c r="AD237" i="8"/>
  <c r="AD239" i="21" s="1"/>
  <c r="AE237" i="8"/>
  <c r="AF237" i="8"/>
  <c r="AF239" i="21" s="1"/>
  <c r="AG237" i="8"/>
  <c r="AG239" i="21" s="1"/>
  <c r="A238" i="8"/>
  <c r="A240" i="21" s="1"/>
  <c r="B238" i="8"/>
  <c r="B240" i="21" s="1"/>
  <c r="C238" i="8"/>
  <c r="C240" i="21" s="1"/>
  <c r="D238" i="8"/>
  <c r="D240" i="21" s="1"/>
  <c r="E238" i="8"/>
  <c r="E240" i="21" s="1"/>
  <c r="F238" i="8"/>
  <c r="F240" i="21" s="1"/>
  <c r="G238" i="8"/>
  <c r="G240" i="21" s="1"/>
  <c r="H238" i="8"/>
  <c r="H240" i="21" s="1"/>
  <c r="I238" i="8"/>
  <c r="I240" i="21" s="1"/>
  <c r="J238" i="8"/>
  <c r="J240" i="21" s="1"/>
  <c r="K238" i="8"/>
  <c r="K240" i="21" s="1"/>
  <c r="L238" i="8"/>
  <c r="L240" i="21" s="1"/>
  <c r="M238" i="8"/>
  <c r="M240" i="21" s="1"/>
  <c r="N238" i="8"/>
  <c r="N240" i="21" s="1"/>
  <c r="O238" i="8"/>
  <c r="O240" i="21" s="1"/>
  <c r="P238" i="8"/>
  <c r="P240" i="21" s="1"/>
  <c r="Q238" i="8"/>
  <c r="Q240" i="21" s="1"/>
  <c r="R238" i="8"/>
  <c r="R240" i="21" s="1"/>
  <c r="S238" i="8"/>
  <c r="S240" i="21" s="1"/>
  <c r="T238" i="8"/>
  <c r="T240" i="21" s="1"/>
  <c r="U238" i="8"/>
  <c r="U240" i="21" s="1"/>
  <c r="V238" i="8"/>
  <c r="V240" i="21" s="1"/>
  <c r="W238" i="8"/>
  <c r="W240" i="21" s="1"/>
  <c r="X238" i="8"/>
  <c r="X240" i="21" s="1"/>
  <c r="Y238" i="8"/>
  <c r="Y240" i="21" s="1"/>
  <c r="Z238" i="8"/>
  <c r="Z240" i="21" s="1"/>
  <c r="AA238" i="8"/>
  <c r="AA240" i="21" s="1"/>
  <c r="AB238" i="8"/>
  <c r="AB240" i="21" s="1"/>
  <c r="AC238" i="8"/>
  <c r="AC240" i="21" s="1"/>
  <c r="AD238" i="8"/>
  <c r="AD240" i="21" s="1"/>
  <c r="AE238" i="8"/>
  <c r="AE240" i="21" s="1"/>
  <c r="AF238" i="8"/>
  <c r="AF240" i="21" s="1"/>
  <c r="AG238" i="8"/>
  <c r="AG240" i="21" s="1"/>
  <c r="A239" i="8"/>
  <c r="A241" i="21" s="1"/>
  <c r="B239" i="8"/>
  <c r="B241" i="21" s="1"/>
  <c r="C239" i="8"/>
  <c r="C241" i="21" s="1"/>
  <c r="D239" i="8"/>
  <c r="D241" i="21" s="1"/>
  <c r="E239" i="8"/>
  <c r="E241" i="21" s="1"/>
  <c r="F239" i="8"/>
  <c r="F241" i="21" s="1"/>
  <c r="G239" i="8"/>
  <c r="G241" i="21" s="1"/>
  <c r="H239" i="8"/>
  <c r="H241" i="21" s="1"/>
  <c r="I239" i="8"/>
  <c r="I241" i="21" s="1"/>
  <c r="J239" i="8"/>
  <c r="J241" i="21" s="1"/>
  <c r="K239" i="8"/>
  <c r="K241" i="21" s="1"/>
  <c r="L239" i="8"/>
  <c r="L241" i="21" s="1"/>
  <c r="M239" i="8"/>
  <c r="M241" i="21" s="1"/>
  <c r="N239" i="8"/>
  <c r="N241" i="21" s="1"/>
  <c r="O239" i="8"/>
  <c r="O241" i="21" s="1"/>
  <c r="P239" i="8"/>
  <c r="P241" i="21" s="1"/>
  <c r="Q239" i="8"/>
  <c r="Q241" i="21" s="1"/>
  <c r="R239" i="8"/>
  <c r="R241" i="21" s="1"/>
  <c r="S239" i="8"/>
  <c r="S241" i="21" s="1"/>
  <c r="T239" i="8"/>
  <c r="T241" i="21" s="1"/>
  <c r="U239" i="8"/>
  <c r="U241" i="21" s="1"/>
  <c r="V239" i="8"/>
  <c r="V241" i="21" s="1"/>
  <c r="W239" i="8"/>
  <c r="W241" i="21" s="1"/>
  <c r="X239" i="8"/>
  <c r="X241" i="21" s="1"/>
  <c r="Y239" i="8"/>
  <c r="Y241" i="21" s="1"/>
  <c r="Z239" i="8"/>
  <c r="Z241" i="21" s="1"/>
  <c r="AA239" i="8"/>
  <c r="AA241" i="21" s="1"/>
  <c r="AB239" i="8"/>
  <c r="AB241" i="21" s="1"/>
  <c r="AC239" i="8"/>
  <c r="AC241" i="21" s="1"/>
  <c r="AD239" i="8"/>
  <c r="AD241" i="21" s="1"/>
  <c r="AE239" i="8"/>
  <c r="AF239" i="8"/>
  <c r="AF241" i="21" s="1"/>
  <c r="AG239" i="8"/>
  <c r="AG241" i="21" s="1"/>
  <c r="A240" i="8"/>
  <c r="A242" i="21" s="1"/>
  <c r="B240" i="8"/>
  <c r="B242" i="21" s="1"/>
  <c r="C240" i="8"/>
  <c r="C242" i="21" s="1"/>
  <c r="D240" i="8"/>
  <c r="D242" i="21" s="1"/>
  <c r="E240" i="8"/>
  <c r="E242" i="21" s="1"/>
  <c r="F240" i="8"/>
  <c r="F242" i="21" s="1"/>
  <c r="G240" i="8"/>
  <c r="G242" i="21" s="1"/>
  <c r="H240" i="8"/>
  <c r="H242" i="21" s="1"/>
  <c r="I240" i="8"/>
  <c r="I242" i="21" s="1"/>
  <c r="J240" i="8"/>
  <c r="J242" i="21" s="1"/>
  <c r="K240" i="8"/>
  <c r="K242" i="21" s="1"/>
  <c r="L240" i="8"/>
  <c r="L242" i="21" s="1"/>
  <c r="M240" i="8"/>
  <c r="M242" i="21" s="1"/>
  <c r="N240" i="8"/>
  <c r="N242" i="21" s="1"/>
  <c r="O240" i="8"/>
  <c r="O242" i="21" s="1"/>
  <c r="P240" i="8"/>
  <c r="P242" i="21" s="1"/>
  <c r="Q240" i="8"/>
  <c r="Q242" i="21" s="1"/>
  <c r="R240" i="8"/>
  <c r="R242" i="21" s="1"/>
  <c r="S240" i="8"/>
  <c r="S242" i="21" s="1"/>
  <c r="T240" i="8"/>
  <c r="T242" i="21" s="1"/>
  <c r="U240" i="8"/>
  <c r="U242" i="21" s="1"/>
  <c r="V240" i="8"/>
  <c r="V242" i="21" s="1"/>
  <c r="W240" i="8"/>
  <c r="W242" i="21" s="1"/>
  <c r="X240" i="8"/>
  <c r="X242" i="21" s="1"/>
  <c r="Y240" i="8"/>
  <c r="Y242" i="21" s="1"/>
  <c r="Z240" i="8"/>
  <c r="Z242" i="21" s="1"/>
  <c r="AA240" i="8"/>
  <c r="AA242" i="21" s="1"/>
  <c r="AB240" i="8"/>
  <c r="AB242" i="21" s="1"/>
  <c r="AC240" i="8"/>
  <c r="AC242" i="21" s="1"/>
  <c r="AD240" i="8"/>
  <c r="AD242" i="21" s="1"/>
  <c r="AE240" i="8"/>
  <c r="AE242" i="21" s="1"/>
  <c r="AF240" i="8"/>
  <c r="AF242" i="21" s="1"/>
  <c r="AG240" i="8"/>
  <c r="AG242" i="21" s="1"/>
  <c r="A241" i="8"/>
  <c r="A243" i="21" s="1"/>
  <c r="B241" i="8"/>
  <c r="B243" i="21" s="1"/>
  <c r="C241" i="8"/>
  <c r="C243" i="21" s="1"/>
  <c r="D241" i="8"/>
  <c r="D243" i="21" s="1"/>
  <c r="E241" i="8"/>
  <c r="E243" i="21" s="1"/>
  <c r="F241" i="8"/>
  <c r="F243" i="21" s="1"/>
  <c r="G241" i="8"/>
  <c r="G243" i="21" s="1"/>
  <c r="H241" i="8"/>
  <c r="H243" i="21" s="1"/>
  <c r="I241" i="8"/>
  <c r="I243" i="21" s="1"/>
  <c r="J241" i="8"/>
  <c r="J243" i="21" s="1"/>
  <c r="K241" i="8"/>
  <c r="K243" i="21" s="1"/>
  <c r="L241" i="8"/>
  <c r="L243" i="21" s="1"/>
  <c r="M241" i="8"/>
  <c r="M243" i="21" s="1"/>
  <c r="N241" i="8"/>
  <c r="N243" i="21" s="1"/>
  <c r="O241" i="8"/>
  <c r="O243" i="21" s="1"/>
  <c r="P241" i="8"/>
  <c r="P243" i="21" s="1"/>
  <c r="Q241" i="8"/>
  <c r="Q243" i="21" s="1"/>
  <c r="R241" i="8"/>
  <c r="R243" i="21" s="1"/>
  <c r="S241" i="8"/>
  <c r="S243" i="21" s="1"/>
  <c r="T241" i="8"/>
  <c r="T243" i="21" s="1"/>
  <c r="U241" i="8"/>
  <c r="U243" i="21" s="1"/>
  <c r="V241" i="8"/>
  <c r="V243" i="21" s="1"/>
  <c r="W241" i="8"/>
  <c r="W243" i="21" s="1"/>
  <c r="X241" i="8"/>
  <c r="X243" i="21" s="1"/>
  <c r="Y241" i="8"/>
  <c r="Y243" i="21" s="1"/>
  <c r="Z241" i="8"/>
  <c r="Z243" i="21" s="1"/>
  <c r="AA241" i="8"/>
  <c r="AA243" i="21" s="1"/>
  <c r="AB241" i="8"/>
  <c r="AB243" i="21" s="1"/>
  <c r="AC241" i="8"/>
  <c r="AC243" i="21" s="1"/>
  <c r="AD241" i="8"/>
  <c r="AD243" i="21" s="1"/>
  <c r="AE241" i="8"/>
  <c r="AF241" i="8"/>
  <c r="AF243" i="21" s="1"/>
  <c r="AG241" i="8"/>
  <c r="AG243" i="21" s="1"/>
  <c r="A242" i="8"/>
  <c r="A244" i="21" s="1"/>
  <c r="B242" i="8"/>
  <c r="B244" i="21" s="1"/>
  <c r="C242" i="8"/>
  <c r="C244" i="21" s="1"/>
  <c r="D242" i="8"/>
  <c r="D244" i="21" s="1"/>
  <c r="E242" i="8"/>
  <c r="E244" i="21" s="1"/>
  <c r="F242" i="8"/>
  <c r="F244" i="21" s="1"/>
  <c r="G242" i="8"/>
  <c r="G244" i="21" s="1"/>
  <c r="H242" i="8"/>
  <c r="H244" i="21" s="1"/>
  <c r="I242" i="8"/>
  <c r="I244" i="21" s="1"/>
  <c r="J242" i="8"/>
  <c r="J244" i="21" s="1"/>
  <c r="K242" i="8"/>
  <c r="K244" i="21" s="1"/>
  <c r="L242" i="8"/>
  <c r="L244" i="21" s="1"/>
  <c r="M242" i="8"/>
  <c r="M244" i="21" s="1"/>
  <c r="N242" i="8"/>
  <c r="N244" i="21" s="1"/>
  <c r="O242" i="8"/>
  <c r="O244" i="21" s="1"/>
  <c r="P242" i="8"/>
  <c r="P244" i="21" s="1"/>
  <c r="Q242" i="8"/>
  <c r="Q244" i="21" s="1"/>
  <c r="R242" i="8"/>
  <c r="R244" i="21" s="1"/>
  <c r="S242" i="8"/>
  <c r="S244" i="21" s="1"/>
  <c r="T242" i="8"/>
  <c r="T244" i="21" s="1"/>
  <c r="U242" i="8"/>
  <c r="U244" i="21" s="1"/>
  <c r="V242" i="8"/>
  <c r="V244" i="21" s="1"/>
  <c r="W242" i="8"/>
  <c r="W244" i="21" s="1"/>
  <c r="X242" i="8"/>
  <c r="X244" i="21" s="1"/>
  <c r="Y242" i="8"/>
  <c r="Y244" i="21" s="1"/>
  <c r="Z242" i="8"/>
  <c r="Z244" i="21" s="1"/>
  <c r="AA242" i="8"/>
  <c r="AA244" i="21" s="1"/>
  <c r="AB242" i="8"/>
  <c r="AB244" i="21" s="1"/>
  <c r="AC242" i="8"/>
  <c r="AC244" i="21" s="1"/>
  <c r="AD242" i="8"/>
  <c r="AD244" i="21" s="1"/>
  <c r="AE242" i="8"/>
  <c r="AE244" i="21" s="1"/>
  <c r="AF242" i="8"/>
  <c r="AF244" i="21" s="1"/>
  <c r="AG242" i="8"/>
  <c r="AG244" i="21" s="1"/>
  <c r="A243" i="8"/>
  <c r="A245" i="21" s="1"/>
  <c r="B243" i="8"/>
  <c r="B245" i="21" s="1"/>
  <c r="C243" i="8"/>
  <c r="C245" i="21" s="1"/>
  <c r="D243" i="8"/>
  <c r="D245" i="21" s="1"/>
  <c r="E243" i="8"/>
  <c r="E245" i="21" s="1"/>
  <c r="F243" i="8"/>
  <c r="F245" i="21" s="1"/>
  <c r="G243" i="8"/>
  <c r="G245" i="21" s="1"/>
  <c r="H243" i="8"/>
  <c r="H245" i="21" s="1"/>
  <c r="I243" i="8"/>
  <c r="I245" i="21" s="1"/>
  <c r="J243" i="8"/>
  <c r="J245" i="21" s="1"/>
  <c r="K243" i="8"/>
  <c r="K245" i="21" s="1"/>
  <c r="L243" i="8"/>
  <c r="L245" i="21" s="1"/>
  <c r="M243" i="8"/>
  <c r="M245" i="21" s="1"/>
  <c r="N243" i="8"/>
  <c r="N245" i="21" s="1"/>
  <c r="O243" i="8"/>
  <c r="O245" i="21" s="1"/>
  <c r="P243" i="8"/>
  <c r="P245" i="21" s="1"/>
  <c r="Q243" i="8"/>
  <c r="Q245" i="21" s="1"/>
  <c r="R243" i="8"/>
  <c r="R245" i="21" s="1"/>
  <c r="S243" i="8"/>
  <c r="S245" i="21" s="1"/>
  <c r="T243" i="8"/>
  <c r="T245" i="21" s="1"/>
  <c r="U243" i="8"/>
  <c r="U245" i="21" s="1"/>
  <c r="V243" i="8"/>
  <c r="V245" i="21" s="1"/>
  <c r="W243" i="8"/>
  <c r="W245" i="21" s="1"/>
  <c r="X243" i="8"/>
  <c r="X245" i="21" s="1"/>
  <c r="Y243" i="8"/>
  <c r="Y245" i="21" s="1"/>
  <c r="Z243" i="8"/>
  <c r="Z245" i="21" s="1"/>
  <c r="AA243" i="8"/>
  <c r="AA245" i="21" s="1"/>
  <c r="AB243" i="8"/>
  <c r="AB245" i="21" s="1"/>
  <c r="AC243" i="8"/>
  <c r="AC245" i="21" s="1"/>
  <c r="AD243" i="8"/>
  <c r="AD245" i="21" s="1"/>
  <c r="AE243" i="8"/>
  <c r="AF243" i="8"/>
  <c r="AF245" i="21" s="1"/>
  <c r="AG243" i="8"/>
  <c r="AG245" i="21" s="1"/>
  <c r="A244" i="8"/>
  <c r="A246" i="21" s="1"/>
  <c r="B244" i="8"/>
  <c r="B246" i="21" s="1"/>
  <c r="C244" i="8"/>
  <c r="C246" i="21" s="1"/>
  <c r="D244" i="8"/>
  <c r="D246" i="21" s="1"/>
  <c r="E244" i="8"/>
  <c r="E246" i="21" s="1"/>
  <c r="F244" i="8"/>
  <c r="F246" i="21" s="1"/>
  <c r="G244" i="8"/>
  <c r="G246" i="21" s="1"/>
  <c r="H244" i="8"/>
  <c r="H246" i="21" s="1"/>
  <c r="I244" i="8"/>
  <c r="I246" i="21" s="1"/>
  <c r="J244" i="8"/>
  <c r="J246" i="21" s="1"/>
  <c r="K244" i="8"/>
  <c r="K246" i="21" s="1"/>
  <c r="L244" i="8"/>
  <c r="L246" i="21" s="1"/>
  <c r="M244" i="8"/>
  <c r="M246" i="21" s="1"/>
  <c r="N244" i="8"/>
  <c r="N246" i="21" s="1"/>
  <c r="O244" i="8"/>
  <c r="O246" i="21" s="1"/>
  <c r="P244" i="8"/>
  <c r="P246" i="21" s="1"/>
  <c r="Q244" i="8"/>
  <c r="Q246" i="21" s="1"/>
  <c r="R244" i="8"/>
  <c r="R246" i="21" s="1"/>
  <c r="S244" i="8"/>
  <c r="S246" i="21" s="1"/>
  <c r="T244" i="8"/>
  <c r="T246" i="21" s="1"/>
  <c r="U244" i="8"/>
  <c r="U246" i="21" s="1"/>
  <c r="V244" i="8"/>
  <c r="V246" i="21" s="1"/>
  <c r="W244" i="8"/>
  <c r="W246" i="21" s="1"/>
  <c r="X244" i="8"/>
  <c r="X246" i="21" s="1"/>
  <c r="Y244" i="8"/>
  <c r="Y246" i="21" s="1"/>
  <c r="Z244" i="8"/>
  <c r="Z246" i="21" s="1"/>
  <c r="AA244" i="8"/>
  <c r="AA246" i="21" s="1"/>
  <c r="AB244" i="8"/>
  <c r="AB246" i="21" s="1"/>
  <c r="AC244" i="8"/>
  <c r="AC246" i="21" s="1"/>
  <c r="AD244" i="8"/>
  <c r="AD246" i="21" s="1"/>
  <c r="AE244" i="8"/>
  <c r="AE246" i="21" s="1"/>
  <c r="AF244" i="8"/>
  <c r="AF246" i="21" s="1"/>
  <c r="AG244" i="8"/>
  <c r="A245" i="8"/>
  <c r="A247" i="21" s="1"/>
  <c r="B245" i="8"/>
  <c r="B247" i="21" s="1"/>
  <c r="C245" i="8"/>
  <c r="C247" i="21" s="1"/>
  <c r="D245" i="8"/>
  <c r="D247" i="21" s="1"/>
  <c r="E245" i="8"/>
  <c r="E247" i="21" s="1"/>
  <c r="F245" i="8"/>
  <c r="F247" i="21" s="1"/>
  <c r="G245" i="8"/>
  <c r="G247" i="21" s="1"/>
  <c r="H245" i="8"/>
  <c r="H247" i="21" s="1"/>
  <c r="I245" i="8"/>
  <c r="I247" i="21" s="1"/>
  <c r="J245" i="8"/>
  <c r="J247" i="21" s="1"/>
  <c r="K245" i="8"/>
  <c r="K247" i="21" s="1"/>
  <c r="L245" i="8"/>
  <c r="L247" i="21" s="1"/>
  <c r="M245" i="8"/>
  <c r="M247" i="21" s="1"/>
  <c r="N245" i="8"/>
  <c r="N247" i="21" s="1"/>
  <c r="O245" i="8"/>
  <c r="O247" i="21" s="1"/>
  <c r="P245" i="8"/>
  <c r="P247" i="21" s="1"/>
  <c r="Q245" i="8"/>
  <c r="Q247" i="21" s="1"/>
  <c r="R245" i="8"/>
  <c r="R247" i="21" s="1"/>
  <c r="S245" i="8"/>
  <c r="S247" i="21" s="1"/>
  <c r="T245" i="8"/>
  <c r="T247" i="21" s="1"/>
  <c r="U245" i="8"/>
  <c r="U247" i="21" s="1"/>
  <c r="V245" i="8"/>
  <c r="V247" i="21" s="1"/>
  <c r="W245" i="8"/>
  <c r="W247" i="21" s="1"/>
  <c r="X245" i="8"/>
  <c r="X247" i="21" s="1"/>
  <c r="Y245" i="8"/>
  <c r="Y247" i="21" s="1"/>
  <c r="Z245" i="8"/>
  <c r="Z247" i="21" s="1"/>
  <c r="AA245" i="8"/>
  <c r="AA247" i="21" s="1"/>
  <c r="AB245" i="8"/>
  <c r="AB247" i="21" s="1"/>
  <c r="AC245" i="8"/>
  <c r="AC247" i="21" s="1"/>
  <c r="AD245" i="8"/>
  <c r="AD247" i="21" s="1"/>
  <c r="AE245" i="8"/>
  <c r="AF245" i="8"/>
  <c r="AF247" i="21" s="1"/>
  <c r="AG245" i="8"/>
  <c r="AG247" i="21" s="1"/>
  <c r="A246" i="8"/>
  <c r="A248" i="21" s="1"/>
  <c r="B246" i="8"/>
  <c r="B248" i="21" s="1"/>
  <c r="C246" i="8"/>
  <c r="C248" i="21" s="1"/>
  <c r="D246" i="8"/>
  <c r="D248" i="21" s="1"/>
  <c r="E246" i="8"/>
  <c r="E248" i="21" s="1"/>
  <c r="F246" i="8"/>
  <c r="F248" i="21" s="1"/>
  <c r="G246" i="8"/>
  <c r="G248" i="21" s="1"/>
  <c r="H246" i="8"/>
  <c r="H248" i="21" s="1"/>
  <c r="I246" i="8"/>
  <c r="I248" i="21" s="1"/>
  <c r="J246" i="8"/>
  <c r="J248" i="21" s="1"/>
  <c r="K246" i="8"/>
  <c r="K248" i="21" s="1"/>
  <c r="L246" i="8"/>
  <c r="L248" i="21" s="1"/>
  <c r="M246" i="8"/>
  <c r="M248" i="21" s="1"/>
  <c r="N246" i="8"/>
  <c r="N248" i="21" s="1"/>
  <c r="O246" i="8"/>
  <c r="O248" i="21" s="1"/>
  <c r="P246" i="8"/>
  <c r="P248" i="21" s="1"/>
  <c r="Q246" i="8"/>
  <c r="Q248" i="21" s="1"/>
  <c r="R246" i="8"/>
  <c r="R248" i="21" s="1"/>
  <c r="S246" i="8"/>
  <c r="S248" i="21" s="1"/>
  <c r="T246" i="8"/>
  <c r="T248" i="21" s="1"/>
  <c r="U246" i="8"/>
  <c r="U248" i="21" s="1"/>
  <c r="V246" i="8"/>
  <c r="V248" i="21" s="1"/>
  <c r="W246" i="8"/>
  <c r="W248" i="21" s="1"/>
  <c r="X246" i="8"/>
  <c r="X248" i="21" s="1"/>
  <c r="Y246" i="8"/>
  <c r="Y248" i="21" s="1"/>
  <c r="Z246" i="8"/>
  <c r="Z248" i="21" s="1"/>
  <c r="AA246" i="8"/>
  <c r="AA248" i="21" s="1"/>
  <c r="AB246" i="8"/>
  <c r="AB248" i="21" s="1"/>
  <c r="AC246" i="8"/>
  <c r="AC248" i="21" s="1"/>
  <c r="AD246" i="8"/>
  <c r="AD248" i="21" s="1"/>
  <c r="AE246" i="8"/>
  <c r="AE248" i="21" s="1"/>
  <c r="AF246" i="8"/>
  <c r="AG246" i="8"/>
  <c r="A247" i="8"/>
  <c r="A249" i="21" s="1"/>
  <c r="B247" i="8"/>
  <c r="B249" i="21" s="1"/>
  <c r="C247" i="8"/>
  <c r="C249" i="21" s="1"/>
  <c r="D247" i="8"/>
  <c r="D249" i="21" s="1"/>
  <c r="E247" i="8"/>
  <c r="E249" i="21" s="1"/>
  <c r="F247" i="8"/>
  <c r="F249" i="21" s="1"/>
  <c r="G247" i="8"/>
  <c r="G249" i="21" s="1"/>
  <c r="H247" i="8"/>
  <c r="H249" i="21" s="1"/>
  <c r="I247" i="8"/>
  <c r="I249" i="21" s="1"/>
  <c r="J247" i="8"/>
  <c r="J249" i="21" s="1"/>
  <c r="K247" i="8"/>
  <c r="K249" i="21" s="1"/>
  <c r="L247" i="8"/>
  <c r="L249" i="21" s="1"/>
  <c r="M247" i="8"/>
  <c r="M249" i="21" s="1"/>
  <c r="N247" i="8"/>
  <c r="N249" i="21" s="1"/>
  <c r="O247" i="8"/>
  <c r="O249" i="21" s="1"/>
  <c r="P247" i="8"/>
  <c r="P249" i="21" s="1"/>
  <c r="Q247" i="8"/>
  <c r="Q249" i="21" s="1"/>
  <c r="R247" i="8"/>
  <c r="R249" i="21" s="1"/>
  <c r="S247" i="8"/>
  <c r="S249" i="21" s="1"/>
  <c r="T247" i="8"/>
  <c r="T249" i="21" s="1"/>
  <c r="U247" i="8"/>
  <c r="U249" i="21" s="1"/>
  <c r="V247" i="8"/>
  <c r="V249" i="21" s="1"/>
  <c r="W247" i="8"/>
  <c r="W249" i="21" s="1"/>
  <c r="X247" i="8"/>
  <c r="X249" i="21" s="1"/>
  <c r="Y247" i="8"/>
  <c r="Y249" i="21" s="1"/>
  <c r="Z247" i="8"/>
  <c r="Z249" i="21" s="1"/>
  <c r="AA247" i="8"/>
  <c r="AA249" i="21" s="1"/>
  <c r="AB247" i="8"/>
  <c r="AB249" i="21" s="1"/>
  <c r="AC247" i="8"/>
  <c r="AC249" i="21" s="1"/>
  <c r="AD247" i="8"/>
  <c r="AD249" i="21" s="1"/>
  <c r="AE247" i="8"/>
  <c r="AF247" i="8"/>
  <c r="AG247" i="8"/>
  <c r="A248" i="8"/>
  <c r="A250" i="21" s="1"/>
  <c r="B248" i="8"/>
  <c r="B250" i="21" s="1"/>
  <c r="C248" i="8"/>
  <c r="C250" i="21" s="1"/>
  <c r="D248" i="8"/>
  <c r="D250" i="21" s="1"/>
  <c r="E248" i="8"/>
  <c r="E250" i="21" s="1"/>
  <c r="F248" i="8"/>
  <c r="F250" i="21" s="1"/>
  <c r="G248" i="8"/>
  <c r="G250" i="21" s="1"/>
  <c r="H248" i="8"/>
  <c r="H250" i="21" s="1"/>
  <c r="I248" i="8"/>
  <c r="I250" i="21" s="1"/>
  <c r="J248" i="8"/>
  <c r="J250" i="21" s="1"/>
  <c r="K248" i="8"/>
  <c r="K250" i="21" s="1"/>
  <c r="L248" i="8"/>
  <c r="L250" i="21" s="1"/>
  <c r="M248" i="8"/>
  <c r="M250" i="21" s="1"/>
  <c r="N248" i="8"/>
  <c r="N250" i="21" s="1"/>
  <c r="O248" i="8"/>
  <c r="O250" i="21" s="1"/>
  <c r="P248" i="8"/>
  <c r="P250" i="21" s="1"/>
  <c r="Q248" i="8"/>
  <c r="Q250" i="21" s="1"/>
  <c r="R248" i="8"/>
  <c r="R250" i="21" s="1"/>
  <c r="S248" i="8"/>
  <c r="S250" i="21" s="1"/>
  <c r="T248" i="8"/>
  <c r="T250" i="21" s="1"/>
  <c r="U248" i="8"/>
  <c r="U250" i="21" s="1"/>
  <c r="V248" i="8"/>
  <c r="V250" i="21" s="1"/>
  <c r="W248" i="8"/>
  <c r="W250" i="21" s="1"/>
  <c r="X248" i="8"/>
  <c r="X250" i="21" s="1"/>
  <c r="Y248" i="8"/>
  <c r="Y250" i="21" s="1"/>
  <c r="Z248" i="8"/>
  <c r="Z250" i="21" s="1"/>
  <c r="AA248" i="8"/>
  <c r="AA250" i="21" s="1"/>
  <c r="AB248" i="8"/>
  <c r="AB250" i="21" s="1"/>
  <c r="AC248" i="8"/>
  <c r="AC250" i="21" s="1"/>
  <c r="AD248" i="8"/>
  <c r="AD250" i="21" s="1"/>
  <c r="AE248" i="8"/>
  <c r="AE250" i="21" s="1"/>
  <c r="AF248" i="8"/>
  <c r="AG248" i="8"/>
  <c r="A249" i="8"/>
  <c r="A251" i="21" s="1"/>
  <c r="B249" i="8"/>
  <c r="B251" i="21" s="1"/>
  <c r="C249" i="8"/>
  <c r="C251" i="21" s="1"/>
  <c r="D249" i="8"/>
  <c r="D251" i="21" s="1"/>
  <c r="E249" i="8"/>
  <c r="E251" i="21" s="1"/>
  <c r="F249" i="8"/>
  <c r="F251" i="21" s="1"/>
  <c r="G249" i="8"/>
  <c r="G251" i="21" s="1"/>
  <c r="H249" i="8"/>
  <c r="H251" i="21" s="1"/>
  <c r="I249" i="8"/>
  <c r="I251" i="21" s="1"/>
  <c r="J249" i="8"/>
  <c r="J251" i="21" s="1"/>
  <c r="K249" i="8"/>
  <c r="K251" i="21" s="1"/>
  <c r="L249" i="8"/>
  <c r="L251" i="21" s="1"/>
  <c r="M249" i="8"/>
  <c r="M251" i="21" s="1"/>
  <c r="N249" i="8"/>
  <c r="N251" i="21" s="1"/>
  <c r="O249" i="8"/>
  <c r="O251" i="21" s="1"/>
  <c r="P249" i="8"/>
  <c r="P251" i="21" s="1"/>
  <c r="Q249" i="8"/>
  <c r="Q251" i="21" s="1"/>
  <c r="R249" i="8"/>
  <c r="R251" i="21" s="1"/>
  <c r="S249" i="8"/>
  <c r="S251" i="21" s="1"/>
  <c r="T249" i="8"/>
  <c r="T251" i="21" s="1"/>
  <c r="U249" i="8"/>
  <c r="U251" i="21" s="1"/>
  <c r="V249" i="8"/>
  <c r="V251" i="21" s="1"/>
  <c r="W249" i="8"/>
  <c r="W251" i="21" s="1"/>
  <c r="X249" i="8"/>
  <c r="X251" i="21" s="1"/>
  <c r="Y249" i="8"/>
  <c r="Y251" i="21" s="1"/>
  <c r="Z249" i="8"/>
  <c r="Z251" i="21" s="1"/>
  <c r="AA249" i="8"/>
  <c r="AA251" i="21" s="1"/>
  <c r="AB249" i="8"/>
  <c r="AB251" i="21" s="1"/>
  <c r="AC249" i="8"/>
  <c r="AC251" i="21" s="1"/>
  <c r="AD249" i="8"/>
  <c r="AD251" i="21" s="1"/>
  <c r="AE249" i="8"/>
  <c r="AF249" i="8"/>
  <c r="AG249" i="8"/>
  <c r="A250" i="8"/>
  <c r="A252" i="21" s="1"/>
  <c r="B250" i="8"/>
  <c r="B252" i="21" s="1"/>
  <c r="C250" i="8"/>
  <c r="C252" i="21" s="1"/>
  <c r="D250" i="8"/>
  <c r="D252" i="21" s="1"/>
  <c r="E250" i="8"/>
  <c r="E252" i="21" s="1"/>
  <c r="F250" i="8"/>
  <c r="F252" i="21" s="1"/>
  <c r="G250" i="8"/>
  <c r="G252" i="21" s="1"/>
  <c r="H250" i="8"/>
  <c r="H252" i="21" s="1"/>
  <c r="I250" i="8"/>
  <c r="I252" i="21" s="1"/>
  <c r="J250" i="8"/>
  <c r="J252" i="21" s="1"/>
  <c r="K250" i="8"/>
  <c r="K252" i="21" s="1"/>
  <c r="L250" i="8"/>
  <c r="L252" i="21" s="1"/>
  <c r="M250" i="8"/>
  <c r="M252" i="21" s="1"/>
  <c r="N250" i="8"/>
  <c r="N252" i="21" s="1"/>
  <c r="O250" i="8"/>
  <c r="O252" i="21" s="1"/>
  <c r="P250" i="8"/>
  <c r="P252" i="21" s="1"/>
  <c r="Q250" i="8"/>
  <c r="Q252" i="21" s="1"/>
  <c r="R250" i="8"/>
  <c r="R252" i="21" s="1"/>
  <c r="S250" i="8"/>
  <c r="S252" i="21" s="1"/>
  <c r="T250" i="8"/>
  <c r="T252" i="21" s="1"/>
  <c r="U250" i="8"/>
  <c r="U252" i="21" s="1"/>
  <c r="V250" i="8"/>
  <c r="V252" i="21" s="1"/>
  <c r="W250" i="8"/>
  <c r="W252" i="21" s="1"/>
  <c r="X250" i="8"/>
  <c r="X252" i="21" s="1"/>
  <c r="Y250" i="8"/>
  <c r="Y252" i="21" s="1"/>
  <c r="Z250" i="8"/>
  <c r="Z252" i="21" s="1"/>
  <c r="AA250" i="8"/>
  <c r="AA252" i="21" s="1"/>
  <c r="AB250" i="8"/>
  <c r="AB252" i="21" s="1"/>
  <c r="AC250" i="8"/>
  <c r="AC252" i="21" s="1"/>
  <c r="AD250" i="8"/>
  <c r="AD252" i="21" s="1"/>
  <c r="AE250" i="8"/>
  <c r="AE252" i="21" s="1"/>
  <c r="AF250" i="8"/>
  <c r="AF252" i="21" s="1"/>
  <c r="AG250" i="8"/>
  <c r="AG252" i="21" s="1"/>
  <c r="A251" i="8"/>
  <c r="A253" i="21" s="1"/>
  <c r="B251" i="8"/>
  <c r="B253" i="21" s="1"/>
  <c r="C251" i="8"/>
  <c r="C253" i="21" s="1"/>
  <c r="D251" i="8"/>
  <c r="D253" i="21" s="1"/>
  <c r="E251" i="8"/>
  <c r="E253" i="21" s="1"/>
  <c r="F251" i="8"/>
  <c r="F253" i="21" s="1"/>
  <c r="G251" i="8"/>
  <c r="G253" i="21" s="1"/>
  <c r="H251" i="8"/>
  <c r="H253" i="21" s="1"/>
  <c r="I251" i="8"/>
  <c r="I253" i="21" s="1"/>
  <c r="J251" i="8"/>
  <c r="J253" i="21" s="1"/>
  <c r="K251" i="8"/>
  <c r="K253" i="21" s="1"/>
  <c r="L251" i="8"/>
  <c r="L253" i="21" s="1"/>
  <c r="M251" i="8"/>
  <c r="M253" i="21" s="1"/>
  <c r="N251" i="8"/>
  <c r="N253" i="21" s="1"/>
  <c r="O251" i="8"/>
  <c r="O253" i="21" s="1"/>
  <c r="P251" i="8"/>
  <c r="P253" i="21" s="1"/>
  <c r="Q251" i="8"/>
  <c r="Q253" i="21" s="1"/>
  <c r="R251" i="8"/>
  <c r="R253" i="21" s="1"/>
  <c r="S251" i="8"/>
  <c r="S253" i="21" s="1"/>
  <c r="T251" i="8"/>
  <c r="T253" i="21" s="1"/>
  <c r="U251" i="8"/>
  <c r="U253" i="21" s="1"/>
  <c r="V251" i="8"/>
  <c r="V253" i="21" s="1"/>
  <c r="W251" i="8"/>
  <c r="W253" i="21" s="1"/>
  <c r="X251" i="8"/>
  <c r="X253" i="21" s="1"/>
  <c r="Y251" i="8"/>
  <c r="Y253" i="21" s="1"/>
  <c r="Z251" i="8"/>
  <c r="Z253" i="21" s="1"/>
  <c r="AA251" i="8"/>
  <c r="AA253" i="21" s="1"/>
  <c r="AB251" i="8"/>
  <c r="AB253" i="21" s="1"/>
  <c r="AC251" i="8"/>
  <c r="AC253" i="21" s="1"/>
  <c r="AD251" i="8"/>
  <c r="AD253" i="21" s="1"/>
  <c r="AE251" i="8"/>
  <c r="AF251" i="8"/>
  <c r="AF253" i="21" s="1"/>
  <c r="AG251" i="8"/>
  <c r="AG253" i="21" s="1"/>
  <c r="A252" i="8"/>
  <c r="A254" i="21" s="1"/>
  <c r="B252" i="8"/>
  <c r="B254" i="21" s="1"/>
  <c r="C252" i="8"/>
  <c r="C254" i="21" s="1"/>
  <c r="D252" i="8"/>
  <c r="D254" i="21" s="1"/>
  <c r="E252" i="8"/>
  <c r="E254" i="21" s="1"/>
  <c r="F252" i="8"/>
  <c r="F254" i="21" s="1"/>
  <c r="G252" i="8"/>
  <c r="G254" i="21" s="1"/>
  <c r="H252" i="8"/>
  <c r="H254" i="21" s="1"/>
  <c r="I252" i="8"/>
  <c r="I254" i="21" s="1"/>
  <c r="J252" i="8"/>
  <c r="J254" i="21" s="1"/>
  <c r="K252" i="8"/>
  <c r="K254" i="21" s="1"/>
  <c r="L252" i="8"/>
  <c r="L254" i="21" s="1"/>
  <c r="M252" i="8"/>
  <c r="M254" i="21" s="1"/>
  <c r="N252" i="8"/>
  <c r="N254" i="21" s="1"/>
  <c r="O252" i="8"/>
  <c r="O254" i="21" s="1"/>
  <c r="P252" i="8"/>
  <c r="P254" i="21" s="1"/>
  <c r="Q252" i="8"/>
  <c r="Q254" i="21" s="1"/>
  <c r="R252" i="8"/>
  <c r="R254" i="21" s="1"/>
  <c r="S252" i="8"/>
  <c r="S254" i="21" s="1"/>
  <c r="T252" i="8"/>
  <c r="T254" i="21" s="1"/>
  <c r="U252" i="8"/>
  <c r="U254" i="21" s="1"/>
  <c r="V252" i="8"/>
  <c r="V254" i="21" s="1"/>
  <c r="W252" i="8"/>
  <c r="W254" i="21" s="1"/>
  <c r="X252" i="8"/>
  <c r="X254" i="21" s="1"/>
  <c r="Y252" i="8"/>
  <c r="Y254" i="21" s="1"/>
  <c r="Z252" i="8"/>
  <c r="Z254" i="21" s="1"/>
  <c r="AA252" i="8"/>
  <c r="AA254" i="21" s="1"/>
  <c r="AB252" i="8"/>
  <c r="AB254" i="21" s="1"/>
  <c r="AC252" i="8"/>
  <c r="AC254" i="21" s="1"/>
  <c r="AD252" i="8"/>
  <c r="AD254" i="21" s="1"/>
  <c r="AE252" i="8"/>
  <c r="AE254" i="21" s="1"/>
  <c r="AF252" i="8"/>
  <c r="AF254" i="21" s="1"/>
  <c r="AG252" i="8"/>
  <c r="AG254" i="21" s="1"/>
  <c r="A253" i="8"/>
  <c r="A255" i="21" s="1"/>
  <c r="B253" i="8"/>
  <c r="B255" i="21" s="1"/>
  <c r="C253" i="8"/>
  <c r="C255" i="21" s="1"/>
  <c r="D253" i="8"/>
  <c r="D255" i="21" s="1"/>
  <c r="E253" i="8"/>
  <c r="E255" i="21" s="1"/>
  <c r="F253" i="8"/>
  <c r="F255" i="21" s="1"/>
  <c r="G253" i="8"/>
  <c r="G255" i="21" s="1"/>
  <c r="H253" i="8"/>
  <c r="H255" i="21" s="1"/>
  <c r="I253" i="8"/>
  <c r="I255" i="21" s="1"/>
  <c r="J253" i="8"/>
  <c r="J255" i="21" s="1"/>
  <c r="K253" i="8"/>
  <c r="K255" i="21" s="1"/>
  <c r="L253" i="8"/>
  <c r="L255" i="21" s="1"/>
  <c r="M253" i="8"/>
  <c r="M255" i="21" s="1"/>
  <c r="N253" i="8"/>
  <c r="N255" i="21" s="1"/>
  <c r="O253" i="8"/>
  <c r="O255" i="21" s="1"/>
  <c r="P253" i="8"/>
  <c r="P255" i="21" s="1"/>
  <c r="Q253" i="8"/>
  <c r="Q255" i="21" s="1"/>
  <c r="R253" i="8"/>
  <c r="R255" i="21" s="1"/>
  <c r="S253" i="8"/>
  <c r="S255" i="21" s="1"/>
  <c r="T253" i="8"/>
  <c r="T255" i="21" s="1"/>
  <c r="U253" i="8"/>
  <c r="U255" i="21" s="1"/>
  <c r="V253" i="8"/>
  <c r="V255" i="21" s="1"/>
  <c r="W253" i="8"/>
  <c r="W255" i="21" s="1"/>
  <c r="X253" i="8"/>
  <c r="X255" i="21" s="1"/>
  <c r="Y253" i="8"/>
  <c r="Y255" i="21" s="1"/>
  <c r="Z253" i="8"/>
  <c r="Z255" i="21" s="1"/>
  <c r="AA253" i="8"/>
  <c r="AA255" i="21" s="1"/>
  <c r="AB253" i="8"/>
  <c r="AB255" i="21" s="1"/>
  <c r="AC253" i="8"/>
  <c r="AC255" i="21" s="1"/>
  <c r="AD253" i="8"/>
  <c r="AD255" i="21" s="1"/>
  <c r="AE253" i="8"/>
  <c r="AF253" i="8"/>
  <c r="AF255" i="21" s="1"/>
  <c r="AG253" i="8"/>
  <c r="AG255" i="21" s="1"/>
  <c r="A254" i="8"/>
  <c r="A256" i="21" s="1"/>
  <c r="B254" i="8"/>
  <c r="B256" i="21" s="1"/>
  <c r="C254" i="8"/>
  <c r="C256" i="21" s="1"/>
  <c r="D254" i="8"/>
  <c r="D256" i="21" s="1"/>
  <c r="E254" i="8"/>
  <c r="E256" i="21" s="1"/>
  <c r="F254" i="8"/>
  <c r="F256" i="21" s="1"/>
  <c r="G254" i="8"/>
  <c r="G256" i="21" s="1"/>
  <c r="H254" i="8"/>
  <c r="H256" i="21" s="1"/>
  <c r="I254" i="8"/>
  <c r="I256" i="21" s="1"/>
  <c r="J254" i="8"/>
  <c r="J256" i="21" s="1"/>
  <c r="K254" i="8"/>
  <c r="K256" i="21" s="1"/>
  <c r="L254" i="8"/>
  <c r="L256" i="21" s="1"/>
  <c r="M254" i="8"/>
  <c r="M256" i="21" s="1"/>
  <c r="N254" i="8"/>
  <c r="N256" i="21" s="1"/>
  <c r="O254" i="8"/>
  <c r="O256" i="21" s="1"/>
  <c r="P254" i="8"/>
  <c r="P256" i="21" s="1"/>
  <c r="Q254" i="8"/>
  <c r="Q256" i="21" s="1"/>
  <c r="R254" i="8"/>
  <c r="R256" i="21" s="1"/>
  <c r="S254" i="8"/>
  <c r="S256" i="21" s="1"/>
  <c r="T254" i="8"/>
  <c r="T256" i="21" s="1"/>
  <c r="U254" i="8"/>
  <c r="U256" i="21" s="1"/>
  <c r="V254" i="8"/>
  <c r="V256" i="21" s="1"/>
  <c r="W254" i="8"/>
  <c r="W256" i="21" s="1"/>
  <c r="X254" i="8"/>
  <c r="X256" i="21" s="1"/>
  <c r="Y254" i="8"/>
  <c r="Y256" i="21" s="1"/>
  <c r="Z254" i="8"/>
  <c r="Z256" i="21" s="1"/>
  <c r="AA254" i="8"/>
  <c r="AA256" i="21" s="1"/>
  <c r="AB254" i="8"/>
  <c r="AB256" i="21" s="1"/>
  <c r="AC254" i="8"/>
  <c r="AC256" i="21" s="1"/>
  <c r="AD254" i="8"/>
  <c r="AD256" i="21" s="1"/>
  <c r="AE254" i="8"/>
  <c r="AE256" i="21" s="1"/>
  <c r="AF254" i="8"/>
  <c r="AF256" i="21" s="1"/>
  <c r="AG254" i="8"/>
  <c r="AG256" i="21" s="1"/>
  <c r="A255" i="8"/>
  <c r="A257" i="21" s="1"/>
  <c r="B255" i="8"/>
  <c r="B257" i="21" s="1"/>
  <c r="C255" i="8"/>
  <c r="C257" i="21" s="1"/>
  <c r="D255" i="8"/>
  <c r="D257" i="21" s="1"/>
  <c r="E255" i="8"/>
  <c r="E257" i="21" s="1"/>
  <c r="F255" i="8"/>
  <c r="F257" i="21" s="1"/>
  <c r="G255" i="8"/>
  <c r="G257" i="21" s="1"/>
  <c r="H255" i="8"/>
  <c r="H257" i="21" s="1"/>
  <c r="I255" i="8"/>
  <c r="I257" i="21" s="1"/>
  <c r="J255" i="8"/>
  <c r="J257" i="21" s="1"/>
  <c r="K255" i="8"/>
  <c r="K257" i="21" s="1"/>
  <c r="L255" i="8"/>
  <c r="L257" i="21" s="1"/>
  <c r="M255" i="8"/>
  <c r="M257" i="21" s="1"/>
  <c r="N255" i="8"/>
  <c r="N257" i="21" s="1"/>
  <c r="O255" i="8"/>
  <c r="O257" i="21" s="1"/>
  <c r="P255" i="8"/>
  <c r="P257" i="21" s="1"/>
  <c r="Q255" i="8"/>
  <c r="Q257" i="21" s="1"/>
  <c r="R255" i="8"/>
  <c r="R257" i="21" s="1"/>
  <c r="S255" i="8"/>
  <c r="S257" i="21" s="1"/>
  <c r="T255" i="8"/>
  <c r="T257" i="21" s="1"/>
  <c r="U255" i="8"/>
  <c r="U257" i="21" s="1"/>
  <c r="V255" i="8"/>
  <c r="V257" i="21" s="1"/>
  <c r="W255" i="8"/>
  <c r="W257" i="21" s="1"/>
  <c r="X255" i="8"/>
  <c r="X257" i="21" s="1"/>
  <c r="Y255" i="8"/>
  <c r="Y257" i="21" s="1"/>
  <c r="Z255" i="8"/>
  <c r="Z257" i="21" s="1"/>
  <c r="AA255" i="8"/>
  <c r="AA257" i="21" s="1"/>
  <c r="AB255" i="8"/>
  <c r="AB257" i="21" s="1"/>
  <c r="AC255" i="8"/>
  <c r="AC257" i="21" s="1"/>
  <c r="AD255" i="8"/>
  <c r="AD257" i="21" s="1"/>
  <c r="AE255" i="8"/>
  <c r="AF255" i="8"/>
  <c r="AF257" i="21" s="1"/>
  <c r="AG255" i="8"/>
  <c r="AG257" i="21" s="1"/>
  <c r="A256" i="8"/>
  <c r="A258" i="21" s="1"/>
  <c r="B256" i="8"/>
  <c r="B258" i="21" s="1"/>
  <c r="C256" i="8"/>
  <c r="C258" i="21" s="1"/>
  <c r="D256" i="8"/>
  <c r="D258" i="21" s="1"/>
  <c r="E256" i="8"/>
  <c r="E258" i="21" s="1"/>
  <c r="F256" i="8"/>
  <c r="F258" i="21" s="1"/>
  <c r="G256" i="8"/>
  <c r="G258" i="21" s="1"/>
  <c r="H256" i="8"/>
  <c r="H258" i="21" s="1"/>
  <c r="I256" i="8"/>
  <c r="I258" i="21" s="1"/>
  <c r="J256" i="8"/>
  <c r="J258" i="21" s="1"/>
  <c r="K256" i="8"/>
  <c r="K258" i="21" s="1"/>
  <c r="L256" i="8"/>
  <c r="L258" i="21" s="1"/>
  <c r="M256" i="8"/>
  <c r="M258" i="21" s="1"/>
  <c r="N256" i="8"/>
  <c r="N258" i="21" s="1"/>
  <c r="O256" i="8"/>
  <c r="O258" i="21" s="1"/>
  <c r="P256" i="8"/>
  <c r="P258" i="21" s="1"/>
  <c r="Q256" i="8"/>
  <c r="Q258" i="21" s="1"/>
  <c r="R256" i="8"/>
  <c r="R258" i="21" s="1"/>
  <c r="S256" i="8"/>
  <c r="S258" i="21" s="1"/>
  <c r="T256" i="8"/>
  <c r="T258" i="21" s="1"/>
  <c r="U256" i="8"/>
  <c r="U258" i="21" s="1"/>
  <c r="V256" i="8"/>
  <c r="V258" i="21" s="1"/>
  <c r="W256" i="8"/>
  <c r="W258" i="21" s="1"/>
  <c r="X256" i="8"/>
  <c r="X258" i="21" s="1"/>
  <c r="Y256" i="8"/>
  <c r="Y258" i="21" s="1"/>
  <c r="Z256" i="8"/>
  <c r="Z258" i="21" s="1"/>
  <c r="AA256" i="8"/>
  <c r="AA258" i="21" s="1"/>
  <c r="AB256" i="8"/>
  <c r="AB258" i="21" s="1"/>
  <c r="AC256" i="8"/>
  <c r="AC258" i="21" s="1"/>
  <c r="AD256" i="8"/>
  <c r="AD258" i="21" s="1"/>
  <c r="AE256" i="8"/>
  <c r="AE258" i="21" s="1"/>
  <c r="AF256" i="8"/>
  <c r="AG256" i="8"/>
  <c r="AG258" i="21" s="1"/>
  <c r="A257" i="8"/>
  <c r="A259" i="21" s="1"/>
  <c r="B257" i="8"/>
  <c r="B259" i="21" s="1"/>
  <c r="C257" i="8"/>
  <c r="C259" i="21" s="1"/>
  <c r="D257" i="8"/>
  <c r="D259" i="21" s="1"/>
  <c r="E257" i="8"/>
  <c r="E259" i="21" s="1"/>
  <c r="F257" i="8"/>
  <c r="F259" i="21" s="1"/>
  <c r="G257" i="8"/>
  <c r="G259" i="21" s="1"/>
  <c r="H257" i="8"/>
  <c r="H259" i="21" s="1"/>
  <c r="I257" i="8"/>
  <c r="I259" i="21" s="1"/>
  <c r="J257" i="8"/>
  <c r="J259" i="21" s="1"/>
  <c r="K257" i="8"/>
  <c r="K259" i="21" s="1"/>
  <c r="L257" i="8"/>
  <c r="L259" i="21" s="1"/>
  <c r="M257" i="8"/>
  <c r="M259" i="21" s="1"/>
  <c r="N257" i="8"/>
  <c r="N259" i="21" s="1"/>
  <c r="O257" i="8"/>
  <c r="O259" i="21" s="1"/>
  <c r="P257" i="8"/>
  <c r="P259" i="21" s="1"/>
  <c r="Q257" i="8"/>
  <c r="Q259" i="21" s="1"/>
  <c r="R257" i="8"/>
  <c r="R259" i="21" s="1"/>
  <c r="S257" i="8"/>
  <c r="S259" i="21" s="1"/>
  <c r="T257" i="8"/>
  <c r="T259" i="21" s="1"/>
  <c r="U257" i="8"/>
  <c r="U259" i="21" s="1"/>
  <c r="V257" i="8"/>
  <c r="V259" i="21" s="1"/>
  <c r="W257" i="8"/>
  <c r="W259" i="21" s="1"/>
  <c r="X257" i="8"/>
  <c r="X259" i="21" s="1"/>
  <c r="Y257" i="8"/>
  <c r="Y259" i="21" s="1"/>
  <c r="Z257" i="8"/>
  <c r="Z259" i="21" s="1"/>
  <c r="AA257" i="8"/>
  <c r="AA259" i="21" s="1"/>
  <c r="AB257" i="8"/>
  <c r="AB259" i="21" s="1"/>
  <c r="AC257" i="8"/>
  <c r="AC259" i="21" s="1"/>
  <c r="AD257" i="8"/>
  <c r="AD259" i="21" s="1"/>
  <c r="AE257" i="8"/>
  <c r="AF257" i="8"/>
  <c r="AF259" i="21" s="1"/>
  <c r="AG257" i="8"/>
  <c r="AG259" i="21" s="1"/>
  <c r="A258" i="8"/>
  <c r="A260" i="21" s="1"/>
  <c r="B258" i="8"/>
  <c r="B260" i="21" s="1"/>
  <c r="C258" i="8"/>
  <c r="C260" i="21" s="1"/>
  <c r="D258" i="8"/>
  <c r="D260" i="21" s="1"/>
  <c r="E258" i="8"/>
  <c r="E260" i="21" s="1"/>
  <c r="F258" i="8"/>
  <c r="F260" i="21" s="1"/>
  <c r="G258" i="8"/>
  <c r="G260" i="21" s="1"/>
  <c r="H258" i="8"/>
  <c r="H260" i="21" s="1"/>
  <c r="I258" i="8"/>
  <c r="I260" i="21" s="1"/>
  <c r="J258" i="8"/>
  <c r="J260" i="21" s="1"/>
  <c r="K258" i="8"/>
  <c r="K260" i="21" s="1"/>
  <c r="L258" i="8"/>
  <c r="L260" i="21" s="1"/>
  <c r="M258" i="8"/>
  <c r="M260" i="21" s="1"/>
  <c r="N258" i="8"/>
  <c r="N260" i="21" s="1"/>
  <c r="O258" i="8"/>
  <c r="O260" i="21" s="1"/>
  <c r="P258" i="8"/>
  <c r="P260" i="21" s="1"/>
  <c r="Q258" i="8"/>
  <c r="Q260" i="21" s="1"/>
  <c r="R258" i="8"/>
  <c r="R260" i="21" s="1"/>
  <c r="S258" i="8"/>
  <c r="S260" i="21" s="1"/>
  <c r="T258" i="8"/>
  <c r="T260" i="21" s="1"/>
  <c r="U258" i="8"/>
  <c r="U260" i="21" s="1"/>
  <c r="V258" i="8"/>
  <c r="V260" i="21" s="1"/>
  <c r="W258" i="8"/>
  <c r="W260" i="21" s="1"/>
  <c r="X258" i="8"/>
  <c r="X260" i="21" s="1"/>
  <c r="Y258" i="8"/>
  <c r="Y260" i="21" s="1"/>
  <c r="Z258" i="8"/>
  <c r="Z260" i="21" s="1"/>
  <c r="AA258" i="8"/>
  <c r="AA260" i="21" s="1"/>
  <c r="AB258" i="8"/>
  <c r="AB260" i="21" s="1"/>
  <c r="AC258" i="8"/>
  <c r="AC260" i="21" s="1"/>
  <c r="AD258" i="8"/>
  <c r="AD260" i="21" s="1"/>
  <c r="AE258" i="8"/>
  <c r="AE260" i="21" s="1"/>
  <c r="AF258" i="8"/>
  <c r="AF260" i="21" s="1"/>
  <c r="AG258" i="8"/>
  <c r="AG260" i="21" s="1"/>
  <c r="A259" i="8"/>
  <c r="A261" i="21" s="1"/>
  <c r="B259" i="8"/>
  <c r="B261" i="21" s="1"/>
  <c r="C259" i="8"/>
  <c r="C261" i="21" s="1"/>
  <c r="D259" i="8"/>
  <c r="D261" i="21" s="1"/>
  <c r="E259" i="8"/>
  <c r="E261" i="21" s="1"/>
  <c r="F259" i="8"/>
  <c r="F261" i="21" s="1"/>
  <c r="G259" i="8"/>
  <c r="G261" i="21" s="1"/>
  <c r="H259" i="8"/>
  <c r="H261" i="21" s="1"/>
  <c r="I259" i="8"/>
  <c r="I261" i="21" s="1"/>
  <c r="J259" i="8"/>
  <c r="J261" i="21" s="1"/>
  <c r="K259" i="8"/>
  <c r="K261" i="21" s="1"/>
  <c r="L259" i="8"/>
  <c r="L261" i="21" s="1"/>
  <c r="M259" i="8"/>
  <c r="M261" i="21" s="1"/>
  <c r="N259" i="8"/>
  <c r="N261" i="21" s="1"/>
  <c r="O259" i="8"/>
  <c r="O261" i="21" s="1"/>
  <c r="P259" i="8"/>
  <c r="P261" i="21" s="1"/>
  <c r="Q259" i="8"/>
  <c r="Q261" i="21" s="1"/>
  <c r="R259" i="8"/>
  <c r="R261" i="21" s="1"/>
  <c r="S259" i="8"/>
  <c r="S261" i="21" s="1"/>
  <c r="T259" i="8"/>
  <c r="T261" i="21" s="1"/>
  <c r="U259" i="8"/>
  <c r="U261" i="21" s="1"/>
  <c r="V259" i="8"/>
  <c r="V261" i="21" s="1"/>
  <c r="W259" i="8"/>
  <c r="W261" i="21" s="1"/>
  <c r="X259" i="8"/>
  <c r="X261" i="21" s="1"/>
  <c r="Y259" i="8"/>
  <c r="Y261" i="21" s="1"/>
  <c r="Z259" i="8"/>
  <c r="Z261" i="21" s="1"/>
  <c r="AA259" i="8"/>
  <c r="AA261" i="21" s="1"/>
  <c r="AB259" i="8"/>
  <c r="AB261" i="21" s="1"/>
  <c r="AC259" i="8"/>
  <c r="AC261" i="21" s="1"/>
  <c r="AD259" i="8"/>
  <c r="AD261" i="21" s="1"/>
  <c r="AE259" i="8"/>
  <c r="AF259" i="8"/>
  <c r="AF261" i="21" s="1"/>
  <c r="AG259" i="8"/>
  <c r="AG261" i="21" s="1"/>
  <c r="A260" i="8"/>
  <c r="A262" i="21" s="1"/>
  <c r="B260" i="8"/>
  <c r="B262" i="21" s="1"/>
  <c r="C260" i="8"/>
  <c r="C262" i="21" s="1"/>
  <c r="D260" i="8"/>
  <c r="D262" i="21" s="1"/>
  <c r="E260" i="8"/>
  <c r="E262" i="21" s="1"/>
  <c r="F260" i="8"/>
  <c r="F262" i="21" s="1"/>
  <c r="G260" i="8"/>
  <c r="G262" i="21" s="1"/>
  <c r="H260" i="8"/>
  <c r="H262" i="21" s="1"/>
  <c r="I260" i="8"/>
  <c r="I262" i="21" s="1"/>
  <c r="J260" i="8"/>
  <c r="J262" i="21" s="1"/>
  <c r="K260" i="8"/>
  <c r="K262" i="21" s="1"/>
  <c r="L260" i="8"/>
  <c r="L262" i="21" s="1"/>
  <c r="M260" i="8"/>
  <c r="M262" i="21" s="1"/>
  <c r="N260" i="8"/>
  <c r="N262" i="21" s="1"/>
  <c r="O260" i="8"/>
  <c r="O262" i="21" s="1"/>
  <c r="P260" i="8"/>
  <c r="P262" i="21" s="1"/>
  <c r="Q260" i="8"/>
  <c r="Q262" i="21" s="1"/>
  <c r="R260" i="8"/>
  <c r="R262" i="21" s="1"/>
  <c r="S260" i="8"/>
  <c r="S262" i="21" s="1"/>
  <c r="T260" i="8"/>
  <c r="T262" i="21" s="1"/>
  <c r="U260" i="8"/>
  <c r="U262" i="21" s="1"/>
  <c r="V260" i="8"/>
  <c r="V262" i="21" s="1"/>
  <c r="W260" i="8"/>
  <c r="W262" i="21" s="1"/>
  <c r="X260" i="8"/>
  <c r="X262" i="21" s="1"/>
  <c r="Y260" i="8"/>
  <c r="Y262" i="21" s="1"/>
  <c r="Z260" i="8"/>
  <c r="Z262" i="21" s="1"/>
  <c r="AA260" i="8"/>
  <c r="AA262" i="21" s="1"/>
  <c r="AB260" i="8"/>
  <c r="AB262" i="21" s="1"/>
  <c r="AC260" i="8"/>
  <c r="AC262" i="21" s="1"/>
  <c r="AD260" i="8"/>
  <c r="AD262" i="21" s="1"/>
  <c r="AE260" i="8"/>
  <c r="AE262" i="21" s="1"/>
  <c r="AF260" i="8"/>
  <c r="AF262" i="21" s="1"/>
  <c r="AG260" i="8"/>
  <c r="AG262" i="21" s="1"/>
  <c r="A261" i="8"/>
  <c r="A263" i="21" s="1"/>
  <c r="B261" i="8"/>
  <c r="B263" i="21" s="1"/>
  <c r="C261" i="8"/>
  <c r="C263" i="21" s="1"/>
  <c r="D261" i="8"/>
  <c r="D263" i="21" s="1"/>
  <c r="E261" i="8"/>
  <c r="E263" i="21" s="1"/>
  <c r="F261" i="8"/>
  <c r="F263" i="21" s="1"/>
  <c r="G261" i="8"/>
  <c r="G263" i="21" s="1"/>
  <c r="H261" i="8"/>
  <c r="H263" i="21" s="1"/>
  <c r="I261" i="8"/>
  <c r="I263" i="21" s="1"/>
  <c r="J261" i="8"/>
  <c r="J263" i="21" s="1"/>
  <c r="K261" i="8"/>
  <c r="K263" i="21" s="1"/>
  <c r="L261" i="8"/>
  <c r="L263" i="21" s="1"/>
  <c r="M261" i="8"/>
  <c r="M263" i="21" s="1"/>
  <c r="N261" i="8"/>
  <c r="N263" i="21" s="1"/>
  <c r="O261" i="8"/>
  <c r="O263" i="21" s="1"/>
  <c r="P261" i="8"/>
  <c r="P263" i="21" s="1"/>
  <c r="Q261" i="8"/>
  <c r="Q263" i="21" s="1"/>
  <c r="R261" i="8"/>
  <c r="R263" i="21" s="1"/>
  <c r="S261" i="8"/>
  <c r="S263" i="21" s="1"/>
  <c r="T261" i="8"/>
  <c r="T263" i="21" s="1"/>
  <c r="U261" i="8"/>
  <c r="U263" i="21" s="1"/>
  <c r="V261" i="8"/>
  <c r="V263" i="21" s="1"/>
  <c r="W261" i="8"/>
  <c r="W263" i="21" s="1"/>
  <c r="X261" i="8"/>
  <c r="X263" i="21" s="1"/>
  <c r="Y261" i="8"/>
  <c r="Y263" i="21" s="1"/>
  <c r="Z261" i="8"/>
  <c r="Z263" i="21" s="1"/>
  <c r="AA261" i="8"/>
  <c r="AA263" i="21" s="1"/>
  <c r="AB261" i="8"/>
  <c r="AB263" i="21" s="1"/>
  <c r="AC261" i="8"/>
  <c r="AC263" i="21" s="1"/>
  <c r="AD261" i="8"/>
  <c r="AD263" i="21" s="1"/>
  <c r="AE261" i="8"/>
  <c r="AF261" i="8"/>
  <c r="AF263" i="21" s="1"/>
  <c r="AG261" i="8"/>
  <c r="AG263" i="21" s="1"/>
  <c r="A262" i="8"/>
  <c r="A264" i="21" s="1"/>
  <c r="B262" i="8"/>
  <c r="B264" i="21" s="1"/>
  <c r="C262" i="8"/>
  <c r="C264" i="21" s="1"/>
  <c r="D262" i="8"/>
  <c r="D264" i="21" s="1"/>
  <c r="E262" i="8"/>
  <c r="E264" i="21" s="1"/>
  <c r="F262" i="8"/>
  <c r="F264" i="21" s="1"/>
  <c r="G262" i="8"/>
  <c r="G264" i="21" s="1"/>
  <c r="H262" i="8"/>
  <c r="H264" i="21" s="1"/>
  <c r="I262" i="8"/>
  <c r="I264" i="21" s="1"/>
  <c r="J262" i="8"/>
  <c r="J264" i="21" s="1"/>
  <c r="K262" i="8"/>
  <c r="K264" i="21" s="1"/>
  <c r="L262" i="8"/>
  <c r="L264" i="21" s="1"/>
  <c r="M262" i="8"/>
  <c r="M264" i="21" s="1"/>
  <c r="N262" i="8"/>
  <c r="N264" i="21" s="1"/>
  <c r="O262" i="8"/>
  <c r="O264" i="21" s="1"/>
  <c r="P262" i="8"/>
  <c r="P264" i="21" s="1"/>
  <c r="Q262" i="8"/>
  <c r="Q264" i="21" s="1"/>
  <c r="R262" i="8"/>
  <c r="R264" i="21" s="1"/>
  <c r="S262" i="8"/>
  <c r="S264" i="21" s="1"/>
  <c r="T262" i="8"/>
  <c r="T264" i="21" s="1"/>
  <c r="U262" i="8"/>
  <c r="U264" i="21" s="1"/>
  <c r="V262" i="8"/>
  <c r="V264" i="21" s="1"/>
  <c r="W262" i="8"/>
  <c r="W264" i="21" s="1"/>
  <c r="X262" i="8"/>
  <c r="X264" i="21" s="1"/>
  <c r="Y262" i="8"/>
  <c r="Y264" i="21" s="1"/>
  <c r="Z262" i="8"/>
  <c r="Z264" i="21" s="1"/>
  <c r="AA262" i="8"/>
  <c r="AA264" i="21" s="1"/>
  <c r="AB262" i="8"/>
  <c r="AB264" i="21" s="1"/>
  <c r="AC262" i="8"/>
  <c r="AC264" i="21" s="1"/>
  <c r="AD262" i="8"/>
  <c r="AD264" i="21" s="1"/>
  <c r="AE262" i="8"/>
  <c r="AE264" i="21" s="1"/>
  <c r="AF262" i="8"/>
  <c r="AF264" i="21" s="1"/>
  <c r="AG262" i="8"/>
  <c r="AG264" i="21" s="1"/>
  <c r="A263" i="8"/>
  <c r="A265" i="21" s="1"/>
  <c r="B263" i="8"/>
  <c r="B265" i="21" s="1"/>
  <c r="C263" i="8"/>
  <c r="C265" i="21" s="1"/>
  <c r="D263" i="8"/>
  <c r="D265" i="21" s="1"/>
  <c r="E263" i="8"/>
  <c r="E265" i="21" s="1"/>
  <c r="F263" i="8"/>
  <c r="F265" i="21" s="1"/>
  <c r="G263" i="8"/>
  <c r="G265" i="21" s="1"/>
  <c r="H263" i="8"/>
  <c r="H265" i="21" s="1"/>
  <c r="I263" i="8"/>
  <c r="I265" i="21" s="1"/>
  <c r="J263" i="8"/>
  <c r="J265" i="21" s="1"/>
  <c r="K263" i="8"/>
  <c r="K265" i="21" s="1"/>
  <c r="L263" i="8"/>
  <c r="L265" i="21" s="1"/>
  <c r="M263" i="8"/>
  <c r="M265" i="21" s="1"/>
  <c r="N263" i="8"/>
  <c r="N265" i="21" s="1"/>
  <c r="O263" i="8"/>
  <c r="O265" i="21" s="1"/>
  <c r="P263" i="8"/>
  <c r="P265" i="21" s="1"/>
  <c r="Q263" i="8"/>
  <c r="Q265" i="21" s="1"/>
  <c r="R263" i="8"/>
  <c r="R265" i="21" s="1"/>
  <c r="S263" i="8"/>
  <c r="S265" i="21" s="1"/>
  <c r="T263" i="8"/>
  <c r="T265" i="21" s="1"/>
  <c r="U263" i="8"/>
  <c r="U265" i="21" s="1"/>
  <c r="V263" i="8"/>
  <c r="V265" i="21" s="1"/>
  <c r="W263" i="8"/>
  <c r="W265" i="21" s="1"/>
  <c r="X263" i="8"/>
  <c r="X265" i="21" s="1"/>
  <c r="Y263" i="8"/>
  <c r="Y265" i="21" s="1"/>
  <c r="Z263" i="8"/>
  <c r="Z265" i="21" s="1"/>
  <c r="AA263" i="8"/>
  <c r="AA265" i="21" s="1"/>
  <c r="AB263" i="8"/>
  <c r="AB265" i="21" s="1"/>
  <c r="AC263" i="8"/>
  <c r="AC265" i="21" s="1"/>
  <c r="AD263" i="8"/>
  <c r="AD265" i="21" s="1"/>
  <c r="AE263" i="8"/>
  <c r="AF263" i="8"/>
  <c r="AF265" i="21" s="1"/>
  <c r="AG263" i="8"/>
  <c r="AG265" i="21" s="1"/>
  <c r="A264" i="8"/>
  <c r="A266" i="21" s="1"/>
  <c r="B264" i="8"/>
  <c r="B266" i="21" s="1"/>
  <c r="C264" i="8"/>
  <c r="C266" i="21" s="1"/>
  <c r="D264" i="8"/>
  <c r="D266" i="21" s="1"/>
  <c r="E264" i="8"/>
  <c r="E266" i="21" s="1"/>
  <c r="F264" i="8"/>
  <c r="F266" i="21" s="1"/>
  <c r="G264" i="8"/>
  <c r="G266" i="21" s="1"/>
  <c r="H264" i="8"/>
  <c r="H266" i="21" s="1"/>
  <c r="I264" i="8"/>
  <c r="I266" i="21" s="1"/>
  <c r="J264" i="8"/>
  <c r="J266" i="21" s="1"/>
  <c r="K264" i="8"/>
  <c r="K266" i="21" s="1"/>
  <c r="L264" i="8"/>
  <c r="L266" i="21" s="1"/>
  <c r="M264" i="8"/>
  <c r="M266" i="21" s="1"/>
  <c r="N264" i="8"/>
  <c r="N266" i="21" s="1"/>
  <c r="O264" i="8"/>
  <c r="O266" i="21" s="1"/>
  <c r="P264" i="8"/>
  <c r="P266" i="21" s="1"/>
  <c r="Q264" i="8"/>
  <c r="Q266" i="21" s="1"/>
  <c r="R264" i="8"/>
  <c r="R266" i="21" s="1"/>
  <c r="S264" i="8"/>
  <c r="S266" i="21" s="1"/>
  <c r="T264" i="8"/>
  <c r="T266" i="21" s="1"/>
  <c r="U264" i="8"/>
  <c r="U266" i="21" s="1"/>
  <c r="V264" i="8"/>
  <c r="V266" i="21" s="1"/>
  <c r="W264" i="8"/>
  <c r="W266" i="21" s="1"/>
  <c r="X264" i="8"/>
  <c r="X266" i="21" s="1"/>
  <c r="Y264" i="8"/>
  <c r="Y266" i="21" s="1"/>
  <c r="Z264" i="8"/>
  <c r="Z266" i="21" s="1"/>
  <c r="AA264" i="8"/>
  <c r="AA266" i="21" s="1"/>
  <c r="AB264" i="8"/>
  <c r="AB266" i="21" s="1"/>
  <c r="AC264" i="8"/>
  <c r="AC266" i="21" s="1"/>
  <c r="AD264" i="8"/>
  <c r="AD266" i="21" s="1"/>
  <c r="AE264" i="8"/>
  <c r="AE266" i="21" s="1"/>
  <c r="AF264" i="8"/>
  <c r="AF266" i="21" s="1"/>
  <c r="AG264" i="8"/>
  <c r="AG266" i="21" s="1"/>
  <c r="A265" i="8"/>
  <c r="A267" i="21" s="1"/>
  <c r="B265" i="8"/>
  <c r="B267" i="21" s="1"/>
  <c r="C265" i="8"/>
  <c r="C267" i="21" s="1"/>
  <c r="D265" i="8"/>
  <c r="D267" i="21" s="1"/>
  <c r="E265" i="8"/>
  <c r="E267" i="21" s="1"/>
  <c r="F265" i="8"/>
  <c r="F267" i="21" s="1"/>
  <c r="G265" i="8"/>
  <c r="G267" i="21" s="1"/>
  <c r="H265" i="8"/>
  <c r="H267" i="21" s="1"/>
  <c r="I265" i="8"/>
  <c r="I267" i="21" s="1"/>
  <c r="J265" i="8"/>
  <c r="J267" i="21" s="1"/>
  <c r="K265" i="8"/>
  <c r="K267" i="21" s="1"/>
  <c r="L265" i="8"/>
  <c r="L267" i="21" s="1"/>
  <c r="M265" i="8"/>
  <c r="M267" i="21" s="1"/>
  <c r="N265" i="8"/>
  <c r="N267" i="21" s="1"/>
  <c r="O265" i="8"/>
  <c r="O267" i="21" s="1"/>
  <c r="P265" i="8"/>
  <c r="P267" i="21" s="1"/>
  <c r="Q265" i="8"/>
  <c r="Q267" i="21" s="1"/>
  <c r="R265" i="8"/>
  <c r="R267" i="21" s="1"/>
  <c r="S265" i="8"/>
  <c r="S267" i="21" s="1"/>
  <c r="T265" i="8"/>
  <c r="T267" i="21" s="1"/>
  <c r="U265" i="8"/>
  <c r="U267" i="21" s="1"/>
  <c r="V265" i="8"/>
  <c r="V267" i="21" s="1"/>
  <c r="W265" i="8"/>
  <c r="W267" i="21" s="1"/>
  <c r="X265" i="8"/>
  <c r="X267" i="21" s="1"/>
  <c r="Y265" i="8"/>
  <c r="Y267" i="21" s="1"/>
  <c r="Z265" i="8"/>
  <c r="Z267" i="21" s="1"/>
  <c r="AA265" i="8"/>
  <c r="AA267" i="21" s="1"/>
  <c r="AB265" i="8"/>
  <c r="AB267" i="21" s="1"/>
  <c r="AC265" i="8"/>
  <c r="AC267" i="21" s="1"/>
  <c r="AD265" i="8"/>
  <c r="AD267" i="21" s="1"/>
  <c r="AE265" i="8"/>
  <c r="AF265" i="8"/>
  <c r="AF267" i="21" s="1"/>
  <c r="AG265" i="8"/>
  <c r="AG267" i="21" s="1"/>
  <c r="A266" i="8"/>
  <c r="A268" i="21" s="1"/>
  <c r="B266" i="8"/>
  <c r="B268" i="21" s="1"/>
  <c r="C266" i="8"/>
  <c r="C268" i="21" s="1"/>
  <c r="D266" i="8"/>
  <c r="D268" i="21" s="1"/>
  <c r="E266" i="8"/>
  <c r="E268" i="21" s="1"/>
  <c r="F266" i="8"/>
  <c r="F268" i="21" s="1"/>
  <c r="G266" i="8"/>
  <c r="G268" i="21" s="1"/>
  <c r="H266" i="8"/>
  <c r="H268" i="21" s="1"/>
  <c r="I266" i="8"/>
  <c r="I268" i="21" s="1"/>
  <c r="J266" i="8"/>
  <c r="J268" i="21" s="1"/>
  <c r="K266" i="8"/>
  <c r="K268" i="21" s="1"/>
  <c r="L266" i="8"/>
  <c r="L268" i="21" s="1"/>
  <c r="M266" i="8"/>
  <c r="M268" i="21" s="1"/>
  <c r="N266" i="8"/>
  <c r="N268" i="21" s="1"/>
  <c r="O266" i="8"/>
  <c r="O268" i="21" s="1"/>
  <c r="P266" i="8"/>
  <c r="P268" i="21" s="1"/>
  <c r="Q266" i="8"/>
  <c r="Q268" i="21" s="1"/>
  <c r="R266" i="8"/>
  <c r="R268" i="21" s="1"/>
  <c r="S266" i="8"/>
  <c r="S268" i="21" s="1"/>
  <c r="T266" i="8"/>
  <c r="T268" i="21" s="1"/>
  <c r="U266" i="8"/>
  <c r="U268" i="21" s="1"/>
  <c r="V266" i="8"/>
  <c r="V268" i="21" s="1"/>
  <c r="W266" i="8"/>
  <c r="W268" i="21" s="1"/>
  <c r="X266" i="8"/>
  <c r="X268" i="21" s="1"/>
  <c r="Y266" i="8"/>
  <c r="Y268" i="21" s="1"/>
  <c r="Z266" i="8"/>
  <c r="Z268" i="21" s="1"/>
  <c r="AA266" i="8"/>
  <c r="AA268" i="21" s="1"/>
  <c r="AB266" i="8"/>
  <c r="AB268" i="21" s="1"/>
  <c r="AC266" i="8"/>
  <c r="AC268" i="21" s="1"/>
  <c r="AD266" i="8"/>
  <c r="AD268" i="21" s="1"/>
  <c r="AE266" i="8"/>
  <c r="AE268" i="21" s="1"/>
  <c r="AF266" i="8"/>
  <c r="AF268" i="21" s="1"/>
  <c r="AG266" i="8"/>
  <c r="AG268" i="21" s="1"/>
  <c r="A267" i="8"/>
  <c r="A269" i="21" s="1"/>
  <c r="B267" i="8"/>
  <c r="B269" i="21" s="1"/>
  <c r="C267" i="8"/>
  <c r="C269" i="21" s="1"/>
  <c r="D267" i="8"/>
  <c r="D269" i="21" s="1"/>
  <c r="E267" i="8"/>
  <c r="E269" i="21" s="1"/>
  <c r="F267" i="8"/>
  <c r="F269" i="21" s="1"/>
  <c r="G267" i="8"/>
  <c r="G269" i="21" s="1"/>
  <c r="H267" i="8"/>
  <c r="H269" i="21" s="1"/>
  <c r="I267" i="8"/>
  <c r="I269" i="21" s="1"/>
  <c r="J267" i="8"/>
  <c r="J269" i="21" s="1"/>
  <c r="K267" i="8"/>
  <c r="K269" i="21" s="1"/>
  <c r="L267" i="8"/>
  <c r="L269" i="21" s="1"/>
  <c r="M267" i="8"/>
  <c r="M269" i="21" s="1"/>
  <c r="N267" i="8"/>
  <c r="N269" i="21" s="1"/>
  <c r="O267" i="8"/>
  <c r="O269" i="21" s="1"/>
  <c r="P267" i="8"/>
  <c r="P269" i="21" s="1"/>
  <c r="Q267" i="8"/>
  <c r="Q269" i="21" s="1"/>
  <c r="R267" i="8"/>
  <c r="R269" i="21" s="1"/>
  <c r="S267" i="8"/>
  <c r="S269" i="21" s="1"/>
  <c r="T267" i="8"/>
  <c r="T269" i="21" s="1"/>
  <c r="U267" i="8"/>
  <c r="U269" i="21" s="1"/>
  <c r="V267" i="8"/>
  <c r="V269" i="21" s="1"/>
  <c r="W267" i="8"/>
  <c r="W269" i="21" s="1"/>
  <c r="X267" i="8"/>
  <c r="X269" i="21" s="1"/>
  <c r="Y267" i="8"/>
  <c r="Y269" i="21" s="1"/>
  <c r="Z267" i="8"/>
  <c r="Z269" i="21" s="1"/>
  <c r="AA267" i="8"/>
  <c r="AA269" i="21" s="1"/>
  <c r="AB267" i="8"/>
  <c r="AB269" i="21" s="1"/>
  <c r="AC267" i="8"/>
  <c r="AC269" i="21" s="1"/>
  <c r="AD267" i="8"/>
  <c r="AD269" i="21" s="1"/>
  <c r="AE267" i="8"/>
  <c r="AF267" i="8"/>
  <c r="AG267" i="8"/>
  <c r="A268" i="8"/>
  <c r="A270" i="21" s="1"/>
  <c r="B268" i="8"/>
  <c r="B270" i="21" s="1"/>
  <c r="C268" i="8"/>
  <c r="C270" i="21" s="1"/>
  <c r="D268" i="8"/>
  <c r="D270" i="21" s="1"/>
  <c r="E268" i="8"/>
  <c r="E270" i="21" s="1"/>
  <c r="F268" i="8"/>
  <c r="F270" i="21" s="1"/>
  <c r="G268" i="8"/>
  <c r="G270" i="21" s="1"/>
  <c r="H268" i="8"/>
  <c r="H270" i="21" s="1"/>
  <c r="I268" i="8"/>
  <c r="I270" i="21" s="1"/>
  <c r="J268" i="8"/>
  <c r="J270" i="21" s="1"/>
  <c r="K268" i="8"/>
  <c r="K270" i="21" s="1"/>
  <c r="L268" i="8"/>
  <c r="L270" i="21" s="1"/>
  <c r="M268" i="8"/>
  <c r="M270" i="21" s="1"/>
  <c r="N268" i="8"/>
  <c r="N270" i="21" s="1"/>
  <c r="O268" i="8"/>
  <c r="O270" i="21" s="1"/>
  <c r="P268" i="8"/>
  <c r="P270" i="21" s="1"/>
  <c r="Q268" i="8"/>
  <c r="Q270" i="21" s="1"/>
  <c r="R268" i="8"/>
  <c r="R270" i="21" s="1"/>
  <c r="S268" i="8"/>
  <c r="S270" i="21" s="1"/>
  <c r="T268" i="8"/>
  <c r="T270" i="21" s="1"/>
  <c r="U268" i="8"/>
  <c r="U270" i="21" s="1"/>
  <c r="V268" i="8"/>
  <c r="V270" i="21" s="1"/>
  <c r="W268" i="8"/>
  <c r="W270" i="21" s="1"/>
  <c r="X268" i="8"/>
  <c r="X270" i="21" s="1"/>
  <c r="Y268" i="8"/>
  <c r="Y270" i="21" s="1"/>
  <c r="Z268" i="8"/>
  <c r="Z270" i="21" s="1"/>
  <c r="AA268" i="8"/>
  <c r="AA270" i="21" s="1"/>
  <c r="AB268" i="8"/>
  <c r="AB270" i="21" s="1"/>
  <c r="AC268" i="8"/>
  <c r="AC270" i="21" s="1"/>
  <c r="AD268" i="8"/>
  <c r="AD270" i="21" s="1"/>
  <c r="AE268" i="8"/>
  <c r="AE270" i="21" s="1"/>
  <c r="AF268" i="8"/>
  <c r="AG268" i="8"/>
  <c r="A269" i="8"/>
  <c r="A271" i="21" s="1"/>
  <c r="B269" i="8"/>
  <c r="B271" i="21" s="1"/>
  <c r="C269" i="8"/>
  <c r="C271" i="21" s="1"/>
  <c r="D269" i="8"/>
  <c r="D271" i="21" s="1"/>
  <c r="E269" i="8"/>
  <c r="E271" i="21" s="1"/>
  <c r="F269" i="8"/>
  <c r="F271" i="21" s="1"/>
  <c r="G269" i="8"/>
  <c r="G271" i="21" s="1"/>
  <c r="H269" i="8"/>
  <c r="H271" i="21" s="1"/>
  <c r="I269" i="8"/>
  <c r="I271" i="21" s="1"/>
  <c r="J269" i="8"/>
  <c r="J271" i="21" s="1"/>
  <c r="K269" i="8"/>
  <c r="K271" i="21" s="1"/>
  <c r="L269" i="8"/>
  <c r="L271" i="21" s="1"/>
  <c r="M269" i="8"/>
  <c r="M271" i="21" s="1"/>
  <c r="N269" i="8"/>
  <c r="N271" i="21" s="1"/>
  <c r="O269" i="8"/>
  <c r="O271" i="21" s="1"/>
  <c r="P269" i="8"/>
  <c r="P271" i="21" s="1"/>
  <c r="Q269" i="8"/>
  <c r="Q271" i="21" s="1"/>
  <c r="R269" i="8"/>
  <c r="R271" i="21" s="1"/>
  <c r="S269" i="8"/>
  <c r="S271" i="21" s="1"/>
  <c r="T269" i="8"/>
  <c r="T271" i="21" s="1"/>
  <c r="U269" i="8"/>
  <c r="U271" i="21" s="1"/>
  <c r="V269" i="8"/>
  <c r="V271" i="21" s="1"/>
  <c r="W269" i="8"/>
  <c r="W271" i="21" s="1"/>
  <c r="X269" i="8"/>
  <c r="X271" i="21" s="1"/>
  <c r="Y269" i="8"/>
  <c r="Y271" i="21" s="1"/>
  <c r="Z269" i="8"/>
  <c r="Z271" i="21" s="1"/>
  <c r="AA269" i="8"/>
  <c r="AA271" i="21" s="1"/>
  <c r="AB269" i="8"/>
  <c r="AB271" i="21" s="1"/>
  <c r="AC269" i="8"/>
  <c r="AC271" i="21" s="1"/>
  <c r="AD269" i="8"/>
  <c r="AD271" i="21" s="1"/>
  <c r="AE269" i="8"/>
  <c r="AF269" i="8"/>
  <c r="AG269" i="8"/>
  <c r="AG271" i="21" s="1"/>
  <c r="A270" i="8"/>
  <c r="A272" i="21" s="1"/>
  <c r="B270" i="8"/>
  <c r="B272" i="21" s="1"/>
  <c r="C270" i="8"/>
  <c r="C272" i="21" s="1"/>
  <c r="D270" i="8"/>
  <c r="D272" i="21" s="1"/>
  <c r="E270" i="8"/>
  <c r="E272" i="21" s="1"/>
  <c r="F270" i="8"/>
  <c r="F272" i="21" s="1"/>
  <c r="G270" i="8"/>
  <c r="G272" i="21" s="1"/>
  <c r="H270" i="8"/>
  <c r="H272" i="21" s="1"/>
  <c r="I270" i="8"/>
  <c r="I272" i="21" s="1"/>
  <c r="J270" i="8"/>
  <c r="J272" i="21" s="1"/>
  <c r="K270" i="8"/>
  <c r="K272" i="21" s="1"/>
  <c r="L270" i="8"/>
  <c r="L272" i="21" s="1"/>
  <c r="M270" i="8"/>
  <c r="M272" i="21" s="1"/>
  <c r="N270" i="8"/>
  <c r="N272" i="21" s="1"/>
  <c r="O270" i="8"/>
  <c r="O272" i="21" s="1"/>
  <c r="P270" i="8"/>
  <c r="P272" i="21" s="1"/>
  <c r="Q270" i="8"/>
  <c r="Q272" i="21" s="1"/>
  <c r="R270" i="8"/>
  <c r="R272" i="21" s="1"/>
  <c r="S270" i="8"/>
  <c r="S272" i="21" s="1"/>
  <c r="T270" i="8"/>
  <c r="T272" i="21" s="1"/>
  <c r="U270" i="8"/>
  <c r="U272" i="21" s="1"/>
  <c r="V270" i="8"/>
  <c r="V272" i="21" s="1"/>
  <c r="W270" i="8"/>
  <c r="W272" i="21" s="1"/>
  <c r="X270" i="8"/>
  <c r="X272" i="21" s="1"/>
  <c r="Y270" i="8"/>
  <c r="Y272" i="21" s="1"/>
  <c r="Z270" i="8"/>
  <c r="Z272" i="21" s="1"/>
  <c r="AA270" i="8"/>
  <c r="AA272" i="21" s="1"/>
  <c r="AB270" i="8"/>
  <c r="AB272" i="21" s="1"/>
  <c r="AC270" i="8"/>
  <c r="AC272" i="21" s="1"/>
  <c r="AD270" i="8"/>
  <c r="AD272" i="21" s="1"/>
  <c r="AE270" i="8"/>
  <c r="AE272" i="21" s="1"/>
  <c r="AF270" i="8"/>
  <c r="AF272" i="21" s="1"/>
  <c r="AG270" i="8"/>
  <c r="AG272" i="21" s="1"/>
  <c r="A271" i="8"/>
  <c r="A273" i="21" s="1"/>
  <c r="B271" i="8"/>
  <c r="B273" i="21" s="1"/>
  <c r="C271" i="8"/>
  <c r="C273" i="21" s="1"/>
  <c r="D271" i="8"/>
  <c r="D273" i="21" s="1"/>
  <c r="E271" i="8"/>
  <c r="E273" i="21" s="1"/>
  <c r="F271" i="8"/>
  <c r="F273" i="21" s="1"/>
  <c r="G271" i="8"/>
  <c r="G273" i="21" s="1"/>
  <c r="H271" i="8"/>
  <c r="H273" i="21" s="1"/>
  <c r="I271" i="8"/>
  <c r="I273" i="21" s="1"/>
  <c r="J271" i="8"/>
  <c r="J273" i="21" s="1"/>
  <c r="K271" i="8"/>
  <c r="K273" i="21" s="1"/>
  <c r="L271" i="8"/>
  <c r="L273" i="21" s="1"/>
  <c r="M271" i="8"/>
  <c r="M273" i="21" s="1"/>
  <c r="N271" i="8"/>
  <c r="N273" i="21" s="1"/>
  <c r="O271" i="8"/>
  <c r="O273" i="21" s="1"/>
  <c r="P271" i="8"/>
  <c r="P273" i="21" s="1"/>
  <c r="Q271" i="8"/>
  <c r="Q273" i="21" s="1"/>
  <c r="R271" i="8"/>
  <c r="R273" i="21" s="1"/>
  <c r="S271" i="8"/>
  <c r="S273" i="21" s="1"/>
  <c r="T271" i="8"/>
  <c r="T273" i="21" s="1"/>
  <c r="U271" i="8"/>
  <c r="U273" i="21" s="1"/>
  <c r="V271" i="8"/>
  <c r="V273" i="21" s="1"/>
  <c r="W271" i="8"/>
  <c r="W273" i="21" s="1"/>
  <c r="X271" i="8"/>
  <c r="X273" i="21" s="1"/>
  <c r="Y271" i="8"/>
  <c r="Y273" i="21" s="1"/>
  <c r="Z271" i="8"/>
  <c r="Z273" i="21" s="1"/>
  <c r="AA271" i="8"/>
  <c r="AA273" i="21" s="1"/>
  <c r="AB271" i="8"/>
  <c r="AB273" i="21" s="1"/>
  <c r="AC271" i="8"/>
  <c r="AC273" i="21" s="1"/>
  <c r="AD271" i="8"/>
  <c r="AD273" i="21" s="1"/>
  <c r="AE271" i="8"/>
  <c r="AF271" i="8"/>
  <c r="AF273" i="21" s="1"/>
  <c r="AG271" i="8"/>
  <c r="AG273" i="21" s="1"/>
  <c r="A272" i="8"/>
  <c r="A274" i="21" s="1"/>
  <c r="B272" i="8"/>
  <c r="B274" i="21" s="1"/>
  <c r="C272" i="8"/>
  <c r="C274" i="21" s="1"/>
  <c r="D272" i="8"/>
  <c r="D274" i="21" s="1"/>
  <c r="E272" i="8"/>
  <c r="E274" i="21" s="1"/>
  <c r="F272" i="8"/>
  <c r="F274" i="21" s="1"/>
  <c r="G272" i="8"/>
  <c r="G274" i="21" s="1"/>
  <c r="H272" i="8"/>
  <c r="H274" i="21" s="1"/>
  <c r="I272" i="8"/>
  <c r="I274" i="21" s="1"/>
  <c r="J272" i="8"/>
  <c r="J274" i="21" s="1"/>
  <c r="K272" i="8"/>
  <c r="K274" i="21" s="1"/>
  <c r="L272" i="8"/>
  <c r="L274" i="21" s="1"/>
  <c r="M272" i="8"/>
  <c r="M274" i="21" s="1"/>
  <c r="N272" i="8"/>
  <c r="N274" i="21" s="1"/>
  <c r="O272" i="8"/>
  <c r="O274" i="21" s="1"/>
  <c r="P272" i="8"/>
  <c r="P274" i="21" s="1"/>
  <c r="Q272" i="8"/>
  <c r="Q274" i="21" s="1"/>
  <c r="R272" i="8"/>
  <c r="R274" i="21" s="1"/>
  <c r="S272" i="8"/>
  <c r="S274" i="21" s="1"/>
  <c r="T272" i="8"/>
  <c r="T274" i="21" s="1"/>
  <c r="U272" i="8"/>
  <c r="U274" i="21" s="1"/>
  <c r="V272" i="8"/>
  <c r="V274" i="21" s="1"/>
  <c r="W272" i="8"/>
  <c r="W274" i="21" s="1"/>
  <c r="X272" i="8"/>
  <c r="X274" i="21" s="1"/>
  <c r="Y272" i="8"/>
  <c r="Y274" i="21" s="1"/>
  <c r="Z272" i="8"/>
  <c r="Z274" i="21" s="1"/>
  <c r="AA272" i="8"/>
  <c r="AA274" i="21" s="1"/>
  <c r="AB272" i="8"/>
  <c r="AB274" i="21" s="1"/>
  <c r="AC272" i="8"/>
  <c r="AC274" i="21" s="1"/>
  <c r="AD272" i="8"/>
  <c r="AD274" i="21" s="1"/>
  <c r="AE272" i="8"/>
  <c r="AE274" i="21" s="1"/>
  <c r="AF272" i="8"/>
  <c r="AF274" i="21" s="1"/>
  <c r="AG272" i="8"/>
  <c r="AG274" i="21" s="1"/>
  <c r="A273" i="8"/>
  <c r="A275" i="21" s="1"/>
  <c r="B273" i="8"/>
  <c r="B275" i="21" s="1"/>
  <c r="C273" i="8"/>
  <c r="C275" i="21" s="1"/>
  <c r="D273" i="8"/>
  <c r="D275" i="21" s="1"/>
  <c r="E273" i="8"/>
  <c r="E275" i="21" s="1"/>
  <c r="F273" i="8"/>
  <c r="F275" i="21" s="1"/>
  <c r="G273" i="8"/>
  <c r="G275" i="21" s="1"/>
  <c r="H273" i="8"/>
  <c r="H275" i="21" s="1"/>
  <c r="I273" i="8"/>
  <c r="I275" i="21" s="1"/>
  <c r="J273" i="8"/>
  <c r="J275" i="21" s="1"/>
  <c r="K273" i="8"/>
  <c r="K275" i="21" s="1"/>
  <c r="L273" i="8"/>
  <c r="L275" i="21" s="1"/>
  <c r="M273" i="8"/>
  <c r="M275" i="21" s="1"/>
  <c r="N273" i="8"/>
  <c r="N275" i="21" s="1"/>
  <c r="O273" i="8"/>
  <c r="O275" i="21" s="1"/>
  <c r="P273" i="8"/>
  <c r="P275" i="21" s="1"/>
  <c r="Q273" i="8"/>
  <c r="Q275" i="21" s="1"/>
  <c r="R273" i="8"/>
  <c r="R275" i="21" s="1"/>
  <c r="S273" i="8"/>
  <c r="S275" i="21" s="1"/>
  <c r="T273" i="8"/>
  <c r="T275" i="21" s="1"/>
  <c r="U273" i="8"/>
  <c r="U275" i="21" s="1"/>
  <c r="V273" i="8"/>
  <c r="V275" i="21" s="1"/>
  <c r="W273" i="8"/>
  <c r="W275" i="21" s="1"/>
  <c r="X273" i="8"/>
  <c r="X275" i="21" s="1"/>
  <c r="Y273" i="8"/>
  <c r="Y275" i="21" s="1"/>
  <c r="Z273" i="8"/>
  <c r="Z275" i="21" s="1"/>
  <c r="AA273" i="8"/>
  <c r="AA275" i="21" s="1"/>
  <c r="AB273" i="8"/>
  <c r="AB275" i="21" s="1"/>
  <c r="AC273" i="8"/>
  <c r="AC275" i="21" s="1"/>
  <c r="AD273" i="8"/>
  <c r="AD275" i="21" s="1"/>
  <c r="AE273" i="8"/>
  <c r="AF273" i="8"/>
  <c r="AF275" i="21" s="1"/>
  <c r="AG273" i="8"/>
  <c r="AG275" i="21" s="1"/>
  <c r="A274" i="8"/>
  <c r="A276" i="21" s="1"/>
  <c r="B274" i="8"/>
  <c r="B276" i="21" s="1"/>
  <c r="C274" i="8"/>
  <c r="C276" i="21" s="1"/>
  <c r="D274" i="8"/>
  <c r="D276" i="21" s="1"/>
  <c r="E274" i="8"/>
  <c r="E276" i="21" s="1"/>
  <c r="F274" i="8"/>
  <c r="F276" i="21" s="1"/>
  <c r="G274" i="8"/>
  <c r="G276" i="21" s="1"/>
  <c r="H274" i="8"/>
  <c r="H276" i="21" s="1"/>
  <c r="I274" i="8"/>
  <c r="I276" i="21" s="1"/>
  <c r="J274" i="8"/>
  <c r="J276" i="21" s="1"/>
  <c r="K274" i="8"/>
  <c r="K276" i="21" s="1"/>
  <c r="L274" i="8"/>
  <c r="L276" i="21" s="1"/>
  <c r="M274" i="8"/>
  <c r="M276" i="21" s="1"/>
  <c r="N274" i="8"/>
  <c r="N276" i="21" s="1"/>
  <c r="O274" i="8"/>
  <c r="O276" i="21" s="1"/>
  <c r="P274" i="8"/>
  <c r="P276" i="21" s="1"/>
  <c r="Q274" i="8"/>
  <c r="Q276" i="21" s="1"/>
  <c r="R274" i="8"/>
  <c r="R276" i="21" s="1"/>
  <c r="S274" i="8"/>
  <c r="S276" i="21" s="1"/>
  <c r="T274" i="8"/>
  <c r="T276" i="21" s="1"/>
  <c r="U274" i="8"/>
  <c r="U276" i="21" s="1"/>
  <c r="V274" i="8"/>
  <c r="V276" i="21" s="1"/>
  <c r="W274" i="8"/>
  <c r="W276" i="21" s="1"/>
  <c r="X274" i="8"/>
  <c r="X276" i="21" s="1"/>
  <c r="Y274" i="8"/>
  <c r="Y276" i="21" s="1"/>
  <c r="Z274" i="8"/>
  <c r="Z276" i="21" s="1"/>
  <c r="AA274" i="8"/>
  <c r="AA276" i="21" s="1"/>
  <c r="AB274" i="8"/>
  <c r="AB276" i="21" s="1"/>
  <c r="AC274" i="8"/>
  <c r="AC276" i="21" s="1"/>
  <c r="AD274" i="8"/>
  <c r="AD276" i="21" s="1"/>
  <c r="AE274" i="8"/>
  <c r="AE276" i="21" s="1"/>
  <c r="AF274" i="8"/>
  <c r="AG274" i="8"/>
  <c r="A275" i="8"/>
  <c r="A277" i="21" s="1"/>
  <c r="B275" i="8"/>
  <c r="B277" i="21" s="1"/>
  <c r="C275" i="8"/>
  <c r="C277" i="21" s="1"/>
  <c r="D275" i="8"/>
  <c r="D277" i="21" s="1"/>
  <c r="E275" i="8"/>
  <c r="E277" i="21" s="1"/>
  <c r="F275" i="8"/>
  <c r="F277" i="21" s="1"/>
  <c r="G275" i="8"/>
  <c r="G277" i="21" s="1"/>
  <c r="H275" i="8"/>
  <c r="H277" i="21" s="1"/>
  <c r="I275" i="8"/>
  <c r="I277" i="21" s="1"/>
  <c r="J275" i="8"/>
  <c r="J277" i="21" s="1"/>
  <c r="K275" i="8"/>
  <c r="K277" i="21" s="1"/>
  <c r="L275" i="8"/>
  <c r="L277" i="21" s="1"/>
  <c r="M275" i="8"/>
  <c r="M277" i="21" s="1"/>
  <c r="N275" i="8"/>
  <c r="N277" i="21" s="1"/>
  <c r="O275" i="8"/>
  <c r="O277" i="21" s="1"/>
  <c r="P275" i="8"/>
  <c r="P277" i="21" s="1"/>
  <c r="Q275" i="8"/>
  <c r="Q277" i="21" s="1"/>
  <c r="R275" i="8"/>
  <c r="R277" i="21" s="1"/>
  <c r="S275" i="8"/>
  <c r="S277" i="21" s="1"/>
  <c r="T275" i="8"/>
  <c r="T277" i="21" s="1"/>
  <c r="U275" i="8"/>
  <c r="U277" i="21" s="1"/>
  <c r="V275" i="8"/>
  <c r="V277" i="21" s="1"/>
  <c r="W275" i="8"/>
  <c r="W277" i="21" s="1"/>
  <c r="X275" i="8"/>
  <c r="X277" i="21" s="1"/>
  <c r="Y275" i="8"/>
  <c r="Y277" i="21" s="1"/>
  <c r="Z275" i="8"/>
  <c r="Z277" i="21" s="1"/>
  <c r="AA275" i="8"/>
  <c r="AA277" i="21" s="1"/>
  <c r="AB275" i="8"/>
  <c r="AB277" i="21" s="1"/>
  <c r="AC275" i="8"/>
  <c r="AC277" i="21" s="1"/>
  <c r="AD275" i="8"/>
  <c r="AD277" i="21" s="1"/>
  <c r="AE275" i="8"/>
  <c r="AF275" i="8"/>
  <c r="AG275" i="8"/>
  <c r="AG277" i="21" s="1"/>
  <c r="A276" i="8"/>
  <c r="A278" i="21" s="1"/>
  <c r="B276" i="8"/>
  <c r="B278" i="21" s="1"/>
  <c r="C276" i="8"/>
  <c r="C278" i="21" s="1"/>
  <c r="D276" i="8"/>
  <c r="D278" i="21" s="1"/>
  <c r="E276" i="8"/>
  <c r="E278" i="21" s="1"/>
  <c r="F276" i="8"/>
  <c r="F278" i="21" s="1"/>
  <c r="G276" i="8"/>
  <c r="G278" i="21" s="1"/>
  <c r="H276" i="8"/>
  <c r="H278" i="21" s="1"/>
  <c r="I276" i="8"/>
  <c r="I278" i="21" s="1"/>
  <c r="J276" i="8"/>
  <c r="J278" i="21" s="1"/>
  <c r="K276" i="8"/>
  <c r="K278" i="21" s="1"/>
  <c r="L276" i="8"/>
  <c r="L278" i="21" s="1"/>
  <c r="M276" i="8"/>
  <c r="M278" i="21" s="1"/>
  <c r="N276" i="8"/>
  <c r="N278" i="21" s="1"/>
  <c r="O276" i="8"/>
  <c r="O278" i="21" s="1"/>
  <c r="P276" i="8"/>
  <c r="P278" i="21" s="1"/>
  <c r="Q276" i="8"/>
  <c r="Q278" i="21" s="1"/>
  <c r="R276" i="8"/>
  <c r="R278" i="21" s="1"/>
  <c r="S276" i="8"/>
  <c r="S278" i="21" s="1"/>
  <c r="T276" i="8"/>
  <c r="T278" i="21" s="1"/>
  <c r="U276" i="8"/>
  <c r="U278" i="21" s="1"/>
  <c r="V276" i="8"/>
  <c r="V278" i="21" s="1"/>
  <c r="W276" i="8"/>
  <c r="W278" i="21" s="1"/>
  <c r="X276" i="8"/>
  <c r="X278" i="21" s="1"/>
  <c r="Y276" i="8"/>
  <c r="Y278" i="21" s="1"/>
  <c r="Z276" i="8"/>
  <c r="Z278" i="21" s="1"/>
  <c r="AA276" i="8"/>
  <c r="AA278" i="21" s="1"/>
  <c r="AB276" i="8"/>
  <c r="AB278" i="21" s="1"/>
  <c r="AC276" i="8"/>
  <c r="AC278" i="21" s="1"/>
  <c r="AD276" i="8"/>
  <c r="AD278" i="21" s="1"/>
  <c r="AE276" i="8"/>
  <c r="AE278" i="21" s="1"/>
  <c r="AF276" i="8"/>
  <c r="AG276" i="8"/>
  <c r="A277" i="8"/>
  <c r="B277" i="8"/>
  <c r="B279" i="21" s="1"/>
  <c r="C277" i="8"/>
  <c r="C279" i="21" s="1"/>
  <c r="D277" i="8"/>
  <c r="D279" i="21" s="1"/>
  <c r="E277" i="8"/>
  <c r="E279" i="21" s="1"/>
  <c r="F277" i="8"/>
  <c r="F279" i="21" s="1"/>
  <c r="G277" i="8"/>
  <c r="G279" i="21" s="1"/>
  <c r="H277" i="8"/>
  <c r="H279" i="21" s="1"/>
  <c r="I277" i="8"/>
  <c r="I279" i="21" s="1"/>
  <c r="J277" i="8"/>
  <c r="J279" i="21" s="1"/>
  <c r="K277" i="8"/>
  <c r="K279" i="21" s="1"/>
  <c r="L277" i="8"/>
  <c r="L279" i="21" s="1"/>
  <c r="M277" i="8"/>
  <c r="M279" i="21" s="1"/>
  <c r="N277" i="8"/>
  <c r="N279" i="21" s="1"/>
  <c r="O277" i="8"/>
  <c r="O279" i="21" s="1"/>
  <c r="P277" i="8"/>
  <c r="P279" i="21" s="1"/>
  <c r="Q277" i="8"/>
  <c r="Q279" i="21" s="1"/>
  <c r="R277" i="8"/>
  <c r="R279" i="21" s="1"/>
  <c r="S277" i="8"/>
  <c r="S279" i="21" s="1"/>
  <c r="T277" i="8"/>
  <c r="T279" i="21" s="1"/>
  <c r="U277" i="8"/>
  <c r="U279" i="21" s="1"/>
  <c r="V277" i="8"/>
  <c r="V279" i="21" s="1"/>
  <c r="W277" i="8"/>
  <c r="W279" i="21" s="1"/>
  <c r="X277" i="8"/>
  <c r="X279" i="21" s="1"/>
  <c r="Y277" i="8"/>
  <c r="Y279" i="21" s="1"/>
  <c r="Z277" i="8"/>
  <c r="Z279" i="21" s="1"/>
  <c r="AA277" i="8"/>
  <c r="AA279" i="21" s="1"/>
  <c r="AB277" i="8"/>
  <c r="AB279" i="21" s="1"/>
  <c r="AC277" i="8"/>
  <c r="AC279" i="21" s="1"/>
  <c r="AD277" i="8"/>
  <c r="AD279" i="21" s="1"/>
  <c r="AE277" i="8"/>
  <c r="AF277" i="8"/>
  <c r="AF279" i="21" s="1"/>
  <c r="AG277" i="8"/>
  <c r="A278" i="8"/>
  <c r="A280" i="21" s="1"/>
  <c r="B278" i="8"/>
  <c r="B280" i="21" s="1"/>
  <c r="C278" i="8"/>
  <c r="C280" i="21" s="1"/>
  <c r="D278" i="8"/>
  <c r="D280" i="21" s="1"/>
  <c r="E278" i="8"/>
  <c r="E280" i="21" s="1"/>
  <c r="F278" i="8"/>
  <c r="F280" i="21" s="1"/>
  <c r="G278" i="8"/>
  <c r="G280" i="21" s="1"/>
  <c r="H278" i="8"/>
  <c r="H280" i="21" s="1"/>
  <c r="I278" i="8"/>
  <c r="I280" i="21" s="1"/>
  <c r="J278" i="8"/>
  <c r="J280" i="21" s="1"/>
  <c r="K278" i="8"/>
  <c r="K280" i="21" s="1"/>
  <c r="L278" i="8"/>
  <c r="L280" i="21" s="1"/>
  <c r="M278" i="8"/>
  <c r="M280" i="21" s="1"/>
  <c r="N278" i="8"/>
  <c r="N280" i="21" s="1"/>
  <c r="O278" i="8"/>
  <c r="O280" i="21" s="1"/>
  <c r="P278" i="8"/>
  <c r="P280" i="21" s="1"/>
  <c r="Q278" i="8"/>
  <c r="Q280" i="21" s="1"/>
  <c r="R278" i="8"/>
  <c r="R280" i="21" s="1"/>
  <c r="S278" i="8"/>
  <c r="S280" i="21" s="1"/>
  <c r="T278" i="8"/>
  <c r="T280" i="21" s="1"/>
  <c r="U278" i="8"/>
  <c r="U280" i="21" s="1"/>
  <c r="V278" i="8"/>
  <c r="V280" i="21" s="1"/>
  <c r="W278" i="8"/>
  <c r="W280" i="21" s="1"/>
  <c r="X278" i="8"/>
  <c r="X280" i="21" s="1"/>
  <c r="Y278" i="8"/>
  <c r="Y280" i="21" s="1"/>
  <c r="Z278" i="8"/>
  <c r="Z280" i="21" s="1"/>
  <c r="AA278" i="8"/>
  <c r="AA280" i="21" s="1"/>
  <c r="AB278" i="8"/>
  <c r="AB280" i="21" s="1"/>
  <c r="AC278" i="8"/>
  <c r="AC280" i="21" s="1"/>
  <c r="AD278" i="8"/>
  <c r="AD280" i="21" s="1"/>
  <c r="AE278" i="8"/>
  <c r="AE280" i="21" s="1"/>
  <c r="AF278" i="8"/>
  <c r="AF280" i="21" s="1"/>
  <c r="AG278" i="8"/>
  <c r="AG280" i="21" s="1"/>
  <c r="A279" i="8"/>
  <c r="A281" i="21" s="1"/>
  <c r="B279" i="8"/>
  <c r="B281" i="21" s="1"/>
  <c r="C279" i="8"/>
  <c r="C281" i="21" s="1"/>
  <c r="D279" i="8"/>
  <c r="D281" i="21" s="1"/>
  <c r="E279" i="8"/>
  <c r="E281" i="21" s="1"/>
  <c r="F279" i="8"/>
  <c r="F281" i="21" s="1"/>
  <c r="G279" i="8"/>
  <c r="G281" i="21" s="1"/>
  <c r="H279" i="8"/>
  <c r="H281" i="21" s="1"/>
  <c r="I279" i="8"/>
  <c r="I281" i="21" s="1"/>
  <c r="J279" i="8"/>
  <c r="J281" i="21" s="1"/>
  <c r="K279" i="8"/>
  <c r="K281" i="21" s="1"/>
  <c r="L279" i="8"/>
  <c r="L281" i="21" s="1"/>
  <c r="M279" i="8"/>
  <c r="M281" i="21" s="1"/>
  <c r="N279" i="8"/>
  <c r="N281" i="21" s="1"/>
  <c r="O279" i="8"/>
  <c r="O281" i="21" s="1"/>
  <c r="P279" i="8"/>
  <c r="P281" i="21" s="1"/>
  <c r="Q279" i="8"/>
  <c r="Q281" i="21" s="1"/>
  <c r="R279" i="8"/>
  <c r="R281" i="21" s="1"/>
  <c r="S279" i="8"/>
  <c r="S281" i="21" s="1"/>
  <c r="T279" i="8"/>
  <c r="T281" i="21" s="1"/>
  <c r="U279" i="8"/>
  <c r="U281" i="21" s="1"/>
  <c r="V279" i="8"/>
  <c r="V281" i="21" s="1"/>
  <c r="W279" i="8"/>
  <c r="W281" i="21" s="1"/>
  <c r="X279" i="8"/>
  <c r="X281" i="21" s="1"/>
  <c r="Y279" i="8"/>
  <c r="Y281" i="21" s="1"/>
  <c r="Z279" i="8"/>
  <c r="Z281" i="21" s="1"/>
  <c r="AA279" i="8"/>
  <c r="AA281" i="21" s="1"/>
  <c r="AB279" i="8"/>
  <c r="AB281" i="21" s="1"/>
  <c r="AC279" i="8"/>
  <c r="AC281" i="21" s="1"/>
  <c r="AD279" i="8"/>
  <c r="AD281" i="21" s="1"/>
  <c r="AE279" i="8"/>
  <c r="AF279" i="8"/>
  <c r="AF281" i="21" s="1"/>
  <c r="AG279" i="8"/>
  <c r="AG281" i="21" s="1"/>
  <c r="A280" i="8"/>
  <c r="A282" i="21" s="1"/>
  <c r="B280" i="8"/>
  <c r="B282" i="21" s="1"/>
  <c r="C280" i="8"/>
  <c r="C282" i="21" s="1"/>
  <c r="D280" i="8"/>
  <c r="D282" i="21" s="1"/>
  <c r="E280" i="8"/>
  <c r="E282" i="21" s="1"/>
  <c r="F280" i="8"/>
  <c r="F282" i="21" s="1"/>
  <c r="G280" i="8"/>
  <c r="G282" i="21" s="1"/>
  <c r="H280" i="8"/>
  <c r="H282" i="21" s="1"/>
  <c r="I280" i="8"/>
  <c r="I282" i="21" s="1"/>
  <c r="J280" i="8"/>
  <c r="J282" i="21" s="1"/>
  <c r="K280" i="8"/>
  <c r="K282" i="21" s="1"/>
  <c r="L280" i="8"/>
  <c r="L282" i="21" s="1"/>
  <c r="M280" i="8"/>
  <c r="M282" i="21" s="1"/>
  <c r="N280" i="8"/>
  <c r="N282" i="21" s="1"/>
  <c r="O280" i="8"/>
  <c r="O282" i="21" s="1"/>
  <c r="P280" i="8"/>
  <c r="P282" i="21" s="1"/>
  <c r="Q280" i="8"/>
  <c r="Q282" i="21" s="1"/>
  <c r="R280" i="8"/>
  <c r="R282" i="21" s="1"/>
  <c r="S280" i="8"/>
  <c r="S282" i="21" s="1"/>
  <c r="T280" i="8"/>
  <c r="T282" i="21" s="1"/>
  <c r="U280" i="8"/>
  <c r="U282" i="21" s="1"/>
  <c r="V280" i="8"/>
  <c r="V282" i="21" s="1"/>
  <c r="W280" i="8"/>
  <c r="W282" i="21" s="1"/>
  <c r="X280" i="8"/>
  <c r="X282" i="21" s="1"/>
  <c r="Y280" i="8"/>
  <c r="Y282" i="21" s="1"/>
  <c r="Z280" i="8"/>
  <c r="Z282" i="21" s="1"/>
  <c r="AA280" i="8"/>
  <c r="AA282" i="21" s="1"/>
  <c r="AB280" i="8"/>
  <c r="AB282" i="21" s="1"/>
  <c r="AC280" i="8"/>
  <c r="AC282" i="21" s="1"/>
  <c r="AD280" i="8"/>
  <c r="AD282" i="21" s="1"/>
  <c r="AE280" i="8"/>
  <c r="AE282" i="21" s="1"/>
  <c r="AF280" i="8"/>
  <c r="AF282" i="21" s="1"/>
  <c r="AG280" i="8"/>
  <c r="AG282" i="21" s="1"/>
  <c r="A281" i="8"/>
  <c r="A283" i="21" s="1"/>
  <c r="B281" i="8"/>
  <c r="B283" i="21" s="1"/>
  <c r="C281" i="8"/>
  <c r="C283" i="21" s="1"/>
  <c r="D281" i="8"/>
  <c r="D283" i="21" s="1"/>
  <c r="E281" i="8"/>
  <c r="E283" i="21" s="1"/>
  <c r="F281" i="8"/>
  <c r="F283" i="21" s="1"/>
  <c r="G281" i="8"/>
  <c r="G283" i="21" s="1"/>
  <c r="H281" i="8"/>
  <c r="H283" i="21" s="1"/>
  <c r="I281" i="8"/>
  <c r="I283" i="21" s="1"/>
  <c r="J281" i="8"/>
  <c r="J283" i="21" s="1"/>
  <c r="K281" i="8"/>
  <c r="K283" i="21" s="1"/>
  <c r="L281" i="8"/>
  <c r="L283" i="21" s="1"/>
  <c r="M281" i="8"/>
  <c r="M283" i="21" s="1"/>
  <c r="N281" i="8"/>
  <c r="N283" i="21" s="1"/>
  <c r="O281" i="8"/>
  <c r="O283" i="21" s="1"/>
  <c r="P281" i="8"/>
  <c r="P283" i="21" s="1"/>
  <c r="Q281" i="8"/>
  <c r="Q283" i="21" s="1"/>
  <c r="R281" i="8"/>
  <c r="R283" i="21" s="1"/>
  <c r="S281" i="8"/>
  <c r="S283" i="21" s="1"/>
  <c r="T281" i="8"/>
  <c r="T283" i="21" s="1"/>
  <c r="U281" i="8"/>
  <c r="U283" i="21" s="1"/>
  <c r="V281" i="8"/>
  <c r="V283" i="21" s="1"/>
  <c r="W281" i="8"/>
  <c r="W283" i="21" s="1"/>
  <c r="X281" i="8"/>
  <c r="X283" i="21" s="1"/>
  <c r="Y281" i="8"/>
  <c r="Y283" i="21" s="1"/>
  <c r="Z281" i="8"/>
  <c r="Z283" i="21" s="1"/>
  <c r="AA281" i="8"/>
  <c r="AA283" i="21" s="1"/>
  <c r="AB281" i="8"/>
  <c r="AB283" i="21" s="1"/>
  <c r="AC281" i="8"/>
  <c r="AC283" i="21" s="1"/>
  <c r="AD281" i="8"/>
  <c r="AD283" i="21" s="1"/>
  <c r="AE281" i="8"/>
  <c r="AF281" i="8"/>
  <c r="AF283" i="21" s="1"/>
  <c r="AG281" i="8"/>
  <c r="AG283" i="21" s="1"/>
  <c r="A282" i="8"/>
  <c r="A284" i="21" s="1"/>
  <c r="B282" i="8"/>
  <c r="B284" i="21" s="1"/>
  <c r="C282" i="8"/>
  <c r="C284" i="21" s="1"/>
  <c r="D282" i="8"/>
  <c r="D284" i="21" s="1"/>
  <c r="E282" i="8"/>
  <c r="E284" i="21" s="1"/>
  <c r="F282" i="8"/>
  <c r="F284" i="21" s="1"/>
  <c r="G282" i="8"/>
  <c r="G284" i="21" s="1"/>
  <c r="H282" i="8"/>
  <c r="H284" i="21" s="1"/>
  <c r="I282" i="8"/>
  <c r="I284" i="21" s="1"/>
  <c r="J282" i="8"/>
  <c r="J284" i="21" s="1"/>
  <c r="K282" i="8"/>
  <c r="K284" i="21" s="1"/>
  <c r="L282" i="8"/>
  <c r="L284" i="21" s="1"/>
  <c r="M282" i="8"/>
  <c r="M284" i="21" s="1"/>
  <c r="N282" i="8"/>
  <c r="N284" i="21" s="1"/>
  <c r="O282" i="8"/>
  <c r="O284" i="21" s="1"/>
  <c r="P282" i="8"/>
  <c r="P284" i="21" s="1"/>
  <c r="Q282" i="8"/>
  <c r="Q284" i="21" s="1"/>
  <c r="R282" i="8"/>
  <c r="R284" i="21" s="1"/>
  <c r="S282" i="8"/>
  <c r="S284" i="21" s="1"/>
  <c r="T282" i="8"/>
  <c r="T284" i="21" s="1"/>
  <c r="U282" i="8"/>
  <c r="U284" i="21" s="1"/>
  <c r="V282" i="8"/>
  <c r="V284" i="21" s="1"/>
  <c r="W282" i="8"/>
  <c r="W284" i="21" s="1"/>
  <c r="X282" i="8"/>
  <c r="X284" i="21" s="1"/>
  <c r="Y282" i="8"/>
  <c r="Y284" i="21" s="1"/>
  <c r="Z282" i="8"/>
  <c r="Z284" i="21" s="1"/>
  <c r="AA282" i="8"/>
  <c r="AA284" i="21" s="1"/>
  <c r="AB282" i="8"/>
  <c r="AB284" i="21" s="1"/>
  <c r="AC282" i="8"/>
  <c r="AC284" i="21" s="1"/>
  <c r="AD282" i="8"/>
  <c r="AD284" i="21" s="1"/>
  <c r="AE282" i="8"/>
  <c r="AE284" i="21" s="1"/>
  <c r="AF282" i="8"/>
  <c r="AF284" i="21" s="1"/>
  <c r="AG282" i="8"/>
  <c r="AG284" i="21" s="1"/>
  <c r="A283" i="8"/>
  <c r="A285" i="21" s="1"/>
  <c r="B283" i="8"/>
  <c r="B285" i="21" s="1"/>
  <c r="C283" i="8"/>
  <c r="C285" i="21" s="1"/>
  <c r="D283" i="8"/>
  <c r="D285" i="21" s="1"/>
  <c r="E283" i="8"/>
  <c r="E285" i="21" s="1"/>
  <c r="F283" i="8"/>
  <c r="F285" i="21" s="1"/>
  <c r="G283" i="8"/>
  <c r="G285" i="21" s="1"/>
  <c r="H283" i="8"/>
  <c r="H285" i="21" s="1"/>
  <c r="I283" i="8"/>
  <c r="I285" i="21" s="1"/>
  <c r="J283" i="8"/>
  <c r="J285" i="21" s="1"/>
  <c r="K283" i="8"/>
  <c r="K285" i="21" s="1"/>
  <c r="L283" i="8"/>
  <c r="L285" i="21" s="1"/>
  <c r="M283" i="8"/>
  <c r="M285" i="21" s="1"/>
  <c r="N283" i="8"/>
  <c r="N285" i="21" s="1"/>
  <c r="O283" i="8"/>
  <c r="O285" i="21" s="1"/>
  <c r="P283" i="8"/>
  <c r="P285" i="21" s="1"/>
  <c r="Q283" i="8"/>
  <c r="Q285" i="21" s="1"/>
  <c r="R283" i="8"/>
  <c r="R285" i="21" s="1"/>
  <c r="S283" i="8"/>
  <c r="S285" i="21" s="1"/>
  <c r="T283" i="8"/>
  <c r="T285" i="21" s="1"/>
  <c r="U283" i="8"/>
  <c r="U285" i="21" s="1"/>
  <c r="V283" i="8"/>
  <c r="V285" i="21" s="1"/>
  <c r="W283" i="8"/>
  <c r="W285" i="21" s="1"/>
  <c r="X283" i="8"/>
  <c r="X285" i="21" s="1"/>
  <c r="Y283" i="8"/>
  <c r="Y285" i="21" s="1"/>
  <c r="Z283" i="8"/>
  <c r="Z285" i="21" s="1"/>
  <c r="AA283" i="8"/>
  <c r="AA285" i="21" s="1"/>
  <c r="AB283" i="8"/>
  <c r="AB285" i="21" s="1"/>
  <c r="AC283" i="8"/>
  <c r="AC285" i="21" s="1"/>
  <c r="AD283" i="8"/>
  <c r="AD285" i="21" s="1"/>
  <c r="AE283" i="8"/>
  <c r="AF283" i="8"/>
  <c r="AG283" i="8"/>
  <c r="A284" i="8"/>
  <c r="A286" i="21" s="1"/>
  <c r="B284" i="8"/>
  <c r="B286" i="21" s="1"/>
  <c r="C284" i="8"/>
  <c r="C286" i="21" s="1"/>
  <c r="D284" i="8"/>
  <c r="D286" i="21" s="1"/>
  <c r="E284" i="8"/>
  <c r="E286" i="21" s="1"/>
  <c r="F284" i="8"/>
  <c r="F286" i="21" s="1"/>
  <c r="G284" i="8"/>
  <c r="G286" i="21" s="1"/>
  <c r="H284" i="8"/>
  <c r="H286" i="21" s="1"/>
  <c r="I284" i="8"/>
  <c r="I286" i="21" s="1"/>
  <c r="J284" i="8"/>
  <c r="J286" i="21" s="1"/>
  <c r="K284" i="8"/>
  <c r="K286" i="21" s="1"/>
  <c r="L284" i="8"/>
  <c r="L286" i="21" s="1"/>
  <c r="M284" i="8"/>
  <c r="M286" i="21" s="1"/>
  <c r="N284" i="8"/>
  <c r="N286" i="21" s="1"/>
  <c r="O284" i="8"/>
  <c r="O286" i="21" s="1"/>
  <c r="P284" i="8"/>
  <c r="P286" i="21" s="1"/>
  <c r="Q284" i="8"/>
  <c r="Q286" i="21" s="1"/>
  <c r="R284" i="8"/>
  <c r="R286" i="21" s="1"/>
  <c r="S284" i="8"/>
  <c r="S286" i="21" s="1"/>
  <c r="T284" i="8"/>
  <c r="T286" i="21" s="1"/>
  <c r="U284" i="8"/>
  <c r="U286" i="21" s="1"/>
  <c r="V284" i="8"/>
  <c r="V286" i="21" s="1"/>
  <c r="W284" i="8"/>
  <c r="W286" i="21" s="1"/>
  <c r="X284" i="8"/>
  <c r="X286" i="21" s="1"/>
  <c r="Y284" i="8"/>
  <c r="Y286" i="21" s="1"/>
  <c r="Z284" i="8"/>
  <c r="Z286" i="21" s="1"/>
  <c r="AA284" i="8"/>
  <c r="AA286" i="21" s="1"/>
  <c r="AB284" i="8"/>
  <c r="AB286" i="21" s="1"/>
  <c r="AC284" i="8"/>
  <c r="AC286" i="21" s="1"/>
  <c r="AD284" i="8"/>
  <c r="AD286" i="21" s="1"/>
  <c r="AE284" i="8"/>
  <c r="AE286" i="21" s="1"/>
  <c r="AF284" i="8"/>
  <c r="AF286" i="21" s="1"/>
  <c r="AG284" i="8"/>
  <c r="AG286" i="21" s="1"/>
  <c r="A285" i="8"/>
  <c r="A287" i="21" s="1"/>
  <c r="B285" i="8"/>
  <c r="B287" i="21" s="1"/>
  <c r="C285" i="8"/>
  <c r="C287" i="21" s="1"/>
  <c r="D285" i="8"/>
  <c r="D287" i="21" s="1"/>
  <c r="E285" i="8"/>
  <c r="E287" i="21" s="1"/>
  <c r="F285" i="8"/>
  <c r="F287" i="21" s="1"/>
  <c r="G285" i="8"/>
  <c r="G287" i="21" s="1"/>
  <c r="H285" i="8"/>
  <c r="H287" i="21" s="1"/>
  <c r="I285" i="8"/>
  <c r="I287" i="21" s="1"/>
  <c r="J285" i="8"/>
  <c r="J287" i="21" s="1"/>
  <c r="K285" i="8"/>
  <c r="K287" i="21" s="1"/>
  <c r="L285" i="8"/>
  <c r="L287" i="21" s="1"/>
  <c r="M285" i="8"/>
  <c r="M287" i="21" s="1"/>
  <c r="N285" i="8"/>
  <c r="N287" i="21" s="1"/>
  <c r="O285" i="8"/>
  <c r="O287" i="21" s="1"/>
  <c r="P285" i="8"/>
  <c r="P287" i="21" s="1"/>
  <c r="Q285" i="8"/>
  <c r="Q287" i="21" s="1"/>
  <c r="R285" i="8"/>
  <c r="R287" i="21" s="1"/>
  <c r="S285" i="8"/>
  <c r="S287" i="21" s="1"/>
  <c r="T285" i="8"/>
  <c r="T287" i="21" s="1"/>
  <c r="U285" i="8"/>
  <c r="U287" i="21" s="1"/>
  <c r="V285" i="8"/>
  <c r="V287" i="21" s="1"/>
  <c r="W285" i="8"/>
  <c r="W287" i="21" s="1"/>
  <c r="X285" i="8"/>
  <c r="X287" i="21" s="1"/>
  <c r="Y285" i="8"/>
  <c r="Y287" i="21" s="1"/>
  <c r="Z285" i="8"/>
  <c r="Z287" i="21" s="1"/>
  <c r="AA285" i="8"/>
  <c r="AA287" i="21" s="1"/>
  <c r="AB285" i="8"/>
  <c r="AB287" i="21" s="1"/>
  <c r="AC285" i="8"/>
  <c r="AC287" i="21" s="1"/>
  <c r="AD285" i="8"/>
  <c r="AD287" i="21" s="1"/>
  <c r="AE285" i="8"/>
  <c r="AF285" i="8"/>
  <c r="AF287" i="21" s="1"/>
  <c r="AG285" i="8"/>
  <c r="AG287" i="21" s="1"/>
  <c r="A286" i="8"/>
  <c r="A288" i="21" s="1"/>
  <c r="B286" i="8"/>
  <c r="B288" i="21" s="1"/>
  <c r="C286" i="8"/>
  <c r="C288" i="21" s="1"/>
  <c r="D286" i="8"/>
  <c r="D288" i="21" s="1"/>
  <c r="E286" i="8"/>
  <c r="E288" i="21" s="1"/>
  <c r="F286" i="8"/>
  <c r="F288" i="21" s="1"/>
  <c r="G286" i="8"/>
  <c r="G288" i="21" s="1"/>
  <c r="H286" i="8"/>
  <c r="H288" i="21" s="1"/>
  <c r="I286" i="8"/>
  <c r="I288" i="21" s="1"/>
  <c r="J286" i="8"/>
  <c r="J288" i="21" s="1"/>
  <c r="K286" i="8"/>
  <c r="K288" i="21" s="1"/>
  <c r="L286" i="8"/>
  <c r="L288" i="21" s="1"/>
  <c r="M286" i="8"/>
  <c r="M288" i="21" s="1"/>
  <c r="N286" i="8"/>
  <c r="N288" i="21" s="1"/>
  <c r="O286" i="8"/>
  <c r="O288" i="21" s="1"/>
  <c r="P286" i="8"/>
  <c r="P288" i="21" s="1"/>
  <c r="Q286" i="8"/>
  <c r="Q288" i="21" s="1"/>
  <c r="R286" i="8"/>
  <c r="R288" i="21" s="1"/>
  <c r="S286" i="8"/>
  <c r="S288" i="21" s="1"/>
  <c r="T286" i="8"/>
  <c r="T288" i="21" s="1"/>
  <c r="U286" i="8"/>
  <c r="U288" i="21" s="1"/>
  <c r="V286" i="8"/>
  <c r="V288" i="21" s="1"/>
  <c r="W286" i="8"/>
  <c r="W288" i="21" s="1"/>
  <c r="X286" i="8"/>
  <c r="X288" i="21" s="1"/>
  <c r="Y286" i="8"/>
  <c r="Y288" i="21" s="1"/>
  <c r="Z286" i="8"/>
  <c r="Z288" i="21" s="1"/>
  <c r="AA286" i="8"/>
  <c r="AA288" i="21" s="1"/>
  <c r="AB286" i="8"/>
  <c r="AB288" i="21" s="1"/>
  <c r="AC286" i="8"/>
  <c r="AC288" i="21" s="1"/>
  <c r="AD286" i="8"/>
  <c r="AD288" i="21" s="1"/>
  <c r="AE286" i="8"/>
  <c r="AE288" i="21" s="1"/>
  <c r="AF286" i="8"/>
  <c r="AF288" i="21" s="1"/>
  <c r="AG286" i="8"/>
  <c r="AG288" i="21" s="1"/>
  <c r="A287" i="8"/>
  <c r="A289" i="21" s="1"/>
  <c r="B287" i="8"/>
  <c r="B289" i="21" s="1"/>
  <c r="C287" i="8"/>
  <c r="C289" i="21" s="1"/>
  <c r="D287" i="8"/>
  <c r="D289" i="21" s="1"/>
  <c r="E287" i="8"/>
  <c r="E289" i="21" s="1"/>
  <c r="F287" i="8"/>
  <c r="F289" i="21" s="1"/>
  <c r="G287" i="8"/>
  <c r="G289" i="21" s="1"/>
  <c r="H287" i="8"/>
  <c r="H289" i="21" s="1"/>
  <c r="I287" i="8"/>
  <c r="I289" i="21" s="1"/>
  <c r="J287" i="8"/>
  <c r="J289" i="21" s="1"/>
  <c r="K287" i="8"/>
  <c r="K289" i="21" s="1"/>
  <c r="L287" i="8"/>
  <c r="L289" i="21" s="1"/>
  <c r="M287" i="8"/>
  <c r="M289" i="21" s="1"/>
  <c r="N287" i="8"/>
  <c r="N289" i="21" s="1"/>
  <c r="O287" i="8"/>
  <c r="O289" i="21" s="1"/>
  <c r="P287" i="8"/>
  <c r="P289" i="21" s="1"/>
  <c r="Q287" i="8"/>
  <c r="Q289" i="21" s="1"/>
  <c r="R287" i="8"/>
  <c r="R289" i="21" s="1"/>
  <c r="S287" i="8"/>
  <c r="S289" i="21" s="1"/>
  <c r="T287" i="8"/>
  <c r="T289" i="21" s="1"/>
  <c r="U287" i="8"/>
  <c r="U289" i="21" s="1"/>
  <c r="V287" i="8"/>
  <c r="V289" i="21" s="1"/>
  <c r="W287" i="8"/>
  <c r="W289" i="21" s="1"/>
  <c r="X287" i="8"/>
  <c r="X289" i="21" s="1"/>
  <c r="Y287" i="8"/>
  <c r="Y289" i="21" s="1"/>
  <c r="Z287" i="8"/>
  <c r="Z289" i="21" s="1"/>
  <c r="AA287" i="8"/>
  <c r="AA289" i="21" s="1"/>
  <c r="AB287" i="8"/>
  <c r="AB289" i="21" s="1"/>
  <c r="AC287" i="8"/>
  <c r="AC289" i="21" s="1"/>
  <c r="AD287" i="8"/>
  <c r="AD289" i="21" s="1"/>
  <c r="AE287" i="8"/>
  <c r="AF287" i="8"/>
  <c r="AF289" i="21" s="1"/>
  <c r="AG287" i="8"/>
  <c r="AG289" i="21" s="1"/>
  <c r="A288" i="8"/>
  <c r="A290" i="21" s="1"/>
  <c r="B288" i="8"/>
  <c r="B290" i="21" s="1"/>
  <c r="C288" i="8"/>
  <c r="C290" i="21" s="1"/>
  <c r="D288" i="8"/>
  <c r="D290" i="21" s="1"/>
  <c r="E288" i="8"/>
  <c r="E290" i="21" s="1"/>
  <c r="F288" i="8"/>
  <c r="F290" i="21" s="1"/>
  <c r="G288" i="8"/>
  <c r="G290" i="21" s="1"/>
  <c r="H288" i="8"/>
  <c r="H290" i="21" s="1"/>
  <c r="I288" i="8"/>
  <c r="I290" i="21" s="1"/>
  <c r="J288" i="8"/>
  <c r="J290" i="21" s="1"/>
  <c r="K288" i="8"/>
  <c r="K290" i="21" s="1"/>
  <c r="L288" i="8"/>
  <c r="L290" i="21" s="1"/>
  <c r="M288" i="8"/>
  <c r="M290" i="21" s="1"/>
  <c r="N288" i="8"/>
  <c r="N290" i="21" s="1"/>
  <c r="O288" i="8"/>
  <c r="O290" i="21" s="1"/>
  <c r="P288" i="8"/>
  <c r="P290" i="21" s="1"/>
  <c r="Q288" i="8"/>
  <c r="Q290" i="21" s="1"/>
  <c r="R288" i="8"/>
  <c r="R290" i="21" s="1"/>
  <c r="S288" i="8"/>
  <c r="S290" i="21" s="1"/>
  <c r="T288" i="8"/>
  <c r="T290" i="21" s="1"/>
  <c r="U288" i="8"/>
  <c r="U290" i="21" s="1"/>
  <c r="V288" i="8"/>
  <c r="V290" i="21" s="1"/>
  <c r="W288" i="8"/>
  <c r="W290" i="21" s="1"/>
  <c r="X288" i="8"/>
  <c r="X290" i="21" s="1"/>
  <c r="Y288" i="8"/>
  <c r="Y290" i="21" s="1"/>
  <c r="Z288" i="8"/>
  <c r="Z290" i="21" s="1"/>
  <c r="AA288" i="8"/>
  <c r="AA290" i="21" s="1"/>
  <c r="AB288" i="8"/>
  <c r="AB290" i="21" s="1"/>
  <c r="AC288" i="8"/>
  <c r="AC290" i="21" s="1"/>
  <c r="AD288" i="8"/>
  <c r="AD290" i="21" s="1"/>
  <c r="AE288" i="8"/>
  <c r="AE290" i="21" s="1"/>
  <c r="AF288" i="8"/>
  <c r="AF290" i="21" s="1"/>
  <c r="AG288" i="8"/>
  <c r="AG290" i="21" s="1"/>
  <c r="A289" i="8"/>
  <c r="A291" i="21" s="1"/>
  <c r="B289" i="8"/>
  <c r="B291" i="21" s="1"/>
  <c r="C289" i="8"/>
  <c r="C291" i="21" s="1"/>
  <c r="D289" i="8"/>
  <c r="D291" i="21" s="1"/>
  <c r="E289" i="8"/>
  <c r="E291" i="21" s="1"/>
  <c r="F289" i="8"/>
  <c r="F291" i="21" s="1"/>
  <c r="G289" i="8"/>
  <c r="G291" i="21" s="1"/>
  <c r="H289" i="8"/>
  <c r="H291" i="21" s="1"/>
  <c r="I289" i="8"/>
  <c r="I291" i="21" s="1"/>
  <c r="J289" i="8"/>
  <c r="J291" i="21" s="1"/>
  <c r="K289" i="8"/>
  <c r="K291" i="21" s="1"/>
  <c r="L289" i="8"/>
  <c r="L291" i="21" s="1"/>
  <c r="M289" i="8"/>
  <c r="M291" i="21" s="1"/>
  <c r="N289" i="8"/>
  <c r="N291" i="21" s="1"/>
  <c r="O289" i="8"/>
  <c r="O291" i="21" s="1"/>
  <c r="P289" i="8"/>
  <c r="P291" i="21" s="1"/>
  <c r="Q289" i="8"/>
  <c r="Q291" i="21" s="1"/>
  <c r="R289" i="8"/>
  <c r="R291" i="21" s="1"/>
  <c r="S289" i="8"/>
  <c r="S291" i="21" s="1"/>
  <c r="T289" i="8"/>
  <c r="T291" i="21" s="1"/>
  <c r="U289" i="8"/>
  <c r="U291" i="21" s="1"/>
  <c r="V289" i="8"/>
  <c r="V291" i="21" s="1"/>
  <c r="W289" i="8"/>
  <c r="W291" i="21" s="1"/>
  <c r="X289" i="8"/>
  <c r="X291" i="21" s="1"/>
  <c r="Y289" i="8"/>
  <c r="Y291" i="21" s="1"/>
  <c r="Z289" i="8"/>
  <c r="Z291" i="21" s="1"/>
  <c r="AA289" i="8"/>
  <c r="AA291" i="21" s="1"/>
  <c r="AB289" i="8"/>
  <c r="AB291" i="21" s="1"/>
  <c r="AC289" i="8"/>
  <c r="AC291" i="21" s="1"/>
  <c r="AD289" i="8"/>
  <c r="AD291" i="21" s="1"/>
  <c r="AE289" i="8"/>
  <c r="AF289" i="8"/>
  <c r="AF291" i="21" s="1"/>
  <c r="AG289" i="8"/>
  <c r="AG291" i="21" s="1"/>
  <c r="A290" i="8"/>
  <c r="A292" i="21" s="1"/>
  <c r="B290" i="8"/>
  <c r="B292" i="21" s="1"/>
  <c r="C290" i="8"/>
  <c r="C292" i="21" s="1"/>
  <c r="D290" i="8"/>
  <c r="D292" i="21" s="1"/>
  <c r="E290" i="8"/>
  <c r="E292" i="21" s="1"/>
  <c r="F290" i="8"/>
  <c r="F292" i="21" s="1"/>
  <c r="G290" i="8"/>
  <c r="G292" i="21" s="1"/>
  <c r="H290" i="8"/>
  <c r="H292" i="21" s="1"/>
  <c r="I290" i="8"/>
  <c r="I292" i="21" s="1"/>
  <c r="J290" i="8"/>
  <c r="J292" i="21" s="1"/>
  <c r="K290" i="8"/>
  <c r="K292" i="21" s="1"/>
  <c r="L290" i="8"/>
  <c r="L292" i="21" s="1"/>
  <c r="M290" i="8"/>
  <c r="M292" i="21" s="1"/>
  <c r="N290" i="8"/>
  <c r="N292" i="21" s="1"/>
  <c r="O290" i="8"/>
  <c r="O292" i="21" s="1"/>
  <c r="P290" i="8"/>
  <c r="P292" i="21" s="1"/>
  <c r="Q290" i="8"/>
  <c r="Q292" i="21" s="1"/>
  <c r="R290" i="8"/>
  <c r="R292" i="21" s="1"/>
  <c r="S290" i="8"/>
  <c r="S292" i="21" s="1"/>
  <c r="T290" i="8"/>
  <c r="T292" i="21" s="1"/>
  <c r="U290" i="8"/>
  <c r="U292" i="21" s="1"/>
  <c r="V290" i="8"/>
  <c r="V292" i="21" s="1"/>
  <c r="W290" i="8"/>
  <c r="W292" i="21" s="1"/>
  <c r="X290" i="8"/>
  <c r="X292" i="21" s="1"/>
  <c r="Y290" i="8"/>
  <c r="Y292" i="21" s="1"/>
  <c r="Z290" i="8"/>
  <c r="Z292" i="21" s="1"/>
  <c r="AA290" i="8"/>
  <c r="AA292" i="21" s="1"/>
  <c r="AB290" i="8"/>
  <c r="AB292" i="21" s="1"/>
  <c r="AC290" i="8"/>
  <c r="AC292" i="21" s="1"/>
  <c r="AD290" i="8"/>
  <c r="AD292" i="21" s="1"/>
  <c r="AE290" i="8"/>
  <c r="AE292" i="21" s="1"/>
  <c r="AF290" i="8"/>
  <c r="AF292" i="21" s="1"/>
  <c r="AG290" i="8"/>
  <c r="AG292" i="21" s="1"/>
  <c r="A291" i="8"/>
  <c r="A293" i="21" s="1"/>
  <c r="B291" i="8"/>
  <c r="B293" i="21" s="1"/>
  <c r="C291" i="8"/>
  <c r="C293" i="21" s="1"/>
  <c r="D291" i="8"/>
  <c r="D293" i="21" s="1"/>
  <c r="E291" i="8"/>
  <c r="E293" i="21" s="1"/>
  <c r="F291" i="8"/>
  <c r="F293" i="21" s="1"/>
  <c r="G291" i="8"/>
  <c r="G293" i="21" s="1"/>
  <c r="H291" i="8"/>
  <c r="H293" i="21" s="1"/>
  <c r="I291" i="8"/>
  <c r="I293" i="21" s="1"/>
  <c r="J291" i="8"/>
  <c r="J293" i="21" s="1"/>
  <c r="K291" i="8"/>
  <c r="K293" i="21" s="1"/>
  <c r="L291" i="8"/>
  <c r="L293" i="21" s="1"/>
  <c r="M291" i="8"/>
  <c r="M293" i="21" s="1"/>
  <c r="N291" i="8"/>
  <c r="N293" i="21" s="1"/>
  <c r="O291" i="8"/>
  <c r="O293" i="21" s="1"/>
  <c r="P291" i="8"/>
  <c r="P293" i="21" s="1"/>
  <c r="Q291" i="8"/>
  <c r="Q293" i="21" s="1"/>
  <c r="R291" i="8"/>
  <c r="R293" i="21" s="1"/>
  <c r="S291" i="8"/>
  <c r="S293" i="21" s="1"/>
  <c r="T291" i="8"/>
  <c r="T293" i="21" s="1"/>
  <c r="U291" i="8"/>
  <c r="U293" i="21" s="1"/>
  <c r="V291" i="8"/>
  <c r="V293" i="21" s="1"/>
  <c r="W291" i="8"/>
  <c r="W293" i="21" s="1"/>
  <c r="X291" i="8"/>
  <c r="X293" i="21" s="1"/>
  <c r="Y291" i="8"/>
  <c r="Y293" i="21" s="1"/>
  <c r="Z291" i="8"/>
  <c r="Z293" i="21" s="1"/>
  <c r="AA291" i="8"/>
  <c r="AA293" i="21" s="1"/>
  <c r="AB291" i="8"/>
  <c r="AB293" i="21" s="1"/>
  <c r="AC291" i="8"/>
  <c r="AC293" i="21" s="1"/>
  <c r="AD291" i="8"/>
  <c r="AD293" i="21" s="1"/>
  <c r="AE291" i="8"/>
  <c r="AF291" i="8"/>
  <c r="AG291" i="8"/>
  <c r="A292" i="8"/>
  <c r="A294" i="21" s="1"/>
  <c r="B292" i="8"/>
  <c r="B294" i="21" s="1"/>
  <c r="C292" i="8"/>
  <c r="C294" i="21" s="1"/>
  <c r="D292" i="8"/>
  <c r="D294" i="21" s="1"/>
  <c r="E292" i="8"/>
  <c r="E294" i="21" s="1"/>
  <c r="F292" i="8"/>
  <c r="F294" i="21" s="1"/>
  <c r="G292" i="8"/>
  <c r="G294" i="21" s="1"/>
  <c r="H292" i="8"/>
  <c r="H294" i="21" s="1"/>
  <c r="I292" i="8"/>
  <c r="I294" i="21" s="1"/>
  <c r="J292" i="8"/>
  <c r="J294" i="21" s="1"/>
  <c r="K292" i="8"/>
  <c r="K294" i="21" s="1"/>
  <c r="L292" i="8"/>
  <c r="L294" i="21" s="1"/>
  <c r="M292" i="8"/>
  <c r="M294" i="21" s="1"/>
  <c r="N292" i="8"/>
  <c r="N294" i="21" s="1"/>
  <c r="O292" i="8"/>
  <c r="O294" i="21" s="1"/>
  <c r="P292" i="8"/>
  <c r="P294" i="21" s="1"/>
  <c r="Q292" i="8"/>
  <c r="Q294" i="21" s="1"/>
  <c r="R292" i="8"/>
  <c r="R294" i="21" s="1"/>
  <c r="S292" i="8"/>
  <c r="S294" i="21" s="1"/>
  <c r="T292" i="8"/>
  <c r="T294" i="21" s="1"/>
  <c r="U292" i="8"/>
  <c r="U294" i="21" s="1"/>
  <c r="V292" i="8"/>
  <c r="V294" i="21" s="1"/>
  <c r="W292" i="8"/>
  <c r="W294" i="21" s="1"/>
  <c r="X292" i="8"/>
  <c r="X294" i="21" s="1"/>
  <c r="Y292" i="8"/>
  <c r="Y294" i="21" s="1"/>
  <c r="Z292" i="8"/>
  <c r="Z294" i="21" s="1"/>
  <c r="AA292" i="8"/>
  <c r="AA294" i="21" s="1"/>
  <c r="AB292" i="8"/>
  <c r="AB294" i="21" s="1"/>
  <c r="AC292" i="8"/>
  <c r="AC294" i="21" s="1"/>
  <c r="AD292" i="8"/>
  <c r="AD294" i="21" s="1"/>
  <c r="AE292" i="8"/>
  <c r="AE294" i="21" s="1"/>
  <c r="AF292" i="8"/>
  <c r="AG292" i="8"/>
  <c r="A293" i="8"/>
  <c r="A295" i="21" s="1"/>
  <c r="B293" i="8"/>
  <c r="B295" i="21" s="1"/>
  <c r="C293" i="8"/>
  <c r="C295" i="21" s="1"/>
  <c r="D293" i="8"/>
  <c r="D295" i="21" s="1"/>
  <c r="E293" i="8"/>
  <c r="E295" i="21" s="1"/>
  <c r="F293" i="8"/>
  <c r="F295" i="21" s="1"/>
  <c r="G293" i="8"/>
  <c r="G295" i="21" s="1"/>
  <c r="H293" i="8"/>
  <c r="H295" i="21" s="1"/>
  <c r="I293" i="8"/>
  <c r="I295" i="21" s="1"/>
  <c r="J293" i="8"/>
  <c r="J295" i="21" s="1"/>
  <c r="K293" i="8"/>
  <c r="K295" i="21" s="1"/>
  <c r="L293" i="8"/>
  <c r="L295" i="21" s="1"/>
  <c r="M293" i="8"/>
  <c r="M295" i="21" s="1"/>
  <c r="N293" i="8"/>
  <c r="N295" i="21" s="1"/>
  <c r="O293" i="8"/>
  <c r="O295" i="21" s="1"/>
  <c r="P293" i="8"/>
  <c r="P295" i="21" s="1"/>
  <c r="Q293" i="8"/>
  <c r="Q295" i="21" s="1"/>
  <c r="R293" i="8"/>
  <c r="R295" i="21" s="1"/>
  <c r="S293" i="8"/>
  <c r="S295" i="21" s="1"/>
  <c r="T293" i="8"/>
  <c r="T295" i="21" s="1"/>
  <c r="U293" i="8"/>
  <c r="U295" i="21" s="1"/>
  <c r="V293" i="8"/>
  <c r="V295" i="21" s="1"/>
  <c r="W293" i="8"/>
  <c r="W295" i="21" s="1"/>
  <c r="X293" i="8"/>
  <c r="X295" i="21" s="1"/>
  <c r="Y293" i="8"/>
  <c r="Y295" i="21" s="1"/>
  <c r="Z293" i="8"/>
  <c r="Z295" i="21" s="1"/>
  <c r="AA293" i="8"/>
  <c r="AA295" i="21" s="1"/>
  <c r="AB293" i="8"/>
  <c r="AB295" i="21" s="1"/>
  <c r="AC293" i="8"/>
  <c r="AC295" i="21" s="1"/>
  <c r="AD293" i="8"/>
  <c r="AD295" i="21" s="1"/>
  <c r="AE293" i="8"/>
  <c r="AF293" i="8"/>
  <c r="AF295" i="21" s="1"/>
  <c r="AG293" i="8"/>
  <c r="AG295" i="21" s="1"/>
  <c r="A294" i="8"/>
  <c r="A296" i="21" s="1"/>
  <c r="B294" i="8"/>
  <c r="B296" i="21" s="1"/>
  <c r="C294" i="8"/>
  <c r="C296" i="21" s="1"/>
  <c r="D294" i="8"/>
  <c r="D296" i="21" s="1"/>
  <c r="E294" i="8"/>
  <c r="E296" i="21" s="1"/>
  <c r="F294" i="8"/>
  <c r="F296" i="21" s="1"/>
  <c r="G294" i="8"/>
  <c r="G296" i="21" s="1"/>
  <c r="H294" i="8"/>
  <c r="H296" i="21" s="1"/>
  <c r="I294" i="8"/>
  <c r="I296" i="21" s="1"/>
  <c r="J294" i="8"/>
  <c r="J296" i="21" s="1"/>
  <c r="K294" i="8"/>
  <c r="K296" i="21" s="1"/>
  <c r="L294" i="8"/>
  <c r="L296" i="21" s="1"/>
  <c r="M294" i="8"/>
  <c r="M296" i="21" s="1"/>
  <c r="N294" i="8"/>
  <c r="N296" i="21" s="1"/>
  <c r="O294" i="8"/>
  <c r="O296" i="21" s="1"/>
  <c r="P294" i="8"/>
  <c r="P296" i="21" s="1"/>
  <c r="Q294" i="8"/>
  <c r="Q296" i="21" s="1"/>
  <c r="R294" i="8"/>
  <c r="R296" i="21" s="1"/>
  <c r="S294" i="8"/>
  <c r="S296" i="21" s="1"/>
  <c r="T294" i="8"/>
  <c r="T296" i="21" s="1"/>
  <c r="U294" i="8"/>
  <c r="U296" i="21" s="1"/>
  <c r="V294" i="8"/>
  <c r="V296" i="21" s="1"/>
  <c r="W294" i="8"/>
  <c r="W296" i="21" s="1"/>
  <c r="X294" i="8"/>
  <c r="X296" i="21" s="1"/>
  <c r="Y294" i="8"/>
  <c r="Y296" i="21" s="1"/>
  <c r="Z294" i="8"/>
  <c r="Z296" i="21" s="1"/>
  <c r="AA294" i="8"/>
  <c r="AA296" i="21" s="1"/>
  <c r="AB294" i="8"/>
  <c r="AB296" i="21" s="1"/>
  <c r="AC294" i="8"/>
  <c r="AC296" i="21" s="1"/>
  <c r="AD294" i="8"/>
  <c r="AD296" i="21" s="1"/>
  <c r="AE294" i="8"/>
  <c r="AE296" i="21" s="1"/>
  <c r="AF294" i="8"/>
  <c r="AF296" i="21" s="1"/>
  <c r="AG294" i="8"/>
  <c r="AG296" i="21" s="1"/>
  <c r="A295" i="8"/>
  <c r="A297" i="21" s="1"/>
  <c r="B295" i="8"/>
  <c r="B297" i="21" s="1"/>
  <c r="C295" i="8"/>
  <c r="C297" i="21" s="1"/>
  <c r="D295" i="8"/>
  <c r="D297" i="21" s="1"/>
  <c r="E295" i="8"/>
  <c r="E297" i="21" s="1"/>
  <c r="F295" i="8"/>
  <c r="F297" i="21" s="1"/>
  <c r="G295" i="8"/>
  <c r="G297" i="21" s="1"/>
  <c r="H295" i="8"/>
  <c r="H297" i="21" s="1"/>
  <c r="I295" i="8"/>
  <c r="I297" i="21" s="1"/>
  <c r="J295" i="8"/>
  <c r="J297" i="21" s="1"/>
  <c r="K295" i="8"/>
  <c r="K297" i="21" s="1"/>
  <c r="L295" i="8"/>
  <c r="L297" i="21" s="1"/>
  <c r="M295" i="8"/>
  <c r="M297" i="21" s="1"/>
  <c r="N295" i="8"/>
  <c r="N297" i="21" s="1"/>
  <c r="O295" i="8"/>
  <c r="O297" i="21" s="1"/>
  <c r="P295" i="8"/>
  <c r="P297" i="21" s="1"/>
  <c r="Q295" i="8"/>
  <c r="Q297" i="21" s="1"/>
  <c r="R295" i="8"/>
  <c r="R297" i="21" s="1"/>
  <c r="S295" i="8"/>
  <c r="S297" i="21" s="1"/>
  <c r="T295" i="8"/>
  <c r="T297" i="21" s="1"/>
  <c r="U295" i="8"/>
  <c r="U297" i="21" s="1"/>
  <c r="V295" i="8"/>
  <c r="V297" i="21" s="1"/>
  <c r="W295" i="8"/>
  <c r="W297" i="21" s="1"/>
  <c r="X295" i="8"/>
  <c r="X297" i="21" s="1"/>
  <c r="Y295" i="8"/>
  <c r="Y297" i="21" s="1"/>
  <c r="Z295" i="8"/>
  <c r="Z297" i="21" s="1"/>
  <c r="AA295" i="8"/>
  <c r="AA297" i="21" s="1"/>
  <c r="AB295" i="8"/>
  <c r="AB297" i="21" s="1"/>
  <c r="AC295" i="8"/>
  <c r="AC297" i="21" s="1"/>
  <c r="AD295" i="8"/>
  <c r="AD297" i="21" s="1"/>
  <c r="AE295" i="8"/>
  <c r="AF295" i="8"/>
  <c r="AF297" i="21" s="1"/>
  <c r="AG295" i="8"/>
  <c r="AG297" i="21" s="1"/>
  <c r="A296" i="8"/>
  <c r="A298" i="21" s="1"/>
  <c r="B296" i="8"/>
  <c r="B298" i="21" s="1"/>
  <c r="C296" i="8"/>
  <c r="C298" i="21" s="1"/>
  <c r="D296" i="8"/>
  <c r="D298" i="21" s="1"/>
  <c r="E296" i="8"/>
  <c r="E298" i="21" s="1"/>
  <c r="F296" i="8"/>
  <c r="F298" i="21" s="1"/>
  <c r="G296" i="8"/>
  <c r="G298" i="21" s="1"/>
  <c r="H296" i="8"/>
  <c r="H298" i="21" s="1"/>
  <c r="I296" i="8"/>
  <c r="I298" i="21" s="1"/>
  <c r="J296" i="8"/>
  <c r="J298" i="21" s="1"/>
  <c r="K296" i="8"/>
  <c r="K298" i="21" s="1"/>
  <c r="L296" i="8"/>
  <c r="L298" i="21" s="1"/>
  <c r="M296" i="8"/>
  <c r="M298" i="21" s="1"/>
  <c r="N296" i="8"/>
  <c r="N298" i="21" s="1"/>
  <c r="O296" i="8"/>
  <c r="O298" i="21" s="1"/>
  <c r="P296" i="8"/>
  <c r="P298" i="21" s="1"/>
  <c r="Q296" i="8"/>
  <c r="Q298" i="21" s="1"/>
  <c r="R296" i="8"/>
  <c r="R298" i="21" s="1"/>
  <c r="S296" i="8"/>
  <c r="S298" i="21" s="1"/>
  <c r="T296" i="8"/>
  <c r="T298" i="21" s="1"/>
  <c r="U296" i="8"/>
  <c r="U298" i="21" s="1"/>
  <c r="V296" i="8"/>
  <c r="V298" i="21" s="1"/>
  <c r="W296" i="8"/>
  <c r="W298" i="21" s="1"/>
  <c r="X296" i="8"/>
  <c r="X298" i="21" s="1"/>
  <c r="Y296" i="8"/>
  <c r="Y298" i="21" s="1"/>
  <c r="Z296" i="8"/>
  <c r="Z298" i="21" s="1"/>
  <c r="AA296" i="8"/>
  <c r="AA298" i="21" s="1"/>
  <c r="AB296" i="8"/>
  <c r="AB298" i="21" s="1"/>
  <c r="AC296" i="8"/>
  <c r="AC298" i="21" s="1"/>
  <c r="AD296" i="8"/>
  <c r="AD298" i="21" s="1"/>
  <c r="AE296" i="8"/>
  <c r="AE298" i="21" s="1"/>
  <c r="AF296" i="8"/>
  <c r="AF298" i="21" s="1"/>
  <c r="AG296" i="8"/>
  <c r="AG298" i="21" s="1"/>
  <c r="A297" i="8"/>
  <c r="A299" i="21" s="1"/>
  <c r="B297" i="8"/>
  <c r="B299" i="21" s="1"/>
  <c r="C297" i="8"/>
  <c r="C299" i="21" s="1"/>
  <c r="D297" i="8"/>
  <c r="D299" i="21" s="1"/>
  <c r="E297" i="8"/>
  <c r="E299" i="21" s="1"/>
  <c r="F297" i="8"/>
  <c r="F299" i="21" s="1"/>
  <c r="G297" i="8"/>
  <c r="G299" i="21" s="1"/>
  <c r="H297" i="8"/>
  <c r="H299" i="21" s="1"/>
  <c r="I297" i="8"/>
  <c r="I299" i="21" s="1"/>
  <c r="J297" i="8"/>
  <c r="J299" i="21" s="1"/>
  <c r="K297" i="8"/>
  <c r="K299" i="21" s="1"/>
  <c r="L297" i="8"/>
  <c r="L299" i="21" s="1"/>
  <c r="M297" i="8"/>
  <c r="M299" i="21" s="1"/>
  <c r="N297" i="8"/>
  <c r="N299" i="21" s="1"/>
  <c r="O297" i="8"/>
  <c r="O299" i="21" s="1"/>
  <c r="P297" i="8"/>
  <c r="P299" i="21" s="1"/>
  <c r="Q297" i="8"/>
  <c r="Q299" i="21" s="1"/>
  <c r="R297" i="8"/>
  <c r="R299" i="21" s="1"/>
  <c r="S297" i="8"/>
  <c r="S299" i="21" s="1"/>
  <c r="T297" i="8"/>
  <c r="T299" i="21" s="1"/>
  <c r="U297" i="8"/>
  <c r="U299" i="21" s="1"/>
  <c r="V297" i="8"/>
  <c r="V299" i="21" s="1"/>
  <c r="W297" i="8"/>
  <c r="W299" i="21" s="1"/>
  <c r="X297" i="8"/>
  <c r="X299" i="21" s="1"/>
  <c r="Y297" i="8"/>
  <c r="Y299" i="21" s="1"/>
  <c r="Z297" i="8"/>
  <c r="Z299" i="21" s="1"/>
  <c r="AA297" i="8"/>
  <c r="AA299" i="21" s="1"/>
  <c r="AB297" i="8"/>
  <c r="AB299" i="21" s="1"/>
  <c r="AC297" i="8"/>
  <c r="AC299" i="21" s="1"/>
  <c r="AD297" i="8"/>
  <c r="AD299" i="21" s="1"/>
  <c r="AE297" i="8"/>
  <c r="AF297" i="8"/>
  <c r="AF299" i="21" s="1"/>
  <c r="AG297" i="8"/>
  <c r="AG299" i="21" s="1"/>
  <c r="A298" i="8"/>
  <c r="A300" i="21" s="1"/>
  <c r="B298" i="8"/>
  <c r="B300" i="21" s="1"/>
  <c r="C298" i="8"/>
  <c r="C300" i="21" s="1"/>
  <c r="D298" i="8"/>
  <c r="D300" i="21" s="1"/>
  <c r="E298" i="8"/>
  <c r="E300" i="21" s="1"/>
  <c r="F298" i="8"/>
  <c r="F300" i="21" s="1"/>
  <c r="G298" i="8"/>
  <c r="G300" i="21" s="1"/>
  <c r="H298" i="8"/>
  <c r="H300" i="21" s="1"/>
  <c r="I298" i="8"/>
  <c r="I300" i="21" s="1"/>
  <c r="J298" i="8"/>
  <c r="J300" i="21" s="1"/>
  <c r="K298" i="8"/>
  <c r="K300" i="21" s="1"/>
  <c r="L298" i="8"/>
  <c r="L300" i="21" s="1"/>
  <c r="M298" i="8"/>
  <c r="M300" i="21" s="1"/>
  <c r="N298" i="8"/>
  <c r="N300" i="21" s="1"/>
  <c r="O298" i="8"/>
  <c r="O300" i="21" s="1"/>
  <c r="P298" i="8"/>
  <c r="P300" i="21" s="1"/>
  <c r="Q298" i="8"/>
  <c r="Q300" i="21" s="1"/>
  <c r="R298" i="8"/>
  <c r="R300" i="21" s="1"/>
  <c r="S298" i="8"/>
  <c r="S300" i="21" s="1"/>
  <c r="T298" i="8"/>
  <c r="T300" i="21" s="1"/>
  <c r="U298" i="8"/>
  <c r="U300" i="21" s="1"/>
  <c r="V298" i="8"/>
  <c r="V300" i="21" s="1"/>
  <c r="W298" i="8"/>
  <c r="W300" i="21" s="1"/>
  <c r="X298" i="8"/>
  <c r="X300" i="21" s="1"/>
  <c r="Y298" i="8"/>
  <c r="Y300" i="21" s="1"/>
  <c r="Z298" i="8"/>
  <c r="Z300" i="21" s="1"/>
  <c r="AA298" i="8"/>
  <c r="AA300" i="21" s="1"/>
  <c r="AB298" i="8"/>
  <c r="AB300" i="21" s="1"/>
  <c r="AC298" i="8"/>
  <c r="AC300" i="21" s="1"/>
  <c r="AD298" i="8"/>
  <c r="AD300" i="21" s="1"/>
  <c r="AE298" i="8"/>
  <c r="AE300" i="21" s="1"/>
  <c r="AF298" i="8"/>
  <c r="AF300" i="21" s="1"/>
  <c r="AG298" i="8"/>
  <c r="AG300" i="21" s="1"/>
  <c r="A299" i="8"/>
  <c r="A301" i="21" s="1"/>
  <c r="B299" i="8"/>
  <c r="B301" i="21" s="1"/>
  <c r="C299" i="8"/>
  <c r="C301" i="21" s="1"/>
  <c r="D299" i="8"/>
  <c r="D301" i="21" s="1"/>
  <c r="E299" i="8"/>
  <c r="E301" i="21" s="1"/>
  <c r="F299" i="8"/>
  <c r="F301" i="21" s="1"/>
  <c r="G299" i="8"/>
  <c r="G301" i="21" s="1"/>
  <c r="H299" i="8"/>
  <c r="H301" i="21" s="1"/>
  <c r="I299" i="8"/>
  <c r="I301" i="21" s="1"/>
  <c r="J299" i="8"/>
  <c r="J301" i="21" s="1"/>
  <c r="K299" i="8"/>
  <c r="K301" i="21" s="1"/>
  <c r="L299" i="8"/>
  <c r="L301" i="21" s="1"/>
  <c r="M299" i="8"/>
  <c r="M301" i="21" s="1"/>
  <c r="N299" i="8"/>
  <c r="N301" i="21" s="1"/>
  <c r="O299" i="8"/>
  <c r="O301" i="21" s="1"/>
  <c r="P299" i="8"/>
  <c r="P301" i="21" s="1"/>
  <c r="Q299" i="8"/>
  <c r="Q301" i="21" s="1"/>
  <c r="R299" i="8"/>
  <c r="R301" i="21" s="1"/>
  <c r="S299" i="8"/>
  <c r="S301" i="21" s="1"/>
  <c r="T299" i="8"/>
  <c r="T301" i="21" s="1"/>
  <c r="U299" i="8"/>
  <c r="U301" i="21" s="1"/>
  <c r="V299" i="8"/>
  <c r="V301" i="21" s="1"/>
  <c r="W299" i="8"/>
  <c r="W301" i="21" s="1"/>
  <c r="X299" i="8"/>
  <c r="X301" i="21" s="1"/>
  <c r="Y299" i="8"/>
  <c r="Y301" i="21" s="1"/>
  <c r="Z299" i="8"/>
  <c r="Z301" i="21" s="1"/>
  <c r="AA299" i="8"/>
  <c r="AA301" i="21" s="1"/>
  <c r="AB299" i="8"/>
  <c r="AB301" i="21" s="1"/>
  <c r="AC299" i="8"/>
  <c r="AC301" i="21" s="1"/>
  <c r="AD299" i="8"/>
  <c r="AD301" i="21" s="1"/>
  <c r="AE299" i="8"/>
  <c r="AF299" i="8"/>
  <c r="AG299" i="8"/>
  <c r="AG301" i="21" s="1"/>
  <c r="A300" i="8"/>
  <c r="A302" i="21" s="1"/>
  <c r="B300" i="8"/>
  <c r="B302" i="21" s="1"/>
  <c r="C300" i="8"/>
  <c r="C302" i="21" s="1"/>
  <c r="D300" i="8"/>
  <c r="D302" i="21" s="1"/>
  <c r="E300" i="8"/>
  <c r="E302" i="21" s="1"/>
  <c r="F300" i="8"/>
  <c r="F302" i="21" s="1"/>
  <c r="G300" i="8"/>
  <c r="G302" i="21" s="1"/>
  <c r="H300" i="8"/>
  <c r="H302" i="21" s="1"/>
  <c r="I300" i="8"/>
  <c r="I302" i="21" s="1"/>
  <c r="J300" i="8"/>
  <c r="J302" i="21" s="1"/>
  <c r="K300" i="8"/>
  <c r="K302" i="21" s="1"/>
  <c r="L300" i="8"/>
  <c r="L302" i="21" s="1"/>
  <c r="M300" i="8"/>
  <c r="M302" i="21" s="1"/>
  <c r="N300" i="8"/>
  <c r="N302" i="21" s="1"/>
  <c r="O300" i="8"/>
  <c r="O302" i="21" s="1"/>
  <c r="P300" i="8"/>
  <c r="P302" i="21" s="1"/>
  <c r="Q300" i="8"/>
  <c r="Q302" i="21" s="1"/>
  <c r="R300" i="8"/>
  <c r="R302" i="21" s="1"/>
  <c r="S300" i="8"/>
  <c r="S302" i="21" s="1"/>
  <c r="T300" i="8"/>
  <c r="T302" i="21" s="1"/>
  <c r="U300" i="8"/>
  <c r="U302" i="21" s="1"/>
  <c r="V300" i="8"/>
  <c r="V302" i="21" s="1"/>
  <c r="W300" i="8"/>
  <c r="W302" i="21" s="1"/>
  <c r="X300" i="8"/>
  <c r="X302" i="21" s="1"/>
  <c r="Y300" i="8"/>
  <c r="Y302" i="21" s="1"/>
  <c r="Z300" i="8"/>
  <c r="Z302" i="21" s="1"/>
  <c r="AA300" i="8"/>
  <c r="AA302" i="21" s="1"/>
  <c r="AB300" i="8"/>
  <c r="AB302" i="21" s="1"/>
  <c r="AC300" i="8"/>
  <c r="AC302" i="21" s="1"/>
  <c r="AD300" i="8"/>
  <c r="AD302" i="21" s="1"/>
  <c r="AE300" i="8"/>
  <c r="AE302" i="21" s="1"/>
  <c r="AF300" i="8"/>
  <c r="AF302" i="21" s="1"/>
  <c r="AG300" i="8"/>
  <c r="A301" i="8"/>
  <c r="A303" i="21" s="1"/>
  <c r="B301" i="8"/>
  <c r="B303" i="21" s="1"/>
  <c r="C301" i="8"/>
  <c r="C303" i="21" s="1"/>
  <c r="D301" i="8"/>
  <c r="D303" i="21" s="1"/>
  <c r="E301" i="8"/>
  <c r="E303" i="21" s="1"/>
  <c r="F301" i="8"/>
  <c r="F303" i="21" s="1"/>
  <c r="G301" i="8"/>
  <c r="G303" i="21" s="1"/>
  <c r="H301" i="8"/>
  <c r="H303" i="21" s="1"/>
  <c r="I301" i="8"/>
  <c r="I303" i="21" s="1"/>
  <c r="J301" i="8"/>
  <c r="J303" i="21" s="1"/>
  <c r="K301" i="8"/>
  <c r="K303" i="21" s="1"/>
  <c r="L301" i="8"/>
  <c r="L303" i="21" s="1"/>
  <c r="M301" i="8"/>
  <c r="M303" i="21" s="1"/>
  <c r="N301" i="8"/>
  <c r="N303" i="21" s="1"/>
  <c r="O301" i="8"/>
  <c r="O303" i="21" s="1"/>
  <c r="P301" i="8"/>
  <c r="P303" i="21" s="1"/>
  <c r="Q301" i="8"/>
  <c r="Q303" i="21" s="1"/>
  <c r="R301" i="8"/>
  <c r="R303" i="21" s="1"/>
  <c r="S301" i="8"/>
  <c r="S303" i="21" s="1"/>
  <c r="T301" i="8"/>
  <c r="T303" i="21" s="1"/>
  <c r="U301" i="8"/>
  <c r="U303" i="21" s="1"/>
  <c r="V301" i="8"/>
  <c r="V303" i="21" s="1"/>
  <c r="W301" i="8"/>
  <c r="W303" i="21" s="1"/>
  <c r="X301" i="8"/>
  <c r="X303" i="21" s="1"/>
  <c r="Y301" i="8"/>
  <c r="Y303" i="21" s="1"/>
  <c r="Z301" i="8"/>
  <c r="Z303" i="21" s="1"/>
  <c r="AA301" i="8"/>
  <c r="AA303" i="21" s="1"/>
  <c r="AB301" i="8"/>
  <c r="AB303" i="21" s="1"/>
  <c r="AC301" i="8"/>
  <c r="AC303" i="21" s="1"/>
  <c r="AD301" i="8"/>
  <c r="AD303" i="21" s="1"/>
  <c r="AE301" i="8"/>
  <c r="AF301" i="8"/>
  <c r="AG301" i="8"/>
  <c r="A302" i="8"/>
  <c r="A304" i="21" s="1"/>
  <c r="B302" i="8"/>
  <c r="B304" i="21" s="1"/>
  <c r="C302" i="8"/>
  <c r="C304" i="21" s="1"/>
  <c r="D302" i="8"/>
  <c r="D304" i="21" s="1"/>
  <c r="E302" i="8"/>
  <c r="E304" i="21" s="1"/>
  <c r="F302" i="8"/>
  <c r="F304" i="21" s="1"/>
  <c r="G302" i="8"/>
  <c r="G304" i="21" s="1"/>
  <c r="H302" i="8"/>
  <c r="H304" i="21" s="1"/>
  <c r="I302" i="8"/>
  <c r="I304" i="21" s="1"/>
  <c r="J302" i="8"/>
  <c r="J304" i="21" s="1"/>
  <c r="K302" i="8"/>
  <c r="K304" i="21" s="1"/>
  <c r="L302" i="8"/>
  <c r="L304" i="21" s="1"/>
  <c r="M302" i="8"/>
  <c r="M304" i="21" s="1"/>
  <c r="N302" i="8"/>
  <c r="N304" i="21" s="1"/>
  <c r="O302" i="8"/>
  <c r="O304" i="21" s="1"/>
  <c r="P302" i="8"/>
  <c r="P304" i="21" s="1"/>
  <c r="Q302" i="8"/>
  <c r="Q304" i="21" s="1"/>
  <c r="R302" i="8"/>
  <c r="R304" i="21" s="1"/>
  <c r="S302" i="8"/>
  <c r="S304" i="21" s="1"/>
  <c r="T302" i="8"/>
  <c r="T304" i="21" s="1"/>
  <c r="U302" i="8"/>
  <c r="U304" i="21" s="1"/>
  <c r="V302" i="8"/>
  <c r="V304" i="21" s="1"/>
  <c r="W302" i="8"/>
  <c r="W304" i="21" s="1"/>
  <c r="X302" i="8"/>
  <c r="X304" i="21" s="1"/>
  <c r="Y302" i="8"/>
  <c r="Y304" i="21" s="1"/>
  <c r="Z302" i="8"/>
  <c r="Z304" i="21" s="1"/>
  <c r="AA302" i="8"/>
  <c r="AA304" i="21" s="1"/>
  <c r="AB302" i="8"/>
  <c r="AB304" i="21" s="1"/>
  <c r="AC302" i="8"/>
  <c r="AC304" i="21" s="1"/>
  <c r="AD302" i="8"/>
  <c r="AD304" i="21" s="1"/>
  <c r="AE302" i="8"/>
  <c r="AE304" i="21" s="1"/>
  <c r="AF302" i="8"/>
  <c r="AG302" i="8"/>
  <c r="A303" i="8"/>
  <c r="A305" i="21" s="1"/>
  <c r="B303" i="8"/>
  <c r="B305" i="21" s="1"/>
  <c r="C303" i="8"/>
  <c r="C305" i="21" s="1"/>
  <c r="D303" i="8"/>
  <c r="D305" i="21" s="1"/>
  <c r="E303" i="8"/>
  <c r="E305" i="21" s="1"/>
  <c r="F303" i="8"/>
  <c r="F305" i="21" s="1"/>
  <c r="G303" i="8"/>
  <c r="G305" i="21" s="1"/>
  <c r="H303" i="8"/>
  <c r="H305" i="21" s="1"/>
  <c r="I303" i="8"/>
  <c r="I305" i="21" s="1"/>
  <c r="J303" i="8"/>
  <c r="J305" i="21" s="1"/>
  <c r="K303" i="8"/>
  <c r="K305" i="21" s="1"/>
  <c r="L303" i="8"/>
  <c r="L305" i="21" s="1"/>
  <c r="M303" i="8"/>
  <c r="M305" i="21" s="1"/>
  <c r="N303" i="8"/>
  <c r="N305" i="21" s="1"/>
  <c r="O303" i="8"/>
  <c r="O305" i="21" s="1"/>
  <c r="P303" i="8"/>
  <c r="P305" i="21" s="1"/>
  <c r="Q303" i="8"/>
  <c r="Q305" i="21" s="1"/>
  <c r="R303" i="8"/>
  <c r="R305" i="21" s="1"/>
  <c r="S303" i="8"/>
  <c r="S305" i="21" s="1"/>
  <c r="T303" i="8"/>
  <c r="T305" i="21" s="1"/>
  <c r="U303" i="8"/>
  <c r="U305" i="21" s="1"/>
  <c r="V303" i="8"/>
  <c r="V305" i="21" s="1"/>
  <c r="W303" i="8"/>
  <c r="W305" i="21" s="1"/>
  <c r="X303" i="8"/>
  <c r="X305" i="21" s="1"/>
  <c r="Y303" i="8"/>
  <c r="Y305" i="21" s="1"/>
  <c r="Z303" i="8"/>
  <c r="Z305" i="21" s="1"/>
  <c r="AA303" i="8"/>
  <c r="AA305" i="21" s="1"/>
  <c r="AB303" i="8"/>
  <c r="AB305" i="21" s="1"/>
  <c r="AC303" i="8"/>
  <c r="AC305" i="21" s="1"/>
  <c r="AD303" i="8"/>
  <c r="AD305" i="21" s="1"/>
  <c r="AE303" i="8"/>
  <c r="AF303" i="8"/>
  <c r="AG303" i="8"/>
  <c r="AG305" i="21" s="1"/>
  <c r="A304" i="8"/>
  <c r="A306" i="21" s="1"/>
  <c r="B304" i="8"/>
  <c r="B306" i="21" s="1"/>
  <c r="C304" i="8"/>
  <c r="C306" i="21" s="1"/>
  <c r="D304" i="8"/>
  <c r="D306" i="21" s="1"/>
  <c r="E304" i="8"/>
  <c r="E306" i="21" s="1"/>
  <c r="F304" i="8"/>
  <c r="F306" i="21" s="1"/>
  <c r="G304" i="8"/>
  <c r="G306" i="21" s="1"/>
  <c r="H304" i="8"/>
  <c r="H306" i="21" s="1"/>
  <c r="I304" i="8"/>
  <c r="I306" i="21" s="1"/>
  <c r="J304" i="8"/>
  <c r="J306" i="21" s="1"/>
  <c r="K304" i="8"/>
  <c r="K306" i="21" s="1"/>
  <c r="L304" i="8"/>
  <c r="L306" i="21" s="1"/>
  <c r="M304" i="8"/>
  <c r="M306" i="21" s="1"/>
  <c r="N304" i="8"/>
  <c r="N306" i="21" s="1"/>
  <c r="O304" i="8"/>
  <c r="O306" i="21" s="1"/>
  <c r="P304" i="8"/>
  <c r="P306" i="21" s="1"/>
  <c r="Q304" i="8"/>
  <c r="Q306" i="21" s="1"/>
  <c r="R304" i="8"/>
  <c r="R306" i="21" s="1"/>
  <c r="S304" i="8"/>
  <c r="S306" i="21" s="1"/>
  <c r="T304" i="8"/>
  <c r="T306" i="21" s="1"/>
  <c r="U304" i="8"/>
  <c r="U306" i="21" s="1"/>
  <c r="V304" i="8"/>
  <c r="V306" i="21" s="1"/>
  <c r="W304" i="8"/>
  <c r="W306" i="21" s="1"/>
  <c r="X304" i="8"/>
  <c r="X306" i="21" s="1"/>
  <c r="Y304" i="8"/>
  <c r="Y306" i="21" s="1"/>
  <c r="Z304" i="8"/>
  <c r="Z306" i="21" s="1"/>
  <c r="AA304" i="8"/>
  <c r="AA306" i="21" s="1"/>
  <c r="AB304" i="8"/>
  <c r="AB306" i="21" s="1"/>
  <c r="AC304" i="8"/>
  <c r="AC306" i="21" s="1"/>
  <c r="AD304" i="8"/>
  <c r="AD306" i="21" s="1"/>
  <c r="AE304" i="8"/>
  <c r="AE306" i="21" s="1"/>
  <c r="AF304" i="8"/>
  <c r="AF306" i="21" s="1"/>
  <c r="AG304" i="8"/>
  <c r="AG306" i="21" s="1"/>
  <c r="A305" i="8"/>
  <c r="A307" i="21" s="1"/>
  <c r="B305" i="8"/>
  <c r="B307" i="21" s="1"/>
  <c r="C305" i="8"/>
  <c r="C307" i="21" s="1"/>
  <c r="D305" i="8"/>
  <c r="D307" i="21" s="1"/>
  <c r="E305" i="8"/>
  <c r="E307" i="21" s="1"/>
  <c r="F305" i="8"/>
  <c r="F307" i="21" s="1"/>
  <c r="G305" i="8"/>
  <c r="G307" i="21" s="1"/>
  <c r="H305" i="8"/>
  <c r="H307" i="21" s="1"/>
  <c r="I305" i="8"/>
  <c r="I307" i="21" s="1"/>
  <c r="J305" i="8"/>
  <c r="J307" i="21" s="1"/>
  <c r="K305" i="8"/>
  <c r="K307" i="21" s="1"/>
  <c r="L305" i="8"/>
  <c r="L307" i="21" s="1"/>
  <c r="M305" i="8"/>
  <c r="M307" i="21" s="1"/>
  <c r="N305" i="8"/>
  <c r="N307" i="21" s="1"/>
  <c r="O305" i="8"/>
  <c r="O307" i="21" s="1"/>
  <c r="P305" i="8"/>
  <c r="P307" i="21" s="1"/>
  <c r="Q305" i="8"/>
  <c r="Q307" i="21" s="1"/>
  <c r="R305" i="8"/>
  <c r="R307" i="21" s="1"/>
  <c r="S305" i="8"/>
  <c r="S307" i="21" s="1"/>
  <c r="T305" i="8"/>
  <c r="T307" i="21" s="1"/>
  <c r="U305" i="8"/>
  <c r="U307" i="21" s="1"/>
  <c r="V305" i="8"/>
  <c r="V307" i="21" s="1"/>
  <c r="W305" i="8"/>
  <c r="W307" i="21" s="1"/>
  <c r="X305" i="8"/>
  <c r="X307" i="21" s="1"/>
  <c r="Y305" i="8"/>
  <c r="Y307" i="21" s="1"/>
  <c r="Z305" i="8"/>
  <c r="Z307" i="21" s="1"/>
  <c r="AA305" i="8"/>
  <c r="AA307" i="21" s="1"/>
  <c r="AB305" i="8"/>
  <c r="AB307" i="21" s="1"/>
  <c r="AC305" i="8"/>
  <c r="AC307" i="21" s="1"/>
  <c r="AD305" i="8"/>
  <c r="AD307" i="21" s="1"/>
  <c r="AE305" i="8"/>
  <c r="AF305" i="8"/>
  <c r="AF307" i="21" s="1"/>
  <c r="AG305" i="8"/>
  <c r="AG307" i="21" s="1"/>
  <c r="A306" i="8"/>
  <c r="A308" i="21" s="1"/>
  <c r="B306" i="8"/>
  <c r="B308" i="21" s="1"/>
  <c r="C306" i="8"/>
  <c r="C308" i="21" s="1"/>
  <c r="D306" i="8"/>
  <c r="D308" i="21" s="1"/>
  <c r="E306" i="8"/>
  <c r="E308" i="21" s="1"/>
  <c r="F306" i="8"/>
  <c r="F308" i="21" s="1"/>
  <c r="G306" i="8"/>
  <c r="G308" i="21" s="1"/>
  <c r="H306" i="8"/>
  <c r="H308" i="21" s="1"/>
  <c r="I306" i="8"/>
  <c r="I308" i="21" s="1"/>
  <c r="J306" i="8"/>
  <c r="J308" i="21" s="1"/>
  <c r="K306" i="8"/>
  <c r="K308" i="21" s="1"/>
  <c r="L306" i="8"/>
  <c r="L308" i="21" s="1"/>
  <c r="M306" i="8"/>
  <c r="M308" i="21" s="1"/>
  <c r="N306" i="8"/>
  <c r="N308" i="21" s="1"/>
  <c r="O306" i="8"/>
  <c r="O308" i="21" s="1"/>
  <c r="P306" i="8"/>
  <c r="P308" i="21" s="1"/>
  <c r="Q306" i="8"/>
  <c r="Q308" i="21" s="1"/>
  <c r="R306" i="8"/>
  <c r="R308" i="21" s="1"/>
  <c r="S306" i="8"/>
  <c r="S308" i="21" s="1"/>
  <c r="T306" i="8"/>
  <c r="T308" i="21" s="1"/>
  <c r="U306" i="8"/>
  <c r="U308" i="21" s="1"/>
  <c r="V306" i="8"/>
  <c r="V308" i="21" s="1"/>
  <c r="W306" i="8"/>
  <c r="W308" i="21" s="1"/>
  <c r="X306" i="8"/>
  <c r="X308" i="21" s="1"/>
  <c r="Y306" i="8"/>
  <c r="Y308" i="21" s="1"/>
  <c r="Z306" i="8"/>
  <c r="Z308" i="21" s="1"/>
  <c r="AA306" i="8"/>
  <c r="AA308" i="21" s="1"/>
  <c r="AB306" i="8"/>
  <c r="AB308" i="21" s="1"/>
  <c r="AC306" i="8"/>
  <c r="AC308" i="21" s="1"/>
  <c r="AD306" i="8"/>
  <c r="AD308" i="21" s="1"/>
  <c r="AE306" i="8"/>
  <c r="AE308" i="21" s="1"/>
  <c r="AF306" i="8"/>
  <c r="AF308" i="21" s="1"/>
  <c r="AG306" i="8"/>
  <c r="AG308" i="21" s="1"/>
  <c r="A307" i="8"/>
  <c r="A309" i="21" s="1"/>
  <c r="B307" i="8"/>
  <c r="B309" i="21" s="1"/>
  <c r="C307" i="8"/>
  <c r="C309" i="21" s="1"/>
  <c r="D307" i="8"/>
  <c r="D309" i="21" s="1"/>
  <c r="E307" i="8"/>
  <c r="E309" i="21" s="1"/>
  <c r="F307" i="8"/>
  <c r="F309" i="21" s="1"/>
  <c r="G307" i="8"/>
  <c r="G309" i="21" s="1"/>
  <c r="H307" i="8"/>
  <c r="H309" i="21" s="1"/>
  <c r="I307" i="8"/>
  <c r="I309" i="21" s="1"/>
  <c r="J307" i="8"/>
  <c r="J309" i="21" s="1"/>
  <c r="K307" i="8"/>
  <c r="K309" i="21" s="1"/>
  <c r="L307" i="8"/>
  <c r="L309" i="21" s="1"/>
  <c r="M307" i="8"/>
  <c r="M309" i="21" s="1"/>
  <c r="N307" i="8"/>
  <c r="N309" i="21" s="1"/>
  <c r="O307" i="8"/>
  <c r="O309" i="21" s="1"/>
  <c r="P307" i="8"/>
  <c r="P309" i="21" s="1"/>
  <c r="Q307" i="8"/>
  <c r="Q309" i="21" s="1"/>
  <c r="R307" i="8"/>
  <c r="R309" i="21" s="1"/>
  <c r="S307" i="8"/>
  <c r="S309" i="21" s="1"/>
  <c r="T307" i="8"/>
  <c r="T309" i="21" s="1"/>
  <c r="U307" i="8"/>
  <c r="U309" i="21" s="1"/>
  <c r="V307" i="8"/>
  <c r="V309" i="21" s="1"/>
  <c r="W307" i="8"/>
  <c r="W309" i="21" s="1"/>
  <c r="X307" i="8"/>
  <c r="X309" i="21" s="1"/>
  <c r="Y307" i="8"/>
  <c r="Y309" i="21" s="1"/>
  <c r="Z307" i="8"/>
  <c r="Z309" i="21" s="1"/>
  <c r="AA307" i="8"/>
  <c r="AA309" i="21" s="1"/>
  <c r="AB307" i="8"/>
  <c r="AB309" i="21" s="1"/>
  <c r="AC307" i="8"/>
  <c r="AC309" i="21" s="1"/>
  <c r="AD307" i="8"/>
  <c r="AD309" i="21" s="1"/>
  <c r="AE307" i="8"/>
  <c r="AF307" i="8"/>
  <c r="AF309" i="21" s="1"/>
  <c r="AG307" i="8"/>
  <c r="AG309" i="21" s="1"/>
  <c r="A308" i="8"/>
  <c r="A310" i="21" s="1"/>
  <c r="B308" i="8"/>
  <c r="B310" i="21" s="1"/>
  <c r="C308" i="8"/>
  <c r="C310" i="21" s="1"/>
  <c r="D308" i="8"/>
  <c r="D310" i="21" s="1"/>
  <c r="E308" i="8"/>
  <c r="E310" i="21" s="1"/>
  <c r="F308" i="8"/>
  <c r="F310" i="21" s="1"/>
  <c r="G308" i="8"/>
  <c r="G310" i="21" s="1"/>
  <c r="H308" i="8"/>
  <c r="H310" i="21" s="1"/>
  <c r="I308" i="8"/>
  <c r="I310" i="21" s="1"/>
  <c r="J308" i="8"/>
  <c r="J310" i="21" s="1"/>
  <c r="K308" i="8"/>
  <c r="K310" i="21" s="1"/>
  <c r="L308" i="8"/>
  <c r="L310" i="21" s="1"/>
  <c r="M308" i="8"/>
  <c r="M310" i="21" s="1"/>
  <c r="N308" i="8"/>
  <c r="N310" i="21" s="1"/>
  <c r="O308" i="8"/>
  <c r="O310" i="21" s="1"/>
  <c r="P308" i="8"/>
  <c r="P310" i="21" s="1"/>
  <c r="Q308" i="8"/>
  <c r="Q310" i="21" s="1"/>
  <c r="R308" i="8"/>
  <c r="R310" i="21" s="1"/>
  <c r="S308" i="8"/>
  <c r="S310" i="21" s="1"/>
  <c r="T308" i="8"/>
  <c r="T310" i="21" s="1"/>
  <c r="U308" i="8"/>
  <c r="U310" i="21" s="1"/>
  <c r="V308" i="8"/>
  <c r="V310" i="21" s="1"/>
  <c r="W308" i="8"/>
  <c r="W310" i="21" s="1"/>
  <c r="X308" i="8"/>
  <c r="X310" i="21" s="1"/>
  <c r="Y308" i="8"/>
  <c r="Y310" i="21" s="1"/>
  <c r="Z308" i="8"/>
  <c r="Z310" i="21" s="1"/>
  <c r="AA308" i="8"/>
  <c r="AA310" i="21" s="1"/>
  <c r="AB308" i="8"/>
  <c r="AB310" i="21" s="1"/>
  <c r="AC308" i="8"/>
  <c r="AC310" i="21" s="1"/>
  <c r="AD308" i="8"/>
  <c r="AD310" i="21" s="1"/>
  <c r="AE308" i="8"/>
  <c r="AE310" i="21" s="1"/>
  <c r="AF308" i="8"/>
  <c r="AF310" i="21" s="1"/>
  <c r="AG308" i="8"/>
  <c r="AG310" i="21" s="1"/>
  <c r="A309" i="8"/>
  <c r="A311" i="21" s="1"/>
  <c r="B309" i="8"/>
  <c r="B311" i="21" s="1"/>
  <c r="C309" i="8"/>
  <c r="C311" i="21" s="1"/>
  <c r="D309" i="8"/>
  <c r="D311" i="21" s="1"/>
  <c r="E309" i="8"/>
  <c r="E311" i="21" s="1"/>
  <c r="F309" i="8"/>
  <c r="F311" i="21" s="1"/>
  <c r="G309" i="8"/>
  <c r="G311" i="21" s="1"/>
  <c r="H309" i="8"/>
  <c r="H311" i="21" s="1"/>
  <c r="I309" i="8"/>
  <c r="I311" i="21" s="1"/>
  <c r="J309" i="8"/>
  <c r="J311" i="21" s="1"/>
  <c r="K309" i="8"/>
  <c r="K311" i="21" s="1"/>
  <c r="L309" i="8"/>
  <c r="L311" i="21" s="1"/>
  <c r="M309" i="8"/>
  <c r="M311" i="21" s="1"/>
  <c r="N309" i="8"/>
  <c r="N311" i="21" s="1"/>
  <c r="O309" i="8"/>
  <c r="O311" i="21" s="1"/>
  <c r="P309" i="8"/>
  <c r="P311" i="21" s="1"/>
  <c r="Q309" i="8"/>
  <c r="Q311" i="21" s="1"/>
  <c r="R309" i="8"/>
  <c r="R311" i="21" s="1"/>
  <c r="S309" i="8"/>
  <c r="S311" i="21" s="1"/>
  <c r="T309" i="8"/>
  <c r="T311" i="21" s="1"/>
  <c r="U309" i="8"/>
  <c r="U311" i="21" s="1"/>
  <c r="V309" i="8"/>
  <c r="V311" i="21" s="1"/>
  <c r="W309" i="8"/>
  <c r="W311" i="21" s="1"/>
  <c r="X309" i="8"/>
  <c r="X311" i="21" s="1"/>
  <c r="Y309" i="8"/>
  <c r="Y311" i="21" s="1"/>
  <c r="Z309" i="8"/>
  <c r="Z311" i="21" s="1"/>
  <c r="AA309" i="8"/>
  <c r="AA311" i="21" s="1"/>
  <c r="AB309" i="8"/>
  <c r="AB311" i="21" s="1"/>
  <c r="AC309" i="8"/>
  <c r="AC311" i="21" s="1"/>
  <c r="AD309" i="8"/>
  <c r="AD311" i="21" s="1"/>
  <c r="AE309" i="8"/>
  <c r="AF309" i="8"/>
  <c r="AF311" i="21" s="1"/>
  <c r="AG309" i="8"/>
  <c r="AG311" i="21" s="1"/>
  <c r="A310" i="8"/>
  <c r="A312" i="21" s="1"/>
  <c r="B310" i="8"/>
  <c r="B312" i="21" s="1"/>
  <c r="C310" i="8"/>
  <c r="C312" i="21" s="1"/>
  <c r="D310" i="8"/>
  <c r="D312" i="21" s="1"/>
  <c r="E310" i="8"/>
  <c r="E312" i="21" s="1"/>
  <c r="F310" i="8"/>
  <c r="F312" i="21" s="1"/>
  <c r="G310" i="8"/>
  <c r="G312" i="21" s="1"/>
  <c r="H310" i="8"/>
  <c r="H312" i="21" s="1"/>
  <c r="I310" i="8"/>
  <c r="I312" i="21" s="1"/>
  <c r="J310" i="8"/>
  <c r="J312" i="21" s="1"/>
  <c r="K310" i="8"/>
  <c r="K312" i="21" s="1"/>
  <c r="L310" i="8"/>
  <c r="L312" i="21" s="1"/>
  <c r="M310" i="8"/>
  <c r="M312" i="21" s="1"/>
  <c r="N310" i="8"/>
  <c r="N312" i="21" s="1"/>
  <c r="O310" i="8"/>
  <c r="O312" i="21" s="1"/>
  <c r="P310" i="8"/>
  <c r="P312" i="21" s="1"/>
  <c r="Q310" i="8"/>
  <c r="Q312" i="21" s="1"/>
  <c r="R310" i="8"/>
  <c r="R312" i="21" s="1"/>
  <c r="S310" i="8"/>
  <c r="S312" i="21" s="1"/>
  <c r="T310" i="8"/>
  <c r="T312" i="21" s="1"/>
  <c r="U310" i="8"/>
  <c r="U312" i="21" s="1"/>
  <c r="V310" i="8"/>
  <c r="V312" i="21" s="1"/>
  <c r="W310" i="8"/>
  <c r="W312" i="21" s="1"/>
  <c r="X310" i="8"/>
  <c r="X312" i="21" s="1"/>
  <c r="Y310" i="8"/>
  <c r="Y312" i="21" s="1"/>
  <c r="Z310" i="8"/>
  <c r="Z312" i="21" s="1"/>
  <c r="AA310" i="8"/>
  <c r="AA312" i="21" s="1"/>
  <c r="AB310" i="8"/>
  <c r="AB312" i="21" s="1"/>
  <c r="AC310" i="8"/>
  <c r="AC312" i="21" s="1"/>
  <c r="AD310" i="8"/>
  <c r="AD312" i="21" s="1"/>
  <c r="AE310" i="8"/>
  <c r="AE312" i="21" s="1"/>
  <c r="AF310" i="8"/>
  <c r="AF312" i="21" s="1"/>
  <c r="AG310" i="8"/>
  <c r="AG312" i="21" s="1"/>
  <c r="A311" i="8"/>
  <c r="A313" i="21" s="1"/>
  <c r="B311" i="8"/>
  <c r="B313" i="21" s="1"/>
  <c r="C311" i="8"/>
  <c r="C313" i="21" s="1"/>
  <c r="D311" i="8"/>
  <c r="D313" i="21" s="1"/>
  <c r="E311" i="8"/>
  <c r="E313" i="21" s="1"/>
  <c r="F311" i="8"/>
  <c r="F313" i="21" s="1"/>
  <c r="G311" i="8"/>
  <c r="G313" i="21" s="1"/>
  <c r="H311" i="8"/>
  <c r="H313" i="21" s="1"/>
  <c r="I311" i="8"/>
  <c r="I313" i="21" s="1"/>
  <c r="J311" i="8"/>
  <c r="J313" i="21" s="1"/>
  <c r="K311" i="8"/>
  <c r="K313" i="21" s="1"/>
  <c r="L311" i="8"/>
  <c r="L313" i="21" s="1"/>
  <c r="M311" i="8"/>
  <c r="M313" i="21" s="1"/>
  <c r="N311" i="8"/>
  <c r="N313" i="21" s="1"/>
  <c r="O311" i="8"/>
  <c r="O313" i="21" s="1"/>
  <c r="P311" i="8"/>
  <c r="P313" i="21" s="1"/>
  <c r="Q311" i="8"/>
  <c r="Q313" i="21" s="1"/>
  <c r="R311" i="8"/>
  <c r="R313" i="21" s="1"/>
  <c r="S311" i="8"/>
  <c r="S313" i="21" s="1"/>
  <c r="T311" i="8"/>
  <c r="T313" i="21" s="1"/>
  <c r="U311" i="8"/>
  <c r="U313" i="21" s="1"/>
  <c r="V311" i="8"/>
  <c r="V313" i="21" s="1"/>
  <c r="W311" i="8"/>
  <c r="W313" i="21" s="1"/>
  <c r="X311" i="8"/>
  <c r="X313" i="21" s="1"/>
  <c r="Y311" i="8"/>
  <c r="Y313" i="21" s="1"/>
  <c r="Z311" i="8"/>
  <c r="Z313" i="21" s="1"/>
  <c r="AA311" i="8"/>
  <c r="AA313" i="21" s="1"/>
  <c r="AB311" i="8"/>
  <c r="AB313" i="21" s="1"/>
  <c r="AC311" i="8"/>
  <c r="AC313" i="21" s="1"/>
  <c r="AD311" i="8"/>
  <c r="AD313" i="21" s="1"/>
  <c r="AE311" i="8"/>
  <c r="AF311" i="8"/>
  <c r="AF313" i="21" s="1"/>
  <c r="AG311" i="8"/>
  <c r="AG313" i="21" s="1"/>
  <c r="A312" i="8"/>
  <c r="A314" i="21" s="1"/>
  <c r="B312" i="8"/>
  <c r="B314" i="21" s="1"/>
  <c r="C312" i="8"/>
  <c r="C314" i="21" s="1"/>
  <c r="D312" i="8"/>
  <c r="D314" i="21" s="1"/>
  <c r="E312" i="8"/>
  <c r="E314" i="21" s="1"/>
  <c r="F312" i="8"/>
  <c r="F314" i="21" s="1"/>
  <c r="G312" i="8"/>
  <c r="G314" i="21" s="1"/>
  <c r="H312" i="8"/>
  <c r="H314" i="21" s="1"/>
  <c r="I312" i="8"/>
  <c r="I314" i="21" s="1"/>
  <c r="J312" i="8"/>
  <c r="J314" i="21" s="1"/>
  <c r="K312" i="8"/>
  <c r="K314" i="21" s="1"/>
  <c r="L312" i="8"/>
  <c r="L314" i="21" s="1"/>
  <c r="M312" i="8"/>
  <c r="M314" i="21" s="1"/>
  <c r="N312" i="8"/>
  <c r="N314" i="21" s="1"/>
  <c r="O312" i="8"/>
  <c r="O314" i="21" s="1"/>
  <c r="P312" i="8"/>
  <c r="P314" i="21" s="1"/>
  <c r="Q312" i="8"/>
  <c r="Q314" i="21" s="1"/>
  <c r="R312" i="8"/>
  <c r="R314" i="21" s="1"/>
  <c r="S312" i="8"/>
  <c r="S314" i="21" s="1"/>
  <c r="T312" i="8"/>
  <c r="T314" i="21" s="1"/>
  <c r="U312" i="8"/>
  <c r="U314" i="21" s="1"/>
  <c r="V312" i="8"/>
  <c r="V314" i="21" s="1"/>
  <c r="W312" i="8"/>
  <c r="W314" i="21" s="1"/>
  <c r="X312" i="8"/>
  <c r="X314" i="21" s="1"/>
  <c r="Y312" i="8"/>
  <c r="Y314" i="21" s="1"/>
  <c r="Z312" i="8"/>
  <c r="Z314" i="21" s="1"/>
  <c r="AA312" i="8"/>
  <c r="AA314" i="21" s="1"/>
  <c r="AB312" i="8"/>
  <c r="AB314" i="21" s="1"/>
  <c r="AC312" i="8"/>
  <c r="AC314" i="21" s="1"/>
  <c r="AD312" i="8"/>
  <c r="AD314" i="21" s="1"/>
  <c r="AE312" i="8"/>
  <c r="AE314" i="21" s="1"/>
  <c r="AF312" i="8"/>
  <c r="AF314" i="21" s="1"/>
  <c r="AG312" i="8"/>
  <c r="AG314" i="21" s="1"/>
  <c r="A313" i="8"/>
  <c r="A315" i="21" s="1"/>
  <c r="B313" i="8"/>
  <c r="B315" i="21" s="1"/>
  <c r="C313" i="8"/>
  <c r="C315" i="21" s="1"/>
  <c r="D313" i="8"/>
  <c r="D315" i="21" s="1"/>
  <c r="E313" i="8"/>
  <c r="E315" i="21" s="1"/>
  <c r="F313" i="8"/>
  <c r="F315" i="21" s="1"/>
  <c r="G313" i="8"/>
  <c r="G315" i="21" s="1"/>
  <c r="H313" i="8"/>
  <c r="H315" i="21" s="1"/>
  <c r="I313" i="8"/>
  <c r="I315" i="21" s="1"/>
  <c r="J313" i="8"/>
  <c r="J315" i="21" s="1"/>
  <c r="K313" i="8"/>
  <c r="K315" i="21" s="1"/>
  <c r="L313" i="8"/>
  <c r="L315" i="21" s="1"/>
  <c r="M313" i="8"/>
  <c r="M315" i="21" s="1"/>
  <c r="N313" i="8"/>
  <c r="N315" i="21" s="1"/>
  <c r="O313" i="8"/>
  <c r="O315" i="21" s="1"/>
  <c r="P313" i="8"/>
  <c r="P315" i="21" s="1"/>
  <c r="Q313" i="8"/>
  <c r="Q315" i="21" s="1"/>
  <c r="R313" i="8"/>
  <c r="R315" i="21" s="1"/>
  <c r="S313" i="8"/>
  <c r="S315" i="21" s="1"/>
  <c r="T313" i="8"/>
  <c r="T315" i="21" s="1"/>
  <c r="U313" i="8"/>
  <c r="U315" i="21" s="1"/>
  <c r="V313" i="8"/>
  <c r="V315" i="21" s="1"/>
  <c r="W313" i="8"/>
  <c r="W315" i="21" s="1"/>
  <c r="X313" i="8"/>
  <c r="X315" i="21" s="1"/>
  <c r="Y313" i="8"/>
  <c r="Y315" i="21" s="1"/>
  <c r="Z313" i="8"/>
  <c r="Z315" i="21" s="1"/>
  <c r="AA313" i="8"/>
  <c r="AA315" i="21" s="1"/>
  <c r="AB313" i="8"/>
  <c r="AB315" i="21" s="1"/>
  <c r="AC313" i="8"/>
  <c r="AC315" i="21" s="1"/>
  <c r="AD313" i="8"/>
  <c r="AD315" i="21" s="1"/>
  <c r="AE313" i="8"/>
  <c r="AF313" i="8"/>
  <c r="AF315" i="21" s="1"/>
  <c r="AG313" i="8"/>
  <c r="AG315" i="21" s="1"/>
  <c r="A314" i="8"/>
  <c r="A316" i="21" s="1"/>
  <c r="B314" i="8"/>
  <c r="B316" i="21" s="1"/>
  <c r="C314" i="8"/>
  <c r="C316" i="21" s="1"/>
  <c r="D314" i="8"/>
  <c r="D316" i="21" s="1"/>
  <c r="E314" i="8"/>
  <c r="E316" i="21" s="1"/>
  <c r="F314" i="8"/>
  <c r="F316" i="21" s="1"/>
  <c r="G314" i="8"/>
  <c r="G316" i="21" s="1"/>
  <c r="H314" i="8"/>
  <c r="H316" i="21" s="1"/>
  <c r="I314" i="8"/>
  <c r="I316" i="21" s="1"/>
  <c r="J314" i="8"/>
  <c r="J316" i="21" s="1"/>
  <c r="K314" i="8"/>
  <c r="K316" i="21" s="1"/>
  <c r="L314" i="8"/>
  <c r="L316" i="21" s="1"/>
  <c r="M314" i="8"/>
  <c r="M316" i="21" s="1"/>
  <c r="N314" i="8"/>
  <c r="N316" i="21" s="1"/>
  <c r="O314" i="8"/>
  <c r="O316" i="21" s="1"/>
  <c r="P314" i="8"/>
  <c r="P316" i="21" s="1"/>
  <c r="Q314" i="8"/>
  <c r="Q316" i="21" s="1"/>
  <c r="R314" i="8"/>
  <c r="R316" i="21" s="1"/>
  <c r="S314" i="8"/>
  <c r="S316" i="21" s="1"/>
  <c r="T314" i="8"/>
  <c r="T316" i="21" s="1"/>
  <c r="U314" i="8"/>
  <c r="U316" i="21" s="1"/>
  <c r="V314" i="8"/>
  <c r="V316" i="21" s="1"/>
  <c r="W314" i="8"/>
  <c r="W316" i="21" s="1"/>
  <c r="X314" i="8"/>
  <c r="X316" i="21" s="1"/>
  <c r="Y314" i="8"/>
  <c r="Y316" i="21" s="1"/>
  <c r="Z314" i="8"/>
  <c r="Z316" i="21" s="1"/>
  <c r="AA314" i="8"/>
  <c r="AA316" i="21" s="1"/>
  <c r="AB314" i="8"/>
  <c r="AB316" i="21" s="1"/>
  <c r="AC314" i="8"/>
  <c r="AC316" i="21" s="1"/>
  <c r="AD314" i="8"/>
  <c r="AD316" i="21" s="1"/>
  <c r="AE314" i="8"/>
  <c r="AE316" i="21" s="1"/>
  <c r="AF314" i="8"/>
  <c r="AF316" i="21" s="1"/>
  <c r="AG314" i="8"/>
  <c r="AG316" i="21" s="1"/>
  <c r="A315" i="8"/>
  <c r="A317" i="21" s="1"/>
  <c r="B315" i="8"/>
  <c r="B317" i="21" s="1"/>
  <c r="C315" i="8"/>
  <c r="C317" i="21" s="1"/>
  <c r="D315" i="8"/>
  <c r="D317" i="21" s="1"/>
  <c r="E315" i="8"/>
  <c r="E317" i="21" s="1"/>
  <c r="F315" i="8"/>
  <c r="F317" i="21" s="1"/>
  <c r="G315" i="8"/>
  <c r="G317" i="21" s="1"/>
  <c r="H315" i="8"/>
  <c r="H317" i="21" s="1"/>
  <c r="I315" i="8"/>
  <c r="I317" i="21" s="1"/>
  <c r="J315" i="8"/>
  <c r="J317" i="21" s="1"/>
  <c r="K315" i="8"/>
  <c r="K317" i="21" s="1"/>
  <c r="L315" i="8"/>
  <c r="L317" i="21" s="1"/>
  <c r="M315" i="8"/>
  <c r="M317" i="21" s="1"/>
  <c r="N315" i="8"/>
  <c r="N317" i="21" s="1"/>
  <c r="O315" i="8"/>
  <c r="O317" i="21" s="1"/>
  <c r="P315" i="8"/>
  <c r="P317" i="21" s="1"/>
  <c r="Q315" i="8"/>
  <c r="Q317" i="21" s="1"/>
  <c r="R315" i="8"/>
  <c r="R317" i="21" s="1"/>
  <c r="S315" i="8"/>
  <c r="S317" i="21" s="1"/>
  <c r="T315" i="8"/>
  <c r="T317" i="21" s="1"/>
  <c r="U315" i="8"/>
  <c r="U317" i="21" s="1"/>
  <c r="V315" i="8"/>
  <c r="V317" i="21" s="1"/>
  <c r="W315" i="8"/>
  <c r="W317" i="21" s="1"/>
  <c r="X315" i="8"/>
  <c r="X317" i="21" s="1"/>
  <c r="Y315" i="8"/>
  <c r="Y317" i="21" s="1"/>
  <c r="Z315" i="8"/>
  <c r="Z317" i="21" s="1"/>
  <c r="AA315" i="8"/>
  <c r="AA317" i="21" s="1"/>
  <c r="AB315" i="8"/>
  <c r="AB317" i="21" s="1"/>
  <c r="AC315" i="8"/>
  <c r="AC317" i="21" s="1"/>
  <c r="AD315" i="8"/>
  <c r="AD317" i="21" s="1"/>
  <c r="AE315" i="8"/>
  <c r="AF315" i="8"/>
  <c r="AF317" i="21" s="1"/>
  <c r="AG315" i="8"/>
  <c r="AG317" i="21" s="1"/>
  <c r="A316" i="8"/>
  <c r="A318" i="21" s="1"/>
  <c r="B316" i="8"/>
  <c r="B318" i="21" s="1"/>
  <c r="C316" i="8"/>
  <c r="C318" i="21" s="1"/>
  <c r="D316" i="8"/>
  <c r="D318" i="21" s="1"/>
  <c r="E316" i="8"/>
  <c r="E318" i="21" s="1"/>
  <c r="F316" i="8"/>
  <c r="F318" i="21" s="1"/>
  <c r="G316" i="8"/>
  <c r="G318" i="21" s="1"/>
  <c r="H316" i="8"/>
  <c r="H318" i="21" s="1"/>
  <c r="I316" i="8"/>
  <c r="I318" i="21" s="1"/>
  <c r="J316" i="8"/>
  <c r="J318" i="21" s="1"/>
  <c r="K316" i="8"/>
  <c r="K318" i="21" s="1"/>
  <c r="L316" i="8"/>
  <c r="L318" i="21" s="1"/>
  <c r="M316" i="8"/>
  <c r="M318" i="21" s="1"/>
  <c r="N316" i="8"/>
  <c r="N318" i="21" s="1"/>
  <c r="O316" i="8"/>
  <c r="O318" i="21" s="1"/>
  <c r="P316" i="8"/>
  <c r="P318" i="21" s="1"/>
  <c r="Q316" i="8"/>
  <c r="Q318" i="21" s="1"/>
  <c r="R316" i="8"/>
  <c r="R318" i="21" s="1"/>
  <c r="S316" i="8"/>
  <c r="S318" i="21" s="1"/>
  <c r="T316" i="8"/>
  <c r="T318" i="21" s="1"/>
  <c r="U316" i="8"/>
  <c r="U318" i="21" s="1"/>
  <c r="V316" i="8"/>
  <c r="V318" i="21" s="1"/>
  <c r="W316" i="8"/>
  <c r="W318" i="21" s="1"/>
  <c r="X316" i="8"/>
  <c r="X318" i="21" s="1"/>
  <c r="Y316" i="8"/>
  <c r="Y318" i="21" s="1"/>
  <c r="Z316" i="8"/>
  <c r="Z318" i="21" s="1"/>
  <c r="AA316" i="8"/>
  <c r="AA318" i="21" s="1"/>
  <c r="AB316" i="8"/>
  <c r="AB318" i="21" s="1"/>
  <c r="AC316" i="8"/>
  <c r="AC318" i="21" s="1"/>
  <c r="AD316" i="8"/>
  <c r="AD318" i="21" s="1"/>
  <c r="AE316" i="8"/>
  <c r="AE318" i="21" s="1"/>
  <c r="AF316" i="8"/>
  <c r="AG316" i="8"/>
  <c r="A317" i="8"/>
  <c r="A319" i="21" s="1"/>
  <c r="B317" i="8"/>
  <c r="B319" i="21" s="1"/>
  <c r="C317" i="8"/>
  <c r="C319" i="21" s="1"/>
  <c r="D317" i="8"/>
  <c r="D319" i="21" s="1"/>
  <c r="E317" i="8"/>
  <c r="E319" i="21" s="1"/>
  <c r="F317" i="8"/>
  <c r="F319" i="21" s="1"/>
  <c r="G317" i="8"/>
  <c r="G319" i="21" s="1"/>
  <c r="H317" i="8"/>
  <c r="H319" i="21" s="1"/>
  <c r="I317" i="8"/>
  <c r="I319" i="21" s="1"/>
  <c r="J317" i="8"/>
  <c r="J319" i="21" s="1"/>
  <c r="K317" i="8"/>
  <c r="K319" i="21" s="1"/>
  <c r="L317" i="8"/>
  <c r="L319" i="21" s="1"/>
  <c r="M317" i="8"/>
  <c r="M319" i="21" s="1"/>
  <c r="N317" i="8"/>
  <c r="N319" i="21" s="1"/>
  <c r="O317" i="8"/>
  <c r="O319" i="21" s="1"/>
  <c r="P317" i="8"/>
  <c r="P319" i="21" s="1"/>
  <c r="Q317" i="8"/>
  <c r="Q319" i="21" s="1"/>
  <c r="R317" i="8"/>
  <c r="R319" i="21" s="1"/>
  <c r="S317" i="8"/>
  <c r="S319" i="21" s="1"/>
  <c r="T317" i="8"/>
  <c r="T319" i="21" s="1"/>
  <c r="U317" i="8"/>
  <c r="U319" i="21" s="1"/>
  <c r="V317" i="8"/>
  <c r="V319" i="21" s="1"/>
  <c r="W317" i="8"/>
  <c r="W319" i="21" s="1"/>
  <c r="X317" i="8"/>
  <c r="X319" i="21" s="1"/>
  <c r="Y317" i="8"/>
  <c r="Y319" i="21" s="1"/>
  <c r="Z317" i="8"/>
  <c r="Z319" i="21" s="1"/>
  <c r="AA317" i="8"/>
  <c r="AA319" i="21" s="1"/>
  <c r="AB317" i="8"/>
  <c r="AB319" i="21" s="1"/>
  <c r="AC317" i="8"/>
  <c r="AC319" i="21" s="1"/>
  <c r="AD317" i="8"/>
  <c r="AD319" i="21" s="1"/>
  <c r="AE317" i="8"/>
  <c r="AE319" i="21" s="1"/>
  <c r="AF317" i="8"/>
  <c r="AF319" i="21" s="1"/>
  <c r="AG317" i="8"/>
  <c r="A318" i="8"/>
  <c r="A320" i="21" s="1"/>
  <c r="B318" i="8"/>
  <c r="B320" i="21" s="1"/>
  <c r="C318" i="8"/>
  <c r="C320" i="21" s="1"/>
  <c r="D318" i="8"/>
  <c r="D320" i="21" s="1"/>
  <c r="E318" i="8"/>
  <c r="E320" i="21" s="1"/>
  <c r="F318" i="8"/>
  <c r="F320" i="21" s="1"/>
  <c r="G318" i="8"/>
  <c r="G320" i="21" s="1"/>
  <c r="H318" i="8"/>
  <c r="H320" i="21" s="1"/>
  <c r="I318" i="8"/>
  <c r="I320" i="21" s="1"/>
  <c r="J318" i="8"/>
  <c r="J320" i="21" s="1"/>
  <c r="K318" i="8"/>
  <c r="K320" i="21" s="1"/>
  <c r="L318" i="8"/>
  <c r="L320" i="21" s="1"/>
  <c r="M318" i="8"/>
  <c r="M320" i="21" s="1"/>
  <c r="N318" i="8"/>
  <c r="N320" i="21" s="1"/>
  <c r="O318" i="8"/>
  <c r="O320" i="21" s="1"/>
  <c r="P318" i="8"/>
  <c r="P320" i="21" s="1"/>
  <c r="Q318" i="8"/>
  <c r="Q320" i="21" s="1"/>
  <c r="R318" i="8"/>
  <c r="R320" i="21" s="1"/>
  <c r="S318" i="8"/>
  <c r="S320" i="21" s="1"/>
  <c r="T318" i="8"/>
  <c r="T320" i="21" s="1"/>
  <c r="U318" i="8"/>
  <c r="U320" i="21" s="1"/>
  <c r="V318" i="8"/>
  <c r="V320" i="21" s="1"/>
  <c r="W318" i="8"/>
  <c r="W320" i="21" s="1"/>
  <c r="X318" i="8"/>
  <c r="X320" i="21" s="1"/>
  <c r="Y318" i="8"/>
  <c r="Y320" i="21" s="1"/>
  <c r="Z318" i="8"/>
  <c r="Z320" i="21" s="1"/>
  <c r="AA318" i="8"/>
  <c r="AA320" i="21" s="1"/>
  <c r="AB318" i="8"/>
  <c r="AB320" i="21" s="1"/>
  <c r="AC318" i="8"/>
  <c r="AC320" i="21" s="1"/>
  <c r="AD318" i="8"/>
  <c r="AD320" i="21" s="1"/>
  <c r="AE318" i="8"/>
  <c r="AE320" i="21" s="1"/>
  <c r="AF318" i="8"/>
  <c r="AF320" i="21" s="1"/>
  <c r="AG318" i="8"/>
  <c r="AG320" i="21" s="1"/>
  <c r="A319" i="8"/>
  <c r="A321" i="21" s="1"/>
  <c r="B319" i="8"/>
  <c r="B321" i="21" s="1"/>
  <c r="C319" i="8"/>
  <c r="C321" i="21" s="1"/>
  <c r="D319" i="8"/>
  <c r="D321" i="21" s="1"/>
  <c r="E319" i="8"/>
  <c r="E321" i="21" s="1"/>
  <c r="F319" i="8"/>
  <c r="F321" i="21" s="1"/>
  <c r="G319" i="8"/>
  <c r="G321" i="21" s="1"/>
  <c r="H319" i="8"/>
  <c r="H321" i="21" s="1"/>
  <c r="I319" i="8"/>
  <c r="I321" i="21" s="1"/>
  <c r="J319" i="8"/>
  <c r="J321" i="21" s="1"/>
  <c r="K319" i="8"/>
  <c r="K321" i="21" s="1"/>
  <c r="L319" i="8"/>
  <c r="L321" i="21" s="1"/>
  <c r="M319" i="8"/>
  <c r="M321" i="21" s="1"/>
  <c r="N319" i="8"/>
  <c r="N321" i="21" s="1"/>
  <c r="O319" i="8"/>
  <c r="O321" i="21" s="1"/>
  <c r="P319" i="8"/>
  <c r="P321" i="21" s="1"/>
  <c r="Q319" i="8"/>
  <c r="Q321" i="21" s="1"/>
  <c r="R319" i="8"/>
  <c r="R321" i="21" s="1"/>
  <c r="S319" i="8"/>
  <c r="S321" i="21" s="1"/>
  <c r="T319" i="8"/>
  <c r="T321" i="21" s="1"/>
  <c r="U319" i="8"/>
  <c r="U321" i="21" s="1"/>
  <c r="V319" i="8"/>
  <c r="V321" i="21" s="1"/>
  <c r="W319" i="8"/>
  <c r="W321" i="21" s="1"/>
  <c r="X319" i="8"/>
  <c r="X321" i="21" s="1"/>
  <c r="Y319" i="8"/>
  <c r="Y321" i="21" s="1"/>
  <c r="Z319" i="8"/>
  <c r="Z321" i="21" s="1"/>
  <c r="AA319" i="8"/>
  <c r="AA321" i="21" s="1"/>
  <c r="AB319" i="8"/>
  <c r="AB321" i="21" s="1"/>
  <c r="AC319" i="8"/>
  <c r="AC321" i="21" s="1"/>
  <c r="AD319" i="8"/>
  <c r="AD321" i="21" s="1"/>
  <c r="AE319" i="8"/>
  <c r="AE321" i="21" s="1"/>
  <c r="AF319" i="8"/>
  <c r="AF321" i="21" s="1"/>
  <c r="AG319" i="8"/>
  <c r="AG321" i="21" s="1"/>
  <c r="A320" i="8"/>
  <c r="A322" i="21" s="1"/>
  <c r="B320" i="8"/>
  <c r="B322" i="21" s="1"/>
  <c r="C320" i="8"/>
  <c r="C322" i="21" s="1"/>
  <c r="D320" i="8"/>
  <c r="D322" i="21" s="1"/>
  <c r="E320" i="8"/>
  <c r="E322" i="21" s="1"/>
  <c r="F320" i="8"/>
  <c r="F322" i="21" s="1"/>
  <c r="G320" i="8"/>
  <c r="G322" i="21" s="1"/>
  <c r="H320" i="8"/>
  <c r="H322" i="21" s="1"/>
  <c r="I320" i="8"/>
  <c r="I322" i="21" s="1"/>
  <c r="J320" i="8"/>
  <c r="J322" i="21" s="1"/>
  <c r="K320" i="8"/>
  <c r="K322" i="21" s="1"/>
  <c r="L320" i="8"/>
  <c r="L322" i="21" s="1"/>
  <c r="M320" i="8"/>
  <c r="M322" i="21" s="1"/>
  <c r="N320" i="8"/>
  <c r="N322" i="21" s="1"/>
  <c r="O320" i="8"/>
  <c r="O322" i="21" s="1"/>
  <c r="P320" i="8"/>
  <c r="P322" i="21" s="1"/>
  <c r="Q320" i="8"/>
  <c r="Q322" i="21" s="1"/>
  <c r="R320" i="8"/>
  <c r="R322" i="21" s="1"/>
  <c r="S320" i="8"/>
  <c r="S322" i="21" s="1"/>
  <c r="T320" i="8"/>
  <c r="T322" i="21" s="1"/>
  <c r="U320" i="8"/>
  <c r="U322" i="21" s="1"/>
  <c r="V320" i="8"/>
  <c r="V322" i="21" s="1"/>
  <c r="W320" i="8"/>
  <c r="W322" i="21" s="1"/>
  <c r="X320" i="8"/>
  <c r="X322" i="21" s="1"/>
  <c r="Y320" i="8"/>
  <c r="Y322" i="21" s="1"/>
  <c r="Z320" i="8"/>
  <c r="Z322" i="21" s="1"/>
  <c r="AA320" i="8"/>
  <c r="AA322" i="21" s="1"/>
  <c r="AB320" i="8"/>
  <c r="AB322" i="21" s="1"/>
  <c r="AC320" i="8"/>
  <c r="AC322" i="21" s="1"/>
  <c r="AD320" i="8"/>
  <c r="AD322" i="21" s="1"/>
  <c r="AE320" i="8"/>
  <c r="AE322" i="21" s="1"/>
  <c r="AF320" i="8"/>
  <c r="AF322" i="21" s="1"/>
  <c r="AG320" i="8"/>
  <c r="AG322" i="21" s="1"/>
  <c r="A321" i="8"/>
  <c r="A323" i="21" s="1"/>
  <c r="B321" i="8"/>
  <c r="B323" i="21" s="1"/>
  <c r="C321" i="8"/>
  <c r="C323" i="21" s="1"/>
  <c r="D321" i="8"/>
  <c r="D323" i="21" s="1"/>
  <c r="E321" i="8"/>
  <c r="E323" i="21" s="1"/>
  <c r="F321" i="8"/>
  <c r="F323" i="21" s="1"/>
  <c r="G321" i="8"/>
  <c r="G323" i="21" s="1"/>
  <c r="H321" i="8"/>
  <c r="H323" i="21" s="1"/>
  <c r="I321" i="8"/>
  <c r="I323" i="21" s="1"/>
  <c r="J321" i="8"/>
  <c r="J323" i="21" s="1"/>
  <c r="K321" i="8"/>
  <c r="K323" i="21" s="1"/>
  <c r="L321" i="8"/>
  <c r="L323" i="21" s="1"/>
  <c r="M321" i="8"/>
  <c r="M323" i="21" s="1"/>
  <c r="N321" i="8"/>
  <c r="N323" i="21" s="1"/>
  <c r="O321" i="8"/>
  <c r="O323" i="21" s="1"/>
  <c r="P321" i="8"/>
  <c r="P323" i="21" s="1"/>
  <c r="Q321" i="8"/>
  <c r="Q323" i="21" s="1"/>
  <c r="R321" i="8"/>
  <c r="R323" i="21" s="1"/>
  <c r="S321" i="8"/>
  <c r="S323" i="21" s="1"/>
  <c r="T321" i="8"/>
  <c r="T323" i="21" s="1"/>
  <c r="U321" i="8"/>
  <c r="U323" i="21" s="1"/>
  <c r="V321" i="8"/>
  <c r="V323" i="21" s="1"/>
  <c r="W321" i="8"/>
  <c r="W323" i="21" s="1"/>
  <c r="X321" i="8"/>
  <c r="X323" i="21" s="1"/>
  <c r="Y321" i="8"/>
  <c r="Y323" i="21" s="1"/>
  <c r="Z321" i="8"/>
  <c r="Z323" i="21" s="1"/>
  <c r="AA321" i="8"/>
  <c r="AA323" i="21" s="1"/>
  <c r="AB321" i="8"/>
  <c r="AB323" i="21" s="1"/>
  <c r="AC321" i="8"/>
  <c r="AC323" i="21" s="1"/>
  <c r="AD321" i="8"/>
  <c r="AD323" i="21" s="1"/>
  <c r="AE321" i="8"/>
  <c r="AE323" i="21" s="1"/>
  <c r="AF321" i="8"/>
  <c r="AF323" i="21" s="1"/>
  <c r="AG321" i="8"/>
  <c r="AG323" i="21" s="1"/>
  <c r="A322" i="8"/>
  <c r="A324" i="21" s="1"/>
  <c r="B322" i="8"/>
  <c r="B324" i="21" s="1"/>
  <c r="C322" i="8"/>
  <c r="C324" i="21" s="1"/>
  <c r="D322" i="8"/>
  <c r="D324" i="21" s="1"/>
  <c r="E322" i="8"/>
  <c r="E324" i="21" s="1"/>
  <c r="F322" i="8"/>
  <c r="F324" i="21" s="1"/>
  <c r="G322" i="8"/>
  <c r="G324" i="21" s="1"/>
  <c r="H322" i="8"/>
  <c r="H324" i="21" s="1"/>
  <c r="I322" i="8"/>
  <c r="I324" i="21" s="1"/>
  <c r="J322" i="8"/>
  <c r="J324" i="21" s="1"/>
  <c r="K322" i="8"/>
  <c r="K324" i="21" s="1"/>
  <c r="L322" i="8"/>
  <c r="L324" i="21" s="1"/>
  <c r="M322" i="8"/>
  <c r="M324" i="21" s="1"/>
  <c r="N322" i="8"/>
  <c r="N324" i="21" s="1"/>
  <c r="O322" i="8"/>
  <c r="O324" i="21" s="1"/>
  <c r="P322" i="8"/>
  <c r="P324" i="21" s="1"/>
  <c r="Q322" i="8"/>
  <c r="Q324" i="21" s="1"/>
  <c r="R322" i="8"/>
  <c r="R324" i="21" s="1"/>
  <c r="S322" i="8"/>
  <c r="S324" i="21" s="1"/>
  <c r="T322" i="8"/>
  <c r="T324" i="21" s="1"/>
  <c r="U322" i="8"/>
  <c r="U324" i="21" s="1"/>
  <c r="V322" i="8"/>
  <c r="V324" i="21" s="1"/>
  <c r="W322" i="8"/>
  <c r="W324" i="21" s="1"/>
  <c r="X322" i="8"/>
  <c r="X324" i="21" s="1"/>
  <c r="Y322" i="8"/>
  <c r="Y324" i="21" s="1"/>
  <c r="Z322" i="8"/>
  <c r="Z324" i="21" s="1"/>
  <c r="AA322" i="8"/>
  <c r="AA324" i="21" s="1"/>
  <c r="AB322" i="8"/>
  <c r="AB324" i="21" s="1"/>
  <c r="AC322" i="8"/>
  <c r="AC324" i="21" s="1"/>
  <c r="AD322" i="8"/>
  <c r="AD324" i="21" s="1"/>
  <c r="AE322" i="8"/>
  <c r="AE324" i="21" s="1"/>
  <c r="AF322" i="8"/>
  <c r="AF324" i="21" s="1"/>
  <c r="AG322" i="8"/>
  <c r="AG324" i="21" s="1"/>
  <c r="A323" i="8"/>
  <c r="A325" i="21" s="1"/>
  <c r="B323" i="8"/>
  <c r="B325" i="21" s="1"/>
  <c r="C323" i="8"/>
  <c r="C325" i="21" s="1"/>
  <c r="D323" i="8"/>
  <c r="D325" i="21" s="1"/>
  <c r="E323" i="8"/>
  <c r="E325" i="21" s="1"/>
  <c r="F323" i="8"/>
  <c r="F325" i="21" s="1"/>
  <c r="G323" i="8"/>
  <c r="G325" i="21" s="1"/>
  <c r="H323" i="8"/>
  <c r="H325" i="21" s="1"/>
  <c r="I323" i="8"/>
  <c r="I325" i="21" s="1"/>
  <c r="J323" i="8"/>
  <c r="J325" i="21" s="1"/>
  <c r="K323" i="8"/>
  <c r="K325" i="21" s="1"/>
  <c r="L323" i="8"/>
  <c r="L325" i="21" s="1"/>
  <c r="M323" i="8"/>
  <c r="M325" i="21" s="1"/>
  <c r="N323" i="8"/>
  <c r="N325" i="21" s="1"/>
  <c r="O323" i="8"/>
  <c r="O325" i="21" s="1"/>
  <c r="P323" i="8"/>
  <c r="P325" i="21" s="1"/>
  <c r="Q323" i="8"/>
  <c r="Q325" i="21" s="1"/>
  <c r="R323" i="8"/>
  <c r="R325" i="21" s="1"/>
  <c r="S323" i="8"/>
  <c r="S325" i="21" s="1"/>
  <c r="T323" i="8"/>
  <c r="T325" i="21" s="1"/>
  <c r="U323" i="8"/>
  <c r="U325" i="21" s="1"/>
  <c r="V323" i="8"/>
  <c r="V325" i="21" s="1"/>
  <c r="W323" i="8"/>
  <c r="W325" i="21" s="1"/>
  <c r="X323" i="8"/>
  <c r="X325" i="21" s="1"/>
  <c r="Y323" i="8"/>
  <c r="Y325" i="21" s="1"/>
  <c r="Z323" i="8"/>
  <c r="Z325" i="21" s="1"/>
  <c r="AA323" i="8"/>
  <c r="AA325" i="21" s="1"/>
  <c r="AB323" i="8"/>
  <c r="AB325" i="21" s="1"/>
  <c r="AC323" i="8"/>
  <c r="AC325" i="21" s="1"/>
  <c r="AD323" i="8"/>
  <c r="AD325" i="21" s="1"/>
  <c r="AE323" i="8"/>
  <c r="AF323" i="8"/>
  <c r="AF325" i="21" s="1"/>
  <c r="AG323" i="8"/>
  <c r="AG325" i="21" s="1"/>
  <c r="A324" i="8"/>
  <c r="A326" i="21" s="1"/>
  <c r="B324" i="8"/>
  <c r="B326" i="21" s="1"/>
  <c r="C324" i="8"/>
  <c r="C326" i="21" s="1"/>
  <c r="D324" i="8"/>
  <c r="D326" i="21" s="1"/>
  <c r="E324" i="8"/>
  <c r="E326" i="21" s="1"/>
  <c r="F324" i="8"/>
  <c r="F326" i="21" s="1"/>
  <c r="G324" i="8"/>
  <c r="G326" i="21" s="1"/>
  <c r="H324" i="8"/>
  <c r="H326" i="21" s="1"/>
  <c r="I324" i="8"/>
  <c r="I326" i="21" s="1"/>
  <c r="J324" i="8"/>
  <c r="J326" i="21" s="1"/>
  <c r="K324" i="8"/>
  <c r="K326" i="21" s="1"/>
  <c r="L324" i="8"/>
  <c r="L326" i="21" s="1"/>
  <c r="M324" i="8"/>
  <c r="M326" i="21" s="1"/>
  <c r="N324" i="8"/>
  <c r="N326" i="21" s="1"/>
  <c r="O324" i="8"/>
  <c r="O326" i="21" s="1"/>
  <c r="P324" i="8"/>
  <c r="P326" i="21" s="1"/>
  <c r="Q324" i="8"/>
  <c r="Q326" i="21" s="1"/>
  <c r="R324" i="8"/>
  <c r="R326" i="21" s="1"/>
  <c r="S324" i="8"/>
  <c r="S326" i="21" s="1"/>
  <c r="T324" i="8"/>
  <c r="T326" i="21" s="1"/>
  <c r="U324" i="8"/>
  <c r="U326" i="21" s="1"/>
  <c r="V324" i="8"/>
  <c r="V326" i="21" s="1"/>
  <c r="W324" i="8"/>
  <c r="W326" i="21" s="1"/>
  <c r="X324" i="8"/>
  <c r="X326" i="21" s="1"/>
  <c r="Y324" i="8"/>
  <c r="Y326" i="21" s="1"/>
  <c r="Z324" i="8"/>
  <c r="Z326" i="21" s="1"/>
  <c r="AA324" i="8"/>
  <c r="AA326" i="21" s="1"/>
  <c r="AB324" i="8"/>
  <c r="AB326" i="21" s="1"/>
  <c r="AC324" i="8"/>
  <c r="AC326" i="21" s="1"/>
  <c r="AD324" i="8"/>
  <c r="AD326" i="21" s="1"/>
  <c r="AE324" i="8"/>
  <c r="AE326" i="21" s="1"/>
  <c r="AF324" i="8"/>
  <c r="AF326" i="21" s="1"/>
  <c r="AG324" i="8"/>
  <c r="AG326" i="21" s="1"/>
  <c r="A325" i="8"/>
  <c r="A327" i="21" s="1"/>
  <c r="B325" i="8"/>
  <c r="B327" i="21" s="1"/>
  <c r="C325" i="8"/>
  <c r="C327" i="21" s="1"/>
  <c r="D325" i="8"/>
  <c r="D327" i="21" s="1"/>
  <c r="E325" i="8"/>
  <c r="E327" i="21" s="1"/>
  <c r="F325" i="8"/>
  <c r="F327" i="21" s="1"/>
  <c r="G325" i="8"/>
  <c r="G327" i="21" s="1"/>
  <c r="H325" i="8"/>
  <c r="H327" i="21" s="1"/>
  <c r="I325" i="8"/>
  <c r="I327" i="21" s="1"/>
  <c r="J325" i="8"/>
  <c r="J327" i="21" s="1"/>
  <c r="K325" i="8"/>
  <c r="K327" i="21" s="1"/>
  <c r="L325" i="8"/>
  <c r="L327" i="21" s="1"/>
  <c r="M325" i="8"/>
  <c r="M327" i="21" s="1"/>
  <c r="N325" i="8"/>
  <c r="N327" i="21" s="1"/>
  <c r="O325" i="8"/>
  <c r="O327" i="21" s="1"/>
  <c r="P325" i="8"/>
  <c r="P327" i="21" s="1"/>
  <c r="Q325" i="8"/>
  <c r="Q327" i="21" s="1"/>
  <c r="R325" i="8"/>
  <c r="R327" i="21" s="1"/>
  <c r="S325" i="8"/>
  <c r="S327" i="21" s="1"/>
  <c r="T325" i="8"/>
  <c r="T327" i="21" s="1"/>
  <c r="U325" i="8"/>
  <c r="U327" i="21" s="1"/>
  <c r="V325" i="8"/>
  <c r="V327" i="21" s="1"/>
  <c r="W325" i="8"/>
  <c r="W327" i="21" s="1"/>
  <c r="X325" i="8"/>
  <c r="X327" i="21" s="1"/>
  <c r="Y325" i="8"/>
  <c r="Y327" i="21" s="1"/>
  <c r="Z325" i="8"/>
  <c r="Z327" i="21" s="1"/>
  <c r="AA325" i="8"/>
  <c r="AA327" i="21" s="1"/>
  <c r="AB325" i="8"/>
  <c r="AB327" i="21" s="1"/>
  <c r="AC325" i="8"/>
  <c r="AC327" i="21" s="1"/>
  <c r="AD325" i="8"/>
  <c r="AD327" i="21" s="1"/>
  <c r="AE325" i="8"/>
  <c r="AE327" i="21" s="1"/>
  <c r="AF325" i="8"/>
  <c r="AF327" i="21" s="1"/>
  <c r="AG325" i="8"/>
  <c r="AG327" i="21" s="1"/>
  <c r="A326" i="8"/>
  <c r="A328" i="21" s="1"/>
  <c r="B326" i="8"/>
  <c r="B328" i="21" s="1"/>
  <c r="C326" i="8"/>
  <c r="C328" i="21" s="1"/>
  <c r="D326" i="8"/>
  <c r="D328" i="21" s="1"/>
  <c r="E326" i="8"/>
  <c r="E328" i="21" s="1"/>
  <c r="F326" i="8"/>
  <c r="F328" i="21" s="1"/>
  <c r="G326" i="8"/>
  <c r="G328" i="21" s="1"/>
  <c r="H326" i="8"/>
  <c r="H328" i="21" s="1"/>
  <c r="I326" i="8"/>
  <c r="I328" i="21" s="1"/>
  <c r="J326" i="8"/>
  <c r="J328" i="21" s="1"/>
  <c r="K326" i="8"/>
  <c r="K328" i="21" s="1"/>
  <c r="L326" i="8"/>
  <c r="L328" i="21" s="1"/>
  <c r="M326" i="8"/>
  <c r="M328" i="21" s="1"/>
  <c r="N326" i="8"/>
  <c r="N328" i="21" s="1"/>
  <c r="O326" i="8"/>
  <c r="O328" i="21" s="1"/>
  <c r="P326" i="8"/>
  <c r="P328" i="21" s="1"/>
  <c r="Q326" i="8"/>
  <c r="Q328" i="21" s="1"/>
  <c r="R326" i="8"/>
  <c r="R328" i="21" s="1"/>
  <c r="S326" i="8"/>
  <c r="S328" i="21" s="1"/>
  <c r="T326" i="8"/>
  <c r="T328" i="21" s="1"/>
  <c r="U326" i="8"/>
  <c r="U328" i="21" s="1"/>
  <c r="V326" i="8"/>
  <c r="V328" i="21" s="1"/>
  <c r="W326" i="8"/>
  <c r="W328" i="21" s="1"/>
  <c r="X326" i="8"/>
  <c r="X328" i="21" s="1"/>
  <c r="Y326" i="8"/>
  <c r="Y328" i="21" s="1"/>
  <c r="Z326" i="8"/>
  <c r="Z328" i="21" s="1"/>
  <c r="AA326" i="8"/>
  <c r="AA328" i="21" s="1"/>
  <c r="AB326" i="8"/>
  <c r="AB328" i="21" s="1"/>
  <c r="AC326" i="8"/>
  <c r="AC328" i="21" s="1"/>
  <c r="AD326" i="8"/>
  <c r="AD328" i="21" s="1"/>
  <c r="AE326" i="8"/>
  <c r="AE328" i="21" s="1"/>
  <c r="AF326" i="8"/>
  <c r="AF328" i="21" s="1"/>
  <c r="AG326" i="8"/>
  <c r="AG328" i="21" s="1"/>
  <c r="A327" i="8"/>
  <c r="A329" i="21" s="1"/>
  <c r="B327" i="8"/>
  <c r="B329" i="21" s="1"/>
  <c r="C327" i="8"/>
  <c r="C329" i="21" s="1"/>
  <c r="D327" i="8"/>
  <c r="D329" i="21" s="1"/>
  <c r="E327" i="8"/>
  <c r="E329" i="21" s="1"/>
  <c r="F327" i="8"/>
  <c r="F329" i="21" s="1"/>
  <c r="G327" i="8"/>
  <c r="G329" i="21" s="1"/>
  <c r="H327" i="8"/>
  <c r="H329" i="21" s="1"/>
  <c r="I327" i="8"/>
  <c r="I329" i="21" s="1"/>
  <c r="J327" i="8"/>
  <c r="J329" i="21" s="1"/>
  <c r="K327" i="8"/>
  <c r="K329" i="21" s="1"/>
  <c r="L327" i="8"/>
  <c r="L329" i="21" s="1"/>
  <c r="M327" i="8"/>
  <c r="M329" i="21" s="1"/>
  <c r="N327" i="8"/>
  <c r="N329" i="21" s="1"/>
  <c r="O327" i="8"/>
  <c r="O329" i="21" s="1"/>
  <c r="P327" i="8"/>
  <c r="P329" i="21" s="1"/>
  <c r="Q327" i="8"/>
  <c r="Q329" i="21" s="1"/>
  <c r="R327" i="8"/>
  <c r="R329" i="21" s="1"/>
  <c r="S327" i="8"/>
  <c r="S329" i="21" s="1"/>
  <c r="T327" i="8"/>
  <c r="T329" i="21" s="1"/>
  <c r="U327" i="8"/>
  <c r="U329" i="21" s="1"/>
  <c r="V327" i="8"/>
  <c r="V329" i="21" s="1"/>
  <c r="W327" i="8"/>
  <c r="W329" i="21" s="1"/>
  <c r="X327" i="8"/>
  <c r="X329" i="21" s="1"/>
  <c r="Y327" i="8"/>
  <c r="Y329" i="21" s="1"/>
  <c r="Z327" i="8"/>
  <c r="Z329" i="21" s="1"/>
  <c r="AA327" i="8"/>
  <c r="AA329" i="21" s="1"/>
  <c r="AB327" i="8"/>
  <c r="AB329" i="21" s="1"/>
  <c r="AC327" i="8"/>
  <c r="AC329" i="21" s="1"/>
  <c r="AD327" i="8"/>
  <c r="AD329" i="21" s="1"/>
  <c r="AE327" i="8"/>
  <c r="AE329" i="21" s="1"/>
  <c r="AF327" i="8"/>
  <c r="AF329" i="21" s="1"/>
  <c r="AG327" i="8"/>
  <c r="AG329" i="21" s="1"/>
  <c r="A328" i="8"/>
  <c r="A330" i="21" s="1"/>
  <c r="B328" i="8"/>
  <c r="B330" i="21" s="1"/>
  <c r="C328" i="8"/>
  <c r="C330" i="21" s="1"/>
  <c r="D328" i="8"/>
  <c r="D330" i="21" s="1"/>
  <c r="E328" i="8"/>
  <c r="E330" i="21" s="1"/>
  <c r="F328" i="8"/>
  <c r="F330" i="21" s="1"/>
  <c r="G328" i="8"/>
  <c r="G330" i="21" s="1"/>
  <c r="H328" i="8"/>
  <c r="H330" i="21" s="1"/>
  <c r="I328" i="8"/>
  <c r="I330" i="21" s="1"/>
  <c r="J328" i="8"/>
  <c r="J330" i="21" s="1"/>
  <c r="K328" i="8"/>
  <c r="K330" i="21" s="1"/>
  <c r="L328" i="8"/>
  <c r="L330" i="21" s="1"/>
  <c r="M328" i="8"/>
  <c r="M330" i="21" s="1"/>
  <c r="N328" i="8"/>
  <c r="N330" i="21" s="1"/>
  <c r="O328" i="8"/>
  <c r="O330" i="21" s="1"/>
  <c r="P328" i="8"/>
  <c r="P330" i="21" s="1"/>
  <c r="Q328" i="8"/>
  <c r="Q330" i="21" s="1"/>
  <c r="R328" i="8"/>
  <c r="R330" i="21" s="1"/>
  <c r="S328" i="8"/>
  <c r="S330" i="21" s="1"/>
  <c r="T328" i="8"/>
  <c r="T330" i="21" s="1"/>
  <c r="U328" i="8"/>
  <c r="U330" i="21" s="1"/>
  <c r="V328" i="8"/>
  <c r="V330" i="21" s="1"/>
  <c r="W328" i="8"/>
  <c r="W330" i="21" s="1"/>
  <c r="X328" i="8"/>
  <c r="X330" i="21" s="1"/>
  <c r="Y328" i="8"/>
  <c r="Y330" i="21" s="1"/>
  <c r="Z328" i="8"/>
  <c r="Z330" i="21" s="1"/>
  <c r="AA328" i="8"/>
  <c r="AA330" i="21" s="1"/>
  <c r="AB328" i="8"/>
  <c r="AB330" i="21" s="1"/>
  <c r="AC328" i="8"/>
  <c r="AC330" i="21" s="1"/>
  <c r="AD328" i="8"/>
  <c r="AD330" i="21" s="1"/>
  <c r="AE328" i="8"/>
  <c r="AE330" i="21" s="1"/>
  <c r="AF328" i="8"/>
  <c r="AF330" i="21" s="1"/>
  <c r="AG328" i="8"/>
  <c r="AG330" i="21" s="1"/>
  <c r="A329" i="8"/>
  <c r="A331" i="21" s="1"/>
  <c r="B329" i="8"/>
  <c r="B331" i="21" s="1"/>
  <c r="C329" i="8"/>
  <c r="C331" i="21" s="1"/>
  <c r="D329" i="8"/>
  <c r="D331" i="21" s="1"/>
  <c r="E329" i="8"/>
  <c r="E331" i="21" s="1"/>
  <c r="F329" i="8"/>
  <c r="F331" i="21" s="1"/>
  <c r="G329" i="8"/>
  <c r="G331" i="21" s="1"/>
  <c r="H329" i="8"/>
  <c r="H331" i="21" s="1"/>
  <c r="I329" i="8"/>
  <c r="I331" i="21" s="1"/>
  <c r="J329" i="8"/>
  <c r="J331" i="21" s="1"/>
  <c r="K329" i="8"/>
  <c r="K331" i="21" s="1"/>
  <c r="L329" i="8"/>
  <c r="L331" i="21" s="1"/>
  <c r="M329" i="8"/>
  <c r="M331" i="21" s="1"/>
  <c r="N329" i="8"/>
  <c r="N331" i="21" s="1"/>
  <c r="O329" i="8"/>
  <c r="O331" i="21" s="1"/>
  <c r="P329" i="8"/>
  <c r="P331" i="21" s="1"/>
  <c r="Q329" i="8"/>
  <c r="Q331" i="21" s="1"/>
  <c r="R329" i="8"/>
  <c r="R331" i="21" s="1"/>
  <c r="S329" i="8"/>
  <c r="S331" i="21" s="1"/>
  <c r="T329" i="8"/>
  <c r="T331" i="21" s="1"/>
  <c r="U329" i="8"/>
  <c r="U331" i="21" s="1"/>
  <c r="V329" i="8"/>
  <c r="V331" i="21" s="1"/>
  <c r="W329" i="8"/>
  <c r="W331" i="21" s="1"/>
  <c r="X329" i="8"/>
  <c r="X331" i="21" s="1"/>
  <c r="Y329" i="8"/>
  <c r="Y331" i="21" s="1"/>
  <c r="Z329" i="8"/>
  <c r="Z331" i="21" s="1"/>
  <c r="AA329" i="8"/>
  <c r="AA331" i="21" s="1"/>
  <c r="AB329" i="8"/>
  <c r="AB331" i="21" s="1"/>
  <c r="AC329" i="8"/>
  <c r="AC331" i="21" s="1"/>
  <c r="AD329" i="8"/>
  <c r="AD331" i="21" s="1"/>
  <c r="AE329" i="8"/>
  <c r="AE331" i="21" s="1"/>
  <c r="AF329" i="8"/>
  <c r="AF331" i="21" s="1"/>
  <c r="AG329" i="8"/>
  <c r="AG331" i="21" s="1"/>
  <c r="A330" i="8"/>
  <c r="A332" i="21" s="1"/>
  <c r="B330" i="8"/>
  <c r="B332" i="21" s="1"/>
  <c r="C330" i="8"/>
  <c r="C332" i="21" s="1"/>
  <c r="D330" i="8"/>
  <c r="D332" i="21" s="1"/>
  <c r="E330" i="8"/>
  <c r="E332" i="21" s="1"/>
  <c r="F330" i="8"/>
  <c r="F332" i="21" s="1"/>
  <c r="G330" i="8"/>
  <c r="G332" i="21" s="1"/>
  <c r="H330" i="8"/>
  <c r="H332" i="21" s="1"/>
  <c r="I330" i="8"/>
  <c r="I332" i="21" s="1"/>
  <c r="J330" i="8"/>
  <c r="J332" i="21" s="1"/>
  <c r="K330" i="8"/>
  <c r="K332" i="21" s="1"/>
  <c r="L330" i="8"/>
  <c r="L332" i="21" s="1"/>
  <c r="M330" i="8"/>
  <c r="M332" i="21" s="1"/>
  <c r="N330" i="8"/>
  <c r="N332" i="21" s="1"/>
  <c r="O330" i="8"/>
  <c r="O332" i="21" s="1"/>
  <c r="P330" i="8"/>
  <c r="P332" i="21" s="1"/>
  <c r="Q330" i="8"/>
  <c r="Q332" i="21" s="1"/>
  <c r="R330" i="8"/>
  <c r="R332" i="21" s="1"/>
  <c r="S330" i="8"/>
  <c r="S332" i="21" s="1"/>
  <c r="T330" i="8"/>
  <c r="T332" i="21" s="1"/>
  <c r="U330" i="8"/>
  <c r="U332" i="21" s="1"/>
  <c r="V330" i="8"/>
  <c r="V332" i="21" s="1"/>
  <c r="W330" i="8"/>
  <c r="W332" i="21" s="1"/>
  <c r="X330" i="8"/>
  <c r="X332" i="21" s="1"/>
  <c r="Y330" i="8"/>
  <c r="Y332" i="21" s="1"/>
  <c r="Z330" i="8"/>
  <c r="Z332" i="21" s="1"/>
  <c r="AA330" i="8"/>
  <c r="AA332" i="21" s="1"/>
  <c r="AB330" i="8"/>
  <c r="AB332" i="21" s="1"/>
  <c r="AC330" i="8"/>
  <c r="AC332" i="21" s="1"/>
  <c r="AD330" i="8"/>
  <c r="AD332" i="21" s="1"/>
  <c r="AE330" i="8"/>
  <c r="AE332" i="21" s="1"/>
  <c r="AF330" i="8"/>
  <c r="AG330" i="8"/>
  <c r="A331" i="8"/>
  <c r="A333" i="21" s="1"/>
  <c r="B331" i="8"/>
  <c r="B333" i="21" s="1"/>
  <c r="C331" i="8"/>
  <c r="C333" i="21" s="1"/>
  <c r="D331" i="8"/>
  <c r="D333" i="21" s="1"/>
  <c r="E331" i="8"/>
  <c r="E333" i="21" s="1"/>
  <c r="F331" i="8"/>
  <c r="F333" i="21" s="1"/>
  <c r="G331" i="8"/>
  <c r="G333" i="21" s="1"/>
  <c r="H331" i="8"/>
  <c r="H333" i="21" s="1"/>
  <c r="I331" i="8"/>
  <c r="I333" i="21" s="1"/>
  <c r="J331" i="8"/>
  <c r="J333" i="21" s="1"/>
  <c r="K331" i="8"/>
  <c r="K333" i="21" s="1"/>
  <c r="L331" i="8"/>
  <c r="L333" i="21" s="1"/>
  <c r="M331" i="8"/>
  <c r="M333" i="21" s="1"/>
  <c r="N331" i="8"/>
  <c r="N333" i="21" s="1"/>
  <c r="O331" i="8"/>
  <c r="O333" i="21" s="1"/>
  <c r="P331" i="8"/>
  <c r="P333" i="21" s="1"/>
  <c r="Q331" i="8"/>
  <c r="Q333" i="21" s="1"/>
  <c r="R331" i="8"/>
  <c r="R333" i="21" s="1"/>
  <c r="S331" i="8"/>
  <c r="S333" i="21" s="1"/>
  <c r="T331" i="8"/>
  <c r="T333" i="21" s="1"/>
  <c r="U331" i="8"/>
  <c r="U333" i="21" s="1"/>
  <c r="V331" i="8"/>
  <c r="V333" i="21" s="1"/>
  <c r="W331" i="8"/>
  <c r="W333" i="21" s="1"/>
  <c r="X331" i="8"/>
  <c r="X333" i="21" s="1"/>
  <c r="Y331" i="8"/>
  <c r="Y333" i="21" s="1"/>
  <c r="Z331" i="8"/>
  <c r="Z333" i="21" s="1"/>
  <c r="AA331" i="8"/>
  <c r="AA333" i="21" s="1"/>
  <c r="AB331" i="8"/>
  <c r="AB333" i="21" s="1"/>
  <c r="AC331" i="8"/>
  <c r="AC333" i="21" s="1"/>
  <c r="AD331" i="8"/>
  <c r="AD333" i="21" s="1"/>
  <c r="AE331" i="8"/>
  <c r="AE333" i="21" s="1"/>
  <c r="AF331" i="8"/>
  <c r="AF333" i="21" s="1"/>
  <c r="AG331" i="8"/>
  <c r="AG333" i="21" s="1"/>
  <c r="A332" i="8"/>
  <c r="A334" i="21" s="1"/>
  <c r="B332" i="8"/>
  <c r="B334" i="21" s="1"/>
  <c r="C332" i="8"/>
  <c r="C334" i="21" s="1"/>
  <c r="D332" i="8"/>
  <c r="D334" i="21" s="1"/>
  <c r="E332" i="8"/>
  <c r="E334" i="21" s="1"/>
  <c r="F332" i="8"/>
  <c r="F334" i="21" s="1"/>
  <c r="G332" i="8"/>
  <c r="G334" i="21" s="1"/>
  <c r="H332" i="8"/>
  <c r="H334" i="21" s="1"/>
  <c r="I332" i="8"/>
  <c r="I334" i="21" s="1"/>
  <c r="J332" i="8"/>
  <c r="J334" i="21" s="1"/>
  <c r="K332" i="8"/>
  <c r="K334" i="21" s="1"/>
  <c r="L332" i="8"/>
  <c r="L334" i="21" s="1"/>
  <c r="M332" i="8"/>
  <c r="M334" i="21" s="1"/>
  <c r="N332" i="8"/>
  <c r="N334" i="21" s="1"/>
  <c r="O332" i="8"/>
  <c r="O334" i="21" s="1"/>
  <c r="P332" i="8"/>
  <c r="P334" i="21" s="1"/>
  <c r="Q332" i="8"/>
  <c r="Q334" i="21" s="1"/>
  <c r="R332" i="8"/>
  <c r="R334" i="21" s="1"/>
  <c r="S332" i="8"/>
  <c r="S334" i="21" s="1"/>
  <c r="T332" i="8"/>
  <c r="T334" i="21" s="1"/>
  <c r="U332" i="8"/>
  <c r="U334" i="21" s="1"/>
  <c r="V332" i="8"/>
  <c r="V334" i="21" s="1"/>
  <c r="W332" i="8"/>
  <c r="W334" i="21" s="1"/>
  <c r="X332" i="8"/>
  <c r="X334" i="21" s="1"/>
  <c r="Y332" i="8"/>
  <c r="Y334" i="21" s="1"/>
  <c r="Z332" i="8"/>
  <c r="Z334" i="21" s="1"/>
  <c r="AA332" i="8"/>
  <c r="AA334" i="21" s="1"/>
  <c r="AB332" i="8"/>
  <c r="AB334" i="21" s="1"/>
  <c r="AC332" i="8"/>
  <c r="AC334" i="21" s="1"/>
  <c r="AD332" i="8"/>
  <c r="AD334" i="21" s="1"/>
  <c r="AE332" i="8"/>
  <c r="AE334" i="21" s="1"/>
  <c r="AF332" i="8"/>
  <c r="AG332" i="8"/>
  <c r="A333" i="8"/>
  <c r="A335" i="21" s="1"/>
  <c r="B333" i="8"/>
  <c r="B335" i="21" s="1"/>
  <c r="C333" i="8"/>
  <c r="C335" i="21" s="1"/>
  <c r="D333" i="8"/>
  <c r="D335" i="21" s="1"/>
  <c r="E333" i="8"/>
  <c r="E335" i="21" s="1"/>
  <c r="F333" i="8"/>
  <c r="F335" i="21" s="1"/>
  <c r="G333" i="8"/>
  <c r="G335" i="21" s="1"/>
  <c r="H333" i="8"/>
  <c r="H335" i="21" s="1"/>
  <c r="I333" i="8"/>
  <c r="I335" i="21" s="1"/>
  <c r="J333" i="8"/>
  <c r="J335" i="21" s="1"/>
  <c r="K333" i="8"/>
  <c r="K335" i="21" s="1"/>
  <c r="L333" i="8"/>
  <c r="L335" i="21" s="1"/>
  <c r="M333" i="8"/>
  <c r="M335" i="21" s="1"/>
  <c r="N333" i="8"/>
  <c r="N335" i="21" s="1"/>
  <c r="O333" i="8"/>
  <c r="O335" i="21" s="1"/>
  <c r="P333" i="8"/>
  <c r="P335" i="21" s="1"/>
  <c r="Q333" i="8"/>
  <c r="Q335" i="21" s="1"/>
  <c r="R333" i="8"/>
  <c r="R335" i="21" s="1"/>
  <c r="S333" i="8"/>
  <c r="S335" i="21" s="1"/>
  <c r="T333" i="8"/>
  <c r="T335" i="21" s="1"/>
  <c r="U333" i="8"/>
  <c r="U335" i="21" s="1"/>
  <c r="V333" i="8"/>
  <c r="V335" i="21" s="1"/>
  <c r="W333" i="8"/>
  <c r="W335" i="21" s="1"/>
  <c r="X333" i="8"/>
  <c r="X335" i="21" s="1"/>
  <c r="Y333" i="8"/>
  <c r="Y335" i="21" s="1"/>
  <c r="Z333" i="8"/>
  <c r="Z335" i="21" s="1"/>
  <c r="AA333" i="8"/>
  <c r="AA335" i="21" s="1"/>
  <c r="AB333" i="8"/>
  <c r="AB335" i="21" s="1"/>
  <c r="AC333" i="8"/>
  <c r="AC335" i="21" s="1"/>
  <c r="AD333" i="8"/>
  <c r="AD335" i="21" s="1"/>
  <c r="AE333" i="8"/>
  <c r="AE335" i="21" s="1"/>
  <c r="AF333" i="8"/>
  <c r="AG333" i="8"/>
  <c r="A334" i="8"/>
  <c r="A336" i="21" s="1"/>
  <c r="B334" i="8"/>
  <c r="B336" i="21" s="1"/>
  <c r="C334" i="8"/>
  <c r="C336" i="21" s="1"/>
  <c r="D334" i="8"/>
  <c r="D336" i="21" s="1"/>
  <c r="E334" i="8"/>
  <c r="E336" i="21" s="1"/>
  <c r="F334" i="8"/>
  <c r="F336" i="21" s="1"/>
  <c r="G334" i="8"/>
  <c r="G336" i="21" s="1"/>
  <c r="H334" i="8"/>
  <c r="H336" i="21" s="1"/>
  <c r="I334" i="8"/>
  <c r="I336" i="21" s="1"/>
  <c r="J334" i="8"/>
  <c r="J336" i="21" s="1"/>
  <c r="K334" i="8"/>
  <c r="K336" i="21" s="1"/>
  <c r="L334" i="8"/>
  <c r="L336" i="21" s="1"/>
  <c r="M334" i="8"/>
  <c r="M336" i="21" s="1"/>
  <c r="N334" i="8"/>
  <c r="N336" i="21" s="1"/>
  <c r="O334" i="8"/>
  <c r="O336" i="21" s="1"/>
  <c r="P334" i="8"/>
  <c r="P336" i="21" s="1"/>
  <c r="Q334" i="8"/>
  <c r="Q336" i="21" s="1"/>
  <c r="R334" i="8"/>
  <c r="R336" i="21" s="1"/>
  <c r="S334" i="8"/>
  <c r="S336" i="21" s="1"/>
  <c r="T334" i="8"/>
  <c r="T336" i="21" s="1"/>
  <c r="U334" i="8"/>
  <c r="U336" i="21" s="1"/>
  <c r="V334" i="8"/>
  <c r="V336" i="21" s="1"/>
  <c r="W334" i="8"/>
  <c r="W336" i="21" s="1"/>
  <c r="X334" i="8"/>
  <c r="X336" i="21" s="1"/>
  <c r="Y334" i="8"/>
  <c r="Y336" i="21" s="1"/>
  <c r="Z334" i="8"/>
  <c r="Z336" i="21" s="1"/>
  <c r="AA334" i="8"/>
  <c r="AA336" i="21" s="1"/>
  <c r="AB334" i="8"/>
  <c r="AB336" i="21" s="1"/>
  <c r="AC334" i="8"/>
  <c r="AC336" i="21" s="1"/>
  <c r="AD334" i="8"/>
  <c r="AD336" i="21" s="1"/>
  <c r="AE334" i="8"/>
  <c r="AE336" i="21" s="1"/>
  <c r="AF334" i="8"/>
  <c r="AF336" i="21" s="1"/>
  <c r="AG334" i="8"/>
  <c r="AG336" i="21" s="1"/>
  <c r="A335" i="8"/>
  <c r="A337" i="21" s="1"/>
  <c r="B335" i="8"/>
  <c r="B337" i="21" s="1"/>
  <c r="C335" i="8"/>
  <c r="C337" i="21" s="1"/>
  <c r="D335" i="8"/>
  <c r="D337" i="21" s="1"/>
  <c r="E335" i="8"/>
  <c r="E337" i="21" s="1"/>
  <c r="F335" i="8"/>
  <c r="F337" i="21" s="1"/>
  <c r="G335" i="8"/>
  <c r="G337" i="21" s="1"/>
  <c r="H335" i="8"/>
  <c r="H337" i="21" s="1"/>
  <c r="I335" i="8"/>
  <c r="I337" i="21" s="1"/>
  <c r="J335" i="8"/>
  <c r="J337" i="21" s="1"/>
  <c r="K335" i="8"/>
  <c r="K337" i="21" s="1"/>
  <c r="L335" i="8"/>
  <c r="L337" i="21" s="1"/>
  <c r="M335" i="8"/>
  <c r="M337" i="21" s="1"/>
  <c r="N335" i="8"/>
  <c r="N337" i="21" s="1"/>
  <c r="O335" i="8"/>
  <c r="O337" i="21" s="1"/>
  <c r="P335" i="8"/>
  <c r="P337" i="21" s="1"/>
  <c r="Q335" i="8"/>
  <c r="Q337" i="21" s="1"/>
  <c r="R335" i="8"/>
  <c r="R337" i="21" s="1"/>
  <c r="S335" i="8"/>
  <c r="S337" i="21" s="1"/>
  <c r="T335" i="8"/>
  <c r="T337" i="21" s="1"/>
  <c r="U335" i="8"/>
  <c r="U337" i="21" s="1"/>
  <c r="V335" i="8"/>
  <c r="V337" i="21" s="1"/>
  <c r="W335" i="8"/>
  <c r="W337" i="21" s="1"/>
  <c r="X335" i="8"/>
  <c r="X337" i="21" s="1"/>
  <c r="Y335" i="8"/>
  <c r="Y337" i="21" s="1"/>
  <c r="Z335" i="8"/>
  <c r="Z337" i="21" s="1"/>
  <c r="AA335" i="8"/>
  <c r="AA337" i="21" s="1"/>
  <c r="AB335" i="8"/>
  <c r="AB337" i="21" s="1"/>
  <c r="AC335" i="8"/>
  <c r="AC337" i="21" s="1"/>
  <c r="AD335" i="8"/>
  <c r="AD337" i="21" s="1"/>
  <c r="AE335" i="8"/>
  <c r="AE337" i="21" s="1"/>
  <c r="AF335" i="8"/>
  <c r="AF337" i="21" s="1"/>
  <c r="AG335" i="8"/>
  <c r="AG337" i="21" s="1"/>
  <c r="A336" i="8"/>
  <c r="A338" i="21" s="1"/>
  <c r="B336" i="8"/>
  <c r="B338" i="21" s="1"/>
  <c r="C336" i="8"/>
  <c r="C338" i="21" s="1"/>
  <c r="D336" i="8"/>
  <c r="D338" i="21" s="1"/>
  <c r="E336" i="8"/>
  <c r="E338" i="21" s="1"/>
  <c r="F336" i="8"/>
  <c r="F338" i="21" s="1"/>
  <c r="G336" i="8"/>
  <c r="G338" i="21" s="1"/>
  <c r="H336" i="8"/>
  <c r="H338" i="21" s="1"/>
  <c r="I336" i="8"/>
  <c r="I338" i="21" s="1"/>
  <c r="J336" i="8"/>
  <c r="J338" i="21" s="1"/>
  <c r="K336" i="8"/>
  <c r="K338" i="21" s="1"/>
  <c r="L336" i="8"/>
  <c r="L338" i="21" s="1"/>
  <c r="M336" i="8"/>
  <c r="M338" i="21" s="1"/>
  <c r="N336" i="8"/>
  <c r="N338" i="21" s="1"/>
  <c r="O336" i="8"/>
  <c r="O338" i="21" s="1"/>
  <c r="P336" i="8"/>
  <c r="P338" i="21" s="1"/>
  <c r="Q336" i="8"/>
  <c r="Q338" i="21" s="1"/>
  <c r="R336" i="8"/>
  <c r="R338" i="21" s="1"/>
  <c r="S336" i="8"/>
  <c r="S338" i="21" s="1"/>
  <c r="T336" i="8"/>
  <c r="T338" i="21" s="1"/>
  <c r="U336" i="8"/>
  <c r="U338" i="21" s="1"/>
  <c r="V336" i="8"/>
  <c r="V338" i="21" s="1"/>
  <c r="W336" i="8"/>
  <c r="W338" i="21" s="1"/>
  <c r="X336" i="8"/>
  <c r="X338" i="21" s="1"/>
  <c r="Y336" i="8"/>
  <c r="Y338" i="21" s="1"/>
  <c r="Z336" i="8"/>
  <c r="Z338" i="21" s="1"/>
  <c r="AA336" i="8"/>
  <c r="AA338" i="21" s="1"/>
  <c r="AB336" i="8"/>
  <c r="AB338" i="21" s="1"/>
  <c r="AC336" i="8"/>
  <c r="AC338" i="21" s="1"/>
  <c r="AD336" i="8"/>
  <c r="AD338" i="21" s="1"/>
  <c r="AE336" i="8"/>
  <c r="AE338" i="21" s="1"/>
  <c r="AF336" i="8"/>
  <c r="AF338" i="21" s="1"/>
  <c r="AG336" i="8"/>
  <c r="AG338" i="21" s="1"/>
  <c r="A337" i="8"/>
  <c r="A339" i="21" s="1"/>
  <c r="B337" i="8"/>
  <c r="B339" i="21" s="1"/>
  <c r="C337" i="8"/>
  <c r="C339" i="21" s="1"/>
  <c r="D337" i="8"/>
  <c r="D339" i="21" s="1"/>
  <c r="E337" i="8"/>
  <c r="E339" i="21" s="1"/>
  <c r="F337" i="8"/>
  <c r="F339" i="21" s="1"/>
  <c r="G337" i="8"/>
  <c r="G339" i="21" s="1"/>
  <c r="H337" i="8"/>
  <c r="H339" i="21" s="1"/>
  <c r="I337" i="8"/>
  <c r="I339" i="21" s="1"/>
  <c r="J337" i="8"/>
  <c r="J339" i="21" s="1"/>
  <c r="K337" i="8"/>
  <c r="K339" i="21" s="1"/>
  <c r="L337" i="8"/>
  <c r="L339" i="21" s="1"/>
  <c r="M337" i="8"/>
  <c r="M339" i="21" s="1"/>
  <c r="N337" i="8"/>
  <c r="N339" i="21" s="1"/>
  <c r="O337" i="8"/>
  <c r="O339" i="21" s="1"/>
  <c r="P337" i="8"/>
  <c r="P339" i="21" s="1"/>
  <c r="Q337" i="8"/>
  <c r="Q339" i="21" s="1"/>
  <c r="R337" i="8"/>
  <c r="R339" i="21" s="1"/>
  <c r="S337" i="8"/>
  <c r="S339" i="21" s="1"/>
  <c r="T337" i="8"/>
  <c r="T339" i="21" s="1"/>
  <c r="U337" i="8"/>
  <c r="U339" i="21" s="1"/>
  <c r="V337" i="8"/>
  <c r="V339" i="21" s="1"/>
  <c r="W337" i="8"/>
  <c r="W339" i="21" s="1"/>
  <c r="X337" i="8"/>
  <c r="X339" i="21" s="1"/>
  <c r="Y337" i="8"/>
  <c r="Y339" i="21" s="1"/>
  <c r="Z337" i="8"/>
  <c r="Z339" i="21" s="1"/>
  <c r="AA337" i="8"/>
  <c r="AA339" i="21" s="1"/>
  <c r="AB337" i="8"/>
  <c r="AB339" i="21" s="1"/>
  <c r="AC337" i="8"/>
  <c r="AC339" i="21" s="1"/>
  <c r="AD337" i="8"/>
  <c r="AD339" i="21" s="1"/>
  <c r="AE337" i="8"/>
  <c r="AE339" i="21" s="1"/>
  <c r="AF337" i="8"/>
  <c r="AF339" i="21" s="1"/>
  <c r="AG337" i="8"/>
  <c r="AG339" i="21" s="1"/>
  <c r="A338" i="8"/>
  <c r="A340" i="21" s="1"/>
  <c r="B338" i="8"/>
  <c r="B340" i="21" s="1"/>
  <c r="C338" i="8"/>
  <c r="C340" i="21" s="1"/>
  <c r="D338" i="8"/>
  <c r="D340" i="21" s="1"/>
  <c r="E338" i="8"/>
  <c r="E340" i="21" s="1"/>
  <c r="F338" i="8"/>
  <c r="F340" i="21" s="1"/>
  <c r="G338" i="8"/>
  <c r="G340" i="21" s="1"/>
  <c r="H338" i="8"/>
  <c r="H340" i="21" s="1"/>
  <c r="I338" i="8"/>
  <c r="I340" i="21" s="1"/>
  <c r="J338" i="8"/>
  <c r="J340" i="21" s="1"/>
  <c r="K338" i="8"/>
  <c r="K340" i="21" s="1"/>
  <c r="L338" i="8"/>
  <c r="L340" i="21" s="1"/>
  <c r="M338" i="8"/>
  <c r="M340" i="21" s="1"/>
  <c r="N338" i="8"/>
  <c r="N340" i="21" s="1"/>
  <c r="O338" i="8"/>
  <c r="O340" i="21" s="1"/>
  <c r="P338" i="8"/>
  <c r="P340" i="21" s="1"/>
  <c r="Q338" i="8"/>
  <c r="Q340" i="21" s="1"/>
  <c r="R338" i="8"/>
  <c r="R340" i="21" s="1"/>
  <c r="S338" i="8"/>
  <c r="S340" i="21" s="1"/>
  <c r="T338" i="8"/>
  <c r="T340" i="21" s="1"/>
  <c r="U338" i="8"/>
  <c r="U340" i="21" s="1"/>
  <c r="V338" i="8"/>
  <c r="V340" i="21" s="1"/>
  <c r="W338" i="8"/>
  <c r="W340" i="21" s="1"/>
  <c r="X338" i="8"/>
  <c r="X340" i="21" s="1"/>
  <c r="Y338" i="8"/>
  <c r="Y340" i="21" s="1"/>
  <c r="Z338" i="8"/>
  <c r="Z340" i="21" s="1"/>
  <c r="AA338" i="8"/>
  <c r="AA340" i="21" s="1"/>
  <c r="AB338" i="8"/>
  <c r="AB340" i="21" s="1"/>
  <c r="AC338" i="8"/>
  <c r="AC340" i="21" s="1"/>
  <c r="AD338" i="8"/>
  <c r="AD340" i="21" s="1"/>
  <c r="AE338" i="8"/>
  <c r="AE340" i="21" s="1"/>
  <c r="AF338" i="8"/>
  <c r="AF340" i="21" s="1"/>
  <c r="AG338" i="8"/>
  <c r="AG340" i="21" s="1"/>
  <c r="A339" i="8"/>
  <c r="A341" i="21" s="1"/>
  <c r="B339" i="8"/>
  <c r="B341" i="21" s="1"/>
  <c r="C339" i="8"/>
  <c r="C341" i="21" s="1"/>
  <c r="D339" i="8"/>
  <c r="D341" i="21" s="1"/>
  <c r="E339" i="8"/>
  <c r="E341" i="21" s="1"/>
  <c r="F339" i="8"/>
  <c r="F341" i="21" s="1"/>
  <c r="G339" i="8"/>
  <c r="G341" i="21" s="1"/>
  <c r="H339" i="8"/>
  <c r="H341" i="21" s="1"/>
  <c r="I339" i="8"/>
  <c r="I341" i="21" s="1"/>
  <c r="J339" i="8"/>
  <c r="J341" i="21" s="1"/>
  <c r="K339" i="8"/>
  <c r="K341" i="21" s="1"/>
  <c r="L339" i="8"/>
  <c r="L341" i="21" s="1"/>
  <c r="M339" i="8"/>
  <c r="M341" i="21" s="1"/>
  <c r="N339" i="8"/>
  <c r="N341" i="21" s="1"/>
  <c r="O339" i="8"/>
  <c r="O341" i="21" s="1"/>
  <c r="P339" i="8"/>
  <c r="P341" i="21" s="1"/>
  <c r="Q339" i="8"/>
  <c r="Q341" i="21" s="1"/>
  <c r="R339" i="8"/>
  <c r="R341" i="21" s="1"/>
  <c r="S339" i="8"/>
  <c r="S341" i="21" s="1"/>
  <c r="T339" i="8"/>
  <c r="T341" i="21" s="1"/>
  <c r="U339" i="8"/>
  <c r="U341" i="21" s="1"/>
  <c r="V339" i="8"/>
  <c r="V341" i="21" s="1"/>
  <c r="W339" i="8"/>
  <c r="W341" i="21" s="1"/>
  <c r="X339" i="8"/>
  <c r="X341" i="21" s="1"/>
  <c r="Y339" i="8"/>
  <c r="Y341" i="21" s="1"/>
  <c r="Z339" i="8"/>
  <c r="Z341" i="21" s="1"/>
  <c r="AA339" i="8"/>
  <c r="AA341" i="21" s="1"/>
  <c r="AB339" i="8"/>
  <c r="AB341" i="21" s="1"/>
  <c r="AC339" i="8"/>
  <c r="AC341" i="21" s="1"/>
  <c r="AD339" i="8"/>
  <c r="AD341" i="21" s="1"/>
  <c r="AE339" i="8"/>
  <c r="AF339" i="8"/>
  <c r="AF341" i="21" s="1"/>
  <c r="AG339" i="8"/>
  <c r="AG341" i="21" s="1"/>
  <c r="A340" i="8"/>
  <c r="A342" i="21" s="1"/>
  <c r="B340" i="8"/>
  <c r="B342" i="21" s="1"/>
  <c r="C340" i="8"/>
  <c r="C342" i="21" s="1"/>
  <c r="D340" i="8"/>
  <c r="D342" i="21" s="1"/>
  <c r="E340" i="8"/>
  <c r="E342" i="21" s="1"/>
  <c r="F340" i="8"/>
  <c r="F342" i="21" s="1"/>
  <c r="G340" i="8"/>
  <c r="G342" i="21" s="1"/>
  <c r="H340" i="8"/>
  <c r="H342" i="21" s="1"/>
  <c r="I340" i="8"/>
  <c r="I342" i="21" s="1"/>
  <c r="J340" i="8"/>
  <c r="J342" i="21" s="1"/>
  <c r="K340" i="8"/>
  <c r="K342" i="21" s="1"/>
  <c r="L340" i="8"/>
  <c r="L342" i="21" s="1"/>
  <c r="M340" i="8"/>
  <c r="M342" i="21" s="1"/>
  <c r="N340" i="8"/>
  <c r="N342" i="21" s="1"/>
  <c r="O340" i="8"/>
  <c r="O342" i="21" s="1"/>
  <c r="P340" i="8"/>
  <c r="P342" i="21" s="1"/>
  <c r="Q340" i="8"/>
  <c r="Q342" i="21" s="1"/>
  <c r="R340" i="8"/>
  <c r="R342" i="21" s="1"/>
  <c r="S340" i="8"/>
  <c r="S342" i="21" s="1"/>
  <c r="T340" i="8"/>
  <c r="T342" i="21" s="1"/>
  <c r="U340" i="8"/>
  <c r="U342" i="21" s="1"/>
  <c r="V340" i="8"/>
  <c r="V342" i="21" s="1"/>
  <c r="W340" i="8"/>
  <c r="W342" i="21" s="1"/>
  <c r="X340" i="8"/>
  <c r="X342" i="21" s="1"/>
  <c r="Y340" i="8"/>
  <c r="Y342" i="21" s="1"/>
  <c r="Z340" i="8"/>
  <c r="Z342" i="21" s="1"/>
  <c r="AA340" i="8"/>
  <c r="AA342" i="21" s="1"/>
  <c r="AB340" i="8"/>
  <c r="AB342" i="21" s="1"/>
  <c r="AC340" i="8"/>
  <c r="AC342" i="21" s="1"/>
  <c r="AD340" i="8"/>
  <c r="AD342" i="21" s="1"/>
  <c r="AE340" i="8"/>
  <c r="AE342" i="21" s="1"/>
  <c r="AF340" i="8"/>
  <c r="AF342" i="21" s="1"/>
  <c r="AG340" i="8"/>
  <c r="AG342" i="21" s="1"/>
  <c r="A341" i="8"/>
  <c r="A343" i="21" s="1"/>
  <c r="B341" i="8"/>
  <c r="B343" i="21" s="1"/>
  <c r="C341" i="8"/>
  <c r="C343" i="21" s="1"/>
  <c r="D341" i="8"/>
  <c r="D343" i="21" s="1"/>
  <c r="E341" i="8"/>
  <c r="E343" i="21" s="1"/>
  <c r="F341" i="8"/>
  <c r="F343" i="21" s="1"/>
  <c r="G341" i="8"/>
  <c r="G343" i="21" s="1"/>
  <c r="H341" i="8"/>
  <c r="H343" i="21" s="1"/>
  <c r="I341" i="8"/>
  <c r="I343" i="21" s="1"/>
  <c r="J341" i="8"/>
  <c r="J343" i="21" s="1"/>
  <c r="K341" i="8"/>
  <c r="K343" i="21" s="1"/>
  <c r="L341" i="8"/>
  <c r="L343" i="21" s="1"/>
  <c r="M341" i="8"/>
  <c r="M343" i="21" s="1"/>
  <c r="N341" i="8"/>
  <c r="N343" i="21" s="1"/>
  <c r="O341" i="8"/>
  <c r="O343" i="21" s="1"/>
  <c r="P341" i="8"/>
  <c r="P343" i="21" s="1"/>
  <c r="Q341" i="8"/>
  <c r="Q343" i="21" s="1"/>
  <c r="R341" i="8"/>
  <c r="R343" i="21" s="1"/>
  <c r="S341" i="8"/>
  <c r="S343" i="21" s="1"/>
  <c r="T341" i="8"/>
  <c r="T343" i="21" s="1"/>
  <c r="U341" i="8"/>
  <c r="U343" i="21" s="1"/>
  <c r="V341" i="8"/>
  <c r="V343" i="21" s="1"/>
  <c r="W341" i="8"/>
  <c r="W343" i="21" s="1"/>
  <c r="X341" i="8"/>
  <c r="X343" i="21" s="1"/>
  <c r="Y341" i="8"/>
  <c r="Y343" i="21" s="1"/>
  <c r="Z341" i="8"/>
  <c r="Z343" i="21" s="1"/>
  <c r="AA341" i="8"/>
  <c r="AA343" i="21" s="1"/>
  <c r="AB341" i="8"/>
  <c r="AB343" i="21" s="1"/>
  <c r="AC341" i="8"/>
  <c r="AC343" i="21" s="1"/>
  <c r="AD341" i="8"/>
  <c r="AD343" i="21" s="1"/>
  <c r="AE341" i="8"/>
  <c r="AE343" i="21" s="1"/>
  <c r="AF341" i="8"/>
  <c r="AF343" i="21" s="1"/>
  <c r="AG341" i="8"/>
  <c r="AG343" i="21" s="1"/>
  <c r="A342" i="8"/>
  <c r="A344" i="21" s="1"/>
  <c r="B342" i="8"/>
  <c r="B344" i="21" s="1"/>
  <c r="C342" i="8"/>
  <c r="C344" i="21" s="1"/>
  <c r="D342" i="8"/>
  <c r="D344" i="21" s="1"/>
  <c r="E342" i="8"/>
  <c r="E344" i="21" s="1"/>
  <c r="F342" i="8"/>
  <c r="F344" i="21" s="1"/>
  <c r="G342" i="8"/>
  <c r="G344" i="21" s="1"/>
  <c r="H342" i="8"/>
  <c r="H344" i="21" s="1"/>
  <c r="I342" i="8"/>
  <c r="I344" i="21" s="1"/>
  <c r="J342" i="8"/>
  <c r="J344" i="21" s="1"/>
  <c r="K342" i="8"/>
  <c r="K344" i="21" s="1"/>
  <c r="L342" i="8"/>
  <c r="L344" i="21" s="1"/>
  <c r="M342" i="8"/>
  <c r="M344" i="21" s="1"/>
  <c r="N342" i="8"/>
  <c r="N344" i="21" s="1"/>
  <c r="O342" i="8"/>
  <c r="O344" i="21" s="1"/>
  <c r="P342" i="8"/>
  <c r="P344" i="21" s="1"/>
  <c r="Q342" i="8"/>
  <c r="Q344" i="21" s="1"/>
  <c r="R342" i="8"/>
  <c r="R344" i="21" s="1"/>
  <c r="S342" i="8"/>
  <c r="S344" i="21" s="1"/>
  <c r="T342" i="8"/>
  <c r="T344" i="21" s="1"/>
  <c r="U342" i="8"/>
  <c r="U344" i="21" s="1"/>
  <c r="V342" i="8"/>
  <c r="V344" i="21" s="1"/>
  <c r="W342" i="8"/>
  <c r="W344" i="21" s="1"/>
  <c r="X342" i="8"/>
  <c r="X344" i="21" s="1"/>
  <c r="Y342" i="8"/>
  <c r="Y344" i="21" s="1"/>
  <c r="Z342" i="8"/>
  <c r="Z344" i="21" s="1"/>
  <c r="AA342" i="8"/>
  <c r="AA344" i="21" s="1"/>
  <c r="AB342" i="8"/>
  <c r="AB344" i="21" s="1"/>
  <c r="AC342" i="8"/>
  <c r="AC344" i="21" s="1"/>
  <c r="AD342" i="8"/>
  <c r="AD344" i="21" s="1"/>
  <c r="AE342" i="8"/>
  <c r="AE344" i="21" s="1"/>
  <c r="AF342" i="8"/>
  <c r="AG342" i="8"/>
  <c r="A343" i="8"/>
  <c r="A345" i="21" s="1"/>
  <c r="B343" i="8"/>
  <c r="B345" i="21" s="1"/>
  <c r="C343" i="8"/>
  <c r="C345" i="21" s="1"/>
  <c r="D343" i="8"/>
  <c r="D345" i="21" s="1"/>
  <c r="E343" i="8"/>
  <c r="E345" i="21" s="1"/>
  <c r="F343" i="8"/>
  <c r="F345" i="21" s="1"/>
  <c r="G343" i="8"/>
  <c r="G345" i="21" s="1"/>
  <c r="H343" i="8"/>
  <c r="H345" i="21" s="1"/>
  <c r="I343" i="8"/>
  <c r="I345" i="21" s="1"/>
  <c r="J343" i="8"/>
  <c r="J345" i="21" s="1"/>
  <c r="K343" i="8"/>
  <c r="K345" i="21" s="1"/>
  <c r="L343" i="8"/>
  <c r="L345" i="21" s="1"/>
  <c r="M343" i="8"/>
  <c r="M345" i="21" s="1"/>
  <c r="N343" i="8"/>
  <c r="N345" i="21" s="1"/>
  <c r="O343" i="8"/>
  <c r="O345" i="21" s="1"/>
  <c r="P343" i="8"/>
  <c r="P345" i="21" s="1"/>
  <c r="Q343" i="8"/>
  <c r="Q345" i="21" s="1"/>
  <c r="R343" i="8"/>
  <c r="R345" i="21" s="1"/>
  <c r="S343" i="8"/>
  <c r="S345" i="21" s="1"/>
  <c r="T343" i="8"/>
  <c r="T345" i="21" s="1"/>
  <c r="U343" i="8"/>
  <c r="U345" i="21" s="1"/>
  <c r="V343" i="8"/>
  <c r="V345" i="21" s="1"/>
  <c r="W343" i="8"/>
  <c r="W345" i="21" s="1"/>
  <c r="X343" i="8"/>
  <c r="X345" i="21" s="1"/>
  <c r="Y343" i="8"/>
  <c r="Y345" i="21" s="1"/>
  <c r="Z343" i="8"/>
  <c r="Z345" i="21" s="1"/>
  <c r="AA343" i="8"/>
  <c r="AA345" i="21" s="1"/>
  <c r="AB343" i="8"/>
  <c r="AB345" i="21" s="1"/>
  <c r="AC343" i="8"/>
  <c r="AC345" i="21" s="1"/>
  <c r="AD343" i="8"/>
  <c r="AD345" i="21" s="1"/>
  <c r="AE343" i="8"/>
  <c r="AE345" i="21" s="1"/>
  <c r="AF343" i="8"/>
  <c r="AG343" i="8"/>
  <c r="A344" i="8"/>
  <c r="A346" i="21" s="1"/>
  <c r="B344" i="8"/>
  <c r="B346" i="21" s="1"/>
  <c r="C344" i="8"/>
  <c r="C346" i="21" s="1"/>
  <c r="D344" i="8"/>
  <c r="D346" i="21" s="1"/>
  <c r="E344" i="8"/>
  <c r="E346" i="21" s="1"/>
  <c r="F344" i="8"/>
  <c r="F346" i="21" s="1"/>
  <c r="G344" i="8"/>
  <c r="G346" i="21" s="1"/>
  <c r="H344" i="8"/>
  <c r="H346" i="21" s="1"/>
  <c r="I344" i="8"/>
  <c r="I346" i="21" s="1"/>
  <c r="J344" i="8"/>
  <c r="J346" i="21" s="1"/>
  <c r="K344" i="8"/>
  <c r="K346" i="21" s="1"/>
  <c r="L344" i="8"/>
  <c r="L346" i="21" s="1"/>
  <c r="M344" i="8"/>
  <c r="M346" i="21" s="1"/>
  <c r="N344" i="8"/>
  <c r="N346" i="21" s="1"/>
  <c r="O344" i="8"/>
  <c r="O346" i="21" s="1"/>
  <c r="P344" i="8"/>
  <c r="P346" i="21" s="1"/>
  <c r="Q344" i="8"/>
  <c r="Q346" i="21" s="1"/>
  <c r="R344" i="8"/>
  <c r="R346" i="21" s="1"/>
  <c r="S344" i="8"/>
  <c r="S346" i="21" s="1"/>
  <c r="T344" i="8"/>
  <c r="T346" i="21" s="1"/>
  <c r="U344" i="8"/>
  <c r="U346" i="21" s="1"/>
  <c r="V344" i="8"/>
  <c r="V346" i="21" s="1"/>
  <c r="W344" i="8"/>
  <c r="W346" i="21" s="1"/>
  <c r="X344" i="8"/>
  <c r="X346" i="21" s="1"/>
  <c r="Y344" i="8"/>
  <c r="Y346" i="21" s="1"/>
  <c r="Z344" i="8"/>
  <c r="Z346" i="21" s="1"/>
  <c r="AA344" i="8"/>
  <c r="AA346" i="21" s="1"/>
  <c r="AB344" i="8"/>
  <c r="AB346" i="21" s="1"/>
  <c r="AC344" i="8"/>
  <c r="AC346" i="21" s="1"/>
  <c r="AD344" i="8"/>
  <c r="AD346" i="21" s="1"/>
  <c r="AE344" i="8"/>
  <c r="AE346" i="21" s="1"/>
  <c r="AF344" i="8"/>
  <c r="AG344" i="8"/>
  <c r="AG346" i="21" s="1"/>
  <c r="A345" i="8"/>
  <c r="A347" i="21" s="1"/>
  <c r="B345" i="8"/>
  <c r="B347" i="21" s="1"/>
  <c r="C345" i="8"/>
  <c r="C347" i="21" s="1"/>
  <c r="D345" i="8"/>
  <c r="D347" i="21" s="1"/>
  <c r="E345" i="8"/>
  <c r="E347" i="21" s="1"/>
  <c r="F345" i="8"/>
  <c r="F347" i="21" s="1"/>
  <c r="G345" i="8"/>
  <c r="G347" i="21" s="1"/>
  <c r="H345" i="8"/>
  <c r="H347" i="21" s="1"/>
  <c r="I345" i="8"/>
  <c r="I347" i="21" s="1"/>
  <c r="J345" i="8"/>
  <c r="J347" i="21" s="1"/>
  <c r="K345" i="8"/>
  <c r="K347" i="21" s="1"/>
  <c r="L345" i="8"/>
  <c r="L347" i="21" s="1"/>
  <c r="M345" i="8"/>
  <c r="M347" i="21" s="1"/>
  <c r="N345" i="8"/>
  <c r="N347" i="21" s="1"/>
  <c r="O345" i="8"/>
  <c r="O347" i="21" s="1"/>
  <c r="P345" i="8"/>
  <c r="P347" i="21" s="1"/>
  <c r="Q345" i="8"/>
  <c r="Q347" i="21" s="1"/>
  <c r="R345" i="8"/>
  <c r="R347" i="21" s="1"/>
  <c r="S345" i="8"/>
  <c r="S347" i="21" s="1"/>
  <c r="T345" i="8"/>
  <c r="T347" i="21" s="1"/>
  <c r="U345" i="8"/>
  <c r="U347" i="21" s="1"/>
  <c r="V345" i="8"/>
  <c r="V347" i="21" s="1"/>
  <c r="W345" i="8"/>
  <c r="W347" i="21" s="1"/>
  <c r="X345" i="8"/>
  <c r="X347" i="21" s="1"/>
  <c r="Y345" i="8"/>
  <c r="Y347" i="21" s="1"/>
  <c r="Z345" i="8"/>
  <c r="Z347" i="21" s="1"/>
  <c r="AA345" i="8"/>
  <c r="AA347" i="21" s="1"/>
  <c r="AB345" i="8"/>
  <c r="AB347" i="21" s="1"/>
  <c r="AC345" i="8"/>
  <c r="AC347" i="21" s="1"/>
  <c r="AD345" i="8"/>
  <c r="AD347" i="21" s="1"/>
  <c r="AE345" i="8"/>
  <c r="AE347" i="21" s="1"/>
  <c r="AF345" i="8"/>
  <c r="AF347" i="21" s="1"/>
  <c r="AG345" i="8"/>
  <c r="A346" i="8"/>
  <c r="A348" i="21" s="1"/>
  <c r="B346" i="8"/>
  <c r="B348" i="21" s="1"/>
  <c r="C346" i="8"/>
  <c r="C348" i="21" s="1"/>
  <c r="D346" i="8"/>
  <c r="D348" i="21" s="1"/>
  <c r="E346" i="8"/>
  <c r="E348" i="21" s="1"/>
  <c r="F346" i="8"/>
  <c r="F348" i="21" s="1"/>
  <c r="G346" i="8"/>
  <c r="G348" i="21" s="1"/>
  <c r="H346" i="8"/>
  <c r="H348" i="21" s="1"/>
  <c r="I346" i="8"/>
  <c r="I348" i="21" s="1"/>
  <c r="J346" i="8"/>
  <c r="J348" i="21" s="1"/>
  <c r="K346" i="8"/>
  <c r="K348" i="21" s="1"/>
  <c r="L346" i="8"/>
  <c r="L348" i="21" s="1"/>
  <c r="M346" i="8"/>
  <c r="M348" i="21" s="1"/>
  <c r="N346" i="8"/>
  <c r="N348" i="21" s="1"/>
  <c r="O346" i="8"/>
  <c r="O348" i="21" s="1"/>
  <c r="P346" i="8"/>
  <c r="P348" i="21" s="1"/>
  <c r="Q346" i="8"/>
  <c r="Q348" i="21" s="1"/>
  <c r="R346" i="8"/>
  <c r="R348" i="21" s="1"/>
  <c r="S346" i="8"/>
  <c r="S348" i="21" s="1"/>
  <c r="T346" i="8"/>
  <c r="T348" i="21" s="1"/>
  <c r="U346" i="8"/>
  <c r="U348" i="21" s="1"/>
  <c r="V346" i="8"/>
  <c r="V348" i="21" s="1"/>
  <c r="W346" i="8"/>
  <c r="W348" i="21" s="1"/>
  <c r="X346" i="8"/>
  <c r="X348" i="21" s="1"/>
  <c r="Y346" i="8"/>
  <c r="Y348" i="21" s="1"/>
  <c r="Z346" i="8"/>
  <c r="Z348" i="21" s="1"/>
  <c r="AA346" i="8"/>
  <c r="AA348" i="21" s="1"/>
  <c r="AB346" i="8"/>
  <c r="AB348" i="21" s="1"/>
  <c r="AC346" i="8"/>
  <c r="AC348" i="21" s="1"/>
  <c r="AD346" i="8"/>
  <c r="AD348" i="21" s="1"/>
  <c r="AE346" i="8"/>
  <c r="AE348" i="21" s="1"/>
  <c r="AF346" i="8"/>
  <c r="AG346" i="8"/>
  <c r="A347" i="8"/>
  <c r="A349" i="21" s="1"/>
  <c r="B347" i="8"/>
  <c r="B349" i="21" s="1"/>
  <c r="C347" i="8"/>
  <c r="C349" i="21" s="1"/>
  <c r="D347" i="8"/>
  <c r="D349" i="21" s="1"/>
  <c r="E347" i="8"/>
  <c r="E349" i="21" s="1"/>
  <c r="F347" i="8"/>
  <c r="F349" i="21" s="1"/>
  <c r="G347" i="8"/>
  <c r="G349" i="21" s="1"/>
  <c r="H347" i="8"/>
  <c r="H349" i="21" s="1"/>
  <c r="I347" i="8"/>
  <c r="I349" i="21" s="1"/>
  <c r="J347" i="8"/>
  <c r="J349" i="21" s="1"/>
  <c r="K347" i="8"/>
  <c r="K349" i="21" s="1"/>
  <c r="L347" i="8"/>
  <c r="L349" i="21" s="1"/>
  <c r="M347" i="8"/>
  <c r="M349" i="21" s="1"/>
  <c r="N347" i="8"/>
  <c r="N349" i="21" s="1"/>
  <c r="O347" i="8"/>
  <c r="O349" i="21" s="1"/>
  <c r="P347" i="8"/>
  <c r="P349" i="21" s="1"/>
  <c r="Q347" i="8"/>
  <c r="Q349" i="21" s="1"/>
  <c r="R347" i="8"/>
  <c r="R349" i="21" s="1"/>
  <c r="S347" i="8"/>
  <c r="S349" i="21" s="1"/>
  <c r="T347" i="8"/>
  <c r="T349" i="21" s="1"/>
  <c r="U347" i="8"/>
  <c r="U349" i="21" s="1"/>
  <c r="V347" i="8"/>
  <c r="V349" i="21" s="1"/>
  <c r="W347" i="8"/>
  <c r="W349" i="21" s="1"/>
  <c r="X347" i="8"/>
  <c r="X349" i="21" s="1"/>
  <c r="Y347" i="8"/>
  <c r="Y349" i="21" s="1"/>
  <c r="Z347" i="8"/>
  <c r="Z349" i="21" s="1"/>
  <c r="AA347" i="8"/>
  <c r="AA349" i="21" s="1"/>
  <c r="AB347" i="8"/>
  <c r="AB349" i="21" s="1"/>
  <c r="AC347" i="8"/>
  <c r="AC349" i="21" s="1"/>
  <c r="AD347" i="8"/>
  <c r="AD349" i="21" s="1"/>
  <c r="AE347" i="8"/>
  <c r="AE349" i="21" s="1"/>
  <c r="AF347" i="8"/>
  <c r="AF349" i="21" s="1"/>
  <c r="AG347" i="8"/>
  <c r="AG349" i="21" s="1"/>
  <c r="A348" i="8"/>
  <c r="A350" i="21" s="1"/>
  <c r="B348" i="8"/>
  <c r="B350" i="21" s="1"/>
  <c r="C348" i="8"/>
  <c r="C350" i="21" s="1"/>
  <c r="D348" i="8"/>
  <c r="D350" i="21" s="1"/>
  <c r="E348" i="8"/>
  <c r="E350" i="21" s="1"/>
  <c r="F348" i="8"/>
  <c r="F350" i="21" s="1"/>
  <c r="G348" i="8"/>
  <c r="G350" i="21" s="1"/>
  <c r="H348" i="8"/>
  <c r="H350" i="21" s="1"/>
  <c r="I348" i="8"/>
  <c r="I350" i="21" s="1"/>
  <c r="J348" i="8"/>
  <c r="J350" i="21" s="1"/>
  <c r="K348" i="8"/>
  <c r="K350" i="21" s="1"/>
  <c r="L348" i="8"/>
  <c r="L350" i="21" s="1"/>
  <c r="M348" i="8"/>
  <c r="M350" i="21" s="1"/>
  <c r="N348" i="8"/>
  <c r="N350" i="21" s="1"/>
  <c r="O348" i="8"/>
  <c r="O350" i="21" s="1"/>
  <c r="P348" i="8"/>
  <c r="P350" i="21" s="1"/>
  <c r="Q348" i="8"/>
  <c r="Q350" i="21" s="1"/>
  <c r="R348" i="8"/>
  <c r="R350" i="21" s="1"/>
  <c r="S348" i="8"/>
  <c r="S350" i="21" s="1"/>
  <c r="T348" i="8"/>
  <c r="T350" i="21" s="1"/>
  <c r="U348" i="8"/>
  <c r="U350" i="21" s="1"/>
  <c r="V348" i="8"/>
  <c r="V350" i="21" s="1"/>
  <c r="W348" i="8"/>
  <c r="W350" i="21" s="1"/>
  <c r="X348" i="8"/>
  <c r="X350" i="21" s="1"/>
  <c r="Y348" i="8"/>
  <c r="Y350" i="21" s="1"/>
  <c r="Z348" i="8"/>
  <c r="Z350" i="21" s="1"/>
  <c r="AA348" i="8"/>
  <c r="AA350" i="21" s="1"/>
  <c r="AB348" i="8"/>
  <c r="AB350" i="21" s="1"/>
  <c r="AC348" i="8"/>
  <c r="AC350" i="21" s="1"/>
  <c r="AD348" i="8"/>
  <c r="AD350" i="21" s="1"/>
  <c r="AE348" i="8"/>
  <c r="AE350" i="21" s="1"/>
  <c r="AF348" i="8"/>
  <c r="AF350" i="21" s="1"/>
  <c r="AG348" i="8"/>
  <c r="AG350" i="21" s="1"/>
  <c r="A349" i="8"/>
  <c r="A351" i="21" s="1"/>
  <c r="B349" i="8"/>
  <c r="B351" i="21" s="1"/>
  <c r="C349" i="8"/>
  <c r="C351" i="21" s="1"/>
  <c r="D349" i="8"/>
  <c r="D351" i="21" s="1"/>
  <c r="E349" i="8"/>
  <c r="E351" i="21" s="1"/>
  <c r="F349" i="8"/>
  <c r="F351" i="21" s="1"/>
  <c r="G349" i="8"/>
  <c r="G351" i="21" s="1"/>
  <c r="H349" i="8"/>
  <c r="H351" i="21" s="1"/>
  <c r="I349" i="8"/>
  <c r="I351" i="21" s="1"/>
  <c r="J349" i="8"/>
  <c r="J351" i="21" s="1"/>
  <c r="K349" i="8"/>
  <c r="K351" i="21" s="1"/>
  <c r="L349" i="8"/>
  <c r="L351" i="21" s="1"/>
  <c r="M349" i="8"/>
  <c r="M351" i="21" s="1"/>
  <c r="N349" i="8"/>
  <c r="N351" i="21" s="1"/>
  <c r="O349" i="8"/>
  <c r="O351" i="21" s="1"/>
  <c r="P349" i="8"/>
  <c r="P351" i="21" s="1"/>
  <c r="Q349" i="8"/>
  <c r="Q351" i="21" s="1"/>
  <c r="R349" i="8"/>
  <c r="R351" i="21" s="1"/>
  <c r="S349" i="8"/>
  <c r="S351" i="21" s="1"/>
  <c r="T349" i="8"/>
  <c r="T351" i="21" s="1"/>
  <c r="U349" i="8"/>
  <c r="U351" i="21" s="1"/>
  <c r="V349" i="8"/>
  <c r="V351" i="21" s="1"/>
  <c r="W349" i="8"/>
  <c r="W351" i="21" s="1"/>
  <c r="X349" i="8"/>
  <c r="X351" i="21" s="1"/>
  <c r="Y349" i="8"/>
  <c r="Y351" i="21" s="1"/>
  <c r="Z349" i="8"/>
  <c r="Z351" i="21" s="1"/>
  <c r="AA349" i="8"/>
  <c r="AA351" i="21" s="1"/>
  <c r="AB349" i="8"/>
  <c r="AB351" i="21" s="1"/>
  <c r="AC349" i="8"/>
  <c r="AC351" i="21" s="1"/>
  <c r="AD349" i="8"/>
  <c r="AD351" i="21" s="1"/>
  <c r="AE349" i="8"/>
  <c r="AE351" i="21" s="1"/>
  <c r="AF349" i="8"/>
  <c r="AG349" i="8"/>
  <c r="AG351" i="21" s="1"/>
  <c r="A350" i="8"/>
  <c r="A352" i="21" s="1"/>
  <c r="B350" i="8"/>
  <c r="B352" i="21" s="1"/>
  <c r="C350" i="8"/>
  <c r="C352" i="21" s="1"/>
  <c r="D350" i="8"/>
  <c r="D352" i="21" s="1"/>
  <c r="E350" i="8"/>
  <c r="E352" i="21" s="1"/>
  <c r="F350" i="8"/>
  <c r="F352" i="21" s="1"/>
  <c r="G350" i="8"/>
  <c r="G352" i="21" s="1"/>
  <c r="H350" i="8"/>
  <c r="H352" i="21" s="1"/>
  <c r="I350" i="8"/>
  <c r="I352" i="21" s="1"/>
  <c r="J350" i="8"/>
  <c r="J352" i="21" s="1"/>
  <c r="K350" i="8"/>
  <c r="K352" i="21" s="1"/>
  <c r="L350" i="8"/>
  <c r="L352" i="21" s="1"/>
  <c r="M350" i="8"/>
  <c r="M352" i="21" s="1"/>
  <c r="N350" i="8"/>
  <c r="N352" i="21" s="1"/>
  <c r="O350" i="8"/>
  <c r="O352" i="21" s="1"/>
  <c r="P350" i="8"/>
  <c r="P352" i="21" s="1"/>
  <c r="Q350" i="8"/>
  <c r="Q352" i="21" s="1"/>
  <c r="R350" i="8"/>
  <c r="R352" i="21" s="1"/>
  <c r="S350" i="8"/>
  <c r="S352" i="21" s="1"/>
  <c r="T350" i="8"/>
  <c r="T352" i="21" s="1"/>
  <c r="U350" i="8"/>
  <c r="U352" i="21" s="1"/>
  <c r="V350" i="8"/>
  <c r="V352" i="21" s="1"/>
  <c r="W350" i="8"/>
  <c r="W352" i="21" s="1"/>
  <c r="X350" i="8"/>
  <c r="X352" i="21" s="1"/>
  <c r="Y350" i="8"/>
  <c r="Y352" i="21" s="1"/>
  <c r="Z350" i="8"/>
  <c r="Z352" i="21" s="1"/>
  <c r="AA350" i="8"/>
  <c r="AA352" i="21" s="1"/>
  <c r="AB350" i="8"/>
  <c r="AB352" i="21" s="1"/>
  <c r="AC350" i="8"/>
  <c r="AC352" i="21" s="1"/>
  <c r="AD350" i="8"/>
  <c r="AD352" i="21" s="1"/>
  <c r="AE350" i="8"/>
  <c r="AE352" i="21" s="1"/>
  <c r="AF350" i="8"/>
  <c r="AG350" i="8"/>
  <c r="AG352" i="21" s="1"/>
  <c r="A351" i="8"/>
  <c r="A353" i="21" s="1"/>
  <c r="B351" i="8"/>
  <c r="B353" i="21" s="1"/>
  <c r="C351" i="8"/>
  <c r="C353" i="21" s="1"/>
  <c r="D351" i="8"/>
  <c r="D353" i="21" s="1"/>
  <c r="E351" i="8"/>
  <c r="E353" i="21" s="1"/>
  <c r="F351" i="8"/>
  <c r="F353" i="21" s="1"/>
  <c r="G351" i="8"/>
  <c r="G353" i="21" s="1"/>
  <c r="H351" i="8"/>
  <c r="H353" i="21" s="1"/>
  <c r="I351" i="8"/>
  <c r="I353" i="21" s="1"/>
  <c r="J351" i="8"/>
  <c r="J353" i="21" s="1"/>
  <c r="K351" i="8"/>
  <c r="K353" i="21" s="1"/>
  <c r="L351" i="8"/>
  <c r="L353" i="21" s="1"/>
  <c r="M351" i="8"/>
  <c r="M353" i="21" s="1"/>
  <c r="N351" i="8"/>
  <c r="N353" i="21" s="1"/>
  <c r="O351" i="8"/>
  <c r="O353" i="21" s="1"/>
  <c r="P351" i="8"/>
  <c r="P353" i="21" s="1"/>
  <c r="Q351" i="8"/>
  <c r="Q353" i="21" s="1"/>
  <c r="R351" i="8"/>
  <c r="R353" i="21" s="1"/>
  <c r="S351" i="8"/>
  <c r="S353" i="21" s="1"/>
  <c r="T351" i="8"/>
  <c r="T353" i="21" s="1"/>
  <c r="U351" i="8"/>
  <c r="U353" i="21" s="1"/>
  <c r="V351" i="8"/>
  <c r="V353" i="21" s="1"/>
  <c r="W351" i="8"/>
  <c r="W353" i="21" s="1"/>
  <c r="X351" i="8"/>
  <c r="X353" i="21" s="1"/>
  <c r="Y351" i="8"/>
  <c r="Y353" i="21" s="1"/>
  <c r="Z351" i="8"/>
  <c r="Z353" i="21" s="1"/>
  <c r="AA351" i="8"/>
  <c r="AA353" i="21" s="1"/>
  <c r="AB351" i="8"/>
  <c r="AB353" i="21" s="1"/>
  <c r="AC351" i="8"/>
  <c r="AC353" i="21" s="1"/>
  <c r="AD351" i="8"/>
  <c r="AD353" i="21" s="1"/>
  <c r="AE351" i="8"/>
  <c r="AE353" i="21" s="1"/>
  <c r="AF351" i="8"/>
  <c r="AF353" i="21" s="1"/>
  <c r="AG351" i="8"/>
  <c r="AG353" i="21" s="1"/>
  <c r="A352" i="8"/>
  <c r="A354" i="21" s="1"/>
  <c r="B352" i="8"/>
  <c r="B354" i="21" s="1"/>
  <c r="C352" i="8"/>
  <c r="C354" i="21" s="1"/>
  <c r="D352" i="8"/>
  <c r="D354" i="21" s="1"/>
  <c r="E352" i="8"/>
  <c r="E354" i="21" s="1"/>
  <c r="F352" i="8"/>
  <c r="F354" i="21" s="1"/>
  <c r="G352" i="8"/>
  <c r="G354" i="21" s="1"/>
  <c r="H352" i="8"/>
  <c r="H354" i="21" s="1"/>
  <c r="I352" i="8"/>
  <c r="I354" i="21" s="1"/>
  <c r="J352" i="8"/>
  <c r="J354" i="21" s="1"/>
  <c r="K352" i="8"/>
  <c r="K354" i="21" s="1"/>
  <c r="L352" i="8"/>
  <c r="L354" i="21" s="1"/>
  <c r="M352" i="8"/>
  <c r="M354" i="21" s="1"/>
  <c r="N352" i="8"/>
  <c r="N354" i="21" s="1"/>
  <c r="O352" i="8"/>
  <c r="O354" i="21" s="1"/>
  <c r="P352" i="8"/>
  <c r="P354" i="21" s="1"/>
  <c r="Q352" i="8"/>
  <c r="Q354" i="21" s="1"/>
  <c r="R352" i="8"/>
  <c r="R354" i="21" s="1"/>
  <c r="S352" i="8"/>
  <c r="S354" i="21" s="1"/>
  <c r="T352" i="8"/>
  <c r="T354" i="21" s="1"/>
  <c r="U352" i="8"/>
  <c r="U354" i="21" s="1"/>
  <c r="V352" i="8"/>
  <c r="V354" i="21" s="1"/>
  <c r="W352" i="8"/>
  <c r="W354" i="21" s="1"/>
  <c r="X352" i="8"/>
  <c r="X354" i="21" s="1"/>
  <c r="Y352" i="8"/>
  <c r="Y354" i="21" s="1"/>
  <c r="Z352" i="8"/>
  <c r="Z354" i="21" s="1"/>
  <c r="AA352" i="8"/>
  <c r="AA354" i="21" s="1"/>
  <c r="AB352" i="8"/>
  <c r="AB354" i="21" s="1"/>
  <c r="AC352" i="8"/>
  <c r="AC354" i="21" s="1"/>
  <c r="AD352" i="8"/>
  <c r="AD354" i="21" s="1"/>
  <c r="AE352" i="8"/>
  <c r="AE354" i="21" s="1"/>
  <c r="AF352" i="8"/>
  <c r="AF354" i="21" s="1"/>
  <c r="AG352" i="8"/>
  <c r="AG354" i="21" s="1"/>
  <c r="A353" i="8"/>
  <c r="A355" i="21" s="1"/>
  <c r="B353" i="8"/>
  <c r="B355" i="21" s="1"/>
  <c r="C353" i="8"/>
  <c r="C355" i="21" s="1"/>
  <c r="D353" i="8"/>
  <c r="D355" i="21" s="1"/>
  <c r="E353" i="8"/>
  <c r="E355" i="21" s="1"/>
  <c r="F353" i="8"/>
  <c r="F355" i="21" s="1"/>
  <c r="G353" i="8"/>
  <c r="G355" i="21" s="1"/>
  <c r="H353" i="8"/>
  <c r="H355" i="21" s="1"/>
  <c r="I353" i="8"/>
  <c r="I355" i="21" s="1"/>
  <c r="J353" i="8"/>
  <c r="J355" i="21" s="1"/>
  <c r="K353" i="8"/>
  <c r="K355" i="21" s="1"/>
  <c r="L353" i="8"/>
  <c r="L355" i="21" s="1"/>
  <c r="M353" i="8"/>
  <c r="M355" i="21" s="1"/>
  <c r="N353" i="8"/>
  <c r="N355" i="21" s="1"/>
  <c r="O353" i="8"/>
  <c r="O355" i="21" s="1"/>
  <c r="P353" i="8"/>
  <c r="P355" i="21" s="1"/>
  <c r="Q353" i="8"/>
  <c r="Q355" i="21" s="1"/>
  <c r="R353" i="8"/>
  <c r="R355" i="21" s="1"/>
  <c r="S353" i="8"/>
  <c r="S355" i="21" s="1"/>
  <c r="T353" i="8"/>
  <c r="T355" i="21" s="1"/>
  <c r="U353" i="8"/>
  <c r="U355" i="21" s="1"/>
  <c r="V353" i="8"/>
  <c r="V355" i="21" s="1"/>
  <c r="W353" i="8"/>
  <c r="W355" i="21" s="1"/>
  <c r="X353" i="8"/>
  <c r="X355" i="21" s="1"/>
  <c r="Y353" i="8"/>
  <c r="Y355" i="21" s="1"/>
  <c r="Z353" i="8"/>
  <c r="Z355" i="21" s="1"/>
  <c r="AA353" i="8"/>
  <c r="AA355" i="21" s="1"/>
  <c r="AB353" i="8"/>
  <c r="AB355" i="21" s="1"/>
  <c r="AC353" i="8"/>
  <c r="AC355" i="21" s="1"/>
  <c r="AD353" i="8"/>
  <c r="AD355" i="21" s="1"/>
  <c r="AE353" i="8"/>
  <c r="AE355" i="21" s="1"/>
  <c r="AF353" i="8"/>
  <c r="AF355" i="21" s="1"/>
  <c r="AG353" i="8"/>
  <c r="AG355" i="21" s="1"/>
  <c r="A354" i="8"/>
  <c r="A356" i="21" s="1"/>
  <c r="B354" i="8"/>
  <c r="B356" i="21" s="1"/>
  <c r="C354" i="8"/>
  <c r="C356" i="21" s="1"/>
  <c r="D354" i="8"/>
  <c r="D356" i="21" s="1"/>
  <c r="E354" i="8"/>
  <c r="E356" i="21" s="1"/>
  <c r="F354" i="8"/>
  <c r="F356" i="21" s="1"/>
  <c r="G354" i="8"/>
  <c r="G356" i="21" s="1"/>
  <c r="H354" i="8"/>
  <c r="H356" i="21" s="1"/>
  <c r="I354" i="8"/>
  <c r="I356" i="21" s="1"/>
  <c r="J354" i="8"/>
  <c r="J356" i="21" s="1"/>
  <c r="K354" i="8"/>
  <c r="K356" i="21" s="1"/>
  <c r="L354" i="8"/>
  <c r="L356" i="21" s="1"/>
  <c r="M354" i="8"/>
  <c r="M356" i="21" s="1"/>
  <c r="N354" i="8"/>
  <c r="N356" i="21" s="1"/>
  <c r="O354" i="8"/>
  <c r="O356" i="21" s="1"/>
  <c r="P354" i="8"/>
  <c r="P356" i="21" s="1"/>
  <c r="Q354" i="8"/>
  <c r="Q356" i="21" s="1"/>
  <c r="R354" i="8"/>
  <c r="R356" i="21" s="1"/>
  <c r="S354" i="8"/>
  <c r="S356" i="21" s="1"/>
  <c r="T354" i="8"/>
  <c r="T356" i="21" s="1"/>
  <c r="U354" i="8"/>
  <c r="U356" i="21" s="1"/>
  <c r="V354" i="8"/>
  <c r="V356" i="21" s="1"/>
  <c r="W354" i="8"/>
  <c r="W356" i="21" s="1"/>
  <c r="X354" i="8"/>
  <c r="X356" i="21" s="1"/>
  <c r="Y354" i="8"/>
  <c r="Y356" i="21" s="1"/>
  <c r="Z354" i="8"/>
  <c r="Z356" i="21" s="1"/>
  <c r="AA354" i="8"/>
  <c r="AA356" i="21" s="1"/>
  <c r="AB354" i="8"/>
  <c r="AB356" i="21" s="1"/>
  <c r="AC354" i="8"/>
  <c r="AC356" i="21" s="1"/>
  <c r="AD354" i="8"/>
  <c r="AD356" i="21" s="1"/>
  <c r="AE354" i="8"/>
  <c r="AE356" i="21" s="1"/>
  <c r="AF354" i="8"/>
  <c r="AF356" i="21" s="1"/>
  <c r="AG354" i="8"/>
  <c r="AG356" i="21" s="1"/>
  <c r="A355" i="8"/>
  <c r="A357" i="21" s="1"/>
  <c r="B355" i="8"/>
  <c r="B357" i="21" s="1"/>
  <c r="C355" i="8"/>
  <c r="C357" i="21" s="1"/>
  <c r="D355" i="8"/>
  <c r="D357" i="21" s="1"/>
  <c r="E355" i="8"/>
  <c r="E357" i="21" s="1"/>
  <c r="F355" i="8"/>
  <c r="F357" i="21" s="1"/>
  <c r="G355" i="8"/>
  <c r="G357" i="21" s="1"/>
  <c r="H355" i="8"/>
  <c r="H357" i="21" s="1"/>
  <c r="I355" i="8"/>
  <c r="I357" i="21" s="1"/>
  <c r="J355" i="8"/>
  <c r="J357" i="21" s="1"/>
  <c r="K355" i="8"/>
  <c r="K357" i="21" s="1"/>
  <c r="L355" i="8"/>
  <c r="L357" i="21" s="1"/>
  <c r="M355" i="8"/>
  <c r="M357" i="21" s="1"/>
  <c r="N355" i="8"/>
  <c r="N357" i="21" s="1"/>
  <c r="O355" i="8"/>
  <c r="O357" i="21" s="1"/>
  <c r="P355" i="8"/>
  <c r="P357" i="21" s="1"/>
  <c r="Q355" i="8"/>
  <c r="Q357" i="21" s="1"/>
  <c r="R355" i="8"/>
  <c r="R357" i="21" s="1"/>
  <c r="S355" i="8"/>
  <c r="S357" i="21" s="1"/>
  <c r="T355" i="8"/>
  <c r="T357" i="21" s="1"/>
  <c r="U355" i="8"/>
  <c r="U357" i="21" s="1"/>
  <c r="V355" i="8"/>
  <c r="V357" i="21" s="1"/>
  <c r="W355" i="8"/>
  <c r="W357" i="21" s="1"/>
  <c r="X355" i="8"/>
  <c r="X357" i="21" s="1"/>
  <c r="Y355" i="8"/>
  <c r="Y357" i="21" s="1"/>
  <c r="Z355" i="8"/>
  <c r="Z357" i="21" s="1"/>
  <c r="AA355" i="8"/>
  <c r="AA357" i="21" s="1"/>
  <c r="AB355" i="8"/>
  <c r="AB357" i="21" s="1"/>
  <c r="AC355" i="8"/>
  <c r="AC357" i="21" s="1"/>
  <c r="AD355" i="8"/>
  <c r="AD357" i="21" s="1"/>
  <c r="AE355" i="8"/>
  <c r="AF355" i="8"/>
  <c r="AF357" i="21" s="1"/>
  <c r="AG355" i="8"/>
  <c r="AG357" i="21" s="1"/>
  <c r="A356" i="8"/>
  <c r="A358" i="21" s="1"/>
  <c r="B356" i="8"/>
  <c r="B358" i="21" s="1"/>
  <c r="C356" i="8"/>
  <c r="C358" i="21" s="1"/>
  <c r="D356" i="8"/>
  <c r="D358" i="21" s="1"/>
  <c r="E356" i="8"/>
  <c r="E358" i="21" s="1"/>
  <c r="F356" i="8"/>
  <c r="F358" i="21" s="1"/>
  <c r="G356" i="8"/>
  <c r="G358" i="21" s="1"/>
  <c r="H356" i="8"/>
  <c r="H358" i="21" s="1"/>
  <c r="I356" i="8"/>
  <c r="I358" i="21" s="1"/>
  <c r="J356" i="8"/>
  <c r="J358" i="21" s="1"/>
  <c r="K356" i="8"/>
  <c r="K358" i="21" s="1"/>
  <c r="L356" i="8"/>
  <c r="L358" i="21" s="1"/>
  <c r="M356" i="8"/>
  <c r="M358" i="21" s="1"/>
  <c r="N356" i="8"/>
  <c r="N358" i="21" s="1"/>
  <c r="O356" i="8"/>
  <c r="O358" i="21" s="1"/>
  <c r="P356" i="8"/>
  <c r="P358" i="21" s="1"/>
  <c r="Q356" i="8"/>
  <c r="Q358" i="21" s="1"/>
  <c r="R356" i="8"/>
  <c r="R358" i="21" s="1"/>
  <c r="S356" i="8"/>
  <c r="S358" i="21" s="1"/>
  <c r="T356" i="8"/>
  <c r="T358" i="21" s="1"/>
  <c r="U356" i="8"/>
  <c r="U358" i="21" s="1"/>
  <c r="V356" i="8"/>
  <c r="V358" i="21" s="1"/>
  <c r="W356" i="8"/>
  <c r="W358" i="21" s="1"/>
  <c r="X356" i="8"/>
  <c r="X358" i="21" s="1"/>
  <c r="Y356" i="8"/>
  <c r="Y358" i="21" s="1"/>
  <c r="Z356" i="8"/>
  <c r="Z358" i="21" s="1"/>
  <c r="AA356" i="8"/>
  <c r="AA358" i="21" s="1"/>
  <c r="AB356" i="8"/>
  <c r="AB358" i="21" s="1"/>
  <c r="AC356" i="8"/>
  <c r="AC358" i="21" s="1"/>
  <c r="AD356" i="8"/>
  <c r="AD358" i="21" s="1"/>
  <c r="AE356" i="8"/>
  <c r="AE358" i="21" s="1"/>
  <c r="AF356" i="8"/>
  <c r="AG356" i="8"/>
  <c r="A357" i="8"/>
  <c r="A359" i="21" s="1"/>
  <c r="B357" i="8"/>
  <c r="B359" i="21" s="1"/>
  <c r="C357" i="8"/>
  <c r="C359" i="21" s="1"/>
  <c r="D357" i="8"/>
  <c r="D359" i="21" s="1"/>
  <c r="E357" i="8"/>
  <c r="E359" i="21" s="1"/>
  <c r="F357" i="8"/>
  <c r="F359" i="21" s="1"/>
  <c r="G357" i="8"/>
  <c r="G359" i="21" s="1"/>
  <c r="H357" i="8"/>
  <c r="H359" i="21" s="1"/>
  <c r="I357" i="8"/>
  <c r="I359" i="21" s="1"/>
  <c r="J357" i="8"/>
  <c r="J359" i="21" s="1"/>
  <c r="K357" i="8"/>
  <c r="K359" i="21" s="1"/>
  <c r="L357" i="8"/>
  <c r="L359" i="21" s="1"/>
  <c r="M357" i="8"/>
  <c r="M359" i="21" s="1"/>
  <c r="N357" i="8"/>
  <c r="N359" i="21" s="1"/>
  <c r="O357" i="8"/>
  <c r="O359" i="21" s="1"/>
  <c r="P357" i="8"/>
  <c r="P359" i="21" s="1"/>
  <c r="Q357" i="8"/>
  <c r="Q359" i="21" s="1"/>
  <c r="R357" i="8"/>
  <c r="R359" i="21" s="1"/>
  <c r="S357" i="8"/>
  <c r="S359" i="21" s="1"/>
  <c r="T357" i="8"/>
  <c r="T359" i="21" s="1"/>
  <c r="U357" i="8"/>
  <c r="U359" i="21" s="1"/>
  <c r="V357" i="8"/>
  <c r="V359" i="21" s="1"/>
  <c r="W357" i="8"/>
  <c r="W359" i="21" s="1"/>
  <c r="X357" i="8"/>
  <c r="X359" i="21" s="1"/>
  <c r="Y357" i="8"/>
  <c r="Y359" i="21" s="1"/>
  <c r="Z357" i="8"/>
  <c r="Z359" i="21" s="1"/>
  <c r="AA357" i="8"/>
  <c r="AA359" i="21" s="1"/>
  <c r="AB357" i="8"/>
  <c r="AB359" i="21" s="1"/>
  <c r="AC357" i="8"/>
  <c r="AC359" i="21" s="1"/>
  <c r="AD357" i="8"/>
  <c r="AD359" i="21" s="1"/>
  <c r="AE357" i="8"/>
  <c r="AE359" i="21" s="1"/>
  <c r="AF357" i="8"/>
  <c r="AG357" i="8"/>
  <c r="A358" i="8"/>
  <c r="A360" i="21" s="1"/>
  <c r="B358" i="8"/>
  <c r="B360" i="21" s="1"/>
  <c r="C358" i="8"/>
  <c r="C360" i="21" s="1"/>
  <c r="D358" i="8"/>
  <c r="D360" i="21" s="1"/>
  <c r="E358" i="8"/>
  <c r="E360" i="21" s="1"/>
  <c r="F358" i="8"/>
  <c r="F360" i="21" s="1"/>
  <c r="G358" i="8"/>
  <c r="G360" i="21" s="1"/>
  <c r="H358" i="8"/>
  <c r="H360" i="21" s="1"/>
  <c r="I358" i="8"/>
  <c r="I360" i="21" s="1"/>
  <c r="J358" i="8"/>
  <c r="J360" i="21" s="1"/>
  <c r="K358" i="8"/>
  <c r="K360" i="21" s="1"/>
  <c r="L358" i="8"/>
  <c r="L360" i="21" s="1"/>
  <c r="M358" i="8"/>
  <c r="M360" i="21" s="1"/>
  <c r="N358" i="8"/>
  <c r="N360" i="21" s="1"/>
  <c r="O358" i="8"/>
  <c r="O360" i="21" s="1"/>
  <c r="P358" i="8"/>
  <c r="P360" i="21" s="1"/>
  <c r="Q358" i="8"/>
  <c r="Q360" i="21" s="1"/>
  <c r="R358" i="8"/>
  <c r="R360" i="21" s="1"/>
  <c r="S358" i="8"/>
  <c r="S360" i="21" s="1"/>
  <c r="T358" i="8"/>
  <c r="T360" i="21" s="1"/>
  <c r="U358" i="8"/>
  <c r="U360" i="21" s="1"/>
  <c r="V358" i="8"/>
  <c r="V360" i="21" s="1"/>
  <c r="W358" i="8"/>
  <c r="W360" i="21" s="1"/>
  <c r="X358" i="8"/>
  <c r="X360" i="21" s="1"/>
  <c r="Y358" i="8"/>
  <c r="Y360" i="21" s="1"/>
  <c r="Z358" i="8"/>
  <c r="Z360" i="21" s="1"/>
  <c r="AA358" i="8"/>
  <c r="AA360" i="21" s="1"/>
  <c r="AB358" i="8"/>
  <c r="AB360" i="21" s="1"/>
  <c r="AC358" i="8"/>
  <c r="AC360" i="21" s="1"/>
  <c r="AD358" i="8"/>
  <c r="AD360" i="21" s="1"/>
  <c r="AE358" i="8"/>
  <c r="AE360" i="21" s="1"/>
  <c r="AF358" i="8"/>
  <c r="AF360" i="21" s="1"/>
  <c r="AG358" i="8"/>
  <c r="AG360" i="21" s="1"/>
  <c r="A359" i="8"/>
  <c r="A361" i="21" s="1"/>
  <c r="B359" i="8"/>
  <c r="B361" i="21" s="1"/>
  <c r="C359" i="8"/>
  <c r="C361" i="21" s="1"/>
  <c r="D359" i="8"/>
  <c r="D361" i="21" s="1"/>
  <c r="E359" i="8"/>
  <c r="E361" i="21" s="1"/>
  <c r="F359" i="8"/>
  <c r="F361" i="21" s="1"/>
  <c r="G359" i="8"/>
  <c r="G361" i="21" s="1"/>
  <c r="H359" i="8"/>
  <c r="H361" i="21" s="1"/>
  <c r="I359" i="8"/>
  <c r="I361" i="21" s="1"/>
  <c r="J359" i="8"/>
  <c r="J361" i="21" s="1"/>
  <c r="K359" i="8"/>
  <c r="K361" i="21" s="1"/>
  <c r="L359" i="8"/>
  <c r="L361" i="21" s="1"/>
  <c r="M359" i="8"/>
  <c r="M361" i="21" s="1"/>
  <c r="N359" i="8"/>
  <c r="N361" i="21" s="1"/>
  <c r="O359" i="8"/>
  <c r="O361" i="21" s="1"/>
  <c r="P359" i="8"/>
  <c r="P361" i="21" s="1"/>
  <c r="Q359" i="8"/>
  <c r="Q361" i="21" s="1"/>
  <c r="R359" i="8"/>
  <c r="R361" i="21" s="1"/>
  <c r="S359" i="8"/>
  <c r="S361" i="21" s="1"/>
  <c r="T359" i="8"/>
  <c r="T361" i="21" s="1"/>
  <c r="U359" i="8"/>
  <c r="U361" i="21" s="1"/>
  <c r="V359" i="8"/>
  <c r="V361" i="21" s="1"/>
  <c r="W359" i="8"/>
  <c r="W361" i="21" s="1"/>
  <c r="X359" i="8"/>
  <c r="X361" i="21" s="1"/>
  <c r="Y359" i="8"/>
  <c r="Y361" i="21" s="1"/>
  <c r="Z359" i="8"/>
  <c r="Z361" i="21" s="1"/>
  <c r="AA359" i="8"/>
  <c r="AA361" i="21" s="1"/>
  <c r="AB359" i="8"/>
  <c r="AB361" i="21" s="1"/>
  <c r="AC359" i="8"/>
  <c r="AC361" i="21" s="1"/>
  <c r="AD359" i="8"/>
  <c r="AD361" i="21" s="1"/>
  <c r="AE359" i="8"/>
  <c r="AE361" i="21" s="1"/>
  <c r="AF359" i="8"/>
  <c r="AF361" i="21" s="1"/>
  <c r="AG359" i="8"/>
  <c r="AG361" i="21" s="1"/>
  <c r="A360" i="8"/>
  <c r="A362" i="21" s="1"/>
  <c r="B360" i="8"/>
  <c r="B362" i="21" s="1"/>
  <c r="C360" i="8"/>
  <c r="C362" i="21" s="1"/>
  <c r="D360" i="8"/>
  <c r="D362" i="21" s="1"/>
  <c r="E360" i="8"/>
  <c r="E362" i="21" s="1"/>
  <c r="F360" i="8"/>
  <c r="F362" i="21" s="1"/>
  <c r="G360" i="8"/>
  <c r="G362" i="21" s="1"/>
  <c r="H360" i="8"/>
  <c r="H362" i="21" s="1"/>
  <c r="I360" i="8"/>
  <c r="I362" i="21" s="1"/>
  <c r="J360" i="8"/>
  <c r="J362" i="21" s="1"/>
  <c r="K360" i="8"/>
  <c r="K362" i="21" s="1"/>
  <c r="L360" i="8"/>
  <c r="L362" i="21" s="1"/>
  <c r="M360" i="8"/>
  <c r="M362" i="21" s="1"/>
  <c r="N360" i="8"/>
  <c r="N362" i="21" s="1"/>
  <c r="O360" i="8"/>
  <c r="O362" i="21" s="1"/>
  <c r="P360" i="8"/>
  <c r="P362" i="21" s="1"/>
  <c r="Q360" i="8"/>
  <c r="Q362" i="21" s="1"/>
  <c r="R360" i="8"/>
  <c r="R362" i="21" s="1"/>
  <c r="S360" i="8"/>
  <c r="S362" i="21" s="1"/>
  <c r="T360" i="8"/>
  <c r="T362" i="21" s="1"/>
  <c r="U360" i="8"/>
  <c r="U362" i="21" s="1"/>
  <c r="V360" i="8"/>
  <c r="V362" i="21" s="1"/>
  <c r="W360" i="8"/>
  <c r="W362" i="21" s="1"/>
  <c r="X360" i="8"/>
  <c r="X362" i="21" s="1"/>
  <c r="Y360" i="8"/>
  <c r="Y362" i="21" s="1"/>
  <c r="Z360" i="8"/>
  <c r="Z362" i="21" s="1"/>
  <c r="AA360" i="8"/>
  <c r="AA362" i="21" s="1"/>
  <c r="AB360" i="8"/>
  <c r="AB362" i="21" s="1"/>
  <c r="AC360" i="8"/>
  <c r="AC362" i="21" s="1"/>
  <c r="AD360" i="8"/>
  <c r="AD362" i="21" s="1"/>
  <c r="AE360" i="8"/>
  <c r="AE362" i="21" s="1"/>
  <c r="AF360" i="8"/>
  <c r="AF362" i="21" s="1"/>
  <c r="AG360" i="8"/>
  <c r="AG362" i="21" s="1"/>
  <c r="A361" i="8"/>
  <c r="A363" i="21" s="1"/>
  <c r="B361" i="8"/>
  <c r="B363" i="21" s="1"/>
  <c r="C361" i="8"/>
  <c r="C363" i="21" s="1"/>
  <c r="D361" i="8"/>
  <c r="D363" i="21" s="1"/>
  <c r="E361" i="8"/>
  <c r="E363" i="21" s="1"/>
  <c r="F361" i="8"/>
  <c r="F363" i="21" s="1"/>
  <c r="G361" i="8"/>
  <c r="G363" i="21" s="1"/>
  <c r="H361" i="8"/>
  <c r="H363" i="21" s="1"/>
  <c r="I361" i="8"/>
  <c r="I363" i="21" s="1"/>
  <c r="J361" i="8"/>
  <c r="J363" i="21" s="1"/>
  <c r="K361" i="8"/>
  <c r="K363" i="21" s="1"/>
  <c r="L361" i="8"/>
  <c r="L363" i="21" s="1"/>
  <c r="M361" i="8"/>
  <c r="M363" i="21" s="1"/>
  <c r="N361" i="8"/>
  <c r="N363" i="21" s="1"/>
  <c r="O361" i="8"/>
  <c r="O363" i="21" s="1"/>
  <c r="P361" i="8"/>
  <c r="P363" i="21" s="1"/>
  <c r="Q361" i="8"/>
  <c r="Q363" i="21" s="1"/>
  <c r="R361" i="8"/>
  <c r="R363" i="21" s="1"/>
  <c r="S361" i="8"/>
  <c r="S363" i="21" s="1"/>
  <c r="T361" i="8"/>
  <c r="T363" i="21" s="1"/>
  <c r="U361" i="8"/>
  <c r="U363" i="21" s="1"/>
  <c r="V361" i="8"/>
  <c r="V363" i="21" s="1"/>
  <c r="W361" i="8"/>
  <c r="W363" i="21" s="1"/>
  <c r="X361" i="8"/>
  <c r="X363" i="21" s="1"/>
  <c r="Y361" i="8"/>
  <c r="Y363" i="21" s="1"/>
  <c r="Z361" i="8"/>
  <c r="Z363" i="21" s="1"/>
  <c r="AA361" i="8"/>
  <c r="AA363" i="21" s="1"/>
  <c r="AB361" i="8"/>
  <c r="AB363" i="21" s="1"/>
  <c r="AC361" i="8"/>
  <c r="AC363" i="21" s="1"/>
  <c r="AD361" i="8"/>
  <c r="AD363" i="21" s="1"/>
  <c r="AE361" i="8"/>
  <c r="AE363" i="21" s="1"/>
  <c r="AF361" i="8"/>
  <c r="AF363" i="21" s="1"/>
  <c r="AG361" i="8"/>
  <c r="AG363" i="21" s="1"/>
  <c r="A362" i="8"/>
  <c r="A364" i="21" s="1"/>
  <c r="B362" i="8"/>
  <c r="B364" i="21" s="1"/>
  <c r="C362" i="8"/>
  <c r="C364" i="21" s="1"/>
  <c r="D362" i="8"/>
  <c r="D364" i="21" s="1"/>
  <c r="E362" i="8"/>
  <c r="E364" i="21" s="1"/>
  <c r="F362" i="8"/>
  <c r="F364" i="21" s="1"/>
  <c r="G362" i="8"/>
  <c r="G364" i="21" s="1"/>
  <c r="H362" i="8"/>
  <c r="H364" i="21" s="1"/>
  <c r="I362" i="8"/>
  <c r="I364" i="21" s="1"/>
  <c r="J362" i="8"/>
  <c r="J364" i="21" s="1"/>
  <c r="K362" i="8"/>
  <c r="K364" i="21" s="1"/>
  <c r="L362" i="8"/>
  <c r="L364" i="21" s="1"/>
  <c r="M362" i="8"/>
  <c r="M364" i="21" s="1"/>
  <c r="N362" i="8"/>
  <c r="N364" i="21" s="1"/>
  <c r="O362" i="8"/>
  <c r="O364" i="21" s="1"/>
  <c r="P362" i="8"/>
  <c r="P364" i="21" s="1"/>
  <c r="Q362" i="8"/>
  <c r="Q364" i="21" s="1"/>
  <c r="R362" i="8"/>
  <c r="R364" i="21" s="1"/>
  <c r="S362" i="8"/>
  <c r="S364" i="21" s="1"/>
  <c r="T362" i="8"/>
  <c r="T364" i="21" s="1"/>
  <c r="U362" i="8"/>
  <c r="U364" i="21" s="1"/>
  <c r="V362" i="8"/>
  <c r="V364" i="21" s="1"/>
  <c r="W362" i="8"/>
  <c r="W364" i="21" s="1"/>
  <c r="X362" i="8"/>
  <c r="X364" i="21" s="1"/>
  <c r="Y362" i="8"/>
  <c r="Y364" i="21" s="1"/>
  <c r="Z362" i="8"/>
  <c r="Z364" i="21" s="1"/>
  <c r="AA362" i="8"/>
  <c r="AA364" i="21" s="1"/>
  <c r="AB362" i="8"/>
  <c r="AB364" i="21" s="1"/>
  <c r="AC362" i="8"/>
  <c r="AC364" i="21" s="1"/>
  <c r="AD362" i="8"/>
  <c r="AD364" i="21" s="1"/>
  <c r="AE362" i="8"/>
  <c r="AE364" i="21" s="1"/>
  <c r="AF362" i="8"/>
  <c r="AF364" i="21" s="1"/>
  <c r="AG362" i="8"/>
  <c r="AG364" i="21" s="1"/>
  <c r="A363" i="8"/>
  <c r="A365" i="21" s="1"/>
  <c r="B363" i="8"/>
  <c r="B365" i="21" s="1"/>
  <c r="C363" i="8"/>
  <c r="C365" i="21" s="1"/>
  <c r="D363" i="8"/>
  <c r="D365" i="21" s="1"/>
  <c r="E363" i="8"/>
  <c r="E365" i="21" s="1"/>
  <c r="F363" i="8"/>
  <c r="F365" i="21" s="1"/>
  <c r="G363" i="8"/>
  <c r="G365" i="21" s="1"/>
  <c r="H363" i="8"/>
  <c r="H365" i="21" s="1"/>
  <c r="I363" i="8"/>
  <c r="I365" i="21" s="1"/>
  <c r="J363" i="8"/>
  <c r="J365" i="21" s="1"/>
  <c r="K363" i="8"/>
  <c r="K365" i="21" s="1"/>
  <c r="L363" i="8"/>
  <c r="L365" i="21" s="1"/>
  <c r="M363" i="8"/>
  <c r="M365" i="21" s="1"/>
  <c r="N363" i="8"/>
  <c r="N365" i="21" s="1"/>
  <c r="O363" i="8"/>
  <c r="O365" i="21" s="1"/>
  <c r="P363" i="8"/>
  <c r="P365" i="21" s="1"/>
  <c r="Q363" i="8"/>
  <c r="Q365" i="21" s="1"/>
  <c r="R363" i="8"/>
  <c r="R365" i="21" s="1"/>
  <c r="S363" i="8"/>
  <c r="S365" i="21" s="1"/>
  <c r="T363" i="8"/>
  <c r="T365" i="21" s="1"/>
  <c r="U363" i="8"/>
  <c r="U365" i="21" s="1"/>
  <c r="V363" i="8"/>
  <c r="V365" i="21" s="1"/>
  <c r="W363" i="8"/>
  <c r="W365" i="21" s="1"/>
  <c r="X363" i="8"/>
  <c r="X365" i="21" s="1"/>
  <c r="Y363" i="8"/>
  <c r="Y365" i="21" s="1"/>
  <c r="Z363" i="8"/>
  <c r="Z365" i="21" s="1"/>
  <c r="AA363" i="8"/>
  <c r="AA365" i="21" s="1"/>
  <c r="AB363" i="8"/>
  <c r="AB365" i="21" s="1"/>
  <c r="AC363" i="8"/>
  <c r="AC365" i="21" s="1"/>
  <c r="AD363" i="8"/>
  <c r="AD365" i="21" s="1"/>
  <c r="AE363" i="8"/>
  <c r="AE365" i="21" s="1"/>
  <c r="AF363" i="8"/>
  <c r="AF365" i="21" s="1"/>
  <c r="AG363" i="8"/>
  <c r="AG365" i="21" s="1"/>
  <c r="A364" i="8"/>
  <c r="A366" i="21" s="1"/>
  <c r="B364" i="8"/>
  <c r="B366" i="21" s="1"/>
  <c r="C364" i="8"/>
  <c r="C366" i="21" s="1"/>
  <c r="D364" i="8"/>
  <c r="D366" i="21" s="1"/>
  <c r="E364" i="8"/>
  <c r="E366" i="21" s="1"/>
  <c r="F364" i="8"/>
  <c r="F366" i="21" s="1"/>
  <c r="G364" i="8"/>
  <c r="G366" i="21" s="1"/>
  <c r="H364" i="8"/>
  <c r="H366" i="21" s="1"/>
  <c r="I364" i="8"/>
  <c r="I366" i="21" s="1"/>
  <c r="J364" i="8"/>
  <c r="J366" i="21" s="1"/>
  <c r="K364" i="8"/>
  <c r="K366" i="21" s="1"/>
  <c r="L364" i="8"/>
  <c r="L366" i="21" s="1"/>
  <c r="M364" i="8"/>
  <c r="M366" i="21" s="1"/>
  <c r="N364" i="8"/>
  <c r="N366" i="21" s="1"/>
  <c r="O364" i="8"/>
  <c r="O366" i="21" s="1"/>
  <c r="P364" i="8"/>
  <c r="P366" i="21" s="1"/>
  <c r="Q364" i="8"/>
  <c r="Q366" i="21" s="1"/>
  <c r="R364" i="8"/>
  <c r="R366" i="21" s="1"/>
  <c r="S364" i="8"/>
  <c r="S366" i="21" s="1"/>
  <c r="T364" i="8"/>
  <c r="T366" i="21" s="1"/>
  <c r="U364" i="8"/>
  <c r="U366" i="21" s="1"/>
  <c r="V364" i="8"/>
  <c r="V366" i="21" s="1"/>
  <c r="W364" i="8"/>
  <c r="W366" i="21" s="1"/>
  <c r="X364" i="8"/>
  <c r="X366" i="21" s="1"/>
  <c r="Y364" i="8"/>
  <c r="Y366" i="21" s="1"/>
  <c r="Z364" i="8"/>
  <c r="Z366" i="21" s="1"/>
  <c r="AA364" i="8"/>
  <c r="AA366" i="21" s="1"/>
  <c r="AB364" i="8"/>
  <c r="AB366" i="21" s="1"/>
  <c r="AC364" i="8"/>
  <c r="AC366" i="21" s="1"/>
  <c r="AD364" i="8"/>
  <c r="AD366" i="21" s="1"/>
  <c r="AE364" i="8"/>
  <c r="AE366" i="21" s="1"/>
  <c r="AF364" i="8"/>
  <c r="AG364" i="8"/>
  <c r="AG366" i="21" s="1"/>
  <c r="A365" i="8"/>
  <c r="A367" i="21" s="1"/>
  <c r="B365" i="8"/>
  <c r="B367" i="21" s="1"/>
  <c r="C365" i="8"/>
  <c r="C367" i="21" s="1"/>
  <c r="D365" i="8"/>
  <c r="D367" i="21" s="1"/>
  <c r="E365" i="8"/>
  <c r="E367" i="21" s="1"/>
  <c r="F365" i="8"/>
  <c r="F367" i="21" s="1"/>
  <c r="G365" i="8"/>
  <c r="G367" i="21" s="1"/>
  <c r="H365" i="8"/>
  <c r="H367" i="21" s="1"/>
  <c r="I365" i="8"/>
  <c r="I367" i="21" s="1"/>
  <c r="J365" i="8"/>
  <c r="J367" i="21" s="1"/>
  <c r="K365" i="8"/>
  <c r="K367" i="21" s="1"/>
  <c r="L365" i="8"/>
  <c r="L367" i="21" s="1"/>
  <c r="M365" i="8"/>
  <c r="M367" i="21" s="1"/>
  <c r="N365" i="8"/>
  <c r="N367" i="21" s="1"/>
  <c r="O365" i="8"/>
  <c r="O367" i="21" s="1"/>
  <c r="P365" i="8"/>
  <c r="P367" i="21" s="1"/>
  <c r="Q365" i="8"/>
  <c r="Q367" i="21" s="1"/>
  <c r="R365" i="8"/>
  <c r="R367" i="21" s="1"/>
  <c r="S365" i="8"/>
  <c r="S367" i="21" s="1"/>
  <c r="T365" i="8"/>
  <c r="T367" i="21" s="1"/>
  <c r="U365" i="8"/>
  <c r="U367" i="21" s="1"/>
  <c r="V365" i="8"/>
  <c r="V367" i="21" s="1"/>
  <c r="W365" i="8"/>
  <c r="W367" i="21" s="1"/>
  <c r="X365" i="8"/>
  <c r="X367" i="21" s="1"/>
  <c r="Y365" i="8"/>
  <c r="Y367" i="21" s="1"/>
  <c r="Z365" i="8"/>
  <c r="Z367" i="21" s="1"/>
  <c r="AA365" i="8"/>
  <c r="AA367" i="21" s="1"/>
  <c r="AB365" i="8"/>
  <c r="AB367" i="21" s="1"/>
  <c r="AC365" i="8"/>
  <c r="AC367" i="21" s="1"/>
  <c r="AD365" i="8"/>
  <c r="AD367" i="21" s="1"/>
  <c r="AE365" i="8"/>
  <c r="AF365" i="8"/>
  <c r="AF367" i="21" s="1"/>
  <c r="AG365" i="8"/>
  <c r="AG367" i="21" s="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G346" i="9" l="1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B2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2" i="21" s="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2" i="14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D9" i="14" s="1"/>
  <c r="N259" i="2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366" i="2"/>
  <c r="N358" i="2"/>
  <c r="N350" i="2"/>
  <c r="N342" i="2"/>
  <c r="N334" i="2"/>
  <c r="N326" i="2"/>
  <c r="N318" i="2"/>
  <c r="N310" i="2"/>
  <c r="N262" i="2"/>
  <c r="N254" i="2"/>
  <c r="N246" i="2"/>
  <c r="N222" i="2"/>
  <c r="N214" i="2"/>
  <c r="N190" i="2"/>
  <c r="N182" i="2"/>
  <c r="N325" i="2"/>
  <c r="N317" i="2"/>
  <c r="N309" i="2"/>
  <c r="N285" i="2"/>
  <c r="N269" i="2"/>
  <c r="N261" i="2"/>
  <c r="N253" i="2"/>
  <c r="N245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301" i="2"/>
  <c r="N189" i="2"/>
  <c r="N47" i="2"/>
  <c r="N361" i="2"/>
  <c r="N337" i="2"/>
  <c r="N329" i="2"/>
  <c r="N321" i="2"/>
  <c r="N313" i="2"/>
  <c r="N297" i="2"/>
  <c r="N281" i="2"/>
  <c r="N273" i="2"/>
  <c r="N265" i="2"/>
  <c r="N25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368" i="2"/>
  <c r="N344" i="2"/>
  <c r="N328" i="2"/>
  <c r="N312" i="2"/>
  <c r="N296" i="2"/>
  <c r="N264" i="2"/>
  <c r="N256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332" i="2"/>
  <c r="N324" i="2"/>
  <c r="N308" i="2"/>
  <c r="N300" i="2"/>
  <c r="N268" i="2"/>
  <c r="N260" i="2"/>
  <c r="N156" i="2"/>
  <c r="N132" i="2"/>
  <c r="N124" i="2"/>
  <c r="N52" i="2"/>
  <c r="N20" i="2"/>
  <c r="N42" i="2"/>
  <c r="N363" i="2"/>
  <c r="N355" i="2"/>
  <c r="N339" i="2"/>
  <c r="N331" i="2"/>
  <c r="N323" i="2"/>
  <c r="N315" i="2"/>
  <c r="N307" i="2"/>
  <c r="N299" i="2"/>
  <c r="N283" i="2"/>
  <c r="N275" i="2"/>
  <c r="N267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293" i="2"/>
  <c r="N291" i="2"/>
  <c r="N289" i="2"/>
  <c r="N288" i="2"/>
  <c r="N109" i="2"/>
  <c r="N203" i="2"/>
  <c r="N187" i="2"/>
  <c r="N112" i="2"/>
  <c r="N248" i="2"/>
  <c r="N64" i="2"/>
  <c r="N58" i="2"/>
  <c r="N12" i="2"/>
  <c r="N41" i="2"/>
  <c r="N351" i="2"/>
  <c r="N343" i="2"/>
  <c r="N327" i="2"/>
  <c r="N311" i="2"/>
  <c r="N287" i="2"/>
  <c r="N263" i="2"/>
  <c r="N255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N365" i="2"/>
  <c r="N357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362" i="2"/>
  <c r="N354" i="2"/>
  <c r="N338" i="2"/>
  <c r="N330" i="2"/>
  <c r="N322" i="2"/>
  <c r="N314" i="2"/>
  <c r="N298" i="2"/>
  <c r="N290" i="2"/>
  <c r="N282" i="2"/>
  <c r="N274" i="2"/>
  <c r="N266" i="2"/>
  <c r="N258" i="2"/>
  <c r="N242" i="2"/>
  <c r="N234" i="2"/>
  <c r="N226" i="2"/>
  <c r="N218" i="2"/>
  <c r="N210" i="2"/>
  <c r="N186" i="2"/>
  <c r="N178" i="2"/>
  <c r="N170" i="2"/>
  <c r="N276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N306" i="2"/>
  <c r="AF305" i="11"/>
  <c r="N294" i="2"/>
  <c r="AF292" i="9"/>
  <c r="AF293" i="10"/>
  <c r="N286" i="2"/>
  <c r="AF284" i="9"/>
  <c r="AF285" i="10"/>
  <c r="AF131" i="9"/>
  <c r="AF132" i="11"/>
  <c r="N133" i="2"/>
  <c r="N70" i="2"/>
  <c r="AF68" i="9"/>
  <c r="AF69" i="10"/>
  <c r="N352" i="2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N349" i="2"/>
  <c r="AF347" i="9"/>
  <c r="AF346" i="10"/>
  <c r="AF345" i="9"/>
  <c r="AF345" i="10"/>
  <c r="AF344" i="9"/>
  <c r="AF344" i="10"/>
  <c r="AF344" i="11"/>
  <c r="AF335" i="10"/>
  <c r="AF335" i="11"/>
  <c r="AF334" i="10"/>
  <c r="AF334" i="11"/>
  <c r="N333" i="2"/>
  <c r="AF332" i="11"/>
  <c r="AF332" i="10"/>
  <c r="AF319" i="10"/>
  <c r="AF317" i="9"/>
  <c r="AF318" i="10"/>
  <c r="AF304" i="11"/>
  <c r="AF303" i="9"/>
  <c r="AF303" i="11"/>
  <c r="AF302" i="9"/>
  <c r="N303" i="2"/>
  <c r="AF302" i="10"/>
  <c r="AF300" i="9"/>
  <c r="AF301" i="10"/>
  <c r="AF271" i="11"/>
  <c r="AF271" i="10"/>
  <c r="AF269" i="9"/>
  <c r="AF270" i="11"/>
  <c r="AF279" i="10"/>
  <c r="AF278" i="10"/>
  <c r="AF277" i="9"/>
  <c r="N279" i="2"/>
  <c r="AF276" i="11"/>
  <c r="AF275" i="9"/>
  <c r="AF269" i="10"/>
  <c r="AF268" i="9"/>
  <c r="AF258" i="10"/>
  <c r="AF258" i="11"/>
  <c r="AF250" i="9"/>
  <c r="AF251" i="10"/>
  <c r="N251" i="2"/>
  <c r="AF250" i="10"/>
  <c r="AF249" i="9"/>
  <c r="AF249" i="10"/>
  <c r="AF248" i="9"/>
  <c r="N250" i="2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84" i="2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364" i="2"/>
  <c r="N356" i="2"/>
  <c r="N340" i="2"/>
  <c r="N316" i="2"/>
  <c r="N292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348" i="2"/>
  <c r="N278" i="2"/>
  <c r="N135" i="2"/>
  <c r="N131" i="2"/>
  <c r="N295" i="2"/>
  <c r="N247" i="2"/>
  <c r="N228" i="2"/>
  <c r="N183" i="2"/>
  <c r="N167" i="2"/>
  <c r="N353" i="2"/>
  <c r="N204" i="2"/>
  <c r="N367" i="2"/>
  <c r="N360" i="2"/>
  <c r="N359" i="2"/>
  <c r="N347" i="2"/>
  <c r="N346" i="2"/>
  <c r="N345" i="2"/>
  <c r="N341" i="2"/>
  <c r="N336" i="2"/>
  <c r="N335" i="2"/>
  <c r="N320" i="2"/>
  <c r="N319" i="2"/>
  <c r="N305" i="2"/>
  <c r="N304" i="2"/>
  <c r="N302" i="2"/>
  <c r="N272" i="2"/>
  <c r="N280" i="2"/>
  <c r="N277" i="2"/>
  <c r="N270" i="2"/>
  <c r="N252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271" i="2"/>
  <c r="N8" i="2"/>
  <c r="N7" i="2"/>
  <c r="N5" i="2"/>
  <c r="N31" i="2"/>
  <c r="N17" i="2"/>
  <c r="N249" i="2"/>
  <c r="AI1" i="2"/>
  <c r="N9" i="2"/>
  <c r="O1" i="2"/>
  <c r="W1" i="2"/>
  <c r="AE1" i="2"/>
  <c r="AM1" i="2"/>
  <c r="D1" i="11" l="1"/>
  <c r="F2" i="10"/>
  <c r="O2" i="11"/>
  <c r="B11" i="14" s="1"/>
  <c r="D1" i="10"/>
  <c r="AE2" i="21"/>
  <c r="AF2" i="21"/>
  <c r="AB2" i="10"/>
  <c r="AD2" i="10"/>
  <c r="AC2" i="10"/>
  <c r="AA2" i="10"/>
  <c r="K2" i="10"/>
  <c r="C7" i="14" s="1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C6" i="14" s="1"/>
  <c r="O2" i="10"/>
  <c r="C11" i="14" s="1"/>
  <c r="N2" i="10"/>
  <c r="C10" i="14" s="1"/>
  <c r="M2" i="10"/>
  <c r="C9" i="14" s="1"/>
  <c r="L2" i="10"/>
  <c r="C8" i="14" s="1"/>
  <c r="P2" i="11"/>
  <c r="AB2" i="11"/>
  <c r="V2" i="11"/>
  <c r="G2" i="11"/>
  <c r="B3" i="14" s="1"/>
  <c r="Q2" i="11"/>
  <c r="K2" i="11"/>
  <c r="B7" i="14" s="1"/>
  <c r="AA2" i="11"/>
  <c r="L2" i="11"/>
  <c r="B8" i="14" s="1"/>
  <c r="AC2" i="11"/>
  <c r="F2" i="11"/>
  <c r="B2" i="14" s="1"/>
  <c r="U2" i="11"/>
  <c r="AE2" i="11"/>
  <c r="AF2" i="11"/>
  <c r="X2" i="11"/>
  <c r="AD2" i="11"/>
  <c r="Y2" i="11"/>
  <c r="Z2" i="11"/>
  <c r="S2" i="11"/>
  <c r="M2" i="11"/>
  <c r="B9" i="14" s="1"/>
  <c r="H2" i="11"/>
  <c r="B4" i="14" s="1"/>
  <c r="T2" i="11"/>
  <c r="N2" i="11"/>
  <c r="B10" i="14" s="1"/>
  <c r="I2" i="11"/>
  <c r="B5" i="14" s="1"/>
  <c r="J2" i="11"/>
  <c r="B6" i="14" s="1"/>
  <c r="W2" i="11"/>
  <c r="C2" i="14"/>
  <c r="AE2" i="10"/>
  <c r="AF2" i="10"/>
  <c r="AG2" i="10"/>
  <c r="I2" i="10"/>
  <c r="C5" i="14" s="1"/>
  <c r="H2" i="10"/>
  <c r="C4" i="14" s="1"/>
  <c r="G2" i="10"/>
  <c r="C3" i="14" s="1"/>
  <c r="S1" i="9"/>
  <c r="F1" i="9"/>
  <c r="Y1" i="9"/>
  <c r="U1" i="9"/>
  <c r="W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11" i="14" l="1"/>
  <c r="E8" i="14"/>
  <c r="E9" i="14"/>
  <c r="E10" i="14"/>
  <c r="E7" i="14"/>
  <c r="E4" i="14"/>
  <c r="E5" i="14"/>
  <c r="E6" i="14"/>
  <c r="E2" i="14"/>
  <c r="E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<sst xmlns="http://schemas.openxmlformats.org/spreadsheetml/2006/main" count="3460" uniqueCount="1329">
  <si>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</si>
  <si>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</si>
  <si>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</si>
  <si>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</si>
  <si>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</si>
  <si>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</si>
  <si>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</si>
  <si>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</si>
  <si>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</si>
  <si>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</si>
  <si>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</si>
  <si>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</si>
  <si>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</si>
  <si>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</si>
  <si>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</si>
  <si>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</si>
  <si>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</si>
  <si>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</si>
  <si>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</si>
  <si>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</si>
  <si>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</si>
  <si>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</si>
  <si>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</si>
  <si>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</si>
  <si>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</si>
  <si>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</si>
  <si>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</si>
  <si>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</si>
  <si>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</si>
  <si>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</si>
  <si>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</si>
  <si>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</si>
  <si>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</si>
  <si>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</si>
  <si>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</si>
  <si>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</si>
  <si>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</si>
  <si>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</si>
  <si>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</si>
  <si>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</si>
  <si>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</si>
  <si>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</si>
  <si>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</si>
  <si>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</si>
  <si>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</si>
  <si>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</si>
  <si>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</si>
  <si>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</si>
  <si>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</si>
  <si>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</si>
  <si>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</si>
  <si>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</si>
  <si>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</si>
  <si>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</si>
  <si>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</si>
  <si>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</si>
  <si>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</si>
  <si>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</si>
  <si>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</si>
  <si>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</si>
  <si>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</si>
  <si>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</si>
  <si>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</si>
  <si>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</si>
  <si>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</si>
  <si>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</si>
  <si>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</si>
  <si>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</si>
  <si>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</si>
  <si>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</si>
  <si>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</si>
  <si>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</si>
  <si>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</si>
  <si>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</si>
  <si>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</si>
  <si>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</si>
  <si>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</si>
  <si>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</si>
  <si>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</si>
  <si>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</si>
  <si>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</si>
  <si>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</si>
  <si>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</si>
  <si>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</si>
  <si>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</si>
  <si>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</si>
  <si>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</si>
  <si>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</si>
  <si>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</si>
  <si>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</si>
  <si>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</si>
  <si>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</si>
  <si>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</si>
  <si>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</si>
  <si>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</si>
  <si>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</si>
  <si>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</si>
  <si>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</si>
  <si>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</si>
  <si>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</si>
  <si>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</si>
  <si>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</si>
  <si>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</si>
  <si>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</si>
  <si>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</si>
  <si>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</si>
  <si>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</si>
  <si>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</si>
  <si>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</si>
  <si>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</si>
  <si>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</si>
  <si>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</si>
  <si>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</si>
  <si>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</si>
  <si>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</si>
  <si>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</si>
  <si>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</si>
  <si>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</si>
  <si>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</si>
  <si>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</si>
  <si>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</si>
  <si>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</si>
  <si>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</si>
  <si>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</si>
  <si>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</si>
  <si>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</si>
  <si>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</si>
  <si>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</si>
  <si>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</si>
  <si>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</si>
  <si>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</si>
  <si>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</si>
  <si>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</si>
  <si>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</si>
  <si>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</si>
  <si>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</si>
  <si>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</si>
  <si>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</si>
  <si>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</si>
  <si>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</si>
  <si>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</si>
  <si>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</si>
  <si>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</si>
  <si>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</si>
  <si>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</si>
  <si>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</si>
  <si>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</si>
  <si>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</si>
  <si>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</si>
  <si>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</si>
  <si>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</si>
  <si>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</si>
  <si>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</si>
  <si>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</si>
  <si>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</si>
  <si>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</si>
  <si>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</si>
  <si>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</si>
  <si>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</si>
  <si>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</si>
  <si>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</si>
  <si>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</si>
  <si>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</si>
  <si>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</si>
  <si>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</si>
  <si>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</si>
  <si>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</si>
  <si>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</si>
  <si>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</si>
  <si>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</si>
  <si>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</si>
  <si>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</si>
  <si>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</si>
  <si>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</si>
  <si>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</si>
  <si>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</si>
  <si>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</si>
  <si>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</si>
  <si>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</si>
  <si>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</si>
  <si>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</si>
  <si>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</si>
  <si>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</si>
  <si>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</si>
  <si>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</si>
  <si>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</si>
  <si>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</si>
  <si>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</si>
  <si>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</si>
  <si>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</si>
  <si>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</si>
  <si>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</si>
  <si>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</si>
  <si>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</si>
  <si>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</si>
  <si>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</si>
  <si>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</si>
  <si>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</si>
  <si>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</si>
  <si>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</si>
  <si>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</si>
  <si>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</si>
  <si>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</si>
  <si>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</si>
  <si>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</si>
  <si>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</si>
  <si>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</si>
  <si>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</si>
  <si>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</si>
  <si>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</si>
  <si>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</si>
  <si>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</si>
  <si>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</si>
  <si>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</si>
  <si>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</si>
  <si>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</si>
  <si>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</si>
  <si>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</si>
  <si>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</si>
  <si>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</si>
  <si>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</si>
  <si>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</si>
  <si>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</si>
  <si>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</si>
  <si>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</si>
  <si>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</si>
  <si>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</si>
  <si>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</si>
  <si>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</si>
  <si>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</si>
  <si>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</si>
  <si>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</si>
  <si>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</si>
  <si>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</si>
  <si>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</si>
  <si>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</si>
  <si>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</si>
  <si>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</si>
  <si>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</si>
  <si>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</si>
  <si>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</si>
  <si>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</si>
  <si>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</si>
  <si>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</si>
  <si>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</si>
  <si>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</si>
  <si>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</si>
  <si>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</si>
  <si>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</si>
  <si>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</si>
  <si>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</si>
  <si>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</si>
  <si>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</si>
  <si>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</si>
  <si>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</si>
  <si>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</si>
  <si>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</si>
  <si>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</si>
  <si>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</si>
  <si>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</si>
  <si>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</si>
  <si>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</si>
  <si>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</si>
  <si>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</si>
  <si>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</si>
  <si>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</si>
  <si>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</si>
  <si>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</si>
  <si>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</si>
  <si>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</si>
  <si>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</si>
  <si>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</si>
  <si>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</si>
  <si>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</si>
  <si>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</si>
  <si>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</si>
  <si>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</si>
  <si>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</si>
  <si>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</si>
  <si>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</si>
  <si>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</si>
  <si>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</si>
  <si>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</si>
  <si>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</si>
  <si>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</si>
  <si>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</si>
  <si>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</si>
  <si>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</si>
  <si>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</si>
  <si>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</si>
  <si>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</si>
  <si>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</si>
  <si>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</si>
  <si>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</si>
  <si>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</si>
  <si>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</si>
  <si>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</si>
  <si>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</si>
  <si>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</si>
  <si>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</si>
  <si>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</si>
  <si>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</si>
  <si>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</si>
  <si>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</si>
  <si>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</si>
  <si>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</si>
  <si>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</si>
  <si>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</si>
  <si>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</si>
  <si>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</si>
  <si>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</si>
  <si>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</si>
  <si>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</si>
  <si>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</si>
  <si>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</si>
  <si>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</si>
  <si>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</si>
  <si>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</si>
  <si>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</si>
  <si>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</si>
  <si>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</si>
  <si>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</si>
  <si>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</si>
  <si>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</si>
  <si>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</si>
  <si>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</si>
  <si>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</si>
  <si>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</si>
  <si>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</si>
  <si>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</si>
  <si>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</si>
  <si>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</si>
  <si>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</si>
  <si>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</si>
  <si>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</si>
  <si>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</si>
  <si>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</si>
  <si>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</si>
  <si>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</si>
  <si>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</si>
  <si>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</si>
  <si>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</si>
  <si>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</si>
  <si>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</si>
  <si>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</si>
  <si>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</si>
  <si>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</si>
  <si>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</si>
  <si>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</si>
  <si>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</si>
  <si>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</si>
  <si>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</si>
  <si>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</si>
  <si>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</si>
  <si>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</si>
  <si>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</si>
  <si>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</si>
  <si>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</si>
  <si>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</si>
  <si>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</si>
  <si>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</si>
  <si>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</si>
  <si>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</si>
  <si>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</si>
  <si>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</si>
  <si>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</si>
  <si>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</si>
  <si>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</si>
  <si>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</si>
  <si>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</si>
  <si>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</si>
  <si>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</si>
  <si>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</si>
  <si>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</si>
  <si>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</si>
  <si>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</si>
  <si>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</si>
  <si>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</si>
  <si>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</si>
  <si>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</si>
  <si>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</si>
  <si>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</si>
  <si>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</si>
  <si>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</si>
  <si>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</si>
  <si>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</si>
  <si>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</si>
  <si>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</si>
  <si>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</si>
  <si>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</si>
  <si>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</si>
  <si>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</si>
  <si>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</si>
  <si>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</si>
  <si>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</si>
  <si>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</si>
  <si>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</si>
  <si>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</si>
  <si>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</si>
  <si>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</si>
  <si>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</si>
  <si>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</si>
  <si>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</si>
  <si>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</si>
  <si>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</si>
  <si>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</si>
  <si>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</si>
  <si>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</si>
  <si>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</si>
  <si>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</si>
  <si>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</si>
  <si>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</si>
  <si>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</si>
  <si>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</si>
  <si>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</si>
  <si>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</si>
  <si>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</si>
  <si>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</si>
  <si>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</si>
  <si>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</si>
  <si>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</si>
  <si>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</si>
  <si>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</si>
  <si>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</si>
  <si>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</si>
  <si>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</si>
  <si>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</si>
  <si>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</si>
  <si>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</si>
  <si>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</si>
  <si>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</si>
  <si>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</si>
  <si>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</si>
  <si>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</si>
  <si>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</si>
  <si>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</si>
  <si>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</si>
  <si>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</si>
  <si>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</si>
  <si>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</si>
  <si>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</si>
  <si>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</si>
  <si>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</si>
  <si>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</si>
  <si>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</si>
  <si>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</si>
  <si>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</si>
  <si>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</si>
  <si>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</si>
  <si>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</si>
  <si>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</si>
  <si>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</si>
  <si>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</si>
  <si>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</si>
  <si>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</si>
  <si>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</si>
  <si>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</si>
  <si>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</si>
  <si>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</si>
  <si>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</si>
  <si>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</si>
  <si>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</si>
  <si>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</si>
  <si>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</si>
  <si>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</si>
  <si>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</si>
  <si>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</si>
  <si>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</si>
  <si>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</si>
  <si>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</si>
  <si>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</si>
  <si>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</si>
  <si>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</si>
  <si>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</si>
  <si>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</si>
  <si>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</si>
  <si>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</si>
  <si>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</si>
  <si>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</si>
  <si>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</si>
  <si>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</si>
  <si>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</si>
  <si>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</si>
  <si>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</si>
  <si>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</si>
  <si>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</si>
  <si>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</si>
  <si>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</si>
  <si>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</si>
  <si>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</si>
  <si>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</si>
  <si>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</si>
  <si>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</si>
  <si>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</si>
  <si>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</si>
  <si>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</si>
  <si>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</si>
  <si>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</si>
  <si>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</si>
  <si>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</si>
  <si>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</si>
  <si>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</si>
  <si>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</si>
  <si>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</si>
  <si>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</si>
  <si>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</si>
  <si>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</si>
  <si>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</si>
  <si>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</si>
  <si>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</si>
  <si>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</si>
  <si>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</si>
  <si>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</si>
  <si>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</si>
  <si>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</si>
  <si>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</si>
  <si>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</si>
  <si>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</si>
  <si>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</si>
  <si>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</si>
  <si>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</si>
  <si>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</si>
  <si>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</si>
  <si>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</si>
  <si>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</si>
  <si>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</si>
  <si>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</si>
  <si>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</si>
  <si>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</si>
  <si>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</si>
  <si>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</si>
  <si>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</si>
  <si>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</si>
  <si>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</si>
  <si>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</si>
  <si>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</si>
  <si>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</si>
  <si>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</si>
  <si>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</si>
  <si>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</si>
  <si>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</si>
  <si>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</si>
  <si>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</si>
  <si>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</si>
  <si>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</si>
  <si>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</si>
  <si>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</si>
  <si>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</si>
  <si>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</si>
  <si>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</si>
  <si>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</si>
  <si>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</si>
  <si>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</si>
  <si>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</si>
  <si>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</si>
  <si>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</si>
  <si>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</si>
  <si>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</si>
  <si>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</si>
  <si>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</si>
  <si>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</si>
  <si>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</si>
  <si>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</si>
  <si>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</si>
  <si>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</si>
  <si>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</si>
  <si>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</si>
  <si>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</si>
  <si>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</si>
  <si>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</si>
  <si>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</si>
  <si>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</si>
  <si>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</si>
  <si>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</si>
  <si>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</si>
  <si>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</si>
  <si>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</si>
  <si>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</si>
  <si>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</si>
  <si>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</si>
  <si>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</si>
  <si>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</si>
  <si>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</si>
  <si>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</si>
  <si>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</si>
  <si>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</si>
  <si>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</si>
  <si>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</si>
  <si>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</si>
  <si>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</si>
  <si>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</si>
  <si>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</si>
  <si>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</si>
  <si>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</si>
  <si>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</si>
  <si>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</si>
  <si>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</si>
  <si>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</si>
  <si>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</si>
  <si>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</si>
  <si>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</si>
  <si>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</si>
  <si>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</si>
  <si>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</si>
  <si>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</si>
  <si>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</si>
  <si>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</si>
  <si>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</si>
  <si>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</si>
  <si>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</si>
  <si>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</si>
  <si>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</si>
  <si>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</si>
  <si>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</si>
  <si>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</si>
  <si>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</si>
  <si>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</si>
  <si>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</si>
  <si>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</si>
  <si>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</si>
  <si>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</si>
  <si>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</si>
  <si>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</si>
  <si>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</si>
  <si>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</si>
  <si>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</si>
  <si>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</si>
  <si>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</si>
  <si>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</si>
  <si>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</si>
  <si>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</si>
  <si>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</si>
  <si>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</si>
  <si>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</si>
  <si>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</si>
  <si>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</si>
  <si>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</si>
  <si>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</si>
  <si>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</si>
  <si>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</si>
  <si>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</si>
  <si>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</si>
  <si>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</si>
  <si>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</si>
  <si>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</si>
  <si>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</si>
  <si>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</si>
  <si>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</si>
  <si>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</si>
  <si>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</si>
  <si>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</si>
  <si>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</si>
  <si>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</si>
  <si>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</si>
  <si>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</si>
  <si>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</si>
  <si>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</si>
  <si>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</si>
  <si>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</si>
  <si>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</si>
  <si>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</si>
  <si>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</si>
  <si>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</si>
  <si>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</si>
  <si>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</si>
  <si>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</si>
  <si>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</si>
  <si>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</si>
  <si>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</si>
  <si>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</si>
  <si>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</si>
  <si>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</si>
  <si>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</si>
  <si>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</si>
  <si>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</si>
  <si>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</si>
  <si>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</si>
  <si>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</si>
  <si>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</si>
  <si>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</si>
  <si>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</si>
  <si>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</si>
  <si>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</si>
  <si>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</si>
  <si>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</si>
  <si>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</si>
  <si>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</si>
  <si>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</si>
  <si>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</si>
  <si>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</si>
  <si>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</si>
  <si>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</si>
  <si>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</si>
  <si>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</si>
  <si>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</si>
  <si>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</si>
  <si>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</si>
  <si>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</si>
  <si>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</si>
  <si>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</si>
  <si>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</si>
  <si>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</si>
  <si>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</si>
  <si>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</si>
  <si>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</si>
  <si>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</si>
  <si>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</si>
  <si>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</si>
  <si>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</si>
  <si>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</si>
  <si>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</si>
  <si>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</si>
  <si>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</si>
  <si>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</si>
  <si>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</si>
  <si>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</si>
  <si>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</si>
  <si>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</si>
  <si>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</si>
  <si>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</si>
  <si>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</si>
  <si>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</si>
  <si>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</si>
  <si>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</si>
  <si>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</si>
  <si>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</si>
  <si>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</si>
  <si>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</si>
  <si>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</si>
  <si>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</si>
  <si>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</si>
  <si>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</si>
  <si>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</si>
  <si>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</si>
  <si>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</si>
  <si>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</si>
  <si>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</si>
  <si>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</si>
  <si>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</si>
  <si>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</si>
  <si>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</si>
  <si>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</si>
  <si>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</si>
  <si>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</si>
  <si>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</si>
  <si>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</si>
  <si>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</si>
  <si>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</si>
  <si>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</si>
  <si>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</si>
  <si>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</si>
  <si>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</si>
  <si>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</si>
  <si>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</si>
  <si>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</si>
  <si>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</si>
  <si>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</si>
  <si>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</si>
  <si>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</si>
  <si>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</si>
  <si>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</si>
  <si>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</si>
  <si>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</si>
  <si>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</si>
  <si>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</si>
  <si>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</si>
  <si>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</si>
  <si>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</si>
  <si>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</si>
  <si>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</si>
  <si>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</si>
  <si>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</si>
  <si>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</si>
  <si>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</si>
  <si>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</si>
  <si>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</si>
  <si>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</si>
  <si>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</si>
  <si>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</si>
  <si>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</si>
  <si>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</si>
  <si>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</si>
  <si>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</si>
  <si>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</si>
  <si>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</si>
  <si>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</si>
  <si>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</si>
  <si>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</si>
  <si>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</si>
  <si>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</si>
  <si>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</si>
  <si>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</si>
  <si>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</si>
  <si>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</si>
  <si>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</si>
  <si>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</si>
  <si>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</si>
  <si>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</si>
  <si>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</si>
  <si>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</si>
  <si>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</si>
  <si>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</si>
  <si>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</si>
  <si>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</si>
  <si>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</si>
  <si>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</si>
  <si>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</si>
  <si>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</si>
  <si>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</si>
  <si>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</si>
  <si>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</si>
  <si>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</si>
  <si>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</si>
  <si>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</si>
  <si>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</si>
  <si>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</si>
  <si>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</si>
  <si>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</si>
  <si>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</si>
  <si>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</si>
  <si>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</si>
  <si>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</si>
  <si>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</si>
  <si>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</si>
  <si>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</si>
  <si>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</si>
  <si>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</si>
  <si>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</si>
  <si>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</si>
  <si>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</si>
  <si>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</si>
  <si>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</si>
  <si>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</si>
  <si>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</si>
  <si>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</si>
  <si>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</si>
  <si>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</si>
  <si>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</si>
  <si>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</si>
  <si>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</si>
  <si>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</si>
  <si>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</si>
  <si>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</si>
  <si>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</si>
  <si>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</si>
  <si>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</si>
  <si>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</si>
  <si>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</si>
  <si>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</si>
  <si>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</si>
  <si>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</si>
  <si>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</si>
  <si>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</si>
  <si>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</si>
  <si>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</si>
  <si>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</si>
  <si>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</si>
  <si>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</si>
  <si>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</si>
  <si>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</si>
  <si>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</si>
  <si>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</si>
  <si>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</si>
  <si>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</si>
  <si>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</si>
  <si>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</si>
  <si>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</si>
  <si>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</si>
  <si>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</si>
  <si>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</si>
  <si>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</si>
  <si>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</si>
  <si>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</si>
  <si>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</si>
  <si>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</si>
  <si>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</si>
  <si>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</si>
  <si>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</si>
  <si>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</si>
  <si>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</si>
  <si>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</si>
  <si>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</si>
  <si>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</si>
  <si>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</si>
  <si>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</si>
  <si>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</si>
  <si>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</si>
  <si>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</si>
  <si>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</si>
  <si>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</si>
  <si>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</si>
  <si>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</si>
  <si>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</si>
  <si>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</si>
  <si>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</si>
  <si>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</si>
  <si>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</si>
  <si>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</si>
  <si>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</si>
  <si>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</si>
  <si>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</si>
  <si>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</si>
  <si>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</si>
  <si>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</si>
  <si>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</si>
  <si>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</si>
  <si>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</si>
  <si>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</si>
  <si>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</si>
  <si>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</si>
  <si>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</si>
  <si>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</si>
  <si>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</si>
  <si>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</si>
  <si>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</si>
  <si>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</si>
  <si>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</si>
  <si>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</si>
  <si>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</si>
  <si>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</si>
  <si>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</si>
  <si>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</si>
  <si>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</si>
  <si>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</si>
  <si>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</si>
  <si>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</si>
  <si>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</si>
  <si>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</si>
  <si>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</si>
  <si>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</si>
  <si>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</si>
  <si>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</si>
  <si>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</si>
  <si>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</si>
  <si>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</si>
  <si>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</si>
  <si>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</si>
  <si>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</si>
  <si>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</si>
  <si>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>APAGADO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</si>
  <si>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</si>
  <si>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</si>
  <si>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</si>
  <si>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</si>
  <si>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</si>
  <si>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</si>
  <si>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</si>
  <si>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</si>
  <si>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</si>
  <si>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</si>
  <si>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</si>
  <si>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</si>
  <si>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</si>
  <si>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</si>
  <si>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</si>
  <si>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</si>
  <si>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</si>
  <si>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</si>
  <si>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</si>
  <si>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</si>
  <si>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</si>
  <si>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</si>
  <si>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</si>
  <si>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</si>
  <si>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</si>
  <si>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</si>
  <si>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</si>
  <si>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</si>
  <si>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</si>
  <si>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</si>
  <si>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</si>
  <si>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</si>
  <si>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</si>
  <si>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</si>
  <si>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</si>
  <si>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</si>
  <si>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</si>
  <si>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</si>
  <si>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</si>
  <si>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</si>
  <si>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</si>
  <si>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</si>
  <si>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</si>
  <si>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</si>
  <si>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</si>
  <si>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</si>
  <si>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</si>
  <si>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</si>
  <si>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</si>
  <si>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</si>
  <si>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</si>
  <si>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</si>
  <si>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</si>
  <si>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</si>
  <si>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</si>
  <si>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</si>
  <si>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</si>
  <si>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</si>
  <si>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</si>
  <si>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</si>
  <si>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</si>
  <si>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</si>
  <si>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</si>
  <si>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</si>
  <si>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</si>
  <si>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</si>
  <si>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</si>
  <si>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</si>
  <si>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</si>
  <si>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</si>
  <si>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</si>
  <si>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</si>
  <si>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</si>
  <si>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</si>
  <si>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</si>
  <si>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</si>
  <si>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</si>
  <si>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</si>
  <si>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</si>
  <si>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</si>
  <si>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</si>
  <si>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</si>
  <si>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</si>
  <si>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</si>
  <si>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</si>
  <si>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172.20.11.135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</si>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</sst>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0" fontId="0" fillId="0" borderId="3" xfId="0" applyBorder="1" applyAlignment="1" applyProtection="1">
      <alignment horizontal="right"/>
      <protection locked="0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</cellXfs>
  <cellStyles count="2">
    <cellStyle name="Normal" xfId="0" builtinId="0"/>
    <cellStyle name="Porcentaje" xfId="1" builtinId="5"/>
  </cellStyles>
  <dxfs count="87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9A-4A92-B1EC-504CCC6B1C5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9A-4A92-B1EC-504CCC6B1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CC-47B8-8082-1CB214B3F92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CC-47B8-8082-1CB214B3F92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  <c:pt idx="2">
                  <c:v>77</c:v>
                </c:pt>
                <c:pt idx="3">
                  <c:v>70</c:v>
                </c:pt>
                <c:pt idx="4">
                  <c:v>65</c:v>
                </c:pt>
                <c:pt idx="5">
                  <c:v>68</c:v>
                </c:pt>
                <c:pt idx="6">
                  <c:v>71</c:v>
                </c:pt>
                <c:pt idx="7">
                  <c:v>67</c:v>
                </c:pt>
                <c:pt idx="8">
                  <c:v>79</c:v>
                </c:pt>
                <c:pt idx="9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CC-47B8-8082-1CB214B3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APAGADOS X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C-4816-8B68-CA56C300087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AC-4816-8B68-CA56C3000876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  <c:pt idx="2">
                  <c:v>77</c:v>
                </c:pt>
                <c:pt idx="3">
                  <c:v>70</c:v>
                </c:pt>
                <c:pt idx="4">
                  <c:v>65</c:v>
                </c:pt>
                <c:pt idx="5">
                  <c:v>68</c:v>
                </c:pt>
                <c:pt idx="6">
                  <c:v>71</c:v>
                </c:pt>
                <c:pt idx="7">
                  <c:v>67</c:v>
                </c:pt>
                <c:pt idx="8">
                  <c:v>79</c:v>
                </c:pt>
                <c:pt idx="9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AC-4816-8B68-CA56C3000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62</c:v>
                </c:pt>
                <c:pt idx="1">
                  <c:v>80</c:v>
                </c:pt>
                <c:pt idx="2">
                  <c:v>77</c:v>
                </c:pt>
                <c:pt idx="3">
                  <c:v>70</c:v>
                </c:pt>
                <c:pt idx="4">
                  <c:v>65</c:v>
                </c:pt>
                <c:pt idx="5">
                  <c:v>68</c:v>
                </c:pt>
                <c:pt idx="6">
                  <c:v>71</c:v>
                </c:pt>
                <c:pt idx="7">
                  <c:v>67</c:v>
                </c:pt>
                <c:pt idx="8">
                  <c:v>79</c:v>
                </c:pt>
                <c:pt idx="9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10</c:v>
                </c:pt>
                <c:pt idx="7">
                  <c:v>11</c:v>
                </c:pt>
                <c:pt idx="8">
                  <c:v>16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62</c:v>
                </c:pt>
                <c:pt idx="1">
                  <c:v>80</c:v>
                </c:pt>
                <c:pt idx="2">
                  <c:v>77</c:v>
                </c:pt>
                <c:pt idx="3">
                  <c:v>70</c:v>
                </c:pt>
                <c:pt idx="4">
                  <c:v>65</c:v>
                </c:pt>
                <c:pt idx="5">
                  <c:v>68</c:v>
                </c:pt>
                <c:pt idx="6">
                  <c:v>71</c:v>
                </c:pt>
                <c:pt idx="7">
                  <c:v>67</c:v>
                </c:pt>
                <c:pt idx="8">
                  <c:v>79</c:v>
                </c:pt>
                <c:pt idx="9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22860</xdr:rowOff>
    </xdr:from>
    <xdr:to>
      <xdr:col>15</xdr:col>
      <xdr:colOff>769620</xdr:colOff>
      <xdr:row>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1DEB50-765E-46EB-9820-ADF350E6C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1</xdr:row>
      <xdr:rowOff>22860</xdr:rowOff>
    </xdr:from>
    <xdr:to>
      <xdr:col>17</xdr:col>
      <xdr:colOff>15240</xdr:colOff>
      <xdr:row>26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7BBAAD-27BB-41A1-8861-36F961A55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0</xdr:row>
      <xdr:rowOff>167640</xdr:rowOff>
    </xdr:from>
    <xdr:to>
      <xdr:col>16</xdr:col>
      <xdr:colOff>7620</xdr:colOff>
      <xdr:row>27</xdr:row>
      <xdr:rowOff>30480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751FB3-9AB5-49C5-8306-9CA96320FB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762000</xdr:colOff>
      <xdr:row>10</xdr:row>
      <xdr:rowOff>118110</xdr:rowOff>
    </xdr:from>
    <xdr:to>
      <xdr:col>20</xdr:col>
      <xdr:colOff>60960</xdr:colOff>
      <xdr:row>29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746760</xdr:colOff>
      <xdr:row>4</xdr:row>
      <xdr:rowOff>95250</xdr:rowOff>
    </xdr:from>
    <xdr:to>
      <xdr:col>16</xdr:col>
      <xdr:colOff>563880</xdr:colOff>
      <xdr:row>19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472440</xdr:colOff>
      <xdr:row>18</xdr:row>
      <xdr:rowOff>34290</xdr:rowOff>
    </xdr:from>
    <xdr:to>
      <xdr:col>12</xdr:col>
      <xdr:colOff>289560</xdr:colOff>
      <xdr:row>33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4"/>
  <sheetViews>
    <sheetView tabSelected="1" workbookViewId="0">
      <pane xSplit="14" ySplit="4" topLeftCell="AA195" activePane="bottomRight" state="frozen"/>
      <selection pane="topRight" activeCell="M1" sqref="M1"/>
      <selection pane="bottomLeft" activeCell="A5" sqref="A5"/>
      <selection pane="bottomRight" activeCell="AA207" sqref="AA207"/>
    </sheetView>
  </sheetViews>
  <sheetFormatPr baseColWidth="10" defaultRowHeight="15" x14ac:dyDescent="0.25"/>
  <cols>
    <col min="1" max="1" width="16.7109375" hidden="1" customWidth="1"/>
    <col min="2" max="2" width="8.140625" bestFit="1" customWidth="1"/>
    <col min="3" max="3" width="38.140625" style="46" bestFit="1" customWidth="1"/>
    <col min="4" max="4" width="33.285156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45" width="8.7109375" style="22" customWidth="1"/>
  </cols>
  <sheetData>
    <row r="1" spans="1:45" s="5" customFormat="1" ht="27.75" customHeight="1" thickTop="1" x14ac:dyDescent="0.25">
      <c r="A1" s="1" t="s">
        <v>0</v>
      </c>
      <c r="B1" s="57"/>
      <c r="C1" s="43">
        <f>COUNTA(C5:C525)</f>
        <v>366</v>
      </c>
      <c r="D1" s="2" t="s">
        <v>1</v>
      </c>
      <c r="E1" s="34"/>
      <c r="F1" s="35"/>
      <c r="G1" s="35"/>
      <c r="H1" s="35"/>
      <c r="I1" s="35"/>
      <c r="J1" s="35"/>
      <c r="K1" s="35"/>
      <c r="L1" s="36"/>
      <c r="M1" s="36"/>
      <c r="N1" s="2"/>
      <c r="O1" s="4">
        <f t="shared" ref="O1:AP1" si="0">(O3)/(O2+O3)</f>
        <v>0.17032967032967034</v>
      </c>
      <c r="P1" s="4">
        <f t="shared" si="0"/>
        <v>0.21978021978021978</v>
      </c>
      <c r="Q1" s="4">
        <f t="shared" si="0"/>
        <v>0.21153846153846154</v>
      </c>
      <c r="R1" s="4">
        <f t="shared" si="0"/>
        <v>0.19230769230769232</v>
      </c>
      <c r="S1" s="4">
        <f t="shared" si="0"/>
        <v>0.19230769230769232</v>
      </c>
      <c r="T1" s="4">
        <f t="shared" si="0"/>
        <v>0.18956043956043955</v>
      </c>
      <c r="U1" s="4">
        <f t="shared" si="0"/>
        <v>0.19559228650137742</v>
      </c>
      <c r="V1" s="4">
        <f t="shared" si="0"/>
        <v>0.18406593406593408</v>
      </c>
      <c r="W1" s="4">
        <f t="shared" si="0"/>
        <v>0.21703296703296704</v>
      </c>
      <c r="X1" s="4">
        <f t="shared" si="0"/>
        <v>0.18956043956043955</v>
      </c>
      <c r="Y1" s="4">
        <f t="shared" si="0"/>
        <v>0.16208791208791209</v>
      </c>
      <c r="Z1" s="4">
        <f t="shared" si="0"/>
        <v>0.13186813186813187</v>
      </c>
      <c r="AA1" s="4">
        <f t="shared" si="0"/>
        <v>0.14560439560439561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S1" si="1">(AQ3)/(AQ2+AQ3)</f>
        <v>0</v>
      </c>
      <c r="AR1" s="4">
        <f t="shared" si="1"/>
        <v>0</v>
      </c>
      <c r="AS1" s="4">
        <f t="shared" si="1"/>
        <v>0</v>
      </c>
    </row>
    <row r="2" spans="1:45" s="11" customFormat="1" x14ac:dyDescent="0.25">
      <c r="A2" s="6"/>
      <c r="B2" s="58"/>
      <c r="C2" s="44"/>
      <c r="D2" s="7" t="s">
        <v>5</v>
      </c>
      <c r="E2" s="40"/>
      <c r="F2" s="41"/>
      <c r="G2" s="41"/>
      <c r="H2" s="41"/>
      <c r="I2" s="41"/>
      <c r="J2" s="41"/>
      <c r="K2" s="41"/>
      <c r="L2" s="42"/>
      <c r="M2" s="42"/>
      <c r="N2" s="52"/>
      <c r="O2" s="10">
        <f>COUNTIF(O5:O368, "")</f>
        <v>302</v>
      </c>
      <c r="P2" s="10">
        <f>COUNTIF(P5:P368, "")</f>
        <v>284</v>
      </c>
      <c r="Q2" s="10">
        <f t="shared" ref="Q2:AP2" si="2">COUNTIF(Q5:Q368, "")</f>
        <v>287</v>
      </c>
      <c r="R2" s="10">
        <f t="shared" si="2"/>
        <v>294</v>
      </c>
      <c r="S2" s="10">
        <f t="shared" si="2"/>
        <v>294</v>
      </c>
      <c r="T2" s="10">
        <f t="shared" si="2"/>
        <v>295</v>
      </c>
      <c r="U2" s="10">
        <f t="shared" si="2"/>
        <v>292</v>
      </c>
      <c r="V2" s="10">
        <f t="shared" si="2"/>
        <v>297</v>
      </c>
      <c r="W2" s="10">
        <f t="shared" si="2"/>
        <v>285</v>
      </c>
      <c r="X2" s="10">
        <f t="shared" si="2"/>
        <v>295</v>
      </c>
      <c r="Y2" s="10">
        <f t="shared" si="2"/>
        <v>305</v>
      </c>
      <c r="Z2" s="10">
        <f t="shared" si="2"/>
        <v>316</v>
      </c>
      <c r="AA2" s="10">
        <f t="shared" si="2"/>
        <v>311</v>
      </c>
      <c r="AB2" s="10">
        <f t="shared" si="2"/>
        <v>364</v>
      </c>
      <c r="AC2" s="10">
        <f t="shared" si="2"/>
        <v>364</v>
      </c>
      <c r="AD2" s="10">
        <f t="shared" si="2"/>
        <v>364</v>
      </c>
      <c r="AE2" s="10">
        <f t="shared" si="2"/>
        <v>364</v>
      </c>
      <c r="AF2" s="10">
        <f t="shared" si="2"/>
        <v>364</v>
      </c>
      <c r="AG2" s="10">
        <f t="shared" si="2"/>
        <v>364</v>
      </c>
      <c r="AH2" s="10">
        <f t="shared" si="2"/>
        <v>364</v>
      </c>
      <c r="AI2" s="10">
        <f t="shared" si="2"/>
        <v>364</v>
      </c>
      <c r="AJ2" s="10">
        <f t="shared" si="2"/>
        <v>364</v>
      </c>
      <c r="AK2" s="10">
        <f t="shared" si="2"/>
        <v>364</v>
      </c>
      <c r="AL2" s="10">
        <f t="shared" si="2"/>
        <v>364</v>
      </c>
      <c r="AM2" s="10">
        <f t="shared" si="2"/>
        <v>364</v>
      </c>
      <c r="AN2" s="10">
        <f t="shared" si="2"/>
        <v>364</v>
      </c>
      <c r="AO2" s="10">
        <f t="shared" si="2"/>
        <v>364</v>
      </c>
      <c r="AP2" s="10">
        <f t="shared" si="2"/>
        <v>364</v>
      </c>
      <c r="AQ2" s="10">
        <f t="shared" ref="AQ2:AS2" si="3">COUNTIF(AQ5:AQ368, "")</f>
        <v>364</v>
      </c>
      <c r="AR2" s="10">
        <f t="shared" si="3"/>
        <v>364</v>
      </c>
      <c r="AS2" s="10">
        <f t="shared" si="3"/>
        <v>364</v>
      </c>
    </row>
    <row r="3" spans="1:45" s="11" customFormat="1" ht="15.75" thickBot="1" x14ac:dyDescent="0.3">
      <c r="A3" s="12"/>
      <c r="B3" s="59"/>
      <c r="C3" s="45"/>
      <c r="D3" s="13" t="s">
        <v>6</v>
      </c>
      <c r="E3" s="37"/>
      <c r="F3" s="38"/>
      <c r="G3" s="38"/>
      <c r="H3" s="38"/>
      <c r="I3" s="38"/>
      <c r="J3" s="38"/>
      <c r="K3" s="38"/>
      <c r="L3" s="39"/>
      <c r="M3" s="39"/>
      <c r="N3" s="53"/>
      <c r="O3" s="14">
        <f>COUNTIF(O4:O445, "apagado")</f>
        <v>62</v>
      </c>
      <c r="P3" s="14">
        <f t="shared" ref="P3:AP3" si="4">COUNTIF(P4:P445, "apagado")</f>
        <v>80</v>
      </c>
      <c r="Q3" s="14">
        <f t="shared" si="4"/>
        <v>77</v>
      </c>
      <c r="R3" s="14">
        <f t="shared" si="4"/>
        <v>70</v>
      </c>
      <c r="S3" s="14">
        <f t="shared" si="4"/>
        <v>70</v>
      </c>
      <c r="T3" s="14">
        <f t="shared" si="4"/>
        <v>69</v>
      </c>
      <c r="U3" s="14">
        <f t="shared" si="4"/>
        <v>71</v>
      </c>
      <c r="V3" s="14">
        <f t="shared" si="4"/>
        <v>67</v>
      </c>
      <c r="W3" s="14">
        <f t="shared" si="4"/>
        <v>79</v>
      </c>
      <c r="X3" s="14">
        <f t="shared" si="4"/>
        <v>69</v>
      </c>
      <c r="Y3" s="14">
        <f t="shared" si="4"/>
        <v>59</v>
      </c>
      <c r="Z3" s="14">
        <f t="shared" si="4"/>
        <v>48</v>
      </c>
      <c r="AA3" s="14">
        <f t="shared" si="4"/>
        <v>53</v>
      </c>
      <c r="AB3" s="14">
        <f t="shared" si="4"/>
        <v>0</v>
      </c>
      <c r="AC3" s="14">
        <f t="shared" si="4"/>
        <v>0</v>
      </c>
      <c r="AD3" s="14">
        <f t="shared" si="4"/>
        <v>0</v>
      </c>
      <c r="AE3" s="14">
        <f t="shared" si="4"/>
        <v>0</v>
      </c>
      <c r="AF3" s="14">
        <f t="shared" si="4"/>
        <v>0</v>
      </c>
      <c r="AG3" s="14">
        <f t="shared" si="4"/>
        <v>0</v>
      </c>
      <c r="AH3" s="14">
        <f t="shared" si="4"/>
        <v>0</v>
      </c>
      <c r="AI3" s="14">
        <f t="shared" si="4"/>
        <v>0</v>
      </c>
      <c r="AJ3" s="14">
        <f t="shared" si="4"/>
        <v>0</v>
      </c>
      <c r="AK3" s="14">
        <f t="shared" si="4"/>
        <v>0</v>
      </c>
      <c r="AL3" s="14">
        <f t="shared" si="4"/>
        <v>0</v>
      </c>
      <c r="AM3" s="14">
        <f t="shared" si="4"/>
        <v>0</v>
      </c>
      <c r="AN3" s="14">
        <f t="shared" si="4"/>
        <v>0</v>
      </c>
      <c r="AO3" s="14">
        <f t="shared" si="4"/>
        <v>0</v>
      </c>
      <c r="AP3" s="14">
        <f t="shared" si="4"/>
        <v>0</v>
      </c>
      <c r="AQ3" s="14">
        <f t="shared" ref="AQ3:AS3" si="5">COUNTIF(AQ4:AQ445, "apagado")</f>
        <v>0</v>
      </c>
      <c r="AR3" s="14">
        <f t="shared" si="5"/>
        <v>0</v>
      </c>
      <c r="AS3" s="14">
        <f t="shared" si="5"/>
        <v>0</v>
      </c>
    </row>
    <row r="4" spans="1:45" s="11" customFormat="1" ht="31.5" thickTop="1" thickBot="1" x14ac:dyDescent="0.35">
      <c r="A4" t="s">
        <v>7</v>
      </c>
      <c r="B4" t="s">
        <v>1326</v>
      </c>
      <c r="C4" s="46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3" t="s">
        <v>2</v>
      </c>
      <c r="M4" s="33" t="s">
        <v>3</v>
      </c>
      <c r="N4" s="3" t="s">
        <v>4</v>
      </c>
      <c r="O4" s="15">
        <v>44621</v>
      </c>
      <c r="P4" s="15">
        <v>44622</v>
      </c>
      <c r="Q4" s="15">
        <v>44623</v>
      </c>
      <c r="R4" s="15">
        <v>44624</v>
      </c>
      <c r="S4" s="15">
        <v>44625</v>
      </c>
      <c r="T4" s="15">
        <v>44626</v>
      </c>
      <c r="U4" s="15">
        <v>44627</v>
      </c>
      <c r="V4" s="15">
        <v>44628</v>
      </c>
      <c r="W4" s="15">
        <v>44629</v>
      </c>
      <c r="X4" s="15">
        <v>44630</v>
      </c>
      <c r="Y4" s="15">
        <v>44631</v>
      </c>
      <c r="Z4" s="15">
        <v>44632</v>
      </c>
      <c r="AA4" s="15">
        <v>44633</v>
      </c>
      <c r="AB4" s="15">
        <v>44634</v>
      </c>
      <c r="AC4" s="15">
        <v>44635</v>
      </c>
      <c r="AD4" s="15">
        <v>44636</v>
      </c>
      <c r="AE4" s="15">
        <v>44637</v>
      </c>
      <c r="AF4" s="15">
        <v>44638</v>
      </c>
      <c r="AG4" s="15">
        <v>44639</v>
      </c>
      <c r="AH4" s="15">
        <v>44640</v>
      </c>
      <c r="AI4" s="15">
        <v>44641</v>
      </c>
      <c r="AJ4" s="15">
        <v>44642</v>
      </c>
      <c r="AK4" s="15">
        <v>44643</v>
      </c>
      <c r="AL4" s="15">
        <v>44644</v>
      </c>
      <c r="AM4" s="15">
        <v>44645</v>
      </c>
      <c r="AN4" s="15">
        <v>44646</v>
      </c>
      <c r="AO4" s="15">
        <v>44647</v>
      </c>
      <c r="AP4" s="15">
        <v>44648</v>
      </c>
      <c r="AQ4" s="15">
        <v>44649</v>
      </c>
      <c r="AR4" s="15">
        <v>44650</v>
      </c>
      <c r="AS4" s="15">
        <v>44651</v>
      </c>
    </row>
    <row r="5" spans="1:45" ht="16.5" thickTop="1" thickBot="1" x14ac:dyDescent="0.3">
      <c r="A5" t="s">
        <v>16</v>
      </c>
      <c r="B5" s="60">
        <v>44629</v>
      </c>
      <c r="C5" s="61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1109</v>
      </c>
      <c r="L5" s="17">
        <f t="shared" ref="L5:L68" si="6">COUNTIF(O5:AP5,"")</f>
        <v>17</v>
      </c>
      <c r="M5" s="17">
        <f t="shared" ref="M5:M68" si="7">COUNTIF(O5:AP5,"APAGADO")</f>
        <v>11</v>
      </c>
      <c r="N5" s="18">
        <f t="shared" ref="N5:N68" si="8">(L5)/(M5+L5)</f>
        <v>0.6071428571428571</v>
      </c>
      <c r="O5" s="30" t="s">
        <v>939</v>
      </c>
      <c r="P5" s="19" t="s">
        <v>939</v>
      </c>
      <c r="Q5" s="19" t="s">
        <v>939</v>
      </c>
      <c r="R5" s="19" t="s">
        <v>939</v>
      </c>
      <c r="S5" s="30" t="s">
        <v>939</v>
      </c>
      <c r="T5" s="30" t="s">
        <v>939</v>
      </c>
      <c r="U5" s="19" t="s">
        <v>939</v>
      </c>
      <c r="V5" s="19" t="s">
        <v>939</v>
      </c>
      <c r="W5" s="19" t="s">
        <v>939</v>
      </c>
      <c r="X5" s="30" t="s">
        <v>939</v>
      </c>
      <c r="Y5" s="30" t="s">
        <v>939</v>
      </c>
      <c r="Z5" s="30"/>
      <c r="AA5" s="30"/>
      <c r="AB5" s="30"/>
      <c r="AC5" s="30"/>
      <c r="AD5" s="30"/>
      <c r="AE5" s="30"/>
      <c r="AF5" s="30"/>
      <c r="AG5" s="30"/>
      <c r="AH5" s="30"/>
      <c r="AI5" s="19"/>
      <c r="AJ5" s="28"/>
      <c r="AK5" s="19"/>
      <c r="AL5" s="19"/>
      <c r="AM5" s="19"/>
      <c r="AN5" s="30"/>
      <c r="AO5" s="19"/>
      <c r="AP5" s="19"/>
      <c r="AQ5" s="30"/>
      <c r="AR5" s="30"/>
      <c r="AS5" s="30"/>
    </row>
    <row r="6" spans="1:45" ht="15.75" thickBot="1" x14ac:dyDescent="0.3">
      <c r="A6" t="s">
        <v>22</v>
      </c>
      <c r="C6" s="47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1110</v>
      </c>
      <c r="L6" s="17">
        <f t="shared" si="6"/>
        <v>28</v>
      </c>
      <c r="M6" s="17">
        <f t="shared" si="7"/>
        <v>0</v>
      </c>
      <c r="N6" s="18">
        <f t="shared" si="8"/>
        <v>1</v>
      </c>
      <c r="O6" s="28"/>
      <c r="P6" s="8"/>
      <c r="Q6" s="8"/>
      <c r="R6" s="8"/>
      <c r="S6" s="28"/>
      <c r="T6" s="28"/>
      <c r="U6" s="8"/>
      <c r="V6" s="8"/>
      <c r="W6" s="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8"/>
      <c r="AJ6" s="8"/>
      <c r="AK6" s="8"/>
      <c r="AL6" s="8"/>
      <c r="AM6" s="8"/>
      <c r="AN6" s="28"/>
      <c r="AO6" s="8"/>
      <c r="AP6" s="8"/>
      <c r="AQ6" s="28"/>
      <c r="AR6" s="28"/>
      <c r="AS6" s="28"/>
    </row>
    <row r="7" spans="1:45" ht="15.75" thickBot="1" x14ac:dyDescent="0.3">
      <c r="C7" s="47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1057</v>
      </c>
      <c r="L7" s="17">
        <f t="shared" si="6"/>
        <v>28</v>
      </c>
      <c r="M7" s="17">
        <f t="shared" si="7"/>
        <v>0</v>
      </c>
      <c r="N7" s="18">
        <f t="shared" si="8"/>
        <v>1</v>
      </c>
      <c r="O7" s="28"/>
      <c r="P7" s="8"/>
      <c r="Q7" s="8"/>
      <c r="R7" s="8"/>
      <c r="S7" s="28"/>
      <c r="T7" s="28"/>
      <c r="U7" s="8"/>
      <c r="V7" s="8"/>
      <c r="W7" s="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8"/>
      <c r="AJ7" s="8"/>
      <c r="AK7" s="8"/>
      <c r="AL7" s="8"/>
      <c r="AM7" s="8"/>
      <c r="AN7" s="28"/>
      <c r="AO7" s="8"/>
      <c r="AP7" s="8"/>
      <c r="AQ7" s="28"/>
      <c r="AR7" s="28"/>
      <c r="AS7" s="28"/>
    </row>
    <row r="8" spans="1:45" ht="15.75" thickBot="1" x14ac:dyDescent="0.3">
      <c r="A8" t="s">
        <v>22</v>
      </c>
      <c r="C8" s="47" t="s">
        <v>29</v>
      </c>
      <c r="D8" t="s">
        <v>913</v>
      </c>
      <c r="E8" t="s">
        <v>19</v>
      </c>
      <c r="F8" t="s">
        <v>945</v>
      </c>
      <c r="G8"/>
      <c r="H8" t="s">
        <v>30</v>
      </c>
      <c r="I8" s="16">
        <v>-348230700000</v>
      </c>
      <c r="J8" s="16">
        <v>-582702540000</v>
      </c>
      <c r="K8" s="16" t="s">
        <v>1111</v>
      </c>
      <c r="L8" s="17">
        <f t="shared" si="6"/>
        <v>28</v>
      </c>
      <c r="M8" s="17">
        <f t="shared" si="7"/>
        <v>0</v>
      </c>
      <c r="N8" s="18">
        <f t="shared" si="8"/>
        <v>1</v>
      </c>
      <c r="O8" s="28"/>
      <c r="P8" s="8"/>
      <c r="Q8" s="8"/>
      <c r="R8" s="8"/>
      <c r="S8" s="28"/>
      <c r="T8" s="28"/>
      <c r="U8" s="8"/>
      <c r="V8" s="8"/>
      <c r="W8" s="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8"/>
      <c r="AJ8" s="8"/>
      <c r="AK8" s="8"/>
      <c r="AL8" s="8"/>
      <c r="AM8" s="8"/>
      <c r="AN8" s="28"/>
      <c r="AO8" s="8"/>
      <c r="AP8" s="8"/>
      <c r="AQ8" s="28"/>
      <c r="AR8" s="28"/>
      <c r="AS8" s="28"/>
    </row>
    <row r="9" spans="1:45" ht="15.75" thickBot="1" x14ac:dyDescent="0.3">
      <c r="C9" s="47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1112</v>
      </c>
      <c r="L9" s="17">
        <f t="shared" si="6"/>
        <v>28</v>
      </c>
      <c r="M9" s="17">
        <f t="shared" si="7"/>
        <v>0</v>
      </c>
      <c r="N9" s="18">
        <f t="shared" si="8"/>
        <v>1</v>
      </c>
      <c r="O9" s="28"/>
      <c r="P9" s="8"/>
      <c r="Q9" s="8"/>
      <c r="R9" s="8"/>
      <c r="S9" s="28"/>
      <c r="T9" s="28"/>
      <c r="U9" s="8"/>
      <c r="V9" s="8"/>
      <c r="W9" s="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8"/>
      <c r="AJ9" s="8"/>
      <c r="AK9" s="8"/>
      <c r="AL9" s="8"/>
      <c r="AM9" s="8"/>
      <c r="AN9" s="28"/>
      <c r="AO9" s="8"/>
      <c r="AP9" s="8"/>
      <c r="AQ9" s="28"/>
      <c r="AR9" s="28"/>
      <c r="AS9" s="28"/>
    </row>
    <row r="10" spans="1:45" ht="15.75" thickBot="1" x14ac:dyDescent="0.3">
      <c r="A10" t="s">
        <v>34</v>
      </c>
      <c r="C10" s="46" t="s">
        <v>950</v>
      </c>
      <c r="D10" t="s">
        <v>35</v>
      </c>
      <c r="E10" t="s">
        <v>24</v>
      </c>
      <c r="F10" t="s">
        <v>945</v>
      </c>
      <c r="G10"/>
      <c r="H10" t="s">
        <v>37</v>
      </c>
      <c r="I10" s="16">
        <v>-347738090000</v>
      </c>
      <c r="J10" s="16">
        <v>-582721410000</v>
      </c>
      <c r="K10" s="16" t="s">
        <v>951</v>
      </c>
      <c r="L10" s="17">
        <f t="shared" si="6"/>
        <v>28</v>
      </c>
      <c r="M10" s="17">
        <f t="shared" si="7"/>
        <v>0</v>
      </c>
      <c r="N10" s="18">
        <f t="shared" si="8"/>
        <v>1</v>
      </c>
      <c r="O10" s="28"/>
      <c r="P10" s="8"/>
      <c r="Q10" s="8"/>
      <c r="R10" s="8"/>
      <c r="S10" s="28"/>
      <c r="T10" s="28"/>
      <c r="U10" s="8"/>
      <c r="V10" s="8"/>
      <c r="W10" s="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8"/>
      <c r="AJ10" s="28"/>
      <c r="AK10" s="8"/>
      <c r="AL10" s="8"/>
      <c r="AM10" s="8"/>
      <c r="AN10" s="28"/>
      <c r="AO10" s="8"/>
      <c r="AP10" s="8"/>
      <c r="AQ10" s="28"/>
      <c r="AR10" s="28"/>
      <c r="AS10" s="28"/>
    </row>
    <row r="11" spans="1:45" ht="15.75" thickBot="1" x14ac:dyDescent="0.3">
      <c r="A11" t="s">
        <v>34</v>
      </c>
      <c r="C11" s="46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944</v>
      </c>
      <c r="L11" s="17">
        <f t="shared" si="6"/>
        <v>28</v>
      </c>
      <c r="M11" s="17">
        <f t="shared" si="7"/>
        <v>0</v>
      </c>
      <c r="N11" s="18">
        <f t="shared" si="8"/>
        <v>1</v>
      </c>
      <c r="O11" s="28"/>
      <c r="P11" s="8"/>
      <c r="Q11" s="8"/>
      <c r="R11" s="8"/>
      <c r="S11" s="28"/>
      <c r="T11" s="28"/>
      <c r="U11" s="8"/>
      <c r="V11" s="8"/>
      <c r="W11" s="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8"/>
      <c r="AJ11" s="8"/>
      <c r="AK11" s="8"/>
      <c r="AL11" s="8"/>
      <c r="AM11" s="8"/>
      <c r="AN11" s="28"/>
      <c r="AO11" s="8"/>
      <c r="AP11" s="8"/>
      <c r="AQ11" s="28"/>
      <c r="AR11" s="28"/>
      <c r="AS11" s="28"/>
    </row>
    <row r="12" spans="1:45" ht="15.75" thickBot="1" x14ac:dyDescent="0.3">
      <c r="A12" t="s">
        <v>34</v>
      </c>
      <c r="C12" s="46" t="s">
        <v>41</v>
      </c>
      <c r="D12" t="s">
        <v>42</v>
      </c>
      <c r="E12" t="s">
        <v>24</v>
      </c>
      <c r="F12" t="s">
        <v>945</v>
      </c>
      <c r="G12" t="s">
        <v>43</v>
      </c>
      <c r="H12"/>
      <c r="I12" s="16">
        <v>-347718470000</v>
      </c>
      <c r="J12" s="16">
        <v>-582688560000</v>
      </c>
      <c r="K12" s="16" t="s">
        <v>946</v>
      </c>
      <c r="L12" s="17">
        <f t="shared" si="6"/>
        <v>28</v>
      </c>
      <c r="M12" s="17">
        <f t="shared" si="7"/>
        <v>0</v>
      </c>
      <c r="N12" s="18">
        <f t="shared" si="8"/>
        <v>1</v>
      </c>
      <c r="O12" s="28"/>
      <c r="P12" s="8"/>
      <c r="Q12" s="8"/>
      <c r="R12" s="8"/>
      <c r="S12" s="28"/>
      <c r="T12" s="28"/>
      <c r="U12" s="8"/>
      <c r="V12" s="8"/>
      <c r="W12" s="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8"/>
      <c r="AJ12" s="8"/>
      <c r="AK12" s="8"/>
      <c r="AL12" s="8"/>
      <c r="AM12" s="8"/>
      <c r="AN12" s="28"/>
      <c r="AO12" s="8"/>
      <c r="AP12" s="8"/>
      <c r="AQ12" s="28"/>
      <c r="AR12" s="28"/>
      <c r="AS12" s="28"/>
    </row>
    <row r="13" spans="1:45" ht="15.75" thickBot="1" x14ac:dyDescent="0.3">
      <c r="A13" t="s">
        <v>34</v>
      </c>
      <c r="C13" s="46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947</v>
      </c>
      <c r="L13" s="17">
        <f t="shared" si="6"/>
        <v>28</v>
      </c>
      <c r="M13" s="17">
        <f t="shared" si="7"/>
        <v>0</v>
      </c>
      <c r="N13" s="18">
        <f t="shared" si="8"/>
        <v>1</v>
      </c>
      <c r="O13" s="28"/>
      <c r="P13" s="8"/>
      <c r="Q13" s="8"/>
      <c r="R13" s="8"/>
      <c r="S13" s="28"/>
      <c r="T13" s="28"/>
      <c r="U13" s="8"/>
      <c r="V13" s="8"/>
      <c r="W13" s="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8"/>
      <c r="AJ13" s="8"/>
      <c r="AK13" s="8"/>
      <c r="AL13" s="8"/>
      <c r="AM13" s="8"/>
      <c r="AN13" s="28"/>
      <c r="AO13" s="8"/>
      <c r="AP13" s="8"/>
      <c r="AQ13" s="28"/>
      <c r="AR13" s="28"/>
      <c r="AS13" s="28"/>
    </row>
    <row r="14" spans="1:45" ht="15.75" thickBot="1" x14ac:dyDescent="0.3">
      <c r="C14" s="46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948</v>
      </c>
      <c r="L14" s="17">
        <f t="shared" si="6"/>
        <v>27</v>
      </c>
      <c r="M14" s="17">
        <f t="shared" si="7"/>
        <v>1</v>
      </c>
      <c r="N14" s="18">
        <f t="shared" si="8"/>
        <v>0.9642857142857143</v>
      </c>
      <c r="O14" s="28" t="s">
        <v>939</v>
      </c>
      <c r="P14" s="8"/>
      <c r="Q14" s="8"/>
      <c r="R14" s="8"/>
      <c r="S14" s="28"/>
      <c r="T14" s="28"/>
      <c r="U14" s="8"/>
      <c r="V14" s="8"/>
      <c r="W14" s="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8"/>
      <c r="AJ14" s="28"/>
      <c r="AK14" s="8"/>
      <c r="AL14" s="8"/>
      <c r="AM14" s="8"/>
      <c r="AN14" s="28"/>
      <c r="AO14" s="8"/>
      <c r="AP14" s="8"/>
      <c r="AQ14" s="28"/>
      <c r="AR14" s="28"/>
      <c r="AS14" s="28"/>
    </row>
    <row r="15" spans="1:45" ht="15.75" thickBot="1" x14ac:dyDescent="0.3">
      <c r="A15" t="s">
        <v>34</v>
      </c>
      <c r="C15" s="46" t="s">
        <v>50</v>
      </c>
      <c r="D15" t="s">
        <v>51</v>
      </c>
      <c r="E15" t="s">
        <v>24</v>
      </c>
      <c r="F15" t="s">
        <v>945</v>
      </c>
      <c r="G15" t="s">
        <v>52</v>
      </c>
      <c r="H15"/>
      <c r="I15" s="16">
        <v>-347708370000</v>
      </c>
      <c r="J15" s="16">
        <v>-582698000000</v>
      </c>
      <c r="K15" s="16" t="s">
        <v>949</v>
      </c>
      <c r="L15" s="17">
        <f t="shared" si="6"/>
        <v>28</v>
      </c>
      <c r="M15" s="17">
        <f t="shared" si="7"/>
        <v>0</v>
      </c>
      <c r="N15" s="18">
        <f t="shared" si="8"/>
        <v>1</v>
      </c>
      <c r="O15" s="28"/>
      <c r="P15" s="8"/>
      <c r="Q15" s="8"/>
      <c r="R15" s="8"/>
      <c r="S15" s="28"/>
      <c r="T15" s="28"/>
      <c r="U15" s="8"/>
      <c r="V15" s="8"/>
      <c r="W15" s="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8"/>
      <c r="AJ15" s="8"/>
      <c r="AK15" s="8"/>
      <c r="AL15" s="8"/>
      <c r="AM15" s="8"/>
      <c r="AN15" s="28"/>
      <c r="AO15" s="8"/>
      <c r="AP15" s="8"/>
      <c r="AQ15" s="28"/>
      <c r="AR15" s="28"/>
      <c r="AS15" s="28"/>
    </row>
    <row r="16" spans="1:45" ht="15.75" thickBot="1" x14ac:dyDescent="0.3">
      <c r="A16" t="s">
        <v>34</v>
      </c>
      <c r="C16" s="46" t="s">
        <v>53</v>
      </c>
      <c r="D16" t="s">
        <v>54</v>
      </c>
      <c r="E16" t="s">
        <v>19</v>
      </c>
      <c r="F16" t="s">
        <v>945</v>
      </c>
      <c r="G16"/>
      <c r="H16" t="s">
        <v>55</v>
      </c>
      <c r="I16" s="16">
        <v>-347737570000</v>
      </c>
      <c r="J16" s="16">
        <v>-582676650000</v>
      </c>
      <c r="K16" s="16" t="s">
        <v>953</v>
      </c>
      <c r="L16" s="17">
        <f t="shared" si="6"/>
        <v>28</v>
      </c>
      <c r="M16" s="17">
        <f t="shared" si="7"/>
        <v>0</v>
      </c>
      <c r="N16" s="18">
        <f t="shared" si="8"/>
        <v>1</v>
      </c>
      <c r="O16" s="28"/>
      <c r="P16" s="8"/>
      <c r="Q16" s="8"/>
      <c r="R16" s="8"/>
      <c r="S16" s="28"/>
      <c r="T16" s="28"/>
      <c r="U16" s="8"/>
      <c r="V16" s="8"/>
      <c r="W16" s="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8"/>
      <c r="AJ16" s="8"/>
      <c r="AK16" s="8"/>
      <c r="AL16" s="8"/>
      <c r="AM16" s="8"/>
      <c r="AN16" s="28"/>
      <c r="AO16" s="8"/>
      <c r="AP16" s="8"/>
      <c r="AQ16" s="28"/>
      <c r="AR16" s="28"/>
      <c r="AS16" s="28"/>
    </row>
    <row r="17" spans="1:45" ht="15.75" thickBot="1" x14ac:dyDescent="0.3">
      <c r="A17" t="s">
        <v>34</v>
      </c>
      <c r="C17" s="46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954</v>
      </c>
      <c r="L17" s="17">
        <f t="shared" si="6"/>
        <v>28</v>
      </c>
      <c r="M17" s="17">
        <f t="shared" si="7"/>
        <v>0</v>
      </c>
      <c r="N17" s="18">
        <f t="shared" si="8"/>
        <v>1</v>
      </c>
      <c r="O17" s="28"/>
      <c r="P17" s="8"/>
      <c r="Q17" s="8"/>
      <c r="R17" s="8"/>
      <c r="S17" s="28"/>
      <c r="T17" s="28"/>
      <c r="U17" s="8"/>
      <c r="V17" s="8"/>
      <c r="W17" s="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8"/>
      <c r="AJ17" s="28"/>
      <c r="AK17" s="8"/>
      <c r="AL17" s="8"/>
      <c r="AM17" s="8"/>
      <c r="AN17" s="28"/>
      <c r="AO17" s="8"/>
      <c r="AP17" s="8"/>
      <c r="AQ17" s="28"/>
      <c r="AR17" s="28"/>
      <c r="AS17" s="28"/>
    </row>
    <row r="18" spans="1:45" ht="15.75" thickBot="1" x14ac:dyDescent="0.3">
      <c r="A18" t="s">
        <v>34</v>
      </c>
      <c r="C18" s="46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955</v>
      </c>
      <c r="L18" s="17">
        <f t="shared" si="6"/>
        <v>28</v>
      </c>
      <c r="M18" s="17">
        <f t="shared" si="7"/>
        <v>0</v>
      </c>
      <c r="N18" s="18">
        <f t="shared" si="8"/>
        <v>1</v>
      </c>
      <c r="O18" s="28"/>
      <c r="P18" s="8"/>
      <c r="Q18" s="8"/>
      <c r="R18" s="8"/>
      <c r="S18" s="28"/>
      <c r="T18" s="28"/>
      <c r="U18" s="8"/>
      <c r="V18" s="8"/>
      <c r="W18" s="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8"/>
      <c r="AJ18" s="28"/>
      <c r="AK18" s="8"/>
      <c r="AL18" s="8"/>
      <c r="AM18" s="8"/>
      <c r="AN18" s="28"/>
      <c r="AO18" s="8"/>
      <c r="AP18" s="8"/>
      <c r="AQ18" s="28"/>
      <c r="AR18" s="28"/>
      <c r="AS18" s="28"/>
    </row>
    <row r="19" spans="1:45" ht="15.75" thickBot="1" x14ac:dyDescent="0.3">
      <c r="A19" t="s">
        <v>62</v>
      </c>
      <c r="C19" s="46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958</v>
      </c>
      <c r="L19" s="17">
        <f t="shared" si="6"/>
        <v>19</v>
      </c>
      <c r="M19" s="17">
        <f t="shared" si="7"/>
        <v>9</v>
      </c>
      <c r="N19" s="18">
        <f t="shared" si="8"/>
        <v>0.6785714285714286</v>
      </c>
      <c r="O19" s="28"/>
      <c r="P19" s="8" t="s">
        <v>939</v>
      </c>
      <c r="Q19" s="8" t="s">
        <v>939</v>
      </c>
      <c r="R19" s="8" t="s">
        <v>939</v>
      </c>
      <c r="S19" s="28" t="s">
        <v>939</v>
      </c>
      <c r="T19" s="28" t="s">
        <v>939</v>
      </c>
      <c r="U19" s="8" t="s">
        <v>939</v>
      </c>
      <c r="V19" s="8" t="s">
        <v>939</v>
      </c>
      <c r="W19" s="8" t="s">
        <v>939</v>
      </c>
      <c r="X19" s="28" t="s">
        <v>939</v>
      </c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8"/>
      <c r="AJ19" s="8"/>
      <c r="AK19" s="8"/>
      <c r="AL19" s="8"/>
      <c r="AM19" s="8"/>
      <c r="AN19" s="28"/>
      <c r="AO19" s="8"/>
      <c r="AP19" s="8"/>
      <c r="AQ19" s="28"/>
      <c r="AR19" s="28"/>
      <c r="AS19" s="28"/>
    </row>
    <row r="20" spans="1:45" ht="15.75" thickBot="1" x14ac:dyDescent="0.3">
      <c r="A20" t="s">
        <v>34</v>
      </c>
      <c r="C20" s="46" t="s">
        <v>956</v>
      </c>
      <c r="D20" t="s">
        <v>66</v>
      </c>
      <c r="E20" t="s">
        <v>19</v>
      </c>
      <c r="F20" t="s">
        <v>945</v>
      </c>
      <c r="G20"/>
      <c r="H20" t="s">
        <v>67</v>
      </c>
      <c r="I20" s="16">
        <v>-347689160000</v>
      </c>
      <c r="J20" s="16">
        <v>-582717100000</v>
      </c>
      <c r="K20" s="16" t="s">
        <v>957</v>
      </c>
      <c r="L20" s="17">
        <f t="shared" si="6"/>
        <v>28</v>
      </c>
      <c r="M20" s="17">
        <f t="shared" si="7"/>
        <v>0</v>
      </c>
      <c r="N20" s="18">
        <f t="shared" si="8"/>
        <v>1</v>
      </c>
      <c r="O20" s="28"/>
      <c r="P20" s="8"/>
      <c r="Q20" s="8"/>
      <c r="R20" s="8"/>
      <c r="S20" s="28"/>
      <c r="T20" s="28"/>
      <c r="U20" s="8"/>
      <c r="V20" s="8"/>
      <c r="W20" s="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8"/>
      <c r="AJ20" s="8"/>
      <c r="AK20" s="8"/>
      <c r="AL20" s="8"/>
      <c r="AM20" s="8"/>
      <c r="AN20" s="28"/>
      <c r="AO20" s="8"/>
      <c r="AP20" s="8"/>
      <c r="AQ20" s="28"/>
      <c r="AR20" s="28"/>
      <c r="AS20" s="28"/>
    </row>
    <row r="21" spans="1:45" ht="15.75" thickBot="1" x14ac:dyDescent="0.3">
      <c r="A21" t="s">
        <v>68</v>
      </c>
      <c r="C21" s="46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959</v>
      </c>
      <c r="L21" s="17">
        <f t="shared" si="6"/>
        <v>28</v>
      </c>
      <c r="M21" s="17">
        <f t="shared" si="7"/>
        <v>0</v>
      </c>
      <c r="N21" s="18">
        <f t="shared" si="8"/>
        <v>1</v>
      </c>
      <c r="O21" s="28"/>
      <c r="P21" s="8"/>
      <c r="Q21" s="8"/>
      <c r="R21" s="8"/>
      <c r="S21" s="28"/>
      <c r="T21" s="28"/>
      <c r="U21" s="8"/>
      <c r="V21" s="8"/>
      <c r="W21" s="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8"/>
      <c r="AJ21" s="8"/>
      <c r="AK21" s="8"/>
      <c r="AL21" s="8"/>
      <c r="AM21" s="8"/>
      <c r="AN21" s="28"/>
      <c r="AO21" s="8"/>
      <c r="AP21" s="8"/>
      <c r="AQ21" s="28"/>
      <c r="AR21" s="28"/>
      <c r="AS21" s="28"/>
    </row>
    <row r="22" spans="1:45" ht="15.75" thickBot="1" x14ac:dyDescent="0.3">
      <c r="C22" s="46" t="s">
        <v>1009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1010</v>
      </c>
      <c r="L22" s="17">
        <f t="shared" si="6"/>
        <v>27</v>
      </c>
      <c r="M22" s="17">
        <f t="shared" si="7"/>
        <v>1</v>
      </c>
      <c r="N22" s="18">
        <f t="shared" si="8"/>
        <v>0.9642857142857143</v>
      </c>
      <c r="O22" s="28"/>
      <c r="P22" s="8"/>
      <c r="Q22" s="8"/>
      <c r="R22" s="8"/>
      <c r="S22" s="28"/>
      <c r="T22" s="28"/>
      <c r="U22" s="8"/>
      <c r="V22" s="8"/>
      <c r="W22" s="8" t="s">
        <v>939</v>
      </c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8"/>
      <c r="AJ22" s="8"/>
      <c r="AK22" s="8"/>
      <c r="AL22" s="8"/>
      <c r="AM22" s="8"/>
      <c r="AN22" s="28"/>
      <c r="AO22" s="8"/>
      <c r="AP22" s="8"/>
      <c r="AQ22" s="28"/>
      <c r="AR22" s="28"/>
      <c r="AS22" s="28"/>
    </row>
    <row r="23" spans="1:45" ht="15.75" thickBot="1" x14ac:dyDescent="0.3">
      <c r="C23" s="46" t="s">
        <v>1012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1013</v>
      </c>
      <c r="L23" s="17">
        <f t="shared" si="6"/>
        <v>28</v>
      </c>
      <c r="M23" s="17">
        <f t="shared" si="7"/>
        <v>0</v>
      </c>
      <c r="N23" s="18">
        <f t="shared" si="8"/>
        <v>1</v>
      </c>
      <c r="O23" s="28"/>
      <c r="P23" s="8"/>
      <c r="Q23" s="8"/>
      <c r="R23" s="8"/>
      <c r="S23" s="28"/>
      <c r="T23" s="28"/>
      <c r="U23" s="8"/>
      <c r="V23" s="8"/>
      <c r="W23" s="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8"/>
      <c r="AJ23" s="8"/>
      <c r="AK23" s="8"/>
      <c r="AL23" s="8"/>
      <c r="AM23" s="8"/>
      <c r="AN23" s="28"/>
      <c r="AO23" s="8"/>
      <c r="AP23" s="8"/>
      <c r="AQ23" s="28"/>
      <c r="AR23" s="28"/>
      <c r="AS23" s="28"/>
    </row>
    <row r="24" spans="1:45" ht="15.75" thickBot="1" x14ac:dyDescent="0.3">
      <c r="C24" s="46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1014</v>
      </c>
      <c r="L24" s="17">
        <f t="shared" si="6"/>
        <v>23</v>
      </c>
      <c r="M24" s="17">
        <f t="shared" si="7"/>
        <v>5</v>
      </c>
      <c r="N24" s="18">
        <f t="shared" si="8"/>
        <v>0.8214285714285714</v>
      </c>
      <c r="O24" s="28"/>
      <c r="P24" s="8"/>
      <c r="Q24" s="8"/>
      <c r="R24" s="8" t="s">
        <v>939</v>
      </c>
      <c r="S24" s="28" t="s">
        <v>939</v>
      </c>
      <c r="T24" s="28" t="s">
        <v>939</v>
      </c>
      <c r="U24" s="8" t="s">
        <v>939</v>
      </c>
      <c r="V24" s="8"/>
      <c r="W24" s="8" t="s">
        <v>939</v>
      </c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8"/>
      <c r="AJ24" s="8"/>
      <c r="AK24" s="8"/>
      <c r="AL24" s="8"/>
      <c r="AM24" s="8"/>
      <c r="AN24" s="28"/>
      <c r="AO24" s="8"/>
      <c r="AP24" s="8"/>
      <c r="AQ24" s="28"/>
      <c r="AR24" s="28"/>
      <c r="AS24" s="28"/>
    </row>
    <row r="25" spans="1:45" ht="15.75" thickBot="1" x14ac:dyDescent="0.3">
      <c r="C25" s="46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1015</v>
      </c>
      <c r="L25" s="17">
        <f t="shared" si="6"/>
        <v>28</v>
      </c>
      <c r="M25" s="17">
        <f t="shared" si="7"/>
        <v>0</v>
      </c>
      <c r="N25" s="18">
        <f t="shared" si="8"/>
        <v>1</v>
      </c>
      <c r="O25" s="28"/>
      <c r="P25" s="8"/>
      <c r="Q25" s="8"/>
      <c r="R25" s="8"/>
      <c r="S25" s="28"/>
      <c r="T25" s="28"/>
      <c r="U25" s="8"/>
      <c r="V25" s="8"/>
      <c r="W25" s="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8"/>
      <c r="AJ25" s="8"/>
      <c r="AK25" s="8"/>
      <c r="AL25" s="8"/>
      <c r="AM25" s="8"/>
      <c r="AN25" s="28"/>
      <c r="AO25" s="8"/>
      <c r="AP25" s="8"/>
      <c r="AQ25" s="28"/>
      <c r="AR25" s="28"/>
      <c r="AS25" s="28"/>
    </row>
    <row r="26" spans="1:45" ht="15.75" thickBot="1" x14ac:dyDescent="0.3">
      <c r="A26" t="s">
        <v>80</v>
      </c>
      <c r="C26" s="46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1016</v>
      </c>
      <c r="L26" s="17">
        <f t="shared" si="6"/>
        <v>28</v>
      </c>
      <c r="M26" s="17">
        <f t="shared" si="7"/>
        <v>0</v>
      </c>
      <c r="N26" s="18">
        <f t="shared" si="8"/>
        <v>1</v>
      </c>
      <c r="O26" s="28"/>
      <c r="P26" s="8"/>
      <c r="Q26" s="8"/>
      <c r="R26" s="8"/>
      <c r="S26" s="28"/>
      <c r="T26" s="28"/>
      <c r="U26" s="8"/>
      <c r="V26" s="8"/>
      <c r="W26" s="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8"/>
      <c r="AJ26" s="8"/>
      <c r="AK26" s="8"/>
      <c r="AL26" s="8"/>
      <c r="AM26" s="8"/>
      <c r="AN26" s="28"/>
      <c r="AO26" s="8"/>
      <c r="AP26" s="8"/>
      <c r="AQ26" s="28"/>
      <c r="AR26" s="28"/>
      <c r="AS26" s="28"/>
    </row>
    <row r="27" spans="1:45" ht="15.75" thickBot="1" x14ac:dyDescent="0.3">
      <c r="C27" s="46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1017</v>
      </c>
      <c r="L27" s="17">
        <f t="shared" si="6"/>
        <v>28</v>
      </c>
      <c r="M27" s="17">
        <f t="shared" si="7"/>
        <v>0</v>
      </c>
      <c r="N27" s="18">
        <f t="shared" si="8"/>
        <v>1</v>
      </c>
      <c r="O27" s="28"/>
      <c r="P27" s="8"/>
      <c r="Q27" s="8"/>
      <c r="R27" s="8"/>
      <c r="S27" s="28"/>
      <c r="T27" s="28"/>
      <c r="U27" s="8"/>
      <c r="V27" s="8"/>
      <c r="W27" s="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8"/>
      <c r="AJ27" s="8"/>
      <c r="AK27" s="8"/>
      <c r="AL27" s="8"/>
      <c r="AM27" s="8"/>
      <c r="AN27" s="28"/>
      <c r="AO27" s="8"/>
      <c r="AP27" s="8"/>
      <c r="AQ27" s="28"/>
      <c r="AR27" s="28"/>
      <c r="AS27" s="28"/>
    </row>
    <row r="28" spans="1:45" ht="15.75" thickBot="1" x14ac:dyDescent="0.3">
      <c r="C28" s="46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1018</v>
      </c>
      <c r="L28" s="17">
        <f t="shared" si="6"/>
        <v>28</v>
      </c>
      <c r="M28" s="17">
        <f t="shared" si="7"/>
        <v>0</v>
      </c>
      <c r="N28" s="18">
        <f t="shared" si="8"/>
        <v>1</v>
      </c>
      <c r="O28" s="28"/>
      <c r="P28" s="8"/>
      <c r="Q28" s="8"/>
      <c r="R28" s="8"/>
      <c r="S28" s="28"/>
      <c r="T28" s="28"/>
      <c r="U28" s="8"/>
      <c r="V28" s="8"/>
      <c r="W28" s="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8"/>
      <c r="AJ28" s="8"/>
      <c r="AK28" s="8"/>
      <c r="AL28" s="8"/>
      <c r="AM28" s="8"/>
      <c r="AN28" s="28"/>
      <c r="AO28" s="8"/>
      <c r="AP28" s="8"/>
      <c r="AQ28" s="28"/>
      <c r="AR28" s="28"/>
      <c r="AS28" s="28"/>
    </row>
    <row r="29" spans="1:45" ht="15.75" thickBot="1" x14ac:dyDescent="0.3">
      <c r="C29" s="46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1019</v>
      </c>
      <c r="L29" s="17">
        <f t="shared" si="6"/>
        <v>28</v>
      </c>
      <c r="M29" s="17">
        <f t="shared" si="7"/>
        <v>0</v>
      </c>
      <c r="N29" s="18">
        <f t="shared" si="8"/>
        <v>1</v>
      </c>
      <c r="O29" s="28"/>
      <c r="P29" s="8"/>
      <c r="Q29" s="8"/>
      <c r="R29" s="8"/>
      <c r="S29" s="28"/>
      <c r="T29" s="28"/>
      <c r="U29" s="8"/>
      <c r="V29" s="8"/>
      <c r="W29" s="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8"/>
      <c r="AJ29" s="8"/>
      <c r="AK29" s="8"/>
      <c r="AL29" s="8"/>
      <c r="AM29" s="8"/>
      <c r="AN29" s="28"/>
      <c r="AO29" s="8"/>
      <c r="AP29" s="8"/>
      <c r="AQ29" s="28"/>
      <c r="AR29" s="28"/>
      <c r="AS29" s="28"/>
    </row>
    <row r="30" spans="1:45" ht="15.75" thickBot="1" x14ac:dyDescent="0.3">
      <c r="A30" t="s">
        <v>80</v>
      </c>
      <c r="C30" s="46" t="s">
        <v>92</v>
      </c>
      <c r="D30" t="s">
        <v>93</v>
      </c>
      <c r="E30" t="s">
        <v>19</v>
      </c>
      <c r="F30" t="s">
        <v>945</v>
      </c>
      <c r="G30"/>
      <c r="H30" t="s">
        <v>94</v>
      </c>
      <c r="I30" s="16">
        <v>-347999170000</v>
      </c>
      <c r="J30" s="16">
        <v>-582863530000</v>
      </c>
      <c r="K30" s="16" t="s">
        <v>1020</v>
      </c>
      <c r="L30" s="17">
        <f t="shared" si="6"/>
        <v>27</v>
      </c>
      <c r="M30" s="17">
        <f t="shared" si="7"/>
        <v>1</v>
      </c>
      <c r="N30" s="18">
        <f t="shared" si="8"/>
        <v>0.9642857142857143</v>
      </c>
      <c r="O30" s="28"/>
      <c r="P30" s="8"/>
      <c r="Q30" s="8"/>
      <c r="R30" s="8"/>
      <c r="S30" s="28"/>
      <c r="T30" s="28"/>
      <c r="U30" s="8"/>
      <c r="V30" s="8"/>
      <c r="W30" s="8" t="s">
        <v>939</v>
      </c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8"/>
      <c r="AJ30" s="8"/>
      <c r="AK30" s="8"/>
      <c r="AL30" s="8"/>
      <c r="AM30" s="8"/>
      <c r="AN30" s="28"/>
      <c r="AO30" s="8"/>
      <c r="AP30" s="8"/>
      <c r="AQ30" s="28"/>
      <c r="AR30" s="28"/>
      <c r="AS30" s="28"/>
    </row>
    <row r="31" spans="1:45" ht="15.75" thickBot="1" x14ac:dyDescent="0.3">
      <c r="A31" t="s">
        <v>80</v>
      </c>
      <c r="C31" s="46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1021</v>
      </c>
      <c r="L31" s="17">
        <f t="shared" si="6"/>
        <v>28</v>
      </c>
      <c r="M31" s="17">
        <f t="shared" si="7"/>
        <v>0</v>
      </c>
      <c r="N31" s="18">
        <f t="shared" si="8"/>
        <v>1</v>
      </c>
      <c r="O31" s="28"/>
      <c r="P31" s="8"/>
      <c r="Q31" s="8"/>
      <c r="R31" s="8"/>
      <c r="S31" s="28"/>
      <c r="T31" s="28"/>
      <c r="U31" s="8"/>
      <c r="V31" s="8"/>
      <c r="W31" s="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8"/>
      <c r="AJ31" s="8"/>
      <c r="AK31" s="8"/>
      <c r="AL31" s="8"/>
      <c r="AM31" s="8"/>
      <c r="AN31" s="28"/>
      <c r="AO31" s="8"/>
      <c r="AP31" s="8"/>
      <c r="AQ31" s="28"/>
      <c r="AR31" s="28"/>
      <c r="AS31" s="28"/>
    </row>
    <row r="32" spans="1:45" ht="15.75" thickBot="1" x14ac:dyDescent="0.3">
      <c r="A32" t="s">
        <v>80</v>
      </c>
      <c r="C32" s="46" t="s">
        <v>98</v>
      </c>
      <c r="D32" t="s">
        <v>921</v>
      </c>
      <c r="E32" t="s">
        <v>19</v>
      </c>
      <c r="F32" t="s">
        <v>945</v>
      </c>
      <c r="G32"/>
      <c r="H32" t="s">
        <v>99</v>
      </c>
      <c r="I32" s="16">
        <v>-348038200000</v>
      </c>
      <c r="J32" s="16">
        <v>-582766160000</v>
      </c>
      <c r="K32" s="16" t="s">
        <v>1022</v>
      </c>
      <c r="L32" s="17">
        <f t="shared" si="6"/>
        <v>28</v>
      </c>
      <c r="M32" s="17">
        <f t="shared" si="7"/>
        <v>0</v>
      </c>
      <c r="N32" s="18">
        <f t="shared" si="8"/>
        <v>1</v>
      </c>
      <c r="O32" s="28"/>
      <c r="P32" s="8"/>
      <c r="Q32" s="8"/>
      <c r="R32" s="8"/>
      <c r="S32" s="28"/>
      <c r="T32" s="28"/>
      <c r="U32" s="8"/>
      <c r="V32" s="8"/>
      <c r="W32" s="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8"/>
      <c r="AJ32" s="8"/>
      <c r="AK32" s="8"/>
      <c r="AL32" s="8"/>
      <c r="AM32" s="8"/>
      <c r="AN32" s="28"/>
      <c r="AO32" s="8"/>
      <c r="AP32" s="8"/>
      <c r="AQ32" s="28"/>
      <c r="AR32" s="28"/>
      <c r="AS32" s="28"/>
    </row>
    <row r="33" spans="1:45" ht="15.75" thickBot="1" x14ac:dyDescent="0.3">
      <c r="A33" t="s">
        <v>80</v>
      </c>
      <c r="C33" s="46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1023</v>
      </c>
      <c r="L33" s="17">
        <f t="shared" si="6"/>
        <v>28</v>
      </c>
      <c r="M33" s="17">
        <f t="shared" si="7"/>
        <v>0</v>
      </c>
      <c r="N33" s="18">
        <f t="shared" si="8"/>
        <v>1</v>
      </c>
      <c r="O33" s="28"/>
      <c r="P33" s="8"/>
      <c r="Q33" s="8"/>
      <c r="R33" s="8"/>
      <c r="S33" s="28"/>
      <c r="T33" s="28"/>
      <c r="U33" s="8"/>
      <c r="V33" s="8"/>
      <c r="W33" s="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8"/>
      <c r="AJ33" s="8"/>
      <c r="AK33" s="8"/>
      <c r="AL33" s="8"/>
      <c r="AM33" s="8"/>
      <c r="AN33" s="28"/>
      <c r="AO33" s="8"/>
      <c r="AP33" s="8"/>
      <c r="AQ33" s="28"/>
      <c r="AR33" s="28"/>
      <c r="AS33" s="28"/>
    </row>
    <row r="34" spans="1:45" ht="15.75" thickBot="1" x14ac:dyDescent="0.3">
      <c r="A34" t="s">
        <v>80</v>
      </c>
      <c r="C34" s="46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1033</v>
      </c>
      <c r="L34" s="17">
        <f t="shared" si="6"/>
        <v>28</v>
      </c>
      <c r="M34" s="17">
        <f t="shared" si="7"/>
        <v>0</v>
      </c>
      <c r="N34" s="18">
        <f t="shared" si="8"/>
        <v>1</v>
      </c>
      <c r="O34" s="28"/>
      <c r="P34" s="8"/>
      <c r="Q34" s="8"/>
      <c r="R34" s="8"/>
      <c r="S34" s="28"/>
      <c r="T34" s="28"/>
      <c r="U34" s="8"/>
      <c r="V34" s="8"/>
      <c r="W34" s="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8"/>
      <c r="AJ34" s="8"/>
      <c r="AK34" s="8"/>
      <c r="AL34" s="8"/>
      <c r="AM34" s="8"/>
      <c r="AN34" s="28"/>
      <c r="AO34" s="8"/>
      <c r="AP34" s="8"/>
      <c r="AQ34" s="28"/>
      <c r="AR34" s="28"/>
      <c r="AS34" s="28"/>
    </row>
    <row r="35" spans="1:45" ht="15.75" thickBot="1" x14ac:dyDescent="0.3">
      <c r="A35" t="s">
        <v>80</v>
      </c>
      <c r="C35" s="46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1034</v>
      </c>
      <c r="L35" s="17">
        <f t="shared" si="6"/>
        <v>28</v>
      </c>
      <c r="M35" s="17">
        <f t="shared" si="7"/>
        <v>0</v>
      </c>
      <c r="N35" s="18">
        <f t="shared" si="8"/>
        <v>1</v>
      </c>
      <c r="O35" s="28"/>
      <c r="P35" s="8"/>
      <c r="Q35" s="8"/>
      <c r="R35" s="8"/>
      <c r="S35" s="28"/>
      <c r="T35" s="28"/>
      <c r="U35" s="8"/>
      <c r="V35" s="8"/>
      <c r="W35" s="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8"/>
      <c r="AJ35" s="8"/>
      <c r="AK35" s="8"/>
      <c r="AL35" s="8"/>
      <c r="AM35" s="8"/>
      <c r="AN35" s="28"/>
      <c r="AO35" s="8"/>
      <c r="AP35" s="8"/>
      <c r="AQ35" s="28"/>
      <c r="AR35" s="28"/>
      <c r="AS35" s="28"/>
    </row>
    <row r="36" spans="1:45" ht="15.75" thickBot="1" x14ac:dyDescent="0.3">
      <c r="A36" t="s">
        <v>80</v>
      </c>
      <c r="C36" s="46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1035</v>
      </c>
      <c r="L36" s="17">
        <f t="shared" si="6"/>
        <v>28</v>
      </c>
      <c r="M36" s="17">
        <f t="shared" si="7"/>
        <v>0</v>
      </c>
      <c r="N36" s="18">
        <f t="shared" si="8"/>
        <v>1</v>
      </c>
      <c r="O36" s="28"/>
      <c r="P36" s="8"/>
      <c r="Q36" s="8"/>
      <c r="R36" s="8"/>
      <c r="S36" s="28"/>
      <c r="T36" s="28"/>
      <c r="U36" s="8"/>
      <c r="V36" s="8"/>
      <c r="W36" s="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8"/>
      <c r="AJ36" s="8"/>
      <c r="AK36" s="8"/>
      <c r="AL36" s="8"/>
      <c r="AM36" s="8"/>
      <c r="AN36" s="28"/>
      <c r="AO36" s="8"/>
      <c r="AP36" s="8"/>
      <c r="AQ36" s="28"/>
      <c r="AR36" s="28"/>
      <c r="AS36" s="28"/>
    </row>
    <row r="37" spans="1:45" ht="15.75" thickBot="1" x14ac:dyDescent="0.3">
      <c r="A37" t="s">
        <v>80</v>
      </c>
      <c r="C37" s="46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960</v>
      </c>
      <c r="L37" s="17">
        <f t="shared" si="6"/>
        <v>21</v>
      </c>
      <c r="M37" s="17">
        <f t="shared" si="7"/>
        <v>7</v>
      </c>
      <c r="N37" s="18">
        <f t="shared" si="8"/>
        <v>0.75</v>
      </c>
      <c r="O37" s="28" t="s">
        <v>939</v>
      </c>
      <c r="P37" s="8" t="s">
        <v>939</v>
      </c>
      <c r="Q37" s="8" t="s">
        <v>939</v>
      </c>
      <c r="R37" s="8" t="s">
        <v>939</v>
      </c>
      <c r="S37" s="28" t="s">
        <v>939</v>
      </c>
      <c r="T37" s="28" t="s">
        <v>939</v>
      </c>
      <c r="U37" s="8" t="s">
        <v>939</v>
      </c>
      <c r="V37" s="8"/>
      <c r="W37" s="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8"/>
      <c r="AJ37" s="28"/>
      <c r="AK37" s="8"/>
      <c r="AL37" s="8"/>
      <c r="AM37" s="8"/>
      <c r="AN37" s="28"/>
      <c r="AO37" s="8"/>
      <c r="AP37" s="8"/>
      <c r="AQ37" s="28"/>
      <c r="AR37" s="28"/>
      <c r="AS37" s="28"/>
    </row>
    <row r="38" spans="1:45" ht="15.75" thickBot="1" x14ac:dyDescent="0.3">
      <c r="A38" t="s">
        <v>80</v>
      </c>
      <c r="C38" s="46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952</v>
      </c>
      <c r="L38" s="17">
        <f t="shared" si="6"/>
        <v>27</v>
      </c>
      <c r="M38" s="17">
        <f t="shared" si="7"/>
        <v>0</v>
      </c>
      <c r="N38" s="18">
        <f t="shared" si="8"/>
        <v>1</v>
      </c>
      <c r="O38" s="28"/>
      <c r="P38" s="8"/>
      <c r="Q38" s="8"/>
      <c r="R38" s="8"/>
      <c r="S38" s="28"/>
      <c r="T38" s="28"/>
      <c r="U38" s="8" t="s">
        <v>940</v>
      </c>
      <c r="V38" s="8"/>
      <c r="W38" s="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8"/>
      <c r="AJ38" s="8"/>
      <c r="AK38" s="8"/>
      <c r="AL38" s="8"/>
      <c r="AM38" s="8"/>
      <c r="AN38" s="28"/>
      <c r="AO38" s="8"/>
      <c r="AP38" s="8"/>
      <c r="AQ38" s="28"/>
      <c r="AR38" s="28"/>
      <c r="AS38" s="28"/>
    </row>
    <row r="39" spans="1:45" ht="15.75" thickBot="1" x14ac:dyDescent="0.3">
      <c r="A39" t="s">
        <v>80</v>
      </c>
      <c r="C39" s="46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961</v>
      </c>
      <c r="L39" s="17">
        <f t="shared" si="6"/>
        <v>28</v>
      </c>
      <c r="M39" s="17">
        <f t="shared" si="7"/>
        <v>0</v>
      </c>
      <c r="N39" s="18">
        <f t="shared" si="8"/>
        <v>1</v>
      </c>
      <c r="O39" s="28"/>
      <c r="P39" s="8"/>
      <c r="Q39" s="8"/>
      <c r="R39" s="8"/>
      <c r="S39" s="28"/>
      <c r="T39" s="28"/>
      <c r="U39" s="8"/>
      <c r="V39" s="8"/>
      <c r="W39" s="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8"/>
      <c r="AJ39" s="8"/>
      <c r="AK39" s="8"/>
      <c r="AL39" s="8"/>
      <c r="AM39" s="8"/>
      <c r="AN39" s="28"/>
      <c r="AO39" s="8"/>
      <c r="AP39" s="8"/>
      <c r="AQ39" s="28"/>
      <c r="AR39" s="28"/>
      <c r="AS39" s="28"/>
    </row>
    <row r="40" spans="1:45" ht="15.75" thickBot="1" x14ac:dyDescent="0.3">
      <c r="A40" t="s">
        <v>80</v>
      </c>
      <c r="C40" s="46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962</v>
      </c>
      <c r="L40" s="17">
        <f t="shared" si="6"/>
        <v>28</v>
      </c>
      <c r="M40" s="17">
        <f t="shared" si="7"/>
        <v>0</v>
      </c>
      <c r="N40" s="18">
        <f t="shared" si="8"/>
        <v>1</v>
      </c>
      <c r="O40" s="28"/>
      <c r="P40" s="8"/>
      <c r="Q40" s="8"/>
      <c r="R40" s="8"/>
      <c r="S40" s="28"/>
      <c r="T40" s="28"/>
      <c r="U40" s="8"/>
      <c r="V40" s="8"/>
      <c r="W40" s="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8"/>
      <c r="AJ40" s="8"/>
      <c r="AK40" s="8"/>
      <c r="AL40" s="8"/>
      <c r="AM40" s="8"/>
      <c r="AN40" s="28"/>
      <c r="AO40" s="8"/>
      <c r="AP40" s="8"/>
      <c r="AQ40" s="28"/>
      <c r="AR40" s="28"/>
      <c r="AS40" s="28"/>
    </row>
    <row r="41" spans="1:45" ht="15.75" thickBot="1" x14ac:dyDescent="0.3">
      <c r="A41" t="s">
        <v>80</v>
      </c>
      <c r="C41" s="46" t="s">
        <v>124</v>
      </c>
      <c r="D41" t="s">
        <v>943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963</v>
      </c>
      <c r="L41" s="17">
        <f t="shared" si="6"/>
        <v>20</v>
      </c>
      <c r="M41" s="17">
        <f t="shared" si="7"/>
        <v>8</v>
      </c>
      <c r="N41" s="18">
        <f t="shared" si="8"/>
        <v>0.7142857142857143</v>
      </c>
      <c r="O41" s="28"/>
      <c r="P41" s="8" t="s">
        <v>939</v>
      </c>
      <c r="Q41" s="8" t="s">
        <v>939</v>
      </c>
      <c r="R41" s="8" t="s">
        <v>939</v>
      </c>
      <c r="S41" s="28" t="s">
        <v>939</v>
      </c>
      <c r="T41" s="28" t="s">
        <v>939</v>
      </c>
      <c r="U41" s="8" t="s">
        <v>939</v>
      </c>
      <c r="V41" s="8"/>
      <c r="W41" s="8" t="s">
        <v>939</v>
      </c>
      <c r="X41" s="28" t="s">
        <v>939</v>
      </c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8"/>
      <c r="AJ41" s="8"/>
      <c r="AK41" s="8"/>
      <c r="AL41" s="8"/>
      <c r="AM41" s="8"/>
      <c r="AN41" s="28"/>
      <c r="AO41" s="8"/>
      <c r="AP41" s="8"/>
      <c r="AQ41" s="28"/>
      <c r="AR41" s="28"/>
      <c r="AS41" s="28"/>
    </row>
    <row r="42" spans="1:45" ht="15.75" thickBot="1" x14ac:dyDescent="0.3">
      <c r="A42" t="s">
        <v>80</v>
      </c>
      <c r="C42" s="46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964</v>
      </c>
      <c r="L42" s="17">
        <f t="shared" si="6"/>
        <v>28</v>
      </c>
      <c r="M42" s="17">
        <f t="shared" si="7"/>
        <v>0</v>
      </c>
      <c r="N42" s="18">
        <f t="shared" si="8"/>
        <v>1</v>
      </c>
      <c r="O42" s="28"/>
      <c r="P42" s="8"/>
      <c r="Q42" s="8"/>
      <c r="R42" s="8"/>
      <c r="S42" s="28"/>
      <c r="T42" s="28"/>
      <c r="U42" s="8"/>
      <c r="V42" s="8"/>
      <c r="W42" s="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8"/>
      <c r="AJ42" s="8"/>
      <c r="AK42" s="8"/>
      <c r="AL42" s="8"/>
      <c r="AM42" s="8"/>
      <c r="AN42" s="28"/>
      <c r="AO42" s="8"/>
      <c r="AP42" s="8"/>
      <c r="AQ42" s="28"/>
      <c r="AR42" s="28"/>
      <c r="AS42" s="28"/>
    </row>
    <row r="43" spans="1:45" ht="15.75" thickBot="1" x14ac:dyDescent="0.3">
      <c r="A43" t="s">
        <v>80</v>
      </c>
      <c r="C43" s="46" t="s">
        <v>130</v>
      </c>
      <c r="D43" t="s">
        <v>942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965</v>
      </c>
      <c r="L43" s="17">
        <f t="shared" si="6"/>
        <v>25</v>
      </c>
      <c r="M43" s="17">
        <f t="shared" si="7"/>
        <v>3</v>
      </c>
      <c r="N43" s="18">
        <f t="shared" si="8"/>
        <v>0.8928571428571429</v>
      </c>
      <c r="O43" s="28"/>
      <c r="P43" s="8"/>
      <c r="Q43" s="8"/>
      <c r="R43" s="8"/>
      <c r="S43" s="28"/>
      <c r="T43" s="28"/>
      <c r="U43" s="8"/>
      <c r="V43" s="8"/>
      <c r="W43" s="8" t="s">
        <v>939</v>
      </c>
      <c r="X43" s="28" t="s">
        <v>939</v>
      </c>
      <c r="Y43" s="28" t="s">
        <v>939</v>
      </c>
      <c r="Z43" s="28"/>
      <c r="AA43" s="28"/>
      <c r="AB43" s="28"/>
      <c r="AC43" s="28"/>
      <c r="AD43" s="28"/>
      <c r="AE43" s="28"/>
      <c r="AF43" s="28"/>
      <c r="AG43" s="28"/>
      <c r="AH43" s="28"/>
      <c r="AI43" s="8"/>
      <c r="AJ43" s="8"/>
      <c r="AK43" s="8"/>
      <c r="AL43" s="8"/>
      <c r="AM43" s="8"/>
      <c r="AN43" s="28"/>
      <c r="AO43" s="8"/>
      <c r="AP43" s="8"/>
      <c r="AQ43" s="28"/>
      <c r="AR43" s="28"/>
      <c r="AS43" s="28"/>
    </row>
    <row r="44" spans="1:45" ht="15.75" thickBot="1" x14ac:dyDescent="0.3">
      <c r="A44" t="s">
        <v>80</v>
      </c>
      <c r="C44" s="46" t="s">
        <v>133</v>
      </c>
      <c r="D44" t="s">
        <v>941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966</v>
      </c>
      <c r="L44" s="17">
        <f t="shared" si="6"/>
        <v>17</v>
      </c>
      <c r="M44" s="17">
        <f t="shared" si="7"/>
        <v>11</v>
      </c>
      <c r="N44" s="18">
        <f t="shared" si="8"/>
        <v>0.6071428571428571</v>
      </c>
      <c r="O44" s="28" t="s">
        <v>939</v>
      </c>
      <c r="P44" s="8" t="s">
        <v>939</v>
      </c>
      <c r="Q44" s="8" t="s">
        <v>939</v>
      </c>
      <c r="R44" s="8" t="s">
        <v>939</v>
      </c>
      <c r="S44" s="28" t="s">
        <v>939</v>
      </c>
      <c r="T44" s="28" t="s">
        <v>939</v>
      </c>
      <c r="U44" s="8" t="s">
        <v>939</v>
      </c>
      <c r="V44" s="8" t="s">
        <v>939</v>
      </c>
      <c r="W44" s="8" t="s">
        <v>939</v>
      </c>
      <c r="X44" s="28" t="s">
        <v>939</v>
      </c>
      <c r="Y44" s="28" t="s">
        <v>939</v>
      </c>
      <c r="Z44" s="28"/>
      <c r="AA44" s="28"/>
      <c r="AB44" s="28"/>
      <c r="AC44" s="28"/>
      <c r="AD44" s="28"/>
      <c r="AE44" s="28"/>
      <c r="AF44" s="28"/>
      <c r="AG44" s="28"/>
      <c r="AH44" s="28"/>
      <c r="AI44" s="8"/>
      <c r="AJ44" s="28"/>
      <c r="AK44" s="8"/>
      <c r="AL44" s="8"/>
      <c r="AM44" s="8"/>
      <c r="AN44" s="28"/>
      <c r="AO44" s="8"/>
      <c r="AP44" s="8"/>
      <c r="AQ44" s="28"/>
      <c r="AR44" s="28"/>
      <c r="AS44" s="28"/>
    </row>
    <row r="45" spans="1:45" ht="15.75" thickBot="1" x14ac:dyDescent="0.3">
      <c r="A45" t="s">
        <v>80</v>
      </c>
      <c r="C45" s="46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967</v>
      </c>
      <c r="L45" s="17">
        <f t="shared" si="6"/>
        <v>28</v>
      </c>
      <c r="M45" s="17">
        <f t="shared" si="7"/>
        <v>0</v>
      </c>
      <c r="N45" s="18">
        <f t="shared" si="8"/>
        <v>1</v>
      </c>
      <c r="O45" s="28"/>
      <c r="P45" s="8"/>
      <c r="Q45" s="8"/>
      <c r="R45" s="8"/>
      <c r="S45" s="28"/>
      <c r="T45" s="28"/>
      <c r="U45" s="8"/>
      <c r="V45" s="8"/>
      <c r="W45" s="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8"/>
      <c r="AJ45" s="8"/>
      <c r="AK45" s="8"/>
      <c r="AL45" s="8"/>
      <c r="AM45" s="8"/>
      <c r="AN45" s="28"/>
      <c r="AO45" s="8"/>
      <c r="AP45" s="8"/>
      <c r="AQ45" s="28"/>
      <c r="AR45" s="28"/>
      <c r="AS45" s="28"/>
    </row>
    <row r="46" spans="1:45" ht="15.75" thickBot="1" x14ac:dyDescent="0.3">
      <c r="A46" t="s">
        <v>80</v>
      </c>
      <c r="C46" s="46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968</v>
      </c>
      <c r="L46" s="17">
        <f t="shared" si="6"/>
        <v>28</v>
      </c>
      <c r="M46" s="17">
        <f t="shared" si="7"/>
        <v>0</v>
      </c>
      <c r="N46" s="18">
        <f t="shared" si="8"/>
        <v>1</v>
      </c>
      <c r="O46" s="28"/>
      <c r="P46" s="8"/>
      <c r="Q46" s="8"/>
      <c r="R46" s="8"/>
      <c r="S46" s="28"/>
      <c r="T46" s="28"/>
      <c r="U46" s="8"/>
      <c r="V46" s="8"/>
      <c r="W46" s="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8"/>
      <c r="AJ46" s="8"/>
      <c r="AK46" s="8"/>
      <c r="AL46" s="8"/>
      <c r="AM46" s="8"/>
      <c r="AN46" s="28"/>
      <c r="AO46" s="8"/>
      <c r="AP46" s="8"/>
      <c r="AQ46" s="28"/>
      <c r="AR46" s="28"/>
      <c r="AS46" s="28"/>
    </row>
    <row r="47" spans="1:45" ht="15.75" thickBot="1" x14ac:dyDescent="0.3">
      <c r="A47" t="s">
        <v>80</v>
      </c>
      <c r="C47" s="46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969</v>
      </c>
      <c r="L47" s="17">
        <f t="shared" si="6"/>
        <v>28</v>
      </c>
      <c r="M47" s="17">
        <f t="shared" si="7"/>
        <v>0</v>
      </c>
      <c r="N47" s="18">
        <f t="shared" si="8"/>
        <v>1</v>
      </c>
      <c r="O47" s="28"/>
      <c r="P47" s="8"/>
      <c r="Q47" s="8"/>
      <c r="R47" s="8"/>
      <c r="S47" s="28"/>
      <c r="T47" s="28"/>
      <c r="U47" s="8"/>
      <c r="V47" s="8"/>
      <c r="W47" s="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8"/>
      <c r="AJ47" s="8"/>
      <c r="AK47" s="8"/>
      <c r="AL47" s="8"/>
      <c r="AM47" s="8"/>
      <c r="AN47" s="28"/>
      <c r="AO47" s="8"/>
      <c r="AP47" s="8"/>
      <c r="AQ47" s="28"/>
      <c r="AR47" s="28"/>
      <c r="AS47" s="28"/>
    </row>
    <row r="48" spans="1:45" ht="15.75" thickBot="1" x14ac:dyDescent="0.3">
      <c r="A48" t="s">
        <v>80</v>
      </c>
      <c r="C48" s="46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970</v>
      </c>
      <c r="L48" s="17">
        <f t="shared" si="6"/>
        <v>25</v>
      </c>
      <c r="M48" s="17">
        <f t="shared" si="7"/>
        <v>3</v>
      </c>
      <c r="N48" s="18">
        <f t="shared" si="8"/>
        <v>0.8928571428571429</v>
      </c>
      <c r="O48" s="28"/>
      <c r="P48" s="8"/>
      <c r="Q48" s="8"/>
      <c r="R48" s="8"/>
      <c r="S48" s="28"/>
      <c r="T48" s="28"/>
      <c r="U48" s="8"/>
      <c r="V48" s="8"/>
      <c r="W48" s="8" t="s">
        <v>939</v>
      </c>
      <c r="X48" s="28" t="s">
        <v>939</v>
      </c>
      <c r="Y48" s="28" t="s">
        <v>939</v>
      </c>
      <c r="Z48" s="28"/>
      <c r="AA48" s="28"/>
      <c r="AB48" s="28"/>
      <c r="AC48" s="28"/>
      <c r="AD48" s="28"/>
      <c r="AE48" s="28"/>
      <c r="AF48" s="28"/>
      <c r="AG48" s="28"/>
      <c r="AH48" s="28"/>
      <c r="AI48" s="8"/>
      <c r="AJ48" s="8"/>
      <c r="AK48" s="8"/>
      <c r="AL48" s="8"/>
      <c r="AM48" s="8"/>
      <c r="AN48" s="28"/>
      <c r="AO48" s="8"/>
      <c r="AP48" s="8"/>
      <c r="AQ48" s="28"/>
      <c r="AR48" s="28"/>
      <c r="AS48" s="28"/>
    </row>
    <row r="49" spans="1:45" ht="15.75" thickBot="1" x14ac:dyDescent="0.3">
      <c r="A49" t="s">
        <v>80</v>
      </c>
      <c r="C49" s="46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971</v>
      </c>
      <c r="L49" s="17">
        <f t="shared" si="6"/>
        <v>28</v>
      </c>
      <c r="M49" s="17">
        <f t="shared" si="7"/>
        <v>0</v>
      </c>
      <c r="N49" s="18">
        <f t="shared" si="8"/>
        <v>1</v>
      </c>
      <c r="O49" s="28"/>
      <c r="P49" s="8"/>
      <c r="Q49" s="8"/>
      <c r="R49" s="8"/>
      <c r="S49" s="28"/>
      <c r="T49" s="28"/>
      <c r="U49" s="8"/>
      <c r="V49" s="8"/>
      <c r="W49" s="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8"/>
      <c r="AJ49" s="8"/>
      <c r="AK49" s="8"/>
      <c r="AL49" s="8"/>
      <c r="AM49" s="8"/>
      <c r="AN49" s="28"/>
      <c r="AO49" s="8"/>
      <c r="AP49" s="8"/>
      <c r="AQ49" s="28"/>
      <c r="AR49" s="28"/>
      <c r="AS49" s="28"/>
    </row>
    <row r="50" spans="1:45" ht="15.75" thickBot="1" x14ac:dyDescent="0.3">
      <c r="A50" t="s">
        <v>80</v>
      </c>
      <c r="C50" s="46" t="s">
        <v>150</v>
      </c>
      <c r="D50" t="s">
        <v>1328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972</v>
      </c>
      <c r="L50" s="17">
        <f t="shared" si="6"/>
        <v>28</v>
      </c>
      <c r="M50" s="17">
        <f t="shared" si="7"/>
        <v>0</v>
      </c>
      <c r="N50" s="18">
        <f t="shared" si="8"/>
        <v>1</v>
      </c>
      <c r="O50" s="28"/>
      <c r="P50" s="8"/>
      <c r="Q50" s="8"/>
      <c r="R50" s="8"/>
      <c r="S50" s="28"/>
      <c r="T50" s="28"/>
      <c r="U50" s="8"/>
      <c r="V50" s="8"/>
      <c r="W50" s="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8"/>
      <c r="AJ50" s="8"/>
      <c r="AK50" s="8"/>
      <c r="AL50" s="8"/>
      <c r="AM50" s="8"/>
      <c r="AN50" s="28"/>
      <c r="AO50" s="8"/>
      <c r="AP50" s="8"/>
      <c r="AQ50" s="28"/>
      <c r="AR50" s="28"/>
      <c r="AS50" s="28"/>
    </row>
    <row r="51" spans="1:45" ht="15.75" thickBot="1" x14ac:dyDescent="0.3">
      <c r="A51" t="s">
        <v>80</v>
      </c>
      <c r="C51" s="46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973</v>
      </c>
      <c r="L51" s="17">
        <f t="shared" si="6"/>
        <v>28</v>
      </c>
      <c r="M51" s="17">
        <f t="shared" si="7"/>
        <v>0</v>
      </c>
      <c r="N51" s="18">
        <f t="shared" si="8"/>
        <v>1</v>
      </c>
      <c r="O51" s="28"/>
      <c r="P51" s="8"/>
      <c r="Q51" s="8"/>
      <c r="R51" s="8"/>
      <c r="S51" s="28"/>
      <c r="T51" s="28"/>
      <c r="U51" s="8"/>
      <c r="V51" s="8"/>
      <c r="W51" s="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8"/>
      <c r="AJ51" s="8"/>
      <c r="AK51" s="8"/>
      <c r="AL51" s="8"/>
      <c r="AM51" s="8"/>
      <c r="AN51" s="28"/>
      <c r="AO51" s="8"/>
      <c r="AP51" s="8"/>
      <c r="AQ51" s="28"/>
      <c r="AR51" s="28"/>
      <c r="AS51" s="28"/>
    </row>
    <row r="52" spans="1:45" ht="15.75" thickBot="1" x14ac:dyDescent="0.3">
      <c r="A52" t="s">
        <v>80</v>
      </c>
      <c r="C52" s="46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974</v>
      </c>
      <c r="L52" s="17">
        <f t="shared" si="6"/>
        <v>17</v>
      </c>
      <c r="M52" s="17">
        <f t="shared" si="7"/>
        <v>11</v>
      </c>
      <c r="N52" s="18">
        <f t="shared" si="8"/>
        <v>0.6071428571428571</v>
      </c>
      <c r="O52" s="28" t="s">
        <v>939</v>
      </c>
      <c r="P52" s="8" t="s">
        <v>939</v>
      </c>
      <c r="Q52" s="8" t="s">
        <v>939</v>
      </c>
      <c r="R52" s="8" t="s">
        <v>939</v>
      </c>
      <c r="S52" s="28" t="s">
        <v>939</v>
      </c>
      <c r="T52" s="28" t="s">
        <v>939</v>
      </c>
      <c r="U52" s="8" t="s">
        <v>939</v>
      </c>
      <c r="V52" s="8" t="s">
        <v>939</v>
      </c>
      <c r="W52" s="8" t="s">
        <v>939</v>
      </c>
      <c r="X52" s="28" t="s">
        <v>939</v>
      </c>
      <c r="Y52" s="28" t="s">
        <v>939</v>
      </c>
      <c r="Z52" s="28"/>
      <c r="AA52" s="28"/>
      <c r="AB52" s="28"/>
      <c r="AC52" s="28"/>
      <c r="AD52" s="28"/>
      <c r="AE52" s="28"/>
      <c r="AF52" s="28"/>
      <c r="AG52" s="28"/>
      <c r="AH52" s="28"/>
      <c r="AI52" s="8"/>
      <c r="AJ52" s="8"/>
      <c r="AK52" s="8"/>
      <c r="AL52" s="8"/>
      <c r="AM52" s="8"/>
      <c r="AN52" s="28"/>
      <c r="AO52" s="8"/>
      <c r="AP52" s="8"/>
      <c r="AQ52" s="28"/>
      <c r="AR52" s="28"/>
      <c r="AS52" s="28"/>
    </row>
    <row r="53" spans="1:45" ht="15.75" thickBot="1" x14ac:dyDescent="0.3">
      <c r="C53" s="46" t="s">
        <v>159</v>
      </c>
      <c r="D53" t="s">
        <v>160</v>
      </c>
      <c r="E53" t="s">
        <v>24</v>
      </c>
      <c r="F53" t="s">
        <v>945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975</v>
      </c>
      <c r="L53" s="17">
        <f t="shared" si="6"/>
        <v>28</v>
      </c>
      <c r="M53" s="17">
        <f t="shared" si="7"/>
        <v>0</v>
      </c>
      <c r="N53" s="18">
        <f t="shared" si="8"/>
        <v>1</v>
      </c>
      <c r="O53" s="28"/>
      <c r="P53" s="8"/>
      <c r="Q53" s="8"/>
      <c r="R53" s="8"/>
      <c r="S53" s="28"/>
      <c r="T53" s="28"/>
      <c r="U53" s="8"/>
      <c r="V53" s="8"/>
      <c r="W53" s="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8"/>
      <c r="AJ53" s="8"/>
      <c r="AK53" s="8"/>
      <c r="AL53" s="8"/>
      <c r="AM53" s="8"/>
      <c r="AN53" s="28"/>
      <c r="AO53" s="8"/>
      <c r="AP53" s="8"/>
      <c r="AQ53" s="28"/>
      <c r="AR53" s="28"/>
      <c r="AS53" s="28"/>
    </row>
    <row r="54" spans="1:45" ht="15.75" thickBot="1" x14ac:dyDescent="0.3">
      <c r="A54" t="s">
        <v>80</v>
      </c>
      <c r="C54" s="46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976</v>
      </c>
      <c r="L54" s="17">
        <f t="shared" si="6"/>
        <v>21</v>
      </c>
      <c r="M54" s="17">
        <f t="shared" si="7"/>
        <v>7</v>
      </c>
      <c r="N54" s="18">
        <f t="shared" si="8"/>
        <v>0.75</v>
      </c>
      <c r="O54" s="28" t="s">
        <v>939</v>
      </c>
      <c r="P54" s="8" t="s">
        <v>939</v>
      </c>
      <c r="Q54" s="8" t="s">
        <v>939</v>
      </c>
      <c r="R54" s="8" t="s">
        <v>939</v>
      </c>
      <c r="S54" s="28" t="s">
        <v>939</v>
      </c>
      <c r="T54" s="28" t="s">
        <v>939</v>
      </c>
      <c r="U54" s="8" t="s">
        <v>939</v>
      </c>
      <c r="V54" s="8"/>
      <c r="W54" s="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8"/>
      <c r="AJ54" s="28"/>
      <c r="AK54" s="8"/>
      <c r="AL54" s="8"/>
      <c r="AM54" s="8"/>
      <c r="AN54" s="28"/>
      <c r="AO54" s="8"/>
      <c r="AP54" s="8"/>
      <c r="AQ54" s="28"/>
      <c r="AR54" s="28"/>
      <c r="AS54" s="28"/>
    </row>
    <row r="55" spans="1:45" ht="15.75" thickBot="1" x14ac:dyDescent="0.3">
      <c r="A55" t="s">
        <v>80</v>
      </c>
      <c r="C55" s="46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977</v>
      </c>
      <c r="L55" s="17">
        <f t="shared" si="6"/>
        <v>28</v>
      </c>
      <c r="M55" s="17">
        <f t="shared" si="7"/>
        <v>0</v>
      </c>
      <c r="N55" s="18">
        <f t="shared" si="8"/>
        <v>1</v>
      </c>
      <c r="O55" s="28"/>
      <c r="P55" s="8"/>
      <c r="Q55" s="8"/>
      <c r="R55" s="8"/>
      <c r="S55" s="28"/>
      <c r="T55" s="28"/>
      <c r="U55" s="8"/>
      <c r="V55" s="8"/>
      <c r="W55" s="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8"/>
      <c r="AJ55" s="8"/>
      <c r="AK55" s="8"/>
      <c r="AL55" s="8"/>
      <c r="AM55" s="8"/>
      <c r="AN55" s="28"/>
      <c r="AO55" s="8"/>
      <c r="AP55" s="8"/>
      <c r="AQ55" s="28"/>
      <c r="AR55" s="28"/>
      <c r="AS55" s="28"/>
    </row>
    <row r="56" spans="1:45" ht="15.75" thickBot="1" x14ac:dyDescent="0.3">
      <c r="A56" t="s">
        <v>167</v>
      </c>
      <c r="C56" s="46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978</v>
      </c>
      <c r="L56" s="17">
        <f t="shared" si="6"/>
        <v>27</v>
      </c>
      <c r="M56" s="17">
        <f t="shared" si="7"/>
        <v>1</v>
      </c>
      <c r="N56" s="18">
        <f t="shared" si="8"/>
        <v>0.9642857142857143</v>
      </c>
      <c r="O56" s="28"/>
      <c r="P56" s="8"/>
      <c r="Q56" s="8"/>
      <c r="R56" s="8"/>
      <c r="S56" s="28"/>
      <c r="T56" s="28"/>
      <c r="U56" s="8"/>
      <c r="V56" s="8"/>
      <c r="W56" s="8" t="s">
        <v>939</v>
      </c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8"/>
      <c r="AJ56" s="8"/>
      <c r="AK56" s="8"/>
      <c r="AL56" s="8"/>
      <c r="AM56" s="8"/>
      <c r="AN56" s="28"/>
      <c r="AO56" s="8"/>
      <c r="AP56" s="8"/>
      <c r="AQ56" s="28"/>
      <c r="AR56" s="28"/>
      <c r="AS56" s="28"/>
    </row>
    <row r="57" spans="1:45" ht="15.75" thickBot="1" x14ac:dyDescent="0.3">
      <c r="A57" t="s">
        <v>80</v>
      </c>
      <c r="C57" s="46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979</v>
      </c>
      <c r="L57" s="17">
        <f t="shared" si="6"/>
        <v>28</v>
      </c>
      <c r="M57" s="17">
        <f t="shared" si="7"/>
        <v>0</v>
      </c>
      <c r="N57" s="18">
        <f t="shared" si="8"/>
        <v>1</v>
      </c>
      <c r="O57" s="28"/>
      <c r="P57" s="8"/>
      <c r="Q57" s="8"/>
      <c r="R57" s="8"/>
      <c r="S57" s="28"/>
      <c r="T57" s="28"/>
      <c r="U57" s="8"/>
      <c r="V57" s="8"/>
      <c r="W57" s="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8"/>
      <c r="AJ57" s="8"/>
      <c r="AK57" s="8"/>
      <c r="AL57" s="8"/>
      <c r="AM57" s="8"/>
      <c r="AN57" s="28"/>
      <c r="AO57" s="8"/>
      <c r="AP57" s="8"/>
      <c r="AQ57" s="28"/>
      <c r="AR57" s="28"/>
      <c r="AS57" s="28"/>
    </row>
    <row r="58" spans="1:45" ht="15.75" thickBot="1" x14ac:dyDescent="0.3">
      <c r="A58" t="s">
        <v>80</v>
      </c>
      <c r="C58" s="46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980</v>
      </c>
      <c r="L58" s="17">
        <f t="shared" si="6"/>
        <v>28</v>
      </c>
      <c r="M58" s="17">
        <f t="shared" si="7"/>
        <v>0</v>
      </c>
      <c r="N58" s="18">
        <f t="shared" si="8"/>
        <v>1</v>
      </c>
      <c r="O58" s="28"/>
      <c r="P58" s="8"/>
      <c r="Q58" s="8"/>
      <c r="R58" s="8"/>
      <c r="S58" s="28"/>
      <c r="T58" s="28"/>
      <c r="U58" s="8"/>
      <c r="V58" s="8"/>
      <c r="W58" s="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8"/>
      <c r="AJ58" s="8"/>
      <c r="AK58" s="8"/>
      <c r="AL58" s="8"/>
      <c r="AM58" s="8"/>
      <c r="AN58" s="28"/>
      <c r="AO58" s="8"/>
      <c r="AP58" s="8"/>
      <c r="AQ58" s="28"/>
      <c r="AR58" s="28"/>
      <c r="AS58" s="28"/>
    </row>
    <row r="59" spans="1:45" ht="15.75" thickBot="1" x14ac:dyDescent="0.3">
      <c r="A59" t="s">
        <v>80</v>
      </c>
      <c r="C59" s="46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981</v>
      </c>
      <c r="L59" s="17">
        <f t="shared" si="6"/>
        <v>25</v>
      </c>
      <c r="M59" s="17">
        <f t="shared" si="7"/>
        <v>3</v>
      </c>
      <c r="N59" s="18">
        <f t="shared" si="8"/>
        <v>0.8928571428571429</v>
      </c>
      <c r="O59" s="28"/>
      <c r="P59" s="8"/>
      <c r="Q59" s="8"/>
      <c r="R59" s="8"/>
      <c r="S59" s="28"/>
      <c r="T59" s="28"/>
      <c r="U59" s="8"/>
      <c r="V59" s="8"/>
      <c r="W59" s="8" t="s">
        <v>939</v>
      </c>
      <c r="X59" s="28" t="s">
        <v>939</v>
      </c>
      <c r="Y59" s="28" t="s">
        <v>939</v>
      </c>
      <c r="Z59" s="28"/>
      <c r="AA59" s="28"/>
      <c r="AB59" s="28"/>
      <c r="AC59" s="28"/>
      <c r="AD59" s="28"/>
      <c r="AE59" s="28"/>
      <c r="AF59" s="28"/>
      <c r="AG59" s="28"/>
      <c r="AH59" s="28"/>
      <c r="AI59" s="8"/>
      <c r="AJ59" s="8"/>
      <c r="AK59" s="8"/>
      <c r="AL59" s="8"/>
      <c r="AM59" s="8"/>
      <c r="AN59" s="28"/>
      <c r="AO59" s="8"/>
      <c r="AP59" s="8"/>
      <c r="AQ59" s="28"/>
      <c r="AR59" s="28"/>
      <c r="AS59" s="28"/>
    </row>
    <row r="60" spans="1:45" ht="15.75" thickBot="1" x14ac:dyDescent="0.3">
      <c r="A60" t="s">
        <v>80</v>
      </c>
      <c r="C60" s="46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982</v>
      </c>
      <c r="L60" s="17">
        <f t="shared" si="6"/>
        <v>18</v>
      </c>
      <c r="M60" s="17">
        <f t="shared" si="7"/>
        <v>10</v>
      </c>
      <c r="N60" s="18">
        <f t="shared" si="8"/>
        <v>0.6428571428571429</v>
      </c>
      <c r="O60" s="28" t="s">
        <v>939</v>
      </c>
      <c r="P60" s="8" t="s">
        <v>939</v>
      </c>
      <c r="Q60" s="8" t="s">
        <v>939</v>
      </c>
      <c r="R60" s="8" t="s">
        <v>939</v>
      </c>
      <c r="S60" s="28" t="s">
        <v>939</v>
      </c>
      <c r="T60" s="28" t="s">
        <v>939</v>
      </c>
      <c r="U60" s="8" t="s">
        <v>939</v>
      </c>
      <c r="V60" s="8"/>
      <c r="W60" s="8" t="s">
        <v>939</v>
      </c>
      <c r="X60" s="28" t="s">
        <v>939</v>
      </c>
      <c r="Y60" s="28" t="s">
        <v>939</v>
      </c>
      <c r="Z60" s="28"/>
      <c r="AA60" s="28"/>
      <c r="AB60" s="28"/>
      <c r="AC60" s="28"/>
      <c r="AD60" s="28"/>
      <c r="AE60" s="28"/>
      <c r="AF60" s="28"/>
      <c r="AG60" s="28"/>
      <c r="AH60" s="28"/>
      <c r="AI60" s="8"/>
      <c r="AJ60" s="28"/>
      <c r="AK60" s="8"/>
      <c r="AL60" s="8"/>
      <c r="AM60" s="8"/>
      <c r="AN60" s="28"/>
      <c r="AO60" s="8"/>
      <c r="AP60" s="8"/>
      <c r="AQ60" s="28"/>
      <c r="AR60" s="28"/>
      <c r="AS60" s="28"/>
    </row>
    <row r="61" spans="1:45" ht="15.75" thickBot="1" x14ac:dyDescent="0.3">
      <c r="A61" t="s">
        <v>80</v>
      </c>
      <c r="C61" s="46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983</v>
      </c>
      <c r="L61" s="17">
        <f t="shared" si="6"/>
        <v>28</v>
      </c>
      <c r="M61" s="17">
        <f t="shared" si="7"/>
        <v>0</v>
      </c>
      <c r="N61" s="18">
        <f t="shared" si="8"/>
        <v>1</v>
      </c>
      <c r="O61" s="28"/>
      <c r="P61" s="8"/>
      <c r="Q61" s="8"/>
      <c r="R61" s="8"/>
      <c r="S61" s="28"/>
      <c r="T61" s="28"/>
      <c r="U61" s="8"/>
      <c r="V61" s="8"/>
      <c r="W61" s="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8"/>
      <c r="AJ61" s="8"/>
      <c r="AK61" s="8"/>
      <c r="AL61" s="8"/>
      <c r="AM61" s="8"/>
      <c r="AN61" s="28"/>
      <c r="AO61" s="8"/>
      <c r="AP61" s="8"/>
      <c r="AQ61" s="28"/>
      <c r="AR61" s="28"/>
      <c r="AS61" s="28"/>
    </row>
    <row r="62" spans="1:45" ht="15.75" thickBot="1" x14ac:dyDescent="0.3">
      <c r="A62" t="s">
        <v>80</v>
      </c>
      <c r="C62" s="46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984</v>
      </c>
      <c r="L62" s="17">
        <f t="shared" si="6"/>
        <v>27</v>
      </c>
      <c r="M62" s="17">
        <f t="shared" si="7"/>
        <v>1</v>
      </c>
      <c r="N62" s="18">
        <f t="shared" si="8"/>
        <v>0.9642857142857143</v>
      </c>
      <c r="O62" s="28"/>
      <c r="P62" s="8"/>
      <c r="Q62" s="8"/>
      <c r="R62" s="8"/>
      <c r="S62" s="28"/>
      <c r="T62" s="28"/>
      <c r="U62" s="8"/>
      <c r="V62" s="8" t="s">
        <v>939</v>
      </c>
      <c r="W62" s="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8"/>
      <c r="AJ62" s="8"/>
      <c r="AK62" s="8"/>
      <c r="AL62" s="8"/>
      <c r="AM62" s="8"/>
      <c r="AN62" s="28"/>
      <c r="AO62" s="8"/>
      <c r="AP62" s="8"/>
      <c r="AQ62" s="28"/>
      <c r="AR62" s="28"/>
      <c r="AS62" s="28"/>
    </row>
    <row r="63" spans="1:45" ht="15.75" thickBot="1" x14ac:dyDescent="0.3">
      <c r="A63" t="s">
        <v>80</v>
      </c>
      <c r="C63" s="46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985</v>
      </c>
      <c r="L63" s="17">
        <f t="shared" si="6"/>
        <v>19</v>
      </c>
      <c r="M63" s="17">
        <f t="shared" si="7"/>
        <v>9</v>
      </c>
      <c r="N63" s="18">
        <f t="shared" si="8"/>
        <v>0.6785714285714286</v>
      </c>
      <c r="O63" s="28" t="s">
        <v>939</v>
      </c>
      <c r="P63" s="8" t="s">
        <v>939</v>
      </c>
      <c r="Q63" s="8" t="s">
        <v>939</v>
      </c>
      <c r="R63" s="8" t="s">
        <v>939</v>
      </c>
      <c r="S63" s="28" t="s">
        <v>939</v>
      </c>
      <c r="T63" s="28" t="s">
        <v>939</v>
      </c>
      <c r="U63" s="8" t="s">
        <v>939</v>
      </c>
      <c r="V63" s="8" t="s">
        <v>939</v>
      </c>
      <c r="W63" s="8" t="s">
        <v>939</v>
      </c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8"/>
      <c r="AJ63" s="28"/>
      <c r="AK63" s="8"/>
      <c r="AL63" s="8"/>
      <c r="AM63" s="8"/>
      <c r="AN63" s="28"/>
      <c r="AO63" s="8"/>
      <c r="AP63" s="8"/>
      <c r="AQ63" s="28"/>
      <c r="AR63" s="28"/>
      <c r="AS63" s="28"/>
    </row>
    <row r="64" spans="1:45" ht="15.75" thickBot="1" x14ac:dyDescent="0.3">
      <c r="A64" t="s">
        <v>80</v>
      </c>
      <c r="C64" s="46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986</v>
      </c>
      <c r="L64" s="17">
        <f t="shared" si="6"/>
        <v>28</v>
      </c>
      <c r="M64" s="17">
        <f t="shared" si="7"/>
        <v>0</v>
      </c>
      <c r="N64" s="18">
        <f t="shared" si="8"/>
        <v>1</v>
      </c>
      <c r="O64" s="28"/>
      <c r="P64" s="8"/>
      <c r="Q64" s="8"/>
      <c r="R64" s="8"/>
      <c r="S64" s="28"/>
      <c r="T64" s="28"/>
      <c r="U64" s="8"/>
      <c r="V64" s="8"/>
      <c r="W64" s="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8"/>
      <c r="AJ64" s="8"/>
      <c r="AK64" s="8"/>
      <c r="AL64" s="8"/>
      <c r="AM64" s="8"/>
      <c r="AN64" s="28"/>
      <c r="AO64" s="8"/>
      <c r="AP64" s="8"/>
      <c r="AQ64" s="28"/>
      <c r="AR64" s="28"/>
      <c r="AS64" s="28"/>
    </row>
    <row r="65" spans="1:45" ht="15.75" thickBot="1" x14ac:dyDescent="0.3">
      <c r="A65" t="s">
        <v>80</v>
      </c>
      <c r="C65" s="46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987</v>
      </c>
      <c r="L65" s="17">
        <f t="shared" si="6"/>
        <v>17</v>
      </c>
      <c r="M65" s="17">
        <f t="shared" si="7"/>
        <v>11</v>
      </c>
      <c r="N65" s="18">
        <f t="shared" si="8"/>
        <v>0.6071428571428571</v>
      </c>
      <c r="O65" s="28" t="s">
        <v>939</v>
      </c>
      <c r="P65" s="8" t="s">
        <v>939</v>
      </c>
      <c r="Q65" s="8" t="s">
        <v>939</v>
      </c>
      <c r="R65" s="8" t="s">
        <v>939</v>
      </c>
      <c r="S65" s="28" t="s">
        <v>939</v>
      </c>
      <c r="T65" s="28" t="s">
        <v>939</v>
      </c>
      <c r="U65" s="8" t="s">
        <v>939</v>
      </c>
      <c r="V65" s="8" t="s">
        <v>939</v>
      </c>
      <c r="W65" s="8" t="s">
        <v>939</v>
      </c>
      <c r="X65" s="28" t="s">
        <v>939</v>
      </c>
      <c r="Y65" s="28" t="s">
        <v>939</v>
      </c>
      <c r="Z65" s="28"/>
      <c r="AA65" s="28"/>
      <c r="AB65" s="28"/>
      <c r="AC65" s="28"/>
      <c r="AD65" s="28"/>
      <c r="AE65" s="28"/>
      <c r="AF65" s="28"/>
      <c r="AG65" s="28"/>
      <c r="AH65" s="28"/>
      <c r="AI65" s="8"/>
      <c r="AJ65" s="28"/>
      <c r="AK65" s="8"/>
      <c r="AL65" s="8"/>
      <c r="AM65" s="8"/>
      <c r="AN65" s="28"/>
      <c r="AO65" s="8"/>
      <c r="AP65" s="8"/>
      <c r="AQ65" s="28"/>
      <c r="AR65" s="28"/>
      <c r="AS65" s="28"/>
    </row>
    <row r="66" spans="1:45" ht="15.75" thickBot="1" x14ac:dyDescent="0.3">
      <c r="A66" t="s">
        <v>80</v>
      </c>
      <c r="C66" s="46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988</v>
      </c>
      <c r="L66" s="17">
        <f t="shared" si="6"/>
        <v>28</v>
      </c>
      <c r="M66" s="17">
        <f t="shared" si="7"/>
        <v>0</v>
      </c>
      <c r="N66" s="18">
        <f t="shared" si="8"/>
        <v>1</v>
      </c>
      <c r="O66" s="28"/>
      <c r="P66" s="8"/>
      <c r="Q66" s="8"/>
      <c r="R66" s="8"/>
      <c r="S66" s="28"/>
      <c r="T66" s="28"/>
      <c r="U66" s="8"/>
      <c r="V66" s="8"/>
      <c r="W66" s="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8"/>
      <c r="AJ66" s="8"/>
      <c r="AK66" s="8"/>
      <c r="AL66" s="8"/>
      <c r="AM66" s="8"/>
      <c r="AN66" s="28"/>
      <c r="AO66" s="8"/>
      <c r="AP66" s="8"/>
      <c r="AQ66" s="28"/>
      <c r="AR66" s="28"/>
      <c r="AS66" s="28"/>
    </row>
    <row r="67" spans="1:45" ht="15.75" thickBot="1" x14ac:dyDescent="0.3">
      <c r="A67" t="s">
        <v>80</v>
      </c>
      <c r="C67" s="46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989</v>
      </c>
      <c r="L67" s="17">
        <f t="shared" si="6"/>
        <v>28</v>
      </c>
      <c r="M67" s="17">
        <f t="shared" si="7"/>
        <v>0</v>
      </c>
      <c r="N67" s="18">
        <f t="shared" si="8"/>
        <v>1</v>
      </c>
      <c r="O67" s="28"/>
      <c r="P67" s="8"/>
      <c r="Q67" s="8"/>
      <c r="R67" s="8"/>
      <c r="S67" s="28"/>
      <c r="T67" s="28"/>
      <c r="U67" s="8"/>
      <c r="V67" s="8"/>
      <c r="W67" s="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8"/>
      <c r="AJ67" s="8"/>
      <c r="AK67" s="8"/>
      <c r="AL67" s="8"/>
      <c r="AM67" s="8"/>
      <c r="AN67" s="28"/>
      <c r="AO67" s="8"/>
      <c r="AP67" s="8"/>
      <c r="AQ67" s="28"/>
      <c r="AR67" s="28"/>
      <c r="AS67" s="28"/>
    </row>
    <row r="68" spans="1:45" ht="15.75" thickBot="1" x14ac:dyDescent="0.3">
      <c r="A68" t="s">
        <v>80</v>
      </c>
      <c r="C68" s="46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990</v>
      </c>
      <c r="L68" s="17">
        <f t="shared" si="6"/>
        <v>19</v>
      </c>
      <c r="M68" s="17">
        <f t="shared" si="7"/>
        <v>9</v>
      </c>
      <c r="N68" s="18">
        <f t="shared" si="8"/>
        <v>0.6785714285714286</v>
      </c>
      <c r="O68" s="28" t="s">
        <v>939</v>
      </c>
      <c r="P68" s="8" t="s">
        <v>939</v>
      </c>
      <c r="Q68" s="8" t="s">
        <v>939</v>
      </c>
      <c r="R68" s="8" t="s">
        <v>939</v>
      </c>
      <c r="S68" s="28" t="s">
        <v>939</v>
      </c>
      <c r="T68" s="28" t="s">
        <v>939</v>
      </c>
      <c r="U68" s="8" t="s">
        <v>939</v>
      </c>
      <c r="V68" s="8" t="s">
        <v>939</v>
      </c>
      <c r="W68" s="8" t="s">
        <v>939</v>
      </c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8"/>
      <c r="AJ68" s="28"/>
      <c r="AK68" s="8"/>
      <c r="AL68" s="8"/>
      <c r="AM68" s="8"/>
      <c r="AN68" s="28"/>
      <c r="AO68" s="8"/>
      <c r="AP68" s="8"/>
      <c r="AQ68" s="28"/>
      <c r="AR68" s="28"/>
      <c r="AS68" s="28"/>
    </row>
    <row r="69" spans="1:45" ht="15.75" thickBot="1" x14ac:dyDescent="0.3">
      <c r="A69" t="s">
        <v>80</v>
      </c>
      <c r="C69" s="46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991</v>
      </c>
      <c r="L69" s="17">
        <f t="shared" ref="L69:L132" si="9">COUNTIF(O69:AP69,"")</f>
        <v>28</v>
      </c>
      <c r="M69" s="17">
        <f t="shared" ref="M69:M132" si="10">COUNTIF(O69:AP69,"APAGADO")</f>
        <v>0</v>
      </c>
      <c r="N69" s="18">
        <f t="shared" ref="N69:N132" si="11">(L69)/(M69+L69)</f>
        <v>1</v>
      </c>
      <c r="O69" s="28"/>
      <c r="P69" s="8"/>
      <c r="Q69" s="8"/>
      <c r="R69" s="8"/>
      <c r="S69" s="28"/>
      <c r="T69" s="28"/>
      <c r="U69" s="8"/>
      <c r="V69" s="8"/>
      <c r="W69" s="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8"/>
      <c r="AJ69" s="8"/>
      <c r="AK69" s="8"/>
      <c r="AL69" s="8"/>
      <c r="AM69" s="8"/>
      <c r="AN69" s="28"/>
      <c r="AO69" s="8"/>
      <c r="AP69" s="8"/>
      <c r="AQ69" s="28"/>
      <c r="AR69" s="28"/>
      <c r="AS69" s="28"/>
    </row>
    <row r="70" spans="1:45" ht="15.75" thickBot="1" x14ac:dyDescent="0.3">
      <c r="A70" t="s">
        <v>80</v>
      </c>
      <c r="C70" s="46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992</v>
      </c>
      <c r="L70" s="17">
        <f t="shared" si="9"/>
        <v>18</v>
      </c>
      <c r="M70" s="17">
        <f t="shared" si="10"/>
        <v>10</v>
      </c>
      <c r="N70" s="18">
        <f t="shared" si="11"/>
        <v>0.6428571428571429</v>
      </c>
      <c r="O70" s="28" t="s">
        <v>939</v>
      </c>
      <c r="P70" s="8" t="s">
        <v>939</v>
      </c>
      <c r="Q70" s="8" t="s">
        <v>939</v>
      </c>
      <c r="R70" s="8" t="s">
        <v>939</v>
      </c>
      <c r="S70" s="28" t="s">
        <v>939</v>
      </c>
      <c r="T70" s="28" t="s">
        <v>939</v>
      </c>
      <c r="U70" s="8" t="s">
        <v>939</v>
      </c>
      <c r="V70" s="8" t="s">
        <v>939</v>
      </c>
      <c r="W70" s="8" t="s">
        <v>939</v>
      </c>
      <c r="X70" s="28" t="s">
        <v>939</v>
      </c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8"/>
      <c r="AJ70" s="28"/>
      <c r="AK70" s="8"/>
      <c r="AL70" s="8"/>
      <c r="AM70" s="8"/>
      <c r="AN70" s="28"/>
      <c r="AO70" s="8"/>
      <c r="AP70" s="8"/>
      <c r="AQ70" s="28"/>
      <c r="AR70" s="28"/>
      <c r="AS70" s="28"/>
    </row>
    <row r="71" spans="1:45" ht="15.75" thickBot="1" x14ac:dyDescent="0.3">
      <c r="A71" t="s">
        <v>80</v>
      </c>
      <c r="C71" s="46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993</v>
      </c>
      <c r="L71" s="17">
        <f t="shared" si="9"/>
        <v>28</v>
      </c>
      <c r="M71" s="17">
        <f t="shared" si="10"/>
        <v>0</v>
      </c>
      <c r="N71" s="18">
        <f t="shared" si="11"/>
        <v>1</v>
      </c>
      <c r="O71" s="28"/>
      <c r="P71" s="8"/>
      <c r="Q71" s="8"/>
      <c r="R71" s="8"/>
      <c r="S71" s="28"/>
      <c r="T71" s="28"/>
      <c r="U71" s="8"/>
      <c r="V71" s="8"/>
      <c r="W71" s="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8"/>
      <c r="AJ71" s="8"/>
      <c r="AK71" s="8"/>
      <c r="AL71" s="8"/>
      <c r="AM71" s="8"/>
      <c r="AN71" s="28"/>
      <c r="AO71" s="8"/>
      <c r="AP71" s="8"/>
      <c r="AQ71" s="28"/>
      <c r="AR71" s="28"/>
      <c r="AS71" s="28"/>
    </row>
    <row r="72" spans="1:45" ht="15.75" thickBot="1" x14ac:dyDescent="0.3">
      <c r="A72" t="s">
        <v>80</v>
      </c>
      <c r="C72" s="46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994</v>
      </c>
      <c r="L72" s="17">
        <f t="shared" si="9"/>
        <v>28</v>
      </c>
      <c r="M72" s="17">
        <f t="shared" si="10"/>
        <v>0</v>
      </c>
      <c r="N72" s="18">
        <f t="shared" si="11"/>
        <v>1</v>
      </c>
      <c r="O72" s="28"/>
      <c r="P72" s="8"/>
      <c r="Q72" s="8"/>
      <c r="R72" s="8"/>
      <c r="S72" s="28"/>
      <c r="T72" s="28"/>
      <c r="U72" s="8"/>
      <c r="V72" s="8"/>
      <c r="W72" s="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8"/>
      <c r="AJ72" s="8"/>
      <c r="AK72" s="8"/>
      <c r="AL72" s="8"/>
      <c r="AM72" s="8"/>
      <c r="AN72" s="28"/>
      <c r="AO72" s="8"/>
      <c r="AP72" s="8"/>
      <c r="AQ72" s="28"/>
      <c r="AR72" s="28"/>
      <c r="AS72" s="28"/>
    </row>
    <row r="73" spans="1:45" ht="15.75" thickBot="1" x14ac:dyDescent="0.3">
      <c r="A73" t="s">
        <v>80</v>
      </c>
      <c r="C73" s="46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995</v>
      </c>
      <c r="L73" s="17">
        <f t="shared" si="9"/>
        <v>28</v>
      </c>
      <c r="M73" s="17">
        <f t="shared" si="10"/>
        <v>0</v>
      </c>
      <c r="N73" s="18">
        <f t="shared" si="11"/>
        <v>1</v>
      </c>
      <c r="O73" s="28"/>
      <c r="P73" s="8"/>
      <c r="Q73" s="8"/>
      <c r="R73" s="8"/>
      <c r="S73" s="28"/>
      <c r="T73" s="28"/>
      <c r="U73" s="8"/>
      <c r="V73" s="8"/>
      <c r="W73" s="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8"/>
      <c r="AJ73" s="8"/>
      <c r="AK73" s="8"/>
      <c r="AL73" s="8"/>
      <c r="AM73" s="8"/>
      <c r="AN73" s="28"/>
      <c r="AO73" s="8"/>
      <c r="AP73" s="8"/>
      <c r="AQ73" s="28"/>
      <c r="AR73" s="28"/>
      <c r="AS73" s="28"/>
    </row>
    <row r="74" spans="1:45" ht="15.75" thickBot="1" x14ac:dyDescent="0.3">
      <c r="A74" t="s">
        <v>80</v>
      </c>
      <c r="C74" s="46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996</v>
      </c>
      <c r="L74" s="17">
        <f t="shared" si="9"/>
        <v>28</v>
      </c>
      <c r="M74" s="17">
        <f t="shared" si="10"/>
        <v>0</v>
      </c>
      <c r="N74" s="18">
        <f t="shared" si="11"/>
        <v>1</v>
      </c>
      <c r="O74" s="28"/>
      <c r="P74" s="8"/>
      <c r="Q74" s="8"/>
      <c r="R74" s="8"/>
      <c r="S74" s="28"/>
      <c r="T74" s="28"/>
      <c r="U74" s="8"/>
      <c r="V74" s="8"/>
      <c r="W74" s="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8"/>
      <c r="AJ74" s="8"/>
      <c r="AK74" s="8"/>
      <c r="AL74" s="8"/>
      <c r="AM74" s="8"/>
      <c r="AN74" s="28"/>
      <c r="AO74" s="8"/>
      <c r="AP74" s="8"/>
      <c r="AQ74" s="28"/>
      <c r="AR74" s="28"/>
      <c r="AS74" s="28"/>
    </row>
    <row r="75" spans="1:45" ht="15.75" thickBot="1" x14ac:dyDescent="0.3">
      <c r="A75" t="s">
        <v>80</v>
      </c>
      <c r="C75" s="46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997</v>
      </c>
      <c r="L75" s="17">
        <f t="shared" si="9"/>
        <v>28</v>
      </c>
      <c r="M75" s="17">
        <f t="shared" si="10"/>
        <v>0</v>
      </c>
      <c r="N75" s="18">
        <f t="shared" si="11"/>
        <v>1</v>
      </c>
      <c r="O75" s="28"/>
      <c r="P75" s="8"/>
      <c r="Q75" s="8"/>
      <c r="R75" s="8"/>
      <c r="S75" s="28"/>
      <c r="T75" s="28"/>
      <c r="U75" s="8"/>
      <c r="V75" s="8"/>
      <c r="W75" s="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8"/>
      <c r="AJ75" s="8"/>
      <c r="AK75" s="8"/>
      <c r="AL75" s="8"/>
      <c r="AM75" s="8"/>
      <c r="AN75" s="28"/>
      <c r="AO75" s="8"/>
      <c r="AP75" s="8"/>
      <c r="AQ75" s="28"/>
      <c r="AR75" s="28"/>
      <c r="AS75" s="28"/>
    </row>
    <row r="76" spans="1:45" ht="15.75" thickBot="1" x14ac:dyDescent="0.3">
      <c r="A76" t="s">
        <v>80</v>
      </c>
      <c r="C76" s="46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998</v>
      </c>
      <c r="L76" s="17">
        <f t="shared" si="9"/>
        <v>28</v>
      </c>
      <c r="M76" s="17">
        <f t="shared" si="10"/>
        <v>0</v>
      </c>
      <c r="N76" s="18">
        <f t="shared" si="11"/>
        <v>1</v>
      </c>
      <c r="O76" s="28"/>
      <c r="P76" s="8"/>
      <c r="Q76" s="8"/>
      <c r="R76" s="8"/>
      <c r="S76" s="28"/>
      <c r="T76" s="28"/>
      <c r="U76" s="8"/>
      <c r="V76" s="8"/>
      <c r="W76" s="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8"/>
      <c r="AJ76" s="8"/>
      <c r="AK76" s="8"/>
      <c r="AL76" s="8"/>
      <c r="AM76" s="8"/>
      <c r="AN76" s="28"/>
      <c r="AO76" s="8"/>
      <c r="AP76" s="8"/>
      <c r="AQ76" s="28"/>
      <c r="AR76" s="28"/>
      <c r="AS76" s="28"/>
    </row>
    <row r="77" spans="1:45" ht="15.75" thickBot="1" x14ac:dyDescent="0.3">
      <c r="A77" t="s">
        <v>80</v>
      </c>
      <c r="C77" s="46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999</v>
      </c>
      <c r="L77" s="17">
        <f t="shared" si="9"/>
        <v>28</v>
      </c>
      <c r="M77" s="17">
        <f t="shared" si="10"/>
        <v>0</v>
      </c>
      <c r="N77" s="18">
        <f t="shared" si="11"/>
        <v>1</v>
      </c>
      <c r="O77" s="28"/>
      <c r="P77" s="8"/>
      <c r="Q77" s="8"/>
      <c r="R77" s="8"/>
      <c r="S77" s="28"/>
      <c r="T77" s="28"/>
      <c r="U77" s="8"/>
      <c r="V77" s="8"/>
      <c r="W77" s="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8"/>
      <c r="AJ77" s="8"/>
      <c r="AK77" s="8"/>
      <c r="AL77" s="8"/>
      <c r="AM77" s="8"/>
      <c r="AN77" s="28"/>
      <c r="AO77" s="8"/>
      <c r="AP77" s="8"/>
      <c r="AQ77" s="28"/>
      <c r="AR77" s="28"/>
      <c r="AS77" s="28"/>
    </row>
    <row r="78" spans="1:45" ht="15.75" thickBot="1" x14ac:dyDescent="0.3">
      <c r="A78" t="s">
        <v>80</v>
      </c>
      <c r="C78" s="46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1000</v>
      </c>
      <c r="L78" s="17">
        <f t="shared" si="9"/>
        <v>28</v>
      </c>
      <c r="M78" s="17">
        <f t="shared" si="10"/>
        <v>0</v>
      </c>
      <c r="N78" s="18">
        <f t="shared" si="11"/>
        <v>1</v>
      </c>
      <c r="O78" s="28"/>
      <c r="P78" s="8"/>
      <c r="Q78" s="8"/>
      <c r="R78" s="8"/>
      <c r="S78" s="28"/>
      <c r="T78" s="28"/>
      <c r="U78" s="8"/>
      <c r="V78" s="8"/>
      <c r="W78" s="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8"/>
      <c r="AJ78" s="8"/>
      <c r="AK78" s="8"/>
      <c r="AL78" s="8"/>
      <c r="AM78" s="8"/>
      <c r="AN78" s="28"/>
      <c r="AO78" s="8"/>
      <c r="AP78" s="8"/>
      <c r="AQ78" s="28"/>
      <c r="AR78" s="28"/>
      <c r="AS78" s="28"/>
    </row>
    <row r="79" spans="1:45" ht="15.75" thickBot="1" x14ac:dyDescent="0.3">
      <c r="A79" t="s">
        <v>80</v>
      </c>
      <c r="C79" s="46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1001</v>
      </c>
      <c r="L79" s="17">
        <f t="shared" si="9"/>
        <v>28</v>
      </c>
      <c r="M79" s="17">
        <f t="shared" si="10"/>
        <v>0</v>
      </c>
      <c r="N79" s="18">
        <f t="shared" si="11"/>
        <v>1</v>
      </c>
      <c r="O79" s="28"/>
      <c r="P79" s="8"/>
      <c r="Q79" s="8"/>
      <c r="R79" s="8"/>
      <c r="S79" s="28"/>
      <c r="T79" s="28"/>
      <c r="U79" s="8"/>
      <c r="V79" s="8"/>
      <c r="W79" s="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8"/>
      <c r="AJ79" s="8"/>
      <c r="AK79" s="8"/>
      <c r="AL79" s="8"/>
      <c r="AM79" s="8"/>
      <c r="AN79" s="28"/>
      <c r="AO79" s="8"/>
      <c r="AP79" s="8"/>
      <c r="AQ79" s="28"/>
      <c r="AR79" s="28"/>
      <c r="AS79" s="28"/>
    </row>
    <row r="80" spans="1:45" ht="15.75" thickBot="1" x14ac:dyDescent="0.3">
      <c r="A80" t="s">
        <v>80</v>
      </c>
      <c r="C80" s="46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1002</v>
      </c>
      <c r="L80" s="17">
        <f t="shared" si="9"/>
        <v>15</v>
      </c>
      <c r="M80" s="17">
        <f t="shared" si="10"/>
        <v>13</v>
      </c>
      <c r="N80" s="18">
        <f t="shared" si="11"/>
        <v>0.5357142857142857</v>
      </c>
      <c r="O80" s="28" t="s">
        <v>939</v>
      </c>
      <c r="P80" s="8" t="s">
        <v>939</v>
      </c>
      <c r="Q80" s="8" t="s">
        <v>939</v>
      </c>
      <c r="R80" s="8" t="s">
        <v>939</v>
      </c>
      <c r="S80" s="28" t="s">
        <v>939</v>
      </c>
      <c r="T80" s="28" t="s">
        <v>939</v>
      </c>
      <c r="U80" s="8" t="s">
        <v>939</v>
      </c>
      <c r="V80" s="8" t="s">
        <v>939</v>
      </c>
      <c r="W80" s="8" t="s">
        <v>939</v>
      </c>
      <c r="X80" s="28" t="s">
        <v>939</v>
      </c>
      <c r="Y80" s="28" t="s">
        <v>939</v>
      </c>
      <c r="Z80" s="28" t="s">
        <v>939</v>
      </c>
      <c r="AA80" s="28" t="s">
        <v>939</v>
      </c>
      <c r="AB80" s="28"/>
      <c r="AC80" s="28"/>
      <c r="AD80" s="28"/>
      <c r="AE80" s="28"/>
      <c r="AF80" s="28"/>
      <c r="AG80" s="28"/>
      <c r="AH80" s="28"/>
      <c r="AI80" s="8"/>
      <c r="AJ80" s="28"/>
      <c r="AK80" s="8"/>
      <c r="AL80" s="8"/>
      <c r="AM80" s="8"/>
      <c r="AN80" s="28"/>
      <c r="AO80" s="8"/>
      <c r="AP80" s="8"/>
      <c r="AQ80" s="28"/>
      <c r="AR80" s="28"/>
      <c r="AS80" s="28"/>
    </row>
    <row r="81" spans="1:45" ht="15.75" thickBot="1" x14ac:dyDescent="0.3">
      <c r="A81" t="s">
        <v>80</v>
      </c>
      <c r="C81" s="46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1003</v>
      </c>
      <c r="L81" s="17">
        <f t="shared" si="9"/>
        <v>28</v>
      </c>
      <c r="M81" s="17">
        <f t="shared" si="10"/>
        <v>0</v>
      </c>
      <c r="N81" s="18">
        <f t="shared" si="11"/>
        <v>1</v>
      </c>
      <c r="O81" s="28"/>
      <c r="P81" s="8"/>
      <c r="Q81" s="8"/>
      <c r="R81" s="8"/>
      <c r="S81" s="28"/>
      <c r="T81" s="28"/>
      <c r="U81" s="8"/>
      <c r="V81" s="8"/>
      <c r="W81" s="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8"/>
      <c r="AJ81" s="8"/>
      <c r="AK81" s="8"/>
      <c r="AL81" s="8"/>
      <c r="AM81" s="8"/>
      <c r="AN81" s="28"/>
      <c r="AO81" s="8"/>
      <c r="AP81" s="8"/>
      <c r="AQ81" s="28"/>
      <c r="AR81" s="28"/>
      <c r="AS81" s="28"/>
    </row>
    <row r="82" spans="1:45" ht="15.75" thickBot="1" x14ac:dyDescent="0.3">
      <c r="A82" t="s">
        <v>80</v>
      </c>
      <c r="C82" s="46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1004</v>
      </c>
      <c r="L82" s="17">
        <f t="shared" si="9"/>
        <v>28</v>
      </c>
      <c r="M82" s="17">
        <f t="shared" si="10"/>
        <v>0</v>
      </c>
      <c r="N82" s="18">
        <f t="shared" si="11"/>
        <v>1</v>
      </c>
      <c r="O82" s="28"/>
      <c r="P82" s="8"/>
      <c r="Q82" s="8"/>
      <c r="R82" s="8"/>
      <c r="S82" s="28"/>
      <c r="T82" s="28"/>
      <c r="U82" s="8"/>
      <c r="V82" s="8"/>
      <c r="W82" s="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8"/>
      <c r="AJ82" s="8"/>
      <c r="AK82" s="8"/>
      <c r="AL82" s="8"/>
      <c r="AM82" s="8"/>
      <c r="AN82" s="28"/>
      <c r="AO82" s="8"/>
      <c r="AP82" s="8"/>
      <c r="AQ82" s="28"/>
      <c r="AR82" s="28"/>
      <c r="AS82" s="28"/>
    </row>
    <row r="83" spans="1:45" ht="15.75" thickBot="1" x14ac:dyDescent="0.3">
      <c r="A83" t="s">
        <v>80</v>
      </c>
      <c r="C83" s="46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1005</v>
      </c>
      <c r="L83" s="17">
        <f t="shared" si="9"/>
        <v>28</v>
      </c>
      <c r="M83" s="17">
        <f t="shared" si="10"/>
        <v>0</v>
      </c>
      <c r="N83" s="18">
        <f t="shared" si="11"/>
        <v>1</v>
      </c>
      <c r="O83" s="28"/>
      <c r="P83" s="8"/>
      <c r="Q83" s="8"/>
      <c r="R83" s="8"/>
      <c r="S83" s="28"/>
      <c r="T83" s="28"/>
      <c r="U83" s="8"/>
      <c r="V83" s="8"/>
      <c r="W83" s="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8"/>
      <c r="AJ83" s="8"/>
      <c r="AK83" s="8"/>
      <c r="AL83" s="8"/>
      <c r="AM83" s="8"/>
      <c r="AN83" s="28"/>
      <c r="AO83" s="8"/>
      <c r="AP83" s="8"/>
      <c r="AQ83" s="28"/>
      <c r="AR83" s="28"/>
      <c r="AS83" s="28"/>
    </row>
    <row r="84" spans="1:45" ht="15.75" thickBot="1" x14ac:dyDescent="0.3">
      <c r="A84" t="s">
        <v>80</v>
      </c>
      <c r="C84" s="46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1006</v>
      </c>
      <c r="L84" s="17">
        <f t="shared" si="9"/>
        <v>27</v>
      </c>
      <c r="M84" s="17">
        <f t="shared" si="10"/>
        <v>1</v>
      </c>
      <c r="N84" s="18">
        <f t="shared" si="11"/>
        <v>0.9642857142857143</v>
      </c>
      <c r="O84" s="28"/>
      <c r="P84" s="8"/>
      <c r="Q84" s="8"/>
      <c r="R84" s="8"/>
      <c r="S84" s="28"/>
      <c r="T84" s="28"/>
      <c r="U84" s="8"/>
      <c r="V84" s="8"/>
      <c r="W84" s="8"/>
      <c r="X84" s="28"/>
      <c r="Y84" s="28" t="s">
        <v>939</v>
      </c>
      <c r="Z84" s="28"/>
      <c r="AA84" s="28"/>
      <c r="AB84" s="28"/>
      <c r="AC84" s="28"/>
      <c r="AD84" s="28"/>
      <c r="AE84" s="28"/>
      <c r="AF84" s="28"/>
      <c r="AG84" s="28"/>
      <c r="AH84" s="28"/>
      <c r="AI84" s="8"/>
      <c r="AJ84" s="8"/>
      <c r="AK84" s="8"/>
      <c r="AL84" s="8"/>
      <c r="AM84" s="8"/>
      <c r="AN84" s="28"/>
      <c r="AO84" s="8"/>
      <c r="AP84" s="8"/>
      <c r="AQ84" s="28"/>
      <c r="AR84" s="28"/>
      <c r="AS84" s="28"/>
    </row>
    <row r="85" spans="1:45" ht="15.75" thickBot="1" x14ac:dyDescent="0.3">
      <c r="A85" t="s">
        <v>80</v>
      </c>
      <c r="C85" s="46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1007</v>
      </c>
      <c r="L85" s="17">
        <f t="shared" si="9"/>
        <v>28</v>
      </c>
      <c r="M85" s="17">
        <f t="shared" si="10"/>
        <v>0</v>
      </c>
      <c r="N85" s="18">
        <f t="shared" si="11"/>
        <v>1</v>
      </c>
      <c r="O85" s="28"/>
      <c r="P85" s="8"/>
      <c r="Q85" s="8"/>
      <c r="R85" s="8"/>
      <c r="S85" s="28"/>
      <c r="T85" s="28"/>
      <c r="U85" s="8"/>
      <c r="V85" s="8"/>
      <c r="W85" s="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8"/>
      <c r="AJ85" s="8"/>
      <c r="AK85" s="8"/>
      <c r="AL85" s="8"/>
      <c r="AM85" s="8"/>
      <c r="AN85" s="28"/>
      <c r="AO85" s="8"/>
      <c r="AP85" s="8"/>
      <c r="AQ85" s="28"/>
      <c r="AR85" s="28"/>
      <c r="AS85" s="28"/>
    </row>
    <row r="86" spans="1:45" ht="15.75" thickBot="1" x14ac:dyDescent="0.3">
      <c r="A86" t="s">
        <v>80</v>
      </c>
      <c r="C86" s="46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1008</v>
      </c>
      <c r="L86" s="17">
        <f t="shared" si="9"/>
        <v>27</v>
      </c>
      <c r="M86" s="17">
        <f t="shared" si="10"/>
        <v>1</v>
      </c>
      <c r="N86" s="18">
        <f t="shared" si="11"/>
        <v>0.9642857142857143</v>
      </c>
      <c r="O86" s="28" t="s">
        <v>939</v>
      </c>
      <c r="P86" s="8"/>
      <c r="Q86" s="8"/>
      <c r="R86" s="8"/>
      <c r="S86" s="28"/>
      <c r="T86" s="28"/>
      <c r="U86" s="8"/>
      <c r="V86" s="8"/>
      <c r="W86" s="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8"/>
      <c r="AJ86" s="8"/>
      <c r="AK86" s="8"/>
      <c r="AL86" s="8"/>
      <c r="AM86" s="8"/>
      <c r="AN86" s="28"/>
      <c r="AO86" s="8"/>
      <c r="AP86" s="8"/>
      <c r="AQ86" s="28"/>
      <c r="AR86" s="28"/>
      <c r="AS86" s="28"/>
    </row>
    <row r="87" spans="1:45" ht="15.75" thickBot="1" x14ac:dyDescent="0.3">
      <c r="C87" s="46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1011</v>
      </c>
      <c r="L87" s="17">
        <f t="shared" si="9"/>
        <v>28</v>
      </c>
      <c r="M87" s="17">
        <f t="shared" si="10"/>
        <v>0</v>
      </c>
      <c r="N87" s="18">
        <f t="shared" si="11"/>
        <v>1</v>
      </c>
      <c r="O87" s="28"/>
      <c r="P87" s="8"/>
      <c r="Q87" s="8"/>
      <c r="R87" s="8"/>
      <c r="S87" s="28"/>
      <c r="T87" s="28"/>
      <c r="U87" s="8"/>
      <c r="V87" s="8"/>
      <c r="W87" s="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8"/>
      <c r="AJ87" s="8"/>
      <c r="AK87" s="8"/>
      <c r="AL87" s="8"/>
      <c r="AM87" s="8"/>
      <c r="AN87" s="28"/>
      <c r="AO87" s="8"/>
      <c r="AP87" s="8"/>
      <c r="AQ87" s="28"/>
      <c r="AR87" s="28"/>
      <c r="AS87" s="28"/>
    </row>
    <row r="88" spans="1:45" ht="15.75" thickBot="1" x14ac:dyDescent="0.3">
      <c r="A88" t="s">
        <v>80</v>
      </c>
      <c r="C88" s="46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1024</v>
      </c>
      <c r="L88" s="17">
        <f t="shared" si="9"/>
        <v>18</v>
      </c>
      <c r="M88" s="17">
        <f t="shared" si="10"/>
        <v>10</v>
      </c>
      <c r="N88" s="18">
        <f t="shared" si="11"/>
        <v>0.6428571428571429</v>
      </c>
      <c r="O88" s="28" t="s">
        <v>939</v>
      </c>
      <c r="P88" s="8" t="s">
        <v>939</v>
      </c>
      <c r="Q88" s="8" t="s">
        <v>939</v>
      </c>
      <c r="R88" s="8" t="s">
        <v>939</v>
      </c>
      <c r="S88" s="28" t="s">
        <v>939</v>
      </c>
      <c r="T88" s="28" t="s">
        <v>939</v>
      </c>
      <c r="U88" s="8" t="s">
        <v>939</v>
      </c>
      <c r="V88" s="8" t="s">
        <v>939</v>
      </c>
      <c r="W88" s="8" t="s">
        <v>939</v>
      </c>
      <c r="X88" s="28" t="s">
        <v>939</v>
      </c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8"/>
      <c r="AJ88" s="28"/>
      <c r="AK88" s="8"/>
      <c r="AL88" s="8"/>
      <c r="AM88" s="8"/>
      <c r="AN88" s="28"/>
      <c r="AO88" s="8"/>
      <c r="AP88" s="8"/>
      <c r="AQ88" s="28"/>
      <c r="AR88" s="28"/>
      <c r="AS88" s="28"/>
    </row>
    <row r="89" spans="1:45" ht="15.75" thickBot="1" x14ac:dyDescent="0.3">
      <c r="A89" t="s">
        <v>80</v>
      </c>
      <c r="C89" s="46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1025</v>
      </c>
      <c r="L89" s="17">
        <f t="shared" si="9"/>
        <v>19</v>
      </c>
      <c r="M89" s="17">
        <f t="shared" si="10"/>
        <v>9</v>
      </c>
      <c r="N89" s="18">
        <f t="shared" si="11"/>
        <v>0.6785714285714286</v>
      </c>
      <c r="O89" s="28"/>
      <c r="P89" s="8" t="s">
        <v>939</v>
      </c>
      <c r="Q89" s="8" t="s">
        <v>939</v>
      </c>
      <c r="R89" s="8" t="s">
        <v>939</v>
      </c>
      <c r="S89" s="28" t="s">
        <v>939</v>
      </c>
      <c r="T89" s="28" t="s">
        <v>939</v>
      </c>
      <c r="U89" s="8" t="s">
        <v>939</v>
      </c>
      <c r="V89" s="8" t="s">
        <v>939</v>
      </c>
      <c r="W89" s="8" t="s">
        <v>939</v>
      </c>
      <c r="X89" s="28" t="s">
        <v>939</v>
      </c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8"/>
      <c r="AJ89" s="8"/>
      <c r="AK89" s="8"/>
      <c r="AL89" s="8"/>
      <c r="AM89" s="8"/>
      <c r="AN89" s="28"/>
      <c r="AO89" s="8"/>
      <c r="AP89" s="8"/>
      <c r="AQ89" s="28"/>
      <c r="AR89" s="28"/>
      <c r="AS89" s="28"/>
    </row>
    <row r="90" spans="1:45" ht="15.75" thickBot="1" x14ac:dyDescent="0.3">
      <c r="A90" t="s">
        <v>80</v>
      </c>
      <c r="C90" s="46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1026</v>
      </c>
      <c r="L90" s="17">
        <f t="shared" si="9"/>
        <v>18</v>
      </c>
      <c r="M90" s="17">
        <f t="shared" si="10"/>
        <v>10</v>
      </c>
      <c r="N90" s="18">
        <f t="shared" si="11"/>
        <v>0.6428571428571429</v>
      </c>
      <c r="O90" s="28" t="s">
        <v>939</v>
      </c>
      <c r="P90" s="8" t="s">
        <v>939</v>
      </c>
      <c r="Q90" s="8" t="s">
        <v>939</v>
      </c>
      <c r="R90" s="8" t="s">
        <v>939</v>
      </c>
      <c r="S90" s="28" t="s">
        <v>939</v>
      </c>
      <c r="T90" s="28" t="s">
        <v>939</v>
      </c>
      <c r="U90" s="8" t="s">
        <v>939</v>
      </c>
      <c r="V90" s="8" t="s">
        <v>939</v>
      </c>
      <c r="W90" s="8" t="s">
        <v>939</v>
      </c>
      <c r="X90" s="28" t="s">
        <v>939</v>
      </c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8"/>
      <c r="AJ90" s="28"/>
      <c r="AK90" s="8"/>
      <c r="AL90" s="8"/>
      <c r="AM90" s="8"/>
      <c r="AN90" s="28"/>
      <c r="AO90" s="8"/>
      <c r="AP90" s="8"/>
      <c r="AQ90" s="28"/>
      <c r="AR90" s="28"/>
      <c r="AS90" s="28"/>
    </row>
    <row r="91" spans="1:45" ht="13.9" customHeight="1" thickBot="1" x14ac:dyDescent="0.3">
      <c r="A91" t="s">
        <v>80</v>
      </c>
      <c r="C91" s="46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1030</v>
      </c>
      <c r="L91" s="17">
        <f t="shared" si="9"/>
        <v>15</v>
      </c>
      <c r="M91" s="17">
        <f t="shared" si="10"/>
        <v>13</v>
      </c>
      <c r="N91" s="18">
        <f t="shared" si="11"/>
        <v>0.5357142857142857</v>
      </c>
      <c r="O91" s="28" t="s">
        <v>939</v>
      </c>
      <c r="P91" s="8" t="s">
        <v>939</v>
      </c>
      <c r="Q91" s="8" t="s">
        <v>939</v>
      </c>
      <c r="R91" s="8" t="s">
        <v>939</v>
      </c>
      <c r="S91" s="28" t="s">
        <v>939</v>
      </c>
      <c r="T91" s="28" t="s">
        <v>939</v>
      </c>
      <c r="U91" s="8" t="s">
        <v>939</v>
      </c>
      <c r="V91" s="8" t="s">
        <v>939</v>
      </c>
      <c r="W91" s="8" t="s">
        <v>939</v>
      </c>
      <c r="X91" s="28" t="s">
        <v>939</v>
      </c>
      <c r="Y91" s="28" t="s">
        <v>939</v>
      </c>
      <c r="Z91" s="28" t="s">
        <v>939</v>
      </c>
      <c r="AA91" s="28" t="s">
        <v>939</v>
      </c>
      <c r="AB91" s="28"/>
      <c r="AC91" s="28"/>
      <c r="AD91" s="28"/>
      <c r="AE91" s="28"/>
      <c r="AF91" s="28"/>
      <c r="AG91" s="28"/>
      <c r="AH91" s="28"/>
      <c r="AI91" s="8"/>
      <c r="AJ91" s="28"/>
      <c r="AK91" s="8"/>
      <c r="AL91" s="8"/>
      <c r="AM91" s="8"/>
      <c r="AN91" s="28"/>
      <c r="AO91" s="8"/>
      <c r="AP91" s="8"/>
      <c r="AQ91" s="28"/>
      <c r="AR91" s="28"/>
      <c r="AS91" s="28"/>
    </row>
    <row r="92" spans="1:45" ht="15.75" thickBot="1" x14ac:dyDescent="0.3">
      <c r="A92" t="s">
        <v>80</v>
      </c>
      <c r="C92" s="46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1031</v>
      </c>
      <c r="L92" s="17">
        <f t="shared" si="9"/>
        <v>15</v>
      </c>
      <c r="M92" s="17">
        <f t="shared" si="10"/>
        <v>13</v>
      </c>
      <c r="N92" s="18">
        <f t="shared" si="11"/>
        <v>0.5357142857142857</v>
      </c>
      <c r="O92" s="28" t="s">
        <v>939</v>
      </c>
      <c r="P92" s="8" t="s">
        <v>939</v>
      </c>
      <c r="Q92" s="8" t="s">
        <v>939</v>
      </c>
      <c r="R92" s="8" t="s">
        <v>939</v>
      </c>
      <c r="S92" s="28" t="s">
        <v>939</v>
      </c>
      <c r="T92" s="28" t="s">
        <v>939</v>
      </c>
      <c r="U92" s="8" t="s">
        <v>939</v>
      </c>
      <c r="V92" s="8" t="s">
        <v>939</v>
      </c>
      <c r="W92" s="8" t="s">
        <v>939</v>
      </c>
      <c r="X92" s="28" t="s">
        <v>939</v>
      </c>
      <c r="Y92" s="28" t="s">
        <v>939</v>
      </c>
      <c r="Z92" s="28" t="s">
        <v>939</v>
      </c>
      <c r="AA92" s="28" t="s">
        <v>939</v>
      </c>
      <c r="AB92" s="28"/>
      <c r="AC92" s="28"/>
      <c r="AD92" s="28"/>
      <c r="AE92" s="28"/>
      <c r="AF92" s="28"/>
      <c r="AG92" s="28"/>
      <c r="AH92" s="28"/>
      <c r="AI92" s="8"/>
      <c r="AJ92" s="28"/>
      <c r="AK92" s="8"/>
      <c r="AL92" s="8"/>
      <c r="AM92" s="8"/>
      <c r="AN92" s="28"/>
      <c r="AO92" s="8"/>
      <c r="AP92" s="8"/>
      <c r="AQ92" s="28"/>
      <c r="AR92" s="28"/>
      <c r="AS92" s="28"/>
    </row>
    <row r="93" spans="1:45" ht="15.75" thickBot="1" x14ac:dyDescent="0.3">
      <c r="A93" t="s">
        <v>80</v>
      </c>
      <c r="C93" s="46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1032</v>
      </c>
      <c r="L93" s="17">
        <f t="shared" si="9"/>
        <v>28</v>
      </c>
      <c r="M93" s="17">
        <f t="shared" si="10"/>
        <v>0</v>
      </c>
      <c r="N93" s="18">
        <f t="shared" si="11"/>
        <v>1</v>
      </c>
      <c r="O93" s="28"/>
      <c r="P93" s="8"/>
      <c r="Q93" s="8"/>
      <c r="R93" s="8"/>
      <c r="S93" s="28"/>
      <c r="T93" s="28"/>
      <c r="U93" s="8"/>
      <c r="V93" s="8"/>
      <c r="W93" s="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8"/>
      <c r="AJ93" s="8"/>
      <c r="AK93" s="8"/>
      <c r="AL93" s="8"/>
      <c r="AM93" s="8"/>
      <c r="AN93" s="28"/>
      <c r="AO93" s="8"/>
      <c r="AP93" s="8"/>
      <c r="AQ93" s="28"/>
      <c r="AR93" s="28"/>
      <c r="AS93" s="28"/>
    </row>
    <row r="94" spans="1:45" ht="15.75" thickBot="1" x14ac:dyDescent="0.3">
      <c r="A94" t="s">
        <v>80</v>
      </c>
      <c r="C94" s="46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1036</v>
      </c>
      <c r="L94" s="17">
        <f t="shared" si="9"/>
        <v>27</v>
      </c>
      <c r="M94" s="17">
        <f t="shared" si="10"/>
        <v>1</v>
      </c>
      <c r="N94" s="18">
        <f t="shared" si="11"/>
        <v>0.9642857142857143</v>
      </c>
      <c r="O94" s="28"/>
      <c r="P94" s="8"/>
      <c r="Q94" s="8"/>
      <c r="R94" s="8"/>
      <c r="S94" s="28"/>
      <c r="T94" s="28"/>
      <c r="U94" s="8"/>
      <c r="V94" s="8"/>
      <c r="W94" s="8" t="s">
        <v>939</v>
      </c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8"/>
      <c r="AJ94" s="8"/>
      <c r="AK94" s="8"/>
      <c r="AL94" s="8"/>
      <c r="AM94" s="8"/>
      <c r="AN94" s="28"/>
      <c r="AO94" s="8"/>
      <c r="AP94" s="8"/>
      <c r="AQ94" s="28"/>
      <c r="AR94" s="28"/>
      <c r="AS94" s="28"/>
    </row>
    <row r="95" spans="1:45" ht="15.75" thickBot="1" x14ac:dyDescent="0.3">
      <c r="A95" t="s">
        <v>80</v>
      </c>
      <c r="C95" s="46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1037</v>
      </c>
      <c r="L95" s="17">
        <f t="shared" si="9"/>
        <v>28</v>
      </c>
      <c r="M95" s="17">
        <f t="shared" si="10"/>
        <v>0</v>
      </c>
      <c r="N95" s="18">
        <f t="shared" si="11"/>
        <v>1</v>
      </c>
      <c r="O95" s="28"/>
      <c r="P95" s="8"/>
      <c r="Q95" s="8"/>
      <c r="R95" s="8"/>
      <c r="S95" s="28"/>
      <c r="T95" s="28"/>
      <c r="U95" s="8"/>
      <c r="V95" s="8"/>
      <c r="W95" s="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8"/>
      <c r="AJ95" s="8"/>
      <c r="AK95" s="8"/>
      <c r="AL95" s="8"/>
      <c r="AM95" s="8"/>
      <c r="AN95" s="28"/>
      <c r="AO95" s="8"/>
      <c r="AP95" s="8"/>
      <c r="AQ95" s="28"/>
      <c r="AR95" s="28"/>
      <c r="AS95" s="28"/>
    </row>
    <row r="96" spans="1:45" ht="15.75" thickBot="1" x14ac:dyDescent="0.3">
      <c r="A96" t="s">
        <v>258</v>
      </c>
      <c r="C96" s="46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1038</v>
      </c>
      <c r="L96" s="17">
        <f t="shared" si="9"/>
        <v>28</v>
      </c>
      <c r="M96" s="17">
        <f t="shared" si="10"/>
        <v>0</v>
      </c>
      <c r="N96" s="18">
        <f t="shared" si="11"/>
        <v>1</v>
      </c>
      <c r="O96" s="28"/>
      <c r="P96" s="8"/>
      <c r="Q96" s="8"/>
      <c r="R96" s="8"/>
      <c r="S96" s="28"/>
      <c r="T96" s="28"/>
      <c r="U96" s="8"/>
      <c r="V96" s="8"/>
      <c r="W96" s="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8"/>
      <c r="AJ96" s="8"/>
      <c r="AK96" s="8"/>
      <c r="AL96" s="8"/>
      <c r="AM96" s="8"/>
      <c r="AN96" s="28"/>
      <c r="AO96" s="8"/>
      <c r="AP96" s="8"/>
      <c r="AQ96" s="28"/>
      <c r="AR96" s="28"/>
      <c r="AS96" s="28"/>
    </row>
    <row r="97" spans="1:45" ht="15.75" thickBot="1" x14ac:dyDescent="0.3">
      <c r="A97" t="s">
        <v>261</v>
      </c>
      <c r="C97" s="46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1039</v>
      </c>
      <c r="L97" s="17">
        <f t="shared" si="9"/>
        <v>26</v>
      </c>
      <c r="M97" s="17">
        <f t="shared" si="10"/>
        <v>2</v>
      </c>
      <c r="N97" s="18">
        <f t="shared" si="11"/>
        <v>0.9285714285714286</v>
      </c>
      <c r="O97" s="28"/>
      <c r="P97" s="8"/>
      <c r="Q97" s="8"/>
      <c r="R97" s="8"/>
      <c r="S97" s="28"/>
      <c r="T97" s="28"/>
      <c r="U97" s="8" t="s">
        <v>939</v>
      </c>
      <c r="V97" s="8" t="s">
        <v>939</v>
      </c>
      <c r="W97" s="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8"/>
      <c r="AJ97" s="8"/>
      <c r="AK97" s="8"/>
      <c r="AL97" s="8"/>
      <c r="AM97" s="8"/>
      <c r="AN97" s="28"/>
      <c r="AO97" s="8"/>
      <c r="AP97" s="8"/>
      <c r="AQ97" s="28"/>
      <c r="AR97" s="28"/>
      <c r="AS97" s="28"/>
    </row>
    <row r="98" spans="1:45" ht="15.75" thickBot="1" x14ac:dyDescent="0.3">
      <c r="A98" t="s">
        <v>261</v>
      </c>
      <c r="C98" s="46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1040</v>
      </c>
      <c r="L98" s="17">
        <f t="shared" si="9"/>
        <v>28</v>
      </c>
      <c r="M98" s="17">
        <f t="shared" si="10"/>
        <v>0</v>
      </c>
      <c r="N98" s="18">
        <f t="shared" si="11"/>
        <v>1</v>
      </c>
      <c r="O98" s="28"/>
      <c r="P98" s="8"/>
      <c r="Q98" s="8"/>
      <c r="R98" s="8"/>
      <c r="S98" s="28"/>
      <c r="T98" s="28"/>
      <c r="U98" s="8"/>
      <c r="V98" s="8"/>
      <c r="W98" s="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8"/>
      <c r="AJ98" s="8"/>
      <c r="AK98" s="8"/>
      <c r="AL98" s="8"/>
      <c r="AM98" s="8"/>
      <c r="AN98" s="28"/>
      <c r="AO98" s="8"/>
      <c r="AP98" s="8"/>
      <c r="AQ98" s="28"/>
      <c r="AR98" s="28"/>
      <c r="AS98" s="28"/>
    </row>
    <row r="99" spans="1:45" ht="15.75" thickBot="1" x14ac:dyDescent="0.3">
      <c r="A99" t="s">
        <v>261</v>
      </c>
      <c r="C99" s="46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1041</v>
      </c>
      <c r="L99" s="17">
        <f t="shared" si="9"/>
        <v>28</v>
      </c>
      <c r="M99" s="17">
        <f t="shared" si="10"/>
        <v>0</v>
      </c>
      <c r="N99" s="18">
        <f t="shared" si="11"/>
        <v>1</v>
      </c>
      <c r="O99" s="28"/>
      <c r="P99" s="8"/>
      <c r="Q99" s="8"/>
      <c r="R99" s="8"/>
      <c r="S99" s="28"/>
      <c r="T99" s="28"/>
      <c r="U99" s="8"/>
      <c r="V99" s="8"/>
      <c r="W99" s="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8"/>
      <c r="AJ99" s="8"/>
      <c r="AK99" s="8"/>
      <c r="AL99" s="8"/>
      <c r="AM99" s="8"/>
      <c r="AN99" s="28"/>
      <c r="AO99" s="8"/>
      <c r="AP99" s="8"/>
      <c r="AQ99" s="28"/>
      <c r="AR99" s="28"/>
      <c r="AS99" s="28"/>
    </row>
    <row r="100" spans="1:45" ht="15.75" thickBot="1" x14ac:dyDescent="0.3">
      <c r="A100" t="s">
        <v>271</v>
      </c>
      <c r="C100" s="46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1042</v>
      </c>
      <c r="L100" s="17">
        <f t="shared" si="9"/>
        <v>28</v>
      </c>
      <c r="M100" s="17">
        <f t="shared" si="10"/>
        <v>0</v>
      </c>
      <c r="N100" s="18">
        <f t="shared" si="11"/>
        <v>1</v>
      </c>
      <c r="O100" s="28"/>
      <c r="P100" s="8"/>
      <c r="Q100" s="8"/>
      <c r="R100" s="8"/>
      <c r="S100" s="28"/>
      <c r="T100" s="28"/>
      <c r="U100" s="8"/>
      <c r="V100" s="8"/>
      <c r="W100" s="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8"/>
      <c r="AJ100" s="8"/>
      <c r="AK100" s="8"/>
      <c r="AL100" s="8"/>
      <c r="AM100" s="8"/>
      <c r="AN100" s="28"/>
      <c r="AO100" s="8"/>
      <c r="AP100" s="8"/>
      <c r="AQ100" s="28"/>
      <c r="AR100" s="28"/>
      <c r="AS100" s="28"/>
    </row>
    <row r="101" spans="1:45" ht="15.75" thickBot="1" x14ac:dyDescent="0.3">
      <c r="A101" t="s">
        <v>274</v>
      </c>
      <c r="C101" s="46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1043</v>
      </c>
      <c r="L101" s="17">
        <f t="shared" si="9"/>
        <v>28</v>
      </c>
      <c r="M101" s="17">
        <f t="shared" si="10"/>
        <v>0</v>
      </c>
      <c r="N101" s="18">
        <f t="shared" si="11"/>
        <v>1</v>
      </c>
      <c r="O101" s="28"/>
      <c r="P101" s="8"/>
      <c r="Q101" s="8"/>
      <c r="R101" s="8"/>
      <c r="S101" s="28"/>
      <c r="T101" s="28"/>
      <c r="U101" s="8"/>
      <c r="V101" s="8"/>
      <c r="W101" s="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8"/>
      <c r="AJ101" s="8"/>
      <c r="AK101" s="8"/>
      <c r="AL101" s="8"/>
      <c r="AM101" s="8"/>
      <c r="AN101" s="28"/>
      <c r="AO101" s="8"/>
      <c r="AP101" s="8"/>
      <c r="AQ101" s="28"/>
      <c r="AR101" s="28"/>
      <c r="AS101" s="28"/>
    </row>
    <row r="102" spans="1:45" ht="15.75" thickBot="1" x14ac:dyDescent="0.3">
      <c r="A102" t="s">
        <v>274</v>
      </c>
      <c r="C102" s="46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1044</v>
      </c>
      <c r="L102" s="17">
        <f t="shared" si="9"/>
        <v>26</v>
      </c>
      <c r="M102" s="17">
        <f t="shared" si="10"/>
        <v>2</v>
      </c>
      <c r="N102" s="18">
        <f t="shared" si="11"/>
        <v>0.9285714285714286</v>
      </c>
      <c r="O102" s="28"/>
      <c r="P102" s="8"/>
      <c r="Q102" s="8"/>
      <c r="R102" s="8"/>
      <c r="S102" s="28"/>
      <c r="T102" s="28"/>
      <c r="U102" s="8" t="s">
        <v>939</v>
      </c>
      <c r="V102" s="8"/>
      <c r="W102" s="8"/>
      <c r="X102" s="28"/>
      <c r="Y102" s="28"/>
      <c r="Z102" s="28" t="s">
        <v>939</v>
      </c>
      <c r="AA102" s="28"/>
      <c r="AB102" s="28"/>
      <c r="AC102" s="28"/>
      <c r="AD102" s="28"/>
      <c r="AE102" s="28"/>
      <c r="AF102" s="28"/>
      <c r="AG102" s="28"/>
      <c r="AH102" s="28"/>
      <c r="AI102" s="8"/>
      <c r="AJ102" s="8"/>
      <c r="AK102" s="8"/>
      <c r="AL102" s="8"/>
      <c r="AM102" s="8"/>
      <c r="AN102" s="28"/>
      <c r="AO102" s="8"/>
      <c r="AP102" s="8"/>
      <c r="AQ102" s="28"/>
      <c r="AR102" s="28"/>
      <c r="AS102" s="28"/>
    </row>
    <row r="103" spans="1:45" ht="15.75" thickBot="1" x14ac:dyDescent="0.3">
      <c r="C103" s="46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1045</v>
      </c>
      <c r="L103" s="17">
        <f t="shared" si="9"/>
        <v>28</v>
      </c>
      <c r="M103" s="17">
        <f t="shared" si="10"/>
        <v>0</v>
      </c>
      <c r="N103" s="18">
        <f t="shared" si="11"/>
        <v>1</v>
      </c>
      <c r="O103" s="28"/>
      <c r="P103" s="8"/>
      <c r="Q103" s="8"/>
      <c r="R103" s="8"/>
      <c r="S103" s="28"/>
      <c r="T103" s="28"/>
      <c r="U103" s="8"/>
      <c r="V103" s="8"/>
      <c r="W103" s="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8"/>
      <c r="AJ103" s="8"/>
      <c r="AK103" s="8"/>
      <c r="AL103" s="8"/>
      <c r="AM103" s="8"/>
      <c r="AN103" s="28"/>
      <c r="AO103" s="8"/>
      <c r="AP103" s="8"/>
      <c r="AQ103" s="28"/>
      <c r="AR103" s="28"/>
      <c r="AS103" s="28"/>
    </row>
    <row r="104" spans="1:45" ht="15.75" thickBot="1" x14ac:dyDescent="0.3">
      <c r="A104" t="s">
        <v>283</v>
      </c>
      <c r="C104" s="46" t="s">
        <v>284</v>
      </c>
      <c r="D104" t="s">
        <v>285</v>
      </c>
      <c r="E104" t="s">
        <v>113</v>
      </c>
      <c r="F104" t="s">
        <v>945</v>
      </c>
      <c r="G104"/>
      <c r="H104" t="s">
        <v>286</v>
      </c>
      <c r="I104" s="16">
        <v>-347971580000</v>
      </c>
      <c r="J104" s="16">
        <v>-583070820000</v>
      </c>
      <c r="K104" s="16" t="s">
        <v>1046</v>
      </c>
      <c r="L104" s="17">
        <f t="shared" si="9"/>
        <v>25</v>
      </c>
      <c r="M104" s="17">
        <f t="shared" si="10"/>
        <v>3</v>
      </c>
      <c r="N104" s="18">
        <f t="shared" si="11"/>
        <v>0.8928571428571429</v>
      </c>
      <c r="O104" s="28"/>
      <c r="P104" s="8"/>
      <c r="Q104" s="8"/>
      <c r="R104" s="8"/>
      <c r="S104" s="28"/>
      <c r="T104" s="28"/>
      <c r="U104" s="8"/>
      <c r="V104" s="8"/>
      <c r="W104" s="8"/>
      <c r="X104" s="28"/>
      <c r="Y104" s="28" t="s">
        <v>939</v>
      </c>
      <c r="Z104" s="28" t="s">
        <v>939</v>
      </c>
      <c r="AA104" s="28" t="s">
        <v>939</v>
      </c>
      <c r="AB104" s="28"/>
      <c r="AC104" s="28"/>
      <c r="AD104" s="28"/>
      <c r="AE104" s="28"/>
      <c r="AF104" s="28"/>
      <c r="AG104" s="28"/>
      <c r="AH104" s="28"/>
      <c r="AI104" s="8"/>
      <c r="AJ104" s="8"/>
      <c r="AK104" s="8"/>
      <c r="AL104" s="8"/>
      <c r="AM104" s="8"/>
      <c r="AN104" s="28"/>
      <c r="AO104" s="8"/>
      <c r="AP104" s="8"/>
      <c r="AQ104" s="28"/>
      <c r="AR104" s="28"/>
      <c r="AS104" s="28"/>
    </row>
    <row r="105" spans="1:45" ht="16.149999999999999" customHeight="1" thickBot="1" x14ac:dyDescent="0.3">
      <c r="A105" t="s">
        <v>283</v>
      </c>
      <c r="C105" s="46" t="s">
        <v>287</v>
      </c>
      <c r="D105" t="s">
        <v>285</v>
      </c>
      <c r="E105" t="s">
        <v>113</v>
      </c>
      <c r="F105" t="s">
        <v>945</v>
      </c>
      <c r="G105"/>
      <c r="H105" t="s">
        <v>288</v>
      </c>
      <c r="I105" s="16">
        <v>-347971580000</v>
      </c>
      <c r="J105" s="16">
        <v>-583070820000</v>
      </c>
      <c r="K105" s="16" t="s">
        <v>1047</v>
      </c>
      <c r="L105" s="17">
        <f t="shared" si="9"/>
        <v>25</v>
      </c>
      <c r="M105" s="17">
        <f t="shared" si="10"/>
        <v>3</v>
      </c>
      <c r="N105" s="18">
        <f t="shared" si="11"/>
        <v>0.8928571428571429</v>
      </c>
      <c r="O105" s="28"/>
      <c r="P105" s="8"/>
      <c r="Q105" s="8"/>
      <c r="R105" s="8"/>
      <c r="S105" s="28"/>
      <c r="T105" s="28"/>
      <c r="U105" s="8"/>
      <c r="V105" s="8"/>
      <c r="W105" s="8"/>
      <c r="X105" s="28"/>
      <c r="Y105" s="28" t="s">
        <v>939</v>
      </c>
      <c r="Z105" s="28" t="s">
        <v>939</v>
      </c>
      <c r="AA105" s="28" t="s">
        <v>939</v>
      </c>
      <c r="AB105" s="28"/>
      <c r="AC105" s="28"/>
      <c r="AD105" s="28"/>
      <c r="AE105" s="28"/>
      <c r="AF105" s="28"/>
      <c r="AG105" s="28"/>
      <c r="AH105" s="28"/>
      <c r="AI105" s="8"/>
      <c r="AJ105" s="8"/>
      <c r="AK105" s="8"/>
      <c r="AL105" s="8"/>
      <c r="AM105" s="8"/>
      <c r="AN105" s="28"/>
      <c r="AO105" s="8"/>
      <c r="AP105" s="8"/>
      <c r="AQ105" s="28"/>
      <c r="AR105" s="28"/>
      <c r="AS105" s="28"/>
    </row>
    <row r="106" spans="1:45" ht="15.75" thickBot="1" x14ac:dyDescent="0.3">
      <c r="A106" t="s">
        <v>289</v>
      </c>
      <c r="C106" s="46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1048</v>
      </c>
      <c r="L106" s="17">
        <f t="shared" si="9"/>
        <v>25</v>
      </c>
      <c r="M106" s="17">
        <f t="shared" si="10"/>
        <v>3</v>
      </c>
      <c r="N106" s="18">
        <f t="shared" si="11"/>
        <v>0.8928571428571429</v>
      </c>
      <c r="O106" s="28"/>
      <c r="P106" s="8" t="s">
        <v>939</v>
      </c>
      <c r="Q106" s="8" t="s">
        <v>939</v>
      </c>
      <c r="R106" s="8"/>
      <c r="S106" s="28"/>
      <c r="T106" s="28"/>
      <c r="U106" s="8"/>
      <c r="V106" s="8"/>
      <c r="W106" s="8"/>
      <c r="X106" s="28" t="s">
        <v>939</v>
      </c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8"/>
      <c r="AJ106" s="8"/>
      <c r="AK106" s="8"/>
      <c r="AL106" s="8"/>
      <c r="AM106" s="8"/>
      <c r="AN106" s="28"/>
      <c r="AO106" s="8"/>
      <c r="AP106" s="8"/>
      <c r="AQ106" s="28"/>
      <c r="AR106" s="28"/>
      <c r="AS106" s="28"/>
    </row>
    <row r="107" spans="1:45" ht="15.75" thickBot="1" x14ac:dyDescent="0.3">
      <c r="A107" t="s">
        <v>289</v>
      </c>
      <c r="C107" s="46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1049</v>
      </c>
      <c r="L107" s="17">
        <f t="shared" si="9"/>
        <v>25</v>
      </c>
      <c r="M107" s="17">
        <f t="shared" si="10"/>
        <v>3</v>
      </c>
      <c r="N107" s="18">
        <f t="shared" si="11"/>
        <v>0.8928571428571429</v>
      </c>
      <c r="O107" s="28"/>
      <c r="P107" s="8" t="s">
        <v>939</v>
      </c>
      <c r="Q107" s="8" t="s">
        <v>939</v>
      </c>
      <c r="R107" s="8"/>
      <c r="S107" s="28"/>
      <c r="T107" s="28"/>
      <c r="U107" s="8"/>
      <c r="V107" s="8"/>
      <c r="W107" s="8"/>
      <c r="X107" s="28" t="s">
        <v>939</v>
      </c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8"/>
      <c r="AJ107" s="8"/>
      <c r="AK107" s="8"/>
      <c r="AL107" s="8"/>
      <c r="AM107" s="8"/>
      <c r="AN107" s="28"/>
      <c r="AO107" s="8"/>
      <c r="AP107" s="8"/>
      <c r="AQ107" s="28"/>
      <c r="AR107" s="28"/>
      <c r="AS107" s="28"/>
    </row>
    <row r="108" spans="1:45" ht="15.75" thickBot="1" x14ac:dyDescent="0.3">
      <c r="A108" t="s">
        <v>289</v>
      </c>
      <c r="C108" s="46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1050</v>
      </c>
      <c r="L108" s="17">
        <f t="shared" si="9"/>
        <v>25</v>
      </c>
      <c r="M108" s="17">
        <f t="shared" si="10"/>
        <v>3</v>
      </c>
      <c r="N108" s="18">
        <f t="shared" si="11"/>
        <v>0.8928571428571429</v>
      </c>
      <c r="O108" s="28"/>
      <c r="P108" s="8" t="s">
        <v>939</v>
      </c>
      <c r="Q108" s="8" t="s">
        <v>939</v>
      </c>
      <c r="R108" s="8"/>
      <c r="S108" s="28"/>
      <c r="T108" s="28"/>
      <c r="U108" s="8"/>
      <c r="V108" s="8"/>
      <c r="W108" s="8"/>
      <c r="X108" s="28" t="s">
        <v>939</v>
      </c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8"/>
      <c r="AJ108" s="8"/>
      <c r="AK108" s="8"/>
      <c r="AL108" s="8"/>
      <c r="AM108" s="8"/>
      <c r="AN108" s="28"/>
      <c r="AO108" s="8"/>
      <c r="AP108" s="8"/>
      <c r="AQ108" s="28"/>
      <c r="AR108" s="28"/>
      <c r="AS108" s="28"/>
    </row>
    <row r="109" spans="1:45" ht="15.75" thickBot="1" x14ac:dyDescent="0.3">
      <c r="A109" t="s">
        <v>289</v>
      </c>
      <c r="C109" s="46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1051</v>
      </c>
      <c r="L109" s="17">
        <f t="shared" si="9"/>
        <v>25</v>
      </c>
      <c r="M109" s="17">
        <f t="shared" si="10"/>
        <v>3</v>
      </c>
      <c r="N109" s="18">
        <f t="shared" si="11"/>
        <v>0.8928571428571429</v>
      </c>
      <c r="O109" s="28"/>
      <c r="P109" s="8" t="s">
        <v>939</v>
      </c>
      <c r="Q109" s="8" t="s">
        <v>939</v>
      </c>
      <c r="R109" s="8"/>
      <c r="S109" s="28"/>
      <c r="T109" s="28"/>
      <c r="U109" s="8"/>
      <c r="V109" s="8"/>
      <c r="W109" s="8"/>
      <c r="X109" s="28" t="s">
        <v>939</v>
      </c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8"/>
      <c r="AJ109" s="8"/>
      <c r="AK109" s="8"/>
      <c r="AL109" s="8"/>
      <c r="AM109" s="8"/>
      <c r="AN109" s="28"/>
      <c r="AO109" s="8"/>
      <c r="AP109" s="8"/>
      <c r="AQ109" s="28"/>
      <c r="AR109" s="28"/>
      <c r="AS109" s="28"/>
    </row>
    <row r="110" spans="1:45" ht="15.75" thickBot="1" x14ac:dyDescent="0.3">
      <c r="A110" t="s">
        <v>301</v>
      </c>
      <c r="C110" s="46" t="s">
        <v>302</v>
      </c>
      <c r="D110" t="s">
        <v>303</v>
      </c>
      <c r="E110" t="s">
        <v>19</v>
      </c>
      <c r="F110" t="s">
        <v>945</v>
      </c>
      <c r="G110"/>
      <c r="H110" t="s">
        <v>304</v>
      </c>
      <c r="I110" s="16">
        <v>-348185740000</v>
      </c>
      <c r="J110" s="16">
        <v>-582866380000</v>
      </c>
      <c r="K110" s="16" t="s">
        <v>1058</v>
      </c>
      <c r="L110" s="17">
        <f t="shared" si="9"/>
        <v>28</v>
      </c>
      <c r="M110" s="17">
        <f t="shared" si="10"/>
        <v>0</v>
      </c>
      <c r="N110" s="18">
        <f t="shared" si="11"/>
        <v>1</v>
      </c>
      <c r="O110" s="28"/>
      <c r="P110" s="8"/>
      <c r="Q110" s="8"/>
      <c r="R110" s="8"/>
      <c r="S110" s="28"/>
      <c r="T110" s="28"/>
      <c r="U110" s="8"/>
      <c r="V110" s="8"/>
      <c r="W110" s="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8"/>
      <c r="AJ110" s="8"/>
      <c r="AK110" s="8"/>
      <c r="AL110" s="8"/>
      <c r="AM110" s="8"/>
      <c r="AN110" s="28"/>
      <c r="AO110" s="8"/>
      <c r="AP110" s="8"/>
      <c r="AQ110" s="28"/>
      <c r="AR110" s="28"/>
      <c r="AS110" s="28"/>
    </row>
    <row r="111" spans="1:45" ht="15.75" thickBot="1" x14ac:dyDescent="0.3">
      <c r="A111" t="s">
        <v>301</v>
      </c>
      <c r="C111" s="46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1059</v>
      </c>
      <c r="L111" s="17">
        <f t="shared" si="9"/>
        <v>28</v>
      </c>
      <c r="M111" s="17">
        <f t="shared" si="10"/>
        <v>0</v>
      </c>
      <c r="N111" s="18">
        <f t="shared" si="11"/>
        <v>1</v>
      </c>
      <c r="O111" s="28"/>
      <c r="P111" s="8"/>
      <c r="Q111" s="8"/>
      <c r="R111" s="8"/>
      <c r="S111" s="28"/>
      <c r="T111" s="28"/>
      <c r="U111" s="8"/>
      <c r="V111" s="8"/>
      <c r="W111" s="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8"/>
      <c r="AJ111" s="8"/>
      <c r="AK111" s="8"/>
      <c r="AL111" s="8"/>
      <c r="AM111" s="8"/>
      <c r="AN111" s="28"/>
      <c r="AO111" s="8"/>
      <c r="AP111" s="8"/>
      <c r="AQ111" s="28"/>
      <c r="AR111" s="28"/>
      <c r="AS111" s="28"/>
    </row>
    <row r="112" spans="1:45" ht="15.75" thickBot="1" x14ac:dyDescent="0.3">
      <c r="A112" t="s">
        <v>301</v>
      </c>
      <c r="C112" s="46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1052</v>
      </c>
      <c r="L112" s="17">
        <f t="shared" si="9"/>
        <v>26</v>
      </c>
      <c r="M112" s="17">
        <f t="shared" si="10"/>
        <v>2</v>
      </c>
      <c r="N112" s="18">
        <f t="shared" si="11"/>
        <v>0.9285714285714286</v>
      </c>
      <c r="O112" s="28"/>
      <c r="P112" s="8"/>
      <c r="Q112" s="8"/>
      <c r="R112" s="8"/>
      <c r="S112" s="28" t="s">
        <v>939</v>
      </c>
      <c r="T112" s="28"/>
      <c r="U112" s="8"/>
      <c r="V112" s="8"/>
      <c r="W112" s="8" t="s">
        <v>939</v>
      </c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8"/>
      <c r="AJ112" s="8"/>
      <c r="AK112" s="8"/>
      <c r="AL112" s="8"/>
      <c r="AM112" s="8"/>
      <c r="AN112" s="28"/>
      <c r="AO112" s="8"/>
      <c r="AP112" s="8"/>
      <c r="AQ112" s="28"/>
      <c r="AR112" s="28"/>
      <c r="AS112" s="28"/>
    </row>
    <row r="113" spans="1:45" ht="15.75" thickBot="1" x14ac:dyDescent="0.3">
      <c r="A113" t="s">
        <v>310</v>
      </c>
      <c r="C113" s="46" t="s">
        <v>311</v>
      </c>
      <c r="D113" t="s">
        <v>312</v>
      </c>
      <c r="E113" t="s">
        <v>24</v>
      </c>
      <c r="F113" t="s">
        <v>945</v>
      </c>
      <c r="G113" t="s">
        <v>151</v>
      </c>
      <c r="H113"/>
      <c r="I113" s="16">
        <v>-348125000000</v>
      </c>
      <c r="J113" s="16">
        <v>-582916650000</v>
      </c>
      <c r="K113" s="16" t="s">
        <v>1053</v>
      </c>
      <c r="L113" s="17">
        <f t="shared" si="9"/>
        <v>28</v>
      </c>
      <c r="M113" s="17">
        <f t="shared" si="10"/>
        <v>0</v>
      </c>
      <c r="N113" s="18">
        <f t="shared" si="11"/>
        <v>1</v>
      </c>
      <c r="O113" s="28"/>
      <c r="P113" s="8"/>
      <c r="Q113" s="8"/>
      <c r="R113" s="8"/>
      <c r="S113" s="28"/>
      <c r="T113" s="28"/>
      <c r="U113" s="8"/>
      <c r="V113" s="8"/>
      <c r="W113" s="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8"/>
      <c r="AJ113" s="8"/>
      <c r="AK113" s="8"/>
      <c r="AL113" s="8"/>
      <c r="AM113" s="8"/>
      <c r="AN113" s="28"/>
      <c r="AO113" s="8"/>
      <c r="AP113" s="8"/>
      <c r="AQ113" s="28"/>
      <c r="AR113" s="28"/>
      <c r="AS113" s="28"/>
    </row>
    <row r="114" spans="1:45" ht="15.75" thickBot="1" x14ac:dyDescent="0.3">
      <c r="A114" t="s">
        <v>313</v>
      </c>
      <c r="C114" s="46" t="s">
        <v>314</v>
      </c>
      <c r="D114" t="s">
        <v>315</v>
      </c>
      <c r="E114" t="s">
        <v>19</v>
      </c>
      <c r="F114" t="s">
        <v>945</v>
      </c>
      <c r="G114" t="s">
        <v>316</v>
      </c>
      <c r="H114"/>
      <c r="I114" s="16">
        <v>-348215020000</v>
      </c>
      <c r="J114" s="16">
        <v>-582844880000</v>
      </c>
      <c r="K114" s="16" t="s">
        <v>1054</v>
      </c>
      <c r="L114" s="17">
        <f t="shared" si="9"/>
        <v>28</v>
      </c>
      <c r="M114" s="17">
        <f t="shared" si="10"/>
        <v>0</v>
      </c>
      <c r="N114" s="18">
        <f t="shared" si="11"/>
        <v>1</v>
      </c>
      <c r="O114" s="28"/>
      <c r="P114" s="8"/>
      <c r="Q114" s="8"/>
      <c r="R114" s="8"/>
      <c r="S114" s="28"/>
      <c r="T114" s="28"/>
      <c r="U114" s="8"/>
      <c r="V114" s="8"/>
      <c r="W114" s="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8"/>
      <c r="AJ114" s="8"/>
      <c r="AK114" s="8"/>
      <c r="AL114" s="8"/>
      <c r="AM114" s="8"/>
      <c r="AN114" s="28"/>
      <c r="AO114" s="8"/>
      <c r="AP114" s="8"/>
      <c r="AQ114" s="28"/>
      <c r="AR114" s="28"/>
      <c r="AS114" s="28"/>
    </row>
    <row r="115" spans="1:45" ht="15.75" thickBot="1" x14ac:dyDescent="0.3">
      <c r="A115" t="s">
        <v>301</v>
      </c>
      <c r="C115" s="46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1055</v>
      </c>
      <c r="L115" s="17">
        <f t="shared" si="9"/>
        <v>18</v>
      </c>
      <c r="M115" s="17">
        <f t="shared" si="10"/>
        <v>10</v>
      </c>
      <c r="N115" s="18">
        <f t="shared" si="11"/>
        <v>0.6428571428571429</v>
      </c>
      <c r="O115" s="28" t="s">
        <v>939</v>
      </c>
      <c r="P115" s="8" t="s">
        <v>939</v>
      </c>
      <c r="Q115" s="8" t="s">
        <v>939</v>
      </c>
      <c r="R115" s="8" t="s">
        <v>939</v>
      </c>
      <c r="S115" s="28" t="s">
        <v>939</v>
      </c>
      <c r="T115" s="28" t="s">
        <v>939</v>
      </c>
      <c r="U115" s="8" t="s">
        <v>939</v>
      </c>
      <c r="V115" s="8" t="s">
        <v>939</v>
      </c>
      <c r="W115" s="8" t="s">
        <v>939</v>
      </c>
      <c r="X115" s="28" t="s">
        <v>939</v>
      </c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8"/>
      <c r="AJ115" s="28"/>
      <c r="AK115" s="8"/>
      <c r="AL115" s="8"/>
      <c r="AM115" s="8"/>
      <c r="AN115" s="28"/>
      <c r="AO115" s="8"/>
      <c r="AP115" s="8"/>
      <c r="AQ115" s="28"/>
      <c r="AR115" s="28"/>
      <c r="AS115" s="28"/>
    </row>
    <row r="116" spans="1:45" ht="15.75" thickBot="1" x14ac:dyDescent="0.3">
      <c r="A116" t="s">
        <v>301</v>
      </c>
      <c r="C116" s="46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1056</v>
      </c>
      <c r="L116" s="17">
        <f t="shared" si="9"/>
        <v>18</v>
      </c>
      <c r="M116" s="17">
        <f t="shared" si="10"/>
        <v>10</v>
      </c>
      <c r="N116" s="18">
        <f t="shared" si="11"/>
        <v>0.6428571428571429</v>
      </c>
      <c r="O116" s="28" t="s">
        <v>939</v>
      </c>
      <c r="P116" s="8" t="s">
        <v>939</v>
      </c>
      <c r="Q116" s="8" t="s">
        <v>939</v>
      </c>
      <c r="R116" s="8" t="s">
        <v>939</v>
      </c>
      <c r="S116" s="28" t="s">
        <v>939</v>
      </c>
      <c r="T116" s="28" t="s">
        <v>939</v>
      </c>
      <c r="U116" s="8" t="s">
        <v>939</v>
      </c>
      <c r="V116" s="8" t="s">
        <v>939</v>
      </c>
      <c r="W116" s="8" t="s">
        <v>939</v>
      </c>
      <c r="X116" s="28" t="s">
        <v>939</v>
      </c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8"/>
      <c r="AJ116" s="28"/>
      <c r="AK116" s="8"/>
      <c r="AL116" s="8"/>
      <c r="AM116" s="8"/>
      <c r="AN116" s="28"/>
      <c r="AO116" s="8"/>
      <c r="AP116" s="8"/>
      <c r="AQ116" s="28"/>
      <c r="AR116" s="28"/>
      <c r="AS116" s="28"/>
    </row>
    <row r="117" spans="1:45" ht="15.75" thickBot="1" x14ac:dyDescent="0.3">
      <c r="A117" t="s">
        <v>301</v>
      </c>
      <c r="C117" s="46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1057</v>
      </c>
      <c r="L117" s="17">
        <f t="shared" si="9"/>
        <v>28</v>
      </c>
      <c r="M117" s="17">
        <f t="shared" si="10"/>
        <v>0</v>
      </c>
      <c r="N117" s="18">
        <f t="shared" si="11"/>
        <v>1</v>
      </c>
      <c r="O117" s="28"/>
      <c r="P117" s="8"/>
      <c r="Q117" s="8"/>
      <c r="R117" s="8"/>
      <c r="S117" s="28"/>
      <c r="T117" s="28"/>
      <c r="U117" s="8"/>
      <c r="V117" s="8"/>
      <c r="W117" s="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8"/>
      <c r="AJ117" s="8"/>
      <c r="AK117" s="8"/>
      <c r="AL117" s="8"/>
      <c r="AM117" s="8"/>
      <c r="AN117" s="28"/>
      <c r="AO117" s="8"/>
      <c r="AP117" s="8"/>
      <c r="AQ117" s="28"/>
      <c r="AR117" s="28"/>
      <c r="AS117" s="28"/>
    </row>
    <row r="118" spans="1:45" ht="15.75" thickBot="1" x14ac:dyDescent="0.3">
      <c r="A118" t="s">
        <v>301</v>
      </c>
      <c r="C118" s="46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1060</v>
      </c>
      <c r="L118" s="17">
        <f t="shared" si="9"/>
        <v>28</v>
      </c>
      <c r="M118" s="17">
        <f t="shared" si="10"/>
        <v>0</v>
      </c>
      <c r="N118" s="18">
        <f t="shared" si="11"/>
        <v>1</v>
      </c>
      <c r="O118" s="28"/>
      <c r="P118" s="8"/>
      <c r="Q118" s="8"/>
      <c r="R118" s="8"/>
      <c r="S118" s="28"/>
      <c r="T118" s="28"/>
      <c r="U118" s="8"/>
      <c r="V118" s="8"/>
      <c r="W118" s="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8"/>
      <c r="AJ118" s="8"/>
      <c r="AK118" s="8"/>
      <c r="AL118" s="8"/>
      <c r="AM118" s="8"/>
      <c r="AN118" s="28"/>
      <c r="AO118" s="8"/>
      <c r="AP118" s="8"/>
      <c r="AQ118" s="28"/>
      <c r="AR118" s="28"/>
      <c r="AS118" s="28"/>
    </row>
    <row r="119" spans="1:45" ht="15.75" thickBot="1" x14ac:dyDescent="0.3">
      <c r="A119" t="s">
        <v>301</v>
      </c>
      <c r="C119" s="46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1061</v>
      </c>
      <c r="L119" s="17">
        <f t="shared" si="9"/>
        <v>28</v>
      </c>
      <c r="M119" s="17">
        <f t="shared" si="10"/>
        <v>0</v>
      </c>
      <c r="N119" s="18">
        <f t="shared" si="11"/>
        <v>1</v>
      </c>
      <c r="O119" s="28"/>
      <c r="P119" s="8"/>
      <c r="Q119" s="8"/>
      <c r="R119" s="8"/>
      <c r="S119" s="28"/>
      <c r="T119" s="28"/>
      <c r="U119" s="8"/>
      <c r="V119" s="8"/>
      <c r="W119" s="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8"/>
      <c r="AJ119" s="8"/>
      <c r="AK119" s="8"/>
      <c r="AL119" s="8"/>
      <c r="AM119" s="8"/>
      <c r="AN119" s="28"/>
      <c r="AO119" s="8"/>
      <c r="AP119" s="8"/>
      <c r="AQ119" s="28"/>
      <c r="AR119" s="28"/>
      <c r="AS119" s="28"/>
    </row>
    <row r="120" spans="1:45" ht="15.75" thickBot="1" x14ac:dyDescent="0.3">
      <c r="A120" t="s">
        <v>301</v>
      </c>
      <c r="C120" s="46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1028</v>
      </c>
      <c r="L120" s="17">
        <f t="shared" si="9"/>
        <v>15</v>
      </c>
      <c r="M120" s="17">
        <f t="shared" si="10"/>
        <v>13</v>
      </c>
      <c r="N120" s="18">
        <f t="shared" si="11"/>
        <v>0.5357142857142857</v>
      </c>
      <c r="O120" s="28" t="s">
        <v>939</v>
      </c>
      <c r="P120" s="8" t="s">
        <v>939</v>
      </c>
      <c r="Q120" s="8" t="s">
        <v>939</v>
      </c>
      <c r="R120" s="8" t="s">
        <v>939</v>
      </c>
      <c r="S120" s="28" t="s">
        <v>939</v>
      </c>
      <c r="T120" s="28" t="s">
        <v>939</v>
      </c>
      <c r="U120" s="8" t="s">
        <v>939</v>
      </c>
      <c r="V120" s="8" t="s">
        <v>939</v>
      </c>
      <c r="W120" s="8" t="s">
        <v>939</v>
      </c>
      <c r="X120" s="28" t="s">
        <v>939</v>
      </c>
      <c r="Y120" s="28" t="s">
        <v>939</v>
      </c>
      <c r="Z120" s="28" t="s">
        <v>939</v>
      </c>
      <c r="AA120" s="28" t="s">
        <v>939</v>
      </c>
      <c r="AB120" s="28"/>
      <c r="AC120" s="28"/>
      <c r="AD120" s="28"/>
      <c r="AE120" s="28"/>
      <c r="AF120" s="28"/>
      <c r="AG120" s="28"/>
      <c r="AH120" s="28"/>
      <c r="AI120" s="8"/>
      <c r="AJ120" s="28"/>
      <c r="AK120" s="8"/>
      <c r="AL120" s="8"/>
      <c r="AM120" s="8"/>
      <c r="AN120" s="28"/>
      <c r="AO120" s="8"/>
      <c r="AP120" s="8"/>
      <c r="AQ120" s="28"/>
      <c r="AR120" s="28"/>
      <c r="AS120" s="28"/>
    </row>
    <row r="121" spans="1:45" ht="15.75" thickBot="1" x14ac:dyDescent="0.3">
      <c r="A121" t="s">
        <v>301</v>
      </c>
      <c r="C121" s="46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1029</v>
      </c>
      <c r="L121" s="17">
        <f t="shared" si="9"/>
        <v>15</v>
      </c>
      <c r="M121" s="17">
        <f t="shared" si="10"/>
        <v>13</v>
      </c>
      <c r="N121" s="18">
        <f t="shared" si="11"/>
        <v>0.5357142857142857</v>
      </c>
      <c r="O121" s="28" t="s">
        <v>939</v>
      </c>
      <c r="P121" s="8" t="s">
        <v>939</v>
      </c>
      <c r="Q121" s="8" t="s">
        <v>939</v>
      </c>
      <c r="R121" s="8" t="s">
        <v>939</v>
      </c>
      <c r="S121" s="28" t="s">
        <v>939</v>
      </c>
      <c r="T121" s="28" t="s">
        <v>939</v>
      </c>
      <c r="U121" s="8" t="s">
        <v>939</v>
      </c>
      <c r="V121" s="8" t="s">
        <v>939</v>
      </c>
      <c r="W121" s="8" t="s">
        <v>939</v>
      </c>
      <c r="X121" s="28" t="s">
        <v>939</v>
      </c>
      <c r="Y121" s="28" t="s">
        <v>939</v>
      </c>
      <c r="Z121" s="28" t="s">
        <v>939</v>
      </c>
      <c r="AA121" s="28" t="s">
        <v>939</v>
      </c>
      <c r="AB121" s="28"/>
      <c r="AC121" s="28"/>
      <c r="AD121" s="28"/>
      <c r="AE121" s="28"/>
      <c r="AF121" s="28"/>
      <c r="AG121" s="28"/>
      <c r="AH121" s="28"/>
      <c r="AI121" s="8"/>
      <c r="AJ121" s="28"/>
      <c r="AK121" s="8"/>
      <c r="AL121" s="8"/>
      <c r="AM121" s="8"/>
      <c r="AN121" s="28"/>
      <c r="AO121" s="8"/>
      <c r="AP121" s="8"/>
      <c r="AQ121" s="28"/>
      <c r="AR121" s="28"/>
      <c r="AS121" s="28"/>
    </row>
    <row r="122" spans="1:45" ht="15.75" thickBot="1" x14ac:dyDescent="0.3">
      <c r="A122" t="s">
        <v>333</v>
      </c>
      <c r="C122" s="46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1063</v>
      </c>
      <c r="L122" s="17">
        <f t="shared" si="9"/>
        <v>24</v>
      </c>
      <c r="M122" s="17">
        <f t="shared" si="10"/>
        <v>4</v>
      </c>
      <c r="N122" s="18">
        <f t="shared" si="11"/>
        <v>0.8571428571428571</v>
      </c>
      <c r="O122" s="28"/>
      <c r="P122" s="8" t="s">
        <v>939</v>
      </c>
      <c r="Q122" s="8" t="s">
        <v>939</v>
      </c>
      <c r="R122" s="8"/>
      <c r="S122" s="28"/>
      <c r="T122" s="28"/>
      <c r="U122" s="8" t="s">
        <v>939</v>
      </c>
      <c r="V122" s="8"/>
      <c r="W122" s="8"/>
      <c r="X122" s="28" t="s">
        <v>939</v>
      </c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8"/>
      <c r="AJ122" s="8"/>
      <c r="AK122" s="8"/>
      <c r="AL122" s="8"/>
      <c r="AM122" s="8"/>
      <c r="AN122" s="28"/>
      <c r="AO122" s="8"/>
      <c r="AP122" s="8"/>
      <c r="AQ122" s="28"/>
      <c r="AR122" s="28"/>
      <c r="AS122" s="28"/>
    </row>
    <row r="123" spans="1:45" ht="15.75" thickBot="1" x14ac:dyDescent="0.3">
      <c r="A123" t="s">
        <v>333</v>
      </c>
      <c r="C123" s="46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1064</v>
      </c>
      <c r="L123" s="17">
        <f t="shared" si="9"/>
        <v>24</v>
      </c>
      <c r="M123" s="17">
        <f t="shared" si="10"/>
        <v>4</v>
      </c>
      <c r="N123" s="18">
        <f t="shared" si="11"/>
        <v>0.8571428571428571</v>
      </c>
      <c r="O123" s="28"/>
      <c r="P123" s="8" t="s">
        <v>939</v>
      </c>
      <c r="Q123" s="8" t="s">
        <v>939</v>
      </c>
      <c r="R123" s="8"/>
      <c r="S123" s="28"/>
      <c r="T123" s="28"/>
      <c r="U123" s="8" t="s">
        <v>939</v>
      </c>
      <c r="V123" s="8"/>
      <c r="W123" s="8"/>
      <c r="X123" s="28" t="s">
        <v>939</v>
      </c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8"/>
      <c r="AJ123" s="8"/>
      <c r="AK123" s="8"/>
      <c r="AL123" s="8"/>
      <c r="AM123" s="8"/>
      <c r="AN123" s="28"/>
      <c r="AO123" s="8"/>
      <c r="AP123" s="8"/>
      <c r="AQ123" s="28"/>
      <c r="AR123" s="28"/>
      <c r="AS123" s="28"/>
    </row>
    <row r="124" spans="1:45" ht="15.75" thickBot="1" x14ac:dyDescent="0.3">
      <c r="A124" t="s">
        <v>338</v>
      </c>
      <c r="C124" s="46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1065</v>
      </c>
      <c r="L124" s="17">
        <f t="shared" si="9"/>
        <v>28</v>
      </c>
      <c r="M124" s="17">
        <f t="shared" si="10"/>
        <v>0</v>
      </c>
      <c r="N124" s="18">
        <f t="shared" si="11"/>
        <v>1</v>
      </c>
      <c r="O124" s="28"/>
      <c r="P124" s="8"/>
      <c r="Q124" s="8"/>
      <c r="R124" s="8"/>
      <c r="S124" s="28"/>
      <c r="T124" s="28"/>
      <c r="U124" s="8"/>
      <c r="V124" s="8"/>
      <c r="W124" s="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8"/>
      <c r="AJ124" s="8"/>
      <c r="AK124" s="8"/>
      <c r="AL124" s="8"/>
      <c r="AM124" s="8"/>
      <c r="AN124" s="28"/>
      <c r="AO124" s="8"/>
      <c r="AP124" s="8"/>
      <c r="AQ124" s="28"/>
      <c r="AR124" s="28"/>
      <c r="AS124" s="28"/>
    </row>
    <row r="125" spans="1:45" ht="15.75" thickBot="1" x14ac:dyDescent="0.3">
      <c r="A125" t="s">
        <v>342</v>
      </c>
      <c r="C125" s="46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1072</v>
      </c>
      <c r="L125" s="17">
        <f t="shared" si="9"/>
        <v>28</v>
      </c>
      <c r="M125" s="17">
        <f t="shared" si="10"/>
        <v>0</v>
      </c>
      <c r="N125" s="18">
        <f t="shared" si="11"/>
        <v>1</v>
      </c>
      <c r="O125" s="28"/>
      <c r="P125" s="8"/>
      <c r="Q125" s="8"/>
      <c r="R125" s="8"/>
      <c r="S125" s="28"/>
      <c r="T125" s="28"/>
      <c r="U125" s="8"/>
      <c r="V125" s="8"/>
      <c r="W125" s="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8"/>
      <c r="AJ125" s="8"/>
      <c r="AK125" s="8"/>
      <c r="AL125" s="8"/>
      <c r="AM125" s="8"/>
      <c r="AN125" s="28"/>
      <c r="AO125" s="8"/>
      <c r="AP125" s="8"/>
      <c r="AQ125" s="28"/>
      <c r="AR125" s="28"/>
      <c r="AS125" s="28"/>
    </row>
    <row r="126" spans="1:45" ht="15.75" thickBot="1" x14ac:dyDescent="0.3">
      <c r="A126" t="s">
        <v>342</v>
      </c>
      <c r="C126" s="46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1073</v>
      </c>
      <c r="L126" s="17">
        <f t="shared" si="9"/>
        <v>28</v>
      </c>
      <c r="M126" s="17">
        <f t="shared" si="10"/>
        <v>0</v>
      </c>
      <c r="N126" s="18">
        <f t="shared" si="11"/>
        <v>1</v>
      </c>
      <c r="O126" s="28"/>
      <c r="P126" s="8"/>
      <c r="Q126" s="8"/>
      <c r="R126" s="8"/>
      <c r="S126" s="28"/>
      <c r="T126" s="28"/>
      <c r="U126" s="8"/>
      <c r="V126" s="8"/>
      <c r="W126" s="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8"/>
      <c r="AJ126" s="8"/>
      <c r="AK126" s="8"/>
      <c r="AL126" s="8"/>
      <c r="AM126" s="8"/>
      <c r="AN126" s="28"/>
      <c r="AO126" s="8"/>
      <c r="AP126" s="8"/>
      <c r="AQ126" s="28"/>
      <c r="AR126" s="28"/>
      <c r="AS126" s="28"/>
    </row>
    <row r="127" spans="1:45" ht="15.75" thickBot="1" x14ac:dyDescent="0.3">
      <c r="A127" t="s">
        <v>342</v>
      </c>
      <c r="C127" s="46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1074</v>
      </c>
      <c r="L127" s="17">
        <f t="shared" si="9"/>
        <v>28</v>
      </c>
      <c r="M127" s="17">
        <f t="shared" si="10"/>
        <v>0</v>
      </c>
      <c r="N127" s="18">
        <f t="shared" si="11"/>
        <v>1</v>
      </c>
      <c r="O127" s="28"/>
      <c r="P127" s="8"/>
      <c r="Q127" s="8"/>
      <c r="R127" s="8"/>
      <c r="S127" s="28"/>
      <c r="T127" s="28"/>
      <c r="U127" s="8"/>
      <c r="V127" s="8"/>
      <c r="W127" s="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8"/>
      <c r="AJ127" s="8"/>
      <c r="AK127" s="8"/>
      <c r="AL127" s="8"/>
      <c r="AM127" s="8"/>
      <c r="AN127" s="28"/>
      <c r="AO127" s="8"/>
      <c r="AP127" s="8"/>
      <c r="AQ127" s="28"/>
      <c r="AR127" s="28"/>
      <c r="AS127" s="28"/>
    </row>
    <row r="128" spans="1:45" ht="15.75" thickBot="1" x14ac:dyDescent="0.3">
      <c r="A128" t="s">
        <v>342</v>
      </c>
      <c r="C128" s="46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1075</v>
      </c>
      <c r="L128" s="17">
        <f t="shared" si="9"/>
        <v>28</v>
      </c>
      <c r="M128" s="17">
        <f t="shared" si="10"/>
        <v>0</v>
      </c>
      <c r="N128" s="18">
        <f t="shared" si="11"/>
        <v>1</v>
      </c>
      <c r="O128" s="28"/>
      <c r="P128" s="8"/>
      <c r="Q128" s="8"/>
      <c r="R128" s="8"/>
      <c r="S128" s="28"/>
      <c r="T128" s="28"/>
      <c r="U128" s="8"/>
      <c r="V128" s="8"/>
      <c r="W128" s="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8"/>
      <c r="AJ128" s="8"/>
      <c r="AK128" s="8"/>
      <c r="AL128" s="8"/>
      <c r="AM128" s="8"/>
      <c r="AN128" s="28"/>
      <c r="AO128" s="8"/>
      <c r="AP128" s="8"/>
      <c r="AQ128" s="28"/>
      <c r="AR128" s="28"/>
      <c r="AS128" s="28"/>
    </row>
    <row r="129" spans="1:45" ht="15.75" thickBot="1" x14ac:dyDescent="0.3">
      <c r="A129" t="s">
        <v>342</v>
      </c>
      <c r="C129" s="46" t="s">
        <v>355</v>
      </c>
      <c r="D129" t="s">
        <v>356</v>
      </c>
      <c r="E129" t="s">
        <v>113</v>
      </c>
      <c r="F129" t="s">
        <v>945</v>
      </c>
      <c r="G129"/>
      <c r="H129" t="s">
        <v>297</v>
      </c>
      <c r="I129" s="16">
        <v>-348034360000</v>
      </c>
      <c r="J129" s="16">
        <v>-583009630000</v>
      </c>
      <c r="K129" s="16" t="s">
        <v>1077</v>
      </c>
      <c r="L129" s="17">
        <f t="shared" si="9"/>
        <v>24</v>
      </c>
      <c r="M129" s="17">
        <f t="shared" si="10"/>
        <v>4</v>
      </c>
      <c r="N129" s="18">
        <f t="shared" si="11"/>
        <v>0.8571428571428571</v>
      </c>
      <c r="O129" s="28"/>
      <c r="P129" s="8"/>
      <c r="Q129" s="8"/>
      <c r="R129" s="8"/>
      <c r="S129" s="28" t="s">
        <v>939</v>
      </c>
      <c r="T129" s="28"/>
      <c r="U129" s="8"/>
      <c r="V129" s="8"/>
      <c r="W129" s="8"/>
      <c r="X129" s="28"/>
      <c r="Y129" s="28" t="s">
        <v>939</v>
      </c>
      <c r="Z129" s="28" t="s">
        <v>939</v>
      </c>
      <c r="AA129" s="28" t="s">
        <v>939</v>
      </c>
      <c r="AB129" s="28"/>
      <c r="AC129" s="28"/>
      <c r="AD129" s="28"/>
      <c r="AE129" s="28"/>
      <c r="AF129" s="28"/>
      <c r="AG129" s="28"/>
      <c r="AH129" s="28"/>
      <c r="AI129" s="8"/>
      <c r="AJ129" s="8"/>
      <c r="AK129" s="8"/>
      <c r="AL129" s="8"/>
      <c r="AM129" s="8"/>
      <c r="AN129" s="28"/>
      <c r="AO129" s="8"/>
      <c r="AP129" s="8"/>
      <c r="AQ129" s="28"/>
      <c r="AR129" s="28"/>
      <c r="AS129" s="28"/>
    </row>
    <row r="130" spans="1:45" ht="15.75" thickBot="1" x14ac:dyDescent="0.3">
      <c r="A130" t="s">
        <v>342</v>
      </c>
      <c r="C130" s="46" t="s">
        <v>357</v>
      </c>
      <c r="D130" t="s">
        <v>356</v>
      </c>
      <c r="E130" t="s">
        <v>113</v>
      </c>
      <c r="F130" t="s">
        <v>945</v>
      </c>
      <c r="G130"/>
      <c r="H130" t="s">
        <v>297</v>
      </c>
      <c r="I130" s="16">
        <v>-348034540000</v>
      </c>
      <c r="J130" s="16">
        <v>-583010170000</v>
      </c>
      <c r="K130" s="16" t="s">
        <v>1078</v>
      </c>
      <c r="L130" s="17">
        <f t="shared" si="9"/>
        <v>25</v>
      </c>
      <c r="M130" s="17">
        <f t="shared" si="10"/>
        <v>3</v>
      </c>
      <c r="N130" s="18">
        <f t="shared" si="11"/>
        <v>0.8928571428571429</v>
      </c>
      <c r="O130" s="28"/>
      <c r="P130" s="8"/>
      <c r="Q130" s="8"/>
      <c r="R130" s="8"/>
      <c r="S130" s="28"/>
      <c r="T130" s="28"/>
      <c r="U130" s="8"/>
      <c r="V130" s="8"/>
      <c r="W130" s="8"/>
      <c r="X130" s="28"/>
      <c r="Y130" s="28" t="s">
        <v>939</v>
      </c>
      <c r="Z130" s="28" t="s">
        <v>939</v>
      </c>
      <c r="AA130" s="28" t="s">
        <v>939</v>
      </c>
      <c r="AB130" s="28"/>
      <c r="AC130" s="28"/>
      <c r="AD130" s="28"/>
      <c r="AE130" s="28"/>
      <c r="AF130" s="28"/>
      <c r="AG130" s="28"/>
      <c r="AH130" s="28"/>
      <c r="AI130" s="8"/>
      <c r="AJ130" s="8"/>
      <c r="AK130" s="8"/>
      <c r="AL130" s="8"/>
      <c r="AM130" s="8"/>
      <c r="AN130" s="28"/>
      <c r="AO130" s="8"/>
      <c r="AP130" s="8"/>
      <c r="AQ130" s="28"/>
      <c r="AR130" s="28"/>
      <c r="AS130" s="28"/>
    </row>
    <row r="131" spans="1:45" ht="15.75" thickBot="1" x14ac:dyDescent="0.3">
      <c r="A131" t="s">
        <v>358</v>
      </c>
      <c r="C131" s="46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1066</v>
      </c>
      <c r="L131" s="17">
        <f t="shared" si="9"/>
        <v>28</v>
      </c>
      <c r="M131" s="17">
        <f t="shared" si="10"/>
        <v>0</v>
      </c>
      <c r="N131" s="18">
        <f t="shared" si="11"/>
        <v>1</v>
      </c>
      <c r="O131" s="28"/>
      <c r="P131" s="8"/>
      <c r="Q131" s="8"/>
      <c r="R131" s="8"/>
      <c r="S131" s="28"/>
      <c r="T131" s="28"/>
      <c r="U131" s="8"/>
      <c r="V131" s="8"/>
      <c r="W131" s="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8"/>
      <c r="AJ131" s="8"/>
      <c r="AK131" s="8"/>
      <c r="AL131" s="8"/>
      <c r="AM131" s="8"/>
      <c r="AN131" s="28"/>
      <c r="AO131" s="8"/>
      <c r="AP131" s="8"/>
      <c r="AQ131" s="28"/>
      <c r="AR131" s="28"/>
      <c r="AS131" s="28"/>
    </row>
    <row r="132" spans="1:45" ht="15.75" thickBot="1" x14ac:dyDescent="0.3">
      <c r="A132" t="s">
        <v>261</v>
      </c>
      <c r="C132" s="46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1067</v>
      </c>
      <c r="L132" s="17">
        <f t="shared" si="9"/>
        <v>28</v>
      </c>
      <c r="M132" s="17">
        <f t="shared" si="10"/>
        <v>0</v>
      </c>
      <c r="N132" s="18">
        <f t="shared" si="11"/>
        <v>1</v>
      </c>
      <c r="O132" s="28"/>
      <c r="P132" s="8"/>
      <c r="Q132" s="8"/>
      <c r="R132" s="8"/>
      <c r="S132" s="28"/>
      <c r="T132" s="28"/>
      <c r="U132" s="8"/>
      <c r="V132" s="8"/>
      <c r="W132" s="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8"/>
      <c r="AJ132" s="8"/>
      <c r="AK132" s="8"/>
      <c r="AL132" s="8"/>
      <c r="AM132" s="8"/>
      <c r="AN132" s="28"/>
      <c r="AO132" s="8"/>
      <c r="AP132" s="8"/>
      <c r="AQ132" s="28"/>
      <c r="AR132" s="28"/>
      <c r="AS132" s="28"/>
    </row>
    <row r="133" spans="1:45" ht="15.75" thickBot="1" x14ac:dyDescent="0.3">
      <c r="A133" t="s">
        <v>342</v>
      </c>
      <c r="C133" s="46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1068</v>
      </c>
      <c r="L133" s="17">
        <f t="shared" ref="L133:L196" si="12">COUNTIF(O133:AP133,"")</f>
        <v>15</v>
      </c>
      <c r="M133" s="17">
        <f t="shared" ref="M133:M196" si="13">COUNTIF(O133:AP133,"APAGADO")</f>
        <v>13</v>
      </c>
      <c r="N133" s="18">
        <f t="shared" ref="N133:N196" si="14">(L133)/(M133+L133)</f>
        <v>0.5357142857142857</v>
      </c>
      <c r="O133" s="28" t="s">
        <v>939</v>
      </c>
      <c r="P133" s="8" t="s">
        <v>939</v>
      </c>
      <c r="Q133" s="8" t="s">
        <v>939</v>
      </c>
      <c r="R133" s="8" t="s">
        <v>939</v>
      </c>
      <c r="S133" s="28" t="s">
        <v>939</v>
      </c>
      <c r="T133" s="28" t="s">
        <v>939</v>
      </c>
      <c r="U133" s="8" t="s">
        <v>939</v>
      </c>
      <c r="V133" s="8" t="s">
        <v>939</v>
      </c>
      <c r="W133" s="8" t="s">
        <v>939</v>
      </c>
      <c r="X133" s="28" t="s">
        <v>939</v>
      </c>
      <c r="Y133" s="28" t="s">
        <v>939</v>
      </c>
      <c r="Z133" s="28" t="s">
        <v>939</v>
      </c>
      <c r="AA133" s="28" t="s">
        <v>939</v>
      </c>
      <c r="AB133" s="28"/>
      <c r="AC133" s="28"/>
      <c r="AD133" s="28"/>
      <c r="AE133" s="28"/>
      <c r="AF133" s="28"/>
      <c r="AG133" s="28"/>
      <c r="AH133" s="28"/>
      <c r="AI133" s="8"/>
      <c r="AJ133" s="28"/>
      <c r="AK133" s="8"/>
      <c r="AL133" s="8"/>
      <c r="AM133" s="8"/>
      <c r="AN133" s="28"/>
      <c r="AO133" s="8"/>
      <c r="AP133" s="8"/>
      <c r="AQ133" s="28"/>
      <c r="AR133" s="28"/>
      <c r="AS133" s="28"/>
    </row>
    <row r="134" spans="1:45" ht="15.75" thickBot="1" x14ac:dyDescent="0.3">
      <c r="A134" t="s">
        <v>342</v>
      </c>
      <c r="C134" s="46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1069</v>
      </c>
      <c r="L134" s="17">
        <f t="shared" si="12"/>
        <v>27</v>
      </c>
      <c r="M134" s="17">
        <f t="shared" si="13"/>
        <v>1</v>
      </c>
      <c r="N134" s="18">
        <f t="shared" si="14"/>
        <v>0.9642857142857143</v>
      </c>
      <c r="O134" s="28"/>
      <c r="P134" s="8"/>
      <c r="Q134" s="8"/>
      <c r="R134" s="8"/>
      <c r="S134" s="28" t="s">
        <v>939</v>
      </c>
      <c r="T134" s="28"/>
      <c r="U134" s="8"/>
      <c r="V134" s="8"/>
      <c r="W134" s="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8"/>
      <c r="AJ134" s="8"/>
      <c r="AK134" s="8"/>
      <c r="AL134" s="8"/>
      <c r="AM134" s="8"/>
      <c r="AN134" s="28"/>
      <c r="AO134" s="8"/>
      <c r="AP134" s="8"/>
      <c r="AQ134" s="28"/>
      <c r="AR134" s="28"/>
      <c r="AS134" s="28"/>
    </row>
    <row r="135" spans="1:45" ht="15.75" thickBot="1" x14ac:dyDescent="0.3">
      <c r="A135" t="s">
        <v>342</v>
      </c>
      <c r="C135" s="46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1070</v>
      </c>
      <c r="L135" s="17">
        <f t="shared" si="12"/>
        <v>28</v>
      </c>
      <c r="M135" s="17">
        <f t="shared" si="13"/>
        <v>0</v>
      </c>
      <c r="N135" s="18">
        <f t="shared" si="14"/>
        <v>1</v>
      </c>
      <c r="O135" s="28"/>
      <c r="P135" s="8"/>
      <c r="Q135" s="8"/>
      <c r="R135" s="8"/>
      <c r="S135" s="28"/>
      <c r="T135" s="28"/>
      <c r="U135" s="8"/>
      <c r="V135" s="8"/>
      <c r="W135" s="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8"/>
      <c r="AJ135" s="8"/>
      <c r="AK135" s="8"/>
      <c r="AL135" s="8"/>
      <c r="AM135" s="8"/>
      <c r="AN135" s="28"/>
      <c r="AO135" s="8"/>
      <c r="AP135" s="8"/>
      <c r="AQ135" s="28"/>
      <c r="AR135" s="28"/>
      <c r="AS135" s="28"/>
    </row>
    <row r="136" spans="1:45" ht="15.75" thickBot="1" x14ac:dyDescent="0.3">
      <c r="A136" t="s">
        <v>342</v>
      </c>
      <c r="C136" s="46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1071</v>
      </c>
      <c r="L136" s="17">
        <f t="shared" si="12"/>
        <v>27</v>
      </c>
      <c r="M136" s="17">
        <f t="shared" si="13"/>
        <v>1</v>
      </c>
      <c r="N136" s="18">
        <f t="shared" si="14"/>
        <v>0.9642857142857143</v>
      </c>
      <c r="O136" s="28" t="s">
        <v>939</v>
      </c>
      <c r="P136" s="8"/>
      <c r="Q136" s="8"/>
      <c r="R136" s="8"/>
      <c r="S136" s="28"/>
      <c r="T136" s="28"/>
      <c r="U136" s="8"/>
      <c r="V136" s="8"/>
      <c r="W136" s="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8"/>
      <c r="AJ136" s="8"/>
      <c r="AK136" s="8"/>
      <c r="AL136" s="8"/>
      <c r="AM136" s="8"/>
      <c r="AN136" s="28"/>
      <c r="AO136" s="8"/>
      <c r="AP136" s="8"/>
      <c r="AQ136" s="28"/>
      <c r="AR136" s="28"/>
      <c r="AS136" s="28"/>
    </row>
    <row r="137" spans="1:45" ht="15.75" thickBot="1" x14ac:dyDescent="0.3">
      <c r="A137" t="s">
        <v>342</v>
      </c>
      <c r="C137" s="46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1076</v>
      </c>
      <c r="L137" s="17">
        <f t="shared" si="12"/>
        <v>24</v>
      </c>
      <c r="M137" s="17">
        <f t="shared" si="13"/>
        <v>4</v>
      </c>
      <c r="N137" s="18">
        <f t="shared" si="14"/>
        <v>0.8571428571428571</v>
      </c>
      <c r="O137" s="28" t="s">
        <v>939</v>
      </c>
      <c r="P137" s="8" t="s">
        <v>939</v>
      </c>
      <c r="Q137" s="8" t="s">
        <v>939</v>
      </c>
      <c r="R137" s="8" t="s">
        <v>939</v>
      </c>
      <c r="S137" s="28"/>
      <c r="T137" s="28"/>
      <c r="U137" s="8"/>
      <c r="V137" s="8"/>
      <c r="W137" s="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8"/>
      <c r="AJ137" s="28"/>
      <c r="AK137" s="8"/>
      <c r="AL137" s="8"/>
      <c r="AM137" s="8"/>
      <c r="AN137" s="28"/>
      <c r="AO137" s="8"/>
      <c r="AP137" s="8"/>
      <c r="AQ137" s="28"/>
      <c r="AR137" s="28"/>
      <c r="AS137" s="28"/>
    </row>
    <row r="138" spans="1:45" ht="15.75" thickBot="1" x14ac:dyDescent="0.3">
      <c r="A138" t="s">
        <v>342</v>
      </c>
      <c r="C138" s="46" t="s">
        <v>378</v>
      </c>
      <c r="D138" t="s">
        <v>379</v>
      </c>
      <c r="E138" t="s">
        <v>113</v>
      </c>
      <c r="F138" t="s">
        <v>945</v>
      </c>
      <c r="G138"/>
      <c r="H138" t="s">
        <v>380</v>
      </c>
      <c r="I138" s="16">
        <v>-348053300000</v>
      </c>
      <c r="J138" s="16">
        <v>-583014930000</v>
      </c>
      <c r="K138" s="16" t="s">
        <v>1079</v>
      </c>
      <c r="L138" s="17">
        <f t="shared" si="12"/>
        <v>25</v>
      </c>
      <c r="M138" s="17">
        <f t="shared" si="13"/>
        <v>3</v>
      </c>
      <c r="N138" s="18">
        <f t="shared" si="14"/>
        <v>0.8928571428571429</v>
      </c>
      <c r="O138" s="28"/>
      <c r="P138" s="8"/>
      <c r="Q138" s="8"/>
      <c r="R138" s="8"/>
      <c r="S138" s="28"/>
      <c r="T138" s="28"/>
      <c r="U138" s="8"/>
      <c r="V138" s="8"/>
      <c r="W138" s="8"/>
      <c r="X138" s="28"/>
      <c r="Y138" s="28" t="s">
        <v>939</v>
      </c>
      <c r="Z138" s="28" t="s">
        <v>939</v>
      </c>
      <c r="AA138" s="28" t="s">
        <v>939</v>
      </c>
      <c r="AB138" s="28"/>
      <c r="AC138" s="28"/>
      <c r="AD138" s="28"/>
      <c r="AE138" s="28"/>
      <c r="AF138" s="28"/>
      <c r="AG138" s="28"/>
      <c r="AH138" s="28"/>
      <c r="AI138" s="8"/>
      <c r="AJ138" s="8"/>
      <c r="AK138" s="8"/>
      <c r="AL138" s="8"/>
      <c r="AM138" s="8"/>
      <c r="AN138" s="28"/>
      <c r="AO138" s="8"/>
      <c r="AP138" s="8"/>
      <c r="AQ138" s="28"/>
      <c r="AR138" s="28"/>
      <c r="AS138" s="28"/>
    </row>
    <row r="139" spans="1:45" ht="15.75" thickBot="1" x14ac:dyDescent="0.3">
      <c r="A139" t="s">
        <v>342</v>
      </c>
      <c r="C139" s="46" t="s">
        <v>381</v>
      </c>
      <c r="D139" t="s">
        <v>379</v>
      </c>
      <c r="E139" t="s">
        <v>113</v>
      </c>
      <c r="F139" t="s">
        <v>945</v>
      </c>
      <c r="G139"/>
      <c r="H139" t="s">
        <v>382</v>
      </c>
      <c r="I139" s="16">
        <v>-348053300000</v>
      </c>
      <c r="J139" s="16">
        <v>-583014930000</v>
      </c>
      <c r="K139" s="16" t="s">
        <v>1080</v>
      </c>
      <c r="L139" s="17">
        <f t="shared" si="12"/>
        <v>25</v>
      </c>
      <c r="M139" s="17">
        <f t="shared" si="13"/>
        <v>3</v>
      </c>
      <c r="N139" s="18">
        <f t="shared" si="14"/>
        <v>0.8928571428571429</v>
      </c>
      <c r="O139" s="28"/>
      <c r="P139" s="8"/>
      <c r="Q139" s="8"/>
      <c r="R139" s="8"/>
      <c r="S139" s="28"/>
      <c r="T139" s="28"/>
      <c r="U139" s="8"/>
      <c r="V139" s="8"/>
      <c r="W139" s="8"/>
      <c r="X139" s="28"/>
      <c r="Y139" s="28" t="s">
        <v>939</v>
      </c>
      <c r="Z139" s="28" t="s">
        <v>939</v>
      </c>
      <c r="AA139" s="28" t="s">
        <v>939</v>
      </c>
      <c r="AB139" s="28"/>
      <c r="AC139" s="28"/>
      <c r="AD139" s="28"/>
      <c r="AE139" s="28"/>
      <c r="AF139" s="28"/>
      <c r="AG139" s="28"/>
      <c r="AH139" s="28"/>
      <c r="AI139" s="8"/>
      <c r="AJ139" s="8"/>
      <c r="AK139" s="8"/>
      <c r="AL139" s="8"/>
      <c r="AM139" s="8"/>
      <c r="AN139" s="28"/>
      <c r="AO139" s="8"/>
      <c r="AP139" s="8"/>
      <c r="AQ139" s="28"/>
      <c r="AR139" s="28"/>
      <c r="AS139" s="28"/>
    </row>
    <row r="140" spans="1:45" ht="15.75" thickBot="1" x14ac:dyDescent="0.3">
      <c r="A140" t="s">
        <v>342</v>
      </c>
      <c r="C140" s="46" t="s">
        <v>383</v>
      </c>
      <c r="D140" t="s">
        <v>384</v>
      </c>
      <c r="E140" t="s">
        <v>113</v>
      </c>
      <c r="F140" t="s">
        <v>945</v>
      </c>
      <c r="G140"/>
      <c r="H140" t="s">
        <v>385</v>
      </c>
      <c r="I140" s="16">
        <v>-348051560000</v>
      </c>
      <c r="J140" s="16">
        <v>-583023560000</v>
      </c>
      <c r="K140" s="16" t="s">
        <v>1081</v>
      </c>
      <c r="L140" s="17">
        <f t="shared" si="12"/>
        <v>25</v>
      </c>
      <c r="M140" s="17">
        <f t="shared" si="13"/>
        <v>3</v>
      </c>
      <c r="N140" s="18">
        <f t="shared" si="14"/>
        <v>0.8928571428571429</v>
      </c>
      <c r="O140" s="28"/>
      <c r="P140" s="8"/>
      <c r="Q140" s="8"/>
      <c r="R140" s="8"/>
      <c r="S140" s="28"/>
      <c r="T140" s="28"/>
      <c r="U140" s="8"/>
      <c r="V140" s="8"/>
      <c r="W140" s="8"/>
      <c r="X140" s="28"/>
      <c r="Y140" s="28" t="s">
        <v>939</v>
      </c>
      <c r="Z140" s="28" t="s">
        <v>939</v>
      </c>
      <c r="AA140" s="28" t="s">
        <v>939</v>
      </c>
      <c r="AB140" s="28"/>
      <c r="AC140" s="28"/>
      <c r="AD140" s="28"/>
      <c r="AE140" s="28"/>
      <c r="AF140" s="28"/>
      <c r="AG140" s="28"/>
      <c r="AH140" s="28"/>
      <c r="AI140" s="8"/>
      <c r="AJ140" s="8"/>
      <c r="AK140" s="8"/>
      <c r="AL140" s="8"/>
      <c r="AM140" s="8"/>
      <c r="AN140" s="28"/>
      <c r="AO140" s="8"/>
      <c r="AP140" s="8"/>
      <c r="AQ140" s="28"/>
      <c r="AR140" s="28"/>
      <c r="AS140" s="28"/>
    </row>
    <row r="141" spans="1:45" ht="15.75" thickBot="1" x14ac:dyDescent="0.3">
      <c r="A141" t="s">
        <v>342</v>
      </c>
      <c r="C141" s="46" t="s">
        <v>386</v>
      </c>
      <c r="D141" t="s">
        <v>384</v>
      </c>
      <c r="E141" t="s">
        <v>113</v>
      </c>
      <c r="F141" t="s">
        <v>945</v>
      </c>
      <c r="G141"/>
      <c r="H141" t="s">
        <v>385</v>
      </c>
      <c r="I141" s="16">
        <v>-348051560000</v>
      </c>
      <c r="J141" s="16">
        <v>-583023560000</v>
      </c>
      <c r="K141" s="16" t="s">
        <v>1082</v>
      </c>
      <c r="L141" s="17">
        <f t="shared" si="12"/>
        <v>24</v>
      </c>
      <c r="M141" s="17">
        <f t="shared" si="13"/>
        <v>4</v>
      </c>
      <c r="N141" s="18">
        <f t="shared" si="14"/>
        <v>0.8571428571428571</v>
      </c>
      <c r="O141" s="28"/>
      <c r="P141" s="8"/>
      <c r="Q141" s="8"/>
      <c r="R141" s="8"/>
      <c r="S141" s="28" t="s">
        <v>939</v>
      </c>
      <c r="T141" s="28"/>
      <c r="U141" s="8"/>
      <c r="V141" s="8"/>
      <c r="W141" s="8"/>
      <c r="X141" s="28"/>
      <c r="Y141" s="28" t="s">
        <v>939</v>
      </c>
      <c r="Z141" s="28" t="s">
        <v>939</v>
      </c>
      <c r="AA141" s="28" t="s">
        <v>939</v>
      </c>
      <c r="AB141" s="28"/>
      <c r="AC141" s="28"/>
      <c r="AD141" s="28"/>
      <c r="AE141" s="28"/>
      <c r="AF141" s="28"/>
      <c r="AG141" s="28"/>
      <c r="AH141" s="28"/>
      <c r="AI141" s="8"/>
      <c r="AJ141" s="8"/>
      <c r="AK141" s="8"/>
      <c r="AL141" s="8"/>
      <c r="AM141" s="8"/>
      <c r="AN141" s="28"/>
      <c r="AO141" s="8"/>
      <c r="AP141" s="8"/>
      <c r="AQ141" s="28"/>
      <c r="AR141" s="28"/>
      <c r="AS141" s="28"/>
    </row>
    <row r="142" spans="1:45" ht="15.75" thickBot="1" x14ac:dyDescent="0.3">
      <c r="A142" t="s">
        <v>167</v>
      </c>
      <c r="C142" s="46" t="s">
        <v>387</v>
      </c>
      <c r="D142" t="s">
        <v>388</v>
      </c>
      <c r="E142" t="s">
        <v>19</v>
      </c>
      <c r="F142" t="s">
        <v>945</v>
      </c>
      <c r="G142"/>
      <c r="H142" t="s">
        <v>389</v>
      </c>
      <c r="I142" s="16">
        <v>-347976230000</v>
      </c>
      <c r="J142" s="16">
        <v>-582821290000</v>
      </c>
      <c r="K142" s="16" t="s">
        <v>1083</v>
      </c>
      <c r="L142" s="17">
        <f t="shared" si="12"/>
        <v>27</v>
      </c>
      <c r="M142" s="17">
        <f t="shared" si="13"/>
        <v>1</v>
      </c>
      <c r="N142" s="18">
        <f t="shared" si="14"/>
        <v>0.9642857142857143</v>
      </c>
      <c r="O142" s="28"/>
      <c r="P142" s="8"/>
      <c r="Q142" s="8"/>
      <c r="R142" s="8"/>
      <c r="S142" s="28"/>
      <c r="T142" s="28"/>
      <c r="U142" s="8"/>
      <c r="V142" s="8"/>
      <c r="W142" s="8" t="s">
        <v>939</v>
      </c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8"/>
      <c r="AJ142" s="8"/>
      <c r="AK142" s="8"/>
      <c r="AL142" s="8"/>
      <c r="AM142" s="8"/>
      <c r="AN142" s="28"/>
      <c r="AO142" s="8"/>
      <c r="AP142" s="8"/>
      <c r="AQ142" s="28"/>
      <c r="AR142" s="28"/>
      <c r="AS142" s="28"/>
    </row>
    <row r="143" spans="1:45" ht="15.75" thickBot="1" x14ac:dyDescent="0.3">
      <c r="A143" t="s">
        <v>167</v>
      </c>
      <c r="C143" s="46" t="s">
        <v>390</v>
      </c>
      <c r="D143" t="s">
        <v>391</v>
      </c>
      <c r="E143" t="s">
        <v>19</v>
      </c>
      <c r="F143" t="s">
        <v>945</v>
      </c>
      <c r="G143"/>
      <c r="H143" t="s">
        <v>389</v>
      </c>
      <c r="I143" s="16">
        <v>-347960180000</v>
      </c>
      <c r="J143" s="16">
        <v>-582861620000</v>
      </c>
      <c r="K143" s="16" t="s">
        <v>1084</v>
      </c>
      <c r="L143" s="17">
        <f t="shared" si="12"/>
        <v>27</v>
      </c>
      <c r="M143" s="17">
        <f t="shared" si="13"/>
        <v>1</v>
      </c>
      <c r="N143" s="18">
        <f t="shared" si="14"/>
        <v>0.9642857142857143</v>
      </c>
      <c r="O143" s="28"/>
      <c r="P143" s="8"/>
      <c r="Q143" s="8"/>
      <c r="R143" s="8"/>
      <c r="S143" s="28"/>
      <c r="T143" s="28"/>
      <c r="U143" s="8"/>
      <c r="V143" s="8"/>
      <c r="W143" s="8" t="s">
        <v>939</v>
      </c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8"/>
      <c r="AJ143" s="8"/>
      <c r="AK143" s="8"/>
      <c r="AL143" s="8"/>
      <c r="AM143" s="8"/>
      <c r="AN143" s="28"/>
      <c r="AO143" s="8"/>
      <c r="AP143" s="8"/>
      <c r="AQ143" s="28"/>
      <c r="AR143" s="28"/>
      <c r="AS143" s="28"/>
    </row>
    <row r="144" spans="1:45" ht="15.75" thickBot="1" x14ac:dyDescent="0.3">
      <c r="A144" t="s">
        <v>167</v>
      </c>
      <c r="B144" s="60">
        <v>44629</v>
      </c>
      <c r="C144" s="62" t="s">
        <v>392</v>
      </c>
      <c r="D144" t="s">
        <v>393</v>
      </c>
      <c r="E144" t="s">
        <v>19</v>
      </c>
      <c r="F144" t="s">
        <v>945</v>
      </c>
      <c r="G144"/>
      <c r="H144" t="s">
        <v>389</v>
      </c>
      <c r="I144" s="16">
        <v>-347947670000</v>
      </c>
      <c r="J144" s="16">
        <v>-582871810000</v>
      </c>
      <c r="K144" s="16" t="s">
        <v>1085</v>
      </c>
      <c r="L144" s="17">
        <f t="shared" si="12"/>
        <v>26</v>
      </c>
      <c r="M144" s="17">
        <f t="shared" si="13"/>
        <v>2</v>
      </c>
      <c r="N144" s="18">
        <f t="shared" si="14"/>
        <v>0.9285714285714286</v>
      </c>
      <c r="O144" s="28"/>
      <c r="P144" s="8"/>
      <c r="Q144" s="8"/>
      <c r="R144" s="8"/>
      <c r="S144" s="28"/>
      <c r="T144" s="28"/>
      <c r="U144" s="8"/>
      <c r="V144" s="8" t="s">
        <v>939</v>
      </c>
      <c r="W144" s="8" t="s">
        <v>939</v>
      </c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8"/>
      <c r="AJ144" s="8"/>
      <c r="AK144" s="8"/>
      <c r="AL144" s="8"/>
      <c r="AM144" s="8"/>
      <c r="AN144" s="28"/>
      <c r="AO144" s="8"/>
      <c r="AP144" s="8"/>
      <c r="AQ144" s="28"/>
      <c r="AR144" s="28"/>
      <c r="AS144" s="28"/>
    </row>
    <row r="145" spans="1:45" ht="15.75" thickBot="1" x14ac:dyDescent="0.3">
      <c r="A145" t="s">
        <v>261</v>
      </c>
      <c r="C145" s="46" t="s">
        <v>394</v>
      </c>
      <c r="D145" t="s">
        <v>1322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1086</v>
      </c>
      <c r="L145" s="17">
        <f t="shared" si="12"/>
        <v>28</v>
      </c>
      <c r="M145" s="17">
        <f t="shared" si="13"/>
        <v>0</v>
      </c>
      <c r="N145" s="18">
        <f t="shared" si="14"/>
        <v>1</v>
      </c>
      <c r="O145" s="28"/>
      <c r="P145" s="8"/>
      <c r="Q145" s="8"/>
      <c r="R145" s="8"/>
      <c r="S145" s="28"/>
      <c r="T145" s="28"/>
      <c r="U145" s="8"/>
      <c r="V145" s="8"/>
      <c r="W145" s="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8"/>
      <c r="AJ145" s="8"/>
      <c r="AK145" s="8"/>
      <c r="AL145" s="8"/>
      <c r="AM145" s="8"/>
      <c r="AN145" s="28"/>
      <c r="AO145" s="8"/>
      <c r="AP145" s="8"/>
      <c r="AQ145" s="28"/>
      <c r="AR145" s="28"/>
      <c r="AS145" s="28"/>
    </row>
    <row r="146" spans="1:45" ht="15.75" thickBot="1" x14ac:dyDescent="0.3">
      <c r="C146" s="46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1087</v>
      </c>
      <c r="L146" s="17">
        <f t="shared" si="12"/>
        <v>25</v>
      </c>
      <c r="M146" s="17">
        <f t="shared" si="13"/>
        <v>3</v>
      </c>
      <c r="N146" s="18">
        <f t="shared" si="14"/>
        <v>0.8928571428571429</v>
      </c>
      <c r="O146" s="28"/>
      <c r="P146" s="8"/>
      <c r="Q146" s="8"/>
      <c r="R146" s="8" t="s">
        <v>939</v>
      </c>
      <c r="S146" s="28" t="s">
        <v>939</v>
      </c>
      <c r="T146" s="28" t="s">
        <v>939</v>
      </c>
      <c r="U146" s="8"/>
      <c r="V146" s="8"/>
      <c r="W146" s="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8"/>
      <c r="AJ146" s="8"/>
      <c r="AK146" s="8"/>
      <c r="AL146" s="8"/>
      <c r="AM146" s="8"/>
      <c r="AN146" s="28"/>
      <c r="AO146" s="8"/>
      <c r="AP146" s="8"/>
      <c r="AQ146" s="28"/>
      <c r="AR146" s="28"/>
      <c r="AS146" s="28"/>
    </row>
    <row r="147" spans="1:45" ht="15.75" thickBot="1" x14ac:dyDescent="0.3">
      <c r="A147" t="s">
        <v>399</v>
      </c>
      <c r="C147" s="46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1088</v>
      </c>
      <c r="L147" s="17">
        <f t="shared" si="12"/>
        <v>28</v>
      </c>
      <c r="M147" s="17">
        <f t="shared" si="13"/>
        <v>0</v>
      </c>
      <c r="N147" s="18">
        <f t="shared" si="14"/>
        <v>1</v>
      </c>
      <c r="O147" s="28"/>
      <c r="P147" s="8"/>
      <c r="Q147" s="8"/>
      <c r="R147" s="8"/>
      <c r="S147" s="28"/>
      <c r="T147" s="28"/>
      <c r="U147" s="8"/>
      <c r="V147" s="8"/>
      <c r="W147" s="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8"/>
      <c r="AJ147" s="8"/>
      <c r="AK147" s="8"/>
      <c r="AL147" s="8"/>
      <c r="AM147" s="8"/>
      <c r="AN147" s="28"/>
      <c r="AO147" s="8"/>
      <c r="AP147" s="8"/>
      <c r="AQ147" s="28"/>
      <c r="AR147" s="28"/>
      <c r="AS147" s="28"/>
    </row>
    <row r="148" spans="1:45" ht="15.75" thickBot="1" x14ac:dyDescent="0.3">
      <c r="A148" t="s">
        <v>399</v>
      </c>
      <c r="C148" s="46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1062</v>
      </c>
      <c r="L148" s="17">
        <f t="shared" si="12"/>
        <v>28</v>
      </c>
      <c r="M148" s="17">
        <f t="shared" si="13"/>
        <v>0</v>
      </c>
      <c r="N148" s="18">
        <f t="shared" si="14"/>
        <v>1</v>
      </c>
      <c r="O148" s="28"/>
      <c r="P148" s="8"/>
      <c r="Q148" s="8"/>
      <c r="R148" s="8"/>
      <c r="S148" s="28"/>
      <c r="T148" s="28"/>
      <c r="U148" s="8"/>
      <c r="V148" s="8"/>
      <c r="W148" s="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8"/>
      <c r="AJ148" s="8"/>
      <c r="AK148" s="8"/>
      <c r="AL148" s="8"/>
      <c r="AM148" s="8"/>
      <c r="AN148" s="28"/>
      <c r="AO148" s="8"/>
      <c r="AP148" s="8"/>
      <c r="AQ148" s="28"/>
      <c r="AR148" s="28"/>
      <c r="AS148" s="28"/>
    </row>
    <row r="149" spans="1:45" ht="15.75" thickBot="1" x14ac:dyDescent="0.3">
      <c r="A149" t="s">
        <v>403</v>
      </c>
      <c r="C149" s="46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1089</v>
      </c>
      <c r="L149" s="17">
        <f t="shared" si="12"/>
        <v>26</v>
      </c>
      <c r="M149" s="17">
        <f t="shared" si="13"/>
        <v>2</v>
      </c>
      <c r="N149" s="18">
        <f t="shared" si="14"/>
        <v>0.9285714285714286</v>
      </c>
      <c r="O149" s="28" t="s">
        <v>939</v>
      </c>
      <c r="P149" s="8" t="s">
        <v>939</v>
      </c>
      <c r="Q149" s="8"/>
      <c r="R149" s="8"/>
      <c r="S149" s="28"/>
      <c r="T149" s="28"/>
      <c r="U149" s="8"/>
      <c r="V149" s="8"/>
      <c r="W149" s="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8"/>
      <c r="AJ149" s="28"/>
      <c r="AK149" s="8"/>
      <c r="AL149" s="8"/>
      <c r="AM149" s="8"/>
      <c r="AN149" s="28"/>
      <c r="AO149" s="8"/>
      <c r="AP149" s="8"/>
      <c r="AQ149" s="28"/>
      <c r="AR149" s="28"/>
      <c r="AS149" s="28"/>
    </row>
    <row r="150" spans="1:45" ht="15.75" thickBot="1" x14ac:dyDescent="0.3">
      <c r="A150" t="s">
        <v>403</v>
      </c>
      <c r="C150" s="46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1090</v>
      </c>
      <c r="L150" s="17">
        <f t="shared" si="12"/>
        <v>26</v>
      </c>
      <c r="M150" s="17">
        <f t="shared" si="13"/>
        <v>2</v>
      </c>
      <c r="N150" s="18">
        <f t="shared" si="14"/>
        <v>0.9285714285714286</v>
      </c>
      <c r="O150" s="28" t="s">
        <v>939</v>
      </c>
      <c r="P150" s="8" t="s">
        <v>939</v>
      </c>
      <c r="Q150" s="8"/>
      <c r="R150" s="8"/>
      <c r="S150" s="28"/>
      <c r="T150" s="28"/>
      <c r="U150" s="8"/>
      <c r="V150" s="8"/>
      <c r="W150" s="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8"/>
      <c r="AJ150" s="28"/>
      <c r="AK150" s="8"/>
      <c r="AL150" s="8"/>
      <c r="AM150" s="8"/>
      <c r="AN150" s="28"/>
      <c r="AO150" s="8"/>
      <c r="AP150" s="8"/>
      <c r="AQ150" s="28"/>
      <c r="AR150" s="28"/>
      <c r="AS150" s="28"/>
    </row>
    <row r="151" spans="1:45" ht="15.75" thickBot="1" x14ac:dyDescent="0.3">
      <c r="A151" t="s">
        <v>403</v>
      </c>
      <c r="C151" s="46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1091</v>
      </c>
      <c r="L151" s="17">
        <f t="shared" si="12"/>
        <v>26</v>
      </c>
      <c r="M151" s="17">
        <f t="shared" si="13"/>
        <v>2</v>
      </c>
      <c r="N151" s="18">
        <f t="shared" si="14"/>
        <v>0.9285714285714286</v>
      </c>
      <c r="O151" s="28" t="s">
        <v>939</v>
      </c>
      <c r="P151" s="8" t="s">
        <v>939</v>
      </c>
      <c r="Q151" s="8"/>
      <c r="R151" s="8"/>
      <c r="S151" s="28"/>
      <c r="T151" s="28"/>
      <c r="U151" s="8"/>
      <c r="V151" s="8"/>
      <c r="W151" s="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8"/>
      <c r="AJ151" s="28"/>
      <c r="AK151" s="8"/>
      <c r="AL151" s="8"/>
      <c r="AM151" s="8"/>
      <c r="AN151" s="28"/>
      <c r="AO151" s="8"/>
      <c r="AP151" s="8"/>
      <c r="AQ151" s="28"/>
      <c r="AR151" s="28"/>
      <c r="AS151" s="28"/>
    </row>
    <row r="152" spans="1:45" ht="15.75" thickBot="1" x14ac:dyDescent="0.3">
      <c r="C152" s="46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1092</v>
      </c>
      <c r="L152" s="17">
        <f t="shared" si="12"/>
        <v>28</v>
      </c>
      <c r="M152" s="17">
        <f t="shared" si="13"/>
        <v>0</v>
      </c>
      <c r="N152" s="18">
        <f t="shared" si="14"/>
        <v>1</v>
      </c>
      <c r="O152" s="28"/>
      <c r="P152" s="8"/>
      <c r="Q152" s="8"/>
      <c r="R152" s="8"/>
      <c r="S152" s="28"/>
      <c r="T152" s="28"/>
      <c r="U152" s="8"/>
      <c r="V152" s="8"/>
      <c r="W152" s="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8"/>
      <c r="AJ152" s="8"/>
      <c r="AK152" s="8"/>
      <c r="AL152" s="8"/>
      <c r="AM152" s="8"/>
      <c r="AN152" s="28"/>
      <c r="AO152" s="8"/>
      <c r="AP152" s="8"/>
      <c r="AQ152" s="28"/>
      <c r="AR152" s="28"/>
      <c r="AS152" s="28"/>
    </row>
    <row r="153" spans="1:45" ht="15.75" thickBot="1" x14ac:dyDescent="0.3">
      <c r="A153" t="s">
        <v>412</v>
      </c>
      <c r="C153" s="46" t="s">
        <v>413</v>
      </c>
      <c r="D153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1093</v>
      </c>
      <c r="L153" s="17">
        <f t="shared" si="12"/>
        <v>22</v>
      </c>
      <c r="M153" s="17">
        <f t="shared" si="13"/>
        <v>6</v>
      </c>
      <c r="N153" s="18">
        <f t="shared" si="14"/>
        <v>0.7857142857142857</v>
      </c>
      <c r="O153" s="28"/>
      <c r="P153" s="8"/>
      <c r="Q153" s="8"/>
      <c r="R153" s="8"/>
      <c r="S153" s="28"/>
      <c r="T153" s="28"/>
      <c r="U153" s="8"/>
      <c r="V153" s="8" t="s">
        <v>939</v>
      </c>
      <c r="W153" s="8" t="s">
        <v>939</v>
      </c>
      <c r="X153" s="28" t="s">
        <v>939</v>
      </c>
      <c r="Y153" s="28" t="s">
        <v>939</v>
      </c>
      <c r="Z153" s="28" t="s">
        <v>939</v>
      </c>
      <c r="AA153" s="28" t="s">
        <v>939</v>
      </c>
      <c r="AB153" s="28"/>
      <c r="AC153" s="28"/>
      <c r="AD153" s="28"/>
      <c r="AE153" s="28"/>
      <c r="AF153" s="28"/>
      <c r="AG153" s="28"/>
      <c r="AH153" s="28"/>
      <c r="AI153" s="8"/>
      <c r="AJ153" s="8"/>
      <c r="AK153" s="8"/>
      <c r="AL153" s="8"/>
      <c r="AM153" s="8"/>
      <c r="AN153" s="28"/>
      <c r="AO153" s="8"/>
      <c r="AP153" s="8"/>
      <c r="AQ153" s="28"/>
      <c r="AR153" s="28"/>
      <c r="AS153" s="28"/>
    </row>
    <row r="154" spans="1:45" ht="15.75" thickBot="1" x14ac:dyDescent="0.3">
      <c r="A154" t="s">
        <v>415</v>
      </c>
      <c r="C154" s="46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1094</v>
      </c>
      <c r="L154" s="17">
        <f t="shared" si="12"/>
        <v>28</v>
      </c>
      <c r="M154" s="17">
        <f t="shared" si="13"/>
        <v>0</v>
      </c>
      <c r="N154" s="18">
        <f t="shared" si="14"/>
        <v>1</v>
      </c>
      <c r="O154" s="28"/>
      <c r="P154" s="8"/>
      <c r="Q154" s="8"/>
      <c r="R154" s="8"/>
      <c r="S154" s="28"/>
      <c r="T154" s="28"/>
      <c r="U154" s="8"/>
      <c r="V154" s="8"/>
      <c r="W154" s="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8"/>
      <c r="AJ154" s="8"/>
      <c r="AK154" s="8"/>
      <c r="AL154" s="8"/>
      <c r="AM154" s="8"/>
      <c r="AN154" s="28"/>
      <c r="AO154" s="8"/>
      <c r="AP154" s="8"/>
      <c r="AQ154" s="28"/>
      <c r="AR154" s="28"/>
      <c r="AS154" s="28"/>
    </row>
    <row r="155" spans="1:45" ht="15.75" thickBot="1" x14ac:dyDescent="0.3">
      <c r="A155" t="s">
        <v>415</v>
      </c>
      <c r="C155" s="46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1095</v>
      </c>
      <c r="L155" s="17">
        <f t="shared" si="12"/>
        <v>28</v>
      </c>
      <c r="M155" s="17">
        <f t="shared" si="13"/>
        <v>0</v>
      </c>
      <c r="N155" s="18">
        <f t="shared" si="14"/>
        <v>1</v>
      </c>
      <c r="O155" s="28"/>
      <c r="P155" s="8"/>
      <c r="Q155" s="8"/>
      <c r="R155" s="8"/>
      <c r="S155" s="28"/>
      <c r="T155" s="28"/>
      <c r="U155" s="8"/>
      <c r="V155" s="8"/>
      <c r="W155" s="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8"/>
      <c r="AJ155" s="8"/>
      <c r="AK155" s="8"/>
      <c r="AL155" s="8"/>
      <c r="AM155" s="8"/>
      <c r="AN155" s="28"/>
      <c r="AO155" s="8"/>
      <c r="AP155" s="8"/>
      <c r="AQ155" s="28"/>
      <c r="AR155" s="28"/>
      <c r="AS155" s="28"/>
    </row>
    <row r="156" spans="1:45" ht="15.75" thickBot="1" x14ac:dyDescent="0.3">
      <c r="A156" t="s">
        <v>415</v>
      </c>
      <c r="C156" s="46" t="s">
        <v>421</v>
      </c>
      <c r="D15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1096</v>
      </c>
      <c r="L156" s="17">
        <f t="shared" si="12"/>
        <v>16</v>
      </c>
      <c r="M156" s="17">
        <f t="shared" si="13"/>
        <v>12</v>
      </c>
      <c r="N156" s="18">
        <f t="shared" si="14"/>
        <v>0.5714285714285714</v>
      </c>
      <c r="O156" s="28"/>
      <c r="P156" s="8" t="s">
        <v>939</v>
      </c>
      <c r="Q156" s="8" t="s">
        <v>939</v>
      </c>
      <c r="R156" s="8" t="s">
        <v>939</v>
      </c>
      <c r="S156" s="28" t="s">
        <v>939</v>
      </c>
      <c r="T156" s="28" t="s">
        <v>939</v>
      </c>
      <c r="U156" s="8" t="s">
        <v>939</v>
      </c>
      <c r="V156" s="8" t="s">
        <v>939</v>
      </c>
      <c r="W156" s="8" t="s">
        <v>939</v>
      </c>
      <c r="X156" s="28" t="s">
        <v>939</v>
      </c>
      <c r="Y156" s="28" t="s">
        <v>939</v>
      </c>
      <c r="Z156" s="28" t="s">
        <v>939</v>
      </c>
      <c r="AA156" s="28" t="s">
        <v>939</v>
      </c>
      <c r="AB156" s="28"/>
      <c r="AC156" s="28"/>
      <c r="AD156" s="28"/>
      <c r="AE156" s="28"/>
      <c r="AF156" s="28"/>
      <c r="AG156" s="28"/>
      <c r="AH156" s="28"/>
      <c r="AI156" s="8"/>
      <c r="AJ156" s="8"/>
      <c r="AK156" s="8"/>
      <c r="AL156" s="8"/>
      <c r="AM156" s="8"/>
      <c r="AN156" s="28"/>
      <c r="AO156" s="8"/>
      <c r="AP156" s="8"/>
      <c r="AQ156" s="28"/>
      <c r="AR156" s="28"/>
      <c r="AS156" s="28"/>
    </row>
    <row r="157" spans="1:45" ht="15.75" thickBot="1" x14ac:dyDescent="0.3">
      <c r="A157" t="s">
        <v>412</v>
      </c>
      <c r="C157" s="46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1097</v>
      </c>
      <c r="L157" s="17">
        <f t="shared" si="12"/>
        <v>28</v>
      </c>
      <c r="M157" s="17">
        <f t="shared" si="13"/>
        <v>0</v>
      </c>
      <c r="N157" s="18">
        <f t="shared" si="14"/>
        <v>1</v>
      </c>
      <c r="O157" s="28"/>
      <c r="P157" s="8"/>
      <c r="Q157" s="8"/>
      <c r="R157" s="8"/>
      <c r="S157" s="28"/>
      <c r="T157" s="28"/>
      <c r="U157" s="8"/>
      <c r="V157" s="8"/>
      <c r="W157" s="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8"/>
      <c r="AJ157" s="8"/>
      <c r="AK157" s="8"/>
      <c r="AL157" s="8"/>
      <c r="AM157" s="8"/>
      <c r="AN157" s="28"/>
      <c r="AO157" s="8"/>
      <c r="AP157" s="8"/>
      <c r="AQ157" s="28"/>
      <c r="AR157" s="28"/>
      <c r="AS157" s="28"/>
    </row>
    <row r="158" spans="1:45" ht="15.75" thickBot="1" x14ac:dyDescent="0.3">
      <c r="A158" t="s">
        <v>415</v>
      </c>
      <c r="C158" s="46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1098</v>
      </c>
      <c r="L158" s="17">
        <f t="shared" si="12"/>
        <v>28</v>
      </c>
      <c r="M158" s="17">
        <f t="shared" si="13"/>
        <v>0</v>
      </c>
      <c r="N158" s="18">
        <f t="shared" si="14"/>
        <v>1</v>
      </c>
      <c r="O158" s="28"/>
      <c r="P158" s="8"/>
      <c r="Q158" s="8"/>
      <c r="R158" s="8"/>
      <c r="S158" s="28"/>
      <c r="T158" s="28"/>
      <c r="U158" s="8"/>
      <c r="V158" s="8"/>
      <c r="W158" s="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8"/>
      <c r="AJ158" s="8"/>
      <c r="AK158" s="8"/>
      <c r="AL158" s="8"/>
      <c r="AM158" s="8"/>
      <c r="AN158" s="28"/>
      <c r="AO158" s="8"/>
      <c r="AP158" s="8"/>
      <c r="AQ158" s="28"/>
      <c r="AR158" s="28"/>
      <c r="AS158" s="28"/>
    </row>
    <row r="159" spans="1:45" ht="15.75" thickBot="1" x14ac:dyDescent="0.3">
      <c r="A159" t="s">
        <v>415</v>
      </c>
      <c r="C159" s="46" t="s">
        <v>428</v>
      </c>
      <c r="D159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1099</v>
      </c>
      <c r="L159" s="17">
        <f t="shared" si="12"/>
        <v>16</v>
      </c>
      <c r="M159" s="17">
        <f t="shared" si="13"/>
        <v>12</v>
      </c>
      <c r="N159" s="18">
        <f t="shared" si="14"/>
        <v>0.5714285714285714</v>
      </c>
      <c r="O159" s="28" t="s">
        <v>939</v>
      </c>
      <c r="P159" s="8" t="s">
        <v>939</v>
      </c>
      <c r="Q159" s="8" t="s">
        <v>939</v>
      </c>
      <c r="R159" s="8" t="s">
        <v>939</v>
      </c>
      <c r="S159" s="28" t="s">
        <v>939</v>
      </c>
      <c r="T159" s="28" t="s">
        <v>939</v>
      </c>
      <c r="U159" s="8" t="s">
        <v>939</v>
      </c>
      <c r="V159" s="8"/>
      <c r="W159" s="8" t="s">
        <v>939</v>
      </c>
      <c r="X159" s="28" t="s">
        <v>939</v>
      </c>
      <c r="Y159" s="28" t="s">
        <v>939</v>
      </c>
      <c r="Z159" s="28" t="s">
        <v>939</v>
      </c>
      <c r="AA159" s="28" t="s">
        <v>939</v>
      </c>
      <c r="AB159" s="28"/>
      <c r="AC159" s="28"/>
      <c r="AD159" s="28"/>
      <c r="AE159" s="28"/>
      <c r="AF159" s="28"/>
      <c r="AG159" s="28"/>
      <c r="AH159" s="28"/>
      <c r="AI159" s="8"/>
      <c r="AJ159" s="28"/>
      <c r="AK159" s="8"/>
      <c r="AL159" s="8"/>
      <c r="AM159" s="8"/>
      <c r="AN159" s="28"/>
      <c r="AO159" s="8"/>
      <c r="AP159" s="8"/>
      <c r="AQ159" s="28"/>
      <c r="AR159" s="28"/>
      <c r="AS159" s="28"/>
    </row>
    <row r="160" spans="1:45" ht="15.75" thickBot="1" x14ac:dyDescent="0.3">
      <c r="C160" s="46" t="s">
        <v>430</v>
      </c>
      <c r="D160" t="s">
        <v>1327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1100</v>
      </c>
      <c r="L160" s="17">
        <f t="shared" si="12"/>
        <v>17</v>
      </c>
      <c r="M160" s="17">
        <f t="shared" si="13"/>
        <v>11</v>
      </c>
      <c r="N160" s="18">
        <f t="shared" si="14"/>
        <v>0.6071428571428571</v>
      </c>
      <c r="O160" s="28"/>
      <c r="P160" s="8" t="s">
        <v>939</v>
      </c>
      <c r="Q160" s="8" t="s">
        <v>939</v>
      </c>
      <c r="R160" s="8" t="s">
        <v>939</v>
      </c>
      <c r="S160" s="28" t="s">
        <v>939</v>
      </c>
      <c r="T160" s="28" t="s">
        <v>939</v>
      </c>
      <c r="U160" s="8" t="s">
        <v>939</v>
      </c>
      <c r="V160" s="8" t="s">
        <v>939</v>
      </c>
      <c r="W160" s="8" t="s">
        <v>939</v>
      </c>
      <c r="X160" s="28" t="s">
        <v>939</v>
      </c>
      <c r="Y160" s="28" t="s">
        <v>939</v>
      </c>
      <c r="Z160" s="28" t="s">
        <v>939</v>
      </c>
      <c r="AA160" s="28"/>
      <c r="AB160" s="28"/>
      <c r="AC160" s="28"/>
      <c r="AD160" s="28"/>
      <c r="AE160" s="28"/>
      <c r="AF160" s="28"/>
      <c r="AG160" s="28"/>
      <c r="AH160" s="28"/>
      <c r="AI160" s="8"/>
      <c r="AJ160" s="8"/>
      <c r="AK160" s="8"/>
      <c r="AL160" s="8"/>
      <c r="AM160" s="8"/>
      <c r="AN160" s="28"/>
      <c r="AO160" s="8"/>
      <c r="AP160" s="8"/>
      <c r="AQ160" s="28"/>
      <c r="AR160" s="28"/>
      <c r="AS160" s="28"/>
    </row>
    <row r="161" spans="1:45" ht="15.75" thickBot="1" x14ac:dyDescent="0.3">
      <c r="A161" t="s">
        <v>415</v>
      </c>
      <c r="C161" s="46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1101</v>
      </c>
      <c r="L161" s="17">
        <f t="shared" si="12"/>
        <v>27</v>
      </c>
      <c r="M161" s="17">
        <f t="shared" si="13"/>
        <v>1</v>
      </c>
      <c r="N161" s="18">
        <f t="shared" si="14"/>
        <v>0.9642857142857143</v>
      </c>
      <c r="O161" s="28"/>
      <c r="P161" s="8"/>
      <c r="Q161" s="8"/>
      <c r="R161" s="8"/>
      <c r="S161" s="28"/>
      <c r="T161" s="28"/>
      <c r="U161" s="8"/>
      <c r="V161" s="8"/>
      <c r="W161" s="8"/>
      <c r="X161" s="28"/>
      <c r="Y161" s="28"/>
      <c r="Z161" s="28" t="s">
        <v>939</v>
      </c>
      <c r="AA161" s="28"/>
      <c r="AB161" s="28"/>
      <c r="AC161" s="28"/>
      <c r="AD161" s="28"/>
      <c r="AE161" s="28"/>
      <c r="AF161" s="28"/>
      <c r="AG161" s="28"/>
      <c r="AH161" s="28"/>
      <c r="AI161" s="8"/>
      <c r="AJ161" s="8"/>
      <c r="AK161" s="8"/>
      <c r="AL161" s="8"/>
      <c r="AM161" s="8"/>
      <c r="AN161" s="28"/>
      <c r="AO161" s="8"/>
      <c r="AP161" s="8"/>
      <c r="AQ161" s="28"/>
      <c r="AR161" s="28"/>
      <c r="AS161" s="28"/>
    </row>
    <row r="162" spans="1:45" ht="15.75" thickBot="1" x14ac:dyDescent="0.3">
      <c r="A162" t="s">
        <v>415</v>
      </c>
      <c r="C162" s="46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1102</v>
      </c>
      <c r="L162" s="17">
        <f t="shared" si="12"/>
        <v>28</v>
      </c>
      <c r="M162" s="17">
        <f t="shared" si="13"/>
        <v>0</v>
      </c>
      <c r="N162" s="18">
        <f t="shared" si="14"/>
        <v>1</v>
      </c>
      <c r="O162" s="28"/>
      <c r="P162" s="8"/>
      <c r="Q162" s="8"/>
      <c r="R162" s="8"/>
      <c r="S162" s="28"/>
      <c r="T162" s="28"/>
      <c r="U162" s="8"/>
      <c r="V162" s="8"/>
      <c r="W162" s="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8"/>
      <c r="AJ162" s="8"/>
      <c r="AK162" s="8"/>
      <c r="AL162" s="8"/>
      <c r="AM162" s="8"/>
      <c r="AN162" s="28"/>
      <c r="AO162" s="8"/>
      <c r="AP162" s="8"/>
      <c r="AQ162" s="28"/>
      <c r="AR162" s="28"/>
      <c r="AS162" s="28"/>
    </row>
    <row r="163" spans="1:45" ht="15.75" thickBot="1" x14ac:dyDescent="0.3">
      <c r="A163" t="s">
        <v>415</v>
      </c>
      <c r="C163" s="46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1103</v>
      </c>
      <c r="L163" s="17">
        <f t="shared" si="12"/>
        <v>16</v>
      </c>
      <c r="M163" s="17">
        <f t="shared" si="13"/>
        <v>12</v>
      </c>
      <c r="N163" s="18">
        <f t="shared" si="14"/>
        <v>0.5714285714285714</v>
      </c>
      <c r="O163" s="28"/>
      <c r="P163" s="8" t="s">
        <v>939</v>
      </c>
      <c r="Q163" s="8" t="s">
        <v>939</v>
      </c>
      <c r="R163" s="8" t="s">
        <v>939</v>
      </c>
      <c r="S163" s="28" t="s">
        <v>939</v>
      </c>
      <c r="T163" s="28" t="s">
        <v>939</v>
      </c>
      <c r="U163" s="8" t="s">
        <v>939</v>
      </c>
      <c r="V163" s="8" t="s">
        <v>939</v>
      </c>
      <c r="W163" s="8" t="s">
        <v>939</v>
      </c>
      <c r="X163" s="28" t="s">
        <v>939</v>
      </c>
      <c r="Y163" s="28" t="s">
        <v>939</v>
      </c>
      <c r="Z163" s="28" t="s">
        <v>939</v>
      </c>
      <c r="AA163" s="28" t="s">
        <v>939</v>
      </c>
      <c r="AB163" s="28"/>
      <c r="AC163" s="28"/>
      <c r="AD163" s="28"/>
      <c r="AE163" s="28"/>
      <c r="AF163" s="28"/>
      <c r="AG163" s="28"/>
      <c r="AH163" s="28"/>
      <c r="AI163" s="8"/>
      <c r="AJ163" s="8"/>
      <c r="AK163" s="8"/>
      <c r="AL163" s="8"/>
      <c r="AM163" s="8"/>
      <c r="AN163" s="28"/>
      <c r="AO163" s="8"/>
      <c r="AP163" s="8"/>
      <c r="AQ163" s="28"/>
      <c r="AR163" s="28"/>
      <c r="AS163" s="28"/>
    </row>
    <row r="164" spans="1:45" ht="15.75" thickBot="1" x14ac:dyDescent="0.3">
      <c r="A164" t="s">
        <v>415</v>
      </c>
      <c r="C164" s="46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1104</v>
      </c>
      <c r="L164" s="17">
        <f t="shared" si="12"/>
        <v>16</v>
      </c>
      <c r="M164" s="17">
        <f t="shared" si="13"/>
        <v>12</v>
      </c>
      <c r="N164" s="18">
        <f t="shared" si="14"/>
        <v>0.5714285714285714</v>
      </c>
      <c r="O164" s="28"/>
      <c r="P164" s="8" t="s">
        <v>939</v>
      </c>
      <c r="Q164" s="8" t="s">
        <v>939</v>
      </c>
      <c r="R164" s="8" t="s">
        <v>939</v>
      </c>
      <c r="S164" s="28" t="s">
        <v>939</v>
      </c>
      <c r="T164" s="28" t="s">
        <v>939</v>
      </c>
      <c r="U164" s="8" t="s">
        <v>939</v>
      </c>
      <c r="V164" s="8" t="s">
        <v>939</v>
      </c>
      <c r="W164" s="8" t="s">
        <v>939</v>
      </c>
      <c r="X164" s="28" t="s">
        <v>939</v>
      </c>
      <c r="Y164" s="28" t="s">
        <v>939</v>
      </c>
      <c r="Z164" s="28" t="s">
        <v>939</v>
      </c>
      <c r="AA164" s="28" t="s">
        <v>939</v>
      </c>
      <c r="AB164" s="28"/>
      <c r="AC164" s="28"/>
      <c r="AD164" s="28"/>
      <c r="AE164" s="28"/>
      <c r="AF164" s="28"/>
      <c r="AG164" s="28"/>
      <c r="AH164" s="28"/>
      <c r="AI164" s="8"/>
      <c r="AJ164" s="8"/>
      <c r="AK164" s="8"/>
      <c r="AL164" s="8"/>
      <c r="AM164" s="8"/>
      <c r="AN164" s="28"/>
      <c r="AO164" s="8"/>
      <c r="AP164" s="8"/>
      <c r="AQ164" s="28"/>
      <c r="AR164" s="28"/>
      <c r="AS164" s="28"/>
    </row>
    <row r="165" spans="1:45" ht="15.75" thickBot="1" x14ac:dyDescent="0.3">
      <c r="A165" t="s">
        <v>415</v>
      </c>
      <c r="C165" s="46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1105</v>
      </c>
      <c r="L165" s="17">
        <f t="shared" si="12"/>
        <v>28</v>
      </c>
      <c r="M165" s="17">
        <f t="shared" si="13"/>
        <v>0</v>
      </c>
      <c r="N165" s="18">
        <f t="shared" si="14"/>
        <v>1</v>
      </c>
      <c r="O165" s="28"/>
      <c r="P165" s="8"/>
      <c r="Q165" s="8"/>
      <c r="R165" s="8"/>
      <c r="S165" s="28"/>
      <c r="T165" s="28"/>
      <c r="U165" s="8"/>
      <c r="V165" s="8"/>
      <c r="W165" s="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8"/>
      <c r="AJ165" s="8"/>
      <c r="AK165" s="8"/>
      <c r="AL165" s="8"/>
      <c r="AM165" s="8"/>
      <c r="AN165" s="28"/>
      <c r="AO165" s="8"/>
      <c r="AP165" s="8"/>
      <c r="AQ165" s="28"/>
      <c r="AR165" s="28"/>
      <c r="AS165" s="28"/>
    </row>
    <row r="166" spans="1:45" ht="15.75" thickBot="1" x14ac:dyDescent="0.3">
      <c r="A166" t="s">
        <v>358</v>
      </c>
      <c r="C166" s="46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1107</v>
      </c>
      <c r="L166" s="17">
        <f t="shared" si="12"/>
        <v>22</v>
      </c>
      <c r="M166" s="17">
        <f t="shared" si="13"/>
        <v>6</v>
      </c>
      <c r="N166" s="18">
        <f t="shared" si="14"/>
        <v>0.7857142857142857</v>
      </c>
      <c r="O166" s="28"/>
      <c r="P166" s="8"/>
      <c r="Q166" s="8"/>
      <c r="R166" s="8"/>
      <c r="S166" s="28" t="s">
        <v>939</v>
      </c>
      <c r="T166" s="28" t="s">
        <v>939</v>
      </c>
      <c r="U166" s="8" t="s">
        <v>939</v>
      </c>
      <c r="V166" s="8" t="s">
        <v>939</v>
      </c>
      <c r="W166" s="8" t="s">
        <v>939</v>
      </c>
      <c r="X166" s="28" t="s">
        <v>939</v>
      </c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8"/>
      <c r="AJ166" s="8"/>
      <c r="AK166" s="8"/>
      <c r="AL166" s="8"/>
      <c r="AM166" s="8"/>
      <c r="AN166" s="28"/>
      <c r="AO166" s="8"/>
      <c r="AP166" s="8"/>
      <c r="AQ166" s="28"/>
      <c r="AR166" s="28"/>
      <c r="AS166" s="28"/>
    </row>
    <row r="167" spans="1:45" ht="15.75" thickBot="1" x14ac:dyDescent="0.3">
      <c r="A167" t="s">
        <v>445</v>
      </c>
      <c r="C167" s="46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1106</v>
      </c>
      <c r="L167" s="17">
        <f t="shared" si="12"/>
        <v>28</v>
      </c>
      <c r="M167" s="17">
        <f t="shared" si="13"/>
        <v>0</v>
      </c>
      <c r="N167" s="18">
        <f t="shared" si="14"/>
        <v>1</v>
      </c>
      <c r="O167" s="28"/>
      <c r="P167" s="8"/>
      <c r="Q167" s="8"/>
      <c r="R167" s="8"/>
      <c r="S167" s="28"/>
      <c r="T167" s="28"/>
      <c r="U167" s="8"/>
      <c r="V167" s="8"/>
      <c r="W167" s="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8"/>
      <c r="AJ167" s="8"/>
      <c r="AK167" s="8"/>
      <c r="AL167" s="8"/>
      <c r="AM167" s="8"/>
      <c r="AN167" s="28"/>
      <c r="AO167" s="8"/>
      <c r="AP167" s="8"/>
      <c r="AQ167" s="28"/>
      <c r="AR167" s="28"/>
      <c r="AS167" s="28"/>
    </row>
    <row r="168" spans="1:45" ht="15.75" thickBot="1" x14ac:dyDescent="0.3">
      <c r="A168" t="s">
        <v>445</v>
      </c>
      <c r="C168" s="46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1108</v>
      </c>
      <c r="L168" s="17">
        <f t="shared" si="12"/>
        <v>28</v>
      </c>
      <c r="M168" s="17">
        <f t="shared" si="13"/>
        <v>0</v>
      </c>
      <c r="N168" s="18">
        <f t="shared" si="14"/>
        <v>1</v>
      </c>
      <c r="O168" s="28"/>
      <c r="P168" s="8"/>
      <c r="Q168" s="8"/>
      <c r="R168" s="8"/>
      <c r="S168" s="28"/>
      <c r="T168" s="28"/>
      <c r="U168" s="8"/>
      <c r="V168" s="8"/>
      <c r="W168" s="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8"/>
      <c r="AJ168" s="8"/>
      <c r="AK168" s="8"/>
      <c r="AL168" s="8"/>
      <c r="AM168" s="8"/>
      <c r="AN168" s="28"/>
      <c r="AO168" s="8"/>
      <c r="AP168" s="8"/>
      <c r="AQ168" s="28"/>
      <c r="AR168" s="28"/>
      <c r="AS168" s="28"/>
    </row>
    <row r="169" spans="1:45" ht="15.75" thickBot="1" x14ac:dyDescent="0.3">
      <c r="A169" t="s">
        <v>450</v>
      </c>
      <c r="C169" s="46" t="s">
        <v>451</v>
      </c>
      <c r="D169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1113</v>
      </c>
      <c r="L169" s="17">
        <f t="shared" si="12"/>
        <v>22</v>
      </c>
      <c r="M169" s="17">
        <f t="shared" si="13"/>
        <v>6</v>
      </c>
      <c r="N169" s="18">
        <f t="shared" si="14"/>
        <v>0.7857142857142857</v>
      </c>
      <c r="O169" s="28"/>
      <c r="P169" s="8" t="s">
        <v>939</v>
      </c>
      <c r="Q169" s="8" t="s">
        <v>939</v>
      </c>
      <c r="R169" s="8" t="s">
        <v>939</v>
      </c>
      <c r="S169" s="28" t="s">
        <v>939</v>
      </c>
      <c r="T169" s="28" t="s">
        <v>939</v>
      </c>
      <c r="U169" s="8" t="s">
        <v>939</v>
      </c>
      <c r="V169" s="8"/>
      <c r="W169" s="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8"/>
      <c r="AJ169" s="28"/>
      <c r="AK169" s="8"/>
      <c r="AL169" s="8"/>
      <c r="AM169" s="8"/>
      <c r="AN169" s="28"/>
      <c r="AO169" s="8"/>
      <c r="AP169" s="8"/>
      <c r="AQ169" s="28"/>
      <c r="AR169" s="28"/>
      <c r="AS169" s="28"/>
    </row>
    <row r="170" spans="1:45" ht="15.75" thickBot="1" x14ac:dyDescent="0.3">
      <c r="A170" t="s">
        <v>415</v>
      </c>
      <c r="C170" s="46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1114</v>
      </c>
      <c r="L170" s="17">
        <f t="shared" si="12"/>
        <v>28</v>
      </c>
      <c r="M170" s="17">
        <f t="shared" si="13"/>
        <v>0</v>
      </c>
      <c r="N170" s="18">
        <f t="shared" si="14"/>
        <v>1</v>
      </c>
      <c r="O170" s="28"/>
      <c r="P170" s="8"/>
      <c r="Q170" s="8"/>
      <c r="R170" s="8"/>
      <c r="S170" s="28"/>
      <c r="T170" s="28"/>
      <c r="U170" s="8"/>
      <c r="V170" s="8"/>
      <c r="W170" s="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8"/>
      <c r="AJ170" s="8"/>
      <c r="AK170" s="8"/>
      <c r="AL170" s="8"/>
      <c r="AM170" s="8"/>
      <c r="AN170" s="28"/>
      <c r="AO170" s="8"/>
      <c r="AP170" s="8"/>
      <c r="AQ170" s="28"/>
      <c r="AR170" s="28"/>
      <c r="AS170" s="28"/>
    </row>
    <row r="171" spans="1:45" ht="15.75" thickBot="1" x14ac:dyDescent="0.3">
      <c r="A171" t="s">
        <v>456</v>
      </c>
      <c r="C171" s="46" t="s">
        <v>457</v>
      </c>
      <c r="D171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1115</v>
      </c>
      <c r="L171" s="17">
        <f t="shared" si="12"/>
        <v>18</v>
      </c>
      <c r="M171" s="17">
        <f t="shared" si="13"/>
        <v>10</v>
      </c>
      <c r="N171" s="18">
        <f t="shared" si="14"/>
        <v>0.6428571428571429</v>
      </c>
      <c r="O171" s="28" t="s">
        <v>939</v>
      </c>
      <c r="P171" s="8" t="s">
        <v>939</v>
      </c>
      <c r="Q171" s="8" t="s">
        <v>939</v>
      </c>
      <c r="R171" s="8" t="s">
        <v>939</v>
      </c>
      <c r="S171" s="28" t="s">
        <v>939</v>
      </c>
      <c r="T171" s="28" t="s">
        <v>939</v>
      </c>
      <c r="U171" s="8" t="s">
        <v>939</v>
      </c>
      <c r="V171" s="8" t="s">
        <v>939</v>
      </c>
      <c r="W171" s="8"/>
      <c r="X171" s="28"/>
      <c r="Y171" s="28"/>
      <c r="Z171" s="28" t="s">
        <v>939</v>
      </c>
      <c r="AA171" s="28" t="s">
        <v>939</v>
      </c>
      <c r="AB171" s="28"/>
      <c r="AC171" s="28"/>
      <c r="AD171" s="28"/>
      <c r="AE171" s="28"/>
      <c r="AF171" s="28"/>
      <c r="AG171" s="28"/>
      <c r="AH171" s="28"/>
      <c r="AI171" s="8"/>
      <c r="AJ171" s="28"/>
      <c r="AK171" s="8"/>
      <c r="AL171" s="8"/>
      <c r="AM171" s="8"/>
      <c r="AN171" s="28"/>
      <c r="AO171" s="8"/>
      <c r="AP171" s="8"/>
      <c r="AQ171" s="28"/>
      <c r="AR171" s="28"/>
      <c r="AS171" s="28"/>
    </row>
    <row r="172" spans="1:45" ht="15.75" thickBot="1" x14ac:dyDescent="0.3">
      <c r="A172" t="s">
        <v>450</v>
      </c>
      <c r="C172" s="46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1116</v>
      </c>
      <c r="L172" s="17">
        <f t="shared" si="12"/>
        <v>28</v>
      </c>
      <c r="M172" s="17">
        <f t="shared" si="13"/>
        <v>0</v>
      </c>
      <c r="N172" s="18">
        <f t="shared" si="14"/>
        <v>1</v>
      </c>
      <c r="O172" s="28"/>
      <c r="P172" s="8"/>
      <c r="Q172" s="8"/>
      <c r="R172" s="8"/>
      <c r="S172" s="28"/>
      <c r="T172" s="28"/>
      <c r="U172" s="8"/>
      <c r="V172" s="8"/>
      <c r="W172" s="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8"/>
      <c r="AJ172" s="8"/>
      <c r="AK172" s="8"/>
      <c r="AL172" s="8"/>
      <c r="AM172" s="8"/>
      <c r="AN172" s="28"/>
      <c r="AO172" s="8"/>
      <c r="AP172" s="8"/>
      <c r="AQ172" s="28"/>
      <c r="AR172" s="28"/>
      <c r="AS172" s="28"/>
    </row>
    <row r="173" spans="1:45" ht="15.75" thickBot="1" x14ac:dyDescent="0.3">
      <c r="C173" s="46" t="s">
        <v>463</v>
      </c>
      <c r="D173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1117</v>
      </c>
      <c r="L173" s="17">
        <f t="shared" si="12"/>
        <v>28</v>
      </c>
      <c r="M173" s="17">
        <f t="shared" si="13"/>
        <v>0</v>
      </c>
      <c r="N173" s="18">
        <f t="shared" si="14"/>
        <v>1</v>
      </c>
      <c r="O173" s="28"/>
      <c r="P173" s="8"/>
      <c r="Q173" s="8"/>
      <c r="R173" s="8"/>
      <c r="S173" s="28"/>
      <c r="T173" s="28"/>
      <c r="U173" s="8"/>
      <c r="V173" s="8"/>
      <c r="W173" s="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8"/>
      <c r="AJ173" s="28"/>
      <c r="AK173" s="8"/>
      <c r="AL173" s="8"/>
      <c r="AM173" s="8"/>
      <c r="AN173" s="28"/>
      <c r="AO173" s="8"/>
      <c r="AP173" s="8"/>
      <c r="AQ173" s="28"/>
      <c r="AR173" s="28"/>
      <c r="AS173" s="28"/>
    </row>
    <row r="174" spans="1:45" ht="15.75" thickBot="1" x14ac:dyDescent="0.3">
      <c r="A174" t="s">
        <v>456</v>
      </c>
      <c r="C174" s="46" t="s">
        <v>466</v>
      </c>
      <c r="D174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1118</v>
      </c>
      <c r="L174" s="17">
        <f t="shared" si="12"/>
        <v>19</v>
      </c>
      <c r="M174" s="17">
        <f t="shared" si="13"/>
        <v>9</v>
      </c>
      <c r="N174" s="18">
        <f t="shared" si="14"/>
        <v>0.6785714285714286</v>
      </c>
      <c r="O174" s="28" t="s">
        <v>939</v>
      </c>
      <c r="P174" s="8" t="s">
        <v>939</v>
      </c>
      <c r="Q174" s="8" t="s">
        <v>939</v>
      </c>
      <c r="R174" s="8" t="s">
        <v>939</v>
      </c>
      <c r="S174" s="28"/>
      <c r="T174" s="28" t="s">
        <v>939</v>
      </c>
      <c r="U174" s="8" t="s">
        <v>939</v>
      </c>
      <c r="V174" s="8" t="s">
        <v>939</v>
      </c>
      <c r="W174" s="8" t="s">
        <v>939</v>
      </c>
      <c r="X174" s="28" t="s">
        <v>939</v>
      </c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8"/>
      <c r="AJ174" s="28"/>
      <c r="AK174" s="8"/>
      <c r="AL174" s="8"/>
      <c r="AM174" s="8"/>
      <c r="AN174" s="28"/>
      <c r="AO174" s="8"/>
      <c r="AP174" s="8"/>
      <c r="AQ174" s="28"/>
      <c r="AR174" s="28"/>
      <c r="AS174" s="28"/>
    </row>
    <row r="175" spans="1:45" ht="15.75" thickBot="1" x14ac:dyDescent="0.3">
      <c r="A175" t="s">
        <v>469</v>
      </c>
      <c r="C175" s="46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1119</v>
      </c>
      <c r="L175" s="17">
        <f t="shared" si="12"/>
        <v>28</v>
      </c>
      <c r="M175" s="17">
        <f t="shared" si="13"/>
        <v>0</v>
      </c>
      <c r="N175" s="18">
        <f t="shared" si="14"/>
        <v>1</v>
      </c>
      <c r="O175" s="28"/>
      <c r="P175" s="8"/>
      <c r="Q175" s="8"/>
      <c r="R175" s="8"/>
      <c r="S175" s="28"/>
      <c r="T175" s="28"/>
      <c r="U175" s="8"/>
      <c r="V175" s="8"/>
      <c r="W175" s="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8"/>
      <c r="AJ175" s="8"/>
      <c r="AK175" s="8"/>
      <c r="AL175" s="8"/>
      <c r="AM175" s="8"/>
      <c r="AN175" s="28"/>
      <c r="AO175" s="8"/>
      <c r="AP175" s="8"/>
      <c r="AQ175" s="28"/>
      <c r="AR175" s="28"/>
      <c r="AS175" s="28"/>
    </row>
    <row r="176" spans="1:45" ht="15.75" thickBot="1" x14ac:dyDescent="0.3">
      <c r="A176" t="s">
        <v>469</v>
      </c>
      <c r="C176" s="46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1120</v>
      </c>
      <c r="L176" s="17">
        <f t="shared" si="12"/>
        <v>28</v>
      </c>
      <c r="M176" s="17">
        <f t="shared" si="13"/>
        <v>0</v>
      </c>
      <c r="N176" s="18">
        <f t="shared" si="14"/>
        <v>1</v>
      </c>
      <c r="O176" s="28"/>
      <c r="P176" s="8"/>
      <c r="Q176" s="8"/>
      <c r="R176" s="8"/>
      <c r="S176" s="28"/>
      <c r="T176" s="28"/>
      <c r="U176" s="8"/>
      <c r="V176" s="8"/>
      <c r="W176" s="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8"/>
      <c r="AJ176" s="8"/>
      <c r="AK176" s="8"/>
      <c r="AL176" s="8"/>
      <c r="AM176" s="8"/>
      <c r="AN176" s="28"/>
      <c r="AO176" s="8"/>
      <c r="AP176" s="8"/>
      <c r="AQ176" s="28"/>
      <c r="AR176" s="28"/>
      <c r="AS176" s="28"/>
    </row>
    <row r="177" spans="1:45" ht="15.75" thickBot="1" x14ac:dyDescent="0.3">
      <c r="A177" t="s">
        <v>469</v>
      </c>
      <c r="C177" s="46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1121</v>
      </c>
      <c r="L177" s="17">
        <f t="shared" si="12"/>
        <v>28</v>
      </c>
      <c r="M177" s="17">
        <f t="shared" si="13"/>
        <v>0</v>
      </c>
      <c r="N177" s="18">
        <f t="shared" si="14"/>
        <v>1</v>
      </c>
      <c r="O177" s="28"/>
      <c r="P177" s="8"/>
      <c r="Q177" s="8"/>
      <c r="R177" s="8"/>
      <c r="S177" s="28"/>
      <c r="T177" s="28"/>
      <c r="U177" s="8"/>
      <c r="V177" s="8"/>
      <c r="W177" s="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8"/>
      <c r="AJ177" s="8"/>
      <c r="AK177" s="8"/>
      <c r="AL177" s="8"/>
      <c r="AM177" s="8"/>
      <c r="AN177" s="28"/>
      <c r="AO177" s="8"/>
      <c r="AP177" s="8"/>
      <c r="AQ177" s="28"/>
      <c r="AR177" s="28"/>
      <c r="AS177" s="28"/>
    </row>
    <row r="178" spans="1:45" ht="15.75" thickBot="1" x14ac:dyDescent="0.3">
      <c r="A178" t="s">
        <v>469</v>
      </c>
      <c r="C178" s="46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1122</v>
      </c>
      <c r="L178" s="17">
        <f t="shared" si="12"/>
        <v>28</v>
      </c>
      <c r="M178" s="17">
        <f t="shared" si="13"/>
        <v>0</v>
      </c>
      <c r="N178" s="18">
        <f t="shared" si="14"/>
        <v>1</v>
      </c>
      <c r="O178" s="28"/>
      <c r="P178" s="8"/>
      <c r="Q178" s="8"/>
      <c r="R178" s="8"/>
      <c r="S178" s="28"/>
      <c r="T178" s="28"/>
      <c r="U178" s="8"/>
      <c r="V178" s="8"/>
      <c r="W178" s="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8"/>
      <c r="AJ178" s="8"/>
      <c r="AK178" s="8"/>
      <c r="AL178" s="8"/>
      <c r="AM178" s="8"/>
      <c r="AN178" s="28"/>
      <c r="AO178" s="8"/>
      <c r="AP178" s="8"/>
      <c r="AQ178" s="28"/>
      <c r="AR178" s="28"/>
      <c r="AS178" s="28"/>
    </row>
    <row r="179" spans="1:45" ht="15.75" thickBot="1" x14ac:dyDescent="0.3">
      <c r="A179" t="s">
        <v>480</v>
      </c>
      <c r="C179" s="46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1130</v>
      </c>
      <c r="L179" s="17">
        <f t="shared" si="12"/>
        <v>28</v>
      </c>
      <c r="M179" s="17">
        <f t="shared" si="13"/>
        <v>0</v>
      </c>
      <c r="N179" s="18">
        <f t="shared" si="14"/>
        <v>1</v>
      </c>
      <c r="O179" s="28"/>
      <c r="P179" s="8"/>
      <c r="Q179" s="8"/>
      <c r="R179" s="8"/>
      <c r="S179" s="28"/>
      <c r="T179" s="28"/>
      <c r="U179" s="8"/>
      <c r="V179" s="8"/>
      <c r="W179" s="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8"/>
      <c r="AJ179" s="8"/>
      <c r="AK179" s="8"/>
      <c r="AL179" s="8"/>
      <c r="AM179" s="8"/>
      <c r="AN179" s="28"/>
      <c r="AO179" s="8"/>
      <c r="AP179" s="8"/>
      <c r="AQ179" s="28"/>
      <c r="AR179" s="28"/>
      <c r="AS179" s="28"/>
    </row>
    <row r="180" spans="1:45" ht="15.75" thickBot="1" x14ac:dyDescent="0.3">
      <c r="A180" t="s">
        <v>480</v>
      </c>
      <c r="C180" s="46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1123</v>
      </c>
      <c r="L180" s="17">
        <f t="shared" si="12"/>
        <v>26</v>
      </c>
      <c r="M180" s="17">
        <f t="shared" si="13"/>
        <v>2</v>
      </c>
      <c r="N180" s="18">
        <f t="shared" si="14"/>
        <v>0.9285714285714286</v>
      </c>
      <c r="O180" s="28" t="s">
        <v>939</v>
      </c>
      <c r="P180" s="8"/>
      <c r="Q180" s="8"/>
      <c r="R180" s="8" t="s">
        <v>939</v>
      </c>
      <c r="S180" s="28"/>
      <c r="T180" s="28"/>
      <c r="U180" s="8"/>
      <c r="V180" s="8"/>
      <c r="W180" s="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8"/>
      <c r="AJ180" s="8"/>
      <c r="AK180" s="8"/>
      <c r="AL180" s="8"/>
      <c r="AM180" s="8"/>
      <c r="AN180" s="28"/>
      <c r="AO180" s="8"/>
      <c r="AP180" s="8"/>
      <c r="AQ180" s="28"/>
      <c r="AR180" s="28"/>
      <c r="AS180" s="28"/>
    </row>
    <row r="181" spans="1:45" ht="15.75" thickBot="1" x14ac:dyDescent="0.3">
      <c r="C181" s="46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1124</v>
      </c>
      <c r="L181" s="17">
        <f t="shared" si="12"/>
        <v>28</v>
      </c>
      <c r="M181" s="17">
        <f t="shared" si="13"/>
        <v>0</v>
      </c>
      <c r="N181" s="18">
        <f t="shared" si="14"/>
        <v>1</v>
      </c>
      <c r="O181" s="28"/>
      <c r="P181" s="8"/>
      <c r="Q181" s="8"/>
      <c r="R181" s="8"/>
      <c r="S181" s="28"/>
      <c r="T181" s="28"/>
      <c r="U181" s="8"/>
      <c r="V181" s="8"/>
      <c r="W181" s="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8"/>
      <c r="AJ181" s="8"/>
      <c r="AK181" s="8"/>
      <c r="AL181" s="8"/>
      <c r="AM181" s="8"/>
      <c r="AN181" s="28"/>
      <c r="AO181" s="8"/>
      <c r="AP181" s="8"/>
      <c r="AQ181" s="28"/>
      <c r="AR181" s="28"/>
      <c r="AS181" s="28"/>
    </row>
    <row r="182" spans="1:45" ht="15.75" thickBot="1" x14ac:dyDescent="0.3">
      <c r="A182" t="s">
        <v>480</v>
      </c>
      <c r="C182" s="46" t="s">
        <v>489</v>
      </c>
      <c r="D182" t="s">
        <v>490</v>
      </c>
      <c r="E182" t="s">
        <v>24</v>
      </c>
      <c r="F182" t="s">
        <v>945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1125</v>
      </c>
      <c r="L182" s="17">
        <f t="shared" si="12"/>
        <v>25</v>
      </c>
      <c r="M182" s="17">
        <f t="shared" si="13"/>
        <v>3</v>
      </c>
      <c r="N182" s="18">
        <f t="shared" si="14"/>
        <v>0.8928571428571429</v>
      </c>
      <c r="O182" s="28"/>
      <c r="P182" s="8"/>
      <c r="Q182" s="8"/>
      <c r="R182" s="8"/>
      <c r="S182" s="28"/>
      <c r="T182" s="28"/>
      <c r="U182" s="8"/>
      <c r="V182" s="8"/>
      <c r="W182" s="8" t="s">
        <v>939</v>
      </c>
      <c r="X182" s="28" t="s">
        <v>939</v>
      </c>
      <c r="Y182" s="28" t="s">
        <v>939</v>
      </c>
      <c r="Z182" s="28"/>
      <c r="AA182" s="28"/>
      <c r="AB182" s="28"/>
      <c r="AC182" s="28"/>
      <c r="AD182" s="28"/>
      <c r="AE182" s="28"/>
      <c r="AF182" s="28"/>
      <c r="AG182" s="28"/>
      <c r="AH182" s="28"/>
      <c r="AI182" s="8"/>
      <c r="AJ182" s="8"/>
      <c r="AK182" s="8"/>
      <c r="AL182" s="8"/>
      <c r="AM182" s="8"/>
      <c r="AN182" s="28"/>
      <c r="AO182" s="8"/>
      <c r="AP182" s="8"/>
      <c r="AQ182" s="28"/>
      <c r="AR182" s="28"/>
      <c r="AS182" s="28"/>
    </row>
    <row r="183" spans="1:45" ht="15.75" thickBot="1" x14ac:dyDescent="0.3">
      <c r="A183" t="s">
        <v>480</v>
      </c>
      <c r="C183" s="46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1126</v>
      </c>
      <c r="L183" s="17">
        <f t="shared" si="12"/>
        <v>28</v>
      </c>
      <c r="M183" s="17">
        <f t="shared" si="13"/>
        <v>0</v>
      </c>
      <c r="N183" s="18">
        <f t="shared" si="14"/>
        <v>1</v>
      </c>
      <c r="O183" s="28"/>
      <c r="P183" s="8"/>
      <c r="Q183" s="8"/>
      <c r="R183" s="8"/>
      <c r="S183" s="28"/>
      <c r="T183" s="28"/>
      <c r="U183" s="8"/>
      <c r="V183" s="8"/>
      <c r="W183" s="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8"/>
      <c r="AJ183" s="8"/>
      <c r="AK183" s="8"/>
      <c r="AL183" s="8"/>
      <c r="AM183" s="8"/>
      <c r="AN183" s="28"/>
      <c r="AO183" s="8"/>
      <c r="AP183" s="8"/>
      <c r="AQ183" s="28"/>
      <c r="AR183" s="28"/>
      <c r="AS183" s="28"/>
    </row>
    <row r="184" spans="1:45" ht="15.75" thickBot="1" x14ac:dyDescent="0.3">
      <c r="A184" t="s">
        <v>495</v>
      </c>
      <c r="C184" s="46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1127</v>
      </c>
      <c r="L184" s="17">
        <f t="shared" si="12"/>
        <v>28</v>
      </c>
      <c r="M184" s="17">
        <f t="shared" si="13"/>
        <v>0</v>
      </c>
      <c r="N184" s="18">
        <f t="shared" si="14"/>
        <v>1</v>
      </c>
      <c r="O184" s="28"/>
      <c r="P184" s="8"/>
      <c r="Q184" s="8"/>
      <c r="R184" s="8"/>
      <c r="S184" s="28"/>
      <c r="T184" s="28"/>
      <c r="U184" s="8"/>
      <c r="V184" s="8"/>
      <c r="W184" s="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8"/>
      <c r="AJ184" s="8"/>
      <c r="AK184" s="8"/>
      <c r="AL184" s="8"/>
      <c r="AM184" s="8"/>
      <c r="AN184" s="28"/>
      <c r="AO184" s="8"/>
      <c r="AP184" s="8"/>
      <c r="AQ184" s="28"/>
      <c r="AR184" s="28"/>
      <c r="AS184" s="28"/>
    </row>
    <row r="185" spans="1:45" ht="15.75" thickBot="1" x14ac:dyDescent="0.3">
      <c r="A185" t="s">
        <v>80</v>
      </c>
      <c r="C185" s="46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1128</v>
      </c>
      <c r="L185" s="17">
        <f t="shared" si="12"/>
        <v>28</v>
      </c>
      <c r="M185" s="17">
        <f t="shared" si="13"/>
        <v>0</v>
      </c>
      <c r="N185" s="18">
        <f t="shared" si="14"/>
        <v>1</v>
      </c>
      <c r="O185" s="28"/>
      <c r="P185" s="8"/>
      <c r="Q185" s="8"/>
      <c r="R185" s="8"/>
      <c r="S185" s="28"/>
      <c r="T185" s="28"/>
      <c r="U185" s="8"/>
      <c r="V185" s="8"/>
      <c r="W185" s="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8"/>
      <c r="AJ185" s="8"/>
      <c r="AK185" s="8"/>
      <c r="AL185" s="8"/>
      <c r="AM185" s="8"/>
      <c r="AN185" s="28"/>
      <c r="AO185" s="8"/>
      <c r="AP185" s="8"/>
      <c r="AQ185" s="28"/>
      <c r="AR185" s="28"/>
      <c r="AS185" s="28"/>
    </row>
    <row r="186" spans="1:45" ht="15.75" thickBot="1" x14ac:dyDescent="0.3">
      <c r="A186" t="s">
        <v>480</v>
      </c>
      <c r="C186" s="46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1129</v>
      </c>
      <c r="L186" s="17">
        <f t="shared" si="12"/>
        <v>28</v>
      </c>
      <c r="M186" s="17">
        <f t="shared" si="13"/>
        <v>0</v>
      </c>
      <c r="N186" s="18">
        <f t="shared" si="14"/>
        <v>1</v>
      </c>
      <c r="O186" s="28"/>
      <c r="P186" s="8"/>
      <c r="Q186" s="8"/>
      <c r="R186" s="8"/>
      <c r="S186" s="28"/>
      <c r="T186" s="28"/>
      <c r="U186" s="8"/>
      <c r="V186" s="8"/>
      <c r="W186" s="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8"/>
      <c r="AJ186" s="8"/>
      <c r="AK186" s="8"/>
      <c r="AL186" s="8"/>
      <c r="AM186" s="8"/>
      <c r="AN186" s="28"/>
      <c r="AO186" s="8"/>
      <c r="AP186" s="8"/>
      <c r="AQ186" s="28"/>
      <c r="AR186" s="28"/>
      <c r="AS186" s="28"/>
    </row>
    <row r="187" spans="1:45" ht="15.75" thickBot="1" x14ac:dyDescent="0.3">
      <c r="C187" s="46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1131</v>
      </c>
      <c r="L187" s="17">
        <f t="shared" si="12"/>
        <v>28</v>
      </c>
      <c r="M187" s="17">
        <f t="shared" si="13"/>
        <v>0</v>
      </c>
      <c r="N187" s="18">
        <f t="shared" si="14"/>
        <v>1</v>
      </c>
      <c r="O187" s="28"/>
      <c r="P187" s="8"/>
      <c r="Q187" s="8"/>
      <c r="R187" s="8"/>
      <c r="S187" s="28"/>
      <c r="T187" s="28"/>
      <c r="U187" s="8"/>
      <c r="V187" s="8"/>
      <c r="W187" s="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8"/>
      <c r="AJ187" s="8"/>
      <c r="AK187" s="8"/>
      <c r="AL187" s="8"/>
      <c r="AM187" s="8"/>
      <c r="AN187" s="28"/>
      <c r="AO187" s="8"/>
      <c r="AP187" s="8"/>
      <c r="AQ187" s="28"/>
      <c r="AR187" s="28"/>
      <c r="AS187" s="28"/>
    </row>
    <row r="188" spans="1:45" ht="15.75" thickBot="1" x14ac:dyDescent="0.3">
      <c r="C188" s="46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1132</v>
      </c>
      <c r="L188" s="17">
        <f t="shared" si="12"/>
        <v>28</v>
      </c>
      <c r="M188" s="17">
        <f t="shared" si="13"/>
        <v>0</v>
      </c>
      <c r="N188" s="18">
        <f t="shared" si="14"/>
        <v>1</v>
      </c>
      <c r="O188" s="28"/>
      <c r="P188" s="8"/>
      <c r="Q188" s="8"/>
      <c r="R188" s="8"/>
      <c r="S188" s="28"/>
      <c r="T188" s="28"/>
      <c r="U188" s="8"/>
      <c r="V188" s="8"/>
      <c r="W188" s="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8"/>
      <c r="AJ188" s="8"/>
      <c r="AK188" s="8"/>
      <c r="AL188" s="8"/>
      <c r="AM188" s="8"/>
      <c r="AN188" s="28"/>
      <c r="AO188" s="8"/>
      <c r="AP188" s="8"/>
      <c r="AQ188" s="28"/>
      <c r="AR188" s="28"/>
      <c r="AS188" s="28"/>
    </row>
    <row r="189" spans="1:45" ht="15.75" thickBot="1" x14ac:dyDescent="0.3">
      <c r="A189" t="s">
        <v>508</v>
      </c>
      <c r="C189" s="46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1133</v>
      </c>
      <c r="L189" s="17">
        <f t="shared" si="12"/>
        <v>28</v>
      </c>
      <c r="M189" s="17">
        <f t="shared" si="13"/>
        <v>0</v>
      </c>
      <c r="N189" s="18">
        <f t="shared" si="14"/>
        <v>1</v>
      </c>
      <c r="O189" s="28"/>
      <c r="P189" s="8"/>
      <c r="Q189" s="8"/>
      <c r="R189" s="8"/>
      <c r="S189" s="28"/>
      <c r="T189" s="28"/>
      <c r="U189" s="8"/>
      <c r="V189" s="8"/>
      <c r="W189" s="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8"/>
      <c r="AJ189" s="8"/>
      <c r="AK189" s="8"/>
      <c r="AL189" s="8"/>
      <c r="AM189" s="8"/>
      <c r="AN189" s="28"/>
      <c r="AO189" s="8"/>
      <c r="AP189" s="8"/>
      <c r="AQ189" s="28"/>
      <c r="AR189" s="28"/>
      <c r="AS189" s="28"/>
    </row>
    <row r="190" spans="1:45" ht="15.75" thickBot="1" x14ac:dyDescent="0.3">
      <c r="A190" t="s">
        <v>508</v>
      </c>
      <c r="C190" s="46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1134</v>
      </c>
      <c r="L190" s="17">
        <f t="shared" si="12"/>
        <v>28</v>
      </c>
      <c r="M190" s="17">
        <f t="shared" si="13"/>
        <v>0</v>
      </c>
      <c r="N190" s="18">
        <f t="shared" si="14"/>
        <v>1</v>
      </c>
      <c r="O190" s="28"/>
      <c r="P190" s="8"/>
      <c r="Q190" s="8"/>
      <c r="R190" s="8"/>
      <c r="S190" s="28"/>
      <c r="T190" s="28"/>
      <c r="U190" s="8"/>
      <c r="V190" s="8"/>
      <c r="W190" s="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8"/>
      <c r="AJ190" s="8"/>
      <c r="AK190" s="8"/>
      <c r="AL190" s="8"/>
      <c r="AM190" s="8"/>
      <c r="AN190" s="28"/>
      <c r="AO190" s="8"/>
      <c r="AP190" s="8"/>
      <c r="AQ190" s="28"/>
      <c r="AR190" s="28"/>
      <c r="AS190" s="28"/>
    </row>
    <row r="191" spans="1:45" ht="15.75" thickBot="1" x14ac:dyDescent="0.3">
      <c r="A191" t="s">
        <v>508</v>
      </c>
      <c r="C191" s="46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1135</v>
      </c>
      <c r="L191" s="17">
        <f t="shared" si="12"/>
        <v>15</v>
      </c>
      <c r="M191" s="17">
        <f t="shared" si="13"/>
        <v>13</v>
      </c>
      <c r="N191" s="18">
        <f t="shared" si="14"/>
        <v>0.5357142857142857</v>
      </c>
      <c r="O191" s="28" t="s">
        <v>939</v>
      </c>
      <c r="P191" s="8" t="s">
        <v>939</v>
      </c>
      <c r="Q191" s="8" t="s">
        <v>939</v>
      </c>
      <c r="R191" s="8" t="s">
        <v>939</v>
      </c>
      <c r="S191" s="28" t="s">
        <v>939</v>
      </c>
      <c r="T191" s="28" t="s">
        <v>939</v>
      </c>
      <c r="U191" s="8" t="s">
        <v>939</v>
      </c>
      <c r="V191" s="8" t="s">
        <v>939</v>
      </c>
      <c r="W191" s="8" t="s">
        <v>939</v>
      </c>
      <c r="X191" s="28" t="s">
        <v>939</v>
      </c>
      <c r="Y191" s="28" t="s">
        <v>939</v>
      </c>
      <c r="Z191" s="28" t="s">
        <v>939</v>
      </c>
      <c r="AA191" s="28" t="s">
        <v>939</v>
      </c>
      <c r="AB191" s="28"/>
      <c r="AC191" s="28"/>
      <c r="AD191" s="28"/>
      <c r="AE191" s="28"/>
      <c r="AF191" s="28"/>
      <c r="AG191" s="28"/>
      <c r="AH191" s="28"/>
      <c r="AI191" s="8"/>
      <c r="AJ191" s="28"/>
      <c r="AK191" s="8"/>
      <c r="AL191" s="8"/>
      <c r="AM191" s="8"/>
      <c r="AN191" s="28"/>
      <c r="AO191" s="8"/>
      <c r="AP191" s="8"/>
      <c r="AQ191" s="28"/>
      <c r="AR191" s="28"/>
      <c r="AS191" s="28"/>
    </row>
    <row r="192" spans="1:45" ht="15.75" thickBot="1" x14ac:dyDescent="0.3">
      <c r="A192" t="s">
        <v>508</v>
      </c>
      <c r="C192" s="46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1136</v>
      </c>
      <c r="L192" s="17">
        <f t="shared" si="12"/>
        <v>15</v>
      </c>
      <c r="M192" s="17">
        <f t="shared" si="13"/>
        <v>13</v>
      </c>
      <c r="N192" s="18">
        <f t="shared" si="14"/>
        <v>0.5357142857142857</v>
      </c>
      <c r="O192" s="28" t="s">
        <v>939</v>
      </c>
      <c r="P192" s="8" t="s">
        <v>939</v>
      </c>
      <c r="Q192" s="8" t="s">
        <v>939</v>
      </c>
      <c r="R192" s="8" t="s">
        <v>939</v>
      </c>
      <c r="S192" s="28" t="s">
        <v>939</v>
      </c>
      <c r="T192" s="28" t="s">
        <v>939</v>
      </c>
      <c r="U192" s="8" t="s">
        <v>939</v>
      </c>
      <c r="V192" s="8" t="s">
        <v>939</v>
      </c>
      <c r="W192" s="8" t="s">
        <v>939</v>
      </c>
      <c r="X192" s="28" t="s">
        <v>939</v>
      </c>
      <c r="Y192" s="28" t="s">
        <v>939</v>
      </c>
      <c r="Z192" s="28" t="s">
        <v>939</v>
      </c>
      <c r="AA192" s="28" t="s">
        <v>939</v>
      </c>
      <c r="AB192" s="28"/>
      <c r="AC192" s="28"/>
      <c r="AD192" s="28"/>
      <c r="AE192" s="28"/>
      <c r="AF192" s="28"/>
      <c r="AG192" s="28"/>
      <c r="AH192" s="28"/>
      <c r="AI192" s="8"/>
      <c r="AJ192" s="28"/>
      <c r="AK192" s="8"/>
      <c r="AL192" s="8"/>
      <c r="AM192" s="8"/>
      <c r="AN192" s="28"/>
      <c r="AO192" s="8"/>
      <c r="AP192" s="8"/>
      <c r="AQ192" s="28"/>
      <c r="AR192" s="28"/>
      <c r="AS192" s="28"/>
    </row>
    <row r="193" spans="1:45" ht="15.75" thickBot="1" x14ac:dyDescent="0.3">
      <c r="A193" t="s">
        <v>412</v>
      </c>
      <c r="C193" s="46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1137</v>
      </c>
      <c r="L193" s="17">
        <f t="shared" si="12"/>
        <v>15</v>
      </c>
      <c r="M193" s="17">
        <f t="shared" si="13"/>
        <v>13</v>
      </c>
      <c r="N193" s="18">
        <f t="shared" si="14"/>
        <v>0.5357142857142857</v>
      </c>
      <c r="O193" s="28" t="s">
        <v>939</v>
      </c>
      <c r="P193" s="8" t="s">
        <v>939</v>
      </c>
      <c r="Q193" s="8" t="s">
        <v>939</v>
      </c>
      <c r="R193" s="8" t="s">
        <v>939</v>
      </c>
      <c r="S193" s="28" t="s">
        <v>939</v>
      </c>
      <c r="T193" s="28" t="s">
        <v>939</v>
      </c>
      <c r="U193" s="8" t="s">
        <v>939</v>
      </c>
      <c r="V193" s="8" t="s">
        <v>939</v>
      </c>
      <c r="W193" s="8" t="s">
        <v>939</v>
      </c>
      <c r="X193" s="28" t="s">
        <v>939</v>
      </c>
      <c r="Y193" s="28" t="s">
        <v>939</v>
      </c>
      <c r="Z193" s="28" t="s">
        <v>939</v>
      </c>
      <c r="AA193" s="28" t="s">
        <v>939</v>
      </c>
      <c r="AB193" s="28"/>
      <c r="AC193" s="28"/>
      <c r="AD193" s="28"/>
      <c r="AE193" s="28"/>
      <c r="AF193" s="28"/>
      <c r="AG193" s="28"/>
      <c r="AH193" s="28"/>
      <c r="AI193" s="8"/>
      <c r="AJ193" s="28"/>
      <c r="AK193" s="8"/>
      <c r="AL193" s="8"/>
      <c r="AM193" s="8"/>
      <c r="AN193" s="28"/>
      <c r="AO193" s="8"/>
      <c r="AP193" s="8"/>
      <c r="AQ193" s="28"/>
      <c r="AR193" s="28"/>
      <c r="AS193" s="28"/>
    </row>
    <row r="194" spans="1:45" ht="15.75" thickBot="1" x14ac:dyDescent="0.3">
      <c r="A194" t="s">
        <v>412</v>
      </c>
      <c r="C194" s="46" t="s">
        <v>519</v>
      </c>
      <c r="D194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1138</v>
      </c>
      <c r="L194" s="17">
        <f t="shared" si="12"/>
        <v>16</v>
      </c>
      <c r="M194" s="17">
        <f t="shared" si="13"/>
        <v>12</v>
      </c>
      <c r="N194" s="18">
        <f t="shared" si="14"/>
        <v>0.5714285714285714</v>
      </c>
      <c r="O194" s="28" t="s">
        <v>939</v>
      </c>
      <c r="P194" s="8" t="s">
        <v>939</v>
      </c>
      <c r="Q194" s="8" t="s">
        <v>939</v>
      </c>
      <c r="R194" s="8" t="s">
        <v>939</v>
      </c>
      <c r="S194" s="28" t="s">
        <v>939</v>
      </c>
      <c r="T194" s="28" t="s">
        <v>939</v>
      </c>
      <c r="U194" s="8" t="s">
        <v>939</v>
      </c>
      <c r="V194" s="8" t="s">
        <v>939</v>
      </c>
      <c r="W194" s="8" t="s">
        <v>939</v>
      </c>
      <c r="X194" s="28" t="s">
        <v>939</v>
      </c>
      <c r="Y194" s="28" t="s">
        <v>939</v>
      </c>
      <c r="Z194" s="28"/>
      <c r="AA194" s="28" t="s">
        <v>939</v>
      </c>
      <c r="AB194" s="28"/>
      <c r="AC194" s="28"/>
      <c r="AD194" s="28"/>
      <c r="AE194" s="28"/>
      <c r="AF194" s="28"/>
      <c r="AG194" s="28"/>
      <c r="AH194" s="28"/>
      <c r="AI194" s="8"/>
      <c r="AJ194" s="28"/>
      <c r="AK194" s="8"/>
      <c r="AL194" s="8"/>
      <c r="AM194" s="8"/>
      <c r="AN194" s="28"/>
      <c r="AO194" s="8"/>
      <c r="AP194" s="8"/>
      <c r="AQ194" s="28"/>
      <c r="AR194" s="28"/>
      <c r="AS194" s="28"/>
    </row>
    <row r="195" spans="1:45" ht="15.75" thickBot="1" x14ac:dyDescent="0.3">
      <c r="A195" t="s">
        <v>62</v>
      </c>
      <c r="C195" s="46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1139</v>
      </c>
      <c r="L195" s="17">
        <f t="shared" si="12"/>
        <v>19</v>
      </c>
      <c r="M195" s="17">
        <f t="shared" si="13"/>
        <v>9</v>
      </c>
      <c r="N195" s="18">
        <f t="shared" si="14"/>
        <v>0.6785714285714286</v>
      </c>
      <c r="O195" s="28"/>
      <c r="P195" s="8" t="s">
        <v>939</v>
      </c>
      <c r="Q195" s="8" t="s">
        <v>939</v>
      </c>
      <c r="R195" s="8" t="s">
        <v>939</v>
      </c>
      <c r="S195" s="28" t="s">
        <v>939</v>
      </c>
      <c r="T195" s="28" t="s">
        <v>939</v>
      </c>
      <c r="U195" s="8" t="s">
        <v>939</v>
      </c>
      <c r="V195" s="8" t="s">
        <v>939</v>
      </c>
      <c r="W195" s="8" t="s">
        <v>939</v>
      </c>
      <c r="X195" s="28" t="s">
        <v>939</v>
      </c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8"/>
      <c r="AJ195" s="8"/>
      <c r="AK195" s="8"/>
      <c r="AL195" s="8"/>
      <c r="AM195" s="8"/>
      <c r="AN195" s="28"/>
      <c r="AO195" s="8"/>
      <c r="AP195" s="8"/>
      <c r="AQ195" s="28"/>
      <c r="AR195" s="28"/>
      <c r="AS195" s="28"/>
    </row>
    <row r="196" spans="1:45" ht="15.75" thickBot="1" x14ac:dyDescent="0.3">
      <c r="A196" t="s">
        <v>62</v>
      </c>
      <c r="C196" s="46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1140</v>
      </c>
      <c r="L196" s="17">
        <f t="shared" si="12"/>
        <v>19</v>
      </c>
      <c r="M196" s="17">
        <f t="shared" si="13"/>
        <v>9</v>
      </c>
      <c r="N196" s="18">
        <f t="shared" si="14"/>
        <v>0.6785714285714286</v>
      </c>
      <c r="O196" s="28"/>
      <c r="P196" s="8" t="s">
        <v>939</v>
      </c>
      <c r="Q196" s="8" t="s">
        <v>939</v>
      </c>
      <c r="R196" s="8" t="s">
        <v>939</v>
      </c>
      <c r="S196" s="28" t="s">
        <v>939</v>
      </c>
      <c r="T196" s="28" t="s">
        <v>939</v>
      </c>
      <c r="U196" s="8" t="s">
        <v>939</v>
      </c>
      <c r="V196" s="8" t="s">
        <v>939</v>
      </c>
      <c r="W196" s="8" t="s">
        <v>939</v>
      </c>
      <c r="X196" s="28" t="s">
        <v>939</v>
      </c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8"/>
      <c r="AJ196" s="8"/>
      <c r="AK196" s="8"/>
      <c r="AL196" s="8"/>
      <c r="AM196" s="8"/>
      <c r="AN196" s="28"/>
      <c r="AO196" s="8"/>
      <c r="AP196" s="8"/>
      <c r="AQ196" s="28"/>
      <c r="AR196" s="28"/>
      <c r="AS196" s="28"/>
    </row>
    <row r="197" spans="1:45" ht="15.75" thickBot="1" x14ac:dyDescent="0.3">
      <c r="A197" t="s">
        <v>289</v>
      </c>
      <c r="C197" s="46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1141</v>
      </c>
      <c r="L197" s="17">
        <f t="shared" ref="L197:L260" si="15">COUNTIF(O197:AP197,"")</f>
        <v>20</v>
      </c>
      <c r="M197" s="17">
        <f t="shared" ref="M197:M260" si="16">COUNTIF(O197:AP197,"APAGADO")</f>
        <v>8</v>
      </c>
      <c r="N197" s="18">
        <f t="shared" ref="N197:N260" si="17">(L197)/(M197+L197)</f>
        <v>0.7142857142857143</v>
      </c>
      <c r="O197" s="28" t="s">
        <v>939</v>
      </c>
      <c r="P197" s="8" t="s">
        <v>939</v>
      </c>
      <c r="Q197" s="8" t="s">
        <v>939</v>
      </c>
      <c r="R197" s="8" t="s">
        <v>939</v>
      </c>
      <c r="S197" s="28" t="s">
        <v>939</v>
      </c>
      <c r="T197" s="28" t="s">
        <v>939</v>
      </c>
      <c r="U197" s="8"/>
      <c r="V197" s="8"/>
      <c r="W197" s="8"/>
      <c r="X197" s="28" t="s">
        <v>939</v>
      </c>
      <c r="Y197" s="28"/>
      <c r="Z197" s="28"/>
      <c r="AA197" s="28" t="s">
        <v>939</v>
      </c>
      <c r="AB197" s="28"/>
      <c r="AC197" s="28"/>
      <c r="AD197" s="28"/>
      <c r="AE197" s="28"/>
      <c r="AF197" s="28"/>
      <c r="AG197" s="28"/>
      <c r="AH197" s="28"/>
      <c r="AI197" s="8"/>
      <c r="AJ197" s="28"/>
      <c r="AK197" s="8"/>
      <c r="AL197" s="8"/>
      <c r="AM197" s="8"/>
      <c r="AN197" s="28"/>
      <c r="AO197" s="8"/>
      <c r="AP197" s="8"/>
      <c r="AQ197" s="28"/>
      <c r="AR197" s="28"/>
      <c r="AS197" s="28"/>
    </row>
    <row r="198" spans="1:45" ht="15.75" thickBot="1" x14ac:dyDescent="0.3">
      <c r="A198" t="s">
        <v>289</v>
      </c>
      <c r="C198" s="46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1142</v>
      </c>
      <c r="L198" s="17">
        <f t="shared" si="15"/>
        <v>24</v>
      </c>
      <c r="M198" s="17">
        <f t="shared" si="16"/>
        <v>4</v>
      </c>
      <c r="N198" s="18">
        <f t="shared" si="17"/>
        <v>0.8571428571428571</v>
      </c>
      <c r="O198" s="28"/>
      <c r="P198" s="8" t="s">
        <v>939</v>
      </c>
      <c r="Q198" s="8" t="s">
        <v>939</v>
      </c>
      <c r="R198" s="8"/>
      <c r="S198" s="28"/>
      <c r="T198" s="28"/>
      <c r="U198" s="8"/>
      <c r="V198" s="8"/>
      <c r="W198" s="8"/>
      <c r="X198" s="28" t="s">
        <v>939</v>
      </c>
      <c r="Y198" s="28"/>
      <c r="Z198" s="28"/>
      <c r="AA198" s="28" t="s">
        <v>939</v>
      </c>
      <c r="AB198" s="28"/>
      <c r="AC198" s="28"/>
      <c r="AD198" s="28"/>
      <c r="AE198" s="28"/>
      <c r="AF198" s="28"/>
      <c r="AG198" s="28"/>
      <c r="AH198" s="28"/>
      <c r="AI198" s="8"/>
      <c r="AJ198" s="8"/>
      <c r="AK198" s="8"/>
      <c r="AL198" s="8"/>
      <c r="AM198" s="8"/>
      <c r="AN198" s="28"/>
      <c r="AO198" s="8"/>
      <c r="AP198" s="8"/>
      <c r="AQ198" s="28"/>
      <c r="AR198" s="28"/>
      <c r="AS198" s="28"/>
    </row>
    <row r="199" spans="1:45" ht="15.75" thickBot="1" x14ac:dyDescent="0.3">
      <c r="A199" t="s">
        <v>333</v>
      </c>
      <c r="C199" s="46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1143</v>
      </c>
      <c r="L199" s="17">
        <f t="shared" si="15"/>
        <v>24</v>
      </c>
      <c r="M199" s="17">
        <f t="shared" si="16"/>
        <v>4</v>
      </c>
      <c r="N199" s="18">
        <f t="shared" si="17"/>
        <v>0.8571428571428571</v>
      </c>
      <c r="O199" s="28"/>
      <c r="P199" s="8"/>
      <c r="Q199" s="8"/>
      <c r="R199" s="8"/>
      <c r="S199" s="28"/>
      <c r="T199" s="28"/>
      <c r="U199" s="8" t="s">
        <v>939</v>
      </c>
      <c r="V199" s="8" t="s">
        <v>939</v>
      </c>
      <c r="W199" s="8" t="s">
        <v>939</v>
      </c>
      <c r="X199" s="28"/>
      <c r="Y199" s="28" t="s">
        <v>939</v>
      </c>
      <c r="Z199" s="28"/>
      <c r="AA199" s="28"/>
      <c r="AB199" s="28"/>
      <c r="AC199" s="28"/>
      <c r="AD199" s="28"/>
      <c r="AE199" s="28"/>
      <c r="AF199" s="28"/>
      <c r="AG199" s="28"/>
      <c r="AH199" s="28"/>
      <c r="AI199" s="8"/>
      <c r="AJ199" s="8"/>
      <c r="AK199" s="8"/>
      <c r="AL199" s="8"/>
      <c r="AM199" s="8"/>
      <c r="AN199" s="28"/>
      <c r="AO199" s="8"/>
      <c r="AP199" s="8"/>
      <c r="AQ199" s="28"/>
      <c r="AR199" s="28"/>
      <c r="AS199" s="28"/>
    </row>
    <row r="200" spans="1:45" ht="15.75" thickBot="1" x14ac:dyDescent="0.3">
      <c r="A200" t="s">
        <v>333</v>
      </c>
      <c r="C200" s="46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1144</v>
      </c>
      <c r="L200" s="17">
        <f t="shared" si="15"/>
        <v>27</v>
      </c>
      <c r="M200" s="17">
        <f t="shared" si="16"/>
        <v>1</v>
      </c>
      <c r="N200" s="18">
        <f t="shared" si="17"/>
        <v>0.9642857142857143</v>
      </c>
      <c r="O200" s="28"/>
      <c r="P200" s="8"/>
      <c r="Q200" s="8"/>
      <c r="R200" s="8"/>
      <c r="S200" s="28"/>
      <c r="T200" s="28"/>
      <c r="U200" s="8" t="s">
        <v>939</v>
      </c>
      <c r="V200" s="8"/>
      <c r="W200" s="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8"/>
      <c r="AJ200" s="8"/>
      <c r="AK200" s="8"/>
      <c r="AL200" s="8"/>
      <c r="AM200" s="8"/>
      <c r="AN200" s="28"/>
      <c r="AO200" s="8"/>
      <c r="AP200" s="8"/>
      <c r="AQ200" s="28"/>
      <c r="AR200" s="28"/>
      <c r="AS200" s="28"/>
    </row>
    <row r="201" spans="1:45" ht="15.75" thickBot="1" x14ac:dyDescent="0.3">
      <c r="A201" t="s">
        <v>358</v>
      </c>
      <c r="C201" s="46" t="s">
        <v>1154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1155</v>
      </c>
      <c r="L201" s="17">
        <f t="shared" si="15"/>
        <v>28</v>
      </c>
      <c r="M201" s="17">
        <f t="shared" si="16"/>
        <v>0</v>
      </c>
      <c r="N201" s="18">
        <f t="shared" si="17"/>
        <v>1</v>
      </c>
      <c r="O201" s="28"/>
      <c r="P201" s="8"/>
      <c r="Q201" s="8"/>
      <c r="R201" s="8"/>
      <c r="S201" s="28"/>
      <c r="T201" s="28"/>
      <c r="U201" s="8"/>
      <c r="V201" s="8"/>
      <c r="W201" s="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8"/>
      <c r="AJ201" s="8"/>
      <c r="AK201" s="8"/>
      <c r="AL201" s="8"/>
      <c r="AM201" s="8"/>
      <c r="AN201" s="28"/>
      <c r="AO201" s="8"/>
      <c r="AP201" s="8"/>
      <c r="AQ201" s="28"/>
      <c r="AR201" s="28"/>
      <c r="AS201" s="28"/>
    </row>
    <row r="202" spans="1:45" ht="15.75" thickBot="1" x14ac:dyDescent="0.3">
      <c r="A202" t="s">
        <v>358</v>
      </c>
      <c r="C202" s="46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1145</v>
      </c>
      <c r="L202" s="17">
        <f t="shared" si="15"/>
        <v>28</v>
      </c>
      <c r="M202" s="17">
        <f t="shared" si="16"/>
        <v>0</v>
      </c>
      <c r="N202" s="18">
        <f t="shared" si="17"/>
        <v>1</v>
      </c>
      <c r="O202" s="28"/>
      <c r="P202" s="8"/>
      <c r="Q202" s="8"/>
      <c r="R202" s="8"/>
      <c r="S202" s="28"/>
      <c r="T202" s="28"/>
      <c r="U202" s="8"/>
      <c r="V202" s="8"/>
      <c r="W202" s="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8"/>
      <c r="AJ202" s="8"/>
      <c r="AK202" s="8"/>
      <c r="AL202" s="8"/>
      <c r="AM202" s="8"/>
      <c r="AN202" s="28"/>
      <c r="AO202" s="8"/>
      <c r="AP202" s="8"/>
      <c r="AQ202" s="28"/>
      <c r="AR202" s="28"/>
      <c r="AS202" s="28"/>
    </row>
    <row r="203" spans="1:45" ht="15.75" thickBot="1" x14ac:dyDescent="0.3">
      <c r="A203" t="s">
        <v>445</v>
      </c>
      <c r="C203" s="46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1146</v>
      </c>
      <c r="L203" s="17">
        <f t="shared" si="15"/>
        <v>28</v>
      </c>
      <c r="M203" s="17">
        <f t="shared" si="16"/>
        <v>0</v>
      </c>
      <c r="N203" s="18">
        <f t="shared" si="17"/>
        <v>1</v>
      </c>
      <c r="O203" s="28"/>
      <c r="P203" s="8"/>
      <c r="Q203" s="8"/>
      <c r="R203" s="8"/>
      <c r="S203" s="28"/>
      <c r="T203" s="28"/>
      <c r="U203" s="8"/>
      <c r="V203" s="8"/>
      <c r="W203" s="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8"/>
      <c r="AJ203" s="8"/>
      <c r="AK203" s="8"/>
      <c r="AL203" s="8"/>
      <c r="AM203" s="8"/>
      <c r="AN203" s="28"/>
      <c r="AO203" s="8"/>
      <c r="AP203" s="8"/>
      <c r="AQ203" s="28"/>
      <c r="AR203" s="28"/>
      <c r="AS203" s="28"/>
    </row>
    <row r="204" spans="1:45" ht="15.75" thickBot="1" x14ac:dyDescent="0.3">
      <c r="A204" t="s">
        <v>538</v>
      </c>
      <c r="C204" s="46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1148</v>
      </c>
      <c r="L204" s="17">
        <f t="shared" si="15"/>
        <v>21</v>
      </c>
      <c r="M204" s="17">
        <f t="shared" si="16"/>
        <v>7</v>
      </c>
      <c r="N204" s="18">
        <f t="shared" si="17"/>
        <v>0.75</v>
      </c>
      <c r="O204" s="28" t="s">
        <v>939</v>
      </c>
      <c r="P204" s="8"/>
      <c r="Q204" s="8"/>
      <c r="R204" s="8"/>
      <c r="S204" s="28"/>
      <c r="T204" s="28" t="s">
        <v>939</v>
      </c>
      <c r="U204" s="8" t="s">
        <v>939</v>
      </c>
      <c r="V204" s="8" t="s">
        <v>939</v>
      </c>
      <c r="W204" s="8" t="s">
        <v>939</v>
      </c>
      <c r="X204" s="28" t="s">
        <v>939</v>
      </c>
      <c r="Y204" s="28" t="s">
        <v>939</v>
      </c>
      <c r="Z204" s="28"/>
      <c r="AA204" s="28"/>
      <c r="AB204" s="28"/>
      <c r="AC204" s="28"/>
      <c r="AD204" s="28"/>
      <c r="AE204" s="28"/>
      <c r="AF204" s="28"/>
      <c r="AG204" s="28"/>
      <c r="AH204" s="28"/>
      <c r="AI204" s="8"/>
      <c r="AJ204" s="28"/>
      <c r="AK204" s="8"/>
      <c r="AL204" s="8"/>
      <c r="AM204" s="8"/>
      <c r="AN204" s="28"/>
      <c r="AO204" s="8"/>
      <c r="AP204" s="8"/>
      <c r="AQ204" s="28"/>
      <c r="AR204" s="28"/>
      <c r="AS204" s="28"/>
    </row>
    <row r="205" spans="1:45" ht="15.75" thickBot="1" x14ac:dyDescent="0.3">
      <c r="A205" t="s">
        <v>538</v>
      </c>
      <c r="C205" s="46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1149</v>
      </c>
      <c r="L205" s="17">
        <f t="shared" si="15"/>
        <v>22</v>
      </c>
      <c r="M205" s="17">
        <f t="shared" si="16"/>
        <v>6</v>
      </c>
      <c r="N205" s="18">
        <f t="shared" si="17"/>
        <v>0.7857142857142857</v>
      </c>
      <c r="O205" s="28"/>
      <c r="P205" s="8"/>
      <c r="Q205" s="8"/>
      <c r="R205" s="8"/>
      <c r="S205" s="28"/>
      <c r="T205" s="28" t="s">
        <v>939</v>
      </c>
      <c r="U205" s="8" t="s">
        <v>939</v>
      </c>
      <c r="V205" s="8" t="s">
        <v>939</v>
      </c>
      <c r="W205" s="8" t="s">
        <v>939</v>
      </c>
      <c r="X205" s="28" t="s">
        <v>939</v>
      </c>
      <c r="Y205" s="28" t="s">
        <v>939</v>
      </c>
      <c r="Z205" s="28"/>
      <c r="AA205" s="28"/>
      <c r="AB205" s="28"/>
      <c r="AC205" s="28"/>
      <c r="AD205" s="28"/>
      <c r="AE205" s="28"/>
      <c r="AF205" s="28"/>
      <c r="AG205" s="28"/>
      <c r="AH205" s="28"/>
      <c r="AI205" s="8"/>
      <c r="AJ205" s="8"/>
      <c r="AK205" s="8"/>
      <c r="AL205" s="8"/>
      <c r="AM205" s="8"/>
      <c r="AN205" s="28"/>
      <c r="AO205" s="8"/>
      <c r="AP205" s="8"/>
      <c r="AQ205" s="28"/>
      <c r="AR205" s="28"/>
      <c r="AS205" s="28"/>
    </row>
    <row r="206" spans="1:45" ht="15.75" thickBot="1" x14ac:dyDescent="0.3">
      <c r="A206" t="s">
        <v>542</v>
      </c>
      <c r="C206" s="46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1156</v>
      </c>
      <c r="L206" s="17">
        <f t="shared" si="15"/>
        <v>15</v>
      </c>
      <c r="M206" s="17">
        <f t="shared" si="16"/>
        <v>13</v>
      </c>
      <c r="N206" s="18">
        <f t="shared" si="17"/>
        <v>0.5357142857142857</v>
      </c>
      <c r="O206" s="28" t="s">
        <v>939</v>
      </c>
      <c r="P206" s="8" t="s">
        <v>939</v>
      </c>
      <c r="Q206" s="8" t="s">
        <v>939</v>
      </c>
      <c r="R206" s="8" t="s">
        <v>939</v>
      </c>
      <c r="S206" s="28" t="s">
        <v>939</v>
      </c>
      <c r="T206" s="28" t="s">
        <v>939</v>
      </c>
      <c r="U206" s="8" t="s">
        <v>939</v>
      </c>
      <c r="V206" s="8" t="s">
        <v>939</v>
      </c>
      <c r="W206" s="8" t="s">
        <v>939</v>
      </c>
      <c r="X206" s="28" t="s">
        <v>939</v>
      </c>
      <c r="Y206" s="28" t="s">
        <v>939</v>
      </c>
      <c r="Z206" s="28" t="s">
        <v>939</v>
      </c>
      <c r="AA206" s="28" t="s">
        <v>939</v>
      </c>
      <c r="AB206" s="28"/>
      <c r="AC206" s="28"/>
      <c r="AD206" s="28"/>
      <c r="AE206" s="28"/>
      <c r="AF206" s="28"/>
      <c r="AG206" s="28"/>
      <c r="AH206" s="28"/>
      <c r="AI206" s="8"/>
      <c r="AJ206" s="28"/>
      <c r="AK206" s="8"/>
      <c r="AL206" s="8"/>
      <c r="AM206" s="8"/>
      <c r="AN206" s="28"/>
      <c r="AO206" s="8"/>
      <c r="AP206" s="8"/>
      <c r="AQ206" s="28"/>
      <c r="AR206" s="28"/>
      <c r="AS206" s="28"/>
    </row>
    <row r="207" spans="1:45" ht="15.75" thickBot="1" x14ac:dyDescent="0.3">
      <c r="A207" t="s">
        <v>310</v>
      </c>
      <c r="C207" s="46" t="s">
        <v>545</v>
      </c>
      <c r="D207" t="s">
        <v>546</v>
      </c>
      <c r="E207" t="s">
        <v>19</v>
      </c>
      <c r="F207" t="s">
        <v>945</v>
      </c>
      <c r="G207"/>
      <c r="H207" t="s">
        <v>547</v>
      </c>
      <c r="I207" s="16">
        <v>-348181990000</v>
      </c>
      <c r="J207" s="16">
        <v>-583002490000</v>
      </c>
      <c r="K207" s="16" t="s">
        <v>1150</v>
      </c>
      <c r="L207" s="17">
        <f t="shared" si="15"/>
        <v>26</v>
      </c>
      <c r="M207" s="17">
        <f t="shared" si="16"/>
        <v>2</v>
      </c>
      <c r="N207" s="18">
        <f t="shared" si="17"/>
        <v>0.9285714285714286</v>
      </c>
      <c r="O207" s="28"/>
      <c r="P207" s="8" t="s">
        <v>939</v>
      </c>
      <c r="Q207" s="8" t="s">
        <v>939</v>
      </c>
      <c r="R207" s="8"/>
      <c r="S207" s="28"/>
      <c r="T207" s="28"/>
      <c r="U207" s="8"/>
      <c r="V207" s="8"/>
      <c r="W207" s="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8"/>
      <c r="AJ207" s="8"/>
      <c r="AK207" s="8"/>
      <c r="AL207" s="8"/>
      <c r="AM207" s="8"/>
      <c r="AN207" s="28"/>
      <c r="AO207" s="8"/>
      <c r="AP207" s="8"/>
      <c r="AQ207" s="28"/>
      <c r="AR207" s="28"/>
      <c r="AS207" s="28"/>
    </row>
    <row r="208" spans="1:45" ht="15.75" thickBot="1" x14ac:dyDescent="0.3">
      <c r="A208" t="s">
        <v>310</v>
      </c>
      <c r="C208" s="46" t="s">
        <v>548</v>
      </c>
      <c r="D208" t="s">
        <v>546</v>
      </c>
      <c r="E208" t="s">
        <v>113</v>
      </c>
      <c r="F208" t="s">
        <v>945</v>
      </c>
      <c r="G208"/>
      <c r="H208" t="s">
        <v>547</v>
      </c>
      <c r="I208" s="16">
        <v>-348181940000</v>
      </c>
      <c r="J208" s="16">
        <v>-583002740000</v>
      </c>
      <c r="K208" s="16" t="s">
        <v>1151</v>
      </c>
      <c r="L208" s="17">
        <f t="shared" si="15"/>
        <v>26</v>
      </c>
      <c r="M208" s="17">
        <f t="shared" si="16"/>
        <v>2</v>
      </c>
      <c r="N208" s="18">
        <f t="shared" si="17"/>
        <v>0.9285714285714286</v>
      </c>
      <c r="O208" s="28"/>
      <c r="P208" s="8" t="s">
        <v>939</v>
      </c>
      <c r="Q208" s="8" t="s">
        <v>939</v>
      </c>
      <c r="R208" s="8"/>
      <c r="S208" s="28"/>
      <c r="T208" s="28"/>
      <c r="U208" s="8"/>
      <c r="V208" s="8"/>
      <c r="W208" s="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8"/>
      <c r="AJ208" s="8"/>
      <c r="AK208" s="8"/>
      <c r="AL208" s="8"/>
      <c r="AM208" s="8"/>
      <c r="AN208" s="28"/>
      <c r="AO208" s="8"/>
      <c r="AP208" s="8"/>
      <c r="AQ208" s="28"/>
      <c r="AR208" s="28"/>
      <c r="AS208" s="28"/>
    </row>
    <row r="209" spans="1:45" ht="15.75" thickBot="1" x14ac:dyDescent="0.3">
      <c r="A209" t="s">
        <v>549</v>
      </c>
      <c r="C209" s="46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1157</v>
      </c>
      <c r="L209" s="17">
        <f t="shared" si="15"/>
        <v>28</v>
      </c>
      <c r="M209" s="17">
        <f t="shared" si="16"/>
        <v>0</v>
      </c>
      <c r="N209" s="18">
        <f t="shared" si="17"/>
        <v>1</v>
      </c>
      <c r="O209" s="28"/>
      <c r="P209" s="8"/>
      <c r="Q209" s="8"/>
      <c r="R209" s="8"/>
      <c r="S209" s="28"/>
      <c r="T209" s="28"/>
      <c r="U209" s="8"/>
      <c r="V209" s="8"/>
      <c r="W209" s="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8"/>
      <c r="AJ209" s="8"/>
      <c r="AK209" s="8"/>
      <c r="AL209" s="8"/>
      <c r="AM209" s="8"/>
      <c r="AN209" s="28"/>
      <c r="AO209" s="8"/>
      <c r="AP209" s="8"/>
      <c r="AQ209" s="28"/>
      <c r="AR209" s="28"/>
      <c r="AS209" s="28"/>
    </row>
    <row r="210" spans="1:45" ht="15.75" thickBot="1" x14ac:dyDescent="0.3">
      <c r="A210" t="s">
        <v>549</v>
      </c>
      <c r="C210" s="46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1158</v>
      </c>
      <c r="L210" s="17">
        <f t="shared" si="15"/>
        <v>28</v>
      </c>
      <c r="M210" s="17">
        <f t="shared" si="16"/>
        <v>0</v>
      </c>
      <c r="N210" s="18">
        <f t="shared" si="17"/>
        <v>1</v>
      </c>
      <c r="O210" s="28"/>
      <c r="P210" s="8"/>
      <c r="Q210" s="8"/>
      <c r="R210" s="8"/>
      <c r="S210" s="28"/>
      <c r="T210" s="28"/>
      <c r="U210" s="8"/>
      <c r="V210" s="8"/>
      <c r="W210" s="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8"/>
      <c r="AJ210" s="8"/>
      <c r="AK210" s="8"/>
      <c r="AL210" s="8"/>
      <c r="AM210" s="8"/>
      <c r="AN210" s="28"/>
      <c r="AO210" s="8"/>
      <c r="AP210" s="8"/>
      <c r="AQ210" s="28"/>
      <c r="AR210" s="28"/>
      <c r="AS210" s="28"/>
    </row>
    <row r="211" spans="1:45" ht="15.75" thickBot="1" x14ac:dyDescent="0.3">
      <c r="A211" t="s">
        <v>538</v>
      </c>
      <c r="C211" s="46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1153</v>
      </c>
      <c r="L211" s="17">
        <f t="shared" si="15"/>
        <v>28</v>
      </c>
      <c r="M211" s="17">
        <f t="shared" si="16"/>
        <v>0</v>
      </c>
      <c r="N211" s="18">
        <f t="shared" si="17"/>
        <v>1</v>
      </c>
      <c r="O211" s="28"/>
      <c r="P211" s="8"/>
      <c r="Q211" s="8"/>
      <c r="R211" s="8"/>
      <c r="S211" s="28"/>
      <c r="T211" s="28"/>
      <c r="U211" s="8"/>
      <c r="V211" s="8"/>
      <c r="W211" s="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8"/>
      <c r="AJ211" s="8"/>
      <c r="AK211" s="8"/>
      <c r="AL211" s="8"/>
      <c r="AM211" s="8"/>
      <c r="AN211" s="28"/>
      <c r="AO211" s="8"/>
      <c r="AP211" s="8"/>
      <c r="AQ211" s="28"/>
      <c r="AR211" s="28"/>
      <c r="AS211" s="28"/>
    </row>
    <row r="212" spans="1:45" ht="15.75" thickBot="1" x14ac:dyDescent="0.3">
      <c r="A212" t="s">
        <v>538</v>
      </c>
      <c r="C212" s="46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1152</v>
      </c>
      <c r="L212" s="17">
        <f t="shared" si="15"/>
        <v>28</v>
      </c>
      <c r="M212" s="17">
        <f t="shared" si="16"/>
        <v>0</v>
      </c>
      <c r="N212" s="18">
        <f t="shared" si="17"/>
        <v>1</v>
      </c>
      <c r="O212" s="28"/>
      <c r="P212" s="8"/>
      <c r="Q212" s="8"/>
      <c r="R212" s="8"/>
      <c r="S212" s="28"/>
      <c r="T212" s="28"/>
      <c r="U212" s="8"/>
      <c r="V212" s="8"/>
      <c r="W212" s="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8"/>
      <c r="AJ212" s="8"/>
      <c r="AK212" s="8"/>
      <c r="AL212" s="8"/>
      <c r="AM212" s="8"/>
      <c r="AN212" s="28"/>
      <c r="AO212" s="8"/>
      <c r="AP212" s="8"/>
      <c r="AQ212" s="28"/>
      <c r="AR212" s="28"/>
      <c r="AS212" s="28"/>
    </row>
    <row r="213" spans="1:45" ht="15.75" thickBot="1" x14ac:dyDescent="0.3">
      <c r="A213" t="s">
        <v>445</v>
      </c>
      <c r="C213" s="46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1147</v>
      </c>
      <c r="L213" s="17">
        <f t="shared" si="15"/>
        <v>28</v>
      </c>
      <c r="M213" s="17">
        <f t="shared" si="16"/>
        <v>0</v>
      </c>
      <c r="N213" s="18">
        <f t="shared" si="17"/>
        <v>1</v>
      </c>
      <c r="O213" s="28"/>
      <c r="P213" s="8"/>
      <c r="Q213" s="8"/>
      <c r="R213" s="8"/>
      <c r="S213" s="28"/>
      <c r="T213" s="28"/>
      <c r="U213" s="8"/>
      <c r="V213" s="8"/>
      <c r="W213" s="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8"/>
      <c r="AJ213" s="8"/>
      <c r="AK213" s="8"/>
      <c r="AL213" s="8"/>
      <c r="AM213" s="8"/>
      <c r="AN213" s="28"/>
      <c r="AO213" s="8"/>
      <c r="AP213" s="8"/>
      <c r="AQ213" s="28"/>
      <c r="AR213" s="28"/>
      <c r="AS213" s="28"/>
    </row>
    <row r="214" spans="1:45" ht="15.75" thickBot="1" x14ac:dyDescent="0.3">
      <c r="A214" t="s">
        <v>557</v>
      </c>
      <c r="C214" s="46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1159</v>
      </c>
      <c r="L214" s="17">
        <f t="shared" si="15"/>
        <v>28</v>
      </c>
      <c r="M214" s="17">
        <f t="shared" si="16"/>
        <v>0</v>
      </c>
      <c r="N214" s="18">
        <f t="shared" si="17"/>
        <v>1</v>
      </c>
      <c r="O214" s="28"/>
      <c r="P214" s="8"/>
      <c r="Q214" s="8"/>
      <c r="R214" s="8"/>
      <c r="S214" s="28"/>
      <c r="T214" s="28"/>
      <c r="U214" s="8"/>
      <c r="V214" s="8"/>
      <c r="W214" s="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8"/>
      <c r="AJ214" s="8"/>
      <c r="AK214" s="8"/>
      <c r="AL214" s="8"/>
      <c r="AM214" s="8"/>
      <c r="AN214" s="28"/>
      <c r="AO214" s="8"/>
      <c r="AP214" s="8"/>
      <c r="AQ214" s="28"/>
      <c r="AR214" s="28"/>
      <c r="AS214" s="28"/>
    </row>
    <row r="215" spans="1:45" ht="15.75" thickBot="1" x14ac:dyDescent="0.3">
      <c r="A215" t="s">
        <v>557</v>
      </c>
      <c r="C215" s="46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1160</v>
      </c>
      <c r="L215" s="17">
        <f t="shared" si="15"/>
        <v>28</v>
      </c>
      <c r="M215" s="17">
        <f t="shared" si="16"/>
        <v>0</v>
      </c>
      <c r="N215" s="18">
        <f t="shared" si="17"/>
        <v>1</v>
      </c>
      <c r="O215" s="28"/>
      <c r="P215" s="8"/>
      <c r="Q215" s="8"/>
      <c r="R215" s="8"/>
      <c r="S215" s="28"/>
      <c r="T215" s="28"/>
      <c r="U215" s="8"/>
      <c r="V215" s="8"/>
      <c r="W215" s="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8"/>
      <c r="AJ215" s="8"/>
      <c r="AK215" s="8"/>
      <c r="AL215" s="8"/>
      <c r="AM215" s="8"/>
      <c r="AN215" s="28"/>
      <c r="AO215" s="8"/>
      <c r="AP215" s="8"/>
      <c r="AQ215" s="28"/>
      <c r="AR215" s="28"/>
      <c r="AS215" s="28"/>
    </row>
    <row r="216" spans="1:45" ht="15.75" thickBot="1" x14ac:dyDescent="0.3">
      <c r="A216" t="s">
        <v>557</v>
      </c>
      <c r="C216" s="46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1161</v>
      </c>
      <c r="L216" s="17">
        <f t="shared" si="15"/>
        <v>28</v>
      </c>
      <c r="M216" s="17">
        <f t="shared" si="16"/>
        <v>0</v>
      </c>
      <c r="N216" s="18">
        <f t="shared" si="17"/>
        <v>1</v>
      </c>
      <c r="O216" s="28"/>
      <c r="P216" s="8"/>
      <c r="Q216" s="8"/>
      <c r="R216" s="8"/>
      <c r="S216" s="28"/>
      <c r="T216" s="28"/>
      <c r="U216" s="8"/>
      <c r="V216" s="8"/>
      <c r="W216" s="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8"/>
      <c r="AJ216" s="8"/>
      <c r="AK216" s="8"/>
      <c r="AL216" s="8"/>
      <c r="AM216" s="8"/>
      <c r="AN216" s="28"/>
      <c r="AO216" s="8"/>
      <c r="AP216" s="8"/>
      <c r="AQ216" s="28"/>
      <c r="AR216" s="28"/>
      <c r="AS216" s="28"/>
    </row>
    <row r="217" spans="1:45" ht="15.75" thickBot="1" x14ac:dyDescent="0.3">
      <c r="A217" t="s">
        <v>557</v>
      </c>
      <c r="C217" s="46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1162</v>
      </c>
      <c r="L217" s="17">
        <f t="shared" si="15"/>
        <v>28</v>
      </c>
      <c r="M217" s="17">
        <f t="shared" si="16"/>
        <v>0</v>
      </c>
      <c r="N217" s="18">
        <f t="shared" si="17"/>
        <v>1</v>
      </c>
      <c r="O217" s="28"/>
      <c r="P217" s="8"/>
      <c r="Q217" s="8"/>
      <c r="R217" s="8"/>
      <c r="S217" s="28"/>
      <c r="T217" s="28"/>
      <c r="U217" s="8"/>
      <c r="V217" s="8"/>
      <c r="W217" s="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8"/>
      <c r="AJ217" s="8"/>
      <c r="AK217" s="8"/>
      <c r="AL217" s="8"/>
      <c r="AM217" s="8"/>
      <c r="AN217" s="28"/>
      <c r="AO217" s="8"/>
      <c r="AP217" s="8"/>
      <c r="AQ217" s="28"/>
      <c r="AR217" s="28"/>
      <c r="AS217" s="28"/>
    </row>
    <row r="218" spans="1:45" ht="15.75" thickBot="1" x14ac:dyDescent="0.3">
      <c r="A218" t="s">
        <v>557</v>
      </c>
      <c r="C218" s="46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1163</v>
      </c>
      <c r="L218" s="17">
        <f t="shared" si="15"/>
        <v>28</v>
      </c>
      <c r="M218" s="17">
        <f t="shared" si="16"/>
        <v>0</v>
      </c>
      <c r="N218" s="18">
        <f t="shared" si="17"/>
        <v>1</v>
      </c>
      <c r="O218" s="28"/>
      <c r="P218" s="8"/>
      <c r="Q218" s="8"/>
      <c r="R218" s="8"/>
      <c r="S218" s="28"/>
      <c r="T218" s="28"/>
      <c r="U218" s="8"/>
      <c r="V218" s="8"/>
      <c r="W218" s="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8"/>
      <c r="AJ218" s="8"/>
      <c r="AK218" s="8"/>
      <c r="AL218" s="8"/>
      <c r="AM218" s="8"/>
      <c r="AN218" s="28"/>
      <c r="AO218" s="8"/>
      <c r="AP218" s="8"/>
      <c r="AQ218" s="28"/>
      <c r="AR218" s="28"/>
      <c r="AS218" s="28"/>
    </row>
    <row r="219" spans="1:45" ht="15.75" thickBot="1" x14ac:dyDescent="0.3">
      <c r="A219" t="s">
        <v>557</v>
      </c>
      <c r="C219" s="46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1164</v>
      </c>
      <c r="L219" s="17">
        <f t="shared" si="15"/>
        <v>28</v>
      </c>
      <c r="M219" s="17">
        <f t="shared" si="16"/>
        <v>0</v>
      </c>
      <c r="N219" s="18">
        <f t="shared" si="17"/>
        <v>1</v>
      </c>
      <c r="O219" s="28"/>
      <c r="P219" s="8"/>
      <c r="Q219" s="8"/>
      <c r="R219" s="8"/>
      <c r="S219" s="28"/>
      <c r="T219" s="28"/>
      <c r="U219" s="8"/>
      <c r="V219" s="8"/>
      <c r="W219" s="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8"/>
      <c r="AJ219" s="8"/>
      <c r="AK219" s="8"/>
      <c r="AL219" s="8"/>
      <c r="AM219" s="8"/>
      <c r="AN219" s="28"/>
      <c r="AO219" s="8"/>
      <c r="AP219" s="8"/>
      <c r="AQ219" s="28"/>
      <c r="AR219" s="28"/>
      <c r="AS219" s="28"/>
    </row>
    <row r="220" spans="1:45" ht="15.75" thickBot="1" x14ac:dyDescent="0.3">
      <c r="A220" t="s">
        <v>571</v>
      </c>
      <c r="C220" s="46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1165</v>
      </c>
      <c r="L220" s="17">
        <f t="shared" si="15"/>
        <v>28</v>
      </c>
      <c r="M220" s="17">
        <f t="shared" si="16"/>
        <v>0</v>
      </c>
      <c r="N220" s="18">
        <f t="shared" si="17"/>
        <v>1</v>
      </c>
      <c r="O220" s="28"/>
      <c r="P220" s="8"/>
      <c r="Q220" s="8"/>
      <c r="R220" s="8"/>
      <c r="S220" s="28"/>
      <c r="T220" s="28"/>
      <c r="U220" s="8"/>
      <c r="V220" s="8"/>
      <c r="W220" s="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8"/>
      <c r="AJ220" s="8"/>
      <c r="AK220" s="8"/>
      <c r="AL220" s="8"/>
      <c r="AM220" s="8"/>
      <c r="AN220" s="28"/>
      <c r="AO220" s="8"/>
      <c r="AP220" s="8"/>
      <c r="AQ220" s="28"/>
      <c r="AR220" s="28"/>
      <c r="AS220" s="28"/>
    </row>
    <row r="221" spans="1:45" ht="15.75" thickBot="1" x14ac:dyDescent="0.3">
      <c r="A221" t="s">
        <v>571</v>
      </c>
      <c r="C221" s="46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1168</v>
      </c>
      <c r="L221" s="17">
        <f t="shared" si="15"/>
        <v>28</v>
      </c>
      <c r="M221" s="17">
        <f t="shared" si="16"/>
        <v>0</v>
      </c>
      <c r="N221" s="18">
        <f t="shared" si="17"/>
        <v>1</v>
      </c>
      <c r="O221" s="28"/>
      <c r="P221" s="8"/>
      <c r="Q221" s="8"/>
      <c r="R221" s="8"/>
      <c r="S221" s="28"/>
      <c r="T221" s="28"/>
      <c r="U221" s="8"/>
      <c r="V221" s="8"/>
      <c r="W221" s="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8"/>
      <c r="AJ221" s="8"/>
      <c r="AK221" s="8"/>
      <c r="AL221" s="8"/>
      <c r="AM221" s="8"/>
      <c r="AN221" s="28"/>
      <c r="AO221" s="8"/>
      <c r="AP221" s="8"/>
      <c r="AQ221" s="28"/>
      <c r="AR221" s="28"/>
      <c r="AS221" s="28"/>
    </row>
    <row r="222" spans="1:45" ht="15.75" thickBot="1" x14ac:dyDescent="0.3">
      <c r="A222" t="s">
        <v>571</v>
      </c>
      <c r="C222" s="46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1166</v>
      </c>
      <c r="L222" s="17">
        <f t="shared" si="15"/>
        <v>28</v>
      </c>
      <c r="M222" s="17">
        <f t="shared" si="16"/>
        <v>0</v>
      </c>
      <c r="N222" s="18">
        <f t="shared" si="17"/>
        <v>1</v>
      </c>
      <c r="O222" s="28"/>
      <c r="P222" s="8"/>
      <c r="Q222" s="8"/>
      <c r="R222" s="8"/>
      <c r="S222" s="28"/>
      <c r="T222" s="28"/>
      <c r="U222" s="8"/>
      <c r="V222" s="8"/>
      <c r="W222" s="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8"/>
      <c r="AJ222" s="8"/>
      <c r="AK222" s="8"/>
      <c r="AL222" s="8"/>
      <c r="AM222" s="8"/>
      <c r="AN222" s="28"/>
      <c r="AO222" s="8"/>
      <c r="AP222" s="8"/>
      <c r="AQ222" s="28"/>
      <c r="AR222" s="28"/>
      <c r="AS222" s="28"/>
    </row>
    <row r="223" spans="1:45" ht="15.75" thickBot="1" x14ac:dyDescent="0.3">
      <c r="A223" t="s">
        <v>571</v>
      </c>
      <c r="C223" s="46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1167</v>
      </c>
      <c r="L223" s="17">
        <f t="shared" si="15"/>
        <v>28</v>
      </c>
      <c r="M223" s="17">
        <f t="shared" si="16"/>
        <v>0</v>
      </c>
      <c r="N223" s="18">
        <f t="shared" si="17"/>
        <v>1</v>
      </c>
      <c r="O223" s="28"/>
      <c r="P223" s="8"/>
      <c r="Q223" s="8"/>
      <c r="R223" s="8"/>
      <c r="S223" s="28"/>
      <c r="T223" s="28"/>
      <c r="U223" s="8"/>
      <c r="V223" s="8"/>
      <c r="W223" s="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8"/>
      <c r="AJ223" s="8"/>
      <c r="AK223" s="8"/>
      <c r="AL223" s="8"/>
      <c r="AM223" s="8"/>
      <c r="AN223" s="28"/>
      <c r="AO223" s="8"/>
      <c r="AP223" s="8"/>
      <c r="AQ223" s="28"/>
      <c r="AR223" s="28"/>
      <c r="AS223" s="28"/>
    </row>
    <row r="224" spans="1:45" ht="15.75" thickBot="1" x14ac:dyDescent="0.3">
      <c r="A224" t="s">
        <v>571</v>
      </c>
      <c r="B224" s="60">
        <v>44629</v>
      </c>
      <c r="C224" s="62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1169</v>
      </c>
      <c r="L224" s="17">
        <f t="shared" si="15"/>
        <v>17</v>
      </c>
      <c r="M224" s="17">
        <f t="shared" si="16"/>
        <v>11</v>
      </c>
      <c r="N224" s="18">
        <f t="shared" si="17"/>
        <v>0.6071428571428571</v>
      </c>
      <c r="O224" s="28" t="s">
        <v>939</v>
      </c>
      <c r="P224" s="8" t="s">
        <v>939</v>
      </c>
      <c r="Q224" s="8" t="s">
        <v>939</v>
      </c>
      <c r="R224" s="8" t="s">
        <v>939</v>
      </c>
      <c r="S224" s="28" t="s">
        <v>939</v>
      </c>
      <c r="T224" s="28" t="s">
        <v>939</v>
      </c>
      <c r="U224" s="8" t="s">
        <v>939</v>
      </c>
      <c r="V224" s="8" t="s">
        <v>939</v>
      </c>
      <c r="W224" s="8" t="s">
        <v>939</v>
      </c>
      <c r="X224" s="28" t="s">
        <v>939</v>
      </c>
      <c r="Y224" s="28" t="s">
        <v>939</v>
      </c>
      <c r="Z224" s="28"/>
      <c r="AA224" s="28"/>
      <c r="AB224" s="28"/>
      <c r="AC224" s="28"/>
      <c r="AD224" s="28"/>
      <c r="AE224" s="28"/>
      <c r="AF224" s="28"/>
      <c r="AG224" s="28"/>
      <c r="AH224" s="28"/>
      <c r="AI224" s="8"/>
      <c r="AJ224" s="28"/>
      <c r="AK224" s="8"/>
      <c r="AL224" s="8"/>
      <c r="AM224" s="8"/>
      <c r="AN224" s="28"/>
      <c r="AO224" s="8"/>
      <c r="AP224" s="8"/>
      <c r="AQ224" s="28"/>
      <c r="AR224" s="28"/>
      <c r="AS224" s="28"/>
    </row>
    <row r="225" spans="1:45" ht="15.75" thickBot="1" x14ac:dyDescent="0.3">
      <c r="A225" t="s">
        <v>412</v>
      </c>
      <c r="C225" s="46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1170</v>
      </c>
      <c r="L225" s="17">
        <f t="shared" si="15"/>
        <v>26</v>
      </c>
      <c r="M225" s="17">
        <f t="shared" si="16"/>
        <v>2</v>
      </c>
      <c r="N225" s="18">
        <f t="shared" si="17"/>
        <v>0.9285714285714286</v>
      </c>
      <c r="O225" s="28"/>
      <c r="P225" s="8"/>
      <c r="Q225" s="8"/>
      <c r="R225" s="8"/>
      <c r="S225" s="28"/>
      <c r="T225" s="28"/>
      <c r="U225" s="8"/>
      <c r="V225" s="8"/>
      <c r="W225" s="8"/>
      <c r="X225" s="28"/>
      <c r="Y225" s="28"/>
      <c r="Z225" s="28" t="s">
        <v>939</v>
      </c>
      <c r="AA225" s="28" t="s">
        <v>939</v>
      </c>
      <c r="AB225" s="28"/>
      <c r="AC225" s="28"/>
      <c r="AD225" s="28"/>
      <c r="AE225" s="28"/>
      <c r="AF225" s="28"/>
      <c r="AG225" s="28"/>
      <c r="AH225" s="28"/>
      <c r="AI225" s="8"/>
      <c r="AJ225" s="8"/>
      <c r="AK225" s="8"/>
      <c r="AL225" s="8"/>
      <c r="AM225" s="8"/>
      <c r="AN225" s="28"/>
      <c r="AO225" s="8"/>
      <c r="AP225" s="8"/>
      <c r="AQ225" s="28"/>
      <c r="AR225" s="28"/>
      <c r="AS225" s="28"/>
    </row>
    <row r="226" spans="1:45" ht="15.75" thickBot="1" x14ac:dyDescent="0.3">
      <c r="A226" t="s">
        <v>586</v>
      </c>
      <c r="C226" s="46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1171</v>
      </c>
      <c r="L226" s="17">
        <f t="shared" si="15"/>
        <v>28</v>
      </c>
      <c r="M226" s="17">
        <f t="shared" si="16"/>
        <v>0</v>
      </c>
      <c r="N226" s="18">
        <f t="shared" si="17"/>
        <v>1</v>
      </c>
      <c r="O226" s="28"/>
      <c r="P226" s="8"/>
      <c r="Q226" s="8"/>
      <c r="R226" s="8"/>
      <c r="S226" s="28"/>
      <c r="T226" s="28"/>
      <c r="U226" s="8"/>
      <c r="V226" s="8"/>
      <c r="W226" s="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8"/>
      <c r="AJ226" s="8"/>
      <c r="AK226" s="8"/>
      <c r="AL226" s="8"/>
      <c r="AM226" s="8"/>
      <c r="AN226" s="28"/>
      <c r="AO226" s="8"/>
      <c r="AP226" s="8"/>
      <c r="AQ226" s="28"/>
      <c r="AR226" s="28"/>
      <c r="AS226" s="28"/>
    </row>
    <row r="227" spans="1:45" ht="15.75" thickBot="1" x14ac:dyDescent="0.3">
      <c r="A227" t="s">
        <v>586</v>
      </c>
      <c r="C227" s="46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1172</v>
      </c>
      <c r="L227" s="17">
        <f t="shared" si="15"/>
        <v>28</v>
      </c>
      <c r="M227" s="17">
        <f t="shared" si="16"/>
        <v>0</v>
      </c>
      <c r="N227" s="18">
        <f t="shared" si="17"/>
        <v>1</v>
      </c>
      <c r="O227" s="28"/>
      <c r="P227" s="8"/>
      <c r="Q227" s="8"/>
      <c r="R227" s="8"/>
      <c r="S227" s="28"/>
      <c r="T227" s="28"/>
      <c r="U227" s="8"/>
      <c r="V227" s="8"/>
      <c r="W227" s="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8"/>
      <c r="AJ227" s="8"/>
      <c r="AK227" s="8"/>
      <c r="AL227" s="8"/>
      <c r="AM227" s="8"/>
      <c r="AN227" s="28"/>
      <c r="AO227" s="8"/>
      <c r="AP227" s="8"/>
      <c r="AQ227" s="28"/>
      <c r="AR227" s="28"/>
      <c r="AS227" s="28"/>
    </row>
    <row r="228" spans="1:45" ht="15.75" thickBot="1" x14ac:dyDescent="0.3">
      <c r="A228" t="s">
        <v>593</v>
      </c>
      <c r="C228" s="46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1173</v>
      </c>
      <c r="L228" s="17">
        <f t="shared" si="15"/>
        <v>28</v>
      </c>
      <c r="M228" s="17">
        <f t="shared" si="16"/>
        <v>0</v>
      </c>
      <c r="N228" s="18">
        <f t="shared" si="17"/>
        <v>1</v>
      </c>
      <c r="O228" s="28"/>
      <c r="P228" s="8"/>
      <c r="Q228" s="8"/>
      <c r="R228" s="8"/>
      <c r="S228" s="28"/>
      <c r="T228" s="28"/>
      <c r="U228" s="8"/>
      <c r="V228" s="8"/>
      <c r="W228" s="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8"/>
      <c r="AJ228" s="8"/>
      <c r="AK228" s="8"/>
      <c r="AL228" s="8"/>
      <c r="AM228" s="8"/>
      <c r="AN228" s="28"/>
      <c r="AO228" s="8"/>
      <c r="AP228" s="8"/>
      <c r="AQ228" s="28"/>
      <c r="AR228" s="28"/>
      <c r="AS228" s="28"/>
    </row>
    <row r="229" spans="1:45" ht="15.75" thickBot="1" x14ac:dyDescent="0.3">
      <c r="A229" t="s">
        <v>456</v>
      </c>
      <c r="C229" s="46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1176</v>
      </c>
      <c r="L229" s="17">
        <f t="shared" si="15"/>
        <v>28</v>
      </c>
      <c r="M229" s="17">
        <f t="shared" si="16"/>
        <v>0</v>
      </c>
      <c r="N229" s="18">
        <f t="shared" si="17"/>
        <v>1</v>
      </c>
      <c r="O229" s="28"/>
      <c r="P229" s="8"/>
      <c r="Q229" s="8"/>
      <c r="R229" s="8"/>
      <c r="S229" s="28"/>
      <c r="T229" s="28"/>
      <c r="U229" s="8"/>
      <c r="V229" s="8"/>
      <c r="W229" s="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8"/>
      <c r="AJ229" s="8"/>
      <c r="AK229" s="8"/>
      <c r="AL229" s="8"/>
      <c r="AM229" s="8"/>
      <c r="AN229" s="28"/>
      <c r="AO229" s="8"/>
      <c r="AP229" s="8"/>
      <c r="AQ229" s="28"/>
      <c r="AR229" s="28"/>
      <c r="AS229" s="28"/>
    </row>
    <row r="230" spans="1:45" ht="15.75" thickBot="1" x14ac:dyDescent="0.3">
      <c r="A230" t="s">
        <v>456</v>
      </c>
      <c r="C230" s="46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1177</v>
      </c>
      <c r="L230" s="17">
        <f t="shared" si="15"/>
        <v>27</v>
      </c>
      <c r="M230" s="17">
        <f t="shared" si="16"/>
        <v>1</v>
      </c>
      <c r="N230" s="18">
        <f t="shared" si="17"/>
        <v>0.9642857142857143</v>
      </c>
      <c r="O230" s="28" t="s">
        <v>939</v>
      </c>
      <c r="P230" s="8"/>
      <c r="Q230" s="8"/>
      <c r="R230" s="8"/>
      <c r="S230" s="28"/>
      <c r="T230" s="28"/>
      <c r="U230" s="8"/>
      <c r="V230" s="8"/>
      <c r="W230" s="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8"/>
      <c r="AJ230" s="28"/>
      <c r="AK230" s="8"/>
      <c r="AL230" s="8"/>
      <c r="AM230" s="8"/>
      <c r="AN230" s="28"/>
      <c r="AO230" s="8"/>
      <c r="AP230" s="8"/>
      <c r="AQ230" s="28"/>
      <c r="AR230" s="28"/>
      <c r="AS230" s="28"/>
    </row>
    <row r="231" spans="1:45" ht="15.75" thickBot="1" x14ac:dyDescent="0.3">
      <c r="A231" t="s">
        <v>456</v>
      </c>
      <c r="C231" s="46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1174</v>
      </c>
      <c r="L231" s="17">
        <f t="shared" si="15"/>
        <v>28</v>
      </c>
      <c r="M231" s="17">
        <f t="shared" si="16"/>
        <v>0</v>
      </c>
      <c r="N231" s="18">
        <f t="shared" si="17"/>
        <v>1</v>
      </c>
      <c r="O231" s="28"/>
      <c r="P231" s="8"/>
      <c r="Q231" s="8"/>
      <c r="R231" s="8"/>
      <c r="S231" s="28"/>
      <c r="T231" s="28"/>
      <c r="U231" s="8"/>
      <c r="V231" s="8"/>
      <c r="W231" s="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8"/>
      <c r="AJ231" s="8"/>
      <c r="AK231" s="8"/>
      <c r="AL231" s="8"/>
      <c r="AM231" s="8"/>
      <c r="AN231" s="28"/>
      <c r="AO231" s="8"/>
      <c r="AP231" s="8"/>
      <c r="AQ231" s="28"/>
      <c r="AR231" s="28"/>
      <c r="AS231" s="28"/>
    </row>
    <row r="232" spans="1:45" ht="15.75" thickBot="1" x14ac:dyDescent="0.3">
      <c r="A232" t="s">
        <v>456</v>
      </c>
      <c r="C232" s="46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1175</v>
      </c>
      <c r="L232" s="17">
        <f t="shared" si="15"/>
        <v>28</v>
      </c>
      <c r="M232" s="17">
        <f t="shared" si="16"/>
        <v>0</v>
      </c>
      <c r="N232" s="18">
        <f t="shared" si="17"/>
        <v>1</v>
      </c>
      <c r="O232" s="28"/>
      <c r="P232" s="8"/>
      <c r="Q232" s="8"/>
      <c r="R232" s="8"/>
      <c r="S232" s="28"/>
      <c r="T232" s="28"/>
      <c r="U232" s="8"/>
      <c r="V232" s="8"/>
      <c r="W232" s="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8"/>
      <c r="AJ232" s="8"/>
      <c r="AK232" s="8"/>
      <c r="AL232" s="8"/>
      <c r="AM232" s="8"/>
      <c r="AN232" s="28"/>
      <c r="AO232" s="8"/>
      <c r="AP232" s="8"/>
      <c r="AQ232" s="28"/>
      <c r="AR232" s="28"/>
      <c r="AS232" s="28"/>
    </row>
    <row r="233" spans="1:45" ht="15.75" thickBot="1" x14ac:dyDescent="0.3">
      <c r="A233" t="s">
        <v>586</v>
      </c>
      <c r="C233" s="46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1179</v>
      </c>
      <c r="L233" s="17">
        <f t="shared" si="15"/>
        <v>27</v>
      </c>
      <c r="M233" s="17">
        <f t="shared" si="16"/>
        <v>1</v>
      </c>
      <c r="N233" s="18">
        <f t="shared" si="17"/>
        <v>0.9642857142857143</v>
      </c>
      <c r="O233" s="28"/>
      <c r="P233" s="8"/>
      <c r="Q233" s="8" t="s">
        <v>939</v>
      </c>
      <c r="R233" s="8"/>
      <c r="S233" s="28"/>
      <c r="T233" s="28"/>
      <c r="U233" s="8"/>
      <c r="V233" s="8"/>
      <c r="W233" s="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8"/>
      <c r="AJ233" s="8"/>
      <c r="AK233" s="8"/>
      <c r="AL233" s="8"/>
      <c r="AM233" s="8"/>
      <c r="AN233" s="28"/>
      <c r="AO233" s="8"/>
      <c r="AP233" s="8"/>
      <c r="AQ233" s="28"/>
      <c r="AR233" s="28"/>
      <c r="AS233" s="28"/>
    </row>
    <row r="234" spans="1:45" ht="15.75" thickBot="1" x14ac:dyDescent="0.3">
      <c r="C234" s="46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1180</v>
      </c>
      <c r="L234" s="17">
        <f t="shared" si="15"/>
        <v>28</v>
      </c>
      <c r="M234" s="17">
        <f t="shared" si="16"/>
        <v>0</v>
      </c>
      <c r="N234" s="18">
        <f t="shared" si="17"/>
        <v>1</v>
      </c>
      <c r="O234" s="28"/>
      <c r="P234" s="8"/>
      <c r="Q234" s="8"/>
      <c r="R234" s="8"/>
      <c r="S234" s="28"/>
      <c r="T234" s="28"/>
      <c r="U234" s="8"/>
      <c r="V234" s="8"/>
      <c r="W234" s="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8"/>
      <c r="AJ234" s="8"/>
      <c r="AK234" s="8"/>
      <c r="AL234" s="8"/>
      <c r="AM234" s="8"/>
      <c r="AN234" s="28"/>
      <c r="AO234" s="8"/>
      <c r="AP234" s="8"/>
      <c r="AQ234" s="28"/>
      <c r="AR234" s="28"/>
      <c r="AS234" s="28"/>
    </row>
    <row r="235" spans="1:45" ht="15.75" thickBot="1" x14ac:dyDescent="0.3">
      <c r="A235" t="s">
        <v>609</v>
      </c>
      <c r="C235" s="46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1181</v>
      </c>
      <c r="L235" s="17">
        <f t="shared" si="15"/>
        <v>26</v>
      </c>
      <c r="M235" s="17">
        <f t="shared" si="16"/>
        <v>2</v>
      </c>
      <c r="N235" s="18">
        <f t="shared" si="17"/>
        <v>0.9285714285714286</v>
      </c>
      <c r="O235" s="28"/>
      <c r="P235" s="8"/>
      <c r="Q235" s="8"/>
      <c r="R235" s="8"/>
      <c r="S235" s="28"/>
      <c r="T235" s="28"/>
      <c r="U235" s="8"/>
      <c r="V235" s="8"/>
      <c r="W235" s="8"/>
      <c r="X235" s="28"/>
      <c r="Y235" s="28"/>
      <c r="Z235" s="28" t="s">
        <v>939</v>
      </c>
      <c r="AA235" s="28" t="s">
        <v>939</v>
      </c>
      <c r="AB235" s="28"/>
      <c r="AC235" s="28"/>
      <c r="AD235" s="28"/>
      <c r="AE235" s="28"/>
      <c r="AF235" s="28"/>
      <c r="AG235" s="28"/>
      <c r="AH235" s="28"/>
      <c r="AI235" s="8"/>
      <c r="AJ235" s="8"/>
      <c r="AK235" s="8"/>
      <c r="AL235" s="8"/>
      <c r="AM235" s="8"/>
      <c r="AN235" s="28"/>
      <c r="AO235" s="8"/>
      <c r="AP235" s="8"/>
      <c r="AQ235" s="28"/>
      <c r="AR235" s="28"/>
      <c r="AS235" s="28"/>
    </row>
    <row r="236" spans="1:45" ht="15.75" thickBot="1" x14ac:dyDescent="0.3">
      <c r="A236" t="s">
        <v>609</v>
      </c>
      <c r="C236" s="46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1182</v>
      </c>
      <c r="L236" s="17">
        <f t="shared" si="15"/>
        <v>26</v>
      </c>
      <c r="M236" s="17">
        <f t="shared" si="16"/>
        <v>2</v>
      </c>
      <c r="N236" s="18">
        <f t="shared" si="17"/>
        <v>0.9285714285714286</v>
      </c>
      <c r="O236" s="28"/>
      <c r="P236" s="8"/>
      <c r="Q236" s="8"/>
      <c r="R236" s="8"/>
      <c r="S236" s="28"/>
      <c r="T236" s="28"/>
      <c r="U236" s="8"/>
      <c r="V236" s="8"/>
      <c r="W236" s="8"/>
      <c r="X236" s="28"/>
      <c r="Y236" s="28"/>
      <c r="Z236" s="28" t="s">
        <v>939</v>
      </c>
      <c r="AA236" s="28" t="s">
        <v>939</v>
      </c>
      <c r="AB236" s="28"/>
      <c r="AC236" s="28"/>
      <c r="AD236" s="28"/>
      <c r="AE236" s="28"/>
      <c r="AF236" s="28"/>
      <c r="AG236" s="28"/>
      <c r="AH236" s="28"/>
      <c r="AI236" s="8"/>
      <c r="AJ236" s="8"/>
      <c r="AK236" s="8"/>
      <c r="AL236" s="8"/>
      <c r="AM236" s="8"/>
      <c r="AN236" s="28"/>
      <c r="AO236" s="8"/>
      <c r="AP236" s="8"/>
      <c r="AQ236" s="28"/>
      <c r="AR236" s="28"/>
      <c r="AS236" s="28"/>
    </row>
    <row r="237" spans="1:45" ht="15.75" thickBot="1" x14ac:dyDescent="0.3">
      <c r="A237" t="s">
        <v>609</v>
      </c>
      <c r="C237" s="46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1183</v>
      </c>
      <c r="L237" s="17">
        <f t="shared" si="15"/>
        <v>26</v>
      </c>
      <c r="M237" s="17">
        <f t="shared" si="16"/>
        <v>2</v>
      </c>
      <c r="N237" s="18">
        <f t="shared" si="17"/>
        <v>0.9285714285714286</v>
      </c>
      <c r="O237" s="28"/>
      <c r="P237" s="8"/>
      <c r="Q237" s="8"/>
      <c r="R237" s="8"/>
      <c r="S237" s="28"/>
      <c r="T237" s="28"/>
      <c r="U237" s="8"/>
      <c r="V237" s="8"/>
      <c r="W237" s="8"/>
      <c r="X237" s="28"/>
      <c r="Y237" s="28"/>
      <c r="Z237" s="28" t="s">
        <v>939</v>
      </c>
      <c r="AA237" s="28" t="s">
        <v>939</v>
      </c>
      <c r="AB237" s="28"/>
      <c r="AC237" s="28"/>
      <c r="AD237" s="28"/>
      <c r="AE237" s="28"/>
      <c r="AF237" s="28"/>
      <c r="AG237" s="28"/>
      <c r="AH237" s="28"/>
      <c r="AI237" s="8"/>
      <c r="AJ237" s="8"/>
      <c r="AK237" s="8"/>
      <c r="AL237" s="8"/>
      <c r="AM237" s="8"/>
      <c r="AN237" s="28"/>
      <c r="AO237" s="8"/>
      <c r="AP237" s="8"/>
      <c r="AQ237" s="28"/>
      <c r="AR237" s="28"/>
      <c r="AS237" s="28"/>
    </row>
    <row r="238" spans="1:45" ht="15.75" thickBot="1" x14ac:dyDescent="0.3">
      <c r="A238" t="s">
        <v>609</v>
      </c>
      <c r="C238" s="46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1178</v>
      </c>
      <c r="L238" s="17">
        <f t="shared" si="15"/>
        <v>24</v>
      </c>
      <c r="M238" s="17">
        <f t="shared" si="16"/>
        <v>4</v>
      </c>
      <c r="N238" s="18">
        <f t="shared" si="17"/>
        <v>0.8571428571428571</v>
      </c>
      <c r="O238" s="28" t="s">
        <v>939</v>
      </c>
      <c r="P238" s="8" t="s">
        <v>939</v>
      </c>
      <c r="Q238" s="8" t="s">
        <v>939</v>
      </c>
      <c r="R238" s="8" t="s">
        <v>939</v>
      </c>
      <c r="S238" s="28"/>
      <c r="T238" s="28"/>
      <c r="U238" s="8"/>
      <c r="V238" s="8"/>
      <c r="W238" s="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8"/>
      <c r="AJ238" s="28"/>
      <c r="AK238" s="8"/>
      <c r="AL238" s="8"/>
      <c r="AM238" s="8"/>
      <c r="AN238" s="28"/>
      <c r="AO238" s="8"/>
      <c r="AP238" s="8"/>
      <c r="AQ238" s="28"/>
      <c r="AR238" s="28"/>
      <c r="AS238" s="28"/>
    </row>
    <row r="239" spans="1:45" ht="15.75" thickBot="1" x14ac:dyDescent="0.3">
      <c r="A239" t="s">
        <v>619</v>
      </c>
      <c r="C239" s="46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1184</v>
      </c>
      <c r="L239" s="17">
        <f t="shared" si="15"/>
        <v>19</v>
      </c>
      <c r="M239" s="17">
        <f t="shared" si="16"/>
        <v>9</v>
      </c>
      <c r="N239" s="18">
        <f t="shared" si="17"/>
        <v>0.6785714285714286</v>
      </c>
      <c r="O239" s="28" t="s">
        <v>939</v>
      </c>
      <c r="P239" s="8" t="s">
        <v>939</v>
      </c>
      <c r="Q239" s="8" t="s">
        <v>939</v>
      </c>
      <c r="R239" s="8" t="s">
        <v>939</v>
      </c>
      <c r="S239" s="28" t="s">
        <v>939</v>
      </c>
      <c r="T239" s="28" t="s">
        <v>939</v>
      </c>
      <c r="U239" s="8" t="s">
        <v>939</v>
      </c>
      <c r="V239" s="8" t="s">
        <v>939</v>
      </c>
      <c r="W239" s="8" t="s">
        <v>939</v>
      </c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8"/>
      <c r="AJ239" s="28"/>
      <c r="AK239" s="8"/>
      <c r="AL239" s="8"/>
      <c r="AM239" s="8"/>
      <c r="AN239" s="28"/>
      <c r="AO239" s="8"/>
      <c r="AP239" s="8"/>
      <c r="AQ239" s="28"/>
      <c r="AR239" s="28"/>
      <c r="AS239" s="28"/>
    </row>
    <row r="240" spans="1:45" ht="15.75" thickBot="1" x14ac:dyDescent="0.3">
      <c r="A240" t="s">
        <v>619</v>
      </c>
      <c r="C240" s="46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1185</v>
      </c>
      <c r="L240" s="17">
        <f t="shared" si="15"/>
        <v>19</v>
      </c>
      <c r="M240" s="17">
        <f t="shared" si="16"/>
        <v>9</v>
      </c>
      <c r="N240" s="18">
        <f t="shared" si="17"/>
        <v>0.6785714285714286</v>
      </c>
      <c r="O240" s="28" t="s">
        <v>939</v>
      </c>
      <c r="P240" s="8" t="s">
        <v>939</v>
      </c>
      <c r="Q240" s="8" t="s">
        <v>939</v>
      </c>
      <c r="R240" s="8" t="s">
        <v>939</v>
      </c>
      <c r="S240" s="28" t="s">
        <v>939</v>
      </c>
      <c r="T240" s="28" t="s">
        <v>939</v>
      </c>
      <c r="U240" s="8" t="s">
        <v>939</v>
      </c>
      <c r="V240" s="8" t="s">
        <v>939</v>
      </c>
      <c r="W240" s="8" t="s">
        <v>939</v>
      </c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8"/>
      <c r="AJ240" s="28"/>
      <c r="AK240" s="8"/>
      <c r="AL240" s="8"/>
      <c r="AM240" s="8"/>
      <c r="AN240" s="28"/>
      <c r="AO240" s="8"/>
      <c r="AP240" s="8"/>
      <c r="AQ240" s="28"/>
      <c r="AR240" s="28"/>
      <c r="AS240" s="28"/>
    </row>
    <row r="241" spans="1:45" ht="15.75" thickBot="1" x14ac:dyDescent="0.3">
      <c r="A241" t="s">
        <v>609</v>
      </c>
      <c r="C241" s="46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1186</v>
      </c>
      <c r="L241" s="17">
        <f t="shared" si="15"/>
        <v>26</v>
      </c>
      <c r="M241" s="17">
        <f t="shared" si="16"/>
        <v>2</v>
      </c>
      <c r="N241" s="18">
        <f t="shared" si="17"/>
        <v>0.9285714285714286</v>
      </c>
      <c r="O241" s="28"/>
      <c r="P241" s="8"/>
      <c r="Q241" s="8"/>
      <c r="R241" s="8"/>
      <c r="S241" s="28"/>
      <c r="T241" s="28"/>
      <c r="U241" s="8"/>
      <c r="V241" s="8"/>
      <c r="W241" s="8"/>
      <c r="X241" s="28"/>
      <c r="Y241" s="28"/>
      <c r="Z241" s="28" t="s">
        <v>939</v>
      </c>
      <c r="AA241" s="28" t="s">
        <v>939</v>
      </c>
      <c r="AB241" s="28"/>
      <c r="AC241" s="28"/>
      <c r="AD241" s="28"/>
      <c r="AE241" s="28"/>
      <c r="AF241" s="28"/>
      <c r="AG241" s="28"/>
      <c r="AH241" s="28"/>
      <c r="AI241" s="8"/>
      <c r="AJ241" s="8"/>
      <c r="AK241" s="8"/>
      <c r="AL241" s="8"/>
      <c r="AM241" s="8"/>
      <c r="AN241" s="28"/>
      <c r="AO241" s="8"/>
      <c r="AP241" s="8"/>
      <c r="AQ241" s="28"/>
      <c r="AR241" s="28"/>
      <c r="AS241" s="28"/>
    </row>
    <row r="242" spans="1:45" ht="15.75" thickBot="1" x14ac:dyDescent="0.3">
      <c r="A242" t="s">
        <v>609</v>
      </c>
      <c r="C242" s="46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1187</v>
      </c>
      <c r="L242" s="17">
        <f t="shared" si="15"/>
        <v>26</v>
      </c>
      <c r="M242" s="17">
        <f t="shared" si="16"/>
        <v>2</v>
      </c>
      <c r="N242" s="18">
        <f t="shared" si="17"/>
        <v>0.9285714285714286</v>
      </c>
      <c r="O242" s="28"/>
      <c r="P242" s="8"/>
      <c r="Q242" s="8"/>
      <c r="R242" s="8"/>
      <c r="S242" s="28"/>
      <c r="T242" s="28"/>
      <c r="U242" s="8"/>
      <c r="V242" s="8"/>
      <c r="W242" s="8"/>
      <c r="X242" s="28"/>
      <c r="Y242" s="28"/>
      <c r="Z242" s="28" t="s">
        <v>939</v>
      </c>
      <c r="AA242" s="28" t="s">
        <v>939</v>
      </c>
      <c r="AB242" s="28"/>
      <c r="AC242" s="28"/>
      <c r="AD242" s="28"/>
      <c r="AE242" s="28"/>
      <c r="AF242" s="28"/>
      <c r="AG242" s="28"/>
      <c r="AH242" s="28"/>
      <c r="AI242" s="8"/>
      <c r="AJ242" s="8"/>
      <c r="AK242" s="8"/>
      <c r="AL242" s="8"/>
      <c r="AM242" s="8"/>
      <c r="AN242" s="28"/>
      <c r="AO242" s="8"/>
      <c r="AP242" s="8"/>
      <c r="AQ242" s="28"/>
      <c r="AR242" s="28"/>
      <c r="AS242" s="28"/>
    </row>
    <row r="243" spans="1:45" ht="15.75" thickBot="1" x14ac:dyDescent="0.3">
      <c r="A243" t="s">
        <v>609</v>
      </c>
      <c r="C243" s="46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1188</v>
      </c>
      <c r="L243" s="17">
        <f t="shared" si="15"/>
        <v>26</v>
      </c>
      <c r="M243" s="17">
        <f t="shared" si="16"/>
        <v>2</v>
      </c>
      <c r="N243" s="18">
        <f t="shared" si="17"/>
        <v>0.9285714285714286</v>
      </c>
      <c r="O243" s="28"/>
      <c r="P243" s="8"/>
      <c r="Q243" s="8"/>
      <c r="R243" s="8"/>
      <c r="S243" s="28"/>
      <c r="T243" s="28"/>
      <c r="U243" s="8"/>
      <c r="V243" s="8"/>
      <c r="W243" s="8"/>
      <c r="X243" s="28"/>
      <c r="Y243" s="28"/>
      <c r="Z243" s="28" t="s">
        <v>939</v>
      </c>
      <c r="AA243" s="28" t="s">
        <v>939</v>
      </c>
      <c r="AB243" s="28"/>
      <c r="AC243" s="28"/>
      <c r="AD243" s="28"/>
      <c r="AE243" s="28"/>
      <c r="AF243" s="28"/>
      <c r="AG243" s="28"/>
      <c r="AH243" s="28"/>
      <c r="AI243" s="8"/>
      <c r="AJ243" s="8"/>
      <c r="AK243" s="8"/>
      <c r="AL243" s="8"/>
      <c r="AM243" s="8"/>
      <c r="AN243" s="28"/>
      <c r="AO243" s="8"/>
      <c r="AP243" s="8"/>
      <c r="AQ243" s="28"/>
      <c r="AR243" s="28"/>
      <c r="AS243" s="28"/>
    </row>
    <row r="244" spans="1:45" ht="15.75" thickBot="1" x14ac:dyDescent="0.3">
      <c r="A244" t="s">
        <v>609</v>
      </c>
      <c r="C244" s="46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1189</v>
      </c>
      <c r="L244" s="17">
        <f t="shared" si="15"/>
        <v>26</v>
      </c>
      <c r="M244" s="17">
        <f t="shared" si="16"/>
        <v>2</v>
      </c>
      <c r="N244" s="18">
        <f t="shared" si="17"/>
        <v>0.9285714285714286</v>
      </c>
      <c r="O244" s="28"/>
      <c r="P244" s="8"/>
      <c r="Q244" s="8"/>
      <c r="R244" s="8"/>
      <c r="S244" s="28"/>
      <c r="T244" s="28"/>
      <c r="U244" s="8"/>
      <c r="V244" s="8"/>
      <c r="W244" s="8"/>
      <c r="X244" s="28"/>
      <c r="Y244" s="28"/>
      <c r="Z244" s="28" t="s">
        <v>939</v>
      </c>
      <c r="AA244" s="28" t="s">
        <v>939</v>
      </c>
      <c r="AB244" s="28"/>
      <c r="AC244" s="28"/>
      <c r="AD244" s="28"/>
      <c r="AE244" s="28"/>
      <c r="AF244" s="28"/>
      <c r="AG244" s="28"/>
      <c r="AH244" s="28"/>
      <c r="AI244" s="8"/>
      <c r="AJ244" s="8"/>
      <c r="AK244" s="8"/>
      <c r="AL244" s="8"/>
      <c r="AM244" s="8"/>
      <c r="AN244" s="28"/>
      <c r="AO244" s="8"/>
      <c r="AP244" s="8"/>
      <c r="AQ244" s="28"/>
      <c r="AR244" s="28"/>
      <c r="AS244" s="28"/>
    </row>
    <row r="245" spans="1:45" ht="15.75" thickBot="1" x14ac:dyDescent="0.3">
      <c r="A245" t="s">
        <v>310</v>
      </c>
      <c r="C245" s="46" t="s">
        <v>631</v>
      </c>
      <c r="D245" t="s">
        <v>632</v>
      </c>
      <c r="E245" t="s">
        <v>19</v>
      </c>
      <c r="F245" t="s">
        <v>25</v>
      </c>
      <c r="G245"/>
      <c r="H245" t="s">
        <v>633</v>
      </c>
      <c r="I245" s="16">
        <v>-348247270000</v>
      </c>
      <c r="J245" s="16">
        <v>-582923280000</v>
      </c>
      <c r="K245" s="16" t="s">
        <v>1192</v>
      </c>
      <c r="L245" s="17">
        <f t="shared" si="15"/>
        <v>28</v>
      </c>
      <c r="M245" s="17">
        <f t="shared" si="16"/>
        <v>0</v>
      </c>
      <c r="N245" s="18">
        <f t="shared" si="17"/>
        <v>1</v>
      </c>
      <c r="O245" s="28"/>
      <c r="P245" s="8"/>
      <c r="Q245" s="8"/>
      <c r="R245" s="8"/>
      <c r="S245" s="28"/>
      <c r="T245" s="28"/>
      <c r="U245" s="8"/>
      <c r="V245" s="8"/>
      <c r="W245" s="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8"/>
      <c r="AJ245" s="8"/>
      <c r="AK245" s="8"/>
      <c r="AL245" s="8"/>
      <c r="AM245" s="8"/>
      <c r="AN245" s="28"/>
      <c r="AO245" s="8"/>
      <c r="AP245" s="8"/>
      <c r="AQ245" s="28"/>
      <c r="AR245" s="28"/>
      <c r="AS245" s="28"/>
    </row>
    <row r="246" spans="1:45" ht="15.75" thickBot="1" x14ac:dyDescent="0.3">
      <c r="A246" t="s">
        <v>310</v>
      </c>
      <c r="C246" s="46" t="s">
        <v>634</v>
      </c>
      <c r="D246" t="s">
        <v>635</v>
      </c>
      <c r="E246" t="s">
        <v>19</v>
      </c>
      <c r="F246" t="s">
        <v>25</v>
      </c>
      <c r="G246"/>
      <c r="H246" t="s">
        <v>633</v>
      </c>
      <c r="I246" s="16">
        <v>-348165060000</v>
      </c>
      <c r="J246" s="16">
        <v>-582994990000</v>
      </c>
      <c r="K246" s="16" t="s">
        <v>1194</v>
      </c>
      <c r="L246" s="17">
        <f t="shared" si="15"/>
        <v>28</v>
      </c>
      <c r="M246" s="17">
        <f t="shared" si="16"/>
        <v>0</v>
      </c>
      <c r="N246" s="18">
        <f t="shared" si="17"/>
        <v>1</v>
      </c>
      <c r="O246" s="28"/>
      <c r="P246" s="8"/>
      <c r="Q246" s="8"/>
      <c r="R246" s="8"/>
      <c r="S246" s="28"/>
      <c r="T246" s="28"/>
      <c r="U246" s="8"/>
      <c r="V246" s="8"/>
      <c r="W246" s="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8"/>
      <c r="AJ246" s="8"/>
      <c r="AK246" s="8"/>
      <c r="AL246" s="8"/>
      <c r="AM246" s="8"/>
      <c r="AN246" s="28"/>
      <c r="AO246" s="8"/>
      <c r="AP246" s="8"/>
      <c r="AQ246" s="28"/>
      <c r="AR246" s="28"/>
      <c r="AS246" s="28"/>
    </row>
    <row r="247" spans="1:45" ht="15.75" thickBot="1" x14ac:dyDescent="0.3">
      <c r="A247" t="s">
        <v>310</v>
      </c>
      <c r="C247" s="46" t="s">
        <v>636</v>
      </c>
      <c r="D247" t="s">
        <v>637</v>
      </c>
      <c r="E247" t="s">
        <v>24</v>
      </c>
      <c r="F247" t="s">
        <v>25</v>
      </c>
      <c r="G247" t="s">
        <v>165</v>
      </c>
      <c r="H247"/>
      <c r="I247" s="16">
        <v>-348184850000</v>
      </c>
      <c r="J247" s="16">
        <v>-583019920000</v>
      </c>
      <c r="K247" s="16" t="s">
        <v>1190</v>
      </c>
      <c r="L247" s="17">
        <f t="shared" si="15"/>
        <v>28</v>
      </c>
      <c r="M247" s="17">
        <f t="shared" si="16"/>
        <v>0</v>
      </c>
      <c r="N247" s="18">
        <f t="shared" si="17"/>
        <v>1</v>
      </c>
      <c r="O247" s="28"/>
      <c r="P247" s="8"/>
      <c r="Q247" s="8"/>
      <c r="R247" s="8"/>
      <c r="S247" s="28"/>
      <c r="T247" s="28"/>
      <c r="U247" s="8"/>
      <c r="V247" s="8"/>
      <c r="W247" s="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8"/>
      <c r="AJ247" s="8"/>
      <c r="AK247" s="8"/>
      <c r="AL247" s="8"/>
      <c r="AM247" s="8"/>
      <c r="AN247" s="28"/>
      <c r="AO247" s="8"/>
      <c r="AP247" s="8"/>
      <c r="AQ247" s="28"/>
      <c r="AR247" s="28"/>
      <c r="AS247" s="28"/>
    </row>
    <row r="248" spans="1:45" ht="15.75" thickBot="1" x14ac:dyDescent="0.3">
      <c r="A248" t="s">
        <v>310</v>
      </c>
      <c r="C248" s="46" t="s">
        <v>638</v>
      </c>
      <c r="D248" t="s">
        <v>639</v>
      </c>
      <c r="E248" t="s">
        <v>24</v>
      </c>
      <c r="F248" t="s">
        <v>25</v>
      </c>
      <c r="G248" t="s">
        <v>185</v>
      </c>
      <c r="H248" t="s">
        <v>640</v>
      </c>
      <c r="I248" s="16">
        <v>-348155560000</v>
      </c>
      <c r="J248" s="16">
        <v>-582959460000</v>
      </c>
      <c r="K248" s="16" t="s">
        <v>1191</v>
      </c>
      <c r="L248" s="17">
        <f t="shared" si="15"/>
        <v>27</v>
      </c>
      <c r="M248" s="17">
        <f t="shared" si="16"/>
        <v>1</v>
      </c>
      <c r="N248" s="18">
        <f t="shared" si="17"/>
        <v>0.9642857142857143</v>
      </c>
      <c r="O248" s="28"/>
      <c r="P248" s="8"/>
      <c r="Q248" s="8"/>
      <c r="R248" s="8"/>
      <c r="S248" s="28" t="s">
        <v>939</v>
      </c>
      <c r="T248" s="28"/>
      <c r="U248" s="8"/>
      <c r="V248" s="8"/>
      <c r="W248" s="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8"/>
      <c r="AJ248" s="8"/>
      <c r="AK248" s="8"/>
      <c r="AL248" s="8"/>
      <c r="AM248" s="8"/>
      <c r="AN248" s="28"/>
      <c r="AO248" s="8"/>
      <c r="AP248" s="8"/>
      <c r="AQ248" s="28"/>
      <c r="AR248" s="28"/>
      <c r="AS248" s="28"/>
    </row>
    <row r="249" spans="1:45" ht="15.75" thickBot="1" x14ac:dyDescent="0.3">
      <c r="A249" t="s">
        <v>310</v>
      </c>
      <c r="C249" s="46" t="s">
        <v>641</v>
      </c>
      <c r="D249" t="s">
        <v>642</v>
      </c>
      <c r="E249" t="s">
        <v>113</v>
      </c>
      <c r="F249" t="s">
        <v>36</v>
      </c>
      <c r="G249"/>
      <c r="H249" t="s">
        <v>522</v>
      </c>
      <c r="I249" s="16">
        <v>-348174220000</v>
      </c>
      <c r="J249" s="16">
        <v>-582945170000</v>
      </c>
      <c r="K249" s="16" t="s">
        <v>1195</v>
      </c>
      <c r="L249" s="17">
        <f t="shared" si="15"/>
        <v>15</v>
      </c>
      <c r="M249" s="17">
        <f t="shared" si="16"/>
        <v>13</v>
      </c>
      <c r="N249" s="18">
        <f t="shared" si="17"/>
        <v>0.5357142857142857</v>
      </c>
      <c r="O249" s="28" t="s">
        <v>939</v>
      </c>
      <c r="P249" s="8" t="s">
        <v>939</v>
      </c>
      <c r="Q249" s="8" t="s">
        <v>939</v>
      </c>
      <c r="R249" s="8" t="s">
        <v>939</v>
      </c>
      <c r="S249" s="28" t="s">
        <v>939</v>
      </c>
      <c r="T249" s="28" t="s">
        <v>939</v>
      </c>
      <c r="U249" s="8" t="s">
        <v>939</v>
      </c>
      <c r="V249" s="8" t="s">
        <v>939</v>
      </c>
      <c r="W249" s="8" t="s">
        <v>939</v>
      </c>
      <c r="X249" s="28" t="s">
        <v>939</v>
      </c>
      <c r="Y249" s="28" t="s">
        <v>939</v>
      </c>
      <c r="Z249" s="28" t="s">
        <v>939</v>
      </c>
      <c r="AA249" s="28" t="s">
        <v>939</v>
      </c>
      <c r="AB249" s="28"/>
      <c r="AC249" s="28"/>
      <c r="AD249" s="28"/>
      <c r="AE249" s="28"/>
      <c r="AF249" s="28"/>
      <c r="AG249" s="28"/>
      <c r="AH249" s="28"/>
      <c r="AI249" s="25"/>
      <c r="AJ249" s="28"/>
      <c r="AK249" s="8"/>
      <c r="AL249" s="8"/>
      <c r="AM249" s="8"/>
      <c r="AN249" s="28"/>
      <c r="AO249" s="8"/>
      <c r="AP249" s="8"/>
      <c r="AQ249" s="28"/>
      <c r="AR249" s="28"/>
      <c r="AS249" s="28"/>
    </row>
    <row r="250" spans="1:45" ht="15.75" thickBot="1" x14ac:dyDescent="0.3">
      <c r="A250" t="s">
        <v>310</v>
      </c>
      <c r="C250" s="46" t="s">
        <v>643</v>
      </c>
      <c r="D250" t="s">
        <v>642</v>
      </c>
      <c r="E250" t="s">
        <v>113</v>
      </c>
      <c r="F250" t="s">
        <v>36</v>
      </c>
      <c r="G250"/>
      <c r="H250" t="s">
        <v>522</v>
      </c>
      <c r="I250" s="16">
        <v>-348174220000</v>
      </c>
      <c r="J250" s="16">
        <v>-582945170000</v>
      </c>
      <c r="K250" s="16" t="s">
        <v>1196</v>
      </c>
      <c r="L250" s="17">
        <f t="shared" si="15"/>
        <v>15</v>
      </c>
      <c r="M250" s="17">
        <f t="shared" si="16"/>
        <v>13</v>
      </c>
      <c r="N250" s="18">
        <f t="shared" si="17"/>
        <v>0.5357142857142857</v>
      </c>
      <c r="O250" s="28" t="s">
        <v>939</v>
      </c>
      <c r="P250" s="8" t="s">
        <v>939</v>
      </c>
      <c r="Q250" s="8" t="s">
        <v>939</v>
      </c>
      <c r="R250" s="8" t="s">
        <v>939</v>
      </c>
      <c r="S250" s="28" t="s">
        <v>939</v>
      </c>
      <c r="T250" s="28" t="s">
        <v>939</v>
      </c>
      <c r="U250" s="8" t="s">
        <v>939</v>
      </c>
      <c r="V250" s="8" t="s">
        <v>939</v>
      </c>
      <c r="W250" s="8" t="s">
        <v>939</v>
      </c>
      <c r="X250" s="28" t="s">
        <v>939</v>
      </c>
      <c r="Y250" s="28" t="s">
        <v>939</v>
      </c>
      <c r="Z250" s="28" t="s">
        <v>939</v>
      </c>
      <c r="AA250" s="28" t="s">
        <v>939</v>
      </c>
      <c r="AB250" s="28"/>
      <c r="AC250" s="28"/>
      <c r="AD250" s="28"/>
      <c r="AE250" s="28"/>
      <c r="AF250" s="28"/>
      <c r="AG250" s="28"/>
      <c r="AH250" s="28"/>
      <c r="AI250" s="8"/>
      <c r="AJ250" s="28"/>
      <c r="AK250" s="8"/>
      <c r="AL250" s="8"/>
      <c r="AM250" s="8"/>
      <c r="AN250" s="28"/>
      <c r="AO250" s="8"/>
      <c r="AP250" s="8"/>
      <c r="AQ250" s="28"/>
      <c r="AR250" s="28"/>
      <c r="AS250" s="28"/>
    </row>
    <row r="251" spans="1:45" ht="15.75" thickBot="1" x14ac:dyDescent="0.3">
      <c r="A251" t="s">
        <v>310</v>
      </c>
      <c r="C251" s="46" t="s">
        <v>644</v>
      </c>
      <c r="D251" t="s">
        <v>645</v>
      </c>
      <c r="E251" t="s">
        <v>113</v>
      </c>
      <c r="F251" t="s">
        <v>36</v>
      </c>
      <c r="G251"/>
      <c r="H251" t="s">
        <v>286</v>
      </c>
      <c r="I251" s="16">
        <v>-348145600000</v>
      </c>
      <c r="J251" s="16">
        <v>-582924490000</v>
      </c>
      <c r="K251" s="16" t="s">
        <v>1197</v>
      </c>
      <c r="L251" s="17">
        <f t="shared" si="15"/>
        <v>15</v>
      </c>
      <c r="M251" s="17">
        <f t="shared" si="16"/>
        <v>13</v>
      </c>
      <c r="N251" s="18">
        <f t="shared" si="17"/>
        <v>0.5357142857142857</v>
      </c>
      <c r="O251" s="28" t="s">
        <v>939</v>
      </c>
      <c r="P251" s="8" t="s">
        <v>939</v>
      </c>
      <c r="Q251" s="8" t="s">
        <v>939</v>
      </c>
      <c r="R251" s="8" t="s">
        <v>939</v>
      </c>
      <c r="S251" s="28" t="s">
        <v>939</v>
      </c>
      <c r="T251" s="28" t="s">
        <v>939</v>
      </c>
      <c r="U251" s="8" t="s">
        <v>939</v>
      </c>
      <c r="V251" s="8" t="s">
        <v>939</v>
      </c>
      <c r="W251" s="8" t="s">
        <v>939</v>
      </c>
      <c r="X251" s="28" t="s">
        <v>939</v>
      </c>
      <c r="Y251" s="28" t="s">
        <v>939</v>
      </c>
      <c r="Z251" s="28" t="s">
        <v>939</v>
      </c>
      <c r="AA251" s="28" t="s">
        <v>939</v>
      </c>
      <c r="AB251" s="28"/>
      <c r="AC251" s="28"/>
      <c r="AD251" s="28"/>
      <c r="AE251" s="28"/>
      <c r="AF251" s="28"/>
      <c r="AG251" s="28"/>
      <c r="AH251" s="28"/>
      <c r="AI251" s="8"/>
      <c r="AJ251" s="28"/>
      <c r="AK251" s="8"/>
      <c r="AL251" s="8"/>
      <c r="AM251" s="8"/>
      <c r="AN251" s="28"/>
      <c r="AO251" s="8"/>
      <c r="AP251" s="8"/>
      <c r="AQ251" s="28"/>
      <c r="AR251" s="28"/>
      <c r="AS251" s="28"/>
    </row>
    <row r="252" spans="1:45" ht="15.75" thickBot="1" x14ac:dyDescent="0.3">
      <c r="A252" t="s">
        <v>310</v>
      </c>
      <c r="C252" s="46" t="s">
        <v>646</v>
      </c>
      <c r="D252" t="s">
        <v>645</v>
      </c>
      <c r="E252" t="s">
        <v>113</v>
      </c>
      <c r="F252" t="s">
        <v>36</v>
      </c>
      <c r="G252"/>
      <c r="H252" t="s">
        <v>286</v>
      </c>
      <c r="I252" s="16">
        <v>-348145600000</v>
      </c>
      <c r="J252" s="16">
        <v>-582924490000</v>
      </c>
      <c r="K252" s="16" t="s">
        <v>1198</v>
      </c>
      <c r="L252" s="17">
        <f t="shared" si="15"/>
        <v>15</v>
      </c>
      <c r="M252" s="17">
        <f t="shared" si="16"/>
        <v>13</v>
      </c>
      <c r="N252" s="18">
        <f t="shared" si="17"/>
        <v>0.5357142857142857</v>
      </c>
      <c r="O252" s="28" t="s">
        <v>939</v>
      </c>
      <c r="P252" s="8" t="s">
        <v>939</v>
      </c>
      <c r="Q252" s="8" t="s">
        <v>939</v>
      </c>
      <c r="R252" s="8" t="s">
        <v>939</v>
      </c>
      <c r="S252" s="28" t="s">
        <v>939</v>
      </c>
      <c r="T252" s="28" t="s">
        <v>939</v>
      </c>
      <c r="U252" s="8" t="s">
        <v>939</v>
      </c>
      <c r="V252" s="8" t="s">
        <v>939</v>
      </c>
      <c r="W252" s="8" t="s">
        <v>939</v>
      </c>
      <c r="X252" s="28" t="s">
        <v>939</v>
      </c>
      <c r="Y252" s="28" t="s">
        <v>939</v>
      </c>
      <c r="Z252" s="28" t="s">
        <v>939</v>
      </c>
      <c r="AA252" s="28" t="s">
        <v>939</v>
      </c>
      <c r="AB252" s="28"/>
      <c r="AC252" s="28"/>
      <c r="AD252" s="28"/>
      <c r="AE252" s="28"/>
      <c r="AF252" s="28"/>
      <c r="AG252" s="28"/>
      <c r="AH252" s="28"/>
      <c r="AI252" s="8"/>
      <c r="AJ252" s="28"/>
      <c r="AK252" s="8"/>
      <c r="AL252" s="8"/>
      <c r="AM252" s="8"/>
      <c r="AN252" s="28"/>
      <c r="AO252" s="8"/>
      <c r="AP252" s="8"/>
      <c r="AQ252" s="28"/>
      <c r="AR252" s="28"/>
      <c r="AS252" s="28"/>
    </row>
    <row r="253" spans="1:45" ht="15.75" thickBot="1" x14ac:dyDescent="0.3">
      <c r="A253" t="s">
        <v>647</v>
      </c>
      <c r="C253" s="46" t="s">
        <v>648</v>
      </c>
      <c r="D253" t="s">
        <v>649</v>
      </c>
      <c r="E253" t="s">
        <v>24</v>
      </c>
      <c r="F253" t="s">
        <v>25</v>
      </c>
      <c r="G253" t="s">
        <v>650</v>
      </c>
      <c r="H253" t="s">
        <v>651</v>
      </c>
      <c r="I253" s="16">
        <v>-348007570000</v>
      </c>
      <c r="J253" s="16">
        <v>-582391960000</v>
      </c>
      <c r="K253" s="16" t="s">
        <v>1199</v>
      </c>
      <c r="L253" s="17">
        <f t="shared" si="15"/>
        <v>28</v>
      </c>
      <c r="M253" s="17">
        <f t="shared" si="16"/>
        <v>0</v>
      </c>
      <c r="N253" s="18">
        <f t="shared" si="17"/>
        <v>1</v>
      </c>
      <c r="O253" s="28"/>
      <c r="P253" s="8"/>
      <c r="Q253" s="8"/>
      <c r="R253" s="8"/>
      <c r="S253" s="28"/>
      <c r="T253" s="28"/>
      <c r="U253" s="8"/>
      <c r="V253" s="8"/>
      <c r="W253" s="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8"/>
      <c r="AJ253" s="8"/>
      <c r="AK253" s="8"/>
      <c r="AL253" s="8"/>
      <c r="AM253" s="8"/>
      <c r="AN253" s="28"/>
      <c r="AO253" s="8"/>
      <c r="AP253" s="8"/>
      <c r="AQ253" s="28"/>
      <c r="AR253" s="28"/>
      <c r="AS253" s="28"/>
    </row>
    <row r="254" spans="1:45" ht="15.75" thickBot="1" x14ac:dyDescent="0.3">
      <c r="C254" s="46" t="s">
        <v>652</v>
      </c>
      <c r="D254" t="s">
        <v>653</v>
      </c>
      <c r="E254" t="s">
        <v>24</v>
      </c>
      <c r="F254" t="s">
        <v>25</v>
      </c>
      <c r="G254"/>
      <c r="H254"/>
      <c r="I254" s="16">
        <v>-348178990000</v>
      </c>
      <c r="J254" s="16">
        <v>-582605300000</v>
      </c>
      <c r="K254" s="16" t="s">
        <v>1202</v>
      </c>
      <c r="L254" s="17">
        <f t="shared" si="15"/>
        <v>28</v>
      </c>
      <c r="M254" s="17">
        <f t="shared" si="16"/>
        <v>0</v>
      </c>
      <c r="N254" s="18">
        <f t="shared" si="17"/>
        <v>1</v>
      </c>
      <c r="O254" s="28"/>
      <c r="P254" s="8"/>
      <c r="Q254" s="8"/>
      <c r="R254" s="8"/>
      <c r="S254" s="28"/>
      <c r="T254" s="28"/>
      <c r="U254" s="8"/>
      <c r="V254" s="8"/>
      <c r="W254" s="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8"/>
      <c r="AJ254" s="8"/>
      <c r="AK254" s="8"/>
      <c r="AL254" s="8"/>
      <c r="AM254" s="8"/>
      <c r="AN254" s="28"/>
      <c r="AO254" s="8"/>
      <c r="AP254" s="8"/>
      <c r="AQ254" s="28"/>
      <c r="AR254" s="28"/>
      <c r="AS254" s="28"/>
    </row>
    <row r="255" spans="1:45" ht="15.75" thickBot="1" x14ac:dyDescent="0.3">
      <c r="A255" t="s">
        <v>654</v>
      </c>
      <c r="C255" s="46" t="s">
        <v>655</v>
      </c>
      <c r="D255" t="s">
        <v>656</v>
      </c>
      <c r="E255" t="s">
        <v>73</v>
      </c>
      <c r="F255" t="s">
        <v>25</v>
      </c>
      <c r="G255" t="s">
        <v>657</v>
      </c>
      <c r="H255" t="s">
        <v>658</v>
      </c>
      <c r="I255" s="16">
        <v>-348119330000</v>
      </c>
      <c r="J255" s="16">
        <v>-582583640000</v>
      </c>
      <c r="K255" s="16" t="s">
        <v>1203</v>
      </c>
      <c r="L255" s="17">
        <f t="shared" si="15"/>
        <v>28</v>
      </c>
      <c r="M255" s="17">
        <f t="shared" si="16"/>
        <v>0</v>
      </c>
      <c r="N255" s="18">
        <f t="shared" si="17"/>
        <v>1</v>
      </c>
      <c r="O255" s="28"/>
      <c r="P255" s="8"/>
      <c r="Q255" s="8"/>
      <c r="R255" s="8"/>
      <c r="S255" s="28"/>
      <c r="T255" s="28"/>
      <c r="U255" s="8"/>
      <c r="V255" s="8"/>
      <c r="W255" s="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8"/>
      <c r="AJ255" s="8"/>
      <c r="AK255" s="8"/>
      <c r="AL255" s="8"/>
      <c r="AM255" s="8"/>
      <c r="AN255" s="28"/>
      <c r="AO255" s="8"/>
      <c r="AP255" s="8"/>
      <c r="AQ255" s="28"/>
      <c r="AR255" s="28"/>
      <c r="AS255" s="28"/>
    </row>
    <row r="256" spans="1:45" ht="15.75" thickBot="1" x14ac:dyDescent="0.3">
      <c r="A256" t="s">
        <v>654</v>
      </c>
      <c r="C256" s="46" t="s">
        <v>659</v>
      </c>
      <c r="D256" t="s">
        <v>660</v>
      </c>
      <c r="E256" t="s">
        <v>19</v>
      </c>
      <c r="F256" t="s">
        <v>36</v>
      </c>
      <c r="G256"/>
      <c r="H256" t="s">
        <v>341</v>
      </c>
      <c r="I256" s="16">
        <v>-348167840000</v>
      </c>
      <c r="J256" s="16">
        <v>-582534370000</v>
      </c>
      <c r="K256" s="16" t="s">
        <v>1205</v>
      </c>
      <c r="L256" s="17">
        <f t="shared" si="15"/>
        <v>28</v>
      </c>
      <c r="M256" s="17">
        <f t="shared" si="16"/>
        <v>0</v>
      </c>
      <c r="N256" s="18">
        <f t="shared" si="17"/>
        <v>1</v>
      </c>
      <c r="O256" s="28"/>
      <c r="P256" s="8"/>
      <c r="Q256" s="8"/>
      <c r="R256" s="8"/>
      <c r="S256" s="28"/>
      <c r="T256" s="28"/>
      <c r="U256" s="8"/>
      <c r="V256" s="8"/>
      <c r="W256" s="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8"/>
      <c r="AJ256" s="8"/>
      <c r="AK256" s="8"/>
      <c r="AL256" s="8"/>
      <c r="AM256" s="8"/>
      <c r="AN256" s="28"/>
      <c r="AO256" s="8"/>
      <c r="AP256" s="8"/>
      <c r="AQ256" s="28"/>
      <c r="AR256" s="28"/>
      <c r="AS256" s="28"/>
    </row>
    <row r="257" spans="1:45" ht="15.75" thickBot="1" x14ac:dyDescent="0.3">
      <c r="A257" t="s">
        <v>654</v>
      </c>
      <c r="C257" s="46" t="s">
        <v>661</v>
      </c>
      <c r="D257" t="s">
        <v>662</v>
      </c>
      <c r="E257" t="s">
        <v>19</v>
      </c>
      <c r="F257" t="s">
        <v>36</v>
      </c>
      <c r="G257"/>
      <c r="H257" t="s">
        <v>341</v>
      </c>
      <c r="I257" s="16">
        <v>-348194100000</v>
      </c>
      <c r="J257" s="16">
        <v>-582514340000</v>
      </c>
      <c r="K257" s="16" t="s">
        <v>1206</v>
      </c>
      <c r="L257" s="17">
        <f t="shared" si="15"/>
        <v>28</v>
      </c>
      <c r="M257" s="17">
        <f t="shared" si="16"/>
        <v>0</v>
      </c>
      <c r="N257" s="18">
        <f t="shared" si="17"/>
        <v>1</v>
      </c>
      <c r="O257" s="28"/>
      <c r="P257" s="8"/>
      <c r="Q257" s="8"/>
      <c r="R257" s="8"/>
      <c r="S257" s="28"/>
      <c r="T257" s="28"/>
      <c r="U257" s="8"/>
      <c r="V257" s="8"/>
      <c r="W257" s="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8"/>
      <c r="AJ257" s="8"/>
      <c r="AK257" s="8"/>
      <c r="AL257" s="8"/>
      <c r="AM257" s="8"/>
      <c r="AN257" s="28"/>
      <c r="AO257" s="8"/>
      <c r="AP257" s="8"/>
      <c r="AQ257" s="28"/>
      <c r="AR257" s="28"/>
      <c r="AS257" s="28"/>
    </row>
    <row r="258" spans="1:45" ht="15.75" thickBot="1" x14ac:dyDescent="0.3">
      <c r="A258" t="s">
        <v>654</v>
      </c>
      <c r="C258" s="46" t="s">
        <v>663</v>
      </c>
      <c r="D258" t="s">
        <v>664</v>
      </c>
      <c r="E258" t="s">
        <v>19</v>
      </c>
      <c r="F258" t="s">
        <v>25</v>
      </c>
      <c r="G258" t="s">
        <v>185</v>
      </c>
      <c r="H258"/>
      <c r="I258" s="16">
        <v>-348119410000</v>
      </c>
      <c r="J258" s="16">
        <v>-582582760000</v>
      </c>
      <c r="K258" s="16" t="s">
        <v>1200</v>
      </c>
      <c r="L258" s="17">
        <f t="shared" si="15"/>
        <v>28</v>
      </c>
      <c r="M258" s="17">
        <f t="shared" si="16"/>
        <v>0</v>
      </c>
      <c r="N258" s="18">
        <f t="shared" si="17"/>
        <v>1</v>
      </c>
      <c r="O258" s="28"/>
      <c r="P258" s="8"/>
      <c r="Q258" s="8"/>
      <c r="R258" s="8"/>
      <c r="S258" s="28"/>
      <c r="T258" s="28"/>
      <c r="U258" s="8"/>
      <c r="V258" s="8"/>
      <c r="W258" s="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8"/>
      <c r="AJ258" s="8"/>
      <c r="AK258" s="8"/>
      <c r="AL258" s="8"/>
      <c r="AM258" s="8"/>
      <c r="AN258" s="28"/>
      <c r="AO258" s="8"/>
      <c r="AP258" s="8"/>
      <c r="AQ258" s="28"/>
      <c r="AR258" s="28"/>
      <c r="AS258" s="28"/>
    </row>
    <row r="259" spans="1:45" ht="15.75" thickBot="1" x14ac:dyDescent="0.3">
      <c r="A259" t="s">
        <v>654</v>
      </c>
      <c r="B259" s="60">
        <v>44629</v>
      </c>
      <c r="C259" s="62" t="s">
        <v>665</v>
      </c>
      <c r="D259" t="s">
        <v>666</v>
      </c>
      <c r="E259" t="s">
        <v>24</v>
      </c>
      <c r="F259" t="s">
        <v>25</v>
      </c>
      <c r="G259" t="s">
        <v>185</v>
      </c>
      <c r="H259"/>
      <c r="I259" s="16">
        <v>-348150360000</v>
      </c>
      <c r="J259" s="16">
        <v>-582549730000</v>
      </c>
      <c r="K259" s="16" t="s">
        <v>1201</v>
      </c>
      <c r="L259" s="17">
        <f t="shared" si="15"/>
        <v>18</v>
      </c>
      <c r="M259" s="17">
        <f t="shared" si="16"/>
        <v>10</v>
      </c>
      <c r="N259" s="18">
        <f t="shared" si="17"/>
        <v>0.6428571428571429</v>
      </c>
      <c r="O259" s="28" t="s">
        <v>939</v>
      </c>
      <c r="P259" s="8" t="s">
        <v>939</v>
      </c>
      <c r="Q259" s="8" t="s">
        <v>939</v>
      </c>
      <c r="R259" s="8" t="s">
        <v>939</v>
      </c>
      <c r="S259" s="28" t="s">
        <v>939</v>
      </c>
      <c r="T259" s="28" t="s">
        <v>939</v>
      </c>
      <c r="U259" s="8" t="s">
        <v>939</v>
      </c>
      <c r="V259" s="8" t="s">
        <v>939</v>
      </c>
      <c r="W259" s="8" t="s">
        <v>939</v>
      </c>
      <c r="X259" s="28" t="s">
        <v>939</v>
      </c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8"/>
      <c r="AJ259" s="28"/>
      <c r="AK259" s="8"/>
      <c r="AL259" s="8"/>
      <c r="AM259" s="8"/>
      <c r="AN259" s="28"/>
      <c r="AO259" s="8"/>
      <c r="AP259" s="8"/>
      <c r="AQ259" s="28"/>
      <c r="AR259" s="28"/>
      <c r="AS259" s="28"/>
    </row>
    <row r="260" spans="1:45" ht="15.75" thickBot="1" x14ac:dyDescent="0.3">
      <c r="A260" t="s">
        <v>654</v>
      </c>
      <c r="C260" s="46" t="s">
        <v>667</v>
      </c>
      <c r="D260" t="s">
        <v>668</v>
      </c>
      <c r="E260" t="s">
        <v>19</v>
      </c>
      <c r="F260" t="s">
        <v>945</v>
      </c>
      <c r="G260"/>
      <c r="H260" t="s">
        <v>669</v>
      </c>
      <c r="I260" s="16">
        <v>-348150250000</v>
      </c>
      <c r="J260" s="16">
        <v>-582640890000</v>
      </c>
      <c r="K260" s="16" t="s">
        <v>1204</v>
      </c>
      <c r="L260" s="17">
        <f t="shared" si="15"/>
        <v>28</v>
      </c>
      <c r="M260" s="17">
        <f t="shared" si="16"/>
        <v>0</v>
      </c>
      <c r="N260" s="18">
        <f t="shared" si="17"/>
        <v>1</v>
      </c>
      <c r="O260" s="28"/>
      <c r="P260" s="8"/>
      <c r="Q260" s="8"/>
      <c r="R260" s="8"/>
      <c r="S260" s="28"/>
      <c r="T260" s="28"/>
      <c r="U260" s="8"/>
      <c r="V260" s="8"/>
      <c r="W260" s="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8"/>
      <c r="AJ260" s="8"/>
      <c r="AK260" s="8"/>
      <c r="AL260" s="8"/>
      <c r="AM260" s="8"/>
      <c r="AN260" s="28"/>
      <c r="AO260" s="8"/>
      <c r="AP260" s="8"/>
      <c r="AQ260" s="28"/>
      <c r="AR260" s="28"/>
      <c r="AS260" s="28"/>
    </row>
    <row r="261" spans="1:45" ht="15.75" thickBot="1" x14ac:dyDescent="0.3">
      <c r="A261" t="s">
        <v>258</v>
      </c>
      <c r="C261" s="46" t="s">
        <v>670</v>
      </c>
      <c r="D261" t="s">
        <v>671</v>
      </c>
      <c r="E261" t="s">
        <v>113</v>
      </c>
      <c r="F261" t="s">
        <v>36</v>
      </c>
      <c r="G261"/>
      <c r="H261" t="s">
        <v>672</v>
      </c>
      <c r="I261" s="16">
        <v>-348003780000</v>
      </c>
      <c r="J261" s="16">
        <v>-582918660000</v>
      </c>
      <c r="K261" s="16" t="s">
        <v>1207</v>
      </c>
      <c r="L261" s="17">
        <f t="shared" ref="L261:L324" si="18">COUNTIF(O261:AP261,"")</f>
        <v>27</v>
      </c>
      <c r="M261" s="17">
        <f t="shared" ref="M261:M324" si="19">COUNTIF(O261:AP261,"APAGADO")</f>
        <v>1</v>
      </c>
      <c r="N261" s="18">
        <f t="shared" ref="N261:N324" si="20">(L261)/(M261+L261)</f>
        <v>0.9642857142857143</v>
      </c>
      <c r="O261" s="28"/>
      <c r="P261" s="8"/>
      <c r="Q261" s="8"/>
      <c r="R261" s="8"/>
      <c r="S261" s="28"/>
      <c r="T261" s="28"/>
      <c r="U261" s="8"/>
      <c r="V261" s="8"/>
      <c r="W261" s="8" t="s">
        <v>939</v>
      </c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8"/>
      <c r="AJ261" s="8"/>
      <c r="AK261" s="8"/>
      <c r="AL261" s="8"/>
      <c r="AM261" s="8"/>
      <c r="AN261" s="28"/>
      <c r="AO261" s="8"/>
      <c r="AP261" s="8"/>
      <c r="AQ261" s="28"/>
      <c r="AR261" s="28"/>
      <c r="AS261" s="28"/>
    </row>
    <row r="262" spans="1:45" ht="15.75" thickBot="1" x14ac:dyDescent="0.3">
      <c r="A262" t="s">
        <v>258</v>
      </c>
      <c r="C262" s="46" t="s">
        <v>673</v>
      </c>
      <c r="D262" t="s">
        <v>671</v>
      </c>
      <c r="E262" t="s">
        <v>113</v>
      </c>
      <c r="F262" t="s">
        <v>36</v>
      </c>
      <c r="G262"/>
      <c r="H262" t="s">
        <v>672</v>
      </c>
      <c r="I262" s="16">
        <v>-348003590000</v>
      </c>
      <c r="J262" s="16">
        <v>-582918370000</v>
      </c>
      <c r="K262" s="16" t="s">
        <v>1208</v>
      </c>
      <c r="L262" s="17">
        <f t="shared" si="18"/>
        <v>27</v>
      </c>
      <c r="M262" s="17">
        <f t="shared" si="19"/>
        <v>1</v>
      </c>
      <c r="N262" s="18">
        <f t="shared" si="20"/>
        <v>0.9642857142857143</v>
      </c>
      <c r="O262" s="28"/>
      <c r="P262" s="8"/>
      <c r="Q262" s="8"/>
      <c r="R262" s="8"/>
      <c r="S262" s="28"/>
      <c r="T262" s="28"/>
      <c r="U262" s="8"/>
      <c r="V262" s="8"/>
      <c r="W262" s="8" t="s">
        <v>939</v>
      </c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8"/>
      <c r="AJ262" s="8"/>
      <c r="AK262" s="8"/>
      <c r="AL262" s="8"/>
      <c r="AM262" s="8"/>
      <c r="AN262" s="28"/>
      <c r="AO262" s="8"/>
      <c r="AP262" s="8"/>
      <c r="AQ262" s="28"/>
      <c r="AR262" s="28"/>
      <c r="AS262" s="28"/>
    </row>
    <row r="263" spans="1:45" ht="15.75" thickBot="1" x14ac:dyDescent="0.3">
      <c r="A263" t="s">
        <v>258</v>
      </c>
      <c r="C263" s="46" t="s">
        <v>674</v>
      </c>
      <c r="D263" t="s">
        <v>675</v>
      </c>
      <c r="E263" t="s">
        <v>113</v>
      </c>
      <c r="F263" t="s">
        <v>36</v>
      </c>
      <c r="G263"/>
      <c r="H263" t="s">
        <v>270</v>
      </c>
      <c r="I263" s="16">
        <v>-348013110000</v>
      </c>
      <c r="J263" s="16">
        <v>-582936040000</v>
      </c>
      <c r="K263" s="16" t="s">
        <v>1209</v>
      </c>
      <c r="L263" s="17">
        <f t="shared" si="18"/>
        <v>20</v>
      </c>
      <c r="M263" s="17">
        <f t="shared" si="19"/>
        <v>8</v>
      </c>
      <c r="N263" s="18">
        <f t="shared" si="20"/>
        <v>0.7142857142857143</v>
      </c>
      <c r="O263" s="28"/>
      <c r="P263" s="8" t="s">
        <v>939</v>
      </c>
      <c r="Q263" s="8" t="s">
        <v>939</v>
      </c>
      <c r="R263" s="8" t="s">
        <v>939</v>
      </c>
      <c r="S263" s="28" t="s">
        <v>939</v>
      </c>
      <c r="T263" s="28" t="s">
        <v>939</v>
      </c>
      <c r="U263" s="8" t="s">
        <v>939</v>
      </c>
      <c r="V263" s="8" t="s">
        <v>939</v>
      </c>
      <c r="W263" s="8" t="s">
        <v>939</v>
      </c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8"/>
      <c r="AJ263" s="8"/>
      <c r="AK263" s="8"/>
      <c r="AL263" s="8"/>
      <c r="AM263" s="8"/>
      <c r="AN263" s="28"/>
      <c r="AO263" s="8"/>
      <c r="AP263" s="8"/>
      <c r="AQ263" s="28"/>
      <c r="AR263" s="28"/>
      <c r="AS263" s="28"/>
    </row>
    <row r="264" spans="1:45" ht="15.75" thickBot="1" x14ac:dyDescent="0.3">
      <c r="A264" t="s">
        <v>258</v>
      </c>
      <c r="C264" s="46" t="s">
        <v>676</v>
      </c>
      <c r="D264" t="s">
        <v>675</v>
      </c>
      <c r="E264" t="s">
        <v>113</v>
      </c>
      <c r="F264" t="s">
        <v>36</v>
      </c>
      <c r="G264"/>
      <c r="H264" t="s">
        <v>672</v>
      </c>
      <c r="I264" s="16">
        <v>-348013110000</v>
      </c>
      <c r="J264" s="16">
        <v>-582936040000</v>
      </c>
      <c r="K264" s="16" t="s">
        <v>1210</v>
      </c>
      <c r="L264" s="17">
        <f t="shared" si="18"/>
        <v>20</v>
      </c>
      <c r="M264" s="17">
        <f t="shared" si="19"/>
        <v>8</v>
      </c>
      <c r="N264" s="18">
        <f t="shared" si="20"/>
        <v>0.7142857142857143</v>
      </c>
      <c r="O264" s="28"/>
      <c r="P264" s="8" t="s">
        <v>939</v>
      </c>
      <c r="Q264" s="8" t="s">
        <v>939</v>
      </c>
      <c r="R264" s="8" t="s">
        <v>939</v>
      </c>
      <c r="S264" s="28" t="s">
        <v>939</v>
      </c>
      <c r="T264" s="28" t="s">
        <v>939</v>
      </c>
      <c r="U264" s="8" t="s">
        <v>939</v>
      </c>
      <c r="V264" s="8" t="s">
        <v>939</v>
      </c>
      <c r="W264" s="8" t="s">
        <v>939</v>
      </c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8"/>
      <c r="AJ264" s="8"/>
      <c r="AK264" s="8"/>
      <c r="AL264" s="8"/>
      <c r="AM264" s="8"/>
      <c r="AN264" s="28"/>
      <c r="AO264" s="8"/>
      <c r="AP264" s="8"/>
      <c r="AQ264" s="28"/>
      <c r="AR264" s="28"/>
      <c r="AS264" s="28"/>
    </row>
    <row r="265" spans="1:45" ht="15.75" thickBot="1" x14ac:dyDescent="0.3">
      <c r="A265" t="s">
        <v>677</v>
      </c>
      <c r="C265" s="46" t="s">
        <v>678</v>
      </c>
      <c r="D265" t="s">
        <v>679</v>
      </c>
      <c r="E265" t="s">
        <v>19</v>
      </c>
      <c r="F265" t="s">
        <v>25</v>
      </c>
      <c r="G265"/>
      <c r="H265" t="s">
        <v>633</v>
      </c>
      <c r="I265" s="16">
        <v>-348253350000</v>
      </c>
      <c r="J265" s="16">
        <v>-582845700000</v>
      </c>
      <c r="K265" s="16" t="s">
        <v>1217</v>
      </c>
      <c r="L265" s="17">
        <f t="shared" si="18"/>
        <v>28</v>
      </c>
      <c r="M265" s="17">
        <f t="shared" si="19"/>
        <v>0</v>
      </c>
      <c r="N265" s="18">
        <f t="shared" si="20"/>
        <v>1</v>
      </c>
      <c r="O265" s="28"/>
      <c r="P265" s="8"/>
      <c r="Q265" s="8"/>
      <c r="R265" s="8"/>
      <c r="S265" s="28"/>
      <c r="T265" s="28"/>
      <c r="U265" s="8"/>
      <c r="V265" s="8"/>
      <c r="W265" s="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8"/>
      <c r="AJ265" s="8"/>
      <c r="AK265" s="8"/>
      <c r="AL265" s="8"/>
      <c r="AM265" s="8"/>
      <c r="AN265" s="28"/>
      <c r="AO265" s="8"/>
      <c r="AP265" s="8"/>
      <c r="AQ265" s="28"/>
      <c r="AR265" s="28"/>
      <c r="AS265" s="28"/>
    </row>
    <row r="266" spans="1:45" ht="15.75" thickBot="1" x14ac:dyDescent="0.3">
      <c r="A266" t="s">
        <v>677</v>
      </c>
      <c r="C266" s="46" t="s">
        <v>680</v>
      </c>
      <c r="D266" t="s">
        <v>681</v>
      </c>
      <c r="E266" t="s">
        <v>24</v>
      </c>
      <c r="F266" t="s">
        <v>36</v>
      </c>
      <c r="G266" t="s">
        <v>682</v>
      </c>
      <c r="H266"/>
      <c r="I266" s="16">
        <v>-348241790000</v>
      </c>
      <c r="J266" s="16">
        <v>-582823410000</v>
      </c>
      <c r="K266" s="16" t="s">
        <v>1218</v>
      </c>
      <c r="L266" s="17">
        <f t="shared" si="18"/>
        <v>28</v>
      </c>
      <c r="M266" s="17">
        <f t="shared" si="19"/>
        <v>0</v>
      </c>
      <c r="N266" s="18">
        <f t="shared" si="20"/>
        <v>1</v>
      </c>
      <c r="O266" s="28"/>
      <c r="P266" s="8"/>
      <c r="Q266" s="8"/>
      <c r="R266" s="8"/>
      <c r="S266" s="28"/>
      <c r="T266" s="28"/>
      <c r="U266" s="8"/>
      <c r="V266" s="8"/>
      <c r="W266" s="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8"/>
      <c r="AJ266" s="8"/>
      <c r="AK266" s="8"/>
      <c r="AL266" s="8"/>
      <c r="AM266" s="8"/>
      <c r="AN266" s="28"/>
      <c r="AO266" s="8"/>
      <c r="AP266" s="8"/>
      <c r="AQ266" s="28"/>
      <c r="AR266" s="28"/>
      <c r="AS266" s="28"/>
    </row>
    <row r="267" spans="1:45" ht="15.75" thickBot="1" x14ac:dyDescent="0.3">
      <c r="A267" t="s">
        <v>677</v>
      </c>
      <c r="C267" s="46" t="s">
        <v>683</v>
      </c>
      <c r="D267" t="s">
        <v>684</v>
      </c>
      <c r="E267" t="s">
        <v>24</v>
      </c>
      <c r="F267" t="s">
        <v>36</v>
      </c>
      <c r="G267" t="s">
        <v>682</v>
      </c>
      <c r="H267"/>
      <c r="I267" s="16">
        <v>-348222800000</v>
      </c>
      <c r="J267" s="16">
        <v>-582835650000</v>
      </c>
      <c r="K267" s="16" t="s">
        <v>1219</v>
      </c>
      <c r="L267" s="17">
        <f t="shared" si="18"/>
        <v>28</v>
      </c>
      <c r="M267" s="17">
        <f t="shared" si="19"/>
        <v>0</v>
      </c>
      <c r="N267" s="18">
        <f t="shared" si="20"/>
        <v>1</v>
      </c>
      <c r="O267" s="28"/>
      <c r="P267" s="8"/>
      <c r="Q267" s="8"/>
      <c r="R267" s="8"/>
      <c r="S267" s="28"/>
      <c r="T267" s="28"/>
      <c r="U267" s="8"/>
      <c r="V267" s="8"/>
      <c r="W267" s="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8"/>
      <c r="AJ267" s="8"/>
      <c r="AK267" s="8"/>
      <c r="AL267" s="8"/>
      <c r="AM267" s="8"/>
      <c r="AN267" s="28"/>
      <c r="AO267" s="8"/>
      <c r="AP267" s="8"/>
      <c r="AQ267" s="28"/>
      <c r="AR267" s="28"/>
      <c r="AS267" s="28"/>
    </row>
    <row r="268" spans="1:45" ht="15.75" thickBot="1" x14ac:dyDescent="0.3">
      <c r="A268" t="s">
        <v>677</v>
      </c>
      <c r="C268" s="46" t="s">
        <v>685</v>
      </c>
      <c r="D268" t="s">
        <v>686</v>
      </c>
      <c r="E268" t="s">
        <v>24</v>
      </c>
      <c r="F268" t="s">
        <v>36</v>
      </c>
      <c r="G268"/>
      <c r="H268"/>
      <c r="I268" s="16">
        <v>-348233110000</v>
      </c>
      <c r="J268" s="16">
        <v>-582829730000</v>
      </c>
      <c r="K268" s="16" t="s">
        <v>1220</v>
      </c>
      <c r="L268" s="17">
        <f t="shared" si="18"/>
        <v>28</v>
      </c>
      <c r="M268" s="17">
        <f t="shared" si="19"/>
        <v>0</v>
      </c>
      <c r="N268" s="18">
        <f t="shared" si="20"/>
        <v>1</v>
      </c>
      <c r="O268" s="28"/>
      <c r="P268" s="8"/>
      <c r="Q268" s="8"/>
      <c r="R268" s="8"/>
      <c r="S268" s="28"/>
      <c r="T268" s="28"/>
      <c r="U268" s="8"/>
      <c r="V268" s="8"/>
      <c r="W268" s="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8"/>
      <c r="AJ268" s="8"/>
      <c r="AK268" s="8"/>
      <c r="AL268" s="8"/>
      <c r="AM268" s="8"/>
      <c r="AN268" s="28"/>
      <c r="AO268" s="8"/>
      <c r="AP268" s="8"/>
      <c r="AQ268" s="28"/>
      <c r="AR268" s="28"/>
      <c r="AS268" s="28"/>
    </row>
    <row r="269" spans="1:45" ht="15.75" thickBot="1" x14ac:dyDescent="0.3">
      <c r="A269" t="s">
        <v>677</v>
      </c>
      <c r="C269" s="46" t="s">
        <v>687</v>
      </c>
      <c r="D269" t="s">
        <v>688</v>
      </c>
      <c r="E269" t="s">
        <v>19</v>
      </c>
      <c r="F269" t="s">
        <v>25</v>
      </c>
      <c r="G269"/>
      <c r="H269" t="s">
        <v>689</v>
      </c>
      <c r="I269" s="16">
        <v>-348290430000</v>
      </c>
      <c r="J269" s="16">
        <v>-582797810000</v>
      </c>
      <c r="K269" s="16" t="s">
        <v>1193</v>
      </c>
      <c r="L269" s="17">
        <f t="shared" si="18"/>
        <v>28</v>
      </c>
      <c r="M269" s="17">
        <f t="shared" si="19"/>
        <v>0</v>
      </c>
      <c r="N269" s="18">
        <f t="shared" si="20"/>
        <v>1</v>
      </c>
      <c r="O269" s="28"/>
      <c r="P269" s="8"/>
      <c r="Q269" s="8"/>
      <c r="R269" s="8"/>
      <c r="S269" s="28"/>
      <c r="T269" s="28"/>
      <c r="U269" s="8"/>
      <c r="V269" s="8"/>
      <c r="W269" s="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8"/>
      <c r="AJ269" s="8"/>
      <c r="AK269" s="8"/>
      <c r="AL269" s="8"/>
      <c r="AM269" s="8"/>
      <c r="AN269" s="28"/>
      <c r="AO269" s="8"/>
      <c r="AP269" s="8"/>
      <c r="AQ269" s="28"/>
      <c r="AR269" s="28"/>
      <c r="AS269" s="28"/>
    </row>
    <row r="270" spans="1:45" ht="15.75" thickBot="1" x14ac:dyDescent="0.3">
      <c r="A270" t="s">
        <v>677</v>
      </c>
      <c r="B270" s="60">
        <v>44629</v>
      </c>
      <c r="C270" s="62" t="s">
        <v>690</v>
      </c>
      <c r="D270" t="s">
        <v>691</v>
      </c>
      <c r="E270" t="s">
        <v>19</v>
      </c>
      <c r="F270" t="s">
        <v>25</v>
      </c>
      <c r="G270"/>
      <c r="H270" t="s">
        <v>692</v>
      </c>
      <c r="I270" s="16">
        <v>-348289520000</v>
      </c>
      <c r="J270" s="16">
        <v>-582878780000</v>
      </c>
      <c r="K270" s="16" t="s">
        <v>1221</v>
      </c>
      <c r="L270" s="17">
        <f t="shared" si="18"/>
        <v>28</v>
      </c>
      <c r="M270" s="17">
        <f t="shared" si="19"/>
        <v>0</v>
      </c>
      <c r="N270" s="18">
        <f t="shared" si="20"/>
        <v>1</v>
      </c>
      <c r="O270" s="28"/>
      <c r="P270" s="8"/>
      <c r="Q270" s="8"/>
      <c r="R270" s="8"/>
      <c r="S270" s="28"/>
      <c r="T270" s="28"/>
      <c r="U270" s="8"/>
      <c r="V270" s="8"/>
      <c r="W270" s="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8"/>
      <c r="AJ270" s="8"/>
      <c r="AK270" s="8"/>
      <c r="AL270" s="8"/>
      <c r="AM270" s="8"/>
      <c r="AN270" s="28"/>
      <c r="AO270" s="8"/>
      <c r="AP270" s="8"/>
      <c r="AQ270" s="28"/>
      <c r="AR270" s="28"/>
      <c r="AS270" s="28"/>
    </row>
    <row r="271" spans="1:45" ht="15.75" thickBot="1" x14ac:dyDescent="0.3">
      <c r="A271" t="s">
        <v>677</v>
      </c>
      <c r="C271" s="46" t="s">
        <v>693</v>
      </c>
      <c r="D271" t="s">
        <v>694</v>
      </c>
      <c r="E271" t="s">
        <v>113</v>
      </c>
      <c r="F271" t="s">
        <v>36</v>
      </c>
      <c r="G271"/>
      <c r="H271" t="s">
        <v>695</v>
      </c>
      <c r="I271" s="16">
        <v>-348214110000</v>
      </c>
      <c r="J271" s="16">
        <v>-582806410000</v>
      </c>
      <c r="K271" s="16" t="s">
        <v>1225</v>
      </c>
      <c r="L271" s="17">
        <f t="shared" si="18"/>
        <v>16</v>
      </c>
      <c r="M271" s="17">
        <f t="shared" si="19"/>
        <v>12</v>
      </c>
      <c r="N271" s="18">
        <f t="shared" si="20"/>
        <v>0.5714285714285714</v>
      </c>
      <c r="O271" s="28" t="s">
        <v>939</v>
      </c>
      <c r="P271" s="8" t="s">
        <v>939</v>
      </c>
      <c r="Q271" s="8" t="s">
        <v>939</v>
      </c>
      <c r="R271" s="8" t="s">
        <v>939</v>
      </c>
      <c r="S271" s="28" t="s">
        <v>939</v>
      </c>
      <c r="T271" s="28" t="s">
        <v>939</v>
      </c>
      <c r="U271" s="8"/>
      <c r="V271" s="8" t="s">
        <v>939</v>
      </c>
      <c r="W271" s="8" t="s">
        <v>939</v>
      </c>
      <c r="X271" s="28" t="s">
        <v>939</v>
      </c>
      <c r="Y271" s="28" t="s">
        <v>939</v>
      </c>
      <c r="Z271" s="28" t="s">
        <v>939</v>
      </c>
      <c r="AA271" s="28" t="s">
        <v>939</v>
      </c>
      <c r="AB271" s="28"/>
      <c r="AC271" s="28"/>
      <c r="AD271" s="28"/>
      <c r="AE271" s="28"/>
      <c r="AF271" s="28"/>
      <c r="AG271" s="28"/>
      <c r="AH271" s="28"/>
      <c r="AI271" s="8"/>
      <c r="AJ271" s="28"/>
      <c r="AK271" s="8"/>
      <c r="AL271" s="8"/>
      <c r="AM271" s="8"/>
      <c r="AN271" s="28"/>
      <c r="AO271" s="8"/>
      <c r="AP271" s="8"/>
      <c r="AQ271" s="28"/>
      <c r="AR271" s="28"/>
      <c r="AS271" s="28"/>
    </row>
    <row r="272" spans="1:45" ht="15.75" thickBot="1" x14ac:dyDescent="0.3">
      <c r="A272" t="s">
        <v>677</v>
      </c>
      <c r="C272" s="46" t="s">
        <v>696</v>
      </c>
      <c r="D272" t="s">
        <v>694</v>
      </c>
      <c r="E272" t="s">
        <v>113</v>
      </c>
      <c r="F272" t="s">
        <v>36</v>
      </c>
      <c r="G272"/>
      <c r="H272" t="s">
        <v>695</v>
      </c>
      <c r="I272" s="16">
        <v>-348214480000</v>
      </c>
      <c r="J272" s="16">
        <v>-582806290000</v>
      </c>
      <c r="K272" s="16" t="s">
        <v>1226</v>
      </c>
      <c r="L272" s="17">
        <f t="shared" si="18"/>
        <v>17</v>
      </c>
      <c r="M272" s="17">
        <f t="shared" si="19"/>
        <v>11</v>
      </c>
      <c r="N272" s="18">
        <f t="shared" si="20"/>
        <v>0.6071428571428571</v>
      </c>
      <c r="O272" s="28" t="s">
        <v>939</v>
      </c>
      <c r="P272" s="8" t="s">
        <v>939</v>
      </c>
      <c r="Q272" s="8" t="s">
        <v>939</v>
      </c>
      <c r="R272" s="8" t="s">
        <v>939</v>
      </c>
      <c r="S272" s="28" t="s">
        <v>939</v>
      </c>
      <c r="T272" s="28" t="s">
        <v>939</v>
      </c>
      <c r="U272" s="8"/>
      <c r="V272" s="8" t="s">
        <v>939</v>
      </c>
      <c r="W272" s="8" t="s">
        <v>939</v>
      </c>
      <c r="X272" s="28" t="s">
        <v>939</v>
      </c>
      <c r="Y272" s="28" t="s">
        <v>939</v>
      </c>
      <c r="Z272" s="28"/>
      <c r="AA272" s="28" t="s">
        <v>939</v>
      </c>
      <c r="AB272" s="28"/>
      <c r="AC272" s="28"/>
      <c r="AD272" s="28"/>
      <c r="AE272" s="28"/>
      <c r="AF272" s="28"/>
      <c r="AG272" s="28"/>
      <c r="AH272" s="28"/>
      <c r="AI272" s="8"/>
      <c r="AJ272" s="28"/>
      <c r="AK272" s="8"/>
      <c r="AL272" s="8"/>
      <c r="AM272" s="8"/>
      <c r="AN272" s="28"/>
      <c r="AO272" s="8"/>
      <c r="AP272" s="8"/>
      <c r="AQ272" s="28"/>
      <c r="AR272" s="28"/>
      <c r="AS272" s="28"/>
    </row>
    <row r="273" spans="1:45" ht="15.75" thickBot="1" x14ac:dyDescent="0.3">
      <c r="A273" t="s">
        <v>677</v>
      </c>
      <c r="C273" s="46" t="s">
        <v>697</v>
      </c>
      <c r="D273" t="s">
        <v>923</v>
      </c>
      <c r="E273" t="s">
        <v>24</v>
      </c>
      <c r="F273" t="s">
        <v>25</v>
      </c>
      <c r="G273" t="s">
        <v>364</v>
      </c>
      <c r="H273"/>
      <c r="I273" s="16">
        <v>-348304140000</v>
      </c>
      <c r="J273" s="16">
        <v>-582906680000</v>
      </c>
      <c r="K273" s="16" t="s">
        <v>1213</v>
      </c>
      <c r="L273" s="17">
        <f t="shared" si="18"/>
        <v>28</v>
      </c>
      <c r="M273" s="17">
        <f t="shared" si="19"/>
        <v>0</v>
      </c>
      <c r="N273" s="18">
        <f t="shared" si="20"/>
        <v>1</v>
      </c>
      <c r="O273" s="28"/>
      <c r="P273" s="8"/>
      <c r="Q273" s="8"/>
      <c r="R273" s="8"/>
      <c r="S273" s="28"/>
      <c r="T273" s="28"/>
      <c r="U273" s="8"/>
      <c r="V273" s="8"/>
      <c r="W273" s="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8"/>
      <c r="AJ273" s="8"/>
      <c r="AK273" s="8"/>
      <c r="AL273" s="8"/>
      <c r="AM273" s="8"/>
      <c r="AN273" s="28"/>
      <c r="AO273" s="8"/>
      <c r="AP273" s="8"/>
      <c r="AQ273" s="28"/>
      <c r="AR273" s="28"/>
      <c r="AS273" s="28"/>
    </row>
    <row r="274" spans="1:45" ht="15.75" thickBot="1" x14ac:dyDescent="0.3">
      <c r="A274" t="s">
        <v>538</v>
      </c>
      <c r="C274" s="46" t="s">
        <v>698</v>
      </c>
      <c r="D274" t="s">
        <v>699</v>
      </c>
      <c r="E274" t="s">
        <v>24</v>
      </c>
      <c r="F274" t="s">
        <v>25</v>
      </c>
      <c r="G274" t="s">
        <v>161</v>
      </c>
      <c r="H274"/>
      <c r="I274" s="16">
        <v>-348364740000</v>
      </c>
      <c r="J274" s="16">
        <v>-583002200000</v>
      </c>
      <c r="K274" s="16" t="s">
        <v>1214</v>
      </c>
      <c r="L274" s="17">
        <f t="shared" si="18"/>
        <v>28</v>
      </c>
      <c r="M274" s="17">
        <f t="shared" si="19"/>
        <v>0</v>
      </c>
      <c r="N274" s="18">
        <f t="shared" si="20"/>
        <v>1</v>
      </c>
      <c r="O274" s="28"/>
      <c r="P274" s="8"/>
      <c r="Q274" s="8"/>
      <c r="R274" s="8"/>
      <c r="S274" s="28"/>
      <c r="T274" s="28"/>
      <c r="U274" s="8"/>
      <c r="V274" s="8"/>
      <c r="W274" s="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8"/>
      <c r="AJ274" s="8"/>
      <c r="AK274" s="8"/>
      <c r="AL274" s="8"/>
      <c r="AM274" s="8"/>
      <c r="AN274" s="28"/>
      <c r="AO274" s="8"/>
      <c r="AP274" s="8"/>
      <c r="AQ274" s="28"/>
      <c r="AR274" s="28"/>
      <c r="AS274" s="28"/>
    </row>
    <row r="275" spans="1:45" ht="15.75" thickBot="1" x14ac:dyDescent="0.3">
      <c r="A275" t="s">
        <v>677</v>
      </c>
      <c r="C275" s="46" t="s">
        <v>700</v>
      </c>
      <c r="D275" t="s">
        <v>701</v>
      </c>
      <c r="E275" t="s">
        <v>24</v>
      </c>
      <c r="F275" t="s">
        <v>25</v>
      </c>
      <c r="G275" t="s">
        <v>702</v>
      </c>
      <c r="H275"/>
      <c r="I275" s="16">
        <v>-348289220000</v>
      </c>
      <c r="J275" s="16">
        <v>-582776430000</v>
      </c>
      <c r="K275" s="16" t="s">
        <v>1215</v>
      </c>
      <c r="L275" s="17">
        <f t="shared" si="18"/>
        <v>28</v>
      </c>
      <c r="M275" s="17">
        <f t="shared" si="19"/>
        <v>0</v>
      </c>
      <c r="N275" s="18">
        <f t="shared" si="20"/>
        <v>1</v>
      </c>
      <c r="O275" s="28"/>
      <c r="P275" s="8"/>
      <c r="Q275" s="8"/>
      <c r="R275" s="8"/>
      <c r="S275" s="28"/>
      <c r="T275" s="28"/>
      <c r="U275" s="8"/>
      <c r="V275" s="8"/>
      <c r="W275" s="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8"/>
      <c r="AJ275" s="8"/>
      <c r="AK275" s="8"/>
      <c r="AL275" s="8"/>
      <c r="AM275" s="8"/>
      <c r="AN275" s="28"/>
      <c r="AO275" s="8"/>
      <c r="AP275" s="8"/>
      <c r="AQ275" s="28"/>
      <c r="AR275" s="28"/>
      <c r="AS275" s="28"/>
    </row>
    <row r="276" spans="1:45" ht="15.75" thickBot="1" x14ac:dyDescent="0.3">
      <c r="A276" t="s">
        <v>677</v>
      </c>
      <c r="C276" s="46" t="s">
        <v>703</v>
      </c>
      <c r="D276" t="s">
        <v>704</v>
      </c>
      <c r="E276" t="s">
        <v>24</v>
      </c>
      <c r="F276" t="s">
        <v>25</v>
      </c>
      <c r="G276" t="s">
        <v>705</v>
      </c>
      <c r="H276"/>
      <c r="I276" s="16">
        <v>-348208590000</v>
      </c>
      <c r="J276" s="16">
        <v>-582810870000</v>
      </c>
      <c r="K276" s="16" t="s">
        <v>1216</v>
      </c>
      <c r="L276" s="17">
        <f t="shared" si="18"/>
        <v>25</v>
      </c>
      <c r="M276" s="17">
        <f t="shared" si="19"/>
        <v>3</v>
      </c>
      <c r="N276" s="18">
        <f t="shared" si="20"/>
        <v>0.8928571428571429</v>
      </c>
      <c r="O276" s="28"/>
      <c r="P276" s="8" t="s">
        <v>939</v>
      </c>
      <c r="Q276" s="8" t="s">
        <v>939</v>
      </c>
      <c r="R276" s="8" t="s">
        <v>939</v>
      </c>
      <c r="S276" s="28"/>
      <c r="T276" s="28"/>
      <c r="U276" s="8"/>
      <c r="V276" s="8"/>
      <c r="W276" s="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8"/>
      <c r="AJ276" s="8"/>
      <c r="AK276" s="8"/>
      <c r="AL276" s="8"/>
      <c r="AM276" s="8"/>
      <c r="AN276" s="28"/>
      <c r="AO276" s="8"/>
      <c r="AP276" s="8"/>
      <c r="AQ276" s="28"/>
      <c r="AR276" s="28"/>
      <c r="AS276" s="28"/>
    </row>
    <row r="277" spans="1:45" ht="15.75" thickBot="1" x14ac:dyDescent="0.3">
      <c r="A277" t="s">
        <v>677</v>
      </c>
      <c r="C277" s="46" t="s">
        <v>706</v>
      </c>
      <c r="D277" t="s">
        <v>707</v>
      </c>
      <c r="E277" t="s">
        <v>19</v>
      </c>
      <c r="F277" t="s">
        <v>25</v>
      </c>
      <c r="G277"/>
      <c r="H277" t="s">
        <v>708</v>
      </c>
      <c r="I277" s="16">
        <v>-348280830000</v>
      </c>
      <c r="J277" s="16">
        <v>-582861650000</v>
      </c>
      <c r="K277" s="16" t="s">
        <v>1211</v>
      </c>
      <c r="L277" s="17">
        <f t="shared" si="18"/>
        <v>24</v>
      </c>
      <c r="M277" s="17">
        <f t="shared" si="19"/>
        <v>4</v>
      </c>
      <c r="N277" s="18">
        <f t="shared" si="20"/>
        <v>0.8571428571428571</v>
      </c>
      <c r="O277" s="28" t="s">
        <v>939</v>
      </c>
      <c r="P277" s="8" t="s">
        <v>939</v>
      </c>
      <c r="Q277" s="8" t="s">
        <v>939</v>
      </c>
      <c r="R277" s="8" t="s">
        <v>939</v>
      </c>
      <c r="S277" s="28"/>
      <c r="T277" s="28"/>
      <c r="U277" s="8"/>
      <c r="V277" s="8"/>
      <c r="W277" s="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8"/>
      <c r="AJ277" s="28"/>
      <c r="AK277" s="8"/>
      <c r="AL277" s="8"/>
      <c r="AM277" s="8"/>
      <c r="AN277" s="28"/>
      <c r="AO277" s="8"/>
      <c r="AP277" s="8"/>
      <c r="AQ277" s="28"/>
      <c r="AR277" s="28"/>
      <c r="AS277" s="28"/>
    </row>
    <row r="278" spans="1:45" ht="15.75" thickBot="1" x14ac:dyDescent="0.3">
      <c r="A278" t="s">
        <v>677</v>
      </c>
      <c r="C278" s="46" t="s">
        <v>709</v>
      </c>
      <c r="D278" t="s">
        <v>710</v>
      </c>
      <c r="E278" t="s">
        <v>19</v>
      </c>
      <c r="F278" t="s">
        <v>25</v>
      </c>
      <c r="G278"/>
      <c r="H278" t="s">
        <v>708</v>
      </c>
      <c r="I278" s="16">
        <v>-348340000000</v>
      </c>
      <c r="J278" s="16">
        <v>-582878750000</v>
      </c>
      <c r="K278" s="16" t="s">
        <v>1212</v>
      </c>
      <c r="L278" s="17">
        <f t="shared" si="18"/>
        <v>28</v>
      </c>
      <c r="M278" s="17">
        <f t="shared" si="19"/>
        <v>0</v>
      </c>
      <c r="N278" s="18">
        <f t="shared" si="20"/>
        <v>1</v>
      </c>
      <c r="O278" s="28"/>
      <c r="P278" s="8"/>
      <c r="Q278" s="8"/>
      <c r="R278" s="8"/>
      <c r="S278" s="28"/>
      <c r="T278" s="28"/>
      <c r="U278" s="8"/>
      <c r="V278" s="8"/>
      <c r="W278" s="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8"/>
      <c r="AJ278" s="8"/>
      <c r="AK278" s="8"/>
      <c r="AL278" s="8"/>
      <c r="AM278" s="8"/>
      <c r="AN278" s="28"/>
      <c r="AO278" s="8"/>
      <c r="AP278" s="8"/>
      <c r="AQ278" s="28"/>
      <c r="AR278" s="28"/>
      <c r="AS278" s="28"/>
    </row>
    <row r="279" spans="1:45" ht="15.75" thickBot="1" x14ac:dyDescent="0.3">
      <c r="A279" t="s">
        <v>538</v>
      </c>
      <c r="C279" s="46" t="s">
        <v>711</v>
      </c>
      <c r="D279" t="s">
        <v>712</v>
      </c>
      <c r="E279" t="s">
        <v>113</v>
      </c>
      <c r="F279" t="s">
        <v>20</v>
      </c>
      <c r="G279"/>
      <c r="H279" t="s">
        <v>270</v>
      </c>
      <c r="I279" s="16">
        <v>-348335600000</v>
      </c>
      <c r="J279" s="16">
        <v>-582946050000</v>
      </c>
      <c r="K279" s="16" t="s">
        <v>1222</v>
      </c>
      <c r="L279" s="17">
        <f t="shared" si="18"/>
        <v>22</v>
      </c>
      <c r="M279" s="17">
        <f t="shared" si="19"/>
        <v>6</v>
      </c>
      <c r="N279" s="18">
        <f t="shared" si="20"/>
        <v>0.7857142857142857</v>
      </c>
      <c r="O279" s="28"/>
      <c r="P279" s="8"/>
      <c r="Q279" s="8"/>
      <c r="R279" s="8"/>
      <c r="S279" s="28"/>
      <c r="T279" s="28"/>
      <c r="U279" s="8"/>
      <c r="V279" s="8" t="s">
        <v>939</v>
      </c>
      <c r="W279" s="8" t="s">
        <v>939</v>
      </c>
      <c r="X279" s="28" t="s">
        <v>939</v>
      </c>
      <c r="Y279" s="28" t="s">
        <v>939</v>
      </c>
      <c r="Z279" s="28" t="s">
        <v>939</v>
      </c>
      <c r="AA279" s="28" t="s">
        <v>939</v>
      </c>
      <c r="AB279" s="28"/>
      <c r="AC279" s="28"/>
      <c r="AD279" s="28"/>
      <c r="AE279" s="28"/>
      <c r="AF279" s="28"/>
      <c r="AG279" s="28"/>
      <c r="AH279" s="28"/>
      <c r="AI279" s="8"/>
      <c r="AJ279" s="8"/>
      <c r="AK279" s="8"/>
      <c r="AL279" s="8"/>
      <c r="AM279" s="8"/>
      <c r="AN279" s="28"/>
      <c r="AO279" s="8"/>
      <c r="AP279" s="8"/>
      <c r="AQ279" s="28"/>
      <c r="AR279" s="28"/>
      <c r="AS279" s="28"/>
    </row>
    <row r="280" spans="1:45" ht="15.75" thickBot="1" x14ac:dyDescent="0.3">
      <c r="A280" t="s">
        <v>538</v>
      </c>
      <c r="C280" s="46" t="s">
        <v>713</v>
      </c>
      <c r="D280" t="s">
        <v>712</v>
      </c>
      <c r="E280" t="s">
        <v>113</v>
      </c>
      <c r="F280" t="s">
        <v>20</v>
      </c>
      <c r="G280"/>
      <c r="H280" t="s">
        <v>270</v>
      </c>
      <c r="I280" s="16">
        <v>-348335740000</v>
      </c>
      <c r="J280" s="16">
        <v>-582946270000</v>
      </c>
      <c r="K280" s="16" t="s">
        <v>1223</v>
      </c>
      <c r="L280" s="17">
        <f t="shared" si="18"/>
        <v>17</v>
      </c>
      <c r="M280" s="17">
        <f t="shared" si="19"/>
        <v>11</v>
      </c>
      <c r="N280" s="18">
        <f t="shared" si="20"/>
        <v>0.6071428571428571</v>
      </c>
      <c r="O280" s="28" t="s">
        <v>939</v>
      </c>
      <c r="P280" s="8" t="s">
        <v>939</v>
      </c>
      <c r="Q280" s="8" t="s">
        <v>939</v>
      </c>
      <c r="R280" s="8" t="s">
        <v>939</v>
      </c>
      <c r="S280" s="28"/>
      <c r="T280" s="28"/>
      <c r="U280" s="8" t="s">
        <v>939</v>
      </c>
      <c r="V280" s="8" t="s">
        <v>939</v>
      </c>
      <c r="W280" s="8" t="s">
        <v>939</v>
      </c>
      <c r="X280" s="28" t="s">
        <v>939</v>
      </c>
      <c r="Y280" s="28" t="s">
        <v>939</v>
      </c>
      <c r="Z280" s="28" t="s">
        <v>939</v>
      </c>
      <c r="AA280" s="28" t="s">
        <v>939</v>
      </c>
      <c r="AB280" s="28"/>
      <c r="AC280" s="28"/>
      <c r="AD280" s="28"/>
      <c r="AE280" s="28"/>
      <c r="AF280" s="28"/>
      <c r="AG280" s="28"/>
      <c r="AH280" s="28"/>
      <c r="AI280" s="8"/>
      <c r="AJ280" s="28"/>
      <c r="AK280" s="8"/>
      <c r="AL280" s="8"/>
      <c r="AM280" s="8"/>
      <c r="AN280" s="28"/>
      <c r="AO280" s="8"/>
      <c r="AP280" s="8"/>
      <c r="AQ280" s="28"/>
      <c r="AR280" s="28"/>
      <c r="AS280" s="28"/>
    </row>
    <row r="281" spans="1:45" ht="15.75" thickBot="1" x14ac:dyDescent="0.3">
      <c r="A281" t="s">
        <v>677</v>
      </c>
      <c r="C281" s="46" t="s">
        <v>714</v>
      </c>
      <c r="D281" t="s">
        <v>715</v>
      </c>
      <c r="E281" t="s">
        <v>19</v>
      </c>
      <c r="F281" t="s">
        <v>36</v>
      </c>
      <c r="G281"/>
      <c r="H281" t="s">
        <v>716</v>
      </c>
      <c r="I281" s="16">
        <v>-348275750000</v>
      </c>
      <c r="J281" s="16">
        <v>-582788330000</v>
      </c>
      <c r="K281" s="16" t="s">
        <v>1224</v>
      </c>
      <c r="L281" s="17">
        <f t="shared" si="18"/>
        <v>28</v>
      </c>
      <c r="M281" s="17">
        <f t="shared" si="19"/>
        <v>0</v>
      </c>
      <c r="N281" s="18">
        <f t="shared" si="20"/>
        <v>1</v>
      </c>
      <c r="O281" s="28"/>
      <c r="P281" s="8"/>
      <c r="Q281" s="8"/>
      <c r="R281" s="8"/>
      <c r="S281" s="28"/>
      <c r="T281" s="28"/>
      <c r="U281" s="8"/>
      <c r="V281" s="8"/>
      <c r="W281" s="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8"/>
      <c r="AJ281" s="8"/>
      <c r="AK281" s="8"/>
      <c r="AL281" s="8"/>
      <c r="AM281" s="8"/>
      <c r="AN281" s="28"/>
      <c r="AO281" s="8"/>
      <c r="AP281" s="8"/>
      <c r="AQ281" s="28"/>
      <c r="AR281" s="28"/>
      <c r="AS281" s="28"/>
    </row>
    <row r="282" spans="1:45" ht="15.75" thickBot="1" x14ac:dyDescent="0.3">
      <c r="A282" t="s">
        <v>677</v>
      </c>
      <c r="C282" s="46" t="s">
        <v>717</v>
      </c>
      <c r="D282" t="s">
        <v>718</v>
      </c>
      <c r="E282" t="s">
        <v>113</v>
      </c>
      <c r="F282" t="s">
        <v>36</v>
      </c>
      <c r="G282" t="s">
        <v>629</v>
      </c>
      <c r="H282" t="s">
        <v>719</v>
      </c>
      <c r="I282" s="16">
        <v>-348258430000</v>
      </c>
      <c r="J282" s="16">
        <v>-582890260000</v>
      </c>
      <c r="K282" s="16" t="s">
        <v>1227</v>
      </c>
      <c r="L282" s="17">
        <f t="shared" si="18"/>
        <v>28</v>
      </c>
      <c r="M282" s="17">
        <f t="shared" si="19"/>
        <v>0</v>
      </c>
      <c r="N282" s="18">
        <f t="shared" si="20"/>
        <v>1</v>
      </c>
      <c r="O282" s="28"/>
      <c r="P282" s="8"/>
      <c r="Q282" s="8"/>
      <c r="R282" s="8"/>
      <c r="S282" s="28"/>
      <c r="T282" s="28"/>
      <c r="U282" s="8"/>
      <c r="V282" s="8"/>
      <c r="W282" s="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8"/>
      <c r="AJ282" s="8"/>
      <c r="AK282" s="8"/>
      <c r="AL282" s="8"/>
      <c r="AM282" s="8"/>
      <c r="AN282" s="28"/>
      <c r="AO282" s="8"/>
      <c r="AP282" s="8"/>
      <c r="AQ282" s="28"/>
      <c r="AR282" s="28"/>
      <c r="AS282" s="28"/>
    </row>
    <row r="283" spans="1:45" ht="15.75" thickBot="1" x14ac:dyDescent="0.3">
      <c r="A283" t="s">
        <v>677</v>
      </c>
      <c r="C283" s="46" t="s">
        <v>720</v>
      </c>
      <c r="D283" t="s">
        <v>718</v>
      </c>
      <c r="E283" t="s">
        <v>113</v>
      </c>
      <c r="F283" t="s">
        <v>36</v>
      </c>
      <c r="G283" t="s">
        <v>629</v>
      </c>
      <c r="H283" t="s">
        <v>719</v>
      </c>
      <c r="I283" s="16">
        <v>-348258430000</v>
      </c>
      <c r="J283" s="16">
        <v>-582889510000</v>
      </c>
      <c r="K283" s="16" t="s">
        <v>1228</v>
      </c>
      <c r="L283" s="17">
        <f t="shared" si="18"/>
        <v>28</v>
      </c>
      <c r="M283" s="17">
        <f t="shared" si="19"/>
        <v>0</v>
      </c>
      <c r="N283" s="18">
        <f t="shared" si="20"/>
        <v>1</v>
      </c>
      <c r="O283" s="28"/>
      <c r="P283" s="8"/>
      <c r="Q283" s="8"/>
      <c r="R283" s="8"/>
      <c r="S283" s="28"/>
      <c r="T283" s="28"/>
      <c r="U283" s="8"/>
      <c r="V283" s="8"/>
      <c r="W283" s="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8"/>
      <c r="AJ283" s="8"/>
      <c r="AK283" s="8"/>
      <c r="AL283" s="8"/>
      <c r="AM283" s="8"/>
      <c r="AN283" s="28"/>
      <c r="AO283" s="8"/>
      <c r="AP283" s="8"/>
      <c r="AQ283" s="28"/>
      <c r="AR283" s="28"/>
      <c r="AS283" s="28"/>
    </row>
    <row r="284" spans="1:45" ht="15.75" thickBot="1" x14ac:dyDescent="0.3">
      <c r="A284" t="s">
        <v>549</v>
      </c>
      <c r="C284" s="46" t="s">
        <v>721</v>
      </c>
      <c r="D284" t="s">
        <v>722</v>
      </c>
      <c r="E284" t="s">
        <v>113</v>
      </c>
      <c r="F284" t="s">
        <v>36</v>
      </c>
      <c r="G284"/>
      <c r="H284" t="s">
        <v>672</v>
      </c>
      <c r="I284" s="16">
        <v>-348182670000</v>
      </c>
      <c r="J284" s="16">
        <v>-582049970000</v>
      </c>
      <c r="K284" s="16" t="s">
        <v>1229</v>
      </c>
      <c r="L284" s="17">
        <f t="shared" si="18"/>
        <v>28</v>
      </c>
      <c r="M284" s="17">
        <f t="shared" si="19"/>
        <v>0</v>
      </c>
      <c r="N284" s="18">
        <f t="shared" si="20"/>
        <v>1</v>
      </c>
      <c r="O284" s="28"/>
      <c r="P284" s="8"/>
      <c r="Q284" s="8"/>
      <c r="R284" s="8"/>
      <c r="S284" s="28"/>
      <c r="T284" s="28"/>
      <c r="U284" s="8"/>
      <c r="V284" s="8"/>
      <c r="W284" s="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8"/>
      <c r="AJ284" s="8"/>
      <c r="AK284" s="8"/>
      <c r="AL284" s="8"/>
      <c r="AM284" s="8"/>
      <c r="AN284" s="28"/>
      <c r="AO284" s="8"/>
      <c r="AP284" s="8"/>
      <c r="AQ284" s="28"/>
      <c r="AR284" s="28"/>
      <c r="AS284" s="28"/>
    </row>
    <row r="285" spans="1:45" ht="15.75" thickBot="1" x14ac:dyDescent="0.3">
      <c r="A285" t="s">
        <v>549</v>
      </c>
      <c r="C285" s="46" t="s">
        <v>723</v>
      </c>
      <c r="D285" t="s">
        <v>722</v>
      </c>
      <c r="E285" t="s">
        <v>113</v>
      </c>
      <c r="F285" t="s">
        <v>36</v>
      </c>
      <c r="G285"/>
      <c r="H285" t="s">
        <v>672</v>
      </c>
      <c r="I285" s="16">
        <v>-348182670000</v>
      </c>
      <c r="J285" s="16">
        <v>-582049970000</v>
      </c>
      <c r="K285" s="16" t="s">
        <v>1230</v>
      </c>
      <c r="L285" s="17">
        <f t="shared" si="18"/>
        <v>28</v>
      </c>
      <c r="M285" s="17">
        <f t="shared" si="19"/>
        <v>0</v>
      </c>
      <c r="N285" s="18">
        <f t="shared" si="20"/>
        <v>1</v>
      </c>
      <c r="O285" s="28"/>
      <c r="P285" s="8"/>
      <c r="Q285" s="8"/>
      <c r="R285" s="8"/>
      <c r="S285" s="28"/>
      <c r="T285" s="28"/>
      <c r="U285" s="8"/>
      <c r="V285" s="8"/>
      <c r="W285" s="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8"/>
      <c r="AJ285" s="8"/>
      <c r="AK285" s="8"/>
      <c r="AL285" s="8"/>
      <c r="AM285" s="8"/>
      <c r="AN285" s="28"/>
      <c r="AO285" s="8"/>
      <c r="AP285" s="8"/>
      <c r="AQ285" s="28"/>
      <c r="AR285" s="28"/>
      <c r="AS285" s="28"/>
    </row>
    <row r="286" spans="1:45" ht="15.75" thickBot="1" x14ac:dyDescent="0.3">
      <c r="A286" t="s">
        <v>724</v>
      </c>
      <c r="C286" s="46" t="s">
        <v>725</v>
      </c>
      <c r="D286" t="s">
        <v>726</v>
      </c>
      <c r="E286" t="s">
        <v>24</v>
      </c>
      <c r="F286" t="s">
        <v>945</v>
      </c>
      <c r="G286" t="s">
        <v>727</v>
      </c>
      <c r="H286"/>
      <c r="I286" s="16">
        <v>-347888010000</v>
      </c>
      <c r="J286" s="16">
        <v>-582597900000</v>
      </c>
      <c r="K286" s="16" t="s">
        <v>1231</v>
      </c>
      <c r="L286" s="17">
        <f t="shared" si="18"/>
        <v>27</v>
      </c>
      <c r="M286" s="17">
        <f t="shared" si="19"/>
        <v>1</v>
      </c>
      <c r="N286" s="18">
        <f t="shared" si="20"/>
        <v>0.9642857142857143</v>
      </c>
      <c r="O286" s="28"/>
      <c r="P286" s="8"/>
      <c r="Q286" s="8"/>
      <c r="R286" s="8"/>
      <c r="S286" s="28"/>
      <c r="T286" s="28"/>
      <c r="U286" s="8"/>
      <c r="V286" s="8"/>
      <c r="W286" s="8"/>
      <c r="X286" s="28"/>
      <c r="Y286" s="28" t="s">
        <v>939</v>
      </c>
      <c r="Z286" s="28"/>
      <c r="AA286" s="28"/>
      <c r="AB286" s="28"/>
      <c r="AC286" s="28"/>
      <c r="AD286" s="28"/>
      <c r="AE286" s="28"/>
      <c r="AF286" s="28"/>
      <c r="AG286" s="28"/>
      <c r="AH286" s="28"/>
      <c r="AI286" s="8"/>
      <c r="AJ286" s="8"/>
      <c r="AK286" s="8"/>
      <c r="AL286" s="8"/>
      <c r="AM286" s="8"/>
      <c r="AN286" s="28"/>
      <c r="AO286" s="8"/>
      <c r="AP286" s="8"/>
      <c r="AQ286" s="28"/>
      <c r="AR286" s="28"/>
      <c r="AS286" s="28"/>
    </row>
    <row r="287" spans="1:45" ht="16.899999999999999" customHeight="1" thickBot="1" x14ac:dyDescent="0.3">
      <c r="A287" t="s">
        <v>724</v>
      </c>
      <c r="C287" s="46" t="s">
        <v>728</v>
      </c>
      <c r="D287" t="s">
        <v>729</v>
      </c>
      <c r="E287" t="s">
        <v>24</v>
      </c>
      <c r="F287" t="s">
        <v>36</v>
      </c>
      <c r="G287" t="s">
        <v>367</v>
      </c>
      <c r="H287"/>
      <c r="I287" s="16">
        <v>-347926510000</v>
      </c>
      <c r="J287" s="16">
        <v>-582499030000</v>
      </c>
      <c r="K287" s="16" t="s">
        <v>1232</v>
      </c>
      <c r="L287" s="17">
        <f t="shared" si="18"/>
        <v>28</v>
      </c>
      <c r="M287" s="17">
        <f t="shared" si="19"/>
        <v>0</v>
      </c>
      <c r="N287" s="18">
        <f t="shared" si="20"/>
        <v>1</v>
      </c>
      <c r="O287" s="28"/>
      <c r="P287" s="8"/>
      <c r="Q287" s="8"/>
      <c r="R287" s="8"/>
      <c r="S287" s="28"/>
      <c r="T287" s="28"/>
      <c r="U287" s="8"/>
      <c r="V287" s="8"/>
      <c r="W287" s="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8"/>
      <c r="AJ287" s="8"/>
      <c r="AK287" s="8"/>
      <c r="AL287" s="8"/>
      <c r="AM287" s="8"/>
      <c r="AN287" s="28"/>
      <c r="AO287" s="8"/>
      <c r="AP287" s="8"/>
      <c r="AQ287" s="28"/>
      <c r="AR287" s="28"/>
      <c r="AS287" s="28"/>
    </row>
    <row r="288" spans="1:45" ht="15.75" thickBot="1" x14ac:dyDescent="0.3">
      <c r="A288" t="s">
        <v>730</v>
      </c>
      <c r="C288" s="46" t="s">
        <v>731</v>
      </c>
      <c r="D288" t="s">
        <v>732</v>
      </c>
      <c r="E288" t="s">
        <v>24</v>
      </c>
      <c r="F288" t="s">
        <v>36</v>
      </c>
      <c r="G288" t="s">
        <v>367</v>
      </c>
      <c r="H288"/>
      <c r="I288" s="16">
        <v>-347955320000</v>
      </c>
      <c r="J288" s="16">
        <v>-582553260000</v>
      </c>
      <c r="K288" s="16" t="s">
        <v>1233</v>
      </c>
      <c r="L288" s="17">
        <f t="shared" si="18"/>
        <v>28</v>
      </c>
      <c r="M288" s="17">
        <f t="shared" si="19"/>
        <v>0</v>
      </c>
      <c r="N288" s="18">
        <f t="shared" si="20"/>
        <v>1</v>
      </c>
      <c r="O288" s="28"/>
      <c r="P288" s="8"/>
      <c r="Q288" s="8"/>
      <c r="R288" s="8"/>
      <c r="S288" s="28"/>
      <c r="T288" s="28"/>
      <c r="U288" s="8"/>
      <c r="V288" s="8"/>
      <c r="W288" s="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8"/>
      <c r="AJ288" s="8"/>
      <c r="AK288" s="8"/>
      <c r="AL288" s="8"/>
      <c r="AM288" s="8"/>
      <c r="AN288" s="28"/>
      <c r="AO288" s="8"/>
      <c r="AP288" s="8"/>
      <c r="AQ288" s="28"/>
      <c r="AR288" s="28"/>
      <c r="AS288" s="28"/>
    </row>
    <row r="289" spans="1:45" ht="15.75" thickBot="1" x14ac:dyDescent="0.3">
      <c r="A289" t="s">
        <v>724</v>
      </c>
      <c r="C289" s="46" t="s">
        <v>733</v>
      </c>
      <c r="D289" t="s">
        <v>734</v>
      </c>
      <c r="E289" t="s">
        <v>19</v>
      </c>
      <c r="F289" t="s">
        <v>36</v>
      </c>
      <c r="G289" t="s">
        <v>735</v>
      </c>
      <c r="H289" t="s">
        <v>736</v>
      </c>
      <c r="I289" s="16">
        <v>-347933300000</v>
      </c>
      <c r="J289" s="16">
        <v>-582534600000</v>
      </c>
      <c r="K289" s="16" t="s">
        <v>1234</v>
      </c>
      <c r="L289" s="17">
        <f t="shared" si="18"/>
        <v>28</v>
      </c>
      <c r="M289" s="17">
        <f t="shared" si="19"/>
        <v>0</v>
      </c>
      <c r="N289" s="18">
        <f t="shared" si="20"/>
        <v>1</v>
      </c>
      <c r="O289" s="28"/>
      <c r="P289" s="8"/>
      <c r="Q289" s="8"/>
      <c r="R289" s="8"/>
      <c r="S289" s="28"/>
      <c r="T289" s="28"/>
      <c r="U289" s="8"/>
      <c r="V289" s="8"/>
      <c r="W289" s="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8"/>
      <c r="AJ289" s="8"/>
      <c r="AK289" s="8"/>
      <c r="AL289" s="8"/>
      <c r="AM289" s="8"/>
      <c r="AN289" s="28"/>
      <c r="AO289" s="8"/>
      <c r="AP289" s="8"/>
      <c r="AQ289" s="28"/>
      <c r="AR289" s="28"/>
      <c r="AS289" s="28"/>
    </row>
    <row r="290" spans="1:45" ht="15.75" thickBot="1" x14ac:dyDescent="0.3">
      <c r="A290" t="s">
        <v>724</v>
      </c>
      <c r="C290" s="46" t="s">
        <v>737</v>
      </c>
      <c r="D290" t="s">
        <v>738</v>
      </c>
      <c r="E290" t="s">
        <v>24</v>
      </c>
      <c r="F290" t="s">
        <v>36</v>
      </c>
      <c r="G290" t="s">
        <v>367</v>
      </c>
      <c r="H290"/>
      <c r="I290" s="16">
        <v>-347941580000</v>
      </c>
      <c r="J290" s="16">
        <v>-582528380000</v>
      </c>
      <c r="K290" s="16" t="s">
        <v>1235</v>
      </c>
      <c r="L290" s="17">
        <f t="shared" si="18"/>
        <v>28</v>
      </c>
      <c r="M290" s="17">
        <f t="shared" si="19"/>
        <v>0</v>
      </c>
      <c r="N290" s="18">
        <f t="shared" si="20"/>
        <v>1</v>
      </c>
      <c r="O290" s="28"/>
      <c r="P290" s="8"/>
      <c r="Q290" s="8"/>
      <c r="R290" s="8"/>
      <c r="S290" s="28"/>
      <c r="T290" s="28"/>
      <c r="U290" s="8"/>
      <c r="V290" s="8"/>
      <c r="W290" s="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8"/>
      <c r="AJ290" s="8"/>
      <c r="AK290" s="8"/>
      <c r="AL290" s="8"/>
      <c r="AM290" s="8"/>
      <c r="AN290" s="28"/>
      <c r="AO290" s="8"/>
      <c r="AP290" s="8"/>
      <c r="AQ290" s="28"/>
      <c r="AR290" s="28"/>
      <c r="AS290" s="28"/>
    </row>
    <row r="291" spans="1:45" ht="15.75" thickBot="1" x14ac:dyDescent="0.3">
      <c r="A291" t="s">
        <v>724</v>
      </c>
      <c r="C291" s="46" t="s">
        <v>739</v>
      </c>
      <c r="D291" t="s">
        <v>740</v>
      </c>
      <c r="E291" t="s">
        <v>19</v>
      </c>
      <c r="F291" t="s">
        <v>36</v>
      </c>
      <c r="G291" t="s">
        <v>735</v>
      </c>
      <c r="H291" t="s">
        <v>741</v>
      </c>
      <c r="I291" s="16">
        <v>-347928980000</v>
      </c>
      <c r="J291" s="16">
        <v>-582523980000</v>
      </c>
      <c r="K291" s="16" t="s">
        <v>1236</v>
      </c>
      <c r="L291" s="17">
        <f t="shared" si="18"/>
        <v>28</v>
      </c>
      <c r="M291" s="17">
        <f t="shared" si="19"/>
        <v>0</v>
      </c>
      <c r="N291" s="18">
        <f t="shared" si="20"/>
        <v>1</v>
      </c>
      <c r="O291" s="28"/>
      <c r="P291" s="8"/>
      <c r="Q291" s="8"/>
      <c r="R291" s="8"/>
      <c r="S291" s="28"/>
      <c r="T291" s="28"/>
      <c r="U291" s="8"/>
      <c r="V291" s="8"/>
      <c r="W291" s="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8"/>
      <c r="AJ291" s="8"/>
      <c r="AK291" s="8"/>
      <c r="AL291" s="8"/>
      <c r="AM291" s="8"/>
      <c r="AN291" s="28"/>
      <c r="AO291" s="8"/>
      <c r="AP291" s="8"/>
      <c r="AQ291" s="28"/>
      <c r="AR291" s="28"/>
      <c r="AS291" s="28"/>
    </row>
    <row r="292" spans="1:45" ht="15.75" thickBot="1" x14ac:dyDescent="0.3">
      <c r="A292" t="s">
        <v>724</v>
      </c>
      <c r="C292" s="46" t="s">
        <v>742</v>
      </c>
      <c r="D292" t="s">
        <v>743</v>
      </c>
      <c r="E292" t="s">
        <v>24</v>
      </c>
      <c r="F292" t="s">
        <v>36</v>
      </c>
      <c r="G292" t="s">
        <v>367</v>
      </c>
      <c r="H292"/>
      <c r="I292" s="16">
        <v>-347936470000</v>
      </c>
      <c r="J292" s="16">
        <v>-582518290000</v>
      </c>
      <c r="K292" s="16" t="s">
        <v>1237</v>
      </c>
      <c r="L292" s="17">
        <f t="shared" si="18"/>
        <v>28</v>
      </c>
      <c r="M292" s="17">
        <f t="shared" si="19"/>
        <v>0</v>
      </c>
      <c r="N292" s="18">
        <f t="shared" si="20"/>
        <v>1</v>
      </c>
      <c r="O292" s="28"/>
      <c r="P292" s="8"/>
      <c r="Q292" s="8"/>
      <c r="R292" s="8"/>
      <c r="S292" s="28"/>
      <c r="T292" s="28"/>
      <c r="U292" s="8"/>
      <c r="V292" s="8"/>
      <c r="W292" s="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8"/>
      <c r="AJ292" s="8"/>
      <c r="AK292" s="8"/>
      <c r="AL292" s="8"/>
      <c r="AM292" s="8"/>
      <c r="AN292" s="28"/>
      <c r="AO292" s="8"/>
      <c r="AP292" s="8"/>
      <c r="AQ292" s="28"/>
      <c r="AR292" s="28"/>
      <c r="AS292" s="28"/>
    </row>
    <row r="293" spans="1:45" ht="15.75" thickBot="1" x14ac:dyDescent="0.3">
      <c r="A293" t="s">
        <v>724</v>
      </c>
      <c r="C293" s="46" t="s">
        <v>744</v>
      </c>
      <c r="D293" t="s">
        <v>745</v>
      </c>
      <c r="E293" t="s">
        <v>24</v>
      </c>
      <c r="F293" t="s">
        <v>945</v>
      </c>
      <c r="G293" t="s">
        <v>735</v>
      </c>
      <c r="H293"/>
      <c r="I293" s="16">
        <v>-347917260000</v>
      </c>
      <c r="J293" s="16">
        <v>-582524730000</v>
      </c>
      <c r="K293" s="16" t="s">
        <v>1238</v>
      </c>
      <c r="L293" s="17">
        <f t="shared" si="18"/>
        <v>28</v>
      </c>
      <c r="M293" s="17">
        <f t="shared" si="19"/>
        <v>0</v>
      </c>
      <c r="N293" s="18">
        <f t="shared" si="20"/>
        <v>1</v>
      </c>
      <c r="O293" s="28"/>
      <c r="P293" s="8"/>
      <c r="Q293" s="8"/>
      <c r="R293" s="8"/>
      <c r="S293" s="28"/>
      <c r="T293" s="28"/>
      <c r="U293" s="8"/>
      <c r="V293" s="8"/>
      <c r="W293" s="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8"/>
      <c r="AJ293" s="8"/>
      <c r="AK293" s="8"/>
      <c r="AL293" s="8"/>
      <c r="AM293" s="8"/>
      <c r="AN293" s="28"/>
      <c r="AO293" s="8"/>
      <c r="AP293" s="8"/>
      <c r="AQ293" s="28"/>
      <c r="AR293" s="28"/>
      <c r="AS293" s="28"/>
    </row>
    <row r="294" spans="1:45" ht="15.75" thickBot="1" x14ac:dyDescent="0.3">
      <c r="A294" t="s">
        <v>412</v>
      </c>
      <c r="C294" s="46" t="s">
        <v>746</v>
      </c>
      <c r="D294" t="s">
        <v>747</v>
      </c>
      <c r="E294" t="s">
        <v>24</v>
      </c>
      <c r="F294" t="s">
        <v>945</v>
      </c>
      <c r="G294" t="s">
        <v>161</v>
      </c>
      <c r="H294"/>
      <c r="I294" s="16">
        <v>-347867610000</v>
      </c>
      <c r="J294" s="16">
        <v>-582563190000</v>
      </c>
      <c r="K294" s="16" t="s">
        <v>1239</v>
      </c>
      <c r="L294" s="17">
        <f t="shared" si="18"/>
        <v>27</v>
      </c>
      <c r="M294" s="17">
        <f t="shared" si="19"/>
        <v>1</v>
      </c>
      <c r="N294" s="18">
        <f t="shared" si="20"/>
        <v>0.9642857142857143</v>
      </c>
      <c r="O294" s="28"/>
      <c r="P294" s="8"/>
      <c r="Q294" s="8"/>
      <c r="R294" s="8"/>
      <c r="S294" s="28"/>
      <c r="T294" s="28"/>
      <c r="U294" s="8"/>
      <c r="V294" s="8"/>
      <c r="W294" s="8"/>
      <c r="X294" s="28"/>
      <c r="Y294" s="28" t="s">
        <v>939</v>
      </c>
      <c r="Z294" s="28"/>
      <c r="AA294" s="28"/>
      <c r="AB294" s="28"/>
      <c r="AC294" s="28"/>
      <c r="AD294" s="28"/>
      <c r="AE294" s="28"/>
      <c r="AF294" s="28"/>
      <c r="AG294" s="28"/>
      <c r="AH294" s="28"/>
      <c r="AI294" s="8"/>
      <c r="AJ294" s="8"/>
      <c r="AK294" s="8"/>
      <c r="AL294" s="8"/>
      <c r="AM294" s="8"/>
      <c r="AN294" s="28"/>
      <c r="AO294" s="8"/>
      <c r="AP294" s="8"/>
      <c r="AQ294" s="28"/>
      <c r="AR294" s="28"/>
      <c r="AS294" s="28"/>
    </row>
    <row r="295" spans="1:45" ht="15.75" thickBot="1" x14ac:dyDescent="0.3">
      <c r="A295" t="s">
        <v>358</v>
      </c>
      <c r="C295" s="46" t="s">
        <v>748</v>
      </c>
      <c r="D295" t="s">
        <v>749</v>
      </c>
      <c r="E295" t="s">
        <v>24</v>
      </c>
      <c r="F295" t="s">
        <v>25</v>
      </c>
      <c r="G295" t="s">
        <v>750</v>
      </c>
      <c r="H295"/>
      <c r="I295" s="16">
        <v>-348145260000</v>
      </c>
      <c r="J295" s="16">
        <v>-583009670000</v>
      </c>
      <c r="K295" s="16" t="s">
        <v>1240</v>
      </c>
      <c r="L295" s="17">
        <f t="shared" si="18"/>
        <v>24</v>
      </c>
      <c r="M295" s="17">
        <f t="shared" si="19"/>
        <v>4</v>
      </c>
      <c r="N295" s="18">
        <f t="shared" si="20"/>
        <v>0.8571428571428571</v>
      </c>
      <c r="O295" s="28"/>
      <c r="P295" s="8"/>
      <c r="Q295" s="8"/>
      <c r="R295" s="8"/>
      <c r="S295" s="28"/>
      <c r="T295" s="28" t="s">
        <v>939</v>
      </c>
      <c r="U295" s="8"/>
      <c r="V295" s="8" t="s">
        <v>939</v>
      </c>
      <c r="W295" s="8" t="s">
        <v>939</v>
      </c>
      <c r="X295" s="28" t="s">
        <v>939</v>
      </c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8"/>
      <c r="AJ295" s="8"/>
      <c r="AK295" s="8"/>
      <c r="AL295" s="8"/>
      <c r="AM295" s="8"/>
      <c r="AN295" s="28"/>
      <c r="AO295" s="8"/>
      <c r="AP295" s="8"/>
      <c r="AQ295" s="28"/>
      <c r="AR295" s="28"/>
      <c r="AS295" s="28"/>
    </row>
    <row r="296" spans="1:45" ht="15.75" thickBot="1" x14ac:dyDescent="0.3">
      <c r="A296" t="s">
        <v>358</v>
      </c>
      <c r="C296" s="46" t="s">
        <v>751</v>
      </c>
      <c r="D296" t="s">
        <v>752</v>
      </c>
      <c r="E296" t="s">
        <v>19</v>
      </c>
      <c r="F296" t="s">
        <v>25</v>
      </c>
      <c r="G296"/>
      <c r="H296" t="s">
        <v>33</v>
      </c>
      <c r="I296" s="16">
        <v>-348102780000</v>
      </c>
      <c r="J296" s="16">
        <v>-582968990000</v>
      </c>
      <c r="K296" s="16" t="s">
        <v>1241</v>
      </c>
      <c r="L296" s="17">
        <f t="shared" si="18"/>
        <v>28</v>
      </c>
      <c r="M296" s="17">
        <f t="shared" si="19"/>
        <v>0</v>
      </c>
      <c r="N296" s="18">
        <f t="shared" si="20"/>
        <v>1</v>
      </c>
      <c r="O296" s="28"/>
      <c r="P296" s="8"/>
      <c r="Q296" s="8"/>
      <c r="R296" s="8"/>
      <c r="S296" s="28"/>
      <c r="T296" s="28"/>
      <c r="U296" s="8"/>
      <c r="V296" s="8"/>
      <c r="W296" s="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8"/>
      <c r="AJ296" s="8"/>
      <c r="AK296" s="8"/>
      <c r="AL296" s="8"/>
      <c r="AM296" s="8"/>
      <c r="AN296" s="28"/>
      <c r="AO296" s="8"/>
      <c r="AP296" s="8"/>
      <c r="AQ296" s="28"/>
      <c r="AR296" s="28"/>
      <c r="AS296" s="28"/>
    </row>
    <row r="297" spans="1:45" ht="15.75" thickBot="1" x14ac:dyDescent="0.3">
      <c r="A297" t="s">
        <v>358</v>
      </c>
      <c r="C297" s="46" t="s">
        <v>753</v>
      </c>
      <c r="D297" t="s">
        <v>754</v>
      </c>
      <c r="E297" t="s">
        <v>113</v>
      </c>
      <c r="F297" t="s">
        <v>20</v>
      </c>
      <c r="G297"/>
      <c r="H297" t="s">
        <v>270</v>
      </c>
      <c r="I297" s="16">
        <v>-348125630000</v>
      </c>
      <c r="J297" s="16">
        <v>-582971310000</v>
      </c>
      <c r="K297" s="16" t="s">
        <v>1242</v>
      </c>
      <c r="L297" s="17">
        <f t="shared" si="18"/>
        <v>28</v>
      </c>
      <c r="M297" s="17">
        <f t="shared" si="19"/>
        <v>0</v>
      </c>
      <c r="N297" s="18">
        <f t="shared" si="20"/>
        <v>1</v>
      </c>
      <c r="O297" s="28"/>
      <c r="P297" s="8"/>
      <c r="Q297" s="8"/>
      <c r="R297" s="8"/>
      <c r="S297" s="28"/>
      <c r="T297" s="28"/>
      <c r="U297" s="8"/>
      <c r="V297" s="8"/>
      <c r="W297" s="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8"/>
      <c r="AJ297" s="8"/>
      <c r="AK297" s="8"/>
      <c r="AL297" s="8"/>
      <c r="AM297" s="8"/>
      <c r="AN297" s="28"/>
      <c r="AO297" s="8"/>
      <c r="AP297" s="8"/>
      <c r="AQ297" s="28"/>
      <c r="AR297" s="28"/>
      <c r="AS297" s="28"/>
    </row>
    <row r="298" spans="1:45" ht="15.75" thickBot="1" x14ac:dyDescent="0.3">
      <c r="A298" t="s">
        <v>358</v>
      </c>
      <c r="C298" s="46" t="s">
        <v>755</v>
      </c>
      <c r="D298" t="s">
        <v>754</v>
      </c>
      <c r="E298" t="s">
        <v>113</v>
      </c>
      <c r="F298" t="s">
        <v>20</v>
      </c>
      <c r="G298"/>
      <c r="H298" t="s">
        <v>270</v>
      </c>
      <c r="I298" s="16">
        <v>-348125630000</v>
      </c>
      <c r="J298" s="16">
        <v>-582971310000</v>
      </c>
      <c r="K298" s="16" t="s">
        <v>1243</v>
      </c>
      <c r="L298" s="17">
        <f t="shared" si="18"/>
        <v>28</v>
      </c>
      <c r="M298" s="17">
        <f t="shared" si="19"/>
        <v>0</v>
      </c>
      <c r="N298" s="18">
        <f t="shared" si="20"/>
        <v>1</v>
      </c>
      <c r="O298" s="28"/>
      <c r="P298" s="8"/>
      <c r="Q298" s="8"/>
      <c r="R298" s="8"/>
      <c r="S298" s="28"/>
      <c r="T298" s="28"/>
      <c r="U298" s="8"/>
      <c r="V298" s="8"/>
      <c r="W298" s="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8"/>
      <c r="AJ298" s="8"/>
      <c r="AK298" s="8"/>
      <c r="AL298" s="8"/>
      <c r="AM298" s="8"/>
      <c r="AN298" s="28"/>
      <c r="AO298" s="8"/>
      <c r="AP298" s="8"/>
      <c r="AQ298" s="28"/>
      <c r="AR298" s="28"/>
      <c r="AS298" s="28"/>
    </row>
    <row r="299" spans="1:45" ht="15.75" thickBot="1" x14ac:dyDescent="0.3">
      <c r="A299" t="s">
        <v>358</v>
      </c>
      <c r="C299" s="46" t="s">
        <v>756</v>
      </c>
      <c r="D299" t="s">
        <v>757</v>
      </c>
      <c r="E299" t="s">
        <v>113</v>
      </c>
      <c r="F299" t="s">
        <v>20</v>
      </c>
      <c r="G299"/>
      <c r="H299" t="s">
        <v>270</v>
      </c>
      <c r="I299" s="16">
        <v>-348125690000</v>
      </c>
      <c r="J299" s="16">
        <v>-582982090000</v>
      </c>
      <c r="K299" s="16" t="s">
        <v>1244</v>
      </c>
      <c r="L299" s="17">
        <f t="shared" si="18"/>
        <v>28</v>
      </c>
      <c r="M299" s="17">
        <f t="shared" si="19"/>
        <v>0</v>
      </c>
      <c r="N299" s="18">
        <f t="shared" si="20"/>
        <v>1</v>
      </c>
      <c r="O299" s="28"/>
      <c r="P299" s="8"/>
      <c r="Q299" s="8"/>
      <c r="R299" s="8"/>
      <c r="S299" s="28"/>
      <c r="T299" s="28"/>
      <c r="U299" s="8"/>
      <c r="V299" s="8"/>
      <c r="W299" s="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8"/>
      <c r="AJ299" s="8"/>
      <c r="AK299" s="8"/>
      <c r="AL299" s="8"/>
      <c r="AM299" s="8"/>
      <c r="AN299" s="28"/>
      <c r="AO299" s="8"/>
      <c r="AP299" s="8"/>
      <c r="AQ299" s="28"/>
      <c r="AR299" s="28"/>
      <c r="AS299" s="28"/>
    </row>
    <row r="300" spans="1:45" ht="15.75" thickBot="1" x14ac:dyDescent="0.3">
      <c r="A300" t="s">
        <v>358</v>
      </c>
      <c r="C300" s="46" t="s">
        <v>758</v>
      </c>
      <c r="D300" t="s">
        <v>757</v>
      </c>
      <c r="E300" t="s">
        <v>113</v>
      </c>
      <c r="F300" t="s">
        <v>20</v>
      </c>
      <c r="G300"/>
      <c r="H300" t="s">
        <v>270</v>
      </c>
      <c r="I300" s="16">
        <v>-348126020000</v>
      </c>
      <c r="J300" s="16">
        <v>-582981720000</v>
      </c>
      <c r="K300" s="16" t="s">
        <v>1245</v>
      </c>
      <c r="L300" s="17">
        <f t="shared" si="18"/>
        <v>28</v>
      </c>
      <c r="M300" s="17">
        <f t="shared" si="19"/>
        <v>0</v>
      </c>
      <c r="N300" s="18">
        <f t="shared" si="20"/>
        <v>1</v>
      </c>
      <c r="O300" s="28"/>
      <c r="P300" s="8"/>
      <c r="Q300" s="8"/>
      <c r="R300" s="8"/>
      <c r="S300" s="28"/>
      <c r="T300" s="28"/>
      <c r="U300" s="8"/>
      <c r="V300" s="8"/>
      <c r="W300" s="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8"/>
      <c r="AJ300" s="8"/>
      <c r="AK300" s="8"/>
      <c r="AL300" s="8"/>
      <c r="AM300" s="8"/>
      <c r="AN300" s="28"/>
      <c r="AO300" s="8"/>
      <c r="AP300" s="8"/>
      <c r="AQ300" s="28"/>
      <c r="AR300" s="28"/>
      <c r="AS300" s="28"/>
    </row>
    <row r="301" spans="1:45" ht="15.75" thickBot="1" x14ac:dyDescent="0.3">
      <c r="A301" t="s">
        <v>358</v>
      </c>
      <c r="C301" s="46" t="s">
        <v>759</v>
      </c>
      <c r="D301" t="s">
        <v>760</v>
      </c>
      <c r="E301" t="s">
        <v>19</v>
      </c>
      <c r="F301" t="s">
        <v>36</v>
      </c>
      <c r="G301"/>
      <c r="H301" t="s">
        <v>248</v>
      </c>
      <c r="I301" s="16">
        <v>-348088620000</v>
      </c>
      <c r="J301" s="16">
        <v>-583035370000</v>
      </c>
      <c r="K301" s="16" t="s">
        <v>1246</v>
      </c>
      <c r="L301" s="17">
        <f t="shared" si="18"/>
        <v>28</v>
      </c>
      <c r="M301" s="17">
        <f t="shared" si="19"/>
        <v>0</v>
      </c>
      <c r="N301" s="18">
        <f t="shared" si="20"/>
        <v>1</v>
      </c>
      <c r="O301" s="28"/>
      <c r="P301" s="8"/>
      <c r="Q301" s="8"/>
      <c r="R301" s="8"/>
      <c r="S301" s="28"/>
      <c r="T301" s="28"/>
      <c r="U301" s="8"/>
      <c r="V301" s="8"/>
      <c r="W301" s="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8"/>
      <c r="AJ301" s="8"/>
      <c r="AK301" s="8"/>
      <c r="AL301" s="8"/>
      <c r="AM301" s="8"/>
      <c r="AN301" s="28"/>
      <c r="AO301" s="8"/>
      <c r="AP301" s="8"/>
      <c r="AQ301" s="28"/>
      <c r="AR301" s="28"/>
      <c r="AS301" s="28"/>
    </row>
    <row r="302" spans="1:45" ht="15.75" thickBot="1" x14ac:dyDescent="0.3">
      <c r="A302" t="s">
        <v>358</v>
      </c>
      <c r="C302" s="46" t="s">
        <v>761</v>
      </c>
      <c r="D302" t="s">
        <v>762</v>
      </c>
      <c r="E302" t="s">
        <v>113</v>
      </c>
      <c r="F302" t="s">
        <v>36</v>
      </c>
      <c r="G302"/>
      <c r="H302" t="s">
        <v>763</v>
      </c>
      <c r="I302" s="16">
        <v>-348105760000</v>
      </c>
      <c r="J302" s="16">
        <v>-583061370000</v>
      </c>
      <c r="K302" s="16" t="s">
        <v>1247</v>
      </c>
      <c r="L302" s="17">
        <f t="shared" si="18"/>
        <v>25</v>
      </c>
      <c r="M302" s="17">
        <f t="shared" si="19"/>
        <v>3</v>
      </c>
      <c r="N302" s="18">
        <f t="shared" si="20"/>
        <v>0.8928571428571429</v>
      </c>
      <c r="O302" s="28"/>
      <c r="P302" s="8"/>
      <c r="Q302" s="8"/>
      <c r="R302" s="8"/>
      <c r="S302" s="28"/>
      <c r="T302" s="28"/>
      <c r="U302" s="8"/>
      <c r="V302" s="8"/>
      <c r="W302" s="8"/>
      <c r="X302" s="28"/>
      <c r="Y302" s="28" t="s">
        <v>939</v>
      </c>
      <c r="Z302" s="28" t="s">
        <v>939</v>
      </c>
      <c r="AA302" s="28" t="s">
        <v>939</v>
      </c>
      <c r="AB302" s="28"/>
      <c r="AC302" s="28"/>
      <c r="AD302" s="28"/>
      <c r="AE302" s="28"/>
      <c r="AF302" s="28"/>
      <c r="AG302" s="28"/>
      <c r="AH302" s="28"/>
      <c r="AI302" s="8"/>
      <c r="AJ302" s="8"/>
      <c r="AK302" s="8"/>
      <c r="AL302" s="8"/>
      <c r="AM302" s="8"/>
      <c r="AN302" s="28"/>
      <c r="AO302" s="8"/>
      <c r="AP302" s="8"/>
      <c r="AQ302" s="28"/>
      <c r="AR302" s="28"/>
      <c r="AS302" s="28"/>
    </row>
    <row r="303" spans="1:45" ht="15.75" thickBot="1" x14ac:dyDescent="0.3">
      <c r="A303" t="s">
        <v>358</v>
      </c>
      <c r="C303" s="46" t="s">
        <v>764</v>
      </c>
      <c r="D303" t="s">
        <v>762</v>
      </c>
      <c r="E303" t="s">
        <v>113</v>
      </c>
      <c r="F303" t="s">
        <v>36</v>
      </c>
      <c r="G303"/>
      <c r="H303" t="s">
        <v>763</v>
      </c>
      <c r="I303" s="16">
        <v>-348105760000</v>
      </c>
      <c r="J303" s="16">
        <v>-583061370000</v>
      </c>
      <c r="K303" s="16" t="s">
        <v>1248</v>
      </c>
      <c r="L303" s="17">
        <f t="shared" si="18"/>
        <v>25</v>
      </c>
      <c r="M303" s="17">
        <f t="shared" si="19"/>
        <v>3</v>
      </c>
      <c r="N303" s="18">
        <f t="shared" si="20"/>
        <v>0.8928571428571429</v>
      </c>
      <c r="O303" s="28"/>
      <c r="P303" s="8"/>
      <c r="Q303" s="8"/>
      <c r="R303" s="8"/>
      <c r="S303" s="28"/>
      <c r="T303" s="28"/>
      <c r="U303" s="8"/>
      <c r="V303" s="8"/>
      <c r="W303" s="8"/>
      <c r="X303" s="28"/>
      <c r="Y303" s="28" t="s">
        <v>939</v>
      </c>
      <c r="Z303" s="28" t="s">
        <v>939</v>
      </c>
      <c r="AA303" s="28" t="s">
        <v>939</v>
      </c>
      <c r="AB303" s="28"/>
      <c r="AC303" s="28"/>
      <c r="AD303" s="28"/>
      <c r="AE303" s="28"/>
      <c r="AF303" s="28"/>
      <c r="AG303" s="28"/>
      <c r="AH303" s="28"/>
      <c r="AI303" s="8"/>
      <c r="AJ303" s="8"/>
      <c r="AK303" s="8"/>
      <c r="AL303" s="8"/>
      <c r="AM303" s="8"/>
      <c r="AN303" s="28"/>
      <c r="AO303" s="8"/>
      <c r="AP303" s="8"/>
      <c r="AQ303" s="28"/>
      <c r="AR303" s="28"/>
      <c r="AS303" s="28"/>
    </row>
    <row r="304" spans="1:45" ht="15.75" thickBot="1" x14ac:dyDescent="0.3">
      <c r="A304" t="s">
        <v>358</v>
      </c>
      <c r="C304" s="46" t="s">
        <v>765</v>
      </c>
      <c r="D304" t="s">
        <v>766</v>
      </c>
      <c r="E304" t="s">
        <v>113</v>
      </c>
      <c r="F304" t="s">
        <v>36</v>
      </c>
      <c r="G304"/>
      <c r="H304" t="s">
        <v>767</v>
      </c>
      <c r="I304" s="16">
        <v>-348100750000</v>
      </c>
      <c r="J304" s="16">
        <v>-583065270000</v>
      </c>
      <c r="K304" s="16" t="s">
        <v>1249</v>
      </c>
      <c r="L304" s="17">
        <f t="shared" si="18"/>
        <v>25</v>
      </c>
      <c r="M304" s="17">
        <f t="shared" si="19"/>
        <v>3</v>
      </c>
      <c r="N304" s="18">
        <f t="shared" si="20"/>
        <v>0.8928571428571429</v>
      </c>
      <c r="O304" s="28"/>
      <c r="P304" s="8"/>
      <c r="Q304" s="8"/>
      <c r="R304" s="8"/>
      <c r="S304" s="28"/>
      <c r="T304" s="28"/>
      <c r="U304" s="8"/>
      <c r="V304" s="8"/>
      <c r="W304" s="8"/>
      <c r="X304" s="28"/>
      <c r="Y304" s="28" t="s">
        <v>939</v>
      </c>
      <c r="Z304" s="28" t="s">
        <v>939</v>
      </c>
      <c r="AA304" s="28" t="s">
        <v>939</v>
      </c>
      <c r="AB304" s="28"/>
      <c r="AC304" s="28"/>
      <c r="AD304" s="28"/>
      <c r="AE304" s="28"/>
      <c r="AF304" s="28"/>
      <c r="AG304" s="28"/>
      <c r="AH304" s="28"/>
      <c r="AI304" s="8"/>
      <c r="AJ304" s="8"/>
      <c r="AK304" s="8"/>
      <c r="AL304" s="8"/>
      <c r="AM304" s="8"/>
      <c r="AN304" s="28"/>
      <c r="AO304" s="8"/>
      <c r="AP304" s="8"/>
      <c r="AQ304" s="28"/>
      <c r="AR304" s="28"/>
      <c r="AS304" s="28"/>
    </row>
    <row r="305" spans="1:45" ht="15.75" thickBot="1" x14ac:dyDescent="0.3">
      <c r="A305" t="s">
        <v>358</v>
      </c>
      <c r="C305" s="46" t="s">
        <v>768</v>
      </c>
      <c r="D305" t="s">
        <v>766</v>
      </c>
      <c r="E305" t="s">
        <v>113</v>
      </c>
      <c r="F305" t="s">
        <v>36</v>
      </c>
      <c r="G305"/>
      <c r="H305" t="s">
        <v>767</v>
      </c>
      <c r="I305" s="16">
        <v>-348100750000</v>
      </c>
      <c r="J305" s="16">
        <v>-583065270000</v>
      </c>
      <c r="K305" s="16" t="s">
        <v>1250</v>
      </c>
      <c r="L305" s="17">
        <f t="shared" si="18"/>
        <v>25</v>
      </c>
      <c r="M305" s="17">
        <f t="shared" si="19"/>
        <v>3</v>
      </c>
      <c r="N305" s="18">
        <f t="shared" si="20"/>
        <v>0.8928571428571429</v>
      </c>
      <c r="O305" s="28"/>
      <c r="P305" s="8"/>
      <c r="Q305" s="8"/>
      <c r="R305" s="8"/>
      <c r="S305" s="28"/>
      <c r="T305" s="28"/>
      <c r="U305" s="8"/>
      <c r="V305" s="8"/>
      <c r="W305" s="8"/>
      <c r="X305" s="28"/>
      <c r="Y305" s="28" t="s">
        <v>939</v>
      </c>
      <c r="Z305" s="28" t="s">
        <v>939</v>
      </c>
      <c r="AA305" s="28" t="s">
        <v>939</v>
      </c>
      <c r="AB305" s="28"/>
      <c r="AC305" s="28"/>
      <c r="AD305" s="28"/>
      <c r="AE305" s="28"/>
      <c r="AF305" s="28"/>
      <c r="AG305" s="28"/>
      <c r="AH305" s="28"/>
      <c r="AI305" s="8"/>
      <c r="AJ305" s="8"/>
      <c r="AK305" s="8"/>
      <c r="AL305" s="8"/>
      <c r="AM305" s="8"/>
      <c r="AN305" s="28"/>
      <c r="AO305" s="8"/>
      <c r="AP305" s="8"/>
      <c r="AQ305" s="28"/>
      <c r="AR305" s="28"/>
      <c r="AS305" s="28"/>
    </row>
    <row r="306" spans="1:45" ht="15.75" thickBot="1" x14ac:dyDescent="0.3">
      <c r="C306" s="46" t="s">
        <v>769</v>
      </c>
      <c r="D306" t="s">
        <v>770</v>
      </c>
      <c r="E306" t="s">
        <v>19</v>
      </c>
      <c r="F306" t="s">
        <v>945</v>
      </c>
      <c r="G306" t="s">
        <v>185</v>
      </c>
      <c r="H306" t="s">
        <v>771</v>
      </c>
      <c r="I306" s="16">
        <v>-348153800000</v>
      </c>
      <c r="J306" s="16">
        <v>-582706170000</v>
      </c>
      <c r="K306" s="16" t="s">
        <v>1262</v>
      </c>
      <c r="L306" s="17">
        <f t="shared" si="18"/>
        <v>24</v>
      </c>
      <c r="M306" s="17">
        <f t="shared" si="19"/>
        <v>4</v>
      </c>
      <c r="N306" s="18">
        <f t="shared" si="20"/>
        <v>0.8571428571428571</v>
      </c>
      <c r="O306" s="28" t="s">
        <v>939</v>
      </c>
      <c r="P306" s="8" t="s">
        <v>939</v>
      </c>
      <c r="Q306" s="8"/>
      <c r="R306" s="8"/>
      <c r="S306" s="28" t="s">
        <v>939</v>
      </c>
      <c r="T306" s="28"/>
      <c r="U306" s="8"/>
      <c r="V306" s="8"/>
      <c r="W306" s="8"/>
      <c r="X306" s="28"/>
      <c r="Y306" s="28"/>
      <c r="Z306" s="28"/>
      <c r="AA306" s="28" t="s">
        <v>939</v>
      </c>
      <c r="AB306" s="28"/>
      <c r="AC306" s="28"/>
      <c r="AD306" s="28"/>
      <c r="AE306" s="28"/>
      <c r="AF306" s="28"/>
      <c r="AG306" s="28"/>
      <c r="AH306" s="28"/>
      <c r="AI306" s="8"/>
      <c r="AJ306" s="28"/>
      <c r="AK306" s="8"/>
      <c r="AL306" s="8"/>
      <c r="AM306" s="8"/>
      <c r="AN306" s="28"/>
      <c r="AO306" s="8"/>
      <c r="AP306" s="8"/>
      <c r="AQ306" s="28"/>
      <c r="AR306" s="28"/>
      <c r="AS306" s="28"/>
    </row>
    <row r="307" spans="1:45" ht="15.75" thickBot="1" x14ac:dyDescent="0.3">
      <c r="A307" t="s">
        <v>772</v>
      </c>
      <c r="C307" s="46" t="s">
        <v>773</v>
      </c>
      <c r="D307" t="s">
        <v>774</v>
      </c>
      <c r="E307" t="s">
        <v>24</v>
      </c>
      <c r="F307" t="s">
        <v>945</v>
      </c>
      <c r="G307" t="s">
        <v>185</v>
      </c>
      <c r="H307" t="s">
        <v>775</v>
      </c>
      <c r="I307" s="16">
        <v>-348171860000</v>
      </c>
      <c r="J307" s="16">
        <v>-582741990000</v>
      </c>
      <c r="K307" s="16" t="s">
        <v>1263</v>
      </c>
      <c r="L307" s="17">
        <f t="shared" si="18"/>
        <v>28</v>
      </c>
      <c r="M307" s="17">
        <f t="shared" si="19"/>
        <v>0</v>
      </c>
      <c r="N307" s="18">
        <f t="shared" si="20"/>
        <v>1</v>
      </c>
      <c r="O307" s="28"/>
      <c r="P307" s="8"/>
      <c r="Q307" s="8"/>
      <c r="R307" s="8"/>
      <c r="S307" s="28"/>
      <c r="T307" s="28"/>
      <c r="U307" s="8"/>
      <c r="V307" s="8"/>
      <c r="W307" s="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8"/>
      <c r="AJ307" s="8"/>
      <c r="AK307" s="8"/>
      <c r="AL307" s="8"/>
      <c r="AM307" s="8"/>
      <c r="AN307" s="28"/>
      <c r="AO307" s="8"/>
      <c r="AP307" s="8"/>
      <c r="AQ307" s="28"/>
      <c r="AR307" s="28"/>
      <c r="AS307" s="28"/>
    </row>
    <row r="308" spans="1:45" ht="15.75" thickBot="1" x14ac:dyDescent="0.3">
      <c r="C308" s="46" t="s">
        <v>776</v>
      </c>
      <c r="D308" t="s">
        <v>777</v>
      </c>
      <c r="E308" t="s">
        <v>19</v>
      </c>
      <c r="F308" t="s">
        <v>945</v>
      </c>
      <c r="G308" t="s">
        <v>778</v>
      </c>
      <c r="H308"/>
      <c r="I308" s="16">
        <v>-348129440000</v>
      </c>
      <c r="J308" s="16">
        <v>-582759900000</v>
      </c>
      <c r="K308" s="16" t="s">
        <v>1265</v>
      </c>
      <c r="L308" s="17">
        <f t="shared" si="18"/>
        <v>28</v>
      </c>
      <c r="M308" s="17">
        <f t="shared" si="19"/>
        <v>0</v>
      </c>
      <c r="N308" s="18">
        <f t="shared" si="20"/>
        <v>1</v>
      </c>
      <c r="O308" s="28"/>
      <c r="P308" s="8"/>
      <c r="Q308" s="8"/>
      <c r="R308" s="8"/>
      <c r="S308" s="28"/>
      <c r="T308" s="28"/>
      <c r="U308" s="8"/>
      <c r="V308" s="8"/>
      <c r="W308" s="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8"/>
      <c r="AJ308" s="8"/>
      <c r="AK308" s="8"/>
      <c r="AL308" s="8"/>
      <c r="AM308" s="8"/>
      <c r="AN308" s="28"/>
      <c r="AO308" s="8"/>
      <c r="AP308" s="8"/>
      <c r="AQ308" s="28"/>
      <c r="AR308" s="28"/>
      <c r="AS308" s="28"/>
    </row>
    <row r="309" spans="1:45" ht="15.75" thickBot="1" x14ac:dyDescent="0.3">
      <c r="A309" t="s">
        <v>779</v>
      </c>
      <c r="C309" s="46" t="s">
        <v>780</v>
      </c>
      <c r="D309" t="s">
        <v>781</v>
      </c>
      <c r="E309" t="s">
        <v>19</v>
      </c>
      <c r="F309" t="s">
        <v>945</v>
      </c>
      <c r="G309"/>
      <c r="H309" t="s">
        <v>782</v>
      </c>
      <c r="I309" s="16">
        <v>-348174960000</v>
      </c>
      <c r="J309" s="16">
        <v>-582687670000</v>
      </c>
      <c r="K309" s="16" t="s">
        <v>1266</v>
      </c>
      <c r="L309" s="17">
        <f t="shared" si="18"/>
        <v>28</v>
      </c>
      <c r="M309" s="17">
        <f t="shared" si="19"/>
        <v>0</v>
      </c>
      <c r="N309" s="18">
        <f t="shared" si="20"/>
        <v>1</v>
      </c>
      <c r="O309" s="28"/>
      <c r="P309" s="8"/>
      <c r="Q309" s="8"/>
      <c r="R309" s="8"/>
      <c r="S309" s="28"/>
      <c r="T309" s="28"/>
      <c r="U309" s="8"/>
      <c r="V309" s="8"/>
      <c r="W309" s="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8"/>
      <c r="AJ309" s="8"/>
      <c r="AK309" s="8"/>
      <c r="AL309" s="8"/>
      <c r="AM309" s="8"/>
      <c r="AN309" s="28"/>
      <c r="AO309" s="8"/>
      <c r="AP309" s="8"/>
      <c r="AQ309" s="28"/>
      <c r="AR309" s="28"/>
      <c r="AS309" s="28"/>
    </row>
    <row r="310" spans="1:45" ht="15.75" thickBot="1" x14ac:dyDescent="0.3">
      <c r="A310" t="s">
        <v>779</v>
      </c>
      <c r="C310" s="46" t="s">
        <v>783</v>
      </c>
      <c r="D310" t="s">
        <v>928</v>
      </c>
      <c r="E310" t="s">
        <v>19</v>
      </c>
      <c r="F310" t="s">
        <v>945</v>
      </c>
      <c r="G310"/>
      <c r="H310" t="s">
        <v>30</v>
      </c>
      <c r="I310" s="16">
        <v>-348206040000</v>
      </c>
      <c r="J310" s="16">
        <v>-582725050000</v>
      </c>
      <c r="K310" s="16" t="s">
        <v>1267</v>
      </c>
      <c r="L310" s="17">
        <f t="shared" si="18"/>
        <v>28</v>
      </c>
      <c r="M310" s="17">
        <f t="shared" si="19"/>
        <v>0</v>
      </c>
      <c r="N310" s="18">
        <f t="shared" si="20"/>
        <v>1</v>
      </c>
      <c r="O310" s="28"/>
      <c r="P310" s="8"/>
      <c r="Q310" s="8"/>
      <c r="R310" s="8"/>
      <c r="S310" s="28"/>
      <c r="T310" s="28"/>
      <c r="U310" s="8"/>
      <c r="V310" s="8"/>
      <c r="W310" s="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8"/>
      <c r="AJ310" s="8"/>
      <c r="AK310" s="8"/>
      <c r="AL310" s="8"/>
      <c r="AM310" s="8"/>
      <c r="AN310" s="28"/>
      <c r="AO310" s="8"/>
      <c r="AP310" s="8"/>
      <c r="AQ310" s="28"/>
      <c r="AR310" s="28"/>
      <c r="AS310" s="28"/>
    </row>
    <row r="311" spans="1:45" ht="15.75" thickBot="1" x14ac:dyDescent="0.3">
      <c r="A311" t="s">
        <v>772</v>
      </c>
      <c r="C311" s="46" t="s">
        <v>784</v>
      </c>
      <c r="D311" t="s">
        <v>785</v>
      </c>
      <c r="E311" t="s">
        <v>19</v>
      </c>
      <c r="F311" t="s">
        <v>945</v>
      </c>
      <c r="G311"/>
      <c r="H311" t="s">
        <v>692</v>
      </c>
      <c r="I311" s="16">
        <v>-348117590000</v>
      </c>
      <c r="J311" s="16">
        <v>-582727020000</v>
      </c>
      <c r="K311" s="16" t="s">
        <v>1268</v>
      </c>
      <c r="L311" s="17">
        <f t="shared" si="18"/>
        <v>27</v>
      </c>
      <c r="M311" s="17">
        <f t="shared" si="19"/>
        <v>1</v>
      </c>
      <c r="N311" s="18">
        <f t="shared" si="20"/>
        <v>0.9642857142857143</v>
      </c>
      <c r="O311" s="28"/>
      <c r="P311" s="8"/>
      <c r="Q311" s="8"/>
      <c r="R311" s="8"/>
      <c r="S311" s="28"/>
      <c r="T311" s="28"/>
      <c r="U311" s="8"/>
      <c r="V311" s="8"/>
      <c r="W311" s="8"/>
      <c r="X311" s="28"/>
      <c r="Y311" s="28"/>
      <c r="Z311" s="28"/>
      <c r="AA311" s="28" t="s">
        <v>939</v>
      </c>
      <c r="AB311" s="28"/>
      <c r="AC311" s="28"/>
      <c r="AD311" s="28"/>
      <c r="AE311" s="28"/>
      <c r="AF311" s="28"/>
      <c r="AG311" s="28"/>
      <c r="AH311" s="28"/>
      <c r="AI311" s="8"/>
      <c r="AJ311" s="8"/>
      <c r="AK311" s="8"/>
      <c r="AL311" s="8"/>
      <c r="AM311" s="8"/>
      <c r="AN311" s="28"/>
      <c r="AO311" s="8"/>
      <c r="AP311" s="8"/>
      <c r="AQ311" s="28"/>
      <c r="AR311" s="28"/>
      <c r="AS311" s="28"/>
    </row>
    <row r="312" spans="1:45" ht="15.75" thickBot="1" x14ac:dyDescent="0.3">
      <c r="A312" t="s">
        <v>772</v>
      </c>
      <c r="C312" s="46" t="s">
        <v>786</v>
      </c>
      <c r="D312" t="s">
        <v>787</v>
      </c>
      <c r="E312" t="s">
        <v>19</v>
      </c>
      <c r="F312" t="s">
        <v>25</v>
      </c>
      <c r="G312"/>
      <c r="H312" t="s">
        <v>692</v>
      </c>
      <c r="I312" s="16">
        <v>-348137760000</v>
      </c>
      <c r="J312" s="16">
        <v>-582704960000</v>
      </c>
      <c r="K312" s="16" t="s">
        <v>1269</v>
      </c>
      <c r="L312" s="17">
        <f t="shared" si="18"/>
        <v>28</v>
      </c>
      <c r="M312" s="17">
        <f t="shared" si="19"/>
        <v>0</v>
      </c>
      <c r="N312" s="18">
        <f t="shared" si="20"/>
        <v>1</v>
      </c>
      <c r="O312" s="28"/>
      <c r="P312" s="8"/>
      <c r="Q312" s="8"/>
      <c r="R312" s="8"/>
      <c r="S312" s="28"/>
      <c r="T312" s="28"/>
      <c r="U312" s="8"/>
      <c r="V312" s="8"/>
      <c r="W312" s="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8"/>
      <c r="AJ312" s="8"/>
      <c r="AK312" s="8"/>
      <c r="AL312" s="8"/>
      <c r="AM312" s="8"/>
      <c r="AN312" s="28"/>
      <c r="AO312" s="8"/>
      <c r="AP312" s="8"/>
      <c r="AQ312" s="28"/>
      <c r="AR312" s="28"/>
      <c r="AS312" s="28"/>
    </row>
    <row r="313" spans="1:45" ht="15.75" thickBot="1" x14ac:dyDescent="0.3">
      <c r="A313" t="s">
        <v>779</v>
      </c>
      <c r="C313" s="46" t="s">
        <v>788</v>
      </c>
      <c r="D313" t="s">
        <v>789</v>
      </c>
      <c r="E313" t="s">
        <v>73</v>
      </c>
      <c r="F313" t="s">
        <v>25</v>
      </c>
      <c r="G313"/>
      <c r="H313" t="s">
        <v>307</v>
      </c>
      <c r="I313" s="16">
        <v>-348227100000</v>
      </c>
      <c r="J313" s="16">
        <v>-582764200000</v>
      </c>
      <c r="K313" s="16" t="s">
        <v>1270</v>
      </c>
      <c r="L313" s="17">
        <f t="shared" si="18"/>
        <v>27</v>
      </c>
      <c r="M313" s="17">
        <f t="shared" si="19"/>
        <v>1</v>
      </c>
      <c r="N313" s="18">
        <f t="shared" si="20"/>
        <v>0.9642857142857143</v>
      </c>
      <c r="O313" s="28"/>
      <c r="P313" s="8"/>
      <c r="Q313" s="8"/>
      <c r="R313" s="8"/>
      <c r="S313" s="28"/>
      <c r="T313" s="28"/>
      <c r="U313" s="8"/>
      <c r="V313" s="8"/>
      <c r="W313" s="8"/>
      <c r="X313" s="28"/>
      <c r="Y313" s="28"/>
      <c r="Z313" s="28"/>
      <c r="AA313" s="28" t="s">
        <v>939</v>
      </c>
      <c r="AB313" s="28"/>
      <c r="AC313" s="28"/>
      <c r="AD313" s="28"/>
      <c r="AE313" s="28"/>
      <c r="AF313" s="28"/>
      <c r="AG313" s="28"/>
      <c r="AH313" s="28"/>
      <c r="AI313" s="8"/>
      <c r="AJ313" s="8"/>
      <c r="AK313" s="8"/>
      <c r="AL313" s="8"/>
      <c r="AM313" s="8"/>
      <c r="AN313" s="28"/>
      <c r="AO313" s="8"/>
      <c r="AP313" s="8"/>
      <c r="AQ313" s="28"/>
      <c r="AR313" s="28"/>
      <c r="AS313" s="28"/>
    </row>
    <row r="314" spans="1:45" ht="15.75" thickBot="1" x14ac:dyDescent="0.3">
      <c r="A314" t="s">
        <v>779</v>
      </c>
      <c r="C314" s="46" t="s">
        <v>790</v>
      </c>
      <c r="D314" t="s">
        <v>927</v>
      </c>
      <c r="E314" t="s">
        <v>24</v>
      </c>
      <c r="F314" t="s">
        <v>36</v>
      </c>
      <c r="G314" t="s">
        <v>791</v>
      </c>
      <c r="H314"/>
      <c r="I314" s="16">
        <v>-348197840000</v>
      </c>
      <c r="J314" s="16">
        <v>-582731040000</v>
      </c>
      <c r="K314" s="16" t="s">
        <v>1251</v>
      </c>
      <c r="L314" s="17">
        <f t="shared" si="18"/>
        <v>28</v>
      </c>
      <c r="M314" s="17">
        <f t="shared" si="19"/>
        <v>0</v>
      </c>
      <c r="N314" s="18">
        <f t="shared" si="20"/>
        <v>1</v>
      </c>
      <c r="O314" s="28"/>
      <c r="P314" s="8"/>
      <c r="Q314" s="8"/>
      <c r="R314" s="8"/>
      <c r="S314" s="28"/>
      <c r="T314" s="28"/>
      <c r="U314" s="8"/>
      <c r="V314" s="8"/>
      <c r="W314" s="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8"/>
      <c r="AJ314" s="8"/>
      <c r="AK314" s="8"/>
      <c r="AL314" s="8"/>
      <c r="AM314" s="8"/>
      <c r="AN314" s="28"/>
      <c r="AO314" s="8"/>
      <c r="AP314" s="8"/>
      <c r="AQ314" s="28"/>
      <c r="AR314" s="28"/>
      <c r="AS314" s="28"/>
    </row>
    <row r="315" spans="1:45" ht="15.75" thickBot="1" x14ac:dyDescent="0.3">
      <c r="A315" t="s">
        <v>772</v>
      </c>
      <c r="C315" s="46" t="s">
        <v>792</v>
      </c>
      <c r="D315" t="s">
        <v>926</v>
      </c>
      <c r="E315" t="s">
        <v>24</v>
      </c>
      <c r="F315" t="s">
        <v>36</v>
      </c>
      <c r="G315" t="s">
        <v>185</v>
      </c>
      <c r="H315"/>
      <c r="I315" s="16">
        <v>-348187010000</v>
      </c>
      <c r="J315" s="16">
        <v>-582769880000</v>
      </c>
      <c r="K315" s="16" t="s">
        <v>1252</v>
      </c>
      <c r="L315" s="17">
        <f t="shared" si="18"/>
        <v>28</v>
      </c>
      <c r="M315" s="17">
        <f t="shared" si="19"/>
        <v>0</v>
      </c>
      <c r="N315" s="18">
        <f t="shared" si="20"/>
        <v>1</v>
      </c>
      <c r="O315" s="28"/>
      <c r="P315" s="8"/>
      <c r="Q315" s="8"/>
      <c r="R315" s="8"/>
      <c r="S315" s="28"/>
      <c r="T315" s="28"/>
      <c r="U315" s="8"/>
      <c r="V315" s="8"/>
      <c r="W315" s="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8"/>
      <c r="AJ315" s="8"/>
      <c r="AK315" s="8"/>
      <c r="AL315" s="8"/>
      <c r="AM315" s="8"/>
      <c r="AN315" s="28"/>
      <c r="AO315" s="8"/>
      <c r="AP315" s="8"/>
      <c r="AQ315" s="28"/>
      <c r="AR315" s="28"/>
      <c r="AS315" s="28"/>
    </row>
    <row r="316" spans="1:45" ht="15.75" thickBot="1" x14ac:dyDescent="0.3">
      <c r="A316" t="s">
        <v>772</v>
      </c>
      <c r="C316" s="46" t="s">
        <v>793</v>
      </c>
      <c r="D316" t="s">
        <v>794</v>
      </c>
      <c r="E316" t="s">
        <v>24</v>
      </c>
      <c r="F316" t="s">
        <v>36</v>
      </c>
      <c r="G316" t="s">
        <v>795</v>
      </c>
      <c r="H316"/>
      <c r="I316" s="16">
        <v>-348117420000</v>
      </c>
      <c r="J316" s="16">
        <v>-582744990000</v>
      </c>
      <c r="K316" s="16" t="s">
        <v>1253</v>
      </c>
      <c r="L316" s="17">
        <f t="shared" si="18"/>
        <v>28</v>
      </c>
      <c r="M316" s="17">
        <f t="shared" si="19"/>
        <v>0</v>
      </c>
      <c r="N316" s="18">
        <f t="shared" si="20"/>
        <v>1</v>
      </c>
      <c r="O316" s="28"/>
      <c r="P316" s="8"/>
      <c r="Q316" s="8"/>
      <c r="R316" s="8"/>
      <c r="S316" s="28"/>
      <c r="T316" s="28"/>
      <c r="U316" s="8"/>
      <c r="V316" s="8"/>
      <c r="W316" s="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8"/>
      <c r="AJ316" s="8"/>
      <c r="AK316" s="8"/>
      <c r="AL316" s="8"/>
      <c r="AM316" s="8"/>
      <c r="AN316" s="28"/>
      <c r="AO316" s="8"/>
      <c r="AP316" s="8"/>
      <c r="AQ316" s="28"/>
      <c r="AR316" s="28"/>
      <c r="AS316" s="28"/>
    </row>
    <row r="317" spans="1:45" ht="15.75" thickBot="1" x14ac:dyDescent="0.3">
      <c r="A317" t="s">
        <v>772</v>
      </c>
      <c r="C317" s="46" t="s">
        <v>796</v>
      </c>
      <c r="D317" t="s">
        <v>797</v>
      </c>
      <c r="E317" t="s">
        <v>24</v>
      </c>
      <c r="F317" t="s">
        <v>36</v>
      </c>
      <c r="G317" t="s">
        <v>798</v>
      </c>
      <c r="H317"/>
      <c r="I317" s="16">
        <v>-348115920000</v>
      </c>
      <c r="J317" s="16">
        <v>-582697890000</v>
      </c>
      <c r="K317" s="16" t="s">
        <v>1254</v>
      </c>
      <c r="L317" s="17">
        <f t="shared" si="18"/>
        <v>28</v>
      </c>
      <c r="M317" s="17">
        <f t="shared" si="19"/>
        <v>0</v>
      </c>
      <c r="N317" s="18">
        <f t="shared" si="20"/>
        <v>1</v>
      </c>
      <c r="O317" s="28"/>
      <c r="P317" s="8"/>
      <c r="Q317" s="8"/>
      <c r="R317" s="8"/>
      <c r="S317" s="28"/>
      <c r="T317" s="28"/>
      <c r="U317" s="8"/>
      <c r="V317" s="8"/>
      <c r="W317" s="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8"/>
      <c r="AJ317" s="8"/>
      <c r="AK317" s="8"/>
      <c r="AL317" s="8"/>
      <c r="AM317" s="8"/>
      <c r="AN317" s="28"/>
      <c r="AO317" s="8"/>
      <c r="AP317" s="8"/>
      <c r="AQ317" s="28"/>
      <c r="AR317" s="28"/>
      <c r="AS317" s="28"/>
    </row>
    <row r="318" spans="1:45" ht="15.75" thickBot="1" x14ac:dyDescent="0.3">
      <c r="A318" t="s">
        <v>772</v>
      </c>
      <c r="C318" s="46" t="s">
        <v>799</v>
      </c>
      <c r="D318" t="s">
        <v>800</v>
      </c>
      <c r="E318" t="s">
        <v>24</v>
      </c>
      <c r="F318" t="s">
        <v>25</v>
      </c>
      <c r="G318" t="s">
        <v>801</v>
      </c>
      <c r="H318"/>
      <c r="I318" s="16">
        <v>-348115310000</v>
      </c>
      <c r="J318" s="16">
        <v>-582685340000</v>
      </c>
      <c r="K318" s="16" t="s">
        <v>1255</v>
      </c>
      <c r="L318" s="17">
        <f t="shared" si="18"/>
        <v>28</v>
      </c>
      <c r="M318" s="17">
        <f t="shared" si="19"/>
        <v>0</v>
      </c>
      <c r="N318" s="18">
        <f t="shared" si="20"/>
        <v>1</v>
      </c>
      <c r="O318" s="28"/>
      <c r="P318" s="8"/>
      <c r="Q318" s="8"/>
      <c r="R318" s="8"/>
      <c r="S318" s="28"/>
      <c r="T318" s="28"/>
      <c r="U318" s="8"/>
      <c r="V318" s="8"/>
      <c r="W318" s="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8"/>
      <c r="AJ318" s="8"/>
      <c r="AK318" s="8"/>
      <c r="AL318" s="8"/>
      <c r="AM318" s="8"/>
      <c r="AN318" s="28"/>
      <c r="AO318" s="8"/>
      <c r="AP318" s="8"/>
      <c r="AQ318" s="28"/>
      <c r="AR318" s="28"/>
      <c r="AS318" s="28"/>
    </row>
    <row r="319" spans="1:45" ht="15.75" thickBot="1" x14ac:dyDescent="0.3">
      <c r="A319" t="s">
        <v>772</v>
      </c>
      <c r="C319" s="46" t="s">
        <v>802</v>
      </c>
      <c r="D319" t="s">
        <v>924</v>
      </c>
      <c r="E319" t="s">
        <v>24</v>
      </c>
      <c r="F319" t="s">
        <v>36</v>
      </c>
      <c r="G319" t="s">
        <v>65</v>
      </c>
      <c r="H319"/>
      <c r="I319" s="16">
        <v>-348150260000</v>
      </c>
      <c r="J319" s="16">
        <v>-582775060000</v>
      </c>
      <c r="K319" s="16" t="s">
        <v>1256</v>
      </c>
      <c r="L319" s="17">
        <f t="shared" si="18"/>
        <v>18</v>
      </c>
      <c r="M319" s="17">
        <f t="shared" si="19"/>
        <v>10</v>
      </c>
      <c r="N319" s="18">
        <f t="shared" si="20"/>
        <v>0.6428571428571429</v>
      </c>
      <c r="O319" s="28" t="s">
        <v>939</v>
      </c>
      <c r="P319" s="8" t="s">
        <v>939</v>
      </c>
      <c r="Q319" s="8" t="s">
        <v>939</v>
      </c>
      <c r="R319" s="8" t="s">
        <v>939</v>
      </c>
      <c r="S319" s="28" t="s">
        <v>939</v>
      </c>
      <c r="T319" s="28" t="s">
        <v>939</v>
      </c>
      <c r="U319" s="8" t="s">
        <v>939</v>
      </c>
      <c r="V319" s="8" t="s">
        <v>939</v>
      </c>
      <c r="W319" s="8" t="s">
        <v>939</v>
      </c>
      <c r="X319" s="28" t="s">
        <v>939</v>
      </c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8"/>
      <c r="AJ319" s="28"/>
      <c r="AK319" s="8"/>
      <c r="AL319" s="8"/>
      <c r="AM319" s="8"/>
      <c r="AN319" s="28"/>
      <c r="AO319" s="8"/>
      <c r="AP319" s="8"/>
      <c r="AQ319" s="28"/>
      <c r="AR319" s="28"/>
      <c r="AS319" s="28"/>
    </row>
    <row r="320" spans="1:45" ht="15.75" thickBot="1" x14ac:dyDescent="0.3">
      <c r="A320" t="s">
        <v>772</v>
      </c>
      <c r="C320" s="46" t="s">
        <v>803</v>
      </c>
      <c r="D320" t="s">
        <v>925</v>
      </c>
      <c r="E320" t="s">
        <v>19</v>
      </c>
      <c r="F320" t="s">
        <v>945</v>
      </c>
      <c r="G320" t="s">
        <v>804</v>
      </c>
      <c r="H320"/>
      <c r="I320" s="16">
        <v>-348119360000</v>
      </c>
      <c r="J320" s="16">
        <v>-582777500000</v>
      </c>
      <c r="K320" s="16" t="s">
        <v>1257</v>
      </c>
      <c r="L320" s="17">
        <f t="shared" si="18"/>
        <v>18</v>
      </c>
      <c r="M320" s="17">
        <f t="shared" si="19"/>
        <v>10</v>
      </c>
      <c r="N320" s="18">
        <f t="shared" si="20"/>
        <v>0.6428571428571429</v>
      </c>
      <c r="O320" s="28" t="s">
        <v>939</v>
      </c>
      <c r="P320" s="8" t="s">
        <v>939</v>
      </c>
      <c r="Q320" s="8" t="s">
        <v>939</v>
      </c>
      <c r="R320" s="8" t="s">
        <v>939</v>
      </c>
      <c r="S320" s="28" t="s">
        <v>939</v>
      </c>
      <c r="T320" s="28" t="s">
        <v>939</v>
      </c>
      <c r="U320" s="8" t="s">
        <v>939</v>
      </c>
      <c r="V320" s="8" t="s">
        <v>939</v>
      </c>
      <c r="W320" s="8" t="s">
        <v>939</v>
      </c>
      <c r="X320" s="28" t="s">
        <v>939</v>
      </c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8"/>
      <c r="AJ320" s="28"/>
      <c r="AK320" s="8"/>
      <c r="AL320" s="8"/>
      <c r="AM320" s="8"/>
      <c r="AN320" s="28"/>
      <c r="AO320" s="8"/>
      <c r="AP320" s="8"/>
      <c r="AQ320" s="28"/>
      <c r="AR320" s="28"/>
      <c r="AS320" s="28"/>
    </row>
    <row r="321" spans="1:45" ht="15.75" thickBot="1" x14ac:dyDescent="0.3">
      <c r="A321" t="s">
        <v>779</v>
      </c>
      <c r="C321" s="46" t="s">
        <v>805</v>
      </c>
      <c r="D321" t="s">
        <v>806</v>
      </c>
      <c r="E321" t="s">
        <v>24</v>
      </c>
      <c r="F321" t="s">
        <v>36</v>
      </c>
      <c r="G321" t="s">
        <v>161</v>
      </c>
      <c r="H321"/>
      <c r="I321" s="16">
        <v>-348165160000</v>
      </c>
      <c r="J321" s="16">
        <v>-582725140000</v>
      </c>
      <c r="K321" s="16" t="s">
        <v>1258</v>
      </c>
      <c r="L321" s="17">
        <f t="shared" si="18"/>
        <v>28</v>
      </c>
      <c r="M321" s="17">
        <f t="shared" si="19"/>
        <v>0</v>
      </c>
      <c r="N321" s="18">
        <f t="shared" si="20"/>
        <v>1</v>
      </c>
      <c r="O321" s="28"/>
      <c r="P321" s="8"/>
      <c r="Q321" s="8"/>
      <c r="R321" s="8"/>
      <c r="S321" s="28"/>
      <c r="T321" s="28"/>
      <c r="U321" s="8"/>
      <c r="V321" s="8"/>
      <c r="W321" s="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8"/>
      <c r="AJ321" s="8"/>
      <c r="AK321" s="8"/>
      <c r="AL321" s="8"/>
      <c r="AM321" s="8"/>
      <c r="AN321" s="28"/>
      <c r="AO321" s="8"/>
      <c r="AP321" s="8"/>
      <c r="AQ321" s="28"/>
      <c r="AR321" s="28"/>
      <c r="AS321" s="28"/>
    </row>
    <row r="322" spans="1:45" ht="15.75" thickBot="1" x14ac:dyDescent="0.3">
      <c r="A322" t="s">
        <v>779</v>
      </c>
      <c r="C322" s="46" t="s">
        <v>807</v>
      </c>
      <c r="D322" t="s">
        <v>808</v>
      </c>
      <c r="E322" t="s">
        <v>24</v>
      </c>
      <c r="F322" t="s">
        <v>36</v>
      </c>
      <c r="G322" t="s">
        <v>161</v>
      </c>
      <c r="H322" t="s">
        <v>809</v>
      </c>
      <c r="I322" s="16">
        <v>-348159830000</v>
      </c>
      <c r="J322" s="16">
        <v>-582660100000</v>
      </c>
      <c r="K322" s="16" t="s">
        <v>1259</v>
      </c>
      <c r="L322" s="17">
        <f t="shared" si="18"/>
        <v>28</v>
      </c>
      <c r="M322" s="17">
        <f t="shared" si="19"/>
        <v>0</v>
      </c>
      <c r="N322" s="18">
        <f t="shared" si="20"/>
        <v>1</v>
      </c>
      <c r="O322" s="28"/>
      <c r="P322" s="8"/>
      <c r="Q322" s="8"/>
      <c r="R322" s="8"/>
      <c r="S322" s="28"/>
      <c r="T322" s="28"/>
      <c r="U322" s="8"/>
      <c r="V322" s="8"/>
      <c r="W322" s="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8"/>
      <c r="AJ322" s="8"/>
      <c r="AK322" s="8"/>
      <c r="AL322" s="8"/>
      <c r="AM322" s="8"/>
      <c r="AN322" s="28"/>
      <c r="AO322" s="8"/>
      <c r="AP322" s="8"/>
      <c r="AQ322" s="28"/>
      <c r="AR322" s="28"/>
      <c r="AS322" s="28"/>
    </row>
    <row r="323" spans="1:45" ht="15.75" thickBot="1" x14ac:dyDescent="0.3">
      <c r="A323" t="s">
        <v>772</v>
      </c>
      <c r="C323" s="46" t="s">
        <v>810</v>
      </c>
      <c r="D323" t="s">
        <v>811</v>
      </c>
      <c r="E323" t="s">
        <v>24</v>
      </c>
      <c r="F323" t="s">
        <v>36</v>
      </c>
      <c r="G323" t="s">
        <v>161</v>
      </c>
      <c r="H323"/>
      <c r="I323" s="16">
        <v>-348139270000</v>
      </c>
      <c r="J323" s="16">
        <v>-582743600000</v>
      </c>
      <c r="K323" s="16" t="s">
        <v>1260</v>
      </c>
      <c r="L323" s="17">
        <f t="shared" si="18"/>
        <v>28</v>
      </c>
      <c r="M323" s="17">
        <f t="shared" si="19"/>
        <v>0</v>
      </c>
      <c r="N323" s="18">
        <f t="shared" si="20"/>
        <v>1</v>
      </c>
      <c r="O323" s="28"/>
      <c r="P323" s="8"/>
      <c r="Q323" s="8"/>
      <c r="R323" s="8"/>
      <c r="S323" s="28"/>
      <c r="T323" s="28"/>
      <c r="U323" s="8"/>
      <c r="V323" s="8"/>
      <c r="W323" s="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8"/>
      <c r="AJ323" s="8"/>
      <c r="AK323" s="8"/>
      <c r="AL323" s="8"/>
      <c r="AM323" s="8"/>
      <c r="AN323" s="28"/>
      <c r="AO323" s="8"/>
      <c r="AP323" s="8"/>
      <c r="AQ323" s="28"/>
      <c r="AR323" s="28"/>
      <c r="AS323" s="28"/>
    </row>
    <row r="324" spans="1:45" ht="15.75" thickBot="1" x14ac:dyDescent="0.3">
      <c r="A324" t="s">
        <v>779</v>
      </c>
      <c r="C324" s="46" t="s">
        <v>812</v>
      </c>
      <c r="D324" t="s">
        <v>813</v>
      </c>
      <c r="E324" t="s">
        <v>24</v>
      </c>
      <c r="F324" t="s">
        <v>36</v>
      </c>
      <c r="G324" t="s">
        <v>791</v>
      </c>
      <c r="H324"/>
      <c r="I324" s="16">
        <v>-348191940000</v>
      </c>
      <c r="J324" s="16">
        <v>-582720740000</v>
      </c>
      <c r="K324" s="16" t="s">
        <v>1261</v>
      </c>
      <c r="L324" s="17">
        <f t="shared" si="18"/>
        <v>28</v>
      </c>
      <c r="M324" s="17">
        <f t="shared" si="19"/>
        <v>0</v>
      </c>
      <c r="N324" s="18">
        <f t="shared" si="20"/>
        <v>1</v>
      </c>
      <c r="O324" s="28"/>
      <c r="P324" s="8"/>
      <c r="Q324" s="8"/>
      <c r="R324" s="8"/>
      <c r="S324" s="28"/>
      <c r="T324" s="28"/>
      <c r="U324" s="8"/>
      <c r="V324" s="8"/>
      <c r="W324" s="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8"/>
      <c r="AJ324" s="8"/>
      <c r="AK324" s="8"/>
      <c r="AL324" s="8"/>
      <c r="AM324" s="8"/>
      <c r="AN324" s="28"/>
      <c r="AO324" s="8"/>
      <c r="AP324" s="8"/>
      <c r="AQ324" s="28"/>
      <c r="AR324" s="28"/>
      <c r="AS324" s="28"/>
    </row>
    <row r="325" spans="1:45" ht="15.75" thickBot="1" x14ac:dyDescent="0.3">
      <c r="C325" s="46" t="s">
        <v>814</v>
      </c>
      <c r="D325" t="s">
        <v>815</v>
      </c>
      <c r="E325" t="s">
        <v>19</v>
      </c>
      <c r="F325" t="s">
        <v>36</v>
      </c>
      <c r="G325" t="s">
        <v>816</v>
      </c>
      <c r="H325" t="s">
        <v>817</v>
      </c>
      <c r="I325" s="16">
        <v>-348187470000</v>
      </c>
      <c r="J325" s="16">
        <v>-582709000000</v>
      </c>
      <c r="K325" s="16" t="s">
        <v>1264</v>
      </c>
      <c r="L325" s="17">
        <f t="shared" ref="L325:L368" si="21">COUNTIF(O325:AP325,"")</f>
        <v>28</v>
      </c>
      <c r="M325" s="17">
        <f t="shared" ref="M325:M368" si="22">COUNTIF(O325:AP325,"APAGADO")</f>
        <v>0</v>
      </c>
      <c r="N325" s="18">
        <f t="shared" ref="N325:N368" si="23">(L325)/(M325+L325)</f>
        <v>1</v>
      </c>
      <c r="O325" s="28"/>
      <c r="P325" s="8"/>
      <c r="Q325" s="8"/>
      <c r="R325" s="8"/>
      <c r="S325" s="28"/>
      <c r="T325" s="28"/>
      <c r="U325" s="8"/>
      <c r="V325" s="8"/>
      <c r="W325" s="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8"/>
      <c r="AJ325" s="8"/>
      <c r="AK325" s="8"/>
      <c r="AL325" s="8"/>
      <c r="AM325" s="8"/>
      <c r="AN325" s="28"/>
      <c r="AO325" s="8"/>
      <c r="AP325" s="8"/>
      <c r="AQ325" s="28"/>
      <c r="AR325" s="28"/>
      <c r="AS325" s="28"/>
    </row>
    <row r="326" spans="1:45" ht="15.75" thickBot="1" x14ac:dyDescent="0.3">
      <c r="A326" t="s">
        <v>772</v>
      </c>
      <c r="C326" s="46" t="s">
        <v>818</v>
      </c>
      <c r="D326" t="s">
        <v>819</v>
      </c>
      <c r="E326" t="s">
        <v>113</v>
      </c>
      <c r="F326" t="s">
        <v>36</v>
      </c>
      <c r="G326"/>
      <c r="H326" t="s">
        <v>248</v>
      </c>
      <c r="I326" s="16">
        <v>-348138590000</v>
      </c>
      <c r="J326" s="16">
        <v>-582734640000</v>
      </c>
      <c r="K326" s="16" t="s">
        <v>1271</v>
      </c>
      <c r="L326" s="17">
        <f t="shared" si="21"/>
        <v>28</v>
      </c>
      <c r="M326" s="17">
        <f t="shared" si="22"/>
        <v>0</v>
      </c>
      <c r="N326" s="18">
        <f t="shared" si="23"/>
        <v>1</v>
      </c>
      <c r="O326" s="28"/>
      <c r="P326" s="8"/>
      <c r="Q326" s="8"/>
      <c r="R326" s="8"/>
      <c r="S326" s="28"/>
      <c r="T326" s="28"/>
      <c r="U326" s="8"/>
      <c r="V326" s="8"/>
      <c r="W326" s="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8"/>
      <c r="AJ326" s="8"/>
      <c r="AK326" s="8"/>
      <c r="AL326" s="8"/>
      <c r="AM326" s="8"/>
      <c r="AN326" s="28"/>
      <c r="AO326" s="8"/>
      <c r="AP326" s="8"/>
      <c r="AQ326" s="28"/>
      <c r="AR326" s="28"/>
      <c r="AS326" s="28"/>
    </row>
    <row r="327" spans="1:45" ht="15.75" thickBot="1" x14ac:dyDescent="0.3">
      <c r="A327" t="s">
        <v>772</v>
      </c>
      <c r="C327" s="46" t="s">
        <v>820</v>
      </c>
      <c r="D327" t="s">
        <v>819</v>
      </c>
      <c r="E327" t="s">
        <v>113</v>
      </c>
      <c r="F327" t="s">
        <v>36</v>
      </c>
      <c r="G327"/>
      <c r="H327" t="s">
        <v>248</v>
      </c>
      <c r="I327" s="16">
        <v>-348138540000</v>
      </c>
      <c r="J327" s="16">
        <v>-582734290000</v>
      </c>
      <c r="K327" s="16" t="s">
        <v>1272</v>
      </c>
      <c r="L327" s="17">
        <f t="shared" si="21"/>
        <v>28</v>
      </c>
      <c r="M327" s="17">
        <f t="shared" si="22"/>
        <v>0</v>
      </c>
      <c r="N327" s="18">
        <f t="shared" si="23"/>
        <v>1</v>
      </c>
      <c r="O327" s="28"/>
      <c r="P327" s="8"/>
      <c r="Q327" s="8"/>
      <c r="R327" s="8"/>
      <c r="S327" s="28"/>
      <c r="T327" s="28"/>
      <c r="U327" s="8"/>
      <c r="V327" s="8"/>
      <c r="W327" s="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8"/>
      <c r="AJ327" s="8"/>
      <c r="AK327" s="8"/>
      <c r="AL327" s="8"/>
      <c r="AM327" s="8"/>
      <c r="AN327" s="28"/>
      <c r="AO327" s="8"/>
      <c r="AP327" s="8"/>
      <c r="AQ327" s="28"/>
      <c r="AR327" s="28"/>
      <c r="AS327" s="28"/>
    </row>
    <row r="328" spans="1:45" ht="15.75" thickBot="1" x14ac:dyDescent="0.3">
      <c r="A328" t="s">
        <v>772</v>
      </c>
      <c r="C328" s="46" t="s">
        <v>821</v>
      </c>
      <c r="D328" t="s">
        <v>822</v>
      </c>
      <c r="E328" t="s">
        <v>113</v>
      </c>
      <c r="F328" t="s">
        <v>36</v>
      </c>
      <c r="G328"/>
      <c r="H328" t="s">
        <v>300</v>
      </c>
      <c r="I328" s="16">
        <v>-348114320000</v>
      </c>
      <c r="J328" s="16">
        <v>-582778570000</v>
      </c>
      <c r="K328" s="16" t="s">
        <v>1027</v>
      </c>
      <c r="L328" s="17">
        <f t="shared" si="21"/>
        <v>19</v>
      </c>
      <c r="M328" s="17">
        <f t="shared" si="22"/>
        <v>9</v>
      </c>
      <c r="N328" s="18">
        <f t="shared" si="23"/>
        <v>0.6785714285714286</v>
      </c>
      <c r="O328" s="28"/>
      <c r="P328" s="8" t="s">
        <v>939</v>
      </c>
      <c r="Q328" s="8" t="s">
        <v>939</v>
      </c>
      <c r="R328" s="8" t="s">
        <v>939</v>
      </c>
      <c r="S328" s="28" t="s">
        <v>939</v>
      </c>
      <c r="T328" s="28" t="s">
        <v>939</v>
      </c>
      <c r="U328" s="8" t="s">
        <v>939</v>
      </c>
      <c r="V328" s="8" t="s">
        <v>939</v>
      </c>
      <c r="W328" s="8" t="s">
        <v>939</v>
      </c>
      <c r="X328" s="28" t="s">
        <v>939</v>
      </c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8"/>
      <c r="AJ328" s="8"/>
      <c r="AK328" s="8"/>
      <c r="AL328" s="8"/>
      <c r="AM328" s="8"/>
      <c r="AN328" s="28"/>
      <c r="AO328" s="8"/>
      <c r="AP328" s="8"/>
      <c r="AQ328" s="28"/>
      <c r="AR328" s="28"/>
      <c r="AS328" s="28"/>
    </row>
    <row r="329" spans="1:45" ht="15.75" thickBot="1" x14ac:dyDescent="0.3">
      <c r="A329" t="s">
        <v>772</v>
      </c>
      <c r="C329" s="46" t="s">
        <v>823</v>
      </c>
      <c r="D329" t="s">
        <v>822</v>
      </c>
      <c r="E329" t="s">
        <v>113</v>
      </c>
      <c r="F329" t="s">
        <v>36</v>
      </c>
      <c r="G329"/>
      <c r="H329" t="s">
        <v>300</v>
      </c>
      <c r="I329" s="16">
        <v>-348114300000</v>
      </c>
      <c r="J329" s="16">
        <v>-582778730000</v>
      </c>
      <c r="K329" s="16" t="s">
        <v>1273</v>
      </c>
      <c r="L329" s="17">
        <f t="shared" si="21"/>
        <v>19</v>
      </c>
      <c r="M329" s="17">
        <f t="shared" si="22"/>
        <v>9</v>
      </c>
      <c r="N329" s="18">
        <f t="shared" si="23"/>
        <v>0.6785714285714286</v>
      </c>
      <c r="O329" s="28"/>
      <c r="P329" s="8" t="s">
        <v>939</v>
      </c>
      <c r="Q329" s="8" t="s">
        <v>939</v>
      </c>
      <c r="R329" s="8" t="s">
        <v>939</v>
      </c>
      <c r="S329" s="28" t="s">
        <v>939</v>
      </c>
      <c r="T329" s="28" t="s">
        <v>939</v>
      </c>
      <c r="U329" s="8" t="s">
        <v>939</v>
      </c>
      <c r="V329" s="8" t="s">
        <v>939</v>
      </c>
      <c r="W329" s="8" t="s">
        <v>939</v>
      </c>
      <c r="X329" s="28" t="s">
        <v>939</v>
      </c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8"/>
      <c r="AJ329" s="8"/>
      <c r="AK329" s="8"/>
      <c r="AL329" s="8"/>
      <c r="AM329" s="8"/>
      <c r="AN329" s="28"/>
      <c r="AO329" s="8"/>
      <c r="AP329" s="8"/>
      <c r="AQ329" s="28"/>
      <c r="AR329" s="28"/>
      <c r="AS329" s="28"/>
    </row>
    <row r="330" spans="1:45" ht="15.75" thickBot="1" x14ac:dyDescent="0.3">
      <c r="A330" t="s">
        <v>619</v>
      </c>
      <c r="C330" s="46" t="s">
        <v>824</v>
      </c>
      <c r="D330" t="s">
        <v>825</v>
      </c>
      <c r="E330" t="s">
        <v>24</v>
      </c>
      <c r="F330" t="s">
        <v>36</v>
      </c>
      <c r="G330" t="s">
        <v>826</v>
      </c>
      <c r="H330" t="s">
        <v>827</v>
      </c>
      <c r="I330" s="16">
        <v>-347781830000</v>
      </c>
      <c r="J330" s="16">
        <v>-582883670000</v>
      </c>
      <c r="K330" s="16" t="s">
        <v>1280</v>
      </c>
      <c r="L330" s="17">
        <f t="shared" si="21"/>
        <v>28</v>
      </c>
      <c r="M330" s="17">
        <f t="shared" si="22"/>
        <v>0</v>
      </c>
      <c r="N330" s="18">
        <f t="shared" si="23"/>
        <v>1</v>
      </c>
      <c r="O330" s="28"/>
      <c r="P330" s="8"/>
      <c r="Q330" s="8"/>
      <c r="R330" s="8"/>
      <c r="S330" s="28"/>
      <c r="T330" s="28"/>
      <c r="U330" s="8"/>
      <c r="V330" s="8"/>
      <c r="W330" s="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8"/>
      <c r="AJ330" s="8"/>
      <c r="AK330" s="8"/>
      <c r="AL330" s="8"/>
      <c r="AM330" s="8"/>
      <c r="AN330" s="28"/>
      <c r="AO330" s="8"/>
      <c r="AP330" s="8"/>
      <c r="AQ330" s="28"/>
      <c r="AR330" s="28"/>
      <c r="AS330" s="28"/>
    </row>
    <row r="331" spans="1:45" ht="15.75" thickBot="1" x14ac:dyDescent="0.3">
      <c r="A331" t="s">
        <v>619</v>
      </c>
      <c r="C331" s="46" t="s">
        <v>828</v>
      </c>
      <c r="D331" t="s">
        <v>829</v>
      </c>
      <c r="E331" t="s">
        <v>24</v>
      </c>
      <c r="F331" t="s">
        <v>36</v>
      </c>
      <c r="G331" t="s">
        <v>601</v>
      </c>
      <c r="H331"/>
      <c r="I331" s="16">
        <v>-347743850000</v>
      </c>
      <c r="J331" s="16">
        <v>-582816550000</v>
      </c>
      <c r="K331" s="16" t="s">
        <v>1276</v>
      </c>
      <c r="L331" s="17">
        <f t="shared" si="21"/>
        <v>20</v>
      </c>
      <c r="M331" s="17">
        <f t="shared" si="22"/>
        <v>8</v>
      </c>
      <c r="N331" s="18">
        <f t="shared" si="23"/>
        <v>0.7142857142857143</v>
      </c>
      <c r="O331" s="28" t="s">
        <v>939</v>
      </c>
      <c r="P331" s="8" t="s">
        <v>939</v>
      </c>
      <c r="Q331" s="8" t="s">
        <v>939</v>
      </c>
      <c r="R331" s="8" t="s">
        <v>939</v>
      </c>
      <c r="S331" s="28" t="s">
        <v>939</v>
      </c>
      <c r="T331" s="28" t="s">
        <v>939</v>
      </c>
      <c r="U331" s="8" t="s">
        <v>939</v>
      </c>
      <c r="V331" s="8" t="s">
        <v>939</v>
      </c>
      <c r="W331" s="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8"/>
      <c r="AJ331" s="28"/>
      <c r="AK331" s="8"/>
      <c r="AL331" s="8"/>
      <c r="AM331" s="8"/>
      <c r="AN331" s="28"/>
      <c r="AO331" s="8"/>
      <c r="AP331" s="8"/>
      <c r="AQ331" s="28"/>
      <c r="AR331" s="28"/>
      <c r="AS331" s="28"/>
    </row>
    <row r="332" spans="1:45" ht="15.75" thickBot="1" x14ac:dyDescent="0.3">
      <c r="A332" t="s">
        <v>456</v>
      </c>
      <c r="C332" s="46" t="s">
        <v>830</v>
      </c>
      <c r="D332" t="s">
        <v>831</v>
      </c>
      <c r="E332" t="s">
        <v>24</v>
      </c>
      <c r="F332" t="s">
        <v>36</v>
      </c>
      <c r="G332" t="s">
        <v>185</v>
      </c>
      <c r="H332"/>
      <c r="I332" s="16">
        <v>-347773100000</v>
      </c>
      <c r="J332" s="16">
        <v>-582804110000</v>
      </c>
      <c r="K332" s="16" t="s">
        <v>1277</v>
      </c>
      <c r="L332" s="17">
        <f t="shared" si="21"/>
        <v>28</v>
      </c>
      <c r="M332" s="17">
        <f t="shared" si="22"/>
        <v>0</v>
      </c>
      <c r="N332" s="18">
        <f t="shared" si="23"/>
        <v>1</v>
      </c>
      <c r="O332" s="28"/>
      <c r="P332" s="8"/>
      <c r="Q332" s="8"/>
      <c r="R332" s="8"/>
      <c r="S332" s="28"/>
      <c r="T332" s="28"/>
      <c r="U332" s="8"/>
      <c r="V332" s="8"/>
      <c r="W332" s="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8"/>
      <c r="AJ332" s="8"/>
      <c r="AK332" s="8"/>
      <c r="AL332" s="8"/>
      <c r="AM332" s="8"/>
      <c r="AN332" s="28"/>
      <c r="AO332" s="8"/>
      <c r="AP332" s="8"/>
      <c r="AQ332" s="28"/>
      <c r="AR332" s="28"/>
      <c r="AS332" s="28"/>
    </row>
    <row r="333" spans="1:45" ht="15.75" thickBot="1" x14ac:dyDescent="0.3">
      <c r="A333" t="s">
        <v>619</v>
      </c>
      <c r="C333" s="46" t="s">
        <v>832</v>
      </c>
      <c r="D333" t="s">
        <v>833</v>
      </c>
      <c r="E333" t="s">
        <v>113</v>
      </c>
      <c r="F333" t="s">
        <v>36</v>
      </c>
      <c r="G333"/>
      <c r="H333" t="s">
        <v>248</v>
      </c>
      <c r="I333" s="16">
        <v>-347807260000</v>
      </c>
      <c r="J333" s="16">
        <v>-582820830000</v>
      </c>
      <c r="K333" s="16" t="s">
        <v>1274</v>
      </c>
      <c r="L333" s="17">
        <f t="shared" si="21"/>
        <v>28</v>
      </c>
      <c r="M333" s="17">
        <f t="shared" si="22"/>
        <v>0</v>
      </c>
      <c r="N333" s="18">
        <f t="shared" si="23"/>
        <v>1</v>
      </c>
      <c r="O333" s="28"/>
      <c r="P333" s="8"/>
      <c r="Q333" s="8"/>
      <c r="R333" s="8"/>
      <c r="S333" s="28"/>
      <c r="T333" s="28"/>
      <c r="U333" s="8"/>
      <c r="V333" s="8"/>
      <c r="W333" s="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8"/>
      <c r="AJ333" s="8"/>
      <c r="AK333" s="8"/>
      <c r="AL333" s="8"/>
      <c r="AM333" s="8"/>
      <c r="AN333" s="28"/>
      <c r="AO333" s="8"/>
      <c r="AP333" s="8"/>
      <c r="AQ333" s="28"/>
      <c r="AR333" s="28"/>
      <c r="AS333" s="28"/>
    </row>
    <row r="334" spans="1:45" ht="15.75" thickBot="1" x14ac:dyDescent="0.3">
      <c r="A334" t="s">
        <v>619</v>
      </c>
      <c r="C334" s="46" t="s">
        <v>834</v>
      </c>
      <c r="D334" t="s">
        <v>833</v>
      </c>
      <c r="E334" t="s">
        <v>113</v>
      </c>
      <c r="F334" t="s">
        <v>36</v>
      </c>
      <c r="G334"/>
      <c r="H334" t="s">
        <v>248</v>
      </c>
      <c r="I334" s="16">
        <v>-347807260000</v>
      </c>
      <c r="J334" s="16">
        <v>-582820830000</v>
      </c>
      <c r="K334" s="16" t="s">
        <v>1275</v>
      </c>
      <c r="L334" s="17">
        <f t="shared" si="21"/>
        <v>28</v>
      </c>
      <c r="M334" s="17">
        <f t="shared" si="22"/>
        <v>0</v>
      </c>
      <c r="N334" s="18">
        <f t="shared" si="23"/>
        <v>1</v>
      </c>
      <c r="O334" s="28"/>
      <c r="P334" s="8"/>
      <c r="Q334" s="8"/>
      <c r="R334" s="8"/>
      <c r="S334" s="28"/>
      <c r="T334" s="28"/>
      <c r="U334" s="8"/>
      <c r="V334" s="8"/>
      <c r="W334" s="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8"/>
      <c r="AJ334" s="8"/>
      <c r="AK334" s="8"/>
      <c r="AL334" s="8"/>
      <c r="AM334" s="8"/>
      <c r="AN334" s="28"/>
      <c r="AO334" s="8"/>
      <c r="AP334" s="8"/>
      <c r="AQ334" s="28"/>
      <c r="AR334" s="28"/>
      <c r="AS334" s="28"/>
    </row>
    <row r="335" spans="1:45" ht="15.75" thickBot="1" x14ac:dyDescent="0.3">
      <c r="A335" t="s">
        <v>619</v>
      </c>
      <c r="C335" s="46" t="s">
        <v>835</v>
      </c>
      <c r="D335" t="s">
        <v>836</v>
      </c>
      <c r="E335" t="s">
        <v>113</v>
      </c>
      <c r="F335" t="s">
        <v>36</v>
      </c>
      <c r="G335" t="s">
        <v>837</v>
      </c>
      <c r="H335" t="s">
        <v>827</v>
      </c>
      <c r="I335" s="16">
        <v>-347798010000</v>
      </c>
      <c r="J335" s="16">
        <v>-582870530000</v>
      </c>
      <c r="K335" s="16" t="s">
        <v>1278</v>
      </c>
      <c r="L335" s="17">
        <f t="shared" si="21"/>
        <v>28</v>
      </c>
      <c r="M335" s="17">
        <f t="shared" si="22"/>
        <v>0</v>
      </c>
      <c r="N335" s="18">
        <f t="shared" si="23"/>
        <v>1</v>
      </c>
      <c r="O335" s="28"/>
      <c r="P335" s="8"/>
      <c r="Q335" s="8"/>
      <c r="R335" s="8"/>
      <c r="S335" s="28"/>
      <c r="T335" s="28"/>
      <c r="U335" s="8"/>
      <c r="V335" s="8"/>
      <c r="W335" s="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8"/>
      <c r="AJ335" s="8"/>
      <c r="AK335" s="8"/>
      <c r="AL335" s="8"/>
      <c r="AM335" s="8"/>
      <c r="AN335" s="28"/>
      <c r="AO335" s="8"/>
      <c r="AP335" s="8"/>
      <c r="AQ335" s="28"/>
      <c r="AR335" s="28"/>
      <c r="AS335" s="28"/>
    </row>
    <row r="336" spans="1:45" ht="15.75" thickBot="1" x14ac:dyDescent="0.3">
      <c r="A336" t="s">
        <v>619</v>
      </c>
      <c r="C336" s="46" t="s">
        <v>838</v>
      </c>
      <c r="D336" t="s">
        <v>836</v>
      </c>
      <c r="E336" t="s">
        <v>113</v>
      </c>
      <c r="F336" t="s">
        <v>36</v>
      </c>
      <c r="G336" t="s">
        <v>837</v>
      </c>
      <c r="H336" t="s">
        <v>827</v>
      </c>
      <c r="I336" s="16">
        <v>-347797690000</v>
      </c>
      <c r="J336" s="16">
        <v>-582869910000</v>
      </c>
      <c r="K336" s="16" t="s">
        <v>1279</v>
      </c>
      <c r="L336" s="17">
        <f t="shared" si="21"/>
        <v>28</v>
      </c>
      <c r="M336" s="17">
        <f t="shared" si="22"/>
        <v>0</v>
      </c>
      <c r="N336" s="18">
        <f t="shared" si="23"/>
        <v>1</v>
      </c>
      <c r="O336" s="28"/>
      <c r="P336" s="8"/>
      <c r="Q336" s="8"/>
      <c r="R336" s="8"/>
      <c r="S336" s="28"/>
      <c r="T336" s="28"/>
      <c r="U336" s="8"/>
      <c r="V336" s="8"/>
      <c r="W336" s="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8"/>
      <c r="AJ336" s="8"/>
      <c r="AK336" s="8"/>
      <c r="AL336" s="8"/>
      <c r="AM336" s="8"/>
      <c r="AN336" s="28"/>
      <c r="AO336" s="8"/>
      <c r="AP336" s="8"/>
      <c r="AQ336" s="28"/>
      <c r="AR336" s="28"/>
      <c r="AS336" s="28"/>
    </row>
    <row r="337" spans="1:45" ht="15.75" thickBot="1" x14ac:dyDescent="0.3">
      <c r="A337" t="s">
        <v>619</v>
      </c>
      <c r="C337" s="46" t="s">
        <v>839</v>
      </c>
      <c r="D337" t="s">
        <v>840</v>
      </c>
      <c r="E337" t="s">
        <v>19</v>
      </c>
      <c r="F337" t="s">
        <v>36</v>
      </c>
      <c r="G337"/>
      <c r="H337" t="s">
        <v>255</v>
      </c>
      <c r="I337" s="16">
        <v>-347753360000</v>
      </c>
      <c r="J337" s="16">
        <v>-582834130000</v>
      </c>
      <c r="K337" s="16" t="s">
        <v>1281</v>
      </c>
      <c r="L337" s="17">
        <f t="shared" si="21"/>
        <v>28</v>
      </c>
      <c r="M337" s="17">
        <f t="shared" si="22"/>
        <v>0</v>
      </c>
      <c r="N337" s="18">
        <f t="shared" si="23"/>
        <v>1</v>
      </c>
      <c r="O337" s="28"/>
      <c r="P337" s="8"/>
      <c r="Q337" s="8"/>
      <c r="R337" s="8"/>
      <c r="S337" s="28"/>
      <c r="T337" s="28"/>
      <c r="U337" s="8"/>
      <c r="V337" s="8"/>
      <c r="W337" s="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8"/>
      <c r="AJ337" s="8"/>
      <c r="AK337" s="8"/>
      <c r="AL337" s="8"/>
      <c r="AM337" s="8"/>
      <c r="AN337" s="28"/>
      <c r="AO337" s="8"/>
      <c r="AP337" s="8"/>
      <c r="AQ337" s="28"/>
      <c r="AR337" s="28"/>
      <c r="AS337" s="28"/>
    </row>
    <row r="338" spans="1:45" ht="15.75" thickBot="1" x14ac:dyDescent="0.3">
      <c r="A338" t="s">
        <v>730</v>
      </c>
      <c r="C338" s="46" t="s">
        <v>841</v>
      </c>
      <c r="D338" t="s">
        <v>842</v>
      </c>
      <c r="E338" t="s">
        <v>24</v>
      </c>
      <c r="F338" t="s">
        <v>36</v>
      </c>
      <c r="G338" t="s">
        <v>367</v>
      </c>
      <c r="H338"/>
      <c r="I338" s="16">
        <v>-347957790000</v>
      </c>
      <c r="J338" s="16">
        <v>-582557990000</v>
      </c>
      <c r="K338" s="16" t="s">
        <v>1282</v>
      </c>
      <c r="L338" s="17">
        <f t="shared" si="21"/>
        <v>28</v>
      </c>
      <c r="M338" s="17">
        <f t="shared" si="22"/>
        <v>0</v>
      </c>
      <c r="N338" s="18">
        <f t="shared" si="23"/>
        <v>1</v>
      </c>
      <c r="O338" s="28"/>
      <c r="P338" s="8"/>
      <c r="Q338" s="8"/>
      <c r="R338" s="8"/>
      <c r="S338" s="28"/>
      <c r="T338" s="28"/>
      <c r="U338" s="8"/>
      <c r="V338" s="8"/>
      <c r="W338" s="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8"/>
      <c r="AJ338" s="8"/>
      <c r="AK338" s="8"/>
      <c r="AL338" s="8"/>
      <c r="AM338" s="8"/>
      <c r="AN338" s="28"/>
      <c r="AO338" s="8"/>
      <c r="AP338" s="8"/>
      <c r="AQ338" s="28"/>
      <c r="AR338" s="28"/>
      <c r="AS338" s="28"/>
    </row>
    <row r="339" spans="1:45" ht="15.75" thickBot="1" x14ac:dyDescent="0.3">
      <c r="A339" t="s">
        <v>730</v>
      </c>
      <c r="C339" s="46" t="s">
        <v>843</v>
      </c>
      <c r="D339" t="s">
        <v>844</v>
      </c>
      <c r="E339" t="s">
        <v>24</v>
      </c>
      <c r="F339" t="s">
        <v>25</v>
      </c>
      <c r="G339" t="s">
        <v>65</v>
      </c>
      <c r="H339" t="s">
        <v>845</v>
      </c>
      <c r="I339" s="16">
        <v>-347986250000</v>
      </c>
      <c r="J339" s="16">
        <v>-582551820000</v>
      </c>
      <c r="K339" s="16" t="s">
        <v>1283</v>
      </c>
      <c r="L339" s="17">
        <f t="shared" si="21"/>
        <v>28</v>
      </c>
      <c r="M339" s="17">
        <f t="shared" si="22"/>
        <v>0</v>
      </c>
      <c r="N339" s="18">
        <f t="shared" si="23"/>
        <v>1</v>
      </c>
      <c r="O339" s="28"/>
      <c r="P339" s="8"/>
      <c r="Q339" s="8"/>
      <c r="R339" s="8"/>
      <c r="S339" s="28"/>
      <c r="T339" s="28"/>
      <c r="U339" s="8"/>
      <c r="V339" s="8"/>
      <c r="W339" s="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8"/>
      <c r="AJ339" s="8"/>
      <c r="AK339" s="8"/>
      <c r="AL339" s="8"/>
      <c r="AM339" s="8"/>
      <c r="AN339" s="28"/>
      <c r="AO339" s="8"/>
      <c r="AP339" s="8"/>
      <c r="AQ339" s="28"/>
      <c r="AR339" s="28"/>
      <c r="AS339" s="28"/>
    </row>
    <row r="340" spans="1:45" ht="15.75" thickBot="1" x14ac:dyDescent="0.3">
      <c r="A340" t="s">
        <v>730</v>
      </c>
      <c r="C340" s="46" t="s">
        <v>846</v>
      </c>
      <c r="D340" t="s">
        <v>847</v>
      </c>
      <c r="E340" t="s">
        <v>24</v>
      </c>
      <c r="F340" t="s">
        <v>25</v>
      </c>
      <c r="G340" t="s">
        <v>161</v>
      </c>
      <c r="H340"/>
      <c r="I340" s="16">
        <v>-348016910000</v>
      </c>
      <c r="J340" s="16">
        <v>-582610020000</v>
      </c>
      <c r="K340" s="16" t="s">
        <v>1284</v>
      </c>
      <c r="L340" s="17">
        <f t="shared" si="21"/>
        <v>28</v>
      </c>
      <c r="M340" s="17">
        <f t="shared" si="22"/>
        <v>0</v>
      </c>
      <c r="N340" s="18">
        <f t="shared" si="23"/>
        <v>1</v>
      </c>
      <c r="O340" s="28"/>
      <c r="P340" s="8"/>
      <c r="Q340" s="8"/>
      <c r="R340" s="8"/>
      <c r="S340" s="28"/>
      <c r="T340" s="28"/>
      <c r="U340" s="8"/>
      <c r="V340" s="8"/>
      <c r="W340" s="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8"/>
      <c r="AJ340" s="8"/>
      <c r="AK340" s="8"/>
      <c r="AL340" s="8"/>
      <c r="AM340" s="8"/>
      <c r="AN340" s="28"/>
      <c r="AO340" s="8"/>
      <c r="AP340" s="8"/>
      <c r="AQ340" s="28"/>
      <c r="AR340" s="28"/>
      <c r="AS340" s="28"/>
    </row>
    <row r="341" spans="1:45" ht="15.75" thickBot="1" x14ac:dyDescent="0.3">
      <c r="A341" t="s">
        <v>730</v>
      </c>
      <c r="C341" s="46" t="s">
        <v>848</v>
      </c>
      <c r="D341" t="s">
        <v>849</v>
      </c>
      <c r="E341" t="s">
        <v>24</v>
      </c>
      <c r="F341" t="s">
        <v>945</v>
      </c>
      <c r="G341" t="s">
        <v>65</v>
      </c>
      <c r="H341"/>
      <c r="I341" s="16">
        <v>-347937530000</v>
      </c>
      <c r="J341" s="16">
        <v>-582478490000</v>
      </c>
      <c r="K341" s="16" t="s">
        <v>1285</v>
      </c>
      <c r="L341" s="17">
        <f t="shared" si="21"/>
        <v>28</v>
      </c>
      <c r="M341" s="17">
        <f t="shared" si="22"/>
        <v>0</v>
      </c>
      <c r="N341" s="18">
        <f t="shared" si="23"/>
        <v>1</v>
      </c>
      <c r="O341" s="28"/>
      <c r="P341" s="8"/>
      <c r="Q341" s="8"/>
      <c r="R341" s="8"/>
      <c r="S341" s="28"/>
      <c r="T341" s="28"/>
      <c r="U341" s="8"/>
      <c r="V341" s="8"/>
      <c r="W341" s="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8"/>
      <c r="AJ341" s="8"/>
      <c r="AK341" s="8"/>
      <c r="AL341" s="8"/>
      <c r="AM341" s="8"/>
      <c r="AN341" s="28"/>
      <c r="AO341" s="8"/>
      <c r="AP341" s="8"/>
      <c r="AQ341" s="28"/>
      <c r="AR341" s="28"/>
      <c r="AS341" s="28"/>
    </row>
    <row r="342" spans="1:45" ht="15.75" thickBot="1" x14ac:dyDescent="0.3">
      <c r="A342" t="s">
        <v>724</v>
      </c>
      <c r="C342" s="46" t="s">
        <v>850</v>
      </c>
      <c r="D342" t="s">
        <v>851</v>
      </c>
      <c r="E342" t="s">
        <v>24</v>
      </c>
      <c r="F342" t="s">
        <v>25</v>
      </c>
      <c r="G342" t="s">
        <v>852</v>
      </c>
      <c r="H342"/>
      <c r="I342" s="16">
        <v>-347994440000</v>
      </c>
      <c r="J342" s="16">
        <v>-582627080000</v>
      </c>
      <c r="K342" s="16" t="s">
        <v>1286</v>
      </c>
      <c r="L342" s="17">
        <f t="shared" si="21"/>
        <v>28</v>
      </c>
      <c r="M342" s="17">
        <f t="shared" si="22"/>
        <v>0</v>
      </c>
      <c r="N342" s="18">
        <f t="shared" si="23"/>
        <v>1</v>
      </c>
      <c r="O342" s="28"/>
      <c r="P342" s="8"/>
      <c r="Q342" s="8"/>
      <c r="R342" s="8"/>
      <c r="S342" s="28"/>
      <c r="T342" s="28"/>
      <c r="U342" s="8"/>
      <c r="V342" s="8"/>
      <c r="W342" s="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8"/>
      <c r="AJ342" s="8"/>
      <c r="AK342" s="8"/>
      <c r="AL342" s="8"/>
      <c r="AM342" s="8"/>
      <c r="AN342" s="28"/>
      <c r="AO342" s="8"/>
      <c r="AP342" s="8"/>
      <c r="AQ342" s="28"/>
      <c r="AR342" s="28"/>
      <c r="AS342" s="28"/>
    </row>
    <row r="343" spans="1:45" ht="15.75" thickBot="1" x14ac:dyDescent="0.3">
      <c r="A343" t="s">
        <v>853</v>
      </c>
      <c r="C343" s="46" t="s">
        <v>854</v>
      </c>
      <c r="D343" t="s">
        <v>855</v>
      </c>
      <c r="E343" t="s">
        <v>19</v>
      </c>
      <c r="F343" t="s">
        <v>36</v>
      </c>
      <c r="G343"/>
      <c r="H343" t="s">
        <v>341</v>
      </c>
      <c r="I343" s="16">
        <v>-348374820000</v>
      </c>
      <c r="J343" s="16">
        <v>-582378510000</v>
      </c>
      <c r="K343" s="16" t="s">
        <v>1287</v>
      </c>
      <c r="L343" s="17">
        <f t="shared" si="21"/>
        <v>28</v>
      </c>
      <c r="M343" s="17">
        <f t="shared" si="22"/>
        <v>0</v>
      </c>
      <c r="N343" s="18">
        <f t="shared" si="23"/>
        <v>1</v>
      </c>
      <c r="O343" s="28"/>
      <c r="P343" s="8"/>
      <c r="Q343" s="8"/>
      <c r="R343" s="8"/>
      <c r="S343" s="28"/>
      <c r="T343" s="28"/>
      <c r="U343" s="8"/>
      <c r="V343" s="8"/>
      <c r="W343" s="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8"/>
      <c r="AJ343" s="8"/>
      <c r="AK343" s="8"/>
      <c r="AL343" s="8"/>
      <c r="AM343" s="8"/>
      <c r="AN343" s="28"/>
      <c r="AO343" s="8"/>
      <c r="AP343" s="8"/>
      <c r="AQ343" s="28"/>
      <c r="AR343" s="28"/>
      <c r="AS343" s="28"/>
    </row>
    <row r="344" spans="1:45" ht="15.75" thickBot="1" x14ac:dyDescent="0.3">
      <c r="A344" t="s">
        <v>853</v>
      </c>
      <c r="C344" s="46" t="s">
        <v>856</v>
      </c>
      <c r="D344" t="s">
        <v>857</v>
      </c>
      <c r="E344" t="s">
        <v>19</v>
      </c>
      <c r="F344" t="s">
        <v>36</v>
      </c>
      <c r="G344"/>
      <c r="H344" t="s">
        <v>341</v>
      </c>
      <c r="I344" s="16">
        <v>-348349880000</v>
      </c>
      <c r="J344" s="16">
        <v>-582351700000</v>
      </c>
      <c r="K344" s="16" t="s">
        <v>1288</v>
      </c>
      <c r="L344" s="17">
        <f t="shared" si="21"/>
        <v>28</v>
      </c>
      <c r="M344" s="17">
        <f t="shared" si="22"/>
        <v>0</v>
      </c>
      <c r="N344" s="18">
        <f t="shared" si="23"/>
        <v>1</v>
      </c>
      <c r="O344" s="28"/>
      <c r="P344" s="8"/>
      <c r="Q344" s="8"/>
      <c r="R344" s="8"/>
      <c r="S344" s="28"/>
      <c r="T344" s="28"/>
      <c r="U344" s="8"/>
      <c r="V344" s="8"/>
      <c r="W344" s="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8"/>
      <c r="AJ344" s="8"/>
      <c r="AK344" s="8"/>
      <c r="AL344" s="8"/>
      <c r="AM344" s="8"/>
      <c r="AN344" s="28"/>
      <c r="AO344" s="8"/>
      <c r="AP344" s="8"/>
      <c r="AQ344" s="28"/>
      <c r="AR344" s="28"/>
      <c r="AS344" s="28"/>
    </row>
    <row r="345" spans="1:45" ht="15.75" thickBot="1" x14ac:dyDescent="0.3">
      <c r="A345" t="s">
        <v>853</v>
      </c>
      <c r="B345" s="60">
        <v>44629</v>
      </c>
      <c r="C345" s="62" t="s">
        <v>858</v>
      </c>
      <c r="D345" t="s">
        <v>859</v>
      </c>
      <c r="E345" t="s">
        <v>113</v>
      </c>
      <c r="F345" t="s">
        <v>36</v>
      </c>
      <c r="G345"/>
      <c r="H345" t="s">
        <v>248</v>
      </c>
      <c r="I345" s="16">
        <v>-348382350000</v>
      </c>
      <c r="J345" s="16">
        <v>-582372950000</v>
      </c>
      <c r="K345" s="16" t="s">
        <v>1289</v>
      </c>
      <c r="L345" s="17">
        <f t="shared" si="21"/>
        <v>17</v>
      </c>
      <c r="M345" s="17">
        <f t="shared" si="22"/>
        <v>11</v>
      </c>
      <c r="N345" s="18">
        <f t="shared" si="23"/>
        <v>0.6071428571428571</v>
      </c>
      <c r="O345" s="28" t="s">
        <v>939</v>
      </c>
      <c r="P345" s="8" t="s">
        <v>939</v>
      </c>
      <c r="Q345" s="8" t="s">
        <v>939</v>
      </c>
      <c r="R345" s="8" t="s">
        <v>939</v>
      </c>
      <c r="S345" s="28" t="s">
        <v>939</v>
      </c>
      <c r="T345" s="28" t="s">
        <v>939</v>
      </c>
      <c r="U345" s="8" t="s">
        <v>939</v>
      </c>
      <c r="V345" s="8" t="s">
        <v>939</v>
      </c>
      <c r="W345" s="8" t="s">
        <v>939</v>
      </c>
      <c r="X345" s="28" t="s">
        <v>939</v>
      </c>
      <c r="Y345" s="28" t="s">
        <v>939</v>
      </c>
      <c r="Z345" s="28"/>
      <c r="AA345" s="28"/>
      <c r="AB345" s="28"/>
      <c r="AC345" s="28"/>
      <c r="AD345" s="28"/>
      <c r="AE345" s="28"/>
      <c r="AF345" s="28"/>
      <c r="AG345" s="28"/>
      <c r="AH345" s="28"/>
      <c r="AI345" s="8"/>
      <c r="AJ345" s="28"/>
      <c r="AK345" s="8"/>
      <c r="AL345" s="8"/>
      <c r="AM345" s="8"/>
      <c r="AN345" s="28"/>
      <c r="AO345" s="8"/>
      <c r="AP345" s="8"/>
      <c r="AQ345" s="28"/>
      <c r="AR345" s="28"/>
      <c r="AS345" s="28"/>
    </row>
    <row r="346" spans="1:45" ht="15.75" thickBot="1" x14ac:dyDescent="0.3">
      <c r="A346" t="s">
        <v>853</v>
      </c>
      <c r="B346" s="60">
        <v>44629</v>
      </c>
      <c r="C346" s="62" t="s">
        <v>860</v>
      </c>
      <c r="D346" t="s">
        <v>859</v>
      </c>
      <c r="E346" t="s">
        <v>113</v>
      </c>
      <c r="F346" t="s">
        <v>36</v>
      </c>
      <c r="G346"/>
      <c r="H346" t="s">
        <v>248</v>
      </c>
      <c r="I346" s="16">
        <v>-348382440000</v>
      </c>
      <c r="J346" s="16">
        <v>-582373030000</v>
      </c>
      <c r="K346" s="16" t="s">
        <v>1290</v>
      </c>
      <c r="L346" s="17">
        <f t="shared" si="21"/>
        <v>17</v>
      </c>
      <c r="M346" s="17">
        <f t="shared" si="22"/>
        <v>11</v>
      </c>
      <c r="N346" s="18">
        <f t="shared" si="23"/>
        <v>0.6071428571428571</v>
      </c>
      <c r="O346" s="28" t="s">
        <v>939</v>
      </c>
      <c r="P346" s="8" t="s">
        <v>939</v>
      </c>
      <c r="Q346" s="8" t="s">
        <v>939</v>
      </c>
      <c r="R346" s="8" t="s">
        <v>939</v>
      </c>
      <c r="S346" s="28" t="s">
        <v>939</v>
      </c>
      <c r="T346" s="28" t="s">
        <v>939</v>
      </c>
      <c r="U346" s="8" t="s">
        <v>939</v>
      </c>
      <c r="V346" s="8" t="s">
        <v>939</v>
      </c>
      <c r="W346" s="8" t="s">
        <v>939</v>
      </c>
      <c r="X346" s="28" t="s">
        <v>939</v>
      </c>
      <c r="Y346" s="28" t="s">
        <v>939</v>
      </c>
      <c r="Z346" s="28"/>
      <c r="AA346" s="28"/>
      <c r="AB346" s="28"/>
      <c r="AC346" s="28"/>
      <c r="AD346" s="28"/>
      <c r="AE346" s="28"/>
      <c r="AF346" s="28"/>
      <c r="AG346" s="28"/>
      <c r="AH346" s="28"/>
      <c r="AI346" s="8"/>
      <c r="AJ346" s="28"/>
      <c r="AK346" s="8"/>
      <c r="AL346" s="8"/>
      <c r="AM346" s="8"/>
      <c r="AN346" s="28"/>
      <c r="AO346" s="8"/>
      <c r="AP346" s="8"/>
      <c r="AQ346" s="28"/>
      <c r="AR346" s="28"/>
      <c r="AS346" s="28"/>
    </row>
    <row r="347" spans="1:45" ht="15.75" thickBot="1" x14ac:dyDescent="0.3">
      <c r="A347" t="s">
        <v>861</v>
      </c>
      <c r="B347" s="60">
        <v>44629</v>
      </c>
      <c r="C347" s="62" t="s">
        <v>862</v>
      </c>
      <c r="D347" t="s">
        <v>863</v>
      </c>
      <c r="E347" t="s">
        <v>113</v>
      </c>
      <c r="F347" t="s">
        <v>36</v>
      </c>
      <c r="G347"/>
      <c r="H347" t="s">
        <v>864</v>
      </c>
      <c r="I347" s="16">
        <v>-348173980000</v>
      </c>
      <c r="J347" s="16">
        <v>-582515460000</v>
      </c>
      <c r="K347" s="16" t="s">
        <v>1291</v>
      </c>
      <c r="L347" s="17">
        <f t="shared" si="21"/>
        <v>17</v>
      </c>
      <c r="M347" s="17">
        <f t="shared" si="22"/>
        <v>11</v>
      </c>
      <c r="N347" s="18">
        <f t="shared" si="23"/>
        <v>0.6071428571428571</v>
      </c>
      <c r="O347" s="28" t="s">
        <v>939</v>
      </c>
      <c r="P347" s="8" t="s">
        <v>939</v>
      </c>
      <c r="Q347" s="8" t="s">
        <v>939</v>
      </c>
      <c r="R347" s="8" t="s">
        <v>939</v>
      </c>
      <c r="S347" s="28" t="s">
        <v>939</v>
      </c>
      <c r="T347" s="28" t="s">
        <v>939</v>
      </c>
      <c r="U347" s="8" t="s">
        <v>939</v>
      </c>
      <c r="V347" s="8" t="s">
        <v>939</v>
      </c>
      <c r="W347" s="8" t="s">
        <v>939</v>
      </c>
      <c r="X347" s="28" t="s">
        <v>939</v>
      </c>
      <c r="Y347" s="28" t="s">
        <v>939</v>
      </c>
      <c r="Z347" s="28"/>
      <c r="AA347" s="28"/>
      <c r="AB347" s="28"/>
      <c r="AC347" s="28"/>
      <c r="AD347" s="28"/>
      <c r="AE347" s="28"/>
      <c r="AF347" s="28"/>
      <c r="AG347" s="28"/>
      <c r="AH347" s="28"/>
      <c r="AI347" s="8"/>
      <c r="AJ347" s="28"/>
      <c r="AK347" s="8"/>
      <c r="AL347" s="8"/>
      <c r="AM347" s="8"/>
      <c r="AN347" s="28"/>
      <c r="AO347" s="8"/>
      <c r="AP347" s="8"/>
      <c r="AQ347" s="28"/>
      <c r="AR347" s="28"/>
      <c r="AS347" s="28"/>
    </row>
    <row r="348" spans="1:45" ht="15.75" thickBot="1" x14ac:dyDescent="0.3">
      <c r="A348" t="s">
        <v>861</v>
      </c>
      <c r="C348" s="46" t="s">
        <v>865</v>
      </c>
      <c r="D348" t="s">
        <v>866</v>
      </c>
      <c r="E348" t="s">
        <v>19</v>
      </c>
      <c r="F348" t="s">
        <v>36</v>
      </c>
      <c r="G348"/>
      <c r="H348" t="s">
        <v>248</v>
      </c>
      <c r="I348" s="16">
        <v>-348108560000</v>
      </c>
      <c r="J348" s="16">
        <v>-582592810000</v>
      </c>
      <c r="K348" s="16" t="s">
        <v>1292</v>
      </c>
      <c r="L348" s="17">
        <f t="shared" si="21"/>
        <v>19</v>
      </c>
      <c r="M348" s="17">
        <f t="shared" si="22"/>
        <v>9</v>
      </c>
      <c r="N348" s="18">
        <f t="shared" si="23"/>
        <v>0.6785714285714286</v>
      </c>
      <c r="O348" s="28" t="s">
        <v>939</v>
      </c>
      <c r="P348" s="8" t="s">
        <v>939</v>
      </c>
      <c r="Q348" s="8" t="s">
        <v>939</v>
      </c>
      <c r="R348" s="8" t="s">
        <v>939</v>
      </c>
      <c r="S348" s="28"/>
      <c r="T348" s="28" t="s">
        <v>939</v>
      </c>
      <c r="U348" s="8" t="s">
        <v>939</v>
      </c>
      <c r="V348" s="8" t="s">
        <v>939</v>
      </c>
      <c r="W348" s="8"/>
      <c r="X348" s="28"/>
      <c r="Y348" s="28"/>
      <c r="Z348" s="28" t="s">
        <v>939</v>
      </c>
      <c r="AA348" s="28" t="s">
        <v>939</v>
      </c>
      <c r="AB348" s="28"/>
      <c r="AC348" s="28"/>
      <c r="AD348" s="28"/>
      <c r="AE348" s="28"/>
      <c r="AF348" s="28"/>
      <c r="AG348" s="28"/>
      <c r="AH348" s="28"/>
      <c r="AI348" s="8"/>
      <c r="AJ348" s="28"/>
      <c r="AK348" s="8"/>
      <c r="AL348" s="8"/>
      <c r="AM348" s="8"/>
      <c r="AN348" s="28"/>
      <c r="AO348" s="8"/>
      <c r="AP348" s="8"/>
      <c r="AQ348" s="28"/>
      <c r="AR348" s="28"/>
      <c r="AS348" s="28"/>
    </row>
    <row r="349" spans="1:45" ht="15.75" thickBot="1" x14ac:dyDescent="0.3">
      <c r="A349" t="s">
        <v>861</v>
      </c>
      <c r="B349" s="60">
        <v>44629</v>
      </c>
      <c r="C349" s="62" t="s">
        <v>867</v>
      </c>
      <c r="D349" t="s">
        <v>868</v>
      </c>
      <c r="E349" t="s">
        <v>113</v>
      </c>
      <c r="F349" t="s">
        <v>36</v>
      </c>
      <c r="G349"/>
      <c r="H349" t="s">
        <v>869</v>
      </c>
      <c r="I349" s="16">
        <v>-348173990000</v>
      </c>
      <c r="J349" s="16">
        <v>-582515250000</v>
      </c>
      <c r="K349" s="16" t="s">
        <v>1293</v>
      </c>
      <c r="L349" s="17">
        <f t="shared" si="21"/>
        <v>17</v>
      </c>
      <c r="M349" s="17">
        <f t="shared" si="22"/>
        <v>11</v>
      </c>
      <c r="N349" s="18">
        <f t="shared" si="23"/>
        <v>0.6071428571428571</v>
      </c>
      <c r="O349" s="28" t="s">
        <v>939</v>
      </c>
      <c r="P349" s="8" t="s">
        <v>939</v>
      </c>
      <c r="Q349" s="8" t="s">
        <v>939</v>
      </c>
      <c r="R349" s="8" t="s">
        <v>939</v>
      </c>
      <c r="S349" s="28" t="s">
        <v>939</v>
      </c>
      <c r="T349" s="28" t="s">
        <v>939</v>
      </c>
      <c r="U349" s="8" t="s">
        <v>939</v>
      </c>
      <c r="V349" s="8" t="s">
        <v>939</v>
      </c>
      <c r="W349" s="8" t="s">
        <v>939</v>
      </c>
      <c r="X349" s="28" t="s">
        <v>939</v>
      </c>
      <c r="Y349" s="28" t="s">
        <v>939</v>
      </c>
      <c r="Z349" s="28"/>
      <c r="AA349" s="28"/>
      <c r="AB349" s="28"/>
      <c r="AC349" s="28"/>
      <c r="AD349" s="28"/>
      <c r="AE349" s="28"/>
      <c r="AF349" s="28"/>
      <c r="AG349" s="28"/>
      <c r="AH349" s="28"/>
      <c r="AI349" s="8"/>
      <c r="AJ349" s="28"/>
      <c r="AK349" s="8"/>
      <c r="AL349" s="8"/>
      <c r="AM349" s="8"/>
      <c r="AN349" s="28"/>
      <c r="AO349" s="8"/>
      <c r="AP349" s="8"/>
      <c r="AQ349" s="28"/>
      <c r="AR349" s="28"/>
      <c r="AS349" s="28"/>
    </row>
    <row r="350" spans="1:45" ht="15.75" thickBot="1" x14ac:dyDescent="0.3">
      <c r="A350" t="s">
        <v>861</v>
      </c>
      <c r="C350" s="46" t="s">
        <v>870</v>
      </c>
      <c r="D350" t="s">
        <v>871</v>
      </c>
      <c r="E350" t="s">
        <v>19</v>
      </c>
      <c r="F350" t="s">
        <v>36</v>
      </c>
      <c r="G350"/>
      <c r="H350" t="s">
        <v>869</v>
      </c>
      <c r="I350" s="16">
        <v>-348116860000</v>
      </c>
      <c r="J350" s="16">
        <v>-582556310000</v>
      </c>
      <c r="K350" s="16" t="s">
        <v>1294</v>
      </c>
      <c r="L350" s="17">
        <f t="shared" si="21"/>
        <v>28</v>
      </c>
      <c r="M350" s="17">
        <f t="shared" si="22"/>
        <v>0</v>
      </c>
      <c r="N350" s="18">
        <f t="shared" si="23"/>
        <v>1</v>
      </c>
      <c r="O350" s="28"/>
      <c r="P350" s="8"/>
      <c r="Q350" s="8"/>
      <c r="R350" s="8"/>
      <c r="S350" s="28"/>
      <c r="T350" s="28"/>
      <c r="U350" s="8"/>
      <c r="V350" s="8"/>
      <c r="W350" s="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8"/>
      <c r="AJ350" s="8"/>
      <c r="AK350" s="8"/>
      <c r="AL350" s="8"/>
      <c r="AM350" s="8"/>
      <c r="AN350" s="28"/>
      <c r="AO350" s="8"/>
      <c r="AP350" s="8"/>
      <c r="AQ350" s="28"/>
      <c r="AR350" s="28"/>
      <c r="AS350" s="28"/>
    </row>
    <row r="351" spans="1:45" ht="15.75" thickBot="1" x14ac:dyDescent="0.3">
      <c r="A351" t="s">
        <v>861</v>
      </c>
      <c r="C351" s="46" t="s">
        <v>872</v>
      </c>
      <c r="D351" t="s">
        <v>873</v>
      </c>
      <c r="E351" t="s">
        <v>19</v>
      </c>
      <c r="F351" t="s">
        <v>36</v>
      </c>
      <c r="G351"/>
      <c r="H351" t="s">
        <v>869</v>
      </c>
      <c r="I351" s="16">
        <v>-348113810000</v>
      </c>
      <c r="J351" s="16">
        <v>-582573240000</v>
      </c>
      <c r="K351" s="16" t="s">
        <v>1295</v>
      </c>
      <c r="L351" s="17">
        <f t="shared" si="21"/>
        <v>28</v>
      </c>
      <c r="M351" s="17">
        <f t="shared" si="22"/>
        <v>0</v>
      </c>
      <c r="N351" s="18">
        <f t="shared" si="23"/>
        <v>1</v>
      </c>
      <c r="O351" s="28"/>
      <c r="P351" s="8"/>
      <c r="Q351" s="8"/>
      <c r="R351" s="8"/>
      <c r="S351" s="28"/>
      <c r="T351" s="28"/>
      <c r="U351" s="8"/>
      <c r="V351" s="8"/>
      <c r="W351" s="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8"/>
      <c r="AJ351" s="8"/>
      <c r="AK351" s="8"/>
      <c r="AL351" s="8"/>
      <c r="AM351" s="8"/>
      <c r="AN351" s="28"/>
      <c r="AO351" s="8"/>
      <c r="AP351" s="8"/>
      <c r="AQ351" s="28"/>
      <c r="AR351" s="28"/>
      <c r="AS351" s="28"/>
    </row>
    <row r="352" spans="1:45" ht="15.75" thickBot="1" x14ac:dyDescent="0.3">
      <c r="A352" t="s">
        <v>271</v>
      </c>
      <c r="C352" s="46" t="s">
        <v>874</v>
      </c>
      <c r="D352" t="s">
        <v>929</v>
      </c>
      <c r="E352" t="s">
        <v>24</v>
      </c>
      <c r="F352" t="s">
        <v>25</v>
      </c>
      <c r="G352" t="s">
        <v>705</v>
      </c>
      <c r="H352"/>
      <c r="I352" s="16">
        <v>-348336200000</v>
      </c>
      <c r="J352" s="16">
        <v>-582709260000</v>
      </c>
      <c r="K352" s="16" t="s">
        <v>1296</v>
      </c>
      <c r="L352" s="17">
        <f t="shared" si="21"/>
        <v>28</v>
      </c>
      <c r="M352" s="17">
        <f t="shared" si="22"/>
        <v>0</v>
      </c>
      <c r="N352" s="18">
        <f t="shared" si="23"/>
        <v>1</v>
      </c>
      <c r="O352" s="28"/>
      <c r="P352" s="8"/>
      <c r="Q352" s="8"/>
      <c r="R352" s="8"/>
      <c r="S352" s="28"/>
      <c r="T352" s="28"/>
      <c r="U352" s="8"/>
      <c r="V352" s="8"/>
      <c r="W352" s="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8"/>
      <c r="AJ352" s="8"/>
      <c r="AK352" s="8"/>
      <c r="AL352" s="8"/>
      <c r="AM352" s="8"/>
      <c r="AN352" s="28"/>
      <c r="AO352" s="8"/>
      <c r="AP352" s="8"/>
      <c r="AQ352" s="28"/>
      <c r="AR352" s="28"/>
      <c r="AS352" s="28"/>
    </row>
    <row r="353" spans="1:45" ht="15.75" thickBot="1" x14ac:dyDescent="0.3">
      <c r="C353" s="46" t="s">
        <v>875</v>
      </c>
      <c r="D353" t="s">
        <v>930</v>
      </c>
      <c r="E353" t="s">
        <v>19</v>
      </c>
      <c r="F353"/>
      <c r="G353" t="s">
        <v>876</v>
      </c>
      <c r="H353" t="s">
        <v>877</v>
      </c>
      <c r="I353" s="16">
        <v>-348339360000</v>
      </c>
      <c r="J353" s="16">
        <v>-582778770000</v>
      </c>
      <c r="K353" s="16"/>
      <c r="L353" s="17">
        <f t="shared" si="21"/>
        <v>24</v>
      </c>
      <c r="M353" s="17">
        <f t="shared" si="22"/>
        <v>4</v>
      </c>
      <c r="N353" s="18">
        <f t="shared" si="23"/>
        <v>0.8571428571428571</v>
      </c>
      <c r="O353" s="28"/>
      <c r="P353" s="8"/>
      <c r="Q353" s="8"/>
      <c r="R353" s="8"/>
      <c r="S353" s="28" t="s">
        <v>939</v>
      </c>
      <c r="T353" s="28" t="s">
        <v>939</v>
      </c>
      <c r="U353" s="8"/>
      <c r="V353" s="8"/>
      <c r="W353" s="8"/>
      <c r="X353" s="28"/>
      <c r="Y353" s="28"/>
      <c r="Z353" s="28" t="s">
        <v>939</v>
      </c>
      <c r="AA353" s="28" t="s">
        <v>939</v>
      </c>
      <c r="AB353" s="28"/>
      <c r="AC353" s="28"/>
      <c r="AD353" s="28"/>
      <c r="AE353" s="28"/>
      <c r="AF353" s="28"/>
      <c r="AG353" s="28"/>
      <c r="AH353" s="28"/>
      <c r="AI353" s="8"/>
      <c r="AJ353" s="8"/>
      <c r="AK353" s="8"/>
      <c r="AL353" s="8"/>
      <c r="AM353" s="8"/>
      <c r="AN353" s="28"/>
      <c r="AO353" s="8"/>
      <c r="AP353" s="8"/>
      <c r="AQ353" s="28"/>
      <c r="AR353" s="28"/>
      <c r="AS353" s="28"/>
    </row>
    <row r="354" spans="1:45" ht="15.75" thickBot="1" x14ac:dyDescent="0.3">
      <c r="A354" t="s">
        <v>271</v>
      </c>
      <c r="C354" s="46" t="s">
        <v>878</v>
      </c>
      <c r="D354" t="s">
        <v>931</v>
      </c>
      <c r="E354" t="s">
        <v>113</v>
      </c>
      <c r="F354" t="s">
        <v>36</v>
      </c>
      <c r="G354"/>
      <c r="H354" t="s">
        <v>879</v>
      </c>
      <c r="I354" s="16">
        <v>-348368690000</v>
      </c>
      <c r="J354" s="16">
        <v>-582780410000</v>
      </c>
      <c r="K354" s="16" t="s">
        <v>1297</v>
      </c>
      <c r="L354" s="17">
        <f t="shared" si="21"/>
        <v>28</v>
      </c>
      <c r="M354" s="17">
        <f t="shared" si="22"/>
        <v>0</v>
      </c>
      <c r="N354" s="18">
        <f t="shared" si="23"/>
        <v>1</v>
      </c>
      <c r="O354" s="28"/>
      <c r="P354" s="8"/>
      <c r="Q354" s="8"/>
      <c r="R354" s="8"/>
      <c r="S354" s="28"/>
      <c r="T354" s="28"/>
      <c r="U354" s="8"/>
      <c r="V354" s="8"/>
      <c r="W354" s="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8"/>
      <c r="AJ354" s="8"/>
      <c r="AK354" s="8"/>
      <c r="AL354" s="8"/>
      <c r="AM354" s="8"/>
      <c r="AN354" s="28"/>
      <c r="AO354" s="8"/>
      <c r="AP354" s="8"/>
      <c r="AQ354" s="28"/>
      <c r="AR354" s="28"/>
      <c r="AS354" s="28"/>
    </row>
    <row r="355" spans="1:45" ht="15.75" thickBot="1" x14ac:dyDescent="0.3">
      <c r="A355" t="s">
        <v>271</v>
      </c>
      <c r="C355" s="46" t="s">
        <v>880</v>
      </c>
      <c r="D355" t="s">
        <v>931</v>
      </c>
      <c r="E355" t="s">
        <v>113</v>
      </c>
      <c r="F355" t="s">
        <v>36</v>
      </c>
      <c r="G355"/>
      <c r="H355" t="s">
        <v>881</v>
      </c>
      <c r="I355" s="16">
        <v>-348367000000</v>
      </c>
      <c r="J355" s="16">
        <v>-582781300000</v>
      </c>
      <c r="K355" s="16" t="s">
        <v>1298</v>
      </c>
      <c r="L355" s="17">
        <f t="shared" si="21"/>
        <v>28</v>
      </c>
      <c r="M355" s="17">
        <f t="shared" si="22"/>
        <v>0</v>
      </c>
      <c r="N355" s="18">
        <f t="shared" si="23"/>
        <v>1</v>
      </c>
      <c r="O355" s="28"/>
      <c r="P355" s="8"/>
      <c r="Q355" s="8"/>
      <c r="R355" s="8"/>
      <c r="S355" s="28"/>
      <c r="T355" s="28"/>
      <c r="U355" s="8"/>
      <c r="V355" s="8"/>
      <c r="W355" s="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8"/>
      <c r="AJ355" s="8"/>
      <c r="AK355" s="8"/>
      <c r="AL355" s="8"/>
      <c r="AM355" s="8"/>
      <c r="AN355" s="28"/>
      <c r="AO355" s="8"/>
      <c r="AP355" s="8"/>
      <c r="AQ355" s="28"/>
      <c r="AR355" s="28"/>
      <c r="AS355" s="28"/>
    </row>
    <row r="356" spans="1:45" ht="15.75" thickBot="1" x14ac:dyDescent="0.3">
      <c r="A356" t="s">
        <v>271</v>
      </c>
      <c r="C356" s="46" t="s">
        <v>882</v>
      </c>
      <c r="D356" t="s">
        <v>932</v>
      </c>
      <c r="E356" t="s">
        <v>19</v>
      </c>
      <c r="F356" t="s">
        <v>36</v>
      </c>
      <c r="G356"/>
      <c r="H356" t="s">
        <v>883</v>
      </c>
      <c r="I356" s="16">
        <v>-348375310000</v>
      </c>
      <c r="J356" s="16">
        <v>-582782110000</v>
      </c>
      <c r="K356" s="16" t="s">
        <v>1299</v>
      </c>
      <c r="L356" s="17">
        <f t="shared" si="21"/>
        <v>28</v>
      </c>
      <c r="M356" s="17">
        <f t="shared" si="22"/>
        <v>0</v>
      </c>
      <c r="N356" s="18">
        <f t="shared" si="23"/>
        <v>1</v>
      </c>
      <c r="O356" s="28"/>
      <c r="P356" s="8"/>
      <c r="Q356" s="8"/>
      <c r="R356" s="8"/>
      <c r="S356" s="28"/>
      <c r="T356" s="28"/>
      <c r="U356" s="8"/>
      <c r="V356" s="8"/>
      <c r="W356" s="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8"/>
      <c r="AJ356" s="8"/>
      <c r="AK356" s="8"/>
      <c r="AL356" s="8"/>
      <c r="AM356" s="8"/>
      <c r="AN356" s="28"/>
      <c r="AO356" s="8"/>
      <c r="AP356" s="8"/>
      <c r="AQ356" s="28"/>
      <c r="AR356" s="28"/>
      <c r="AS356" s="28"/>
    </row>
    <row r="357" spans="1:45" ht="15.75" thickBot="1" x14ac:dyDescent="0.3">
      <c r="A357" t="s">
        <v>884</v>
      </c>
      <c r="C357" s="46" t="s">
        <v>885</v>
      </c>
      <c r="D357" t="s">
        <v>886</v>
      </c>
      <c r="E357" t="s">
        <v>113</v>
      </c>
      <c r="F357" t="s">
        <v>36</v>
      </c>
      <c r="G357"/>
      <c r="H357" t="s">
        <v>887</v>
      </c>
      <c r="I357" s="16">
        <v>-348344030000</v>
      </c>
      <c r="J357" s="16">
        <v>-582802100000</v>
      </c>
      <c r="K357" s="16" t="s">
        <v>1300</v>
      </c>
      <c r="L357" s="17">
        <f t="shared" si="21"/>
        <v>28</v>
      </c>
      <c r="M357" s="17">
        <f t="shared" si="22"/>
        <v>0</v>
      </c>
      <c r="N357" s="18">
        <f t="shared" si="23"/>
        <v>1</v>
      </c>
      <c r="O357" s="28"/>
      <c r="P357" s="8"/>
      <c r="Q357" s="8"/>
      <c r="R357" s="8"/>
      <c r="S357" s="28"/>
      <c r="T357" s="28"/>
      <c r="U357" s="8"/>
      <c r="V357" s="8"/>
      <c r="W357" s="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8"/>
      <c r="AJ357" s="8"/>
      <c r="AK357" s="8"/>
      <c r="AL357" s="8"/>
      <c r="AM357" s="8"/>
      <c r="AN357" s="28"/>
      <c r="AO357" s="8"/>
      <c r="AP357" s="8"/>
      <c r="AQ357" s="28"/>
      <c r="AR357" s="28"/>
      <c r="AS357" s="28"/>
    </row>
    <row r="358" spans="1:45" ht="15.75" thickBot="1" x14ac:dyDescent="0.3">
      <c r="A358" t="s">
        <v>884</v>
      </c>
      <c r="C358" s="46" t="s">
        <v>888</v>
      </c>
      <c r="D358" t="s">
        <v>886</v>
      </c>
      <c r="E358" t="s">
        <v>113</v>
      </c>
      <c r="F358" t="s">
        <v>36</v>
      </c>
      <c r="G358"/>
      <c r="H358" t="s">
        <v>887</v>
      </c>
      <c r="I358" s="16">
        <v>-348343990000</v>
      </c>
      <c r="J358" s="16">
        <v>-582802050000</v>
      </c>
      <c r="K358" s="16" t="s">
        <v>1301</v>
      </c>
      <c r="L358" s="17">
        <f t="shared" si="21"/>
        <v>28</v>
      </c>
      <c r="M358" s="17">
        <f t="shared" si="22"/>
        <v>0</v>
      </c>
      <c r="N358" s="18">
        <f t="shared" si="23"/>
        <v>1</v>
      </c>
      <c r="O358" s="28"/>
      <c r="P358" s="8"/>
      <c r="Q358" s="8"/>
      <c r="R358" s="8"/>
      <c r="S358" s="28"/>
      <c r="T358" s="28"/>
      <c r="U358" s="8"/>
      <c r="V358" s="8"/>
      <c r="W358" s="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8"/>
      <c r="AJ358" s="8"/>
      <c r="AK358" s="8"/>
      <c r="AL358" s="8"/>
      <c r="AM358" s="8"/>
      <c r="AN358" s="28"/>
      <c r="AO358" s="8"/>
      <c r="AP358" s="8"/>
      <c r="AQ358" s="28"/>
      <c r="AR358" s="28"/>
      <c r="AS358" s="28"/>
    </row>
    <row r="359" spans="1:45" ht="15.75" thickBot="1" x14ac:dyDescent="0.3">
      <c r="A359" t="s">
        <v>884</v>
      </c>
      <c r="C359" s="46" t="s">
        <v>889</v>
      </c>
      <c r="D359" t="s">
        <v>890</v>
      </c>
      <c r="E359" t="s">
        <v>113</v>
      </c>
      <c r="F359" t="s">
        <v>36</v>
      </c>
      <c r="G359"/>
      <c r="H359" t="s">
        <v>887</v>
      </c>
      <c r="I359" s="16">
        <v>-348350290000</v>
      </c>
      <c r="J359" s="16">
        <v>-582814190000</v>
      </c>
      <c r="K359" s="16" t="s">
        <v>1302</v>
      </c>
      <c r="L359" s="17">
        <f t="shared" si="21"/>
        <v>28</v>
      </c>
      <c r="M359" s="17">
        <f t="shared" si="22"/>
        <v>0</v>
      </c>
      <c r="N359" s="18">
        <f t="shared" si="23"/>
        <v>1</v>
      </c>
      <c r="O359" s="28"/>
      <c r="P359" s="8"/>
      <c r="Q359" s="8"/>
      <c r="R359" s="8"/>
      <c r="S359" s="28"/>
      <c r="T359" s="28"/>
      <c r="U359" s="8"/>
      <c r="V359" s="8"/>
      <c r="W359" s="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8"/>
      <c r="AJ359" s="8"/>
      <c r="AK359" s="8"/>
      <c r="AL359" s="8"/>
      <c r="AM359" s="8"/>
      <c r="AN359" s="28"/>
      <c r="AO359" s="8"/>
      <c r="AP359" s="8"/>
      <c r="AQ359" s="28"/>
      <c r="AR359" s="28"/>
      <c r="AS359" s="28"/>
    </row>
    <row r="360" spans="1:45" ht="15.75" thickBot="1" x14ac:dyDescent="0.3">
      <c r="A360" t="s">
        <v>884</v>
      </c>
      <c r="C360" s="46" t="s">
        <v>891</v>
      </c>
      <c r="D360" t="s">
        <v>890</v>
      </c>
      <c r="E360" t="s">
        <v>113</v>
      </c>
      <c r="F360" t="s">
        <v>36</v>
      </c>
      <c r="G360"/>
      <c r="H360" t="s">
        <v>887</v>
      </c>
      <c r="I360" s="16">
        <v>-348350240000</v>
      </c>
      <c r="J360" s="16">
        <v>-582814080000</v>
      </c>
      <c r="K360" s="16" t="s">
        <v>1303</v>
      </c>
      <c r="L360" s="17">
        <f t="shared" si="21"/>
        <v>28</v>
      </c>
      <c r="M360" s="17">
        <f t="shared" si="22"/>
        <v>0</v>
      </c>
      <c r="N360" s="18">
        <f t="shared" si="23"/>
        <v>1</v>
      </c>
      <c r="O360" s="28"/>
      <c r="P360" s="8"/>
      <c r="Q360" s="8"/>
      <c r="R360" s="8"/>
      <c r="S360" s="28"/>
      <c r="T360" s="28"/>
      <c r="U360" s="8"/>
      <c r="V360" s="8"/>
      <c r="W360" s="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8"/>
      <c r="AJ360" s="8"/>
      <c r="AK360" s="8"/>
      <c r="AL360" s="8"/>
      <c r="AM360" s="8"/>
      <c r="AN360" s="28"/>
      <c r="AO360" s="8"/>
      <c r="AP360" s="8"/>
      <c r="AQ360" s="28"/>
      <c r="AR360" s="28"/>
      <c r="AS360" s="28"/>
    </row>
    <row r="361" spans="1:45" ht="15.75" thickBot="1" x14ac:dyDescent="0.3">
      <c r="A361" t="s">
        <v>892</v>
      </c>
      <c r="C361" s="46" t="s">
        <v>893</v>
      </c>
      <c r="D361" t="s">
        <v>894</v>
      </c>
      <c r="E361" t="s">
        <v>19</v>
      </c>
      <c r="F361" t="s">
        <v>36</v>
      </c>
      <c r="G361"/>
      <c r="H361" t="s">
        <v>341</v>
      </c>
      <c r="I361" s="16">
        <v>-348331020000</v>
      </c>
      <c r="J361" s="16">
        <v>-582411500000</v>
      </c>
      <c r="K361" s="16" t="s">
        <v>1304</v>
      </c>
      <c r="L361" s="17">
        <f t="shared" si="21"/>
        <v>28</v>
      </c>
      <c r="M361" s="17">
        <f t="shared" si="22"/>
        <v>0</v>
      </c>
      <c r="N361" s="18">
        <f t="shared" si="23"/>
        <v>1</v>
      </c>
      <c r="O361" s="28"/>
      <c r="P361" s="8"/>
      <c r="Q361" s="8"/>
      <c r="R361" s="8"/>
      <c r="S361" s="28"/>
      <c r="T361" s="28"/>
      <c r="U361" s="8"/>
      <c r="V361" s="8"/>
      <c r="W361" s="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8"/>
      <c r="AJ361" s="8"/>
      <c r="AK361" s="8"/>
      <c r="AL361" s="8"/>
      <c r="AM361" s="8"/>
      <c r="AN361" s="28"/>
      <c r="AO361" s="8"/>
      <c r="AP361" s="8"/>
      <c r="AQ361" s="28"/>
      <c r="AR361" s="28"/>
      <c r="AS361" s="28"/>
    </row>
    <row r="362" spans="1:45" ht="15.75" thickBot="1" x14ac:dyDescent="0.3">
      <c r="A362" t="s">
        <v>895</v>
      </c>
      <c r="C362" s="46" t="s">
        <v>896</v>
      </c>
      <c r="D362" t="s">
        <v>897</v>
      </c>
      <c r="E362" t="s">
        <v>19</v>
      </c>
      <c r="F362" t="s">
        <v>25</v>
      </c>
      <c r="G362"/>
      <c r="H362" t="s">
        <v>689</v>
      </c>
      <c r="I362" s="16">
        <v>-348140350000</v>
      </c>
      <c r="J362" s="16">
        <v>-582788310000</v>
      </c>
      <c r="K362" s="16" t="s">
        <v>1305</v>
      </c>
      <c r="L362" s="17">
        <f t="shared" si="21"/>
        <v>22</v>
      </c>
      <c r="M362" s="17">
        <f t="shared" si="22"/>
        <v>6</v>
      </c>
      <c r="N362" s="18">
        <f t="shared" si="23"/>
        <v>0.7857142857142857</v>
      </c>
      <c r="O362" s="28"/>
      <c r="P362" s="8"/>
      <c r="Q362" s="8"/>
      <c r="R362" s="8"/>
      <c r="S362" s="28"/>
      <c r="T362" s="28"/>
      <c r="U362" s="8" t="s">
        <v>939</v>
      </c>
      <c r="V362" s="8" t="s">
        <v>939</v>
      </c>
      <c r="W362" s="8" t="s">
        <v>939</v>
      </c>
      <c r="X362" s="28" t="s">
        <v>939</v>
      </c>
      <c r="Y362" s="28" t="s">
        <v>939</v>
      </c>
      <c r="Z362" s="28"/>
      <c r="AA362" s="28" t="s">
        <v>939</v>
      </c>
      <c r="AB362" s="28"/>
      <c r="AC362" s="28"/>
      <c r="AD362" s="28"/>
      <c r="AE362" s="28"/>
      <c r="AF362" s="28"/>
      <c r="AG362" s="28"/>
      <c r="AH362" s="28"/>
      <c r="AI362" s="8"/>
      <c r="AJ362" s="8"/>
      <c r="AK362" s="8"/>
      <c r="AL362" s="8"/>
      <c r="AM362" s="8"/>
      <c r="AN362" s="28"/>
      <c r="AO362" s="8"/>
      <c r="AP362" s="8"/>
      <c r="AQ362" s="28"/>
      <c r="AR362" s="28"/>
      <c r="AS362" s="28"/>
    </row>
    <row r="363" spans="1:45" ht="15.75" thickBot="1" x14ac:dyDescent="0.3">
      <c r="A363" t="s">
        <v>895</v>
      </c>
      <c r="C363" s="46" t="s">
        <v>898</v>
      </c>
      <c r="D363" t="s">
        <v>899</v>
      </c>
      <c r="E363" t="s">
        <v>19</v>
      </c>
      <c r="F363" t="s">
        <v>25</v>
      </c>
      <c r="G363"/>
      <c r="H363" t="s">
        <v>900</v>
      </c>
      <c r="I363" s="16">
        <v>-348118850000</v>
      </c>
      <c r="J363" s="16">
        <v>-582790580000</v>
      </c>
      <c r="K363" s="16" t="s">
        <v>1306</v>
      </c>
      <c r="L363" s="17">
        <f t="shared" si="21"/>
        <v>28</v>
      </c>
      <c r="M363" s="17">
        <f t="shared" si="22"/>
        <v>0</v>
      </c>
      <c r="N363" s="18">
        <f t="shared" si="23"/>
        <v>1</v>
      </c>
      <c r="O363" s="28"/>
      <c r="P363" s="8"/>
      <c r="Q363" s="8"/>
      <c r="R363" s="8"/>
      <c r="S363" s="28"/>
      <c r="T363" s="28"/>
      <c r="U363" s="8"/>
      <c r="V363" s="8"/>
      <c r="W363" s="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8"/>
      <c r="AJ363" s="8"/>
      <c r="AK363" s="8"/>
      <c r="AL363" s="8"/>
      <c r="AM363" s="8"/>
      <c r="AN363" s="28"/>
      <c r="AO363" s="8"/>
      <c r="AP363" s="8"/>
      <c r="AQ363" s="28"/>
      <c r="AR363" s="28"/>
      <c r="AS363" s="28"/>
    </row>
    <row r="364" spans="1:45" ht="15.75" thickBot="1" x14ac:dyDescent="0.3">
      <c r="A364" t="s">
        <v>895</v>
      </c>
      <c r="C364" s="46" t="s">
        <v>901</v>
      </c>
      <c r="D364" t="s">
        <v>902</v>
      </c>
      <c r="E364" t="s">
        <v>19</v>
      </c>
      <c r="F364" t="s">
        <v>25</v>
      </c>
      <c r="G364"/>
      <c r="H364" t="s">
        <v>33</v>
      </c>
      <c r="I364" s="16">
        <v>-348151300000</v>
      </c>
      <c r="J364" s="16">
        <v>-582798970000</v>
      </c>
      <c r="K364" s="16" t="s">
        <v>1307</v>
      </c>
      <c r="L364" s="17">
        <f t="shared" si="21"/>
        <v>28</v>
      </c>
      <c r="M364" s="17">
        <f t="shared" si="22"/>
        <v>0</v>
      </c>
      <c r="N364" s="18">
        <f t="shared" si="23"/>
        <v>1</v>
      </c>
      <c r="O364" s="28"/>
      <c r="P364" s="8"/>
      <c r="Q364" s="8"/>
      <c r="R364" s="8"/>
      <c r="S364" s="28"/>
      <c r="T364" s="28"/>
      <c r="U364" s="8"/>
      <c r="V364" s="8"/>
      <c r="W364" s="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8"/>
      <c r="AJ364" s="8"/>
      <c r="AK364" s="8"/>
      <c r="AL364" s="8"/>
      <c r="AM364" s="8"/>
      <c r="AN364" s="28"/>
      <c r="AO364" s="8"/>
      <c r="AP364" s="8"/>
      <c r="AQ364" s="28"/>
      <c r="AR364" s="28"/>
      <c r="AS364" s="28"/>
    </row>
    <row r="365" spans="1:45" ht="15.75" thickBot="1" x14ac:dyDescent="0.3">
      <c r="C365" s="46" t="s">
        <v>903</v>
      </c>
      <c r="D365" t="s">
        <v>904</v>
      </c>
      <c r="E365" t="s">
        <v>24</v>
      </c>
      <c r="F365" t="s">
        <v>25</v>
      </c>
      <c r="G365"/>
      <c r="H365"/>
      <c r="I365" s="16">
        <v>-348017000000</v>
      </c>
      <c r="J365" s="16">
        <v>-582624610000</v>
      </c>
      <c r="K365" s="16" t="s">
        <v>1311</v>
      </c>
      <c r="L365" s="17">
        <f t="shared" si="21"/>
        <v>28</v>
      </c>
      <c r="M365" s="17">
        <f t="shared" si="22"/>
        <v>0</v>
      </c>
      <c r="N365" s="18">
        <f t="shared" si="23"/>
        <v>1</v>
      </c>
      <c r="O365" s="28"/>
      <c r="P365" s="8"/>
      <c r="Q365" s="8"/>
      <c r="R365" s="8"/>
      <c r="S365" s="28"/>
      <c r="T365" s="28"/>
      <c r="U365" s="8"/>
      <c r="V365" s="8"/>
      <c r="W365" s="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8"/>
      <c r="AJ365" s="8"/>
      <c r="AK365" s="8"/>
      <c r="AL365" s="8"/>
      <c r="AM365" s="8"/>
      <c r="AN365" s="28"/>
      <c r="AO365" s="8"/>
      <c r="AP365" s="8"/>
      <c r="AQ365" s="28"/>
      <c r="AR365" s="28"/>
      <c r="AS365" s="28"/>
    </row>
    <row r="366" spans="1:45" ht="15.75" thickBot="1" x14ac:dyDescent="0.3">
      <c r="A366" t="s">
        <v>905</v>
      </c>
      <c r="C366" s="46" t="s">
        <v>906</v>
      </c>
      <c r="D366" t="s">
        <v>907</v>
      </c>
      <c r="E366" t="s">
        <v>24</v>
      </c>
      <c r="F366" t="s">
        <v>25</v>
      </c>
      <c r="G366" t="s">
        <v>795</v>
      </c>
      <c r="H366"/>
      <c r="I366" s="16">
        <v>-348108520000</v>
      </c>
      <c r="J366" s="16">
        <v>-582564000000</v>
      </c>
      <c r="K366" s="16" t="s">
        <v>1308</v>
      </c>
      <c r="L366" s="17">
        <f t="shared" si="21"/>
        <v>28</v>
      </c>
      <c r="M366" s="17">
        <f t="shared" si="22"/>
        <v>0</v>
      </c>
      <c r="N366" s="18">
        <f t="shared" si="23"/>
        <v>1</v>
      </c>
      <c r="O366" s="28"/>
      <c r="P366" s="8"/>
      <c r="Q366" s="8"/>
      <c r="R366" s="8"/>
      <c r="S366" s="28"/>
      <c r="T366" s="28"/>
      <c r="U366" s="8"/>
      <c r="V366" s="8"/>
      <c r="W366" s="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8"/>
      <c r="AJ366" s="8"/>
      <c r="AK366" s="8"/>
      <c r="AL366" s="8"/>
      <c r="AM366" s="8"/>
      <c r="AN366" s="28"/>
      <c r="AO366" s="8"/>
      <c r="AP366" s="8"/>
      <c r="AQ366" s="28"/>
      <c r="AR366" s="28"/>
      <c r="AS366" s="28"/>
    </row>
    <row r="367" spans="1:45" ht="15.75" thickBot="1" x14ac:dyDescent="0.3">
      <c r="A367" t="s">
        <v>480</v>
      </c>
      <c r="B367" s="60">
        <v>44629</v>
      </c>
      <c r="C367" s="62" t="s">
        <v>908</v>
      </c>
      <c r="D367" t="s">
        <v>909</v>
      </c>
      <c r="E367" t="s">
        <v>24</v>
      </c>
      <c r="F367" t="s">
        <v>25</v>
      </c>
      <c r="G367" t="s">
        <v>795</v>
      </c>
      <c r="H367"/>
      <c r="I367" s="16">
        <v>-348105440000</v>
      </c>
      <c r="J367" s="16">
        <v>-582580200000</v>
      </c>
      <c r="K367" s="16" t="s">
        <v>1309</v>
      </c>
      <c r="L367" s="17">
        <f t="shared" si="21"/>
        <v>17</v>
      </c>
      <c r="M367" s="17">
        <f t="shared" si="22"/>
        <v>11</v>
      </c>
      <c r="N367" s="18">
        <f t="shared" si="23"/>
        <v>0.6071428571428571</v>
      </c>
      <c r="O367" s="28" t="s">
        <v>939</v>
      </c>
      <c r="P367" s="8" t="s">
        <v>939</v>
      </c>
      <c r="Q367" s="8" t="s">
        <v>939</v>
      </c>
      <c r="R367" s="8" t="s">
        <v>939</v>
      </c>
      <c r="S367" s="28" t="s">
        <v>939</v>
      </c>
      <c r="T367" s="28" t="s">
        <v>939</v>
      </c>
      <c r="U367" s="8" t="s">
        <v>939</v>
      </c>
      <c r="V367" s="8" t="s">
        <v>939</v>
      </c>
      <c r="W367" s="8" t="s">
        <v>939</v>
      </c>
      <c r="X367" s="28" t="s">
        <v>939</v>
      </c>
      <c r="Y367" s="28" t="s">
        <v>939</v>
      </c>
      <c r="Z367" s="28"/>
      <c r="AA367" s="28"/>
      <c r="AB367" s="28"/>
      <c r="AC367" s="28"/>
      <c r="AD367" s="28"/>
      <c r="AE367" s="28"/>
      <c r="AF367" s="28"/>
      <c r="AG367" s="28"/>
      <c r="AH367" s="28"/>
      <c r="AI367" s="8"/>
      <c r="AJ367" s="28"/>
      <c r="AK367" s="8"/>
      <c r="AL367" s="8"/>
      <c r="AM367" s="8"/>
      <c r="AN367" s="28"/>
      <c r="AO367" s="8"/>
      <c r="AP367" s="8"/>
      <c r="AQ367" s="28"/>
      <c r="AR367" s="28"/>
      <c r="AS367" s="28"/>
    </row>
    <row r="368" spans="1:45" ht="15.75" thickBot="1" x14ac:dyDescent="0.3">
      <c r="C368" s="46" t="s">
        <v>910</v>
      </c>
      <c r="D368" t="s">
        <v>911</v>
      </c>
      <c r="E368" t="s">
        <v>19</v>
      </c>
      <c r="F368" t="s">
        <v>25</v>
      </c>
      <c r="G368"/>
      <c r="H368" t="s">
        <v>912</v>
      </c>
      <c r="I368" s="16">
        <v>-348006770000</v>
      </c>
      <c r="J368" s="16">
        <v>-582652130000</v>
      </c>
      <c r="K368" s="16" t="s">
        <v>1310</v>
      </c>
      <c r="L368" s="17">
        <f t="shared" si="21"/>
        <v>28</v>
      </c>
      <c r="M368" s="17">
        <f t="shared" si="22"/>
        <v>0</v>
      </c>
      <c r="N368" s="18">
        <f t="shared" si="23"/>
        <v>1</v>
      </c>
      <c r="O368" s="28"/>
      <c r="P368" s="8"/>
      <c r="Q368" s="8"/>
      <c r="R368" s="8"/>
      <c r="S368" s="28"/>
      <c r="T368" s="28"/>
      <c r="U368" s="8"/>
      <c r="V368" s="8"/>
      <c r="W368" s="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</row>
    <row r="369" spans="1:45" ht="15.75" thickBot="1" x14ac:dyDescent="0.3">
      <c r="A369" t="s">
        <v>1318</v>
      </c>
      <c r="C369" s="46" t="s">
        <v>1314</v>
      </c>
      <c r="D369" t="s">
        <v>1316</v>
      </c>
      <c r="E369" s="46" t="s">
        <v>113</v>
      </c>
      <c r="F369" s="46" t="s">
        <v>36</v>
      </c>
      <c r="G369" s="9"/>
      <c r="H369" s="9" t="s">
        <v>1321</v>
      </c>
      <c r="I369" s="9"/>
      <c r="J369" s="9"/>
      <c r="K369" s="29" t="s">
        <v>1319</v>
      </c>
      <c r="L369" s="17">
        <f t="shared" ref="L369:L370" si="24">COUNTIF(O369:AP369,"")</f>
        <v>28</v>
      </c>
      <c r="M369" s="17">
        <f t="shared" ref="M369:M370" si="25">COUNTIF(O369:AP369,"APAGADO")</f>
        <v>0</v>
      </c>
      <c r="N369" s="18">
        <f t="shared" ref="N369:N370" si="26">(L369)/(M369+L369)</f>
        <v>1</v>
      </c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</row>
    <row r="370" spans="1:45" ht="15.75" thickBot="1" x14ac:dyDescent="0.3">
      <c r="A370" t="s">
        <v>1318</v>
      </c>
      <c r="C370" s="46" t="s">
        <v>1315</v>
      </c>
      <c r="D370" t="s">
        <v>1317</v>
      </c>
      <c r="E370" s="46" t="s">
        <v>113</v>
      </c>
      <c r="F370" s="46" t="s">
        <v>36</v>
      </c>
      <c r="G370" s="9" t="s">
        <v>1321</v>
      </c>
      <c r="H370" s="9"/>
      <c r="I370" s="9"/>
      <c r="J370" s="9"/>
      <c r="K370" s="29" t="s">
        <v>1320</v>
      </c>
      <c r="L370" s="17">
        <f t="shared" si="24"/>
        <v>28</v>
      </c>
      <c r="M370" s="17">
        <f t="shared" si="25"/>
        <v>0</v>
      </c>
      <c r="N370" s="18">
        <f t="shared" si="26"/>
        <v>1</v>
      </c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</row>
    <row r="371" spans="1:45" x14ac:dyDescent="0.25">
      <c r="E371" s="9"/>
      <c r="F371" s="9"/>
      <c r="G371" s="9"/>
      <c r="H371" s="9"/>
      <c r="I371" s="9"/>
      <c r="J371" s="9"/>
      <c r="K371" s="29"/>
      <c r="N371" s="21"/>
      <c r="O371" s="2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29"/>
      <c r="AC371" s="29"/>
      <c r="AD371" s="29"/>
      <c r="AE371" s="29"/>
      <c r="AF371" s="29"/>
      <c r="AG371" s="29"/>
      <c r="AH371" s="29"/>
      <c r="AI371" s="9"/>
      <c r="AJ371" s="9"/>
      <c r="AK371" s="9"/>
      <c r="AL371" s="9"/>
      <c r="AM371" s="9"/>
      <c r="AN371" s="9"/>
      <c r="AO371" s="9"/>
      <c r="AP371" s="9"/>
      <c r="AQ371" s="29"/>
      <c r="AR371" s="29"/>
      <c r="AS371" s="29"/>
    </row>
    <row r="372" spans="1:45" x14ac:dyDescent="0.25">
      <c r="E372" s="9"/>
      <c r="F372" s="9"/>
      <c r="G372" s="9"/>
      <c r="H372" s="9"/>
      <c r="I372" s="9"/>
      <c r="J372" s="9"/>
      <c r="K372" s="29"/>
      <c r="N372" s="21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29"/>
      <c r="AC372" s="29"/>
      <c r="AD372" s="29"/>
      <c r="AE372" s="29"/>
      <c r="AF372" s="29"/>
      <c r="AG372" s="29"/>
      <c r="AH372" s="29"/>
      <c r="AI372" s="9"/>
      <c r="AJ372" s="9"/>
      <c r="AK372" s="9"/>
      <c r="AL372" s="9"/>
      <c r="AM372" s="9"/>
      <c r="AN372" s="9"/>
      <c r="AO372" s="9"/>
      <c r="AP372" s="9"/>
      <c r="AQ372" s="29"/>
      <c r="AR372" s="29"/>
      <c r="AS372" s="29"/>
    </row>
    <row r="373" spans="1:45" x14ac:dyDescent="0.25">
      <c r="E373" s="9"/>
      <c r="F373" s="9"/>
      <c r="G373" s="9"/>
      <c r="H373" s="9"/>
      <c r="I373" s="9"/>
      <c r="J373" s="9"/>
      <c r="K373" s="29"/>
      <c r="N373" s="21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29"/>
      <c r="AC373" s="29"/>
      <c r="AD373" s="29"/>
      <c r="AE373" s="29"/>
      <c r="AF373" s="29"/>
      <c r="AG373" s="29"/>
      <c r="AH373" s="29"/>
      <c r="AI373" s="9"/>
      <c r="AJ373" s="9"/>
      <c r="AK373" s="9"/>
      <c r="AL373" s="9"/>
      <c r="AM373" s="9"/>
      <c r="AN373" s="9"/>
      <c r="AO373" s="9"/>
      <c r="AP373" s="9"/>
      <c r="AQ373" s="29"/>
      <c r="AR373" s="29"/>
      <c r="AS373" s="29"/>
    </row>
    <row r="374" spans="1:45" x14ac:dyDescent="0.25">
      <c r="E374" s="9"/>
      <c r="F374" s="9"/>
      <c r="G374" s="9"/>
      <c r="H374" s="9"/>
      <c r="I374" s="9"/>
      <c r="J374" s="9"/>
      <c r="K374" s="29"/>
      <c r="N374" s="21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29"/>
      <c r="AC374" s="29"/>
      <c r="AD374" s="29"/>
      <c r="AE374" s="29"/>
      <c r="AF374" s="29"/>
      <c r="AG374" s="29"/>
      <c r="AH374" s="29"/>
      <c r="AI374" s="9"/>
      <c r="AJ374" s="9"/>
      <c r="AK374" s="9"/>
      <c r="AL374" s="9"/>
      <c r="AM374" s="9"/>
      <c r="AN374" s="9"/>
      <c r="AO374" s="9"/>
      <c r="AP374" s="9"/>
      <c r="AQ374" s="29"/>
      <c r="AR374" s="29"/>
      <c r="AS374" s="29"/>
    </row>
    <row r="375" spans="1:45" x14ac:dyDescent="0.25">
      <c r="E375" s="9"/>
      <c r="F375" s="9"/>
      <c r="G375" s="9"/>
      <c r="H375" s="9"/>
      <c r="I375" s="9"/>
      <c r="J375" s="9"/>
      <c r="K375" s="29"/>
      <c r="N375" s="21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29"/>
      <c r="AC375" s="29"/>
      <c r="AD375" s="29"/>
      <c r="AE375" s="29"/>
      <c r="AF375" s="29"/>
      <c r="AG375" s="29"/>
      <c r="AH375" s="29"/>
      <c r="AI375" s="9"/>
      <c r="AJ375" s="9"/>
      <c r="AK375" s="9"/>
      <c r="AL375" s="9"/>
      <c r="AM375" s="9"/>
      <c r="AN375" s="9"/>
      <c r="AO375" s="9"/>
      <c r="AP375" s="9"/>
      <c r="AQ375" s="29"/>
      <c r="AR375" s="29"/>
      <c r="AS375" s="29"/>
    </row>
    <row r="376" spans="1:45" x14ac:dyDescent="0.25">
      <c r="E376" s="9"/>
      <c r="F376" s="9"/>
      <c r="G376" s="9"/>
      <c r="H376" s="9"/>
      <c r="I376" s="9"/>
      <c r="J376" s="9"/>
      <c r="K376" s="29"/>
      <c r="N376" s="21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29"/>
      <c r="AC376" s="29"/>
      <c r="AD376" s="29"/>
      <c r="AE376" s="29"/>
      <c r="AF376" s="29"/>
      <c r="AG376" s="29"/>
      <c r="AH376" s="29"/>
      <c r="AI376" s="9"/>
      <c r="AJ376" s="9"/>
      <c r="AK376" s="9"/>
      <c r="AL376" s="9"/>
      <c r="AM376" s="9"/>
      <c r="AN376" s="9"/>
      <c r="AO376" s="9"/>
      <c r="AP376" s="9"/>
      <c r="AQ376" s="29"/>
      <c r="AR376" s="29"/>
      <c r="AS376" s="29"/>
    </row>
    <row r="377" spans="1:45" x14ac:dyDescent="0.25">
      <c r="E377" s="9"/>
      <c r="F377" s="9"/>
      <c r="G377" s="9"/>
      <c r="H377" s="9"/>
      <c r="I377" s="9"/>
      <c r="J377" s="9"/>
      <c r="K377" s="29"/>
      <c r="N377" s="21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29"/>
      <c r="AC377" s="29"/>
      <c r="AD377" s="29"/>
      <c r="AE377" s="29"/>
      <c r="AF377" s="29"/>
      <c r="AG377" s="29"/>
      <c r="AH377" s="29"/>
      <c r="AI377" s="9"/>
      <c r="AJ377" s="9"/>
      <c r="AK377" s="9"/>
      <c r="AL377" s="9"/>
      <c r="AM377" s="9"/>
      <c r="AN377" s="9"/>
      <c r="AO377" s="9"/>
      <c r="AP377" s="9"/>
      <c r="AQ377" s="29"/>
      <c r="AR377" s="29"/>
      <c r="AS377" s="29"/>
    </row>
    <row r="378" spans="1:45" x14ac:dyDescent="0.25">
      <c r="E378" s="9"/>
      <c r="F378" s="9"/>
      <c r="G378" s="9"/>
      <c r="H378" s="9"/>
      <c r="I378" s="9"/>
      <c r="J378" s="9"/>
      <c r="K378" s="29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29"/>
      <c r="AC378" s="29"/>
      <c r="AD378" s="29"/>
      <c r="AE378" s="29"/>
      <c r="AF378" s="29"/>
      <c r="AG378" s="29"/>
      <c r="AH378" s="29"/>
      <c r="AI378" s="9"/>
      <c r="AJ378" s="9"/>
      <c r="AK378" s="9"/>
      <c r="AL378" s="9"/>
      <c r="AM378" s="9"/>
      <c r="AN378" s="9"/>
      <c r="AO378" s="9"/>
      <c r="AP378" s="9"/>
      <c r="AQ378" s="29"/>
      <c r="AR378" s="29"/>
      <c r="AS378" s="29"/>
    </row>
    <row r="379" spans="1:45" x14ac:dyDescent="0.25">
      <c r="E379" s="9"/>
      <c r="F379" s="9"/>
      <c r="G379" s="9"/>
      <c r="H379" s="9"/>
      <c r="I379" s="9"/>
      <c r="J379" s="9"/>
      <c r="K379" s="29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29"/>
      <c r="AC379" s="29"/>
      <c r="AD379" s="29"/>
      <c r="AE379" s="29"/>
      <c r="AF379" s="29"/>
      <c r="AG379" s="29"/>
      <c r="AH379" s="29"/>
      <c r="AI379" s="9"/>
      <c r="AJ379" s="9"/>
      <c r="AK379" s="9"/>
      <c r="AL379" s="9"/>
      <c r="AM379" s="9"/>
      <c r="AN379" s="9"/>
      <c r="AO379" s="9"/>
      <c r="AP379" s="9"/>
      <c r="AQ379" s="29"/>
      <c r="AR379" s="29"/>
      <c r="AS379" s="29"/>
    </row>
    <row r="380" spans="1:45" x14ac:dyDescent="0.25">
      <c r="E380" s="9"/>
      <c r="F380" s="9"/>
      <c r="G380" s="9"/>
      <c r="H380" s="9"/>
      <c r="I380" s="9"/>
      <c r="J380" s="9"/>
      <c r="K380" s="29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29"/>
      <c r="AC380" s="29"/>
      <c r="AD380" s="29"/>
      <c r="AE380" s="29"/>
      <c r="AF380" s="29"/>
      <c r="AG380" s="29"/>
      <c r="AH380" s="29"/>
      <c r="AI380" s="9"/>
      <c r="AJ380" s="9"/>
      <c r="AK380" s="9"/>
      <c r="AL380" s="9"/>
      <c r="AM380" s="9"/>
      <c r="AN380" s="9"/>
      <c r="AO380" s="9"/>
      <c r="AP380" s="9"/>
      <c r="AQ380" s="29"/>
      <c r="AR380" s="29"/>
      <c r="AS380" s="29"/>
    </row>
    <row r="381" spans="1:45" x14ac:dyDescent="0.25">
      <c r="E381" s="9"/>
      <c r="F381" s="9"/>
      <c r="G381" s="9"/>
      <c r="H381" s="9"/>
      <c r="I381" s="9"/>
      <c r="J381" s="9"/>
      <c r="K381" s="29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29"/>
      <c r="AC381" s="29"/>
      <c r="AD381" s="29"/>
      <c r="AE381" s="29"/>
      <c r="AF381" s="29"/>
      <c r="AG381" s="29"/>
      <c r="AH381" s="29"/>
      <c r="AI381" s="9"/>
      <c r="AJ381" s="9"/>
      <c r="AK381" s="9"/>
      <c r="AL381" s="9"/>
      <c r="AM381" s="9"/>
      <c r="AN381" s="9"/>
      <c r="AO381" s="9"/>
      <c r="AP381" s="9"/>
      <c r="AQ381" s="29"/>
      <c r="AR381" s="29"/>
      <c r="AS381" s="29"/>
    </row>
    <row r="382" spans="1:45" x14ac:dyDescent="0.25">
      <c r="E382" s="9"/>
      <c r="F382" s="9"/>
      <c r="G382" s="9"/>
      <c r="H382" s="9"/>
      <c r="I382" s="9"/>
      <c r="J382" s="9"/>
      <c r="K382" s="29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29"/>
      <c r="AC382" s="29"/>
      <c r="AD382" s="29"/>
      <c r="AE382" s="29"/>
      <c r="AF382" s="29"/>
      <c r="AG382" s="29"/>
      <c r="AH382" s="29"/>
      <c r="AI382" s="9"/>
      <c r="AJ382" s="9"/>
      <c r="AK382" s="9"/>
      <c r="AL382" s="9"/>
      <c r="AM382" s="9"/>
      <c r="AN382" s="9"/>
      <c r="AO382" s="9"/>
      <c r="AP382" s="9"/>
      <c r="AQ382" s="29"/>
      <c r="AR382" s="29"/>
      <c r="AS382" s="29"/>
    </row>
    <row r="383" spans="1:45" x14ac:dyDescent="0.25">
      <c r="E383" s="9"/>
      <c r="F383" s="9"/>
      <c r="G383" s="9"/>
      <c r="H383" s="9"/>
      <c r="I383" s="9"/>
      <c r="J383" s="9"/>
      <c r="K383" s="29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29"/>
      <c r="AC383" s="29"/>
      <c r="AD383" s="29"/>
      <c r="AE383" s="29"/>
      <c r="AF383" s="29"/>
      <c r="AG383" s="29"/>
      <c r="AH383" s="29"/>
      <c r="AI383" s="9"/>
      <c r="AJ383" s="9"/>
      <c r="AK383" s="9"/>
      <c r="AL383" s="9"/>
      <c r="AM383" s="9"/>
      <c r="AN383" s="9"/>
      <c r="AO383" s="9"/>
      <c r="AP383" s="9"/>
      <c r="AQ383" s="29"/>
      <c r="AR383" s="29"/>
      <c r="AS383" s="29"/>
    </row>
    <row r="384" spans="1:45" x14ac:dyDescent="0.25">
      <c r="E384" s="9"/>
      <c r="F384" s="9"/>
      <c r="G384" s="9"/>
      <c r="H384" s="9"/>
      <c r="I384" s="9"/>
      <c r="J384" s="9"/>
      <c r="K384" s="29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29"/>
      <c r="AC384" s="29"/>
      <c r="AD384" s="29"/>
      <c r="AE384" s="29"/>
      <c r="AF384" s="29"/>
      <c r="AG384" s="29"/>
      <c r="AH384" s="29"/>
      <c r="AI384" s="9"/>
      <c r="AJ384" s="9"/>
      <c r="AK384" s="9"/>
      <c r="AL384" s="9"/>
      <c r="AM384" s="9"/>
      <c r="AN384" s="9"/>
      <c r="AO384" s="9"/>
      <c r="AP384" s="9"/>
      <c r="AQ384" s="29"/>
      <c r="AR384" s="29"/>
      <c r="AS384" s="29"/>
    </row>
    <row r="385" spans="5:45" x14ac:dyDescent="0.25">
      <c r="E385" s="9"/>
      <c r="F385" s="9"/>
      <c r="G385" s="9"/>
      <c r="H385" s="9"/>
      <c r="I385" s="9"/>
      <c r="J385" s="9"/>
      <c r="K385" s="29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29"/>
      <c r="AC385" s="29"/>
      <c r="AD385" s="29"/>
      <c r="AE385" s="29"/>
      <c r="AF385" s="29"/>
      <c r="AG385" s="29"/>
      <c r="AH385" s="29"/>
      <c r="AI385" s="9"/>
      <c r="AJ385" s="9"/>
      <c r="AK385" s="9"/>
      <c r="AL385" s="9"/>
      <c r="AM385" s="9"/>
      <c r="AN385" s="9"/>
      <c r="AO385" s="9"/>
      <c r="AP385" s="9"/>
      <c r="AQ385" s="29"/>
      <c r="AR385" s="29"/>
      <c r="AS385" s="29"/>
    </row>
    <row r="386" spans="5:45" x14ac:dyDescent="0.25">
      <c r="E386" s="9"/>
      <c r="F386" s="9"/>
      <c r="G386" s="9"/>
      <c r="H386" s="9"/>
      <c r="I386" s="9"/>
      <c r="J386" s="9"/>
      <c r="K386" s="29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29"/>
      <c r="AC386" s="29"/>
      <c r="AD386" s="29"/>
      <c r="AE386" s="29"/>
      <c r="AF386" s="29"/>
      <c r="AG386" s="29"/>
      <c r="AH386" s="29"/>
      <c r="AI386" s="9"/>
      <c r="AJ386" s="9"/>
      <c r="AK386" s="9"/>
      <c r="AL386" s="9"/>
      <c r="AM386" s="9"/>
      <c r="AN386" s="9"/>
      <c r="AO386" s="9"/>
      <c r="AP386" s="9"/>
      <c r="AQ386" s="29"/>
      <c r="AR386" s="29"/>
      <c r="AS386" s="29"/>
    </row>
    <row r="387" spans="5:45" x14ac:dyDescent="0.25">
      <c r="E387" s="9"/>
      <c r="F387" s="9"/>
      <c r="G387" s="9"/>
      <c r="H387" s="9"/>
      <c r="I387" s="9"/>
      <c r="J387" s="9"/>
      <c r="K387" s="29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29"/>
      <c r="AC387" s="29"/>
      <c r="AD387" s="29"/>
      <c r="AE387" s="29"/>
      <c r="AF387" s="29"/>
      <c r="AG387" s="29"/>
      <c r="AH387" s="29"/>
      <c r="AI387" s="9"/>
      <c r="AJ387" s="9"/>
      <c r="AK387" s="9"/>
      <c r="AL387" s="9"/>
      <c r="AM387" s="9"/>
      <c r="AN387" s="9"/>
      <c r="AO387" s="9"/>
      <c r="AP387" s="9"/>
      <c r="AQ387" s="29"/>
      <c r="AR387" s="29"/>
      <c r="AS387" s="29"/>
    </row>
    <row r="388" spans="5:45" x14ac:dyDescent="0.25">
      <c r="E388" s="9"/>
      <c r="F388" s="9"/>
      <c r="G388" s="9"/>
      <c r="H388" s="9"/>
      <c r="I388" s="9"/>
      <c r="J388" s="9"/>
      <c r="K388" s="29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29"/>
      <c r="AC388" s="29"/>
      <c r="AD388" s="29"/>
      <c r="AE388" s="29"/>
      <c r="AF388" s="29"/>
      <c r="AG388" s="29"/>
      <c r="AH388" s="29"/>
      <c r="AI388" s="9"/>
      <c r="AJ388" s="9"/>
      <c r="AK388" s="9"/>
      <c r="AL388" s="9"/>
      <c r="AM388" s="9"/>
      <c r="AN388" s="9"/>
      <c r="AO388" s="9"/>
      <c r="AP388" s="9"/>
      <c r="AQ388" s="29"/>
      <c r="AR388" s="29"/>
      <c r="AS388" s="29"/>
    </row>
    <row r="389" spans="5:45" x14ac:dyDescent="0.25">
      <c r="E389" s="9"/>
      <c r="F389" s="9"/>
      <c r="G389" s="9"/>
      <c r="H389" s="9"/>
      <c r="I389" s="9"/>
      <c r="J389" s="9"/>
      <c r="K389" s="29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29"/>
      <c r="AC389" s="29"/>
      <c r="AD389" s="29"/>
      <c r="AE389" s="29"/>
      <c r="AF389" s="29"/>
      <c r="AG389" s="29"/>
      <c r="AH389" s="29"/>
      <c r="AI389" s="9"/>
      <c r="AJ389" s="9"/>
      <c r="AK389" s="9"/>
      <c r="AL389" s="9"/>
      <c r="AM389" s="9"/>
      <c r="AN389" s="9"/>
      <c r="AO389" s="9"/>
      <c r="AP389" s="9"/>
      <c r="AQ389" s="29"/>
      <c r="AR389" s="29"/>
      <c r="AS389" s="29"/>
    </row>
    <row r="390" spans="5:45" x14ac:dyDescent="0.25">
      <c r="E390" s="9"/>
      <c r="F390" s="9"/>
      <c r="G390" s="9"/>
      <c r="H390" s="9"/>
      <c r="I390" s="9"/>
      <c r="J390" s="9"/>
      <c r="K390" s="29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29"/>
      <c r="AC390" s="29"/>
      <c r="AD390" s="29"/>
      <c r="AE390" s="29"/>
      <c r="AF390" s="29"/>
      <c r="AG390" s="29"/>
      <c r="AH390" s="29"/>
      <c r="AI390" s="9"/>
      <c r="AJ390" s="9"/>
      <c r="AK390" s="9"/>
      <c r="AL390" s="9"/>
      <c r="AM390" s="9"/>
      <c r="AN390" s="9"/>
      <c r="AO390" s="9"/>
      <c r="AP390" s="9"/>
      <c r="AQ390" s="29"/>
      <c r="AR390" s="29"/>
      <c r="AS390" s="29"/>
    </row>
    <row r="391" spans="5:45" x14ac:dyDescent="0.25">
      <c r="E391" s="9"/>
      <c r="F391" s="9"/>
      <c r="G391" s="9"/>
      <c r="H391" s="9"/>
      <c r="I391" s="9"/>
      <c r="J391" s="9"/>
      <c r="K391" s="29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29"/>
      <c r="AC391" s="29"/>
      <c r="AD391" s="29"/>
      <c r="AE391" s="29"/>
      <c r="AF391" s="29"/>
      <c r="AG391" s="29"/>
      <c r="AH391" s="29"/>
      <c r="AI391" s="9"/>
      <c r="AJ391" s="9"/>
      <c r="AK391" s="9"/>
      <c r="AL391" s="9"/>
      <c r="AM391" s="9"/>
      <c r="AN391" s="9"/>
      <c r="AO391" s="9"/>
      <c r="AP391" s="9"/>
      <c r="AQ391" s="29"/>
      <c r="AR391" s="29"/>
      <c r="AS391" s="29"/>
    </row>
    <row r="392" spans="5:45" x14ac:dyDescent="0.25">
      <c r="E392" s="9"/>
      <c r="F392" s="9"/>
      <c r="G392" s="9"/>
      <c r="H392" s="9"/>
      <c r="I392" s="9"/>
      <c r="J392" s="9"/>
      <c r="K392" s="29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29"/>
      <c r="AC392" s="29"/>
      <c r="AD392" s="29"/>
      <c r="AE392" s="29"/>
      <c r="AF392" s="29"/>
      <c r="AG392" s="29"/>
      <c r="AH392" s="29"/>
      <c r="AI392" s="9"/>
      <c r="AJ392" s="9"/>
      <c r="AK392" s="9"/>
      <c r="AL392" s="9"/>
      <c r="AM392" s="9"/>
      <c r="AN392" s="9"/>
      <c r="AO392" s="9"/>
      <c r="AP392" s="9"/>
      <c r="AQ392" s="29"/>
      <c r="AR392" s="29"/>
      <c r="AS392" s="29"/>
    </row>
    <row r="393" spans="5:45" x14ac:dyDescent="0.25">
      <c r="E393" s="9"/>
      <c r="F393" s="9"/>
      <c r="G393" s="9"/>
      <c r="H393" s="9"/>
      <c r="I393" s="9"/>
      <c r="J393" s="9"/>
      <c r="K393" s="29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29"/>
      <c r="AC393" s="29"/>
      <c r="AD393" s="29"/>
      <c r="AE393" s="29"/>
      <c r="AF393" s="29"/>
      <c r="AG393" s="29"/>
      <c r="AH393" s="29"/>
      <c r="AI393" s="9"/>
      <c r="AJ393" s="9"/>
      <c r="AK393" s="9"/>
      <c r="AL393" s="9"/>
      <c r="AM393" s="9"/>
      <c r="AN393" s="9"/>
      <c r="AO393" s="9"/>
      <c r="AP393" s="9"/>
      <c r="AQ393" s="29"/>
      <c r="AR393" s="29"/>
      <c r="AS393" s="29"/>
    </row>
    <row r="394" spans="5:45" x14ac:dyDescent="0.25">
      <c r="E394" s="9"/>
      <c r="F394" s="9"/>
      <c r="G394" s="9"/>
      <c r="H394" s="9"/>
      <c r="I394" s="9"/>
      <c r="J394" s="9"/>
      <c r="K394" s="29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29"/>
      <c r="AC394" s="29"/>
      <c r="AD394" s="29"/>
      <c r="AE394" s="29"/>
      <c r="AF394" s="29"/>
      <c r="AG394" s="29"/>
      <c r="AH394" s="29"/>
      <c r="AI394" s="9"/>
      <c r="AJ394" s="9"/>
      <c r="AK394" s="9"/>
      <c r="AL394" s="9"/>
      <c r="AM394" s="9"/>
      <c r="AN394" s="9"/>
      <c r="AO394" s="9"/>
      <c r="AP394" s="9"/>
      <c r="AQ394" s="29"/>
      <c r="AR394" s="29"/>
      <c r="AS394" s="29"/>
    </row>
    <row r="395" spans="5:45" x14ac:dyDescent="0.25">
      <c r="E395" s="9"/>
      <c r="F395" s="9"/>
      <c r="G395" s="9"/>
      <c r="H395" s="9"/>
      <c r="I395" s="9"/>
      <c r="J395" s="9"/>
      <c r="K395" s="29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29"/>
      <c r="AC395" s="29"/>
      <c r="AD395" s="29"/>
      <c r="AE395" s="29"/>
      <c r="AF395" s="29"/>
      <c r="AG395" s="29"/>
      <c r="AH395" s="29"/>
      <c r="AI395" s="9"/>
      <c r="AJ395" s="9"/>
      <c r="AK395" s="9"/>
      <c r="AL395" s="9"/>
      <c r="AM395" s="9"/>
      <c r="AN395" s="9"/>
      <c r="AO395" s="9"/>
      <c r="AP395" s="9"/>
      <c r="AQ395" s="29"/>
      <c r="AR395" s="29"/>
      <c r="AS395" s="29"/>
    </row>
    <row r="396" spans="5:45" x14ac:dyDescent="0.25">
      <c r="E396" s="9"/>
      <c r="F396" s="9"/>
      <c r="G396" s="9"/>
      <c r="H396" s="9"/>
      <c r="I396" s="9"/>
      <c r="J396" s="9"/>
      <c r="K396" s="29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29"/>
      <c r="AC396" s="29"/>
      <c r="AD396" s="29"/>
      <c r="AE396" s="29"/>
      <c r="AF396" s="29"/>
      <c r="AG396" s="29"/>
      <c r="AH396" s="29"/>
      <c r="AI396" s="9"/>
      <c r="AJ396" s="9"/>
      <c r="AK396" s="9"/>
      <c r="AL396" s="9"/>
      <c r="AM396" s="9"/>
      <c r="AN396" s="9"/>
      <c r="AO396" s="9"/>
      <c r="AP396" s="9"/>
      <c r="AQ396" s="29"/>
      <c r="AR396" s="29"/>
      <c r="AS396" s="29"/>
    </row>
    <row r="397" spans="5:45" x14ac:dyDescent="0.25">
      <c r="E397" s="9"/>
      <c r="F397" s="9"/>
      <c r="G397" s="9"/>
      <c r="H397" s="9"/>
      <c r="I397" s="9"/>
      <c r="J397" s="9"/>
      <c r="K397" s="29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29"/>
      <c r="AC397" s="29"/>
      <c r="AD397" s="29"/>
      <c r="AE397" s="29"/>
      <c r="AF397" s="29"/>
      <c r="AG397" s="29"/>
      <c r="AH397" s="29"/>
      <c r="AI397" s="9"/>
      <c r="AJ397" s="9"/>
      <c r="AK397" s="9"/>
      <c r="AL397" s="9"/>
      <c r="AM397" s="9"/>
      <c r="AN397" s="9"/>
      <c r="AO397" s="9"/>
      <c r="AP397" s="9"/>
      <c r="AQ397" s="29"/>
      <c r="AR397" s="29"/>
      <c r="AS397" s="29"/>
    </row>
    <row r="398" spans="5:45" x14ac:dyDescent="0.25">
      <c r="E398" s="9"/>
      <c r="F398" s="9"/>
      <c r="G398" s="9"/>
      <c r="H398" s="9"/>
      <c r="I398" s="9"/>
      <c r="J398" s="9"/>
      <c r="K398" s="29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29"/>
      <c r="AC398" s="29"/>
      <c r="AD398" s="29"/>
      <c r="AE398" s="29"/>
      <c r="AF398" s="29"/>
      <c r="AG398" s="29"/>
      <c r="AH398" s="29"/>
      <c r="AI398" s="9"/>
      <c r="AJ398" s="9"/>
      <c r="AK398" s="9"/>
      <c r="AL398" s="9"/>
      <c r="AM398" s="9"/>
      <c r="AN398" s="9"/>
      <c r="AO398" s="9"/>
      <c r="AP398" s="9"/>
      <c r="AQ398" s="29"/>
      <c r="AR398" s="29"/>
      <c r="AS398" s="29"/>
    </row>
    <row r="399" spans="5:45" x14ac:dyDescent="0.25">
      <c r="E399" s="9"/>
      <c r="F399" s="9"/>
      <c r="G399" s="9"/>
      <c r="H399" s="9"/>
      <c r="I399" s="9"/>
      <c r="J399" s="9"/>
      <c r="K399" s="29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29"/>
      <c r="AC399" s="29"/>
      <c r="AD399" s="29"/>
      <c r="AE399" s="29"/>
      <c r="AF399" s="29"/>
      <c r="AG399" s="29"/>
      <c r="AH399" s="29"/>
      <c r="AI399" s="9"/>
      <c r="AJ399" s="9"/>
      <c r="AK399" s="9"/>
      <c r="AL399" s="9"/>
      <c r="AM399" s="9"/>
      <c r="AN399" s="9"/>
      <c r="AO399" s="9"/>
      <c r="AP399" s="9"/>
      <c r="AQ399" s="29"/>
      <c r="AR399" s="29"/>
      <c r="AS399" s="29"/>
    </row>
    <row r="400" spans="5:45" x14ac:dyDescent="0.25">
      <c r="E400" s="9"/>
      <c r="F400" s="9"/>
      <c r="G400" s="9"/>
      <c r="H400" s="9"/>
      <c r="I400" s="9"/>
      <c r="J400" s="9"/>
      <c r="K400" s="29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29"/>
      <c r="AC400" s="29"/>
      <c r="AD400" s="29"/>
      <c r="AE400" s="29"/>
      <c r="AF400" s="29"/>
      <c r="AG400" s="29"/>
      <c r="AH400" s="29"/>
      <c r="AI400" s="9"/>
      <c r="AJ400" s="9"/>
      <c r="AK400" s="9"/>
      <c r="AL400" s="9"/>
      <c r="AM400" s="9"/>
      <c r="AN400" s="9"/>
      <c r="AO400" s="9"/>
      <c r="AP400" s="9"/>
      <c r="AQ400" s="29"/>
      <c r="AR400" s="29"/>
      <c r="AS400" s="29"/>
    </row>
    <row r="401" spans="5:45" x14ac:dyDescent="0.25">
      <c r="E401" s="9"/>
      <c r="F401" s="9"/>
      <c r="G401" s="9"/>
      <c r="H401" s="9"/>
      <c r="I401" s="9"/>
      <c r="J401" s="9"/>
      <c r="K401" s="29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29"/>
      <c r="AC401" s="29"/>
      <c r="AD401" s="29"/>
      <c r="AE401" s="29"/>
      <c r="AF401" s="29"/>
      <c r="AG401" s="29"/>
      <c r="AH401" s="29"/>
      <c r="AI401" s="9"/>
      <c r="AJ401" s="9"/>
      <c r="AK401" s="9"/>
      <c r="AL401" s="9"/>
      <c r="AM401" s="9"/>
      <c r="AN401" s="9"/>
      <c r="AO401" s="9"/>
      <c r="AP401" s="9"/>
      <c r="AQ401" s="29"/>
      <c r="AR401" s="29"/>
      <c r="AS401" s="29"/>
    </row>
    <row r="402" spans="5:45" x14ac:dyDescent="0.25">
      <c r="E402" s="9"/>
      <c r="F402" s="9"/>
      <c r="G402" s="9"/>
      <c r="H402" s="9"/>
      <c r="I402" s="9"/>
      <c r="J402" s="9"/>
      <c r="K402" s="29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29"/>
      <c r="AC402" s="29"/>
      <c r="AD402" s="29"/>
      <c r="AE402" s="29"/>
      <c r="AF402" s="29"/>
      <c r="AG402" s="29"/>
      <c r="AH402" s="29"/>
      <c r="AI402" s="9"/>
      <c r="AJ402" s="9"/>
      <c r="AK402" s="9"/>
      <c r="AL402" s="9"/>
      <c r="AM402" s="9"/>
      <c r="AN402" s="9"/>
      <c r="AO402" s="9"/>
      <c r="AP402" s="9"/>
      <c r="AQ402" s="29"/>
      <c r="AR402" s="29"/>
      <c r="AS402" s="29"/>
    </row>
    <row r="403" spans="5:45" x14ac:dyDescent="0.25">
      <c r="E403" s="9"/>
      <c r="F403" s="9"/>
      <c r="G403" s="9"/>
      <c r="H403" s="9"/>
      <c r="I403" s="9"/>
      <c r="J403" s="9"/>
      <c r="K403" s="29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29"/>
      <c r="AC403" s="29"/>
      <c r="AD403" s="29"/>
      <c r="AE403" s="29"/>
      <c r="AF403" s="29"/>
      <c r="AG403" s="29"/>
      <c r="AH403" s="29"/>
      <c r="AI403" s="9"/>
      <c r="AJ403" s="9"/>
      <c r="AK403" s="9"/>
      <c r="AL403" s="9"/>
      <c r="AM403" s="9"/>
      <c r="AN403" s="9"/>
      <c r="AO403" s="9"/>
      <c r="AP403" s="9"/>
      <c r="AQ403" s="29"/>
      <c r="AR403" s="29"/>
      <c r="AS403" s="29"/>
    </row>
    <row r="404" spans="5:45" x14ac:dyDescent="0.25">
      <c r="E404" s="9"/>
      <c r="F404" s="9"/>
      <c r="G404" s="9"/>
      <c r="H404" s="9"/>
      <c r="I404" s="9"/>
      <c r="J404" s="9"/>
      <c r="K404" s="29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29"/>
      <c r="AC404" s="29"/>
      <c r="AD404" s="29"/>
      <c r="AE404" s="29"/>
      <c r="AF404" s="29"/>
      <c r="AG404" s="29"/>
      <c r="AH404" s="29"/>
      <c r="AI404" s="9"/>
      <c r="AJ404" s="9"/>
      <c r="AK404" s="9"/>
      <c r="AL404" s="9"/>
      <c r="AM404" s="9"/>
      <c r="AN404" s="9"/>
      <c r="AO404" s="9"/>
      <c r="AP404" s="9"/>
      <c r="AQ404" s="29"/>
      <c r="AR404" s="29"/>
      <c r="AS404" s="29"/>
    </row>
    <row r="405" spans="5:45" x14ac:dyDescent="0.25">
      <c r="E405" s="9"/>
      <c r="F405" s="9"/>
      <c r="G405" s="9"/>
      <c r="H405" s="9"/>
      <c r="I405" s="9"/>
      <c r="J405" s="9"/>
      <c r="K405" s="29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29"/>
      <c r="AC405" s="29"/>
      <c r="AD405" s="29"/>
      <c r="AE405" s="29"/>
      <c r="AF405" s="29"/>
      <c r="AG405" s="29"/>
      <c r="AH405" s="29"/>
      <c r="AI405" s="9"/>
      <c r="AJ405" s="9"/>
      <c r="AK405" s="9"/>
      <c r="AL405" s="9"/>
      <c r="AM405" s="9"/>
      <c r="AN405" s="9"/>
      <c r="AO405" s="9"/>
      <c r="AP405" s="9"/>
      <c r="AQ405" s="29"/>
      <c r="AR405" s="29"/>
      <c r="AS405" s="29"/>
    </row>
    <row r="406" spans="5:45" x14ac:dyDescent="0.25">
      <c r="E406" s="9"/>
      <c r="F406" s="9"/>
      <c r="G406" s="9"/>
      <c r="H406" s="9"/>
      <c r="I406" s="9"/>
      <c r="J406" s="9"/>
      <c r="K406" s="29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29"/>
      <c r="AC406" s="29"/>
      <c r="AD406" s="29"/>
      <c r="AE406" s="29"/>
      <c r="AF406" s="29"/>
      <c r="AG406" s="29"/>
      <c r="AH406" s="29"/>
      <c r="AI406" s="9"/>
      <c r="AJ406" s="9"/>
      <c r="AK406" s="9"/>
      <c r="AL406" s="9"/>
      <c r="AM406" s="9"/>
      <c r="AN406" s="9"/>
      <c r="AO406" s="9"/>
      <c r="AP406" s="9"/>
      <c r="AQ406" s="29"/>
      <c r="AR406" s="29"/>
      <c r="AS406" s="29"/>
    </row>
    <row r="407" spans="5:45" x14ac:dyDescent="0.25">
      <c r="E407" s="9"/>
      <c r="F407" s="9"/>
      <c r="G407" s="9"/>
      <c r="H407" s="9"/>
      <c r="I407" s="9"/>
      <c r="J407" s="9"/>
      <c r="K407" s="29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29"/>
      <c r="AC407" s="29"/>
      <c r="AD407" s="29"/>
      <c r="AE407" s="29"/>
      <c r="AF407" s="29"/>
      <c r="AG407" s="29"/>
      <c r="AH407" s="29"/>
      <c r="AI407" s="9"/>
      <c r="AJ407" s="9"/>
      <c r="AK407" s="9"/>
      <c r="AL407" s="9"/>
      <c r="AM407" s="9"/>
      <c r="AN407" s="9"/>
      <c r="AO407" s="9"/>
      <c r="AP407" s="9"/>
      <c r="AQ407" s="29"/>
      <c r="AR407" s="29"/>
      <c r="AS407" s="29"/>
    </row>
    <row r="408" spans="5:45" x14ac:dyDescent="0.25">
      <c r="E408" s="9"/>
      <c r="F408" s="9"/>
      <c r="G408" s="9"/>
      <c r="H408" s="9"/>
      <c r="I408" s="9"/>
      <c r="J408" s="9"/>
      <c r="K408" s="29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29"/>
      <c r="AC408" s="29"/>
      <c r="AD408" s="29"/>
      <c r="AE408" s="29"/>
      <c r="AF408" s="29"/>
      <c r="AG408" s="29"/>
      <c r="AH408" s="29"/>
      <c r="AI408" s="9"/>
      <c r="AJ408" s="9"/>
      <c r="AK408" s="9"/>
      <c r="AL408" s="9"/>
      <c r="AM408" s="9"/>
      <c r="AN408" s="9"/>
      <c r="AO408" s="9"/>
      <c r="AP408" s="9"/>
      <c r="AQ408" s="29"/>
      <c r="AR408" s="29"/>
      <c r="AS408" s="29"/>
    </row>
    <row r="409" spans="5:45" x14ac:dyDescent="0.25">
      <c r="E409" s="9"/>
      <c r="F409" s="9"/>
      <c r="G409" s="9"/>
      <c r="H409" s="9"/>
      <c r="I409" s="9"/>
      <c r="J409" s="9"/>
      <c r="K409" s="29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29"/>
      <c r="AC409" s="29"/>
      <c r="AD409" s="29"/>
      <c r="AE409" s="29"/>
      <c r="AF409" s="29"/>
      <c r="AG409" s="29"/>
      <c r="AH409" s="29"/>
      <c r="AI409" s="9"/>
      <c r="AJ409" s="9"/>
      <c r="AK409" s="9"/>
      <c r="AL409" s="9"/>
      <c r="AM409" s="9"/>
      <c r="AN409" s="9"/>
      <c r="AO409" s="9"/>
      <c r="AP409" s="9"/>
      <c r="AQ409" s="29"/>
      <c r="AR409" s="29"/>
      <c r="AS409" s="29"/>
    </row>
    <row r="410" spans="5:45" x14ac:dyDescent="0.25">
      <c r="E410" s="9"/>
      <c r="F410" s="9"/>
      <c r="G410" s="9"/>
      <c r="H410" s="9"/>
      <c r="I410" s="9"/>
      <c r="J410" s="9"/>
      <c r="K410" s="29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29"/>
      <c r="AC410" s="29"/>
      <c r="AD410" s="29"/>
      <c r="AE410" s="29"/>
      <c r="AF410" s="29"/>
      <c r="AG410" s="29"/>
      <c r="AH410" s="29"/>
      <c r="AI410" s="9"/>
      <c r="AJ410" s="9"/>
      <c r="AK410" s="9"/>
      <c r="AL410" s="9"/>
      <c r="AM410" s="9"/>
      <c r="AN410" s="9"/>
      <c r="AO410" s="9"/>
      <c r="AP410" s="9"/>
      <c r="AQ410" s="29"/>
      <c r="AR410" s="29"/>
      <c r="AS410" s="29"/>
    </row>
    <row r="411" spans="5:45" x14ac:dyDescent="0.25">
      <c r="E411" s="9"/>
      <c r="F411" s="9"/>
      <c r="G411" s="9"/>
      <c r="H411" s="9"/>
      <c r="I411" s="9"/>
      <c r="J411" s="9"/>
      <c r="K411" s="29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29"/>
      <c r="AC411" s="29"/>
      <c r="AD411" s="29"/>
      <c r="AE411" s="29"/>
      <c r="AF411" s="29"/>
      <c r="AG411" s="29"/>
      <c r="AH411" s="29"/>
      <c r="AI411" s="9"/>
      <c r="AJ411" s="9"/>
      <c r="AK411" s="9"/>
      <c r="AL411" s="9"/>
      <c r="AM411" s="9"/>
      <c r="AN411" s="9"/>
      <c r="AO411" s="9"/>
      <c r="AP411" s="9"/>
      <c r="AQ411" s="29"/>
      <c r="AR411" s="29"/>
      <c r="AS411" s="29"/>
    </row>
    <row r="412" spans="5:45" x14ac:dyDescent="0.25">
      <c r="E412" s="9"/>
      <c r="F412" s="9"/>
      <c r="G412" s="9"/>
      <c r="H412" s="9"/>
      <c r="I412" s="9"/>
      <c r="J412" s="9"/>
      <c r="K412" s="29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29"/>
      <c r="AC412" s="29"/>
      <c r="AD412" s="29"/>
      <c r="AE412" s="29"/>
      <c r="AF412" s="29"/>
      <c r="AG412" s="29"/>
      <c r="AH412" s="29"/>
      <c r="AI412" s="9"/>
      <c r="AJ412" s="9"/>
      <c r="AK412" s="9"/>
      <c r="AL412" s="9"/>
      <c r="AM412" s="9"/>
      <c r="AN412" s="9"/>
      <c r="AO412" s="9"/>
      <c r="AP412" s="9"/>
      <c r="AQ412" s="29"/>
      <c r="AR412" s="29"/>
      <c r="AS412" s="29"/>
    </row>
    <row r="413" spans="5:45" x14ac:dyDescent="0.25">
      <c r="E413" s="9"/>
      <c r="F413" s="9"/>
      <c r="G413" s="9"/>
      <c r="H413" s="9"/>
      <c r="I413" s="9"/>
      <c r="J413" s="9"/>
      <c r="K413" s="29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29"/>
      <c r="AC413" s="29"/>
      <c r="AD413" s="29"/>
      <c r="AE413" s="29"/>
      <c r="AF413" s="29"/>
      <c r="AG413" s="29"/>
      <c r="AH413" s="29"/>
      <c r="AI413" s="9"/>
      <c r="AJ413" s="9"/>
      <c r="AK413" s="9"/>
      <c r="AL413" s="9"/>
      <c r="AM413" s="9"/>
      <c r="AN413" s="9"/>
      <c r="AO413" s="9"/>
      <c r="AP413" s="9"/>
      <c r="AQ413" s="29"/>
      <c r="AR413" s="29"/>
      <c r="AS413" s="29"/>
    </row>
    <row r="414" spans="5:45" x14ac:dyDescent="0.25">
      <c r="E414" s="9"/>
      <c r="F414" s="9"/>
      <c r="G414" s="9"/>
      <c r="H414" s="9"/>
      <c r="I414" s="9"/>
      <c r="J414" s="9"/>
      <c r="K414" s="29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29"/>
      <c r="AC414" s="29"/>
      <c r="AD414" s="29"/>
      <c r="AE414" s="29"/>
      <c r="AF414" s="29"/>
      <c r="AG414" s="29"/>
      <c r="AH414" s="29"/>
      <c r="AI414" s="9"/>
      <c r="AJ414" s="9"/>
      <c r="AK414" s="9"/>
      <c r="AL414" s="9"/>
      <c r="AM414" s="9"/>
      <c r="AN414" s="9"/>
      <c r="AO414" s="9"/>
      <c r="AP414" s="9"/>
      <c r="AQ414" s="29"/>
      <c r="AR414" s="29"/>
      <c r="AS414" s="29"/>
    </row>
    <row r="415" spans="5:45" x14ac:dyDescent="0.25">
      <c r="E415" s="9"/>
      <c r="F415" s="9"/>
      <c r="G415" s="9"/>
      <c r="H415" s="9"/>
      <c r="I415" s="9"/>
      <c r="J415" s="9"/>
      <c r="K415" s="29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29"/>
      <c r="AC415" s="29"/>
      <c r="AD415" s="29"/>
      <c r="AE415" s="29"/>
      <c r="AF415" s="29"/>
      <c r="AG415" s="29"/>
      <c r="AH415" s="29"/>
      <c r="AI415" s="9"/>
      <c r="AJ415" s="9"/>
      <c r="AK415" s="9"/>
      <c r="AL415" s="9"/>
      <c r="AM415" s="9"/>
      <c r="AN415" s="9"/>
      <c r="AO415" s="9"/>
      <c r="AP415" s="9"/>
      <c r="AQ415" s="29"/>
      <c r="AR415" s="29"/>
      <c r="AS415" s="29"/>
    </row>
    <row r="416" spans="5:45" x14ac:dyDescent="0.25">
      <c r="E416" s="9"/>
      <c r="F416" s="9"/>
      <c r="G416" s="9"/>
      <c r="H416" s="9"/>
      <c r="I416" s="9"/>
      <c r="J416" s="9"/>
      <c r="K416" s="29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29"/>
      <c r="AC416" s="29"/>
      <c r="AD416" s="29"/>
      <c r="AE416" s="29"/>
      <c r="AF416" s="29"/>
      <c r="AG416" s="29"/>
      <c r="AH416" s="29"/>
      <c r="AI416" s="9"/>
      <c r="AJ416" s="9"/>
      <c r="AK416" s="9"/>
      <c r="AL416" s="9"/>
      <c r="AM416" s="9"/>
      <c r="AN416" s="9"/>
      <c r="AO416" s="9"/>
      <c r="AP416" s="9"/>
      <c r="AQ416" s="29"/>
      <c r="AR416" s="29"/>
      <c r="AS416" s="29"/>
    </row>
    <row r="417" spans="5:45" x14ac:dyDescent="0.25">
      <c r="E417" s="9"/>
      <c r="F417" s="9"/>
      <c r="G417" s="9"/>
      <c r="H417" s="9"/>
      <c r="I417" s="9"/>
      <c r="J417" s="9"/>
      <c r="K417" s="29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29"/>
      <c r="AC417" s="29"/>
      <c r="AD417" s="29"/>
      <c r="AE417" s="29"/>
      <c r="AF417" s="29"/>
      <c r="AG417" s="29"/>
      <c r="AH417" s="29"/>
      <c r="AI417" s="9"/>
      <c r="AJ417" s="9"/>
      <c r="AK417" s="9"/>
      <c r="AL417" s="9"/>
      <c r="AM417" s="9"/>
      <c r="AN417" s="9"/>
      <c r="AO417" s="9"/>
      <c r="AP417" s="9"/>
      <c r="AQ417" s="29"/>
      <c r="AR417" s="29"/>
      <c r="AS417" s="29"/>
    </row>
    <row r="418" spans="5:45" x14ac:dyDescent="0.25">
      <c r="E418" s="9"/>
      <c r="F418" s="9"/>
      <c r="G418" s="9"/>
      <c r="H418" s="9"/>
      <c r="I418" s="9"/>
      <c r="J418" s="9"/>
      <c r="K418" s="29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29"/>
      <c r="AC418" s="29"/>
      <c r="AD418" s="29"/>
      <c r="AE418" s="29"/>
      <c r="AF418" s="29"/>
      <c r="AG418" s="29"/>
      <c r="AH418" s="29"/>
      <c r="AI418" s="9"/>
      <c r="AJ418" s="9"/>
      <c r="AK418" s="9"/>
      <c r="AL418" s="9"/>
      <c r="AM418" s="9"/>
      <c r="AN418" s="9"/>
      <c r="AO418" s="9"/>
      <c r="AP418" s="9"/>
      <c r="AQ418" s="29"/>
      <c r="AR418" s="29"/>
      <c r="AS418" s="29"/>
    </row>
    <row r="419" spans="5:45" x14ac:dyDescent="0.25">
      <c r="E419" s="9"/>
      <c r="F419" s="9"/>
      <c r="G419" s="9"/>
      <c r="H419" s="9"/>
      <c r="I419" s="9"/>
      <c r="J419" s="9"/>
      <c r="K419" s="29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29"/>
      <c r="AC419" s="29"/>
      <c r="AD419" s="29"/>
      <c r="AE419" s="29"/>
      <c r="AF419" s="29"/>
      <c r="AG419" s="29"/>
      <c r="AH419" s="29"/>
      <c r="AI419" s="9"/>
      <c r="AJ419" s="9"/>
      <c r="AK419" s="9"/>
      <c r="AL419" s="9"/>
      <c r="AM419" s="9"/>
      <c r="AN419" s="9"/>
      <c r="AO419" s="9"/>
      <c r="AP419" s="9"/>
      <c r="AQ419" s="29"/>
      <c r="AR419" s="29"/>
      <c r="AS419" s="29"/>
    </row>
    <row r="420" spans="5:45" x14ac:dyDescent="0.25">
      <c r="E420" s="9"/>
      <c r="F420" s="9"/>
      <c r="G420" s="9"/>
      <c r="H420" s="9"/>
      <c r="I420" s="9"/>
      <c r="J420" s="9"/>
      <c r="K420" s="29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29"/>
      <c r="AC420" s="29"/>
      <c r="AD420" s="29"/>
      <c r="AE420" s="29"/>
      <c r="AF420" s="29"/>
      <c r="AG420" s="29"/>
      <c r="AH420" s="29"/>
      <c r="AI420" s="9"/>
      <c r="AJ420" s="9"/>
      <c r="AK420" s="9"/>
      <c r="AL420" s="9"/>
      <c r="AM420" s="9"/>
      <c r="AN420" s="9"/>
      <c r="AO420" s="9"/>
      <c r="AP420" s="9"/>
      <c r="AQ420" s="29"/>
      <c r="AR420" s="29"/>
      <c r="AS420" s="29"/>
    </row>
    <row r="421" spans="5:45" x14ac:dyDescent="0.25">
      <c r="E421" s="9"/>
      <c r="F421" s="9"/>
      <c r="G421" s="9"/>
      <c r="H421" s="9"/>
      <c r="I421" s="9"/>
      <c r="J421" s="9"/>
      <c r="K421" s="29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29"/>
      <c r="AC421" s="29"/>
      <c r="AD421" s="29"/>
      <c r="AE421" s="29"/>
      <c r="AF421" s="29"/>
      <c r="AG421" s="29"/>
      <c r="AH421" s="29"/>
      <c r="AI421" s="9"/>
      <c r="AJ421" s="9"/>
      <c r="AK421" s="9"/>
      <c r="AL421" s="9"/>
      <c r="AM421" s="9"/>
      <c r="AN421" s="9"/>
      <c r="AO421" s="9"/>
      <c r="AP421" s="9"/>
      <c r="AQ421" s="29"/>
      <c r="AR421" s="29"/>
      <c r="AS421" s="29"/>
    </row>
    <row r="422" spans="5:45" x14ac:dyDescent="0.25">
      <c r="E422" s="9"/>
      <c r="F422" s="9"/>
      <c r="G422" s="9"/>
      <c r="H422" s="9"/>
      <c r="I422" s="9"/>
      <c r="J422" s="9"/>
      <c r="K422" s="29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29"/>
      <c r="AC422" s="29"/>
      <c r="AD422" s="29"/>
      <c r="AE422" s="29"/>
      <c r="AF422" s="29"/>
      <c r="AG422" s="29"/>
      <c r="AH422" s="29"/>
      <c r="AI422" s="9"/>
      <c r="AJ422" s="9"/>
      <c r="AK422" s="9"/>
      <c r="AL422" s="9"/>
      <c r="AM422" s="9"/>
      <c r="AN422" s="9"/>
      <c r="AO422" s="9"/>
      <c r="AP422" s="9"/>
      <c r="AQ422" s="29"/>
      <c r="AR422" s="29"/>
      <c r="AS422" s="29"/>
    </row>
    <row r="423" spans="5:45" x14ac:dyDescent="0.25">
      <c r="E423" s="9"/>
      <c r="F423" s="9"/>
      <c r="G423" s="9"/>
      <c r="H423" s="9"/>
      <c r="I423" s="9"/>
      <c r="J423" s="9"/>
      <c r="K423" s="29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29"/>
      <c r="AC423" s="29"/>
      <c r="AD423" s="29"/>
      <c r="AE423" s="29"/>
      <c r="AF423" s="29"/>
      <c r="AG423" s="29"/>
      <c r="AH423" s="29"/>
      <c r="AI423" s="9"/>
      <c r="AJ423" s="9"/>
      <c r="AK423" s="9"/>
      <c r="AL423" s="9"/>
      <c r="AM423" s="9"/>
      <c r="AN423" s="9"/>
      <c r="AO423" s="9"/>
      <c r="AP423" s="9"/>
      <c r="AQ423" s="29"/>
      <c r="AR423" s="29"/>
      <c r="AS423" s="29"/>
    </row>
    <row r="424" spans="5:45" x14ac:dyDescent="0.25">
      <c r="E424" s="9"/>
      <c r="F424" s="9"/>
      <c r="G424" s="9"/>
      <c r="H424" s="9"/>
      <c r="I424" s="9"/>
      <c r="J424" s="9"/>
      <c r="K424" s="29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29"/>
      <c r="AC424" s="29"/>
      <c r="AD424" s="29"/>
      <c r="AE424" s="29"/>
      <c r="AF424" s="29"/>
      <c r="AG424" s="29"/>
      <c r="AH424" s="29"/>
      <c r="AI424" s="9"/>
      <c r="AJ424" s="9"/>
      <c r="AK424" s="9"/>
      <c r="AL424" s="9"/>
      <c r="AM424" s="9"/>
      <c r="AN424" s="9"/>
      <c r="AO424" s="9"/>
      <c r="AP424" s="9"/>
      <c r="AQ424" s="29"/>
      <c r="AR424" s="29"/>
      <c r="AS424" s="29"/>
    </row>
    <row r="425" spans="5:45" x14ac:dyDescent="0.25">
      <c r="E425" s="9"/>
      <c r="F425" s="9"/>
      <c r="G425" s="9"/>
      <c r="H425" s="9"/>
      <c r="I425" s="9"/>
      <c r="J425" s="9"/>
      <c r="K425" s="29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29"/>
      <c r="AC425" s="29"/>
      <c r="AD425" s="29"/>
      <c r="AE425" s="29"/>
      <c r="AF425" s="29"/>
      <c r="AG425" s="29"/>
      <c r="AH425" s="29"/>
      <c r="AI425" s="9"/>
      <c r="AJ425" s="9"/>
      <c r="AK425" s="9"/>
      <c r="AL425" s="9"/>
      <c r="AM425" s="9"/>
      <c r="AN425" s="9"/>
      <c r="AO425" s="9"/>
      <c r="AP425" s="9"/>
      <c r="AQ425" s="29"/>
      <c r="AR425" s="29"/>
      <c r="AS425" s="29"/>
    </row>
    <row r="426" spans="5:45" x14ac:dyDescent="0.25">
      <c r="E426" s="9"/>
      <c r="F426" s="9"/>
      <c r="G426" s="9"/>
      <c r="H426" s="9"/>
      <c r="I426" s="9"/>
      <c r="J426" s="9"/>
      <c r="K426" s="29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29"/>
      <c r="AC426" s="29"/>
      <c r="AD426" s="29"/>
      <c r="AE426" s="29"/>
      <c r="AF426" s="29"/>
      <c r="AG426" s="29"/>
      <c r="AH426" s="29"/>
      <c r="AI426" s="9"/>
      <c r="AJ426" s="9"/>
      <c r="AK426" s="9"/>
      <c r="AL426" s="9"/>
      <c r="AM426" s="9"/>
      <c r="AN426" s="9"/>
      <c r="AO426" s="9"/>
      <c r="AP426" s="9"/>
      <c r="AQ426" s="29"/>
      <c r="AR426" s="29"/>
      <c r="AS426" s="29"/>
    </row>
    <row r="427" spans="5:45" x14ac:dyDescent="0.25">
      <c r="E427" s="9"/>
      <c r="F427" s="9"/>
      <c r="G427" s="9"/>
      <c r="H427" s="9"/>
      <c r="I427" s="9"/>
      <c r="J427" s="9"/>
      <c r="K427" s="29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29"/>
      <c r="AC427" s="29"/>
      <c r="AD427" s="29"/>
      <c r="AE427" s="29"/>
      <c r="AF427" s="29"/>
      <c r="AG427" s="29"/>
      <c r="AH427" s="29"/>
      <c r="AI427" s="9"/>
      <c r="AJ427" s="9"/>
      <c r="AK427" s="9"/>
      <c r="AL427" s="9"/>
      <c r="AM427" s="9"/>
      <c r="AN427" s="9"/>
      <c r="AO427" s="9"/>
      <c r="AP427" s="9"/>
      <c r="AQ427" s="29"/>
      <c r="AR427" s="29"/>
      <c r="AS427" s="29"/>
    </row>
    <row r="428" spans="5:45" x14ac:dyDescent="0.25">
      <c r="E428" s="9"/>
      <c r="F428" s="9"/>
      <c r="G428" s="9"/>
      <c r="H428" s="9"/>
      <c r="I428" s="9"/>
      <c r="J428" s="9"/>
      <c r="K428" s="29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29"/>
      <c r="AC428" s="29"/>
      <c r="AD428" s="29"/>
      <c r="AE428" s="29"/>
      <c r="AF428" s="29"/>
      <c r="AG428" s="29"/>
      <c r="AH428" s="29"/>
      <c r="AI428" s="9"/>
      <c r="AJ428" s="9"/>
      <c r="AK428" s="9"/>
      <c r="AL428" s="9"/>
      <c r="AM428" s="9"/>
      <c r="AN428" s="9"/>
      <c r="AO428" s="9"/>
      <c r="AP428" s="9"/>
      <c r="AQ428" s="29"/>
      <c r="AR428" s="29"/>
      <c r="AS428" s="29"/>
    </row>
    <row r="429" spans="5:45" x14ac:dyDescent="0.25">
      <c r="E429" s="9"/>
      <c r="F429" s="9"/>
      <c r="G429" s="9"/>
      <c r="H429" s="9"/>
      <c r="I429" s="9"/>
      <c r="J429" s="9"/>
      <c r="K429" s="29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29"/>
      <c r="AC429" s="29"/>
      <c r="AD429" s="29"/>
      <c r="AE429" s="29"/>
      <c r="AF429" s="29"/>
      <c r="AG429" s="29"/>
      <c r="AH429" s="29"/>
      <c r="AI429" s="9"/>
      <c r="AJ429" s="9"/>
      <c r="AK429" s="9"/>
      <c r="AL429" s="9"/>
      <c r="AM429" s="9"/>
      <c r="AN429" s="9"/>
      <c r="AO429" s="9"/>
      <c r="AP429" s="9"/>
      <c r="AQ429" s="29"/>
      <c r="AR429" s="29"/>
      <c r="AS429" s="29"/>
    </row>
    <row r="430" spans="5:45" x14ac:dyDescent="0.25">
      <c r="E430" s="9"/>
      <c r="F430" s="9"/>
      <c r="G430" s="9"/>
      <c r="H430" s="9"/>
      <c r="I430" s="9"/>
      <c r="J430" s="9"/>
      <c r="K430" s="29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29"/>
      <c r="AC430" s="29"/>
      <c r="AD430" s="29"/>
      <c r="AE430" s="29"/>
      <c r="AF430" s="29"/>
      <c r="AG430" s="29"/>
      <c r="AH430" s="29"/>
      <c r="AI430" s="9"/>
      <c r="AJ430" s="9"/>
      <c r="AK430" s="9"/>
      <c r="AL430" s="9"/>
      <c r="AM430" s="9"/>
      <c r="AN430" s="9"/>
      <c r="AO430" s="9"/>
      <c r="AP430" s="9"/>
      <c r="AQ430" s="29"/>
      <c r="AR430" s="29"/>
      <c r="AS430" s="29"/>
    </row>
    <row r="431" spans="5:45" x14ac:dyDescent="0.25">
      <c r="E431" s="9"/>
      <c r="F431" s="9"/>
      <c r="G431" s="9"/>
      <c r="H431" s="9"/>
      <c r="I431" s="9"/>
      <c r="J431" s="9"/>
      <c r="K431" s="29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29"/>
      <c r="AC431" s="29"/>
      <c r="AD431" s="29"/>
      <c r="AE431" s="29"/>
      <c r="AF431" s="29"/>
      <c r="AG431" s="29"/>
      <c r="AH431" s="29"/>
      <c r="AI431" s="9"/>
      <c r="AJ431" s="9"/>
      <c r="AK431" s="9"/>
      <c r="AL431" s="9"/>
      <c r="AM431" s="9"/>
      <c r="AN431" s="9"/>
      <c r="AO431" s="9"/>
      <c r="AP431" s="9"/>
      <c r="AQ431" s="29"/>
      <c r="AR431" s="29"/>
      <c r="AS431" s="29"/>
    </row>
    <row r="432" spans="5:45" x14ac:dyDescent="0.25">
      <c r="E432" s="9"/>
      <c r="F432" s="9"/>
      <c r="G432" s="9"/>
      <c r="H432" s="9"/>
      <c r="I432" s="9"/>
      <c r="J432" s="9"/>
      <c r="K432" s="29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29"/>
      <c r="AC432" s="29"/>
      <c r="AD432" s="29"/>
      <c r="AE432" s="29"/>
      <c r="AF432" s="29"/>
      <c r="AG432" s="29"/>
      <c r="AH432" s="29"/>
      <c r="AI432" s="9"/>
      <c r="AJ432" s="9"/>
      <c r="AK432" s="9"/>
      <c r="AL432" s="9"/>
      <c r="AM432" s="9"/>
      <c r="AN432" s="9"/>
      <c r="AO432" s="9"/>
      <c r="AP432" s="9"/>
      <c r="AQ432" s="29"/>
      <c r="AR432" s="29"/>
      <c r="AS432" s="29"/>
    </row>
    <row r="433" spans="5:45" x14ac:dyDescent="0.25">
      <c r="E433" s="9"/>
      <c r="F433" s="9"/>
      <c r="G433" s="9"/>
      <c r="H433" s="9"/>
      <c r="I433" s="9"/>
      <c r="J433" s="9"/>
      <c r="K433" s="29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29"/>
      <c r="AC433" s="29"/>
      <c r="AD433" s="29"/>
      <c r="AE433" s="29"/>
      <c r="AF433" s="29"/>
      <c r="AG433" s="29"/>
      <c r="AH433" s="29"/>
      <c r="AI433" s="9"/>
      <c r="AJ433" s="9"/>
      <c r="AK433" s="9"/>
      <c r="AL433" s="9"/>
      <c r="AM433" s="9"/>
      <c r="AN433" s="9"/>
      <c r="AO433" s="9"/>
      <c r="AP433" s="9"/>
      <c r="AQ433" s="29"/>
      <c r="AR433" s="29"/>
      <c r="AS433" s="29"/>
    </row>
    <row r="434" spans="5:45" x14ac:dyDescent="0.25">
      <c r="E434" s="9"/>
      <c r="F434" s="9"/>
      <c r="G434" s="9"/>
      <c r="H434" s="9"/>
      <c r="I434" s="9"/>
      <c r="J434" s="9"/>
      <c r="K434" s="29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29"/>
      <c r="AC434" s="29"/>
      <c r="AD434" s="29"/>
      <c r="AE434" s="29"/>
      <c r="AF434" s="29"/>
      <c r="AG434" s="29"/>
      <c r="AH434" s="29"/>
      <c r="AI434" s="9"/>
      <c r="AJ434" s="9"/>
      <c r="AK434" s="9"/>
      <c r="AL434" s="9"/>
      <c r="AM434" s="9"/>
      <c r="AN434" s="9"/>
      <c r="AO434" s="9"/>
      <c r="AP434" s="9"/>
      <c r="AQ434" s="29"/>
      <c r="AR434" s="29"/>
      <c r="AS434" s="29"/>
    </row>
    <row r="435" spans="5:45" x14ac:dyDescent="0.25">
      <c r="E435" s="9"/>
      <c r="F435" s="9"/>
      <c r="G435" s="9"/>
      <c r="H435" s="9"/>
      <c r="I435" s="9"/>
      <c r="J435" s="9"/>
      <c r="K435" s="29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29"/>
      <c r="AC435" s="29"/>
      <c r="AD435" s="29"/>
      <c r="AE435" s="29"/>
      <c r="AF435" s="29"/>
      <c r="AG435" s="29"/>
      <c r="AH435" s="29"/>
      <c r="AI435" s="9"/>
      <c r="AJ435" s="9"/>
      <c r="AK435" s="9"/>
      <c r="AL435" s="9"/>
      <c r="AM435" s="9"/>
      <c r="AN435" s="9"/>
      <c r="AO435" s="9"/>
      <c r="AP435" s="9"/>
      <c r="AQ435" s="29"/>
      <c r="AR435" s="29"/>
      <c r="AS435" s="29"/>
    </row>
    <row r="436" spans="5:45" x14ac:dyDescent="0.25">
      <c r="E436" s="9"/>
      <c r="F436" s="9"/>
      <c r="G436" s="9"/>
      <c r="H436" s="9"/>
      <c r="I436" s="9"/>
      <c r="J436" s="9"/>
      <c r="K436" s="29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29"/>
      <c r="AC436" s="29"/>
      <c r="AD436" s="29"/>
      <c r="AE436" s="29"/>
      <c r="AF436" s="29"/>
      <c r="AG436" s="29"/>
      <c r="AH436" s="29"/>
      <c r="AI436" s="9"/>
      <c r="AJ436" s="9"/>
      <c r="AK436" s="9"/>
      <c r="AL436" s="9"/>
      <c r="AM436" s="9"/>
      <c r="AN436" s="9"/>
      <c r="AO436" s="9"/>
      <c r="AP436" s="9"/>
      <c r="AQ436" s="29"/>
      <c r="AR436" s="29"/>
      <c r="AS436" s="29"/>
    </row>
    <row r="437" spans="5:45" x14ac:dyDescent="0.25">
      <c r="E437" s="9"/>
      <c r="F437" s="9"/>
      <c r="G437" s="9"/>
      <c r="H437" s="9"/>
      <c r="I437" s="9"/>
      <c r="J437" s="9"/>
      <c r="K437" s="29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29"/>
      <c r="AC437" s="29"/>
      <c r="AD437" s="29"/>
      <c r="AE437" s="29"/>
      <c r="AF437" s="29"/>
      <c r="AG437" s="29"/>
      <c r="AH437" s="29"/>
      <c r="AI437" s="9"/>
      <c r="AJ437" s="9"/>
      <c r="AK437" s="9"/>
      <c r="AL437" s="9"/>
      <c r="AM437" s="9"/>
      <c r="AN437" s="9"/>
      <c r="AO437" s="9"/>
      <c r="AP437" s="9"/>
      <c r="AQ437" s="29"/>
      <c r="AR437" s="29"/>
      <c r="AS437" s="29"/>
    </row>
    <row r="438" spans="5:45" x14ac:dyDescent="0.25">
      <c r="E438" s="9"/>
      <c r="F438" s="9"/>
      <c r="G438" s="9"/>
      <c r="H438" s="9"/>
      <c r="I438" s="9"/>
      <c r="J438" s="9"/>
      <c r="K438" s="29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29"/>
      <c r="AC438" s="29"/>
      <c r="AD438" s="29"/>
      <c r="AE438" s="29"/>
      <c r="AF438" s="29"/>
      <c r="AG438" s="29"/>
      <c r="AH438" s="29"/>
      <c r="AI438" s="9"/>
      <c r="AJ438" s="9"/>
      <c r="AK438" s="9"/>
      <c r="AL438" s="9"/>
      <c r="AM438" s="9"/>
      <c r="AN438" s="9"/>
      <c r="AO438" s="9"/>
      <c r="AP438" s="9"/>
      <c r="AQ438" s="29"/>
      <c r="AR438" s="29"/>
      <c r="AS438" s="29"/>
    </row>
    <row r="439" spans="5:45" x14ac:dyDescent="0.25">
      <c r="E439" s="9"/>
      <c r="F439" s="9"/>
      <c r="G439" s="9"/>
      <c r="H439" s="9"/>
      <c r="I439" s="9"/>
      <c r="J439" s="9"/>
      <c r="K439" s="29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29"/>
      <c r="AC439" s="29"/>
      <c r="AD439" s="29"/>
      <c r="AE439" s="29"/>
      <c r="AF439" s="29"/>
      <c r="AG439" s="29"/>
      <c r="AH439" s="29"/>
      <c r="AI439" s="9"/>
      <c r="AJ439" s="9"/>
      <c r="AK439" s="9"/>
      <c r="AL439" s="9"/>
      <c r="AM439" s="9"/>
      <c r="AN439" s="9"/>
      <c r="AO439" s="9"/>
      <c r="AP439" s="9"/>
      <c r="AQ439" s="29"/>
      <c r="AR439" s="29"/>
      <c r="AS439" s="29"/>
    </row>
    <row r="440" spans="5:45" x14ac:dyDescent="0.25">
      <c r="E440" s="9"/>
      <c r="F440" s="9"/>
      <c r="G440" s="9"/>
      <c r="H440" s="9"/>
      <c r="I440" s="9"/>
      <c r="J440" s="9"/>
      <c r="K440" s="29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29"/>
      <c r="AC440" s="29"/>
      <c r="AD440" s="29"/>
      <c r="AE440" s="29"/>
      <c r="AF440" s="29"/>
      <c r="AG440" s="29"/>
      <c r="AH440" s="29"/>
      <c r="AI440" s="9"/>
      <c r="AJ440" s="9"/>
      <c r="AK440" s="9"/>
      <c r="AL440" s="9"/>
      <c r="AM440" s="9"/>
      <c r="AN440" s="9"/>
      <c r="AO440" s="9"/>
      <c r="AP440" s="9"/>
      <c r="AQ440" s="29"/>
      <c r="AR440" s="29"/>
      <c r="AS440" s="29"/>
    </row>
    <row r="441" spans="5:45" x14ac:dyDescent="0.25">
      <c r="E441" s="9"/>
      <c r="F441" s="9"/>
      <c r="G441" s="9"/>
      <c r="H441" s="9"/>
      <c r="I441" s="9"/>
      <c r="J441" s="9"/>
      <c r="K441" s="29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29"/>
      <c r="AC441" s="29"/>
      <c r="AD441" s="29"/>
      <c r="AE441" s="29"/>
      <c r="AF441" s="29"/>
      <c r="AG441" s="29"/>
      <c r="AH441" s="29"/>
      <c r="AI441" s="9"/>
      <c r="AJ441" s="9"/>
      <c r="AK441" s="9"/>
      <c r="AL441" s="9"/>
      <c r="AM441" s="9"/>
      <c r="AN441" s="9"/>
      <c r="AO441" s="9"/>
      <c r="AP441" s="9"/>
      <c r="AQ441" s="29"/>
      <c r="AR441" s="29"/>
      <c r="AS441" s="29"/>
    </row>
    <row r="442" spans="5:45" x14ac:dyDescent="0.25">
      <c r="E442" s="9"/>
      <c r="F442" s="9"/>
      <c r="G442" s="9"/>
      <c r="H442" s="9"/>
      <c r="I442" s="9"/>
      <c r="J442" s="9"/>
      <c r="K442" s="29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29"/>
      <c r="AC442" s="29"/>
      <c r="AD442" s="29"/>
      <c r="AE442" s="29"/>
      <c r="AF442" s="29"/>
      <c r="AG442" s="29"/>
      <c r="AH442" s="29"/>
      <c r="AI442" s="9"/>
      <c r="AJ442" s="9"/>
      <c r="AK442" s="9"/>
      <c r="AL442" s="9"/>
      <c r="AM442" s="9"/>
      <c r="AN442" s="9"/>
      <c r="AO442" s="9"/>
      <c r="AP442" s="9"/>
      <c r="AQ442" s="29"/>
      <c r="AR442" s="29"/>
      <c r="AS442" s="29"/>
    </row>
    <row r="443" spans="5:45" x14ac:dyDescent="0.25">
      <c r="E443" s="9"/>
      <c r="F443" s="9"/>
      <c r="G443" s="9"/>
      <c r="H443" s="9"/>
      <c r="I443" s="9"/>
      <c r="J443" s="9"/>
      <c r="K443" s="29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29"/>
      <c r="AC443" s="29"/>
      <c r="AD443" s="29"/>
      <c r="AE443" s="29"/>
      <c r="AF443" s="29"/>
      <c r="AG443" s="29"/>
      <c r="AH443" s="29"/>
      <c r="AI443" s="9"/>
      <c r="AJ443" s="9"/>
      <c r="AK443" s="9"/>
      <c r="AL443" s="9"/>
      <c r="AM443" s="9"/>
      <c r="AN443" s="9"/>
      <c r="AO443" s="9"/>
      <c r="AP443" s="9"/>
      <c r="AQ443" s="29"/>
      <c r="AR443" s="29"/>
      <c r="AS443" s="29"/>
    </row>
    <row r="444" spans="5:45" x14ac:dyDescent="0.25">
      <c r="E444" s="9"/>
      <c r="F444" s="9"/>
      <c r="G444" s="9"/>
      <c r="H444" s="9"/>
      <c r="I444" s="9"/>
      <c r="J444" s="9"/>
      <c r="K444" s="29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29"/>
      <c r="AC444" s="29"/>
      <c r="AD444" s="29"/>
      <c r="AE444" s="29"/>
      <c r="AF444" s="29"/>
      <c r="AG444" s="29"/>
      <c r="AH444" s="29"/>
      <c r="AI444" s="9"/>
      <c r="AJ444" s="9"/>
      <c r="AK444" s="9"/>
      <c r="AL444" s="9"/>
      <c r="AM444" s="9"/>
      <c r="AN444" s="9"/>
      <c r="AO444" s="9"/>
      <c r="AP444" s="9"/>
      <c r="AQ444" s="29"/>
      <c r="AR444" s="29"/>
      <c r="AS444" s="29"/>
    </row>
    <row r="445" spans="5:45" x14ac:dyDescent="0.25">
      <c r="E445" s="9"/>
      <c r="F445" s="9"/>
      <c r="G445" s="9"/>
      <c r="H445" s="9"/>
      <c r="I445" s="9"/>
      <c r="J445" s="9"/>
      <c r="K445" s="29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29"/>
      <c r="AC445" s="29"/>
      <c r="AD445" s="29"/>
      <c r="AE445" s="29"/>
      <c r="AF445" s="29"/>
      <c r="AG445" s="29"/>
      <c r="AH445" s="29"/>
      <c r="AI445" s="9"/>
      <c r="AJ445" s="9"/>
      <c r="AK445" s="9"/>
      <c r="AL445" s="9"/>
      <c r="AM445" s="9"/>
      <c r="AN445" s="9"/>
      <c r="AO445" s="9"/>
      <c r="AP445" s="9"/>
      <c r="AQ445" s="29"/>
      <c r="AR445" s="29"/>
      <c r="AS445" s="29"/>
    </row>
    <row r="446" spans="5:45" x14ac:dyDescent="0.25">
      <c r="E446" s="9"/>
      <c r="F446" s="9"/>
      <c r="G446" s="9"/>
      <c r="H446" s="9"/>
      <c r="I446" s="9"/>
      <c r="J446" s="9"/>
      <c r="K446" s="29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29"/>
      <c r="AC446" s="29"/>
      <c r="AD446" s="29"/>
      <c r="AE446" s="29"/>
      <c r="AF446" s="29"/>
      <c r="AG446" s="29"/>
      <c r="AH446" s="29"/>
      <c r="AI446" s="9"/>
      <c r="AJ446" s="9"/>
      <c r="AK446" s="9"/>
      <c r="AL446" s="9"/>
      <c r="AM446" s="9"/>
      <c r="AN446" s="9"/>
      <c r="AO446" s="9"/>
      <c r="AP446" s="9"/>
      <c r="AQ446" s="29"/>
      <c r="AR446" s="29"/>
      <c r="AS446" s="29"/>
    </row>
    <row r="447" spans="5:45" x14ac:dyDescent="0.25">
      <c r="E447" s="9"/>
      <c r="F447" s="9"/>
      <c r="G447" s="9"/>
      <c r="H447" s="9"/>
      <c r="I447" s="9"/>
      <c r="J447" s="9"/>
      <c r="K447" s="29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29"/>
      <c r="AC447" s="29"/>
      <c r="AD447" s="29"/>
      <c r="AE447" s="29"/>
      <c r="AF447" s="29"/>
      <c r="AG447" s="29"/>
      <c r="AH447" s="29"/>
      <c r="AI447" s="9"/>
      <c r="AJ447" s="9"/>
      <c r="AK447" s="9"/>
      <c r="AL447" s="9"/>
      <c r="AM447" s="9"/>
      <c r="AN447" s="9"/>
      <c r="AO447" s="9"/>
      <c r="AP447" s="9"/>
      <c r="AQ447" s="29"/>
      <c r="AR447" s="29"/>
      <c r="AS447" s="29"/>
    </row>
    <row r="448" spans="5:45" x14ac:dyDescent="0.25">
      <c r="E448" s="9"/>
      <c r="F448" s="9"/>
      <c r="G448" s="9"/>
      <c r="H448" s="9"/>
      <c r="I448" s="9"/>
      <c r="J448" s="9"/>
      <c r="K448" s="29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29"/>
      <c r="AC448" s="29"/>
      <c r="AD448" s="29"/>
      <c r="AE448" s="29"/>
      <c r="AF448" s="29"/>
      <c r="AG448" s="29"/>
      <c r="AH448" s="29"/>
      <c r="AI448" s="9"/>
      <c r="AJ448" s="9"/>
      <c r="AK448" s="9"/>
      <c r="AL448" s="9"/>
      <c r="AM448" s="9"/>
      <c r="AN448" s="9"/>
      <c r="AO448" s="9"/>
      <c r="AP448" s="9"/>
      <c r="AQ448" s="29"/>
      <c r="AR448" s="29"/>
      <c r="AS448" s="29"/>
    </row>
    <row r="449" spans="5:45" x14ac:dyDescent="0.25">
      <c r="E449" s="9"/>
      <c r="F449" s="9"/>
      <c r="G449" s="9"/>
      <c r="H449" s="9"/>
      <c r="I449" s="9"/>
      <c r="J449" s="9"/>
      <c r="K449" s="29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29"/>
      <c r="AC449" s="29"/>
      <c r="AD449" s="29"/>
      <c r="AE449" s="29"/>
      <c r="AF449" s="29"/>
      <c r="AG449" s="29"/>
      <c r="AH449" s="29"/>
      <c r="AI449" s="9"/>
      <c r="AJ449" s="9"/>
      <c r="AK449" s="9"/>
      <c r="AL449" s="9"/>
      <c r="AM449" s="9"/>
      <c r="AN449" s="9"/>
      <c r="AO449" s="9"/>
      <c r="AP449" s="9"/>
      <c r="AQ449" s="29"/>
      <c r="AR449" s="29"/>
      <c r="AS449" s="29"/>
    </row>
    <row r="450" spans="5:45" x14ac:dyDescent="0.25">
      <c r="E450" s="9"/>
      <c r="F450" s="9"/>
      <c r="G450" s="9"/>
      <c r="H450" s="9"/>
      <c r="I450" s="9"/>
      <c r="J450" s="9"/>
      <c r="K450" s="29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29"/>
      <c r="AC450" s="29"/>
      <c r="AD450" s="29"/>
      <c r="AE450" s="29"/>
      <c r="AF450" s="29"/>
      <c r="AG450" s="29"/>
      <c r="AH450" s="29"/>
      <c r="AI450" s="9"/>
      <c r="AJ450" s="9"/>
      <c r="AK450" s="9"/>
      <c r="AL450" s="9"/>
      <c r="AM450" s="9"/>
      <c r="AN450" s="9"/>
      <c r="AO450" s="9"/>
      <c r="AP450" s="9"/>
      <c r="AQ450" s="29"/>
      <c r="AR450" s="29"/>
      <c r="AS450" s="29"/>
    </row>
    <row r="451" spans="5:45" x14ac:dyDescent="0.25">
      <c r="E451" s="9"/>
      <c r="F451" s="9"/>
      <c r="G451" s="9"/>
      <c r="H451" s="9"/>
      <c r="I451" s="9"/>
      <c r="J451" s="9"/>
      <c r="K451" s="29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29"/>
      <c r="AC451" s="29"/>
      <c r="AD451" s="29"/>
      <c r="AE451" s="29"/>
      <c r="AF451" s="29"/>
      <c r="AG451" s="29"/>
      <c r="AH451" s="29"/>
      <c r="AI451" s="9"/>
      <c r="AJ451" s="9"/>
      <c r="AK451" s="9"/>
      <c r="AL451" s="9"/>
      <c r="AM451" s="9"/>
      <c r="AN451" s="9"/>
      <c r="AO451" s="9"/>
      <c r="AP451" s="9"/>
      <c r="AQ451" s="29"/>
      <c r="AR451" s="29"/>
      <c r="AS451" s="29"/>
    </row>
    <row r="452" spans="5:45" x14ac:dyDescent="0.25">
      <c r="E452" s="9"/>
      <c r="F452" s="9"/>
      <c r="G452" s="9"/>
      <c r="H452" s="9"/>
      <c r="I452" s="9"/>
      <c r="J452" s="9"/>
      <c r="K452" s="29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29"/>
      <c r="AC452" s="29"/>
      <c r="AD452" s="29"/>
      <c r="AE452" s="29"/>
      <c r="AF452" s="29"/>
      <c r="AG452" s="29"/>
      <c r="AH452" s="29"/>
      <c r="AI452" s="9"/>
      <c r="AJ452" s="9"/>
      <c r="AK452" s="9"/>
      <c r="AL452" s="9"/>
      <c r="AM452" s="9"/>
      <c r="AN452" s="9"/>
      <c r="AO452" s="9"/>
      <c r="AP452" s="9"/>
      <c r="AQ452" s="29"/>
      <c r="AR452" s="29"/>
      <c r="AS452" s="29"/>
    </row>
    <row r="453" spans="5:45" x14ac:dyDescent="0.25">
      <c r="E453" s="9"/>
      <c r="F453" s="9"/>
      <c r="G453" s="9"/>
      <c r="H453" s="9"/>
      <c r="I453" s="9"/>
      <c r="J453" s="9"/>
      <c r="K453" s="29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29"/>
      <c r="AC453" s="29"/>
      <c r="AD453" s="29"/>
      <c r="AE453" s="29"/>
      <c r="AF453" s="29"/>
      <c r="AG453" s="29"/>
      <c r="AH453" s="29"/>
      <c r="AI453" s="9"/>
      <c r="AJ453" s="9"/>
      <c r="AK453" s="9"/>
      <c r="AL453" s="9"/>
      <c r="AM453" s="9"/>
      <c r="AN453" s="9"/>
      <c r="AO453" s="9"/>
      <c r="AP453" s="9"/>
      <c r="AQ453" s="29"/>
      <c r="AR453" s="29"/>
      <c r="AS453" s="29"/>
    </row>
    <row r="454" spans="5:45" x14ac:dyDescent="0.25">
      <c r="E454" s="9"/>
      <c r="F454" s="9"/>
      <c r="G454" s="9"/>
      <c r="H454" s="9"/>
      <c r="I454" s="9"/>
      <c r="J454" s="9"/>
      <c r="K454" s="29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29"/>
      <c r="AC454" s="29"/>
      <c r="AD454" s="29"/>
      <c r="AE454" s="29"/>
      <c r="AF454" s="29"/>
      <c r="AG454" s="29"/>
      <c r="AH454" s="29"/>
      <c r="AI454" s="9"/>
      <c r="AJ454" s="9"/>
      <c r="AK454" s="9"/>
      <c r="AL454" s="9"/>
      <c r="AM454" s="9"/>
      <c r="AN454" s="9"/>
      <c r="AO454" s="9"/>
      <c r="AP454" s="9"/>
      <c r="AQ454" s="29"/>
      <c r="AR454" s="29"/>
      <c r="AS454" s="29"/>
    </row>
    <row r="455" spans="5:45" x14ac:dyDescent="0.25">
      <c r="E455" s="9"/>
      <c r="F455" s="9"/>
      <c r="G455" s="9"/>
      <c r="H455" s="9"/>
      <c r="I455" s="9"/>
      <c r="J455" s="9"/>
      <c r="K455" s="29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29"/>
      <c r="AC455" s="29"/>
      <c r="AD455" s="29"/>
      <c r="AE455" s="29"/>
      <c r="AF455" s="29"/>
      <c r="AG455" s="29"/>
      <c r="AH455" s="29"/>
      <c r="AI455" s="9"/>
      <c r="AJ455" s="9"/>
      <c r="AK455" s="9"/>
      <c r="AL455" s="9"/>
      <c r="AM455" s="9"/>
      <c r="AN455" s="9"/>
      <c r="AO455" s="9"/>
      <c r="AP455" s="9"/>
      <c r="AQ455" s="29"/>
      <c r="AR455" s="29"/>
      <c r="AS455" s="29"/>
    </row>
    <row r="456" spans="5:45" x14ac:dyDescent="0.25">
      <c r="E456" s="9"/>
      <c r="F456" s="9"/>
      <c r="G456" s="9"/>
      <c r="H456" s="9"/>
      <c r="I456" s="9"/>
      <c r="J456" s="9"/>
      <c r="K456" s="29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29"/>
      <c r="AC456" s="29"/>
      <c r="AD456" s="29"/>
      <c r="AE456" s="29"/>
      <c r="AF456" s="29"/>
      <c r="AG456" s="29"/>
      <c r="AH456" s="29"/>
      <c r="AI456" s="9"/>
      <c r="AJ456" s="9"/>
      <c r="AK456" s="9"/>
      <c r="AL456" s="9"/>
      <c r="AM456" s="9"/>
      <c r="AN456" s="9"/>
      <c r="AO456" s="9"/>
      <c r="AP456" s="9"/>
      <c r="AQ456" s="29"/>
      <c r="AR456" s="29"/>
      <c r="AS456" s="29"/>
    </row>
    <row r="457" spans="5:45" x14ac:dyDescent="0.25">
      <c r="E457" s="9"/>
      <c r="F457" s="9"/>
      <c r="G457" s="9"/>
      <c r="H457" s="9"/>
      <c r="I457" s="9"/>
      <c r="J457" s="9"/>
      <c r="K457" s="29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29"/>
      <c r="AC457" s="29"/>
      <c r="AD457" s="29"/>
      <c r="AE457" s="29"/>
      <c r="AF457" s="29"/>
      <c r="AG457" s="29"/>
      <c r="AH457" s="29"/>
      <c r="AI457" s="9"/>
      <c r="AJ457" s="9"/>
      <c r="AK457" s="9"/>
      <c r="AL457" s="9"/>
      <c r="AM457" s="9"/>
      <c r="AN457" s="9"/>
      <c r="AO457" s="9"/>
      <c r="AP457" s="9"/>
      <c r="AQ457" s="29"/>
      <c r="AR457" s="29"/>
      <c r="AS457" s="29"/>
    </row>
    <row r="458" spans="5:45" x14ac:dyDescent="0.25">
      <c r="E458" s="9"/>
      <c r="F458" s="9"/>
      <c r="G458" s="9"/>
      <c r="H458" s="9"/>
      <c r="I458" s="9"/>
      <c r="J458" s="9"/>
      <c r="K458" s="29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29"/>
      <c r="AC458" s="29"/>
      <c r="AD458" s="29"/>
      <c r="AE458" s="29"/>
      <c r="AF458" s="29"/>
      <c r="AG458" s="29"/>
      <c r="AH458" s="29"/>
      <c r="AI458" s="9"/>
      <c r="AJ458" s="9"/>
      <c r="AK458" s="9"/>
      <c r="AL458" s="9"/>
      <c r="AM458" s="9"/>
      <c r="AN458" s="9"/>
      <c r="AO458" s="9"/>
      <c r="AP458" s="9"/>
      <c r="AQ458" s="29"/>
      <c r="AR458" s="29"/>
      <c r="AS458" s="29"/>
    </row>
    <row r="459" spans="5:45" x14ac:dyDescent="0.25">
      <c r="E459" s="9"/>
      <c r="F459" s="9"/>
      <c r="G459" s="9"/>
      <c r="H459" s="9"/>
      <c r="I459" s="9"/>
      <c r="J459" s="9"/>
      <c r="K459" s="29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29"/>
      <c r="AC459" s="29"/>
      <c r="AD459" s="29"/>
      <c r="AE459" s="29"/>
      <c r="AF459" s="29"/>
      <c r="AG459" s="29"/>
      <c r="AH459" s="29"/>
      <c r="AI459" s="9"/>
      <c r="AJ459" s="9"/>
      <c r="AK459" s="9"/>
      <c r="AL459" s="9"/>
      <c r="AM459" s="9"/>
      <c r="AN459" s="9"/>
      <c r="AO459" s="9"/>
      <c r="AP459" s="9"/>
      <c r="AQ459" s="29"/>
      <c r="AR459" s="29"/>
      <c r="AS459" s="29"/>
    </row>
    <row r="460" spans="5:45" x14ac:dyDescent="0.25">
      <c r="E460" s="9"/>
      <c r="F460" s="9"/>
      <c r="G460" s="9"/>
      <c r="H460" s="9"/>
      <c r="I460" s="9"/>
      <c r="J460" s="9"/>
      <c r="K460" s="29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29"/>
      <c r="AC460" s="29"/>
      <c r="AD460" s="29"/>
      <c r="AE460" s="29"/>
      <c r="AF460" s="29"/>
      <c r="AG460" s="29"/>
      <c r="AH460" s="29"/>
      <c r="AI460" s="9"/>
      <c r="AJ460" s="9"/>
      <c r="AK460" s="9"/>
      <c r="AL460" s="9"/>
      <c r="AM460" s="9"/>
      <c r="AN460" s="9"/>
      <c r="AO460" s="9"/>
      <c r="AP460" s="9"/>
      <c r="AQ460" s="29"/>
      <c r="AR460" s="29"/>
      <c r="AS460" s="29"/>
    </row>
    <row r="461" spans="5:45" x14ac:dyDescent="0.25">
      <c r="E461" s="9"/>
      <c r="F461" s="9"/>
      <c r="G461" s="9"/>
      <c r="H461" s="9"/>
      <c r="I461" s="9"/>
      <c r="J461" s="9"/>
      <c r="K461" s="29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29"/>
      <c r="AC461" s="29"/>
      <c r="AD461" s="29"/>
      <c r="AE461" s="29"/>
      <c r="AF461" s="29"/>
      <c r="AG461" s="29"/>
      <c r="AH461" s="29"/>
      <c r="AI461" s="9"/>
      <c r="AJ461" s="9"/>
      <c r="AK461" s="9"/>
      <c r="AL461" s="9"/>
      <c r="AM461" s="9"/>
      <c r="AN461" s="9"/>
      <c r="AO461" s="9"/>
      <c r="AP461" s="9"/>
      <c r="AQ461" s="29"/>
      <c r="AR461" s="29"/>
      <c r="AS461" s="29"/>
    </row>
    <row r="462" spans="5:45" x14ac:dyDescent="0.25">
      <c r="E462" s="9"/>
      <c r="F462" s="9"/>
      <c r="G462" s="9"/>
      <c r="H462" s="9"/>
      <c r="I462" s="9"/>
      <c r="J462" s="9"/>
      <c r="K462" s="29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29"/>
      <c r="AC462" s="29"/>
      <c r="AD462" s="29"/>
      <c r="AE462" s="29"/>
      <c r="AF462" s="29"/>
      <c r="AG462" s="29"/>
      <c r="AH462" s="29"/>
      <c r="AI462" s="9"/>
      <c r="AJ462" s="9"/>
      <c r="AK462" s="9"/>
      <c r="AL462" s="9"/>
      <c r="AM462" s="9"/>
      <c r="AN462" s="9"/>
      <c r="AO462" s="9"/>
      <c r="AP462" s="9"/>
      <c r="AQ462" s="29"/>
      <c r="AR462" s="29"/>
      <c r="AS462" s="29"/>
    </row>
    <row r="463" spans="5:45" x14ac:dyDescent="0.25">
      <c r="E463" s="9"/>
      <c r="F463" s="9"/>
      <c r="G463" s="9"/>
      <c r="H463" s="9"/>
      <c r="I463" s="9"/>
      <c r="J463" s="9"/>
      <c r="K463" s="29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29"/>
      <c r="AC463" s="29"/>
      <c r="AD463" s="29"/>
      <c r="AE463" s="29"/>
      <c r="AF463" s="29"/>
      <c r="AG463" s="29"/>
      <c r="AH463" s="29"/>
      <c r="AI463" s="9"/>
      <c r="AJ463" s="9"/>
      <c r="AK463" s="9"/>
      <c r="AL463" s="9"/>
      <c r="AM463" s="9"/>
      <c r="AN463" s="9"/>
      <c r="AO463" s="9"/>
      <c r="AP463" s="9"/>
      <c r="AQ463" s="29"/>
      <c r="AR463" s="29"/>
      <c r="AS463" s="29"/>
    </row>
    <row r="464" spans="5:45" x14ac:dyDescent="0.25">
      <c r="E464" s="9"/>
      <c r="F464" s="9"/>
      <c r="G464" s="9"/>
      <c r="H464" s="9"/>
      <c r="I464" s="9"/>
      <c r="J464" s="9"/>
      <c r="K464" s="29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29"/>
      <c r="AC464" s="29"/>
      <c r="AD464" s="29"/>
      <c r="AE464" s="29"/>
      <c r="AF464" s="29"/>
      <c r="AG464" s="29"/>
      <c r="AH464" s="29"/>
      <c r="AI464" s="9"/>
      <c r="AJ464" s="9"/>
      <c r="AK464" s="9"/>
      <c r="AL464" s="9"/>
      <c r="AM464" s="9"/>
      <c r="AN464" s="9"/>
      <c r="AO464" s="9"/>
      <c r="AP464" s="9"/>
      <c r="AQ464" s="29"/>
      <c r="AR464" s="29"/>
      <c r="AS464" s="29"/>
    </row>
    <row r="465" spans="5:45" x14ac:dyDescent="0.25">
      <c r="E465" s="9"/>
      <c r="F465" s="9"/>
      <c r="G465" s="9"/>
      <c r="H465" s="9"/>
      <c r="I465" s="9"/>
      <c r="J465" s="9"/>
      <c r="K465" s="29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29"/>
      <c r="AC465" s="29"/>
      <c r="AD465" s="29"/>
      <c r="AE465" s="29"/>
      <c r="AF465" s="29"/>
      <c r="AG465" s="29"/>
      <c r="AH465" s="29"/>
      <c r="AI465" s="9"/>
      <c r="AJ465" s="9"/>
      <c r="AK465" s="9"/>
      <c r="AL465" s="9"/>
      <c r="AM465" s="9"/>
      <c r="AN465" s="9"/>
      <c r="AO465" s="9"/>
      <c r="AP465" s="9"/>
      <c r="AQ465" s="29"/>
      <c r="AR465" s="29"/>
      <c r="AS465" s="29"/>
    </row>
    <row r="466" spans="5:45" x14ac:dyDescent="0.25">
      <c r="E466" s="9"/>
      <c r="F466" s="9"/>
      <c r="G466" s="9"/>
      <c r="H466" s="9"/>
      <c r="I466" s="9"/>
      <c r="J466" s="9"/>
      <c r="K466" s="29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29"/>
      <c r="AC466" s="29"/>
      <c r="AD466" s="29"/>
      <c r="AE466" s="29"/>
      <c r="AF466" s="29"/>
      <c r="AG466" s="29"/>
      <c r="AH466" s="29"/>
      <c r="AI466" s="9"/>
      <c r="AJ466" s="9"/>
      <c r="AK466" s="9"/>
      <c r="AL466" s="9"/>
      <c r="AM466" s="9"/>
      <c r="AN466" s="9"/>
      <c r="AO466" s="9"/>
      <c r="AP466" s="9"/>
      <c r="AQ466" s="29"/>
      <c r="AR466" s="29"/>
      <c r="AS466" s="29"/>
    </row>
    <row r="467" spans="5:45" x14ac:dyDescent="0.25">
      <c r="E467" s="9"/>
      <c r="F467" s="9"/>
      <c r="G467" s="9"/>
      <c r="H467" s="9"/>
      <c r="I467" s="9"/>
      <c r="J467" s="9"/>
      <c r="K467" s="29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29"/>
      <c r="AC467" s="29"/>
      <c r="AD467" s="29"/>
      <c r="AE467" s="29"/>
      <c r="AF467" s="29"/>
      <c r="AG467" s="29"/>
      <c r="AH467" s="29"/>
      <c r="AI467" s="9"/>
      <c r="AJ467" s="9"/>
      <c r="AK467" s="9"/>
      <c r="AL467" s="9"/>
      <c r="AM467" s="9"/>
      <c r="AN467" s="9"/>
      <c r="AO467" s="9"/>
      <c r="AP467" s="9"/>
      <c r="AQ467" s="29"/>
      <c r="AR467" s="29"/>
      <c r="AS467" s="29"/>
    </row>
    <row r="468" spans="5:45" x14ac:dyDescent="0.25">
      <c r="E468" s="9"/>
      <c r="F468" s="9"/>
      <c r="G468" s="9"/>
      <c r="H468" s="9"/>
      <c r="I468" s="9"/>
      <c r="J468" s="9"/>
      <c r="K468" s="29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29"/>
      <c r="AC468" s="29"/>
      <c r="AD468" s="29"/>
      <c r="AE468" s="29"/>
      <c r="AF468" s="29"/>
      <c r="AG468" s="29"/>
      <c r="AH468" s="29"/>
      <c r="AI468" s="9"/>
      <c r="AJ468" s="9"/>
      <c r="AK468" s="9"/>
      <c r="AL468" s="9"/>
      <c r="AM468" s="9"/>
      <c r="AN468" s="9"/>
      <c r="AO468" s="9"/>
      <c r="AP468" s="9"/>
      <c r="AQ468" s="29"/>
      <c r="AR468" s="29"/>
      <c r="AS468" s="29"/>
    </row>
    <row r="469" spans="5:45" x14ac:dyDescent="0.25">
      <c r="E469" s="9"/>
      <c r="F469" s="9"/>
      <c r="G469" s="9"/>
      <c r="H469" s="9"/>
      <c r="I469" s="9"/>
      <c r="J469" s="9"/>
      <c r="K469" s="29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29"/>
      <c r="AC469" s="29"/>
      <c r="AD469" s="29"/>
      <c r="AE469" s="29"/>
      <c r="AF469" s="29"/>
      <c r="AG469" s="29"/>
      <c r="AH469" s="29"/>
      <c r="AI469" s="9"/>
      <c r="AJ469" s="9"/>
      <c r="AK469" s="9"/>
      <c r="AL469" s="9"/>
      <c r="AM469" s="9"/>
      <c r="AN469" s="9"/>
      <c r="AO469" s="9"/>
      <c r="AP469" s="9"/>
      <c r="AQ469" s="29"/>
      <c r="AR469" s="29"/>
      <c r="AS469" s="29"/>
    </row>
    <row r="470" spans="5:45" x14ac:dyDescent="0.25">
      <c r="E470" s="9"/>
      <c r="F470" s="9"/>
      <c r="G470" s="9"/>
      <c r="H470" s="9"/>
      <c r="I470" s="9"/>
      <c r="J470" s="9"/>
      <c r="K470" s="29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29"/>
      <c r="AC470" s="29"/>
      <c r="AD470" s="29"/>
      <c r="AE470" s="29"/>
      <c r="AF470" s="29"/>
      <c r="AG470" s="29"/>
      <c r="AH470" s="29"/>
      <c r="AI470" s="9"/>
      <c r="AJ470" s="9"/>
      <c r="AK470" s="9"/>
      <c r="AL470" s="9"/>
      <c r="AM470" s="9"/>
      <c r="AN470" s="9"/>
      <c r="AO470" s="9"/>
      <c r="AP470" s="9"/>
      <c r="AQ470" s="29"/>
      <c r="AR470" s="29"/>
      <c r="AS470" s="29"/>
    </row>
    <row r="471" spans="5:45" x14ac:dyDescent="0.25">
      <c r="E471" s="9"/>
      <c r="F471" s="9"/>
      <c r="G471" s="9"/>
      <c r="H471" s="9"/>
      <c r="I471" s="9"/>
      <c r="J471" s="9"/>
      <c r="K471" s="29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29"/>
      <c r="AC471" s="29"/>
      <c r="AD471" s="29"/>
      <c r="AE471" s="29"/>
      <c r="AF471" s="29"/>
      <c r="AG471" s="29"/>
      <c r="AH471" s="29"/>
      <c r="AI471" s="9"/>
      <c r="AJ471" s="9"/>
      <c r="AK471" s="9"/>
      <c r="AL471" s="9"/>
      <c r="AM471" s="9"/>
      <c r="AN471" s="9"/>
      <c r="AO471" s="9"/>
      <c r="AP471" s="9"/>
      <c r="AQ471" s="29"/>
      <c r="AR471" s="29"/>
      <c r="AS471" s="29"/>
    </row>
    <row r="472" spans="5:45" x14ac:dyDescent="0.25">
      <c r="E472" s="9"/>
      <c r="F472" s="9"/>
      <c r="G472" s="9"/>
      <c r="H472" s="9"/>
      <c r="I472" s="9"/>
      <c r="J472" s="9"/>
      <c r="K472" s="29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29"/>
      <c r="AC472" s="29"/>
      <c r="AD472" s="29"/>
      <c r="AE472" s="29"/>
      <c r="AF472" s="29"/>
      <c r="AG472" s="29"/>
      <c r="AH472" s="29"/>
      <c r="AI472" s="9"/>
      <c r="AJ472" s="9"/>
      <c r="AK472" s="9"/>
      <c r="AL472" s="9"/>
      <c r="AM472" s="9"/>
      <c r="AN472" s="9"/>
      <c r="AO472" s="9"/>
      <c r="AP472" s="9"/>
      <c r="AQ472" s="29"/>
      <c r="AR472" s="29"/>
      <c r="AS472" s="29"/>
    </row>
    <row r="473" spans="5:45" x14ac:dyDescent="0.25">
      <c r="E473" s="9"/>
      <c r="F473" s="9"/>
      <c r="G473" s="9"/>
      <c r="H473" s="9"/>
      <c r="I473" s="9"/>
      <c r="J473" s="9"/>
      <c r="K473" s="29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29"/>
      <c r="AC473" s="29"/>
      <c r="AD473" s="29"/>
      <c r="AE473" s="29"/>
      <c r="AF473" s="29"/>
      <c r="AG473" s="29"/>
      <c r="AH473" s="29"/>
      <c r="AI473" s="9"/>
      <c r="AJ473" s="9"/>
      <c r="AK473" s="9"/>
      <c r="AL473" s="9"/>
      <c r="AM473" s="9"/>
      <c r="AN473" s="9"/>
      <c r="AO473" s="9"/>
      <c r="AP473" s="9"/>
      <c r="AQ473" s="29"/>
      <c r="AR473" s="29"/>
      <c r="AS473" s="29"/>
    </row>
    <row r="474" spans="5:45" x14ac:dyDescent="0.25">
      <c r="E474" s="9"/>
      <c r="F474" s="9"/>
      <c r="G474" s="9"/>
      <c r="H474" s="9"/>
      <c r="I474" s="9"/>
      <c r="J474" s="9"/>
      <c r="K474" s="29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29"/>
      <c r="AC474" s="29"/>
      <c r="AD474" s="29"/>
      <c r="AE474" s="29"/>
      <c r="AF474" s="29"/>
      <c r="AG474" s="29"/>
      <c r="AH474" s="29"/>
      <c r="AI474" s="9"/>
      <c r="AJ474" s="9"/>
      <c r="AK474" s="9"/>
      <c r="AL474" s="9"/>
      <c r="AM474" s="9"/>
      <c r="AN474" s="9"/>
      <c r="AO474" s="9"/>
      <c r="AP474" s="9"/>
      <c r="AQ474" s="29"/>
      <c r="AR474" s="29"/>
      <c r="AS474" s="29"/>
    </row>
    <row r="475" spans="5:45" x14ac:dyDescent="0.25">
      <c r="E475" s="9"/>
      <c r="F475" s="9"/>
      <c r="G475" s="9"/>
      <c r="H475" s="9"/>
      <c r="I475" s="9"/>
      <c r="J475" s="9"/>
      <c r="K475" s="29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29"/>
      <c r="AC475" s="29"/>
      <c r="AD475" s="29"/>
      <c r="AE475" s="29"/>
      <c r="AF475" s="29"/>
      <c r="AG475" s="29"/>
      <c r="AH475" s="29"/>
      <c r="AI475" s="9"/>
      <c r="AJ475" s="9"/>
      <c r="AK475" s="9"/>
      <c r="AL475" s="9"/>
      <c r="AM475" s="9"/>
      <c r="AN475" s="9"/>
      <c r="AO475" s="9"/>
      <c r="AP475" s="9"/>
      <c r="AQ475" s="29"/>
      <c r="AR475" s="29"/>
      <c r="AS475" s="29"/>
    </row>
    <row r="476" spans="5:45" x14ac:dyDescent="0.25">
      <c r="E476" s="9"/>
      <c r="F476" s="9"/>
      <c r="G476" s="9"/>
      <c r="H476" s="9"/>
      <c r="I476" s="9"/>
      <c r="J476" s="9"/>
      <c r="K476" s="29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29"/>
      <c r="AC476" s="29"/>
      <c r="AD476" s="29"/>
      <c r="AE476" s="29"/>
      <c r="AF476" s="29"/>
      <c r="AG476" s="29"/>
      <c r="AH476" s="29"/>
      <c r="AI476" s="9"/>
      <c r="AJ476" s="9"/>
      <c r="AK476" s="9"/>
      <c r="AL476" s="9"/>
      <c r="AM476" s="9"/>
      <c r="AN476" s="9"/>
      <c r="AO476" s="9"/>
      <c r="AP476" s="9"/>
      <c r="AQ476" s="29"/>
      <c r="AR476" s="29"/>
      <c r="AS476" s="29"/>
    </row>
    <row r="477" spans="5:45" x14ac:dyDescent="0.25">
      <c r="E477" s="9"/>
      <c r="F477" s="9"/>
      <c r="G477" s="9"/>
      <c r="H477" s="9"/>
      <c r="I477" s="9"/>
      <c r="J477" s="9"/>
      <c r="K477" s="29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29"/>
      <c r="AC477" s="29"/>
      <c r="AD477" s="29"/>
      <c r="AE477" s="29"/>
      <c r="AF477" s="29"/>
      <c r="AG477" s="29"/>
      <c r="AH477" s="29"/>
      <c r="AI477" s="9"/>
      <c r="AJ477" s="9"/>
      <c r="AK477" s="9"/>
      <c r="AL477" s="9"/>
      <c r="AM477" s="9"/>
      <c r="AN477" s="9"/>
      <c r="AO477" s="9"/>
      <c r="AP477" s="9"/>
      <c r="AQ477" s="29"/>
      <c r="AR477" s="29"/>
      <c r="AS477" s="29"/>
    </row>
    <row r="478" spans="5:45" x14ac:dyDescent="0.25">
      <c r="E478" s="9"/>
      <c r="F478" s="9"/>
      <c r="G478" s="9"/>
      <c r="H478" s="9"/>
      <c r="I478" s="9"/>
      <c r="J478" s="9"/>
      <c r="K478" s="29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29"/>
      <c r="AC478" s="29"/>
      <c r="AD478" s="29"/>
      <c r="AE478" s="29"/>
      <c r="AF478" s="29"/>
      <c r="AG478" s="29"/>
      <c r="AH478" s="29"/>
      <c r="AI478" s="9"/>
      <c r="AJ478" s="9"/>
      <c r="AK478" s="9"/>
      <c r="AL478" s="9"/>
      <c r="AM478" s="9"/>
      <c r="AN478" s="9"/>
      <c r="AO478" s="9"/>
      <c r="AP478" s="9"/>
      <c r="AQ478" s="29"/>
      <c r="AR478" s="29"/>
      <c r="AS478" s="29"/>
    </row>
    <row r="479" spans="5:45" x14ac:dyDescent="0.25">
      <c r="E479" s="9"/>
      <c r="F479" s="9"/>
      <c r="G479" s="9"/>
      <c r="H479" s="9"/>
      <c r="I479" s="9"/>
      <c r="J479" s="9"/>
      <c r="K479" s="29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29"/>
      <c r="AC479" s="29"/>
      <c r="AD479" s="29"/>
      <c r="AE479" s="29"/>
      <c r="AF479" s="29"/>
      <c r="AG479" s="29"/>
      <c r="AH479" s="29"/>
      <c r="AI479" s="9"/>
      <c r="AJ479" s="9"/>
      <c r="AK479" s="9"/>
      <c r="AL479" s="9"/>
      <c r="AM479" s="9"/>
      <c r="AN479" s="9"/>
      <c r="AO479" s="9"/>
      <c r="AP479" s="9"/>
      <c r="AQ479" s="29"/>
      <c r="AR479" s="29"/>
      <c r="AS479" s="29"/>
    </row>
    <row r="480" spans="5:45" x14ac:dyDescent="0.25">
      <c r="E480" s="9"/>
      <c r="F480" s="9"/>
      <c r="G480" s="9"/>
      <c r="H480" s="9"/>
      <c r="I480" s="9"/>
      <c r="J480" s="9"/>
      <c r="K480" s="29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29"/>
      <c r="AC480" s="29"/>
      <c r="AD480" s="29"/>
      <c r="AE480" s="29"/>
      <c r="AF480" s="29"/>
      <c r="AG480" s="29"/>
      <c r="AH480" s="29"/>
      <c r="AI480" s="9"/>
      <c r="AJ480" s="9"/>
      <c r="AK480" s="9"/>
      <c r="AL480" s="9"/>
      <c r="AM480" s="9"/>
      <c r="AN480" s="9"/>
      <c r="AO480" s="9"/>
      <c r="AP480" s="9"/>
      <c r="AQ480" s="29"/>
      <c r="AR480" s="29"/>
      <c r="AS480" s="29"/>
    </row>
    <row r="481" spans="5:45" x14ac:dyDescent="0.25">
      <c r="E481" s="9"/>
      <c r="F481" s="9"/>
      <c r="G481" s="9"/>
      <c r="H481" s="9"/>
      <c r="I481" s="9"/>
      <c r="J481" s="9"/>
      <c r="K481" s="29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29"/>
      <c r="AC481" s="29"/>
      <c r="AD481" s="29"/>
      <c r="AE481" s="29"/>
      <c r="AF481" s="29"/>
      <c r="AG481" s="29"/>
      <c r="AH481" s="29"/>
      <c r="AI481" s="9"/>
      <c r="AJ481" s="9"/>
      <c r="AK481" s="9"/>
      <c r="AL481" s="9"/>
      <c r="AM481" s="9"/>
      <c r="AN481" s="9"/>
      <c r="AO481" s="9"/>
      <c r="AP481" s="9"/>
      <c r="AQ481" s="29"/>
      <c r="AR481" s="29"/>
      <c r="AS481" s="29"/>
    </row>
    <row r="482" spans="5:45" x14ac:dyDescent="0.25">
      <c r="E482" s="9"/>
      <c r="F482" s="9"/>
      <c r="G482" s="9"/>
      <c r="H482" s="9"/>
      <c r="I482" s="9"/>
      <c r="J482" s="9"/>
      <c r="K482" s="29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29"/>
      <c r="AC482" s="29"/>
      <c r="AD482" s="29"/>
      <c r="AE482" s="29"/>
      <c r="AF482" s="29"/>
      <c r="AG482" s="29"/>
      <c r="AH482" s="29"/>
      <c r="AI482" s="9"/>
      <c r="AJ482" s="9"/>
      <c r="AK482" s="9"/>
      <c r="AL482" s="9"/>
      <c r="AM482" s="9"/>
      <c r="AN482" s="9"/>
      <c r="AO482" s="9"/>
      <c r="AP482" s="9"/>
      <c r="AQ482" s="29"/>
      <c r="AR482" s="29"/>
      <c r="AS482" s="29"/>
    </row>
    <row r="483" spans="5:45" x14ac:dyDescent="0.25">
      <c r="E483" s="9"/>
      <c r="F483" s="9"/>
      <c r="G483" s="9"/>
      <c r="H483" s="9"/>
      <c r="I483" s="9"/>
      <c r="J483" s="9"/>
      <c r="K483" s="29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29"/>
      <c r="AC483" s="29"/>
      <c r="AD483" s="29"/>
      <c r="AE483" s="29"/>
      <c r="AF483" s="29"/>
      <c r="AG483" s="29"/>
      <c r="AH483" s="29"/>
      <c r="AI483" s="9"/>
      <c r="AJ483" s="9"/>
      <c r="AK483" s="9"/>
      <c r="AL483" s="9"/>
      <c r="AM483" s="9"/>
      <c r="AN483" s="9"/>
      <c r="AO483" s="9"/>
      <c r="AP483" s="9"/>
      <c r="AQ483" s="29"/>
      <c r="AR483" s="29"/>
      <c r="AS483" s="29"/>
    </row>
    <row r="484" spans="5:45" x14ac:dyDescent="0.25">
      <c r="E484" s="9"/>
      <c r="F484" s="9"/>
      <c r="G484" s="9"/>
      <c r="H484" s="9"/>
      <c r="I484" s="9"/>
      <c r="J484" s="9"/>
      <c r="K484" s="29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29"/>
      <c r="AC484" s="29"/>
      <c r="AD484" s="29"/>
      <c r="AE484" s="29"/>
      <c r="AF484" s="29"/>
      <c r="AG484" s="29"/>
      <c r="AH484" s="29"/>
      <c r="AI484" s="9"/>
      <c r="AJ484" s="9"/>
      <c r="AK484" s="9"/>
      <c r="AL484" s="9"/>
      <c r="AM484" s="9"/>
      <c r="AN484" s="9"/>
      <c r="AO484" s="9"/>
      <c r="AP484" s="9"/>
      <c r="AQ484" s="29"/>
      <c r="AR484" s="29"/>
      <c r="AS484" s="29"/>
    </row>
    <row r="485" spans="5:45" x14ac:dyDescent="0.25">
      <c r="E485" s="9"/>
      <c r="F485" s="9"/>
      <c r="G485" s="9"/>
      <c r="H485" s="9"/>
      <c r="I485" s="9"/>
      <c r="J485" s="9"/>
      <c r="K485" s="29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29"/>
      <c r="AC485" s="29"/>
      <c r="AD485" s="29"/>
      <c r="AE485" s="29"/>
      <c r="AF485" s="29"/>
      <c r="AG485" s="29"/>
      <c r="AH485" s="29"/>
      <c r="AI485" s="9"/>
      <c r="AJ485" s="9"/>
      <c r="AK485" s="9"/>
      <c r="AL485" s="9"/>
      <c r="AM485" s="9"/>
      <c r="AN485" s="9"/>
      <c r="AO485" s="9"/>
      <c r="AP485" s="9"/>
      <c r="AQ485" s="29"/>
      <c r="AR485" s="29"/>
      <c r="AS485" s="29"/>
    </row>
    <row r="486" spans="5:45" x14ac:dyDescent="0.25">
      <c r="E486" s="9"/>
      <c r="F486" s="9"/>
      <c r="G486" s="9"/>
      <c r="H486" s="9"/>
      <c r="I486" s="9"/>
      <c r="J486" s="9"/>
      <c r="K486" s="29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29"/>
      <c r="AC486" s="29"/>
      <c r="AD486" s="29"/>
      <c r="AE486" s="29"/>
      <c r="AF486" s="29"/>
      <c r="AG486" s="29"/>
      <c r="AH486" s="29"/>
      <c r="AI486" s="9"/>
      <c r="AJ486" s="9"/>
      <c r="AK486" s="9"/>
      <c r="AL486" s="9"/>
      <c r="AM486" s="9"/>
      <c r="AN486" s="9"/>
      <c r="AO486" s="9"/>
      <c r="AP486" s="9"/>
      <c r="AQ486" s="29"/>
      <c r="AR486" s="29"/>
      <c r="AS486" s="29"/>
    </row>
    <row r="487" spans="5:45" x14ac:dyDescent="0.25">
      <c r="E487" s="9"/>
      <c r="F487" s="9"/>
      <c r="G487" s="9"/>
      <c r="H487" s="9"/>
      <c r="I487" s="9"/>
      <c r="J487" s="9"/>
      <c r="K487" s="29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29"/>
      <c r="AC487" s="29"/>
      <c r="AD487" s="29"/>
      <c r="AE487" s="29"/>
      <c r="AF487" s="29"/>
      <c r="AG487" s="29"/>
      <c r="AH487" s="29"/>
      <c r="AI487" s="9"/>
      <c r="AJ487" s="9"/>
      <c r="AK487" s="9"/>
      <c r="AL487" s="9"/>
      <c r="AM487" s="9"/>
      <c r="AN487" s="9"/>
      <c r="AO487" s="9"/>
      <c r="AP487" s="9"/>
      <c r="AQ487" s="29"/>
      <c r="AR487" s="29"/>
      <c r="AS487" s="29"/>
    </row>
    <row r="488" spans="5:45" x14ac:dyDescent="0.25">
      <c r="E488" s="9"/>
      <c r="F488" s="9"/>
      <c r="G488" s="9"/>
      <c r="H488" s="9"/>
      <c r="I488" s="9"/>
      <c r="J488" s="9"/>
      <c r="K488" s="29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29"/>
      <c r="AC488" s="29"/>
      <c r="AD488" s="29"/>
      <c r="AE488" s="29"/>
      <c r="AF488" s="29"/>
      <c r="AG488" s="29"/>
      <c r="AH488" s="29"/>
      <c r="AI488" s="9"/>
      <c r="AJ488" s="9"/>
      <c r="AK488" s="9"/>
      <c r="AL488" s="9"/>
      <c r="AM488" s="9"/>
      <c r="AN488" s="9"/>
      <c r="AO488" s="9"/>
      <c r="AP488" s="9"/>
      <c r="AQ488" s="29"/>
      <c r="AR488" s="29"/>
      <c r="AS488" s="29"/>
    </row>
    <row r="489" spans="5:45" x14ac:dyDescent="0.25">
      <c r="E489" s="9"/>
      <c r="F489" s="9"/>
      <c r="G489" s="9"/>
      <c r="H489" s="9"/>
      <c r="I489" s="9"/>
      <c r="J489" s="9"/>
      <c r="K489" s="29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29"/>
      <c r="AC489" s="29"/>
      <c r="AD489" s="29"/>
      <c r="AE489" s="29"/>
      <c r="AF489" s="29"/>
      <c r="AG489" s="29"/>
      <c r="AH489" s="29"/>
      <c r="AI489" s="9"/>
      <c r="AJ489" s="9"/>
      <c r="AK489" s="9"/>
      <c r="AL489" s="9"/>
      <c r="AM489" s="9"/>
      <c r="AN489" s="9"/>
      <c r="AO489" s="9"/>
      <c r="AP489" s="9"/>
      <c r="AQ489" s="29"/>
      <c r="AR489" s="29"/>
      <c r="AS489" s="29"/>
    </row>
    <row r="490" spans="5:45" x14ac:dyDescent="0.25">
      <c r="E490" s="9"/>
      <c r="F490" s="9"/>
      <c r="G490" s="9"/>
      <c r="H490" s="9"/>
      <c r="I490" s="9"/>
      <c r="J490" s="9"/>
      <c r="K490" s="29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29"/>
      <c r="AC490" s="29"/>
      <c r="AD490" s="29"/>
      <c r="AE490" s="29"/>
      <c r="AF490" s="29"/>
      <c r="AG490" s="29"/>
      <c r="AH490" s="29"/>
      <c r="AI490" s="9"/>
      <c r="AJ490" s="9"/>
      <c r="AK490" s="9"/>
      <c r="AL490" s="9"/>
      <c r="AM490" s="9"/>
      <c r="AN490" s="9"/>
      <c r="AO490" s="9"/>
      <c r="AP490" s="9"/>
      <c r="AQ490" s="29"/>
      <c r="AR490" s="29"/>
      <c r="AS490" s="29"/>
    </row>
    <row r="491" spans="5:45" x14ac:dyDescent="0.25">
      <c r="E491" s="9"/>
      <c r="F491" s="9"/>
      <c r="G491" s="9"/>
      <c r="H491" s="9"/>
      <c r="I491" s="9"/>
      <c r="J491" s="9"/>
      <c r="K491" s="29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29"/>
      <c r="AC491" s="29"/>
      <c r="AD491" s="29"/>
      <c r="AE491" s="29"/>
      <c r="AF491" s="29"/>
      <c r="AG491" s="29"/>
      <c r="AH491" s="29"/>
      <c r="AI491" s="9"/>
      <c r="AJ491" s="9"/>
      <c r="AK491" s="9"/>
      <c r="AL491" s="9"/>
      <c r="AM491" s="9"/>
      <c r="AN491" s="9"/>
      <c r="AO491" s="9"/>
      <c r="AP491" s="9"/>
      <c r="AQ491" s="29"/>
      <c r="AR491" s="29"/>
      <c r="AS491" s="29"/>
    </row>
    <row r="492" spans="5:45" x14ac:dyDescent="0.25">
      <c r="E492" s="9"/>
      <c r="F492" s="9"/>
      <c r="G492" s="9"/>
      <c r="H492" s="9"/>
      <c r="I492" s="9"/>
      <c r="J492" s="9"/>
      <c r="K492" s="29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29"/>
      <c r="AC492" s="29"/>
      <c r="AD492" s="29"/>
      <c r="AE492" s="29"/>
      <c r="AF492" s="29"/>
      <c r="AG492" s="29"/>
      <c r="AH492" s="29"/>
      <c r="AI492" s="9"/>
      <c r="AJ492" s="9"/>
      <c r="AK492" s="9"/>
      <c r="AL492" s="9"/>
      <c r="AM492" s="9"/>
      <c r="AN492" s="9"/>
      <c r="AO492" s="9"/>
      <c r="AP492" s="9"/>
      <c r="AQ492" s="29"/>
      <c r="AR492" s="29"/>
      <c r="AS492" s="29"/>
    </row>
    <row r="493" spans="5:45" x14ac:dyDescent="0.25">
      <c r="E493" s="9"/>
      <c r="F493" s="9"/>
      <c r="G493" s="9"/>
      <c r="H493" s="9"/>
      <c r="I493" s="9"/>
      <c r="J493" s="9"/>
      <c r="K493" s="29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29"/>
      <c r="AC493" s="29"/>
      <c r="AD493" s="29"/>
      <c r="AE493" s="29"/>
      <c r="AF493" s="29"/>
      <c r="AG493" s="29"/>
      <c r="AH493" s="29"/>
      <c r="AI493" s="9"/>
      <c r="AJ493" s="9"/>
      <c r="AK493" s="9"/>
      <c r="AL493" s="9"/>
      <c r="AM493" s="9"/>
      <c r="AN493" s="9"/>
      <c r="AO493" s="9"/>
      <c r="AP493" s="9"/>
      <c r="AQ493" s="29"/>
      <c r="AR493" s="29"/>
      <c r="AS493" s="29"/>
    </row>
    <row r="494" spans="5:45" x14ac:dyDescent="0.25">
      <c r="E494" s="9"/>
      <c r="F494" s="9"/>
      <c r="G494" s="9"/>
      <c r="H494" s="9"/>
      <c r="I494" s="9"/>
      <c r="J494" s="9"/>
      <c r="K494" s="29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29"/>
      <c r="AC494" s="29"/>
      <c r="AD494" s="29"/>
      <c r="AE494" s="29"/>
      <c r="AF494" s="29"/>
      <c r="AG494" s="29"/>
      <c r="AH494" s="29"/>
      <c r="AI494" s="9"/>
      <c r="AJ494" s="9"/>
      <c r="AK494" s="9"/>
      <c r="AL494" s="9"/>
      <c r="AM494" s="9"/>
      <c r="AN494" s="9"/>
      <c r="AO494" s="9"/>
      <c r="AP494" s="9"/>
      <c r="AQ494" s="29"/>
      <c r="AR494" s="29"/>
      <c r="AS494" s="29"/>
    </row>
    <row r="495" spans="5:45" x14ac:dyDescent="0.25">
      <c r="E495" s="9"/>
      <c r="F495" s="9"/>
      <c r="G495" s="9"/>
      <c r="H495" s="9"/>
      <c r="I495" s="9"/>
      <c r="J495" s="9"/>
      <c r="K495" s="29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29"/>
      <c r="AC495" s="29"/>
      <c r="AD495" s="29"/>
      <c r="AE495" s="29"/>
      <c r="AF495" s="29"/>
      <c r="AG495" s="29"/>
      <c r="AH495" s="29"/>
      <c r="AI495" s="9"/>
      <c r="AJ495" s="9"/>
      <c r="AK495" s="9"/>
      <c r="AL495" s="9"/>
      <c r="AM495" s="9"/>
      <c r="AN495" s="9"/>
      <c r="AO495" s="9"/>
      <c r="AP495" s="9"/>
      <c r="AQ495" s="29"/>
      <c r="AR495" s="29"/>
      <c r="AS495" s="29"/>
    </row>
    <row r="496" spans="5:45" x14ac:dyDescent="0.25">
      <c r="E496" s="9"/>
      <c r="F496" s="9"/>
      <c r="G496" s="9"/>
      <c r="H496" s="9"/>
      <c r="I496" s="9"/>
      <c r="J496" s="9"/>
      <c r="K496" s="29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29"/>
      <c r="AC496" s="29"/>
      <c r="AD496" s="29"/>
      <c r="AE496" s="29"/>
      <c r="AF496" s="29"/>
      <c r="AG496" s="29"/>
      <c r="AH496" s="29"/>
      <c r="AI496" s="9"/>
      <c r="AJ496" s="9"/>
      <c r="AK496" s="9"/>
      <c r="AL496" s="9"/>
      <c r="AM496" s="9"/>
      <c r="AN496" s="9"/>
      <c r="AO496" s="9"/>
      <c r="AP496" s="9"/>
      <c r="AQ496" s="29"/>
      <c r="AR496" s="29"/>
      <c r="AS496" s="29"/>
    </row>
    <row r="497" spans="5:45" x14ac:dyDescent="0.25">
      <c r="E497" s="9"/>
      <c r="F497" s="9"/>
      <c r="G497" s="9"/>
      <c r="H497" s="9"/>
      <c r="I497" s="9"/>
      <c r="J497" s="9"/>
      <c r="K497" s="29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29"/>
      <c r="AC497" s="29"/>
      <c r="AD497" s="29"/>
      <c r="AE497" s="29"/>
      <c r="AF497" s="29"/>
      <c r="AG497" s="29"/>
      <c r="AH497" s="29"/>
      <c r="AI497" s="9"/>
      <c r="AJ497" s="9"/>
      <c r="AK497" s="9"/>
      <c r="AL497" s="9"/>
      <c r="AM497" s="9"/>
      <c r="AN497" s="9"/>
      <c r="AO497" s="9"/>
      <c r="AP497" s="9"/>
      <c r="AQ497" s="29"/>
      <c r="AR497" s="29"/>
      <c r="AS497" s="29"/>
    </row>
    <row r="498" spans="5:45" x14ac:dyDescent="0.25">
      <c r="E498" s="9"/>
      <c r="F498" s="9"/>
      <c r="G498" s="9"/>
      <c r="H498" s="9"/>
      <c r="I498" s="9"/>
      <c r="J498" s="9"/>
      <c r="K498" s="29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29"/>
      <c r="AC498" s="29"/>
      <c r="AD498" s="29"/>
      <c r="AE498" s="29"/>
      <c r="AF498" s="29"/>
      <c r="AG498" s="29"/>
      <c r="AH498" s="29"/>
      <c r="AI498" s="9"/>
      <c r="AJ498" s="9"/>
      <c r="AK498" s="9"/>
      <c r="AL498" s="9"/>
      <c r="AM498" s="9"/>
      <c r="AN498" s="9"/>
      <c r="AO498" s="9"/>
      <c r="AP498" s="9"/>
      <c r="AQ498" s="29"/>
      <c r="AR498" s="29"/>
      <c r="AS498" s="29"/>
    </row>
    <row r="499" spans="5:45" x14ac:dyDescent="0.25">
      <c r="E499" s="9"/>
      <c r="F499" s="9"/>
      <c r="G499" s="9"/>
      <c r="H499" s="9"/>
      <c r="I499" s="9"/>
      <c r="J499" s="9"/>
      <c r="K499" s="29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29"/>
      <c r="AC499" s="29"/>
      <c r="AD499" s="29"/>
      <c r="AE499" s="29"/>
      <c r="AF499" s="29"/>
      <c r="AG499" s="29"/>
      <c r="AH499" s="29"/>
      <c r="AI499" s="9"/>
      <c r="AJ499" s="9"/>
      <c r="AK499" s="9"/>
      <c r="AL499" s="9"/>
      <c r="AM499" s="9"/>
      <c r="AN499" s="9"/>
      <c r="AO499" s="9"/>
      <c r="AP499" s="9"/>
      <c r="AQ499" s="29"/>
      <c r="AR499" s="29"/>
      <c r="AS499" s="29"/>
    </row>
    <row r="500" spans="5:45" x14ac:dyDescent="0.25">
      <c r="E500" s="9"/>
      <c r="F500" s="9"/>
      <c r="G500" s="9"/>
      <c r="H500" s="9"/>
      <c r="I500" s="9"/>
      <c r="J500" s="9"/>
      <c r="K500" s="29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29"/>
      <c r="AC500" s="29"/>
      <c r="AD500" s="29"/>
      <c r="AE500" s="29"/>
      <c r="AF500" s="29"/>
      <c r="AG500" s="29"/>
      <c r="AH500" s="29"/>
      <c r="AI500" s="9"/>
      <c r="AJ500" s="9"/>
      <c r="AK500" s="9"/>
      <c r="AL500" s="9"/>
      <c r="AM500" s="9"/>
      <c r="AN500" s="9"/>
      <c r="AO500" s="9"/>
      <c r="AP500" s="9"/>
      <c r="AQ500" s="29"/>
      <c r="AR500" s="29"/>
      <c r="AS500" s="29"/>
    </row>
    <row r="501" spans="5:45" x14ac:dyDescent="0.25">
      <c r="E501" s="9"/>
      <c r="F501" s="9"/>
      <c r="G501" s="9"/>
      <c r="H501" s="9"/>
      <c r="I501" s="9"/>
      <c r="J501" s="9"/>
      <c r="K501" s="29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29"/>
      <c r="AC501" s="29"/>
      <c r="AD501" s="29"/>
      <c r="AE501" s="29"/>
      <c r="AF501" s="29"/>
      <c r="AG501" s="29"/>
      <c r="AH501" s="29"/>
      <c r="AI501" s="9"/>
      <c r="AJ501" s="9"/>
      <c r="AK501" s="9"/>
      <c r="AL501" s="9"/>
      <c r="AM501" s="9"/>
      <c r="AN501" s="9"/>
      <c r="AO501" s="9"/>
      <c r="AP501" s="9"/>
      <c r="AQ501" s="29"/>
      <c r="AR501" s="29"/>
      <c r="AS501" s="29"/>
    </row>
    <row r="502" spans="5:45" x14ac:dyDescent="0.25">
      <c r="E502" s="9"/>
      <c r="F502" s="9"/>
      <c r="G502" s="9"/>
      <c r="H502" s="9"/>
      <c r="I502" s="9"/>
      <c r="J502" s="9"/>
      <c r="K502" s="29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29"/>
      <c r="AC502" s="29"/>
      <c r="AD502" s="29"/>
      <c r="AE502" s="29"/>
      <c r="AF502" s="29"/>
      <c r="AG502" s="29"/>
      <c r="AH502" s="29"/>
      <c r="AI502" s="9"/>
      <c r="AJ502" s="9"/>
      <c r="AK502" s="9"/>
      <c r="AL502" s="9"/>
      <c r="AM502" s="9"/>
      <c r="AN502" s="9"/>
      <c r="AO502" s="9"/>
      <c r="AP502" s="9"/>
      <c r="AQ502" s="29"/>
      <c r="AR502" s="29"/>
      <c r="AS502" s="29"/>
    </row>
    <row r="503" spans="5:45" x14ac:dyDescent="0.25">
      <c r="E503" s="9"/>
      <c r="F503" s="9"/>
      <c r="G503" s="9"/>
      <c r="H503" s="9"/>
      <c r="I503" s="9"/>
      <c r="J503" s="9"/>
      <c r="K503" s="29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29"/>
      <c r="AC503" s="29"/>
      <c r="AD503" s="29"/>
      <c r="AE503" s="29"/>
      <c r="AF503" s="29"/>
      <c r="AG503" s="29"/>
      <c r="AH503" s="29"/>
      <c r="AI503" s="9"/>
      <c r="AJ503" s="9"/>
      <c r="AK503" s="9"/>
      <c r="AL503" s="9"/>
      <c r="AM503" s="9"/>
      <c r="AN503" s="9"/>
      <c r="AO503" s="9"/>
      <c r="AP503" s="9"/>
      <c r="AQ503" s="29"/>
      <c r="AR503" s="29"/>
      <c r="AS503" s="29"/>
    </row>
    <row r="504" spans="5:45" x14ac:dyDescent="0.25">
      <c r="E504" s="9"/>
      <c r="F504" s="9"/>
      <c r="G504" s="9"/>
      <c r="H504" s="9"/>
      <c r="I504" s="9"/>
      <c r="J504" s="9"/>
      <c r="K504" s="29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29"/>
      <c r="AC504" s="29"/>
      <c r="AD504" s="29"/>
      <c r="AE504" s="29"/>
      <c r="AF504" s="29"/>
      <c r="AG504" s="29"/>
      <c r="AH504" s="29"/>
      <c r="AI504" s="9"/>
      <c r="AJ504" s="9"/>
      <c r="AK504" s="9"/>
      <c r="AL504" s="9"/>
      <c r="AM504" s="9"/>
      <c r="AN504" s="9"/>
      <c r="AO504" s="9"/>
      <c r="AP504" s="9"/>
      <c r="AQ504" s="29"/>
      <c r="AR504" s="29"/>
      <c r="AS504" s="29"/>
    </row>
    <row r="505" spans="5:45" x14ac:dyDescent="0.25">
      <c r="E505" s="9"/>
      <c r="F505" s="9"/>
      <c r="G505" s="9"/>
      <c r="H505" s="9"/>
      <c r="I505" s="9"/>
      <c r="J505" s="9"/>
      <c r="K505" s="29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29"/>
      <c r="AC505" s="29"/>
      <c r="AD505" s="29"/>
      <c r="AE505" s="29"/>
      <c r="AF505" s="29"/>
      <c r="AG505" s="29"/>
      <c r="AH505" s="29"/>
      <c r="AI505" s="9"/>
      <c r="AJ505" s="9"/>
      <c r="AK505" s="9"/>
      <c r="AL505" s="9"/>
      <c r="AM505" s="9"/>
      <c r="AN505" s="9"/>
      <c r="AO505" s="9"/>
      <c r="AP505" s="9"/>
      <c r="AQ505" s="29"/>
      <c r="AR505" s="29"/>
      <c r="AS505" s="29"/>
    </row>
    <row r="506" spans="5:45" x14ac:dyDescent="0.25">
      <c r="E506" s="9"/>
      <c r="F506" s="9"/>
      <c r="G506" s="9"/>
      <c r="H506" s="9"/>
      <c r="I506" s="9"/>
      <c r="J506" s="9"/>
      <c r="K506" s="29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29"/>
      <c r="AC506" s="29"/>
      <c r="AD506" s="29"/>
      <c r="AE506" s="29"/>
      <c r="AF506" s="29"/>
      <c r="AG506" s="29"/>
      <c r="AH506" s="29"/>
      <c r="AI506" s="9"/>
      <c r="AJ506" s="9"/>
      <c r="AK506" s="9"/>
      <c r="AL506" s="9"/>
      <c r="AM506" s="9"/>
      <c r="AN506" s="9"/>
      <c r="AO506" s="9"/>
      <c r="AP506" s="9"/>
      <c r="AQ506" s="29"/>
      <c r="AR506" s="29"/>
      <c r="AS506" s="29"/>
    </row>
    <row r="507" spans="5:45" x14ac:dyDescent="0.25">
      <c r="E507" s="9"/>
      <c r="F507" s="9"/>
      <c r="G507" s="9"/>
      <c r="H507" s="9"/>
      <c r="I507" s="9"/>
      <c r="J507" s="9"/>
      <c r="K507" s="29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29"/>
      <c r="AC507" s="29"/>
      <c r="AD507" s="29"/>
      <c r="AE507" s="29"/>
      <c r="AF507" s="29"/>
      <c r="AG507" s="29"/>
      <c r="AH507" s="29"/>
      <c r="AI507" s="9"/>
      <c r="AJ507" s="9"/>
      <c r="AK507" s="9"/>
      <c r="AL507" s="9"/>
      <c r="AM507" s="9"/>
      <c r="AN507" s="9"/>
      <c r="AO507" s="9"/>
      <c r="AP507" s="9"/>
      <c r="AQ507" s="29"/>
      <c r="AR507" s="29"/>
      <c r="AS507" s="29"/>
    </row>
    <row r="508" spans="5:45" x14ac:dyDescent="0.25">
      <c r="E508" s="9"/>
      <c r="F508" s="9"/>
      <c r="G508" s="9"/>
      <c r="H508" s="9"/>
      <c r="I508" s="9"/>
      <c r="J508" s="9"/>
      <c r="K508" s="29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29"/>
      <c r="AC508" s="29"/>
      <c r="AD508" s="29"/>
      <c r="AE508" s="29"/>
      <c r="AF508" s="29"/>
      <c r="AG508" s="29"/>
      <c r="AH508" s="29"/>
      <c r="AI508" s="9"/>
      <c r="AJ508" s="9"/>
      <c r="AK508" s="9"/>
      <c r="AL508" s="9"/>
      <c r="AM508" s="9"/>
      <c r="AN508" s="9"/>
      <c r="AO508" s="9"/>
      <c r="AP508" s="9"/>
      <c r="AQ508" s="29"/>
      <c r="AR508" s="29"/>
      <c r="AS508" s="29"/>
    </row>
    <row r="509" spans="5:45" x14ac:dyDescent="0.25">
      <c r="E509" s="9"/>
      <c r="F509" s="9"/>
      <c r="G509" s="9"/>
      <c r="H509" s="9"/>
      <c r="I509" s="9"/>
      <c r="J509" s="9"/>
      <c r="K509" s="29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29"/>
      <c r="AC509" s="29"/>
      <c r="AD509" s="29"/>
      <c r="AE509" s="29"/>
      <c r="AF509" s="29"/>
      <c r="AG509" s="29"/>
      <c r="AH509" s="29"/>
      <c r="AI509" s="9"/>
      <c r="AJ509" s="9"/>
      <c r="AK509" s="9"/>
      <c r="AL509" s="9"/>
      <c r="AM509" s="9"/>
      <c r="AN509" s="9"/>
      <c r="AO509" s="9"/>
      <c r="AP509" s="9"/>
      <c r="AQ509" s="29"/>
      <c r="AR509" s="29"/>
      <c r="AS509" s="29"/>
    </row>
    <row r="510" spans="5:45" x14ac:dyDescent="0.25">
      <c r="E510" s="9"/>
      <c r="F510" s="9"/>
      <c r="G510" s="9"/>
      <c r="H510" s="9"/>
      <c r="I510" s="9"/>
      <c r="J510" s="9"/>
      <c r="K510" s="29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29"/>
      <c r="AC510" s="29"/>
      <c r="AD510" s="29"/>
      <c r="AE510" s="29"/>
      <c r="AF510" s="29"/>
      <c r="AG510" s="29"/>
      <c r="AH510" s="29"/>
      <c r="AI510" s="9"/>
      <c r="AJ510" s="9"/>
      <c r="AK510" s="9"/>
      <c r="AL510" s="9"/>
      <c r="AM510" s="9"/>
      <c r="AN510" s="9"/>
      <c r="AO510" s="9"/>
      <c r="AP510" s="9"/>
      <c r="AQ510" s="29"/>
      <c r="AR510" s="29"/>
      <c r="AS510" s="29"/>
    </row>
    <row r="511" spans="5:45" x14ac:dyDescent="0.25">
      <c r="E511" s="9"/>
      <c r="F511" s="9"/>
      <c r="G511" s="9"/>
      <c r="H511" s="9"/>
      <c r="I511" s="9"/>
      <c r="J511" s="9"/>
      <c r="K511" s="29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29"/>
      <c r="AC511" s="29"/>
      <c r="AD511" s="29"/>
      <c r="AE511" s="29"/>
      <c r="AF511" s="29"/>
      <c r="AG511" s="29"/>
      <c r="AH511" s="29"/>
      <c r="AI511" s="9"/>
      <c r="AJ511" s="9"/>
      <c r="AK511" s="9"/>
      <c r="AL511" s="9"/>
      <c r="AM511" s="9"/>
      <c r="AN511" s="9"/>
      <c r="AO511" s="9"/>
      <c r="AP511" s="9"/>
      <c r="AQ511" s="29"/>
      <c r="AR511" s="29"/>
      <c r="AS511" s="29"/>
    </row>
    <row r="512" spans="5:45" x14ac:dyDescent="0.25">
      <c r="E512" s="9"/>
      <c r="F512" s="9"/>
      <c r="G512" s="9"/>
      <c r="H512" s="9"/>
      <c r="I512" s="9"/>
      <c r="J512" s="9"/>
      <c r="K512" s="29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29"/>
      <c r="AC512" s="29"/>
      <c r="AD512" s="29"/>
      <c r="AE512" s="29"/>
      <c r="AF512" s="29"/>
      <c r="AG512" s="29"/>
      <c r="AH512" s="29"/>
      <c r="AI512" s="9"/>
      <c r="AJ512" s="9"/>
      <c r="AK512" s="9"/>
      <c r="AL512" s="9"/>
      <c r="AM512" s="9"/>
      <c r="AN512" s="9"/>
      <c r="AO512" s="9"/>
      <c r="AP512" s="9"/>
      <c r="AQ512" s="29"/>
      <c r="AR512" s="29"/>
      <c r="AS512" s="29"/>
    </row>
    <row r="513" spans="5:45" x14ac:dyDescent="0.25">
      <c r="E513" s="9"/>
      <c r="F513" s="9"/>
      <c r="G513" s="9"/>
      <c r="H513" s="9"/>
      <c r="I513" s="9"/>
      <c r="J513" s="9"/>
      <c r="K513" s="29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29"/>
      <c r="AC513" s="29"/>
      <c r="AD513" s="29"/>
      <c r="AE513" s="29"/>
      <c r="AF513" s="29"/>
      <c r="AG513" s="29"/>
      <c r="AH513" s="29"/>
      <c r="AI513" s="9"/>
      <c r="AJ513" s="9"/>
      <c r="AK513" s="9"/>
      <c r="AL513" s="9"/>
      <c r="AM513" s="9"/>
      <c r="AN513" s="9"/>
      <c r="AO513" s="9"/>
      <c r="AP513" s="9"/>
      <c r="AQ513" s="29"/>
      <c r="AR513" s="29"/>
      <c r="AS513" s="29"/>
    </row>
    <row r="514" spans="5:45" x14ac:dyDescent="0.25">
      <c r="E514" s="9"/>
      <c r="F514" s="9"/>
      <c r="G514" s="9"/>
      <c r="H514" s="9"/>
      <c r="I514" s="9"/>
      <c r="J514" s="9"/>
      <c r="K514" s="29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29"/>
      <c r="AC514" s="29"/>
      <c r="AD514" s="29"/>
      <c r="AE514" s="29"/>
      <c r="AF514" s="29"/>
      <c r="AG514" s="29"/>
      <c r="AH514" s="29"/>
      <c r="AI514" s="9"/>
      <c r="AJ514" s="9"/>
      <c r="AK514" s="9"/>
      <c r="AL514" s="9"/>
      <c r="AM514" s="9"/>
      <c r="AN514" s="9"/>
      <c r="AO514" s="9"/>
      <c r="AP514" s="9"/>
      <c r="AQ514" s="29"/>
      <c r="AR514" s="29"/>
      <c r="AS514" s="29"/>
    </row>
    <row r="515" spans="5:45" x14ac:dyDescent="0.25">
      <c r="E515" s="9"/>
      <c r="F515" s="9"/>
      <c r="G515" s="9"/>
      <c r="H515" s="9"/>
      <c r="I515" s="9"/>
      <c r="J515" s="9"/>
      <c r="K515" s="29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29"/>
      <c r="AC515" s="29"/>
      <c r="AD515" s="29"/>
      <c r="AE515" s="29"/>
      <c r="AF515" s="29"/>
      <c r="AG515" s="29"/>
      <c r="AH515" s="29"/>
      <c r="AI515" s="9"/>
      <c r="AJ515" s="9"/>
      <c r="AK515" s="9"/>
      <c r="AL515" s="9"/>
      <c r="AM515" s="9"/>
      <c r="AN515" s="9"/>
      <c r="AO515" s="9"/>
      <c r="AP515" s="9"/>
      <c r="AQ515" s="29"/>
      <c r="AR515" s="29"/>
      <c r="AS515" s="29"/>
    </row>
    <row r="516" spans="5:45" x14ac:dyDescent="0.25">
      <c r="E516" s="9"/>
      <c r="F516" s="9"/>
      <c r="G516" s="9"/>
      <c r="H516" s="9"/>
      <c r="I516" s="9"/>
      <c r="J516" s="9"/>
      <c r="K516" s="29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29"/>
      <c r="AC516" s="29"/>
      <c r="AD516" s="29"/>
      <c r="AE516" s="29"/>
      <c r="AF516" s="29"/>
      <c r="AG516" s="29"/>
      <c r="AH516" s="29"/>
      <c r="AI516" s="9"/>
      <c r="AJ516" s="9"/>
      <c r="AK516" s="9"/>
      <c r="AL516" s="9"/>
      <c r="AM516" s="9"/>
      <c r="AN516" s="9"/>
      <c r="AO516" s="9"/>
      <c r="AP516" s="9"/>
      <c r="AQ516" s="29"/>
      <c r="AR516" s="29"/>
      <c r="AS516" s="29"/>
    </row>
    <row r="517" spans="5:45" x14ac:dyDescent="0.25">
      <c r="E517" s="9"/>
      <c r="F517" s="9"/>
      <c r="G517" s="9"/>
      <c r="H517" s="9"/>
      <c r="I517" s="9"/>
      <c r="J517" s="9"/>
      <c r="K517" s="29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29"/>
      <c r="AC517" s="29"/>
      <c r="AD517" s="29"/>
      <c r="AE517" s="29"/>
      <c r="AF517" s="29"/>
      <c r="AG517" s="29"/>
      <c r="AH517" s="29"/>
      <c r="AI517" s="9"/>
      <c r="AJ517" s="9"/>
      <c r="AK517" s="9"/>
      <c r="AL517" s="9"/>
      <c r="AM517" s="9"/>
      <c r="AN517" s="9"/>
      <c r="AO517" s="9"/>
      <c r="AP517" s="9"/>
      <c r="AQ517" s="29"/>
      <c r="AR517" s="29"/>
      <c r="AS517" s="29"/>
    </row>
    <row r="518" spans="5:45" x14ac:dyDescent="0.25">
      <c r="E518" s="9"/>
      <c r="F518" s="9"/>
      <c r="G518" s="9"/>
      <c r="H518" s="9"/>
      <c r="I518" s="9"/>
      <c r="J518" s="9"/>
      <c r="K518" s="29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29"/>
      <c r="AC518" s="29"/>
      <c r="AD518" s="29"/>
      <c r="AE518" s="29"/>
      <c r="AF518" s="29"/>
      <c r="AG518" s="29"/>
      <c r="AH518" s="29"/>
      <c r="AI518" s="9"/>
      <c r="AJ518" s="9"/>
      <c r="AK518" s="9"/>
      <c r="AL518" s="9"/>
      <c r="AM518" s="9"/>
      <c r="AN518" s="9"/>
      <c r="AO518" s="9"/>
      <c r="AP518" s="9"/>
      <c r="AQ518" s="29"/>
      <c r="AR518" s="29"/>
      <c r="AS518" s="29"/>
    </row>
    <row r="519" spans="5:45" x14ac:dyDescent="0.25">
      <c r="E519" s="9"/>
      <c r="F519" s="9"/>
      <c r="G519" s="9"/>
      <c r="H519" s="9"/>
      <c r="I519" s="9"/>
      <c r="J519" s="9"/>
      <c r="K519" s="29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29"/>
      <c r="AC519" s="29"/>
      <c r="AD519" s="29"/>
      <c r="AE519" s="29"/>
      <c r="AF519" s="29"/>
      <c r="AG519" s="29"/>
      <c r="AH519" s="29"/>
      <c r="AI519" s="9"/>
      <c r="AJ519" s="9"/>
      <c r="AK519" s="9"/>
      <c r="AL519" s="9"/>
      <c r="AM519" s="9"/>
      <c r="AN519" s="9"/>
      <c r="AO519" s="9"/>
      <c r="AP519" s="9"/>
      <c r="AQ519" s="29"/>
      <c r="AR519" s="29"/>
      <c r="AS519" s="29"/>
    </row>
    <row r="520" spans="5:45" x14ac:dyDescent="0.25">
      <c r="E520" s="9"/>
      <c r="F520" s="9"/>
      <c r="G520" s="9"/>
      <c r="H520" s="9"/>
      <c r="I520" s="9"/>
      <c r="J520" s="9"/>
      <c r="K520" s="29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29"/>
      <c r="AC520" s="29"/>
      <c r="AD520" s="29"/>
      <c r="AE520" s="29"/>
      <c r="AF520" s="29"/>
      <c r="AG520" s="29"/>
      <c r="AH520" s="29"/>
      <c r="AI520" s="9"/>
      <c r="AJ520" s="9"/>
      <c r="AK520" s="9"/>
      <c r="AL520" s="9"/>
      <c r="AM520" s="9"/>
      <c r="AN520" s="9"/>
      <c r="AO520" s="9"/>
      <c r="AP520" s="9"/>
      <c r="AQ520" s="29"/>
      <c r="AR520" s="29"/>
      <c r="AS520" s="29"/>
    </row>
    <row r="521" spans="5:45" x14ac:dyDescent="0.25">
      <c r="E521" s="9"/>
      <c r="F521" s="9"/>
      <c r="G521" s="9"/>
      <c r="H521" s="9"/>
      <c r="I521" s="9"/>
      <c r="J521" s="9"/>
      <c r="K521" s="29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29"/>
      <c r="AC521" s="29"/>
      <c r="AD521" s="29"/>
      <c r="AE521" s="29"/>
      <c r="AF521" s="29"/>
      <c r="AG521" s="29"/>
      <c r="AH521" s="29"/>
      <c r="AI521" s="9"/>
      <c r="AJ521" s="9"/>
      <c r="AK521" s="9"/>
      <c r="AL521" s="9"/>
      <c r="AM521" s="9"/>
      <c r="AN521" s="9"/>
      <c r="AO521" s="9"/>
      <c r="AP521" s="9"/>
      <c r="AQ521" s="29"/>
      <c r="AR521" s="29"/>
      <c r="AS521" s="29"/>
    </row>
    <row r="522" spans="5:45" x14ac:dyDescent="0.25">
      <c r="E522" s="9"/>
      <c r="F522" s="9"/>
      <c r="G522" s="9"/>
      <c r="H522" s="9"/>
      <c r="I522" s="9"/>
      <c r="J522" s="9"/>
      <c r="K522" s="29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29"/>
      <c r="AC522" s="29"/>
      <c r="AD522" s="29"/>
      <c r="AE522" s="29"/>
      <c r="AF522" s="29"/>
      <c r="AG522" s="29"/>
      <c r="AH522" s="29"/>
      <c r="AI522" s="9"/>
      <c r="AJ522" s="9"/>
      <c r="AK522" s="9"/>
      <c r="AL522" s="9"/>
      <c r="AM522" s="9"/>
      <c r="AN522" s="9"/>
      <c r="AO522" s="9"/>
      <c r="AP522" s="9"/>
      <c r="AQ522" s="29"/>
      <c r="AR522" s="29"/>
      <c r="AS522" s="29"/>
    </row>
    <row r="523" spans="5:45" x14ac:dyDescent="0.25">
      <c r="E523" s="9"/>
      <c r="F523" s="9"/>
      <c r="G523" s="9"/>
      <c r="H523" s="9"/>
      <c r="I523" s="9"/>
      <c r="J523" s="9"/>
      <c r="K523" s="29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29"/>
      <c r="AC523" s="29"/>
      <c r="AD523" s="29"/>
      <c r="AE523" s="29"/>
      <c r="AF523" s="29"/>
      <c r="AG523" s="29"/>
      <c r="AH523" s="29"/>
      <c r="AI523" s="9"/>
      <c r="AJ523" s="9"/>
      <c r="AK523" s="9"/>
      <c r="AL523" s="9"/>
      <c r="AM523" s="9"/>
      <c r="AN523" s="9"/>
      <c r="AO523" s="9"/>
      <c r="AP523" s="9"/>
      <c r="AQ523" s="29"/>
      <c r="AR523" s="29"/>
      <c r="AS523" s="29"/>
    </row>
    <row r="524" spans="5:45" x14ac:dyDescent="0.25">
      <c r="E524" s="9"/>
      <c r="F524" s="9"/>
      <c r="G524" s="9"/>
      <c r="H524" s="9"/>
      <c r="I524" s="9"/>
      <c r="J524" s="9"/>
      <c r="K524" s="29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29"/>
      <c r="AC524" s="29"/>
      <c r="AD524" s="29"/>
      <c r="AE524" s="29"/>
      <c r="AF524" s="29"/>
      <c r="AG524" s="29"/>
      <c r="AH524" s="29"/>
      <c r="AI524" s="9"/>
      <c r="AJ524" s="9"/>
      <c r="AK524" s="9"/>
      <c r="AL524" s="9"/>
      <c r="AM524" s="9"/>
      <c r="AN524" s="9"/>
      <c r="AO524" s="9"/>
      <c r="AP524" s="9"/>
      <c r="AQ524" s="29"/>
      <c r="AR524" s="29"/>
      <c r="AS524" s="29"/>
    </row>
    <row r="525" spans="5:45" x14ac:dyDescent="0.25">
      <c r="E525" s="9"/>
      <c r="F525" s="9"/>
      <c r="G525" s="9"/>
      <c r="H525" s="9"/>
      <c r="I525" s="9"/>
      <c r="J525" s="9"/>
      <c r="K525" s="29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29"/>
      <c r="AC525" s="29"/>
      <c r="AD525" s="29"/>
      <c r="AE525" s="29"/>
      <c r="AF525" s="29"/>
      <c r="AG525" s="29"/>
      <c r="AH525" s="29"/>
      <c r="AI525" s="9"/>
      <c r="AJ525" s="9"/>
      <c r="AK525" s="9"/>
      <c r="AL525" s="9"/>
      <c r="AM525" s="9"/>
      <c r="AN525" s="9"/>
      <c r="AO525" s="9"/>
      <c r="AP525" s="9"/>
      <c r="AQ525" s="29"/>
      <c r="AR525" s="29"/>
      <c r="AS525" s="29"/>
    </row>
    <row r="526" spans="5:45" x14ac:dyDescent="0.25">
      <c r="E526" s="9"/>
      <c r="F526" s="9"/>
      <c r="G526" s="9"/>
      <c r="H526" s="9"/>
      <c r="I526" s="9"/>
      <c r="J526" s="9"/>
      <c r="K526" s="29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29"/>
      <c r="AC526" s="29"/>
      <c r="AD526" s="29"/>
      <c r="AE526" s="29"/>
      <c r="AF526" s="29"/>
      <c r="AG526" s="29"/>
      <c r="AH526" s="29"/>
      <c r="AI526" s="9"/>
      <c r="AJ526" s="9"/>
      <c r="AK526" s="9"/>
      <c r="AL526" s="9"/>
      <c r="AM526" s="9"/>
      <c r="AN526" s="9"/>
      <c r="AO526" s="9"/>
      <c r="AP526" s="9"/>
      <c r="AQ526" s="29"/>
      <c r="AR526" s="29"/>
      <c r="AS526" s="29"/>
    </row>
    <row r="527" spans="5:45" x14ac:dyDescent="0.25">
      <c r="E527" s="9"/>
      <c r="F527" s="9"/>
      <c r="G527" s="9"/>
      <c r="H527" s="9"/>
      <c r="I527" s="9"/>
      <c r="J527" s="9"/>
      <c r="K527" s="29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29"/>
      <c r="AC527" s="29"/>
      <c r="AD527" s="29"/>
      <c r="AE527" s="29"/>
      <c r="AF527" s="29"/>
      <c r="AG527" s="29"/>
      <c r="AH527" s="29"/>
      <c r="AI527" s="9"/>
      <c r="AJ527" s="9"/>
      <c r="AK527" s="9"/>
      <c r="AL527" s="9"/>
      <c r="AM527" s="9"/>
      <c r="AN527" s="9"/>
      <c r="AO527" s="9"/>
      <c r="AP527" s="9"/>
      <c r="AQ527" s="29"/>
      <c r="AR527" s="29"/>
      <c r="AS527" s="29"/>
    </row>
    <row r="528" spans="5:45" x14ac:dyDescent="0.25">
      <c r="E528" s="9"/>
      <c r="F528" s="9"/>
      <c r="G528" s="9"/>
      <c r="H528" s="9"/>
      <c r="I528" s="9"/>
      <c r="J528" s="9"/>
      <c r="K528" s="29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29"/>
      <c r="AC528" s="29"/>
      <c r="AD528" s="29"/>
      <c r="AE528" s="29"/>
      <c r="AF528" s="29"/>
      <c r="AG528" s="29"/>
      <c r="AH528" s="29"/>
      <c r="AI528" s="9"/>
      <c r="AJ528" s="9"/>
      <c r="AK528" s="9"/>
      <c r="AL528" s="9"/>
      <c r="AM528" s="9"/>
      <c r="AN528" s="9"/>
      <c r="AO528" s="9"/>
      <c r="AP528" s="9"/>
      <c r="AQ528" s="29"/>
      <c r="AR528" s="29"/>
      <c r="AS528" s="29"/>
    </row>
    <row r="529" spans="5:45" x14ac:dyDescent="0.25">
      <c r="E529" s="9"/>
      <c r="F529" s="9"/>
      <c r="G529" s="9"/>
      <c r="H529" s="9"/>
      <c r="I529" s="9"/>
      <c r="J529" s="9"/>
      <c r="K529" s="29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29"/>
      <c r="AC529" s="29"/>
      <c r="AD529" s="29"/>
      <c r="AE529" s="29"/>
      <c r="AF529" s="29"/>
      <c r="AG529" s="29"/>
      <c r="AH529" s="29"/>
      <c r="AI529" s="9"/>
      <c r="AJ529" s="9"/>
      <c r="AK529" s="9"/>
      <c r="AL529" s="9"/>
      <c r="AM529" s="9"/>
      <c r="AN529" s="9"/>
      <c r="AO529" s="9"/>
      <c r="AP529" s="9"/>
      <c r="AQ529" s="29"/>
      <c r="AR529" s="29"/>
      <c r="AS529" s="29"/>
    </row>
    <row r="530" spans="5:45" x14ac:dyDescent="0.25">
      <c r="E530" s="9"/>
      <c r="F530" s="9"/>
      <c r="G530" s="9"/>
      <c r="H530" s="9"/>
      <c r="I530" s="9"/>
      <c r="J530" s="9"/>
      <c r="K530" s="29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29"/>
      <c r="AC530" s="29"/>
      <c r="AD530" s="29"/>
      <c r="AE530" s="29"/>
      <c r="AF530" s="29"/>
      <c r="AG530" s="29"/>
      <c r="AH530" s="29"/>
      <c r="AI530" s="9"/>
      <c r="AJ530" s="9"/>
      <c r="AK530" s="9"/>
      <c r="AL530" s="9"/>
      <c r="AM530" s="9"/>
      <c r="AN530" s="9"/>
      <c r="AO530" s="9"/>
      <c r="AP530" s="9"/>
      <c r="AQ530" s="29"/>
      <c r="AR530" s="29"/>
      <c r="AS530" s="29"/>
    </row>
    <row r="531" spans="5:45" x14ac:dyDescent="0.25">
      <c r="E531" s="9"/>
      <c r="F531" s="9"/>
      <c r="G531" s="9"/>
      <c r="H531" s="9"/>
      <c r="I531" s="9"/>
      <c r="J531" s="9"/>
      <c r="K531" s="29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29"/>
      <c r="AC531" s="29"/>
      <c r="AD531" s="29"/>
      <c r="AE531" s="29"/>
      <c r="AF531" s="29"/>
      <c r="AG531" s="29"/>
      <c r="AH531" s="29"/>
      <c r="AI531" s="9"/>
      <c r="AJ531" s="9"/>
      <c r="AK531" s="9"/>
      <c r="AL531" s="9"/>
      <c r="AM531" s="9"/>
      <c r="AN531" s="9"/>
      <c r="AO531" s="9"/>
      <c r="AP531" s="9"/>
      <c r="AQ531" s="29"/>
      <c r="AR531" s="29"/>
      <c r="AS531" s="29"/>
    </row>
    <row r="532" spans="5:45" x14ac:dyDescent="0.25">
      <c r="E532" s="9"/>
      <c r="F532" s="9"/>
      <c r="G532" s="9"/>
      <c r="H532" s="9"/>
      <c r="I532" s="9"/>
      <c r="J532" s="9"/>
      <c r="K532" s="29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29"/>
      <c r="AC532" s="29"/>
      <c r="AD532" s="29"/>
      <c r="AE532" s="29"/>
      <c r="AF532" s="29"/>
      <c r="AG532" s="29"/>
      <c r="AH532" s="29"/>
      <c r="AI532" s="9"/>
      <c r="AJ532" s="9"/>
      <c r="AK532" s="9"/>
      <c r="AL532" s="9"/>
      <c r="AM532" s="9"/>
      <c r="AN532" s="9"/>
      <c r="AO532" s="9"/>
      <c r="AP532" s="9"/>
      <c r="AQ532" s="29"/>
      <c r="AR532" s="29"/>
      <c r="AS532" s="29"/>
    </row>
    <row r="533" spans="5:45" x14ac:dyDescent="0.25">
      <c r="E533" s="9"/>
      <c r="F533" s="9"/>
      <c r="G533" s="9"/>
      <c r="H533" s="9"/>
      <c r="I533" s="9"/>
      <c r="J533" s="9"/>
      <c r="K533" s="29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29"/>
      <c r="AC533" s="29"/>
      <c r="AD533" s="29"/>
      <c r="AE533" s="29"/>
      <c r="AF533" s="29"/>
      <c r="AG533" s="29"/>
      <c r="AH533" s="29"/>
      <c r="AI533" s="9"/>
      <c r="AJ533" s="9"/>
      <c r="AK533" s="9"/>
      <c r="AL533" s="9"/>
      <c r="AM533" s="9"/>
      <c r="AN533" s="9"/>
      <c r="AO533" s="9"/>
      <c r="AP533" s="9"/>
      <c r="AQ533" s="29"/>
      <c r="AR533" s="29"/>
      <c r="AS533" s="29"/>
    </row>
    <row r="534" spans="5:45" x14ac:dyDescent="0.25">
      <c r="E534" s="9"/>
      <c r="F534" s="9"/>
      <c r="G534" s="9"/>
      <c r="H534" s="9"/>
      <c r="I534" s="9"/>
      <c r="J534" s="9"/>
      <c r="K534" s="29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29"/>
      <c r="AC534" s="29"/>
      <c r="AD534" s="29"/>
      <c r="AE534" s="29"/>
      <c r="AF534" s="29"/>
      <c r="AG534" s="29"/>
      <c r="AH534" s="29"/>
      <c r="AI534" s="9"/>
      <c r="AJ534" s="9"/>
      <c r="AK534" s="9"/>
      <c r="AL534" s="9"/>
      <c r="AM534" s="9"/>
      <c r="AN534" s="9"/>
      <c r="AO534" s="9"/>
      <c r="AP534" s="9"/>
      <c r="AQ534" s="29"/>
      <c r="AR534" s="29"/>
      <c r="AS534" s="29"/>
    </row>
    <row r="535" spans="5:45" x14ac:dyDescent="0.25">
      <c r="E535" s="9"/>
      <c r="F535" s="9"/>
      <c r="G535" s="9"/>
      <c r="H535" s="9"/>
      <c r="I535" s="9"/>
      <c r="J535" s="9"/>
      <c r="K535" s="29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29"/>
      <c r="AC535" s="29"/>
      <c r="AD535" s="29"/>
      <c r="AE535" s="29"/>
      <c r="AF535" s="29"/>
      <c r="AG535" s="29"/>
      <c r="AH535" s="29"/>
      <c r="AI535" s="9"/>
      <c r="AJ535" s="9"/>
      <c r="AK535" s="9"/>
      <c r="AL535" s="9"/>
      <c r="AM535" s="9"/>
      <c r="AN535" s="9"/>
      <c r="AO535" s="9"/>
      <c r="AP535" s="9"/>
      <c r="AQ535" s="29"/>
      <c r="AR535" s="29"/>
      <c r="AS535" s="29"/>
    </row>
    <row r="536" spans="5:45" x14ac:dyDescent="0.25">
      <c r="E536" s="9"/>
      <c r="F536" s="9"/>
      <c r="G536" s="9"/>
      <c r="H536" s="9"/>
      <c r="I536" s="9"/>
      <c r="J536" s="9"/>
      <c r="K536" s="29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29"/>
      <c r="AC536" s="29"/>
      <c r="AD536" s="29"/>
      <c r="AE536" s="29"/>
      <c r="AF536" s="29"/>
      <c r="AG536" s="29"/>
      <c r="AH536" s="29"/>
      <c r="AI536" s="9"/>
      <c r="AJ536" s="9"/>
      <c r="AK536" s="9"/>
      <c r="AL536" s="9"/>
      <c r="AM536" s="9"/>
      <c r="AN536" s="9"/>
      <c r="AO536" s="9"/>
      <c r="AP536" s="9"/>
      <c r="AQ536" s="29"/>
      <c r="AR536" s="29"/>
      <c r="AS536" s="29"/>
    </row>
    <row r="537" spans="5:45" x14ac:dyDescent="0.25">
      <c r="E537" s="9"/>
      <c r="F537" s="9"/>
      <c r="G537" s="9"/>
      <c r="H537" s="9"/>
      <c r="I537" s="9"/>
      <c r="J537" s="9"/>
      <c r="K537" s="29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29"/>
      <c r="AC537" s="29"/>
      <c r="AD537" s="29"/>
      <c r="AE537" s="29"/>
      <c r="AF537" s="29"/>
      <c r="AG537" s="29"/>
      <c r="AH537" s="29"/>
      <c r="AI537" s="9"/>
      <c r="AJ537" s="9"/>
      <c r="AK537" s="9"/>
      <c r="AL537" s="9"/>
      <c r="AM537" s="9"/>
      <c r="AN537" s="9"/>
      <c r="AO537" s="9"/>
      <c r="AP537" s="9"/>
      <c r="AQ537" s="29"/>
      <c r="AR537" s="29"/>
      <c r="AS537" s="29"/>
    </row>
    <row r="538" spans="5:45" x14ac:dyDescent="0.25">
      <c r="E538" s="9"/>
      <c r="F538" s="9"/>
      <c r="G538" s="9"/>
      <c r="H538" s="9"/>
      <c r="I538" s="9"/>
      <c r="J538" s="9"/>
      <c r="K538" s="29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29"/>
      <c r="AC538" s="29"/>
      <c r="AD538" s="29"/>
      <c r="AE538" s="29"/>
      <c r="AF538" s="29"/>
      <c r="AG538" s="29"/>
      <c r="AH538" s="29"/>
      <c r="AI538" s="9"/>
      <c r="AJ538" s="9"/>
      <c r="AK538" s="9"/>
      <c r="AL538" s="9"/>
      <c r="AM538" s="9"/>
      <c r="AN538" s="9"/>
      <c r="AO538" s="9"/>
      <c r="AP538" s="9"/>
      <c r="AQ538" s="29"/>
      <c r="AR538" s="29"/>
      <c r="AS538" s="29"/>
    </row>
    <row r="539" spans="5:45" x14ac:dyDescent="0.25">
      <c r="E539" s="9"/>
      <c r="F539" s="9"/>
      <c r="G539" s="9"/>
      <c r="H539" s="9"/>
      <c r="I539" s="9"/>
      <c r="J539" s="9"/>
      <c r="K539" s="29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29"/>
      <c r="AC539" s="29"/>
      <c r="AD539" s="29"/>
      <c r="AE539" s="29"/>
      <c r="AF539" s="29"/>
      <c r="AG539" s="29"/>
      <c r="AH539" s="29"/>
      <c r="AI539" s="9"/>
      <c r="AJ539" s="9"/>
      <c r="AK539" s="9"/>
      <c r="AL539" s="9"/>
      <c r="AM539" s="9"/>
      <c r="AN539" s="9"/>
      <c r="AO539" s="9"/>
      <c r="AP539" s="9"/>
      <c r="AQ539" s="29"/>
      <c r="AR539" s="29"/>
      <c r="AS539" s="29"/>
    </row>
    <row r="540" spans="5:45" x14ac:dyDescent="0.25">
      <c r="E540" s="9"/>
      <c r="F540" s="9"/>
      <c r="G540" s="9"/>
      <c r="H540" s="9"/>
      <c r="I540" s="9"/>
      <c r="J540" s="9"/>
      <c r="K540" s="29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29"/>
      <c r="AC540" s="29"/>
      <c r="AD540" s="29"/>
      <c r="AE540" s="29"/>
      <c r="AF540" s="29"/>
      <c r="AG540" s="29"/>
      <c r="AH540" s="29"/>
      <c r="AI540" s="9"/>
      <c r="AJ540" s="9"/>
      <c r="AK540" s="9"/>
      <c r="AL540" s="9"/>
      <c r="AM540" s="9"/>
      <c r="AN540" s="9"/>
      <c r="AO540" s="9"/>
      <c r="AP540" s="9"/>
      <c r="AQ540" s="29"/>
      <c r="AR540" s="29"/>
      <c r="AS540" s="29"/>
    </row>
    <row r="541" spans="5:45" x14ac:dyDescent="0.25">
      <c r="E541" s="9"/>
      <c r="F541" s="9"/>
      <c r="G541" s="9"/>
      <c r="H541" s="9"/>
      <c r="I541" s="9"/>
      <c r="J541" s="9"/>
      <c r="K541" s="29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29"/>
      <c r="AC541" s="29"/>
      <c r="AD541" s="29"/>
      <c r="AE541" s="29"/>
      <c r="AF541" s="29"/>
      <c r="AG541" s="29"/>
      <c r="AH541" s="29"/>
      <c r="AI541" s="9"/>
      <c r="AJ541" s="9"/>
      <c r="AK541" s="9"/>
      <c r="AL541" s="9"/>
      <c r="AM541" s="9"/>
      <c r="AN541" s="9"/>
      <c r="AO541" s="9"/>
      <c r="AP541" s="9"/>
      <c r="AQ541" s="29"/>
      <c r="AR541" s="29"/>
      <c r="AS541" s="29"/>
    </row>
    <row r="542" spans="5:45" x14ac:dyDescent="0.25">
      <c r="E542" s="9"/>
      <c r="F542" s="9"/>
      <c r="G542" s="9"/>
      <c r="H542" s="9"/>
      <c r="I542" s="9"/>
      <c r="J542" s="9"/>
      <c r="K542" s="29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29"/>
      <c r="AC542" s="29"/>
      <c r="AD542" s="29"/>
      <c r="AE542" s="29"/>
      <c r="AF542" s="29"/>
      <c r="AG542" s="29"/>
      <c r="AH542" s="29"/>
      <c r="AI542" s="9"/>
      <c r="AJ542" s="9"/>
      <c r="AK542" s="9"/>
      <c r="AL542" s="9"/>
      <c r="AM542" s="9"/>
      <c r="AN542" s="9"/>
      <c r="AO542" s="9"/>
      <c r="AP542" s="9"/>
      <c r="AQ542" s="29"/>
      <c r="AR542" s="29"/>
      <c r="AS542" s="29"/>
    </row>
    <row r="543" spans="5:45" x14ac:dyDescent="0.25">
      <c r="E543" s="9"/>
      <c r="F543" s="9"/>
      <c r="G543" s="9"/>
      <c r="H543" s="9"/>
      <c r="I543" s="9"/>
      <c r="J543" s="9"/>
      <c r="K543" s="29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29"/>
      <c r="AC543" s="29"/>
      <c r="AD543" s="29"/>
      <c r="AE543" s="29"/>
      <c r="AF543" s="29"/>
      <c r="AG543" s="29"/>
      <c r="AH543" s="29"/>
      <c r="AI543" s="9"/>
      <c r="AJ543" s="9"/>
      <c r="AK543" s="9"/>
      <c r="AL543" s="9"/>
      <c r="AM543" s="9"/>
      <c r="AN543" s="9"/>
      <c r="AO543" s="9"/>
      <c r="AP543" s="9"/>
      <c r="AQ543" s="29"/>
      <c r="AR543" s="29"/>
      <c r="AS543" s="29"/>
    </row>
    <row r="544" spans="5:45" x14ac:dyDescent="0.25">
      <c r="E544" s="9"/>
      <c r="F544" s="9"/>
      <c r="G544" s="9"/>
      <c r="H544" s="9"/>
      <c r="I544" s="9"/>
      <c r="J544" s="9"/>
      <c r="K544" s="29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29"/>
      <c r="AC544" s="29"/>
      <c r="AD544" s="29"/>
      <c r="AE544" s="29"/>
      <c r="AF544" s="29"/>
      <c r="AG544" s="29"/>
      <c r="AH544" s="29"/>
      <c r="AI544" s="9"/>
      <c r="AJ544" s="9"/>
      <c r="AK544" s="9"/>
      <c r="AL544" s="9"/>
      <c r="AM544" s="9"/>
      <c r="AN544" s="9"/>
      <c r="AO544" s="9"/>
      <c r="AP544" s="9"/>
      <c r="AQ544" s="29"/>
      <c r="AR544" s="29"/>
      <c r="AS544" s="29"/>
    </row>
    <row r="545" spans="5:45" x14ac:dyDescent="0.25">
      <c r="E545" s="9"/>
      <c r="F545" s="9"/>
      <c r="G545" s="9"/>
      <c r="H545" s="9"/>
      <c r="I545" s="9"/>
      <c r="J545" s="9"/>
      <c r="K545" s="29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29"/>
      <c r="AC545" s="29"/>
      <c r="AD545" s="29"/>
      <c r="AE545" s="29"/>
      <c r="AF545" s="29"/>
      <c r="AG545" s="29"/>
      <c r="AH545" s="29"/>
      <c r="AI545" s="9"/>
      <c r="AJ545" s="9"/>
      <c r="AK545" s="9"/>
      <c r="AL545" s="9"/>
      <c r="AM545" s="9"/>
      <c r="AN545" s="9"/>
      <c r="AO545" s="9"/>
      <c r="AP545" s="9"/>
      <c r="AQ545" s="29"/>
      <c r="AR545" s="29"/>
      <c r="AS545" s="29"/>
    </row>
    <row r="546" spans="5:45" x14ac:dyDescent="0.25">
      <c r="E546" s="9"/>
      <c r="F546" s="9"/>
      <c r="G546" s="9"/>
      <c r="H546" s="9"/>
      <c r="I546" s="9"/>
      <c r="J546" s="9"/>
      <c r="K546" s="29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29"/>
      <c r="AC546" s="29"/>
      <c r="AD546" s="29"/>
      <c r="AE546" s="29"/>
      <c r="AF546" s="29"/>
      <c r="AG546" s="29"/>
      <c r="AH546" s="29"/>
      <c r="AI546" s="9"/>
      <c r="AJ546" s="9"/>
      <c r="AK546" s="9"/>
      <c r="AL546" s="9"/>
      <c r="AM546" s="9"/>
      <c r="AN546" s="9"/>
      <c r="AO546" s="9"/>
      <c r="AP546" s="9"/>
      <c r="AQ546" s="29"/>
      <c r="AR546" s="29"/>
      <c r="AS546" s="29"/>
    </row>
    <row r="547" spans="5:45" x14ac:dyDescent="0.25">
      <c r="E547" s="9"/>
      <c r="F547" s="9"/>
      <c r="G547" s="9"/>
      <c r="H547" s="9"/>
      <c r="I547" s="9"/>
      <c r="J547" s="9"/>
      <c r="K547" s="29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29"/>
      <c r="AC547" s="29"/>
      <c r="AD547" s="29"/>
      <c r="AE547" s="29"/>
      <c r="AF547" s="29"/>
      <c r="AG547" s="29"/>
      <c r="AH547" s="29"/>
      <c r="AI547" s="9"/>
      <c r="AJ547" s="9"/>
      <c r="AK547" s="9"/>
      <c r="AL547" s="9"/>
      <c r="AM547" s="9"/>
      <c r="AN547" s="9"/>
      <c r="AO547" s="9"/>
      <c r="AP547" s="9"/>
      <c r="AQ547" s="29"/>
      <c r="AR547" s="29"/>
      <c r="AS547" s="29"/>
    </row>
    <row r="548" spans="5:45" x14ac:dyDescent="0.25">
      <c r="E548" s="9"/>
      <c r="F548" s="9"/>
      <c r="G548" s="9"/>
      <c r="H548" s="9"/>
      <c r="I548" s="9"/>
      <c r="J548" s="9"/>
      <c r="K548" s="29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29"/>
      <c r="AC548" s="29"/>
      <c r="AD548" s="29"/>
      <c r="AE548" s="29"/>
      <c r="AF548" s="29"/>
      <c r="AG548" s="29"/>
      <c r="AH548" s="29"/>
      <c r="AI548" s="9"/>
      <c r="AJ548" s="9"/>
      <c r="AK548" s="9"/>
      <c r="AL548" s="9"/>
      <c r="AM548" s="9"/>
      <c r="AN548" s="9"/>
      <c r="AO548" s="9"/>
      <c r="AP548" s="9"/>
      <c r="AQ548" s="29"/>
      <c r="AR548" s="29"/>
      <c r="AS548" s="29"/>
    </row>
    <row r="549" spans="5:45" x14ac:dyDescent="0.25">
      <c r="E549" s="9"/>
      <c r="F549" s="9"/>
      <c r="G549" s="9"/>
      <c r="H549" s="9"/>
      <c r="I549" s="9"/>
      <c r="J549" s="9"/>
      <c r="K549" s="29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29"/>
      <c r="AC549" s="29"/>
      <c r="AD549" s="29"/>
      <c r="AE549" s="29"/>
      <c r="AF549" s="29"/>
      <c r="AG549" s="29"/>
      <c r="AH549" s="29"/>
      <c r="AI549" s="9"/>
      <c r="AJ549" s="9"/>
      <c r="AK549" s="9"/>
      <c r="AL549" s="9"/>
      <c r="AM549" s="9"/>
      <c r="AN549" s="9"/>
      <c r="AO549" s="9"/>
      <c r="AP549" s="9"/>
      <c r="AQ549" s="29"/>
      <c r="AR549" s="29"/>
      <c r="AS549" s="29"/>
    </row>
    <row r="550" spans="5:45" x14ac:dyDescent="0.25">
      <c r="E550" s="9"/>
      <c r="F550" s="9"/>
      <c r="G550" s="9"/>
      <c r="H550" s="9"/>
      <c r="I550" s="9"/>
      <c r="J550" s="9"/>
      <c r="K550" s="29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29"/>
      <c r="AC550" s="29"/>
      <c r="AD550" s="29"/>
      <c r="AE550" s="29"/>
      <c r="AF550" s="29"/>
      <c r="AG550" s="29"/>
      <c r="AH550" s="29"/>
      <c r="AI550" s="9"/>
      <c r="AJ550" s="9"/>
      <c r="AK550" s="9"/>
      <c r="AL550" s="9"/>
      <c r="AM550" s="9"/>
      <c r="AN550" s="9"/>
      <c r="AO550" s="9"/>
      <c r="AP550" s="9"/>
      <c r="AQ550" s="29"/>
      <c r="AR550" s="29"/>
      <c r="AS550" s="29"/>
    </row>
    <row r="551" spans="5:45" x14ac:dyDescent="0.25">
      <c r="E551" s="9"/>
      <c r="F551" s="9"/>
      <c r="G551" s="9"/>
      <c r="H551" s="9"/>
      <c r="I551" s="9"/>
      <c r="J551" s="9"/>
      <c r="K551" s="29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29"/>
      <c r="AC551" s="29"/>
      <c r="AD551" s="29"/>
      <c r="AE551" s="29"/>
      <c r="AF551" s="29"/>
      <c r="AG551" s="29"/>
      <c r="AH551" s="29"/>
      <c r="AI551" s="9"/>
      <c r="AJ551" s="9"/>
      <c r="AK551" s="9"/>
      <c r="AL551" s="9"/>
      <c r="AM551" s="9"/>
      <c r="AN551" s="9"/>
      <c r="AO551" s="9"/>
      <c r="AP551" s="9"/>
      <c r="AQ551" s="29"/>
      <c r="AR551" s="29"/>
      <c r="AS551" s="29"/>
    </row>
    <row r="552" spans="5:45" x14ac:dyDescent="0.25">
      <c r="E552" s="9"/>
      <c r="F552" s="9"/>
      <c r="G552" s="9"/>
      <c r="H552" s="9"/>
      <c r="I552" s="9"/>
      <c r="J552" s="9"/>
      <c r="K552" s="29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29"/>
      <c r="AC552" s="29"/>
      <c r="AD552" s="29"/>
      <c r="AE552" s="29"/>
      <c r="AF552" s="29"/>
      <c r="AG552" s="29"/>
      <c r="AH552" s="29"/>
      <c r="AI552" s="9"/>
      <c r="AJ552" s="9"/>
      <c r="AK552" s="9"/>
      <c r="AL552" s="9"/>
      <c r="AM552" s="9"/>
      <c r="AN552" s="9"/>
      <c r="AO552" s="9"/>
      <c r="AP552" s="9"/>
      <c r="AQ552" s="29"/>
      <c r="AR552" s="29"/>
      <c r="AS552" s="29"/>
    </row>
    <row r="553" spans="5:45" x14ac:dyDescent="0.25">
      <c r="E553" s="9"/>
      <c r="F553" s="9"/>
      <c r="G553" s="9"/>
      <c r="H553" s="9"/>
      <c r="I553" s="9"/>
      <c r="J553" s="9"/>
      <c r="K553" s="29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29"/>
      <c r="AC553" s="29"/>
      <c r="AD553" s="29"/>
      <c r="AE553" s="29"/>
      <c r="AF553" s="29"/>
      <c r="AG553" s="29"/>
      <c r="AH553" s="29"/>
      <c r="AI553" s="9"/>
      <c r="AJ553" s="9"/>
      <c r="AK553" s="9"/>
      <c r="AL553" s="9"/>
      <c r="AM553" s="9"/>
      <c r="AN553" s="9"/>
      <c r="AO553" s="9"/>
      <c r="AP553" s="9"/>
      <c r="AQ553" s="29"/>
      <c r="AR553" s="29"/>
      <c r="AS553" s="29"/>
    </row>
    <row r="554" spans="5:45" x14ac:dyDescent="0.25">
      <c r="E554" s="9"/>
      <c r="F554" s="9"/>
      <c r="G554" s="9"/>
      <c r="H554" s="9"/>
      <c r="I554" s="9"/>
      <c r="J554" s="9"/>
      <c r="K554" s="29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29"/>
      <c r="AC554" s="29"/>
      <c r="AD554" s="29"/>
      <c r="AE554" s="29"/>
      <c r="AF554" s="29"/>
      <c r="AG554" s="29"/>
      <c r="AH554" s="29"/>
      <c r="AI554" s="9"/>
      <c r="AJ554" s="9"/>
      <c r="AK554" s="9"/>
      <c r="AL554" s="9"/>
      <c r="AM554" s="9"/>
      <c r="AN554" s="9"/>
      <c r="AO554" s="9"/>
      <c r="AP554" s="9"/>
      <c r="AQ554" s="29"/>
      <c r="AR554" s="29"/>
      <c r="AS554" s="29"/>
    </row>
    <row r="555" spans="5:45" x14ac:dyDescent="0.25">
      <c r="E555" s="9"/>
      <c r="F555" s="9"/>
      <c r="G555" s="9"/>
      <c r="H555" s="9"/>
      <c r="I555" s="9"/>
      <c r="J555" s="9"/>
      <c r="K555" s="29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29"/>
      <c r="AC555" s="29"/>
      <c r="AD555" s="29"/>
      <c r="AE555" s="29"/>
      <c r="AF555" s="29"/>
      <c r="AG555" s="29"/>
      <c r="AH555" s="29"/>
      <c r="AI555" s="9"/>
      <c r="AJ555" s="9"/>
      <c r="AK555" s="9"/>
      <c r="AL555" s="9"/>
      <c r="AM555" s="9"/>
      <c r="AN555" s="9"/>
      <c r="AO555" s="9"/>
      <c r="AP555" s="9"/>
      <c r="AQ555" s="29"/>
      <c r="AR555" s="29"/>
      <c r="AS555" s="29"/>
    </row>
    <row r="556" spans="5:45" x14ac:dyDescent="0.25">
      <c r="E556" s="9"/>
      <c r="F556" s="9"/>
      <c r="G556" s="9"/>
      <c r="H556" s="9"/>
      <c r="I556" s="9"/>
      <c r="J556" s="9"/>
      <c r="K556" s="29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29"/>
      <c r="AC556" s="29"/>
      <c r="AD556" s="29"/>
      <c r="AE556" s="29"/>
      <c r="AF556" s="29"/>
      <c r="AG556" s="29"/>
      <c r="AH556" s="29"/>
      <c r="AI556" s="9"/>
      <c r="AJ556" s="9"/>
      <c r="AK556" s="9"/>
      <c r="AL556" s="9"/>
      <c r="AM556" s="9"/>
      <c r="AN556" s="9"/>
      <c r="AO556" s="9"/>
      <c r="AP556" s="9"/>
      <c r="AQ556" s="29"/>
      <c r="AR556" s="29"/>
      <c r="AS556" s="29"/>
    </row>
    <row r="557" spans="5:45" x14ac:dyDescent="0.25">
      <c r="E557" s="9"/>
      <c r="F557" s="9"/>
      <c r="G557" s="9"/>
      <c r="H557" s="9"/>
      <c r="I557" s="9"/>
      <c r="J557" s="9"/>
      <c r="K557" s="29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29"/>
      <c r="AC557" s="29"/>
      <c r="AD557" s="29"/>
      <c r="AE557" s="29"/>
      <c r="AF557" s="29"/>
      <c r="AG557" s="29"/>
      <c r="AH557" s="29"/>
      <c r="AI557" s="9"/>
      <c r="AJ557" s="9"/>
      <c r="AK557" s="9"/>
      <c r="AL557" s="9"/>
      <c r="AM557" s="9"/>
      <c r="AN557" s="9"/>
      <c r="AO557" s="9"/>
      <c r="AP557" s="9"/>
      <c r="AQ557" s="29"/>
      <c r="AR557" s="29"/>
      <c r="AS557" s="29"/>
    </row>
    <row r="558" spans="5:45" x14ac:dyDescent="0.25">
      <c r="E558" s="9"/>
      <c r="F558" s="9"/>
      <c r="G558" s="9"/>
      <c r="H558" s="9"/>
      <c r="I558" s="9"/>
      <c r="J558" s="9"/>
      <c r="K558" s="29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29"/>
      <c r="AC558" s="29"/>
      <c r="AD558" s="29"/>
      <c r="AE558" s="29"/>
      <c r="AF558" s="29"/>
      <c r="AG558" s="29"/>
      <c r="AH558" s="29"/>
      <c r="AI558" s="9"/>
      <c r="AJ558" s="9"/>
      <c r="AK558" s="9"/>
      <c r="AL558" s="9"/>
      <c r="AM558" s="9"/>
      <c r="AN558" s="9"/>
      <c r="AO558" s="9"/>
      <c r="AP558" s="9"/>
      <c r="AQ558" s="29"/>
      <c r="AR558" s="29"/>
      <c r="AS558" s="29"/>
    </row>
    <row r="559" spans="5:45" x14ac:dyDescent="0.25">
      <c r="E559" s="9"/>
      <c r="F559" s="9"/>
      <c r="G559" s="9"/>
      <c r="H559" s="9"/>
      <c r="I559" s="9"/>
      <c r="J559" s="9"/>
      <c r="K559" s="29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29"/>
      <c r="AC559" s="29"/>
      <c r="AD559" s="29"/>
      <c r="AE559" s="29"/>
      <c r="AF559" s="29"/>
      <c r="AG559" s="29"/>
      <c r="AH559" s="29"/>
      <c r="AI559" s="9"/>
      <c r="AJ559" s="9"/>
      <c r="AK559" s="9"/>
      <c r="AL559" s="9"/>
      <c r="AM559" s="9"/>
      <c r="AN559" s="9"/>
      <c r="AO559" s="9"/>
      <c r="AP559" s="9"/>
      <c r="AQ559" s="29"/>
      <c r="AR559" s="29"/>
      <c r="AS559" s="29"/>
    </row>
    <row r="560" spans="5:45" x14ac:dyDescent="0.25">
      <c r="E560" s="9"/>
      <c r="F560" s="9"/>
      <c r="G560" s="9"/>
      <c r="H560" s="9"/>
      <c r="I560" s="9"/>
      <c r="J560" s="9"/>
      <c r="K560" s="29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29"/>
      <c r="AC560" s="29"/>
      <c r="AD560" s="29"/>
      <c r="AE560" s="29"/>
      <c r="AF560" s="29"/>
      <c r="AG560" s="29"/>
      <c r="AH560" s="29"/>
      <c r="AI560" s="9"/>
      <c r="AJ560" s="9"/>
      <c r="AK560" s="9"/>
      <c r="AL560" s="9"/>
      <c r="AM560" s="9"/>
      <c r="AN560" s="9"/>
      <c r="AO560" s="9"/>
      <c r="AP560" s="9"/>
      <c r="AQ560" s="29"/>
      <c r="AR560" s="29"/>
      <c r="AS560" s="29"/>
    </row>
    <row r="561" spans="5:45" x14ac:dyDescent="0.25">
      <c r="E561" s="9"/>
      <c r="F561" s="9"/>
      <c r="G561" s="9"/>
      <c r="H561" s="9"/>
      <c r="I561" s="9"/>
      <c r="J561" s="9"/>
      <c r="K561" s="29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29"/>
      <c r="AC561" s="29"/>
      <c r="AD561" s="29"/>
      <c r="AE561" s="29"/>
      <c r="AF561" s="29"/>
      <c r="AG561" s="29"/>
      <c r="AH561" s="29"/>
      <c r="AI561" s="9"/>
      <c r="AJ561" s="9"/>
      <c r="AK561" s="9"/>
      <c r="AL561" s="9"/>
      <c r="AM561" s="9"/>
      <c r="AN561" s="9"/>
      <c r="AO561" s="9"/>
      <c r="AP561" s="9"/>
      <c r="AQ561" s="29"/>
      <c r="AR561" s="29"/>
      <c r="AS561" s="29"/>
    </row>
    <row r="562" spans="5:45" x14ac:dyDescent="0.25">
      <c r="E562" s="9"/>
      <c r="F562" s="9"/>
      <c r="G562" s="9"/>
      <c r="H562" s="9"/>
      <c r="I562" s="9"/>
      <c r="J562" s="9"/>
      <c r="K562" s="29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29"/>
      <c r="AC562" s="29"/>
      <c r="AD562" s="29"/>
      <c r="AE562" s="29"/>
      <c r="AF562" s="29"/>
      <c r="AG562" s="29"/>
      <c r="AH562" s="29"/>
      <c r="AI562" s="9"/>
      <c r="AJ562" s="9"/>
      <c r="AK562" s="9"/>
      <c r="AL562" s="9"/>
      <c r="AM562" s="9"/>
      <c r="AN562" s="9"/>
      <c r="AO562" s="9"/>
      <c r="AP562" s="9"/>
      <c r="AQ562" s="29"/>
      <c r="AR562" s="29"/>
      <c r="AS562" s="29"/>
    </row>
    <row r="563" spans="5:45" x14ac:dyDescent="0.25">
      <c r="E563" s="9"/>
      <c r="F563" s="9"/>
      <c r="G563" s="9"/>
      <c r="H563" s="9"/>
      <c r="I563" s="9"/>
      <c r="J563" s="9"/>
      <c r="K563" s="29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29"/>
      <c r="AC563" s="29"/>
      <c r="AD563" s="29"/>
      <c r="AE563" s="29"/>
      <c r="AF563" s="29"/>
      <c r="AG563" s="29"/>
      <c r="AH563" s="29"/>
      <c r="AI563" s="9"/>
      <c r="AJ563" s="9"/>
      <c r="AK563" s="9"/>
      <c r="AL563" s="9"/>
      <c r="AM563" s="9"/>
      <c r="AN563" s="9"/>
      <c r="AO563" s="9"/>
      <c r="AP563" s="9"/>
      <c r="AQ563" s="29"/>
      <c r="AR563" s="29"/>
      <c r="AS563" s="29"/>
    </row>
    <row r="564" spans="5:45" x14ac:dyDescent="0.25">
      <c r="E564" s="9"/>
      <c r="F564" s="9"/>
      <c r="G564" s="9"/>
      <c r="H564" s="9"/>
      <c r="I564" s="9"/>
      <c r="J564" s="9"/>
      <c r="K564" s="29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29"/>
      <c r="AC564" s="29"/>
      <c r="AD564" s="29"/>
      <c r="AE564" s="29"/>
      <c r="AF564" s="29"/>
      <c r="AG564" s="29"/>
      <c r="AH564" s="29"/>
      <c r="AI564" s="9"/>
      <c r="AJ564" s="9"/>
      <c r="AK564" s="9"/>
      <c r="AL564" s="9"/>
      <c r="AM564" s="9"/>
      <c r="AN564" s="9"/>
      <c r="AO564" s="9"/>
      <c r="AP564" s="9"/>
      <c r="AQ564" s="29"/>
      <c r="AR564" s="29"/>
      <c r="AS564" s="29"/>
    </row>
    <row r="565" spans="5:45" x14ac:dyDescent="0.25">
      <c r="E565" s="9"/>
      <c r="F565" s="9"/>
      <c r="G565" s="9"/>
      <c r="H565" s="9"/>
      <c r="I565" s="9"/>
      <c r="J565" s="9"/>
      <c r="K565" s="29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29"/>
      <c r="AC565" s="29"/>
      <c r="AD565" s="29"/>
      <c r="AE565" s="29"/>
      <c r="AF565" s="29"/>
      <c r="AG565" s="29"/>
      <c r="AH565" s="29"/>
      <c r="AI565" s="9"/>
      <c r="AJ565" s="9"/>
      <c r="AK565" s="9"/>
      <c r="AL565" s="9"/>
      <c r="AM565" s="9"/>
      <c r="AN565" s="9"/>
      <c r="AO565" s="9"/>
      <c r="AP565" s="9"/>
      <c r="AQ565" s="29"/>
      <c r="AR565" s="29"/>
      <c r="AS565" s="29"/>
    </row>
    <row r="566" spans="5:45" x14ac:dyDescent="0.25">
      <c r="E566" s="9"/>
      <c r="F566" s="9"/>
      <c r="G566" s="9"/>
      <c r="H566" s="9"/>
      <c r="I566" s="9"/>
      <c r="J566" s="9"/>
      <c r="K566" s="29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29"/>
      <c r="AC566" s="29"/>
      <c r="AD566" s="29"/>
      <c r="AE566" s="29"/>
      <c r="AF566" s="29"/>
      <c r="AG566" s="29"/>
      <c r="AH566" s="29"/>
      <c r="AI566" s="9"/>
      <c r="AJ566" s="9"/>
      <c r="AK566" s="9"/>
      <c r="AL566" s="9"/>
      <c r="AM566" s="9"/>
      <c r="AN566" s="9"/>
      <c r="AO566" s="9"/>
      <c r="AP566" s="9"/>
      <c r="AQ566" s="29"/>
      <c r="AR566" s="29"/>
      <c r="AS566" s="29"/>
    </row>
    <row r="567" spans="5:45" x14ac:dyDescent="0.25">
      <c r="E567" s="9"/>
      <c r="F567" s="9"/>
      <c r="G567" s="9"/>
      <c r="H567" s="9"/>
      <c r="I567" s="9"/>
      <c r="J567" s="9"/>
      <c r="K567" s="29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29"/>
      <c r="AC567" s="29"/>
      <c r="AD567" s="29"/>
      <c r="AE567" s="29"/>
      <c r="AF567" s="29"/>
      <c r="AG567" s="29"/>
      <c r="AH567" s="29"/>
      <c r="AI567" s="9"/>
      <c r="AJ567" s="9"/>
      <c r="AK567" s="9"/>
      <c r="AL567" s="9"/>
      <c r="AM567" s="9"/>
      <c r="AN567" s="9"/>
      <c r="AO567" s="9"/>
      <c r="AP567" s="9"/>
      <c r="AQ567" s="29"/>
      <c r="AR567" s="29"/>
      <c r="AS567" s="29"/>
    </row>
    <row r="568" spans="5:45" x14ac:dyDescent="0.25">
      <c r="E568" s="9"/>
      <c r="F568" s="9"/>
      <c r="G568" s="9"/>
      <c r="H568" s="9"/>
      <c r="I568" s="9"/>
      <c r="J568" s="9"/>
      <c r="K568" s="29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29"/>
      <c r="AC568" s="29"/>
      <c r="AD568" s="29"/>
      <c r="AE568" s="29"/>
      <c r="AF568" s="29"/>
      <c r="AG568" s="29"/>
      <c r="AH568" s="29"/>
      <c r="AI568" s="9"/>
      <c r="AJ568" s="9"/>
      <c r="AK568" s="9"/>
      <c r="AL568" s="9"/>
      <c r="AM568" s="9"/>
      <c r="AN568" s="9"/>
      <c r="AO568" s="9"/>
      <c r="AP568" s="9"/>
      <c r="AQ568" s="29"/>
      <c r="AR568" s="29"/>
      <c r="AS568" s="29"/>
    </row>
    <row r="569" spans="5:45" x14ac:dyDescent="0.25">
      <c r="E569" s="9"/>
      <c r="F569" s="9"/>
      <c r="G569" s="9"/>
      <c r="H569" s="9"/>
      <c r="I569" s="9"/>
      <c r="J569" s="9"/>
      <c r="K569" s="29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29"/>
      <c r="AC569" s="29"/>
      <c r="AD569" s="29"/>
      <c r="AE569" s="29"/>
      <c r="AF569" s="29"/>
      <c r="AG569" s="29"/>
      <c r="AH569" s="29"/>
      <c r="AI569" s="9"/>
      <c r="AJ569" s="9"/>
      <c r="AK569" s="9"/>
      <c r="AL569" s="9"/>
      <c r="AM569" s="9"/>
      <c r="AN569" s="9"/>
      <c r="AO569" s="9"/>
      <c r="AP569" s="9"/>
      <c r="AQ569" s="29"/>
      <c r="AR569" s="29"/>
      <c r="AS569" s="29"/>
    </row>
    <row r="570" spans="5:45" x14ac:dyDescent="0.25">
      <c r="E570" s="9"/>
      <c r="F570" s="9"/>
      <c r="G570" s="9"/>
      <c r="H570" s="9"/>
      <c r="I570" s="9"/>
      <c r="J570" s="9"/>
      <c r="K570" s="29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29"/>
      <c r="AC570" s="29"/>
      <c r="AD570" s="29"/>
      <c r="AE570" s="29"/>
      <c r="AF570" s="29"/>
      <c r="AG570" s="29"/>
      <c r="AH570" s="29"/>
      <c r="AI570" s="9"/>
      <c r="AJ570" s="9"/>
      <c r="AK570" s="9"/>
      <c r="AL570" s="9"/>
      <c r="AM570" s="9"/>
      <c r="AN570" s="9"/>
      <c r="AO570" s="9"/>
      <c r="AP570" s="9"/>
      <c r="AQ570" s="29"/>
      <c r="AR570" s="29"/>
      <c r="AS570" s="29"/>
    </row>
    <row r="571" spans="5:45" x14ac:dyDescent="0.25">
      <c r="E571" s="9"/>
      <c r="F571" s="9"/>
      <c r="G571" s="9"/>
      <c r="H571" s="9"/>
      <c r="I571" s="9"/>
      <c r="J571" s="9"/>
      <c r="K571" s="29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29"/>
      <c r="AC571" s="29"/>
      <c r="AD571" s="29"/>
      <c r="AE571" s="29"/>
      <c r="AF571" s="29"/>
      <c r="AG571" s="29"/>
      <c r="AH571" s="29"/>
      <c r="AI571" s="9"/>
      <c r="AJ571" s="9"/>
      <c r="AK571" s="9"/>
      <c r="AL571" s="9"/>
      <c r="AM571" s="9"/>
      <c r="AN571" s="9"/>
      <c r="AO571" s="9"/>
      <c r="AP571" s="9"/>
      <c r="AQ571" s="29"/>
      <c r="AR571" s="29"/>
      <c r="AS571" s="29"/>
    </row>
    <row r="572" spans="5:45" x14ac:dyDescent="0.25">
      <c r="E572" s="9"/>
      <c r="F572" s="9"/>
      <c r="G572" s="9"/>
      <c r="H572" s="9"/>
      <c r="I572" s="9"/>
      <c r="J572" s="9"/>
      <c r="K572" s="29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29"/>
      <c r="AC572" s="29"/>
      <c r="AD572" s="29"/>
      <c r="AE572" s="29"/>
      <c r="AF572" s="29"/>
      <c r="AG572" s="29"/>
      <c r="AH572" s="29"/>
      <c r="AI572" s="9"/>
      <c r="AJ572" s="9"/>
      <c r="AK572" s="9"/>
      <c r="AL572" s="9"/>
      <c r="AM572" s="9"/>
      <c r="AN572" s="9"/>
      <c r="AO572" s="9"/>
      <c r="AP572" s="9"/>
      <c r="AQ572" s="29"/>
      <c r="AR572" s="29"/>
      <c r="AS572" s="29"/>
    </row>
    <row r="573" spans="5:45" x14ac:dyDescent="0.25">
      <c r="E573" s="9"/>
      <c r="F573" s="9"/>
      <c r="G573" s="9"/>
      <c r="H573" s="9"/>
      <c r="I573" s="9"/>
      <c r="J573" s="9"/>
      <c r="K573" s="29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29"/>
      <c r="AC573" s="29"/>
      <c r="AD573" s="29"/>
      <c r="AE573" s="29"/>
      <c r="AF573" s="29"/>
      <c r="AG573" s="29"/>
      <c r="AH573" s="29"/>
      <c r="AI573" s="9"/>
      <c r="AJ573" s="9"/>
      <c r="AK573" s="9"/>
      <c r="AL573" s="9"/>
      <c r="AM573" s="9"/>
      <c r="AN573" s="9"/>
      <c r="AO573" s="9"/>
      <c r="AP573" s="9"/>
      <c r="AQ573" s="29"/>
      <c r="AR573" s="29"/>
      <c r="AS573" s="29"/>
    </row>
    <row r="574" spans="5:45" x14ac:dyDescent="0.25">
      <c r="E574" s="9"/>
      <c r="F574" s="9"/>
      <c r="G574" s="9"/>
      <c r="H574" s="9"/>
      <c r="I574" s="9"/>
      <c r="J574" s="9"/>
      <c r="K574" s="29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29"/>
      <c r="AC574" s="29"/>
      <c r="AD574" s="29"/>
      <c r="AE574" s="29"/>
      <c r="AF574" s="29"/>
      <c r="AG574" s="29"/>
      <c r="AH574" s="29"/>
      <c r="AI574" s="9"/>
      <c r="AJ574" s="9"/>
      <c r="AK574" s="9"/>
      <c r="AL574" s="9"/>
      <c r="AM574" s="9"/>
      <c r="AN574" s="9"/>
      <c r="AO574" s="9"/>
      <c r="AP574" s="9"/>
      <c r="AQ574" s="29"/>
      <c r="AR574" s="29"/>
      <c r="AS574" s="29"/>
    </row>
    <row r="575" spans="5:45" x14ac:dyDescent="0.25">
      <c r="E575" s="9"/>
      <c r="F575" s="9"/>
      <c r="G575" s="9"/>
      <c r="H575" s="9"/>
      <c r="I575" s="9"/>
      <c r="J575" s="9"/>
      <c r="K575" s="29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29"/>
      <c r="AC575" s="29"/>
      <c r="AD575" s="29"/>
      <c r="AE575" s="29"/>
      <c r="AF575" s="29"/>
      <c r="AG575" s="29"/>
      <c r="AH575" s="29"/>
      <c r="AI575" s="9"/>
      <c r="AJ575" s="9"/>
      <c r="AK575" s="9"/>
      <c r="AL575" s="9"/>
      <c r="AM575" s="9"/>
      <c r="AN575" s="9"/>
      <c r="AO575" s="9"/>
      <c r="AP575" s="9"/>
      <c r="AQ575" s="29"/>
      <c r="AR575" s="29"/>
      <c r="AS575" s="29"/>
    </row>
    <row r="576" spans="5:45" x14ac:dyDescent="0.25">
      <c r="E576" s="9"/>
      <c r="F576" s="9"/>
      <c r="G576" s="9"/>
      <c r="H576" s="9"/>
      <c r="I576" s="9"/>
      <c r="J576" s="9"/>
      <c r="K576" s="29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29"/>
      <c r="AC576" s="29"/>
      <c r="AD576" s="29"/>
      <c r="AE576" s="29"/>
      <c r="AF576" s="29"/>
      <c r="AG576" s="29"/>
      <c r="AH576" s="29"/>
      <c r="AI576" s="9"/>
      <c r="AJ576" s="9"/>
      <c r="AK576" s="9"/>
      <c r="AL576" s="9"/>
      <c r="AM576" s="9"/>
      <c r="AN576" s="9"/>
      <c r="AO576" s="9"/>
      <c r="AP576" s="9"/>
      <c r="AQ576" s="29"/>
      <c r="AR576" s="29"/>
      <c r="AS576" s="29"/>
    </row>
    <row r="577" spans="5:45" x14ac:dyDescent="0.25">
      <c r="E577" s="9"/>
      <c r="F577" s="9"/>
      <c r="G577" s="9"/>
      <c r="H577" s="9"/>
      <c r="I577" s="9"/>
      <c r="J577" s="9"/>
      <c r="K577" s="29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29"/>
      <c r="AC577" s="29"/>
      <c r="AD577" s="29"/>
      <c r="AE577" s="29"/>
      <c r="AF577" s="29"/>
      <c r="AG577" s="29"/>
      <c r="AH577" s="29"/>
      <c r="AI577" s="9"/>
      <c r="AJ577" s="9"/>
      <c r="AK577" s="9"/>
      <c r="AL577" s="9"/>
      <c r="AM577" s="9"/>
      <c r="AN577" s="9"/>
      <c r="AO577" s="9"/>
      <c r="AP577" s="9"/>
      <c r="AQ577" s="29"/>
      <c r="AR577" s="29"/>
      <c r="AS577" s="29"/>
    </row>
    <row r="578" spans="5:45" x14ac:dyDescent="0.25">
      <c r="E578" s="9"/>
      <c r="F578" s="9"/>
      <c r="G578" s="9"/>
      <c r="H578" s="9"/>
      <c r="I578" s="9"/>
      <c r="J578" s="9"/>
      <c r="K578" s="29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29"/>
      <c r="AC578" s="29"/>
      <c r="AD578" s="29"/>
      <c r="AE578" s="29"/>
      <c r="AF578" s="29"/>
      <c r="AG578" s="29"/>
      <c r="AH578" s="29"/>
      <c r="AI578" s="9"/>
      <c r="AJ578" s="9"/>
      <c r="AK578" s="9"/>
      <c r="AL578" s="9"/>
      <c r="AM578" s="9"/>
      <c r="AN578" s="9"/>
      <c r="AO578" s="9"/>
      <c r="AP578" s="9"/>
      <c r="AQ578" s="29"/>
      <c r="AR578" s="29"/>
      <c r="AS578" s="29"/>
    </row>
    <row r="579" spans="5:45" x14ac:dyDescent="0.25">
      <c r="E579" s="9"/>
      <c r="F579" s="9"/>
      <c r="G579" s="9"/>
      <c r="H579" s="9"/>
      <c r="I579" s="9"/>
      <c r="J579" s="9"/>
      <c r="K579" s="29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29"/>
      <c r="AC579" s="29"/>
      <c r="AD579" s="29"/>
      <c r="AE579" s="29"/>
      <c r="AF579" s="29"/>
      <c r="AG579" s="29"/>
      <c r="AH579" s="29"/>
      <c r="AI579" s="9"/>
      <c r="AJ579" s="9"/>
      <c r="AK579" s="9"/>
      <c r="AL579" s="9"/>
      <c r="AM579" s="9"/>
      <c r="AN579" s="9"/>
      <c r="AO579" s="9"/>
      <c r="AP579" s="9"/>
      <c r="AQ579" s="29"/>
      <c r="AR579" s="29"/>
      <c r="AS579" s="29"/>
    </row>
    <row r="580" spans="5:45" x14ac:dyDescent="0.25">
      <c r="E580" s="9"/>
      <c r="F580" s="9"/>
      <c r="G580" s="9"/>
      <c r="H580" s="9"/>
      <c r="I580" s="9"/>
      <c r="J580" s="9"/>
      <c r="K580" s="29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29"/>
      <c r="AC580" s="29"/>
      <c r="AD580" s="29"/>
      <c r="AE580" s="29"/>
      <c r="AF580" s="29"/>
      <c r="AG580" s="29"/>
      <c r="AH580" s="29"/>
      <c r="AI580" s="9"/>
      <c r="AJ580" s="9"/>
      <c r="AK580" s="9"/>
      <c r="AL580" s="9"/>
      <c r="AM580" s="9"/>
      <c r="AN580" s="9"/>
      <c r="AO580" s="9"/>
      <c r="AP580" s="9"/>
      <c r="AQ580" s="29"/>
      <c r="AR580" s="29"/>
      <c r="AS580" s="29"/>
    </row>
    <row r="581" spans="5:45" x14ac:dyDescent="0.25">
      <c r="E581" s="9"/>
      <c r="F581" s="9"/>
      <c r="G581" s="9"/>
      <c r="H581" s="9"/>
      <c r="I581" s="9"/>
      <c r="J581" s="9"/>
      <c r="K581" s="29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29"/>
      <c r="AC581" s="29"/>
      <c r="AD581" s="29"/>
      <c r="AE581" s="29"/>
      <c r="AF581" s="29"/>
      <c r="AG581" s="29"/>
      <c r="AH581" s="29"/>
      <c r="AI581" s="9"/>
      <c r="AJ581" s="9"/>
      <c r="AK581" s="9"/>
      <c r="AL581" s="9"/>
      <c r="AM581" s="9"/>
      <c r="AN581" s="9"/>
      <c r="AO581" s="9"/>
      <c r="AP581" s="9"/>
      <c r="AQ581" s="29"/>
      <c r="AR581" s="29"/>
      <c r="AS581" s="29"/>
    </row>
    <row r="582" spans="5:45" x14ac:dyDescent="0.25">
      <c r="E582" s="9"/>
      <c r="F582" s="9"/>
      <c r="G582" s="9"/>
      <c r="H582" s="9"/>
      <c r="I582" s="9"/>
      <c r="J582" s="9"/>
      <c r="K582" s="29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29"/>
      <c r="AC582" s="29"/>
      <c r="AD582" s="29"/>
      <c r="AE582" s="29"/>
      <c r="AF582" s="29"/>
      <c r="AG582" s="29"/>
      <c r="AH582" s="29"/>
      <c r="AI582" s="9"/>
      <c r="AJ582" s="9"/>
      <c r="AK582" s="9"/>
      <c r="AL582" s="9"/>
      <c r="AM582" s="9"/>
      <c r="AN582" s="9"/>
      <c r="AO582" s="9"/>
      <c r="AP582" s="9"/>
      <c r="AQ582" s="29"/>
      <c r="AR582" s="29"/>
      <c r="AS582" s="29"/>
    </row>
    <row r="583" spans="5:45" x14ac:dyDescent="0.25">
      <c r="E583" s="9"/>
      <c r="F583" s="9"/>
      <c r="G583" s="9"/>
      <c r="H583" s="9"/>
      <c r="I583" s="9"/>
      <c r="J583" s="9"/>
      <c r="K583" s="29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29"/>
      <c r="AC583" s="29"/>
      <c r="AD583" s="29"/>
      <c r="AE583" s="29"/>
      <c r="AF583" s="29"/>
      <c r="AG583" s="29"/>
      <c r="AH583" s="29"/>
      <c r="AI583" s="9"/>
      <c r="AJ583" s="9"/>
      <c r="AK583" s="9"/>
      <c r="AL583" s="9"/>
      <c r="AM583" s="9"/>
      <c r="AN583" s="9"/>
      <c r="AO583" s="9"/>
      <c r="AP583" s="9"/>
      <c r="AQ583" s="29"/>
      <c r="AR583" s="29"/>
      <c r="AS583" s="29"/>
    </row>
    <row r="584" spans="5:45" x14ac:dyDescent="0.25">
      <c r="E584" s="9"/>
      <c r="F584" s="9"/>
      <c r="G584" s="9"/>
      <c r="H584" s="9"/>
      <c r="I584" s="9"/>
      <c r="J584" s="9"/>
      <c r="K584" s="29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29"/>
      <c r="AC584" s="29"/>
      <c r="AD584" s="29"/>
      <c r="AE584" s="29"/>
      <c r="AF584" s="29"/>
      <c r="AG584" s="29"/>
      <c r="AH584" s="29"/>
      <c r="AI584" s="9"/>
      <c r="AJ584" s="9"/>
      <c r="AK584" s="9"/>
      <c r="AL584" s="9"/>
      <c r="AM584" s="9"/>
      <c r="AN584" s="9"/>
      <c r="AO584" s="9"/>
      <c r="AP584" s="9"/>
      <c r="AQ584" s="29"/>
      <c r="AR584" s="29"/>
      <c r="AS584" s="29"/>
    </row>
    <row r="585" spans="5:45" x14ac:dyDescent="0.25">
      <c r="E585" s="9"/>
      <c r="F585" s="9"/>
      <c r="G585" s="9"/>
      <c r="H585" s="9"/>
      <c r="I585" s="9"/>
      <c r="J585" s="9"/>
      <c r="K585" s="29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29"/>
      <c r="AC585" s="29"/>
      <c r="AD585" s="29"/>
      <c r="AE585" s="29"/>
      <c r="AF585" s="29"/>
      <c r="AG585" s="29"/>
      <c r="AH585" s="29"/>
      <c r="AI585" s="9"/>
      <c r="AJ585" s="9"/>
      <c r="AK585" s="9"/>
      <c r="AL585" s="9"/>
      <c r="AM585" s="9"/>
      <c r="AN585" s="9"/>
      <c r="AO585" s="9"/>
      <c r="AP585" s="9"/>
      <c r="AQ585" s="29"/>
      <c r="AR585" s="29"/>
      <c r="AS585" s="29"/>
    </row>
    <row r="586" spans="5:45" x14ac:dyDescent="0.25">
      <c r="E586" s="9"/>
      <c r="F586" s="9"/>
      <c r="G586" s="9"/>
      <c r="H586" s="9"/>
      <c r="I586" s="9"/>
      <c r="J586" s="9"/>
      <c r="K586" s="29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29"/>
      <c r="AC586" s="29"/>
      <c r="AD586" s="29"/>
      <c r="AE586" s="29"/>
      <c r="AF586" s="29"/>
      <c r="AG586" s="29"/>
      <c r="AH586" s="29"/>
      <c r="AI586" s="9"/>
      <c r="AJ586" s="9"/>
      <c r="AK586" s="9"/>
      <c r="AL586" s="9"/>
      <c r="AM586" s="9"/>
      <c r="AN586" s="9"/>
      <c r="AO586" s="9"/>
      <c r="AP586" s="9"/>
      <c r="AQ586" s="29"/>
      <c r="AR586" s="29"/>
      <c r="AS586" s="29"/>
    </row>
    <row r="587" spans="5:45" x14ac:dyDescent="0.25">
      <c r="E587" s="9"/>
      <c r="F587" s="9"/>
      <c r="G587" s="9"/>
      <c r="H587" s="9"/>
      <c r="I587" s="9"/>
      <c r="J587" s="9"/>
      <c r="K587" s="29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29"/>
      <c r="AC587" s="29"/>
      <c r="AD587" s="29"/>
      <c r="AE587" s="29"/>
      <c r="AF587" s="29"/>
      <c r="AG587" s="29"/>
      <c r="AH587" s="29"/>
      <c r="AI587" s="9"/>
      <c r="AJ587" s="9"/>
      <c r="AK587" s="9"/>
      <c r="AL587" s="9"/>
      <c r="AM587" s="9"/>
      <c r="AN587" s="9"/>
      <c r="AO587" s="9"/>
      <c r="AP587" s="9"/>
      <c r="AQ587" s="29"/>
      <c r="AR587" s="29"/>
      <c r="AS587" s="29"/>
    </row>
    <row r="588" spans="5:45" x14ac:dyDescent="0.25">
      <c r="E588" s="9"/>
      <c r="F588" s="9"/>
      <c r="G588" s="9"/>
      <c r="H588" s="9"/>
      <c r="I588" s="9"/>
      <c r="J588" s="9"/>
      <c r="K588" s="29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29"/>
      <c r="AC588" s="29"/>
      <c r="AD588" s="29"/>
      <c r="AE588" s="29"/>
      <c r="AF588" s="29"/>
      <c r="AG588" s="29"/>
      <c r="AH588" s="29"/>
      <c r="AI588" s="9"/>
      <c r="AJ588" s="9"/>
      <c r="AK588" s="9"/>
      <c r="AL588" s="9"/>
      <c r="AM588" s="9"/>
      <c r="AN588" s="9"/>
      <c r="AO588" s="9"/>
      <c r="AP588" s="9"/>
      <c r="AQ588" s="29"/>
      <c r="AR588" s="29"/>
      <c r="AS588" s="29"/>
    </row>
    <row r="589" spans="5:45" x14ac:dyDescent="0.25">
      <c r="E589" s="9"/>
      <c r="F589" s="9"/>
      <c r="G589" s="9"/>
      <c r="H589" s="9"/>
      <c r="I589" s="9"/>
      <c r="J589" s="9"/>
      <c r="K589" s="29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29"/>
      <c r="AC589" s="29"/>
      <c r="AD589" s="29"/>
      <c r="AE589" s="29"/>
      <c r="AF589" s="29"/>
      <c r="AG589" s="29"/>
      <c r="AH589" s="29"/>
      <c r="AI589" s="9"/>
      <c r="AJ589" s="9"/>
      <c r="AK589" s="9"/>
      <c r="AL589" s="9"/>
      <c r="AM589" s="9"/>
      <c r="AN589" s="9"/>
      <c r="AO589" s="9"/>
      <c r="AP589" s="9"/>
      <c r="AQ589" s="29"/>
      <c r="AR589" s="29"/>
      <c r="AS589" s="29"/>
    </row>
    <row r="590" spans="5:45" x14ac:dyDescent="0.25">
      <c r="E590" s="9"/>
      <c r="F590" s="9"/>
      <c r="G590" s="9"/>
      <c r="H590" s="9"/>
      <c r="I590" s="9"/>
      <c r="J590" s="9"/>
      <c r="K590" s="29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29"/>
      <c r="AC590" s="29"/>
      <c r="AD590" s="29"/>
      <c r="AE590" s="29"/>
      <c r="AF590" s="29"/>
      <c r="AG590" s="29"/>
      <c r="AH590" s="29"/>
      <c r="AI590" s="9"/>
      <c r="AJ590" s="9"/>
      <c r="AK590" s="9"/>
      <c r="AL590" s="9"/>
      <c r="AM590" s="9"/>
      <c r="AN590" s="9"/>
      <c r="AO590" s="9"/>
      <c r="AP590" s="9"/>
      <c r="AQ590" s="29"/>
      <c r="AR590" s="29"/>
      <c r="AS590" s="29"/>
    </row>
    <row r="591" spans="5:45" x14ac:dyDescent="0.25">
      <c r="E591" s="9"/>
      <c r="F591" s="9"/>
      <c r="G591" s="9"/>
      <c r="H591" s="9"/>
      <c r="I591" s="9"/>
      <c r="J591" s="9"/>
      <c r="K591" s="29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29"/>
      <c r="AC591" s="29"/>
      <c r="AD591" s="29"/>
      <c r="AE591" s="29"/>
      <c r="AF591" s="29"/>
      <c r="AG591" s="29"/>
      <c r="AH591" s="29"/>
      <c r="AI591" s="9"/>
      <c r="AJ591" s="9"/>
      <c r="AK591" s="9"/>
      <c r="AL591" s="9"/>
      <c r="AM591" s="9"/>
      <c r="AN591" s="9"/>
      <c r="AO591" s="9"/>
      <c r="AP591" s="9"/>
      <c r="AQ591" s="29"/>
      <c r="AR591" s="29"/>
      <c r="AS591" s="29"/>
    </row>
    <row r="592" spans="5:45" x14ac:dyDescent="0.25">
      <c r="E592" s="9"/>
      <c r="F592" s="9"/>
      <c r="G592" s="9"/>
      <c r="H592" s="9"/>
      <c r="I592" s="9"/>
      <c r="J592" s="9"/>
      <c r="K592" s="29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29"/>
      <c r="AC592" s="29"/>
      <c r="AD592" s="29"/>
      <c r="AE592" s="29"/>
      <c r="AF592" s="29"/>
      <c r="AG592" s="29"/>
      <c r="AH592" s="29"/>
      <c r="AI592" s="9"/>
      <c r="AJ592" s="9"/>
      <c r="AK592" s="9"/>
      <c r="AL592" s="9"/>
      <c r="AM592" s="9"/>
      <c r="AN592" s="9"/>
      <c r="AO592" s="9"/>
      <c r="AP592" s="9"/>
      <c r="AQ592" s="29"/>
      <c r="AR592" s="29"/>
      <c r="AS592" s="29"/>
    </row>
    <row r="593" spans="5:45" x14ac:dyDescent="0.25">
      <c r="E593" s="9"/>
      <c r="F593" s="9"/>
      <c r="G593" s="9"/>
      <c r="H593" s="9"/>
      <c r="I593" s="9"/>
      <c r="J593" s="9"/>
      <c r="K593" s="29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29"/>
      <c r="AC593" s="29"/>
      <c r="AD593" s="29"/>
      <c r="AE593" s="29"/>
      <c r="AF593" s="29"/>
      <c r="AG593" s="29"/>
      <c r="AH593" s="29"/>
      <c r="AI593" s="9"/>
      <c r="AJ593" s="9"/>
      <c r="AK593" s="9"/>
      <c r="AL593" s="9"/>
      <c r="AM593" s="9"/>
      <c r="AN593" s="9"/>
      <c r="AO593" s="9"/>
      <c r="AP593" s="9"/>
      <c r="AQ593" s="29"/>
      <c r="AR593" s="29"/>
      <c r="AS593" s="29"/>
    </row>
    <row r="594" spans="5:45" x14ac:dyDescent="0.25">
      <c r="E594" s="9"/>
      <c r="F594" s="9"/>
      <c r="G594" s="9"/>
      <c r="H594" s="9"/>
      <c r="I594" s="9"/>
      <c r="J594" s="9"/>
      <c r="K594" s="29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29"/>
      <c r="AC594" s="29"/>
      <c r="AD594" s="29"/>
      <c r="AE594" s="29"/>
      <c r="AF594" s="29"/>
      <c r="AG594" s="29"/>
      <c r="AH594" s="29"/>
      <c r="AI594" s="9"/>
      <c r="AJ594" s="9"/>
      <c r="AK594" s="9"/>
      <c r="AL594" s="9"/>
      <c r="AM594" s="9"/>
      <c r="AN594" s="9"/>
      <c r="AO594" s="9"/>
      <c r="AP594" s="9"/>
      <c r="AQ594" s="29"/>
      <c r="AR594" s="29"/>
      <c r="AS594" s="29"/>
    </row>
    <row r="595" spans="5:45" x14ac:dyDescent="0.25">
      <c r="E595" s="9"/>
      <c r="F595" s="9"/>
      <c r="G595" s="9"/>
      <c r="H595" s="9"/>
      <c r="I595" s="9"/>
      <c r="J595" s="9"/>
      <c r="K595" s="29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29"/>
      <c r="AC595" s="29"/>
      <c r="AD595" s="29"/>
      <c r="AE595" s="29"/>
      <c r="AF595" s="29"/>
      <c r="AG595" s="29"/>
      <c r="AH595" s="29"/>
      <c r="AI595" s="9"/>
      <c r="AJ595" s="9"/>
      <c r="AK595" s="9"/>
      <c r="AL595" s="9"/>
      <c r="AM595" s="9"/>
      <c r="AN595" s="9"/>
      <c r="AO595" s="9"/>
      <c r="AP595" s="9"/>
      <c r="AQ595" s="29"/>
      <c r="AR595" s="29"/>
      <c r="AS595" s="29"/>
    </row>
    <row r="596" spans="5:45" x14ac:dyDescent="0.25">
      <c r="E596" s="9"/>
      <c r="F596" s="9"/>
      <c r="G596" s="9"/>
      <c r="H596" s="9"/>
      <c r="I596" s="9"/>
      <c r="J596" s="9"/>
      <c r="K596" s="29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29"/>
      <c r="AC596" s="29"/>
      <c r="AD596" s="29"/>
      <c r="AE596" s="29"/>
      <c r="AF596" s="29"/>
      <c r="AG596" s="29"/>
      <c r="AH596" s="29"/>
      <c r="AI596" s="9"/>
      <c r="AJ596" s="9"/>
      <c r="AK596" s="9"/>
      <c r="AL596" s="9"/>
      <c r="AM596" s="9"/>
      <c r="AN596" s="9"/>
      <c r="AO596" s="9"/>
      <c r="AP596" s="9"/>
      <c r="AQ596" s="29"/>
      <c r="AR596" s="29"/>
      <c r="AS596" s="29"/>
    </row>
    <row r="597" spans="5:45" x14ac:dyDescent="0.25">
      <c r="E597" s="9"/>
      <c r="F597" s="9"/>
      <c r="G597" s="9"/>
      <c r="H597" s="9"/>
      <c r="I597" s="9"/>
      <c r="J597" s="9"/>
      <c r="K597" s="29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29"/>
      <c r="AC597" s="29"/>
      <c r="AD597" s="29"/>
      <c r="AE597" s="29"/>
      <c r="AF597" s="29"/>
      <c r="AG597" s="29"/>
      <c r="AH597" s="29"/>
      <c r="AI597" s="9"/>
      <c r="AJ597" s="9"/>
      <c r="AK597" s="9"/>
      <c r="AL597" s="9"/>
      <c r="AM597" s="9"/>
      <c r="AN597" s="9"/>
      <c r="AO597" s="9"/>
      <c r="AP597" s="9"/>
      <c r="AQ597" s="29"/>
      <c r="AR597" s="29"/>
      <c r="AS597" s="29"/>
    </row>
    <row r="598" spans="5:45" x14ac:dyDescent="0.25">
      <c r="E598" s="9"/>
      <c r="F598" s="9"/>
      <c r="G598" s="9"/>
      <c r="H598" s="9"/>
      <c r="I598" s="9"/>
      <c r="J598" s="9"/>
      <c r="K598" s="29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29"/>
      <c r="AC598" s="29"/>
      <c r="AD598" s="29"/>
      <c r="AE598" s="29"/>
      <c r="AF598" s="29"/>
      <c r="AG598" s="29"/>
      <c r="AH598" s="29"/>
      <c r="AI598" s="9"/>
      <c r="AJ598" s="9"/>
      <c r="AK598" s="9"/>
      <c r="AL598" s="9"/>
      <c r="AM598" s="9"/>
      <c r="AN598" s="9"/>
      <c r="AO598" s="9"/>
      <c r="AP598" s="9"/>
      <c r="AQ598" s="29"/>
      <c r="AR598" s="29"/>
      <c r="AS598" s="29"/>
    </row>
    <row r="599" spans="5:45" x14ac:dyDescent="0.25">
      <c r="E599" s="9"/>
      <c r="F599" s="9"/>
      <c r="G599" s="9"/>
      <c r="H599" s="9"/>
      <c r="I599" s="9"/>
      <c r="J599" s="9"/>
      <c r="K599" s="29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29"/>
      <c r="AC599" s="29"/>
      <c r="AD599" s="29"/>
      <c r="AE599" s="29"/>
      <c r="AF599" s="29"/>
      <c r="AG599" s="29"/>
      <c r="AH599" s="29"/>
      <c r="AI599" s="9"/>
      <c r="AJ599" s="9"/>
      <c r="AK599" s="9"/>
      <c r="AL599" s="9"/>
      <c r="AM599" s="9"/>
      <c r="AN599" s="9"/>
      <c r="AO599" s="9"/>
      <c r="AP599" s="9"/>
      <c r="AQ599" s="29"/>
      <c r="AR599" s="29"/>
      <c r="AS599" s="29"/>
    </row>
    <row r="600" spans="5:45" x14ac:dyDescent="0.25">
      <c r="E600" s="9"/>
      <c r="F600" s="9"/>
      <c r="G600" s="9"/>
      <c r="H600" s="9"/>
      <c r="I600" s="9"/>
      <c r="J600" s="9"/>
      <c r="K600" s="29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29"/>
      <c r="AC600" s="29"/>
      <c r="AD600" s="29"/>
      <c r="AE600" s="29"/>
      <c r="AF600" s="29"/>
      <c r="AG600" s="29"/>
      <c r="AH600" s="29"/>
      <c r="AI600" s="9"/>
      <c r="AJ600" s="9"/>
      <c r="AK600" s="9"/>
      <c r="AL600" s="9"/>
      <c r="AM600" s="9"/>
      <c r="AN600" s="9"/>
      <c r="AO600" s="9"/>
      <c r="AP600" s="9"/>
      <c r="AQ600" s="29"/>
      <c r="AR600" s="29"/>
      <c r="AS600" s="29"/>
    </row>
    <row r="601" spans="5:45" x14ac:dyDescent="0.25">
      <c r="E601" s="9"/>
      <c r="F601" s="9"/>
      <c r="G601" s="9"/>
      <c r="H601" s="9"/>
      <c r="I601" s="9"/>
      <c r="J601" s="9"/>
      <c r="K601" s="29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29"/>
      <c r="AC601" s="29"/>
      <c r="AD601" s="29"/>
      <c r="AE601" s="29"/>
      <c r="AF601" s="29"/>
      <c r="AG601" s="29"/>
      <c r="AH601" s="29"/>
      <c r="AI601" s="9"/>
      <c r="AJ601" s="9"/>
      <c r="AK601" s="9"/>
      <c r="AL601" s="9"/>
      <c r="AM601" s="9"/>
      <c r="AN601" s="9"/>
      <c r="AO601" s="9"/>
      <c r="AP601" s="9"/>
      <c r="AQ601" s="29"/>
      <c r="AR601" s="29"/>
      <c r="AS601" s="29"/>
    </row>
    <row r="602" spans="5:45" x14ac:dyDescent="0.25">
      <c r="E602" s="9"/>
      <c r="F602" s="9"/>
      <c r="G602" s="9"/>
      <c r="H602" s="9"/>
      <c r="I602" s="9"/>
      <c r="J602" s="9"/>
      <c r="K602" s="29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29"/>
      <c r="AC602" s="29"/>
      <c r="AD602" s="29"/>
      <c r="AE602" s="29"/>
      <c r="AF602" s="29"/>
      <c r="AG602" s="29"/>
      <c r="AH602" s="29"/>
      <c r="AI602" s="9"/>
      <c r="AJ602" s="9"/>
      <c r="AK602" s="9"/>
      <c r="AL602" s="9"/>
      <c r="AM602" s="9"/>
      <c r="AN602" s="9"/>
      <c r="AO602" s="9"/>
      <c r="AP602" s="9"/>
      <c r="AQ602" s="29"/>
      <c r="AR602" s="29"/>
      <c r="AS602" s="29"/>
    </row>
    <row r="603" spans="5:45" x14ac:dyDescent="0.25">
      <c r="E603" s="9"/>
      <c r="F603" s="9"/>
      <c r="G603" s="9"/>
      <c r="H603" s="9"/>
      <c r="I603" s="9"/>
      <c r="J603" s="9"/>
      <c r="K603" s="29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29"/>
      <c r="AC603" s="29"/>
      <c r="AD603" s="29"/>
      <c r="AE603" s="29"/>
      <c r="AF603" s="29"/>
      <c r="AG603" s="29"/>
      <c r="AH603" s="29"/>
      <c r="AI603" s="9"/>
      <c r="AJ603" s="9"/>
      <c r="AK603" s="9"/>
      <c r="AL603" s="9"/>
      <c r="AM603" s="9"/>
      <c r="AN603" s="9"/>
      <c r="AO603" s="9"/>
      <c r="AP603" s="9"/>
      <c r="AQ603" s="29"/>
      <c r="AR603" s="29"/>
      <c r="AS603" s="29"/>
    </row>
    <row r="604" spans="5:45" x14ac:dyDescent="0.25">
      <c r="E604" s="9"/>
      <c r="F604" s="9"/>
      <c r="G604" s="9"/>
      <c r="H604" s="9"/>
      <c r="I604" s="9"/>
      <c r="J604" s="9"/>
      <c r="K604" s="29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29"/>
      <c r="AC604" s="29"/>
      <c r="AD604" s="29"/>
      <c r="AE604" s="29"/>
      <c r="AF604" s="29"/>
      <c r="AG604" s="29"/>
      <c r="AH604" s="29"/>
      <c r="AI604" s="9"/>
      <c r="AJ604" s="9"/>
      <c r="AK604" s="9"/>
      <c r="AL604" s="9"/>
      <c r="AM604" s="9"/>
      <c r="AN604" s="9"/>
      <c r="AO604" s="9"/>
      <c r="AP604" s="9"/>
      <c r="AQ604" s="29"/>
      <c r="AR604" s="29"/>
      <c r="AS604" s="29"/>
    </row>
    <row r="605" spans="5:45" x14ac:dyDescent="0.25">
      <c r="E605" s="9"/>
      <c r="F605" s="9"/>
      <c r="G605" s="9"/>
      <c r="H605" s="9"/>
      <c r="I605" s="9"/>
      <c r="J605" s="9"/>
      <c r="K605" s="29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29"/>
      <c r="AC605" s="29"/>
      <c r="AD605" s="29"/>
      <c r="AE605" s="29"/>
      <c r="AF605" s="29"/>
      <c r="AG605" s="29"/>
      <c r="AH605" s="29"/>
      <c r="AI605" s="9"/>
      <c r="AJ605" s="9"/>
      <c r="AK605" s="9"/>
      <c r="AL605" s="9"/>
      <c r="AM605" s="9"/>
      <c r="AN605" s="9"/>
      <c r="AO605" s="9"/>
      <c r="AP605" s="9"/>
      <c r="AQ605" s="29"/>
      <c r="AR605" s="29"/>
      <c r="AS605" s="29"/>
    </row>
    <row r="606" spans="5:45" x14ac:dyDescent="0.25">
      <c r="E606" s="9"/>
      <c r="F606" s="9"/>
      <c r="G606" s="9"/>
      <c r="H606" s="9"/>
      <c r="I606" s="9"/>
      <c r="J606" s="9"/>
      <c r="K606" s="29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29"/>
      <c r="AC606" s="29"/>
      <c r="AD606" s="29"/>
      <c r="AE606" s="29"/>
      <c r="AF606" s="29"/>
      <c r="AG606" s="29"/>
      <c r="AH606" s="29"/>
      <c r="AI606" s="9"/>
      <c r="AJ606" s="9"/>
      <c r="AK606" s="9"/>
      <c r="AL606" s="9"/>
      <c r="AM606" s="9"/>
      <c r="AN606" s="9"/>
      <c r="AO606" s="9"/>
      <c r="AP606" s="9"/>
      <c r="AQ606" s="29"/>
      <c r="AR606" s="29"/>
      <c r="AS606" s="29"/>
    </row>
    <row r="607" spans="5:45" x14ac:dyDescent="0.25">
      <c r="E607" s="9"/>
      <c r="F607" s="9"/>
      <c r="G607" s="9"/>
      <c r="H607" s="9"/>
      <c r="I607" s="9"/>
      <c r="J607" s="9"/>
      <c r="K607" s="29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29"/>
      <c r="AC607" s="29"/>
      <c r="AD607" s="29"/>
      <c r="AE607" s="29"/>
      <c r="AF607" s="29"/>
      <c r="AG607" s="29"/>
      <c r="AH607" s="29"/>
      <c r="AI607" s="9"/>
      <c r="AJ607" s="9"/>
      <c r="AK607" s="9"/>
      <c r="AL607" s="9"/>
      <c r="AM607" s="9"/>
      <c r="AN607" s="9"/>
      <c r="AO607" s="9"/>
      <c r="AP607" s="9"/>
      <c r="AQ607" s="29"/>
      <c r="AR607" s="29"/>
      <c r="AS607" s="29"/>
    </row>
    <row r="608" spans="5:45" x14ac:dyDescent="0.25">
      <c r="E608" s="9"/>
      <c r="F608" s="9"/>
      <c r="G608" s="9"/>
      <c r="H608" s="9"/>
      <c r="I608" s="9"/>
      <c r="J608" s="9"/>
      <c r="K608" s="29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29"/>
      <c r="AC608" s="29"/>
      <c r="AD608" s="29"/>
      <c r="AE608" s="29"/>
      <c r="AF608" s="29"/>
      <c r="AG608" s="29"/>
      <c r="AH608" s="29"/>
      <c r="AI608" s="9"/>
      <c r="AJ608" s="9"/>
      <c r="AK608" s="9"/>
      <c r="AL608" s="9"/>
      <c r="AM608" s="9"/>
      <c r="AN608" s="9"/>
      <c r="AO608" s="9"/>
      <c r="AP608" s="9"/>
      <c r="AQ608" s="29"/>
      <c r="AR608" s="29"/>
      <c r="AS608" s="29"/>
    </row>
    <row r="609" spans="5:45" x14ac:dyDescent="0.25">
      <c r="E609" s="9"/>
      <c r="F609" s="9"/>
      <c r="G609" s="9"/>
      <c r="H609" s="9"/>
      <c r="I609" s="9"/>
      <c r="J609" s="9"/>
      <c r="K609" s="29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29"/>
      <c r="AC609" s="29"/>
      <c r="AD609" s="29"/>
      <c r="AE609" s="29"/>
      <c r="AF609" s="29"/>
      <c r="AG609" s="29"/>
      <c r="AH609" s="29"/>
      <c r="AI609" s="9"/>
      <c r="AJ609" s="9"/>
      <c r="AK609" s="9"/>
      <c r="AL609" s="9"/>
      <c r="AM609" s="9"/>
      <c r="AN609" s="9"/>
      <c r="AO609" s="9"/>
      <c r="AP609" s="9"/>
      <c r="AQ609" s="29"/>
      <c r="AR609" s="29"/>
      <c r="AS609" s="29"/>
    </row>
    <row r="610" spans="5:45" x14ac:dyDescent="0.25">
      <c r="E610" s="9"/>
      <c r="F610" s="9"/>
      <c r="G610" s="9"/>
      <c r="H610" s="9"/>
      <c r="I610" s="9"/>
      <c r="J610" s="9"/>
      <c r="K610" s="29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29"/>
      <c r="AC610" s="29"/>
      <c r="AD610" s="29"/>
      <c r="AE610" s="29"/>
      <c r="AF610" s="29"/>
      <c r="AG610" s="29"/>
      <c r="AH610" s="29"/>
      <c r="AI610" s="9"/>
      <c r="AJ610" s="9"/>
      <c r="AK610" s="9"/>
      <c r="AL610" s="9"/>
      <c r="AM610" s="9"/>
      <c r="AN610" s="9"/>
      <c r="AO610" s="9"/>
      <c r="AP610" s="9"/>
      <c r="AQ610" s="29"/>
      <c r="AR610" s="29"/>
      <c r="AS610" s="29"/>
    </row>
    <row r="611" spans="5:45" x14ac:dyDescent="0.25">
      <c r="E611" s="9"/>
      <c r="F611" s="9"/>
      <c r="G611" s="9"/>
      <c r="H611" s="9"/>
      <c r="I611" s="9"/>
      <c r="J611" s="9"/>
      <c r="K611" s="29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29"/>
      <c r="AC611" s="29"/>
      <c r="AD611" s="29"/>
      <c r="AE611" s="29"/>
      <c r="AF611" s="29"/>
      <c r="AG611" s="29"/>
      <c r="AH611" s="29"/>
      <c r="AI611" s="9"/>
      <c r="AJ611" s="9"/>
      <c r="AK611" s="9"/>
      <c r="AL611" s="9"/>
      <c r="AM611" s="9"/>
      <c r="AN611" s="9"/>
      <c r="AO611" s="9"/>
      <c r="AP611" s="9"/>
      <c r="AQ611" s="29"/>
      <c r="AR611" s="29"/>
      <c r="AS611" s="29"/>
    </row>
    <row r="612" spans="5:45" x14ac:dyDescent="0.25">
      <c r="E612" s="9"/>
      <c r="F612" s="9"/>
      <c r="G612" s="9"/>
      <c r="H612" s="9"/>
      <c r="I612" s="9"/>
      <c r="J612" s="9"/>
      <c r="K612" s="29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29"/>
      <c r="AC612" s="29"/>
      <c r="AD612" s="29"/>
      <c r="AE612" s="29"/>
      <c r="AF612" s="29"/>
      <c r="AG612" s="29"/>
      <c r="AH612" s="29"/>
      <c r="AI612" s="9"/>
      <c r="AJ612" s="9"/>
      <c r="AK612" s="9"/>
      <c r="AL612" s="9"/>
      <c r="AM612" s="9"/>
      <c r="AN612" s="9"/>
      <c r="AO612" s="9"/>
      <c r="AP612" s="9"/>
      <c r="AQ612" s="29"/>
      <c r="AR612" s="29"/>
      <c r="AS612" s="29"/>
    </row>
    <row r="613" spans="5:45" x14ac:dyDescent="0.25">
      <c r="E613" s="9"/>
      <c r="F613" s="9"/>
      <c r="G613" s="9"/>
      <c r="H613" s="9"/>
      <c r="I613" s="9"/>
      <c r="J613" s="9"/>
      <c r="K613" s="29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29"/>
      <c r="AC613" s="29"/>
      <c r="AD613" s="29"/>
      <c r="AE613" s="29"/>
      <c r="AF613" s="29"/>
      <c r="AG613" s="29"/>
      <c r="AH613" s="29"/>
      <c r="AI613" s="9"/>
      <c r="AJ613" s="9"/>
      <c r="AK613" s="9"/>
      <c r="AL613" s="9"/>
      <c r="AM613" s="9"/>
      <c r="AN613" s="9"/>
      <c r="AO613" s="9"/>
      <c r="AP613" s="9"/>
      <c r="AQ613" s="29"/>
      <c r="AR613" s="29"/>
      <c r="AS613" s="29"/>
    </row>
    <row r="614" spans="5:45" x14ac:dyDescent="0.25">
      <c r="E614" s="9"/>
      <c r="F614" s="9"/>
      <c r="G614" s="9"/>
      <c r="H614" s="9"/>
      <c r="I614" s="9"/>
      <c r="J614" s="9"/>
      <c r="K614" s="29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29"/>
      <c r="AC614" s="29"/>
      <c r="AD614" s="29"/>
      <c r="AE614" s="29"/>
      <c r="AF614" s="29"/>
      <c r="AG614" s="29"/>
      <c r="AH614" s="29"/>
      <c r="AI614" s="9"/>
      <c r="AJ614" s="9"/>
      <c r="AK614" s="9"/>
      <c r="AL614" s="9"/>
      <c r="AM614" s="9"/>
      <c r="AN614" s="9"/>
      <c r="AO614" s="9"/>
      <c r="AP614" s="9"/>
      <c r="AQ614" s="29"/>
      <c r="AR614" s="29"/>
      <c r="AS614" s="29"/>
    </row>
    <row r="615" spans="5:45" x14ac:dyDescent="0.25">
      <c r="E615" s="9"/>
      <c r="F615" s="9"/>
      <c r="G615" s="9"/>
      <c r="H615" s="9"/>
      <c r="I615" s="9"/>
      <c r="J615" s="9"/>
      <c r="K615" s="29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29"/>
      <c r="AC615" s="29"/>
      <c r="AD615" s="29"/>
      <c r="AE615" s="29"/>
      <c r="AF615" s="29"/>
      <c r="AG615" s="29"/>
      <c r="AH615" s="29"/>
      <c r="AI615" s="9"/>
      <c r="AJ615" s="9"/>
      <c r="AK615" s="9"/>
      <c r="AL615" s="9"/>
      <c r="AM615" s="9"/>
      <c r="AN615" s="9"/>
      <c r="AO615" s="9"/>
      <c r="AP615" s="9"/>
      <c r="AQ615" s="29"/>
      <c r="AR615" s="29"/>
      <c r="AS615" s="29"/>
    </row>
    <row r="616" spans="5:45" x14ac:dyDescent="0.25">
      <c r="E616" s="9"/>
      <c r="F616" s="9"/>
      <c r="G616" s="9"/>
      <c r="H616" s="9"/>
      <c r="I616" s="9"/>
      <c r="J616" s="9"/>
      <c r="K616" s="29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29"/>
      <c r="AC616" s="29"/>
      <c r="AD616" s="29"/>
      <c r="AE616" s="29"/>
      <c r="AF616" s="29"/>
      <c r="AG616" s="29"/>
      <c r="AH616" s="29"/>
      <c r="AI616" s="9"/>
      <c r="AJ616" s="9"/>
      <c r="AK616" s="9"/>
      <c r="AL616" s="9"/>
      <c r="AM616" s="9"/>
      <c r="AN616" s="9"/>
      <c r="AO616" s="9"/>
      <c r="AP616" s="9"/>
      <c r="AQ616" s="29"/>
      <c r="AR616" s="29"/>
      <c r="AS616" s="29"/>
    </row>
    <row r="617" spans="5:45" x14ac:dyDescent="0.25">
      <c r="E617" s="9"/>
      <c r="F617" s="9"/>
      <c r="G617" s="9"/>
      <c r="H617" s="9"/>
      <c r="I617" s="9"/>
      <c r="J617" s="9"/>
      <c r="K617" s="29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29"/>
      <c r="AC617" s="29"/>
      <c r="AD617" s="29"/>
      <c r="AE617" s="29"/>
      <c r="AF617" s="29"/>
      <c r="AG617" s="29"/>
      <c r="AH617" s="29"/>
      <c r="AI617" s="9"/>
      <c r="AJ617" s="9"/>
      <c r="AK617" s="9"/>
      <c r="AL617" s="9"/>
      <c r="AM617" s="9"/>
      <c r="AN617" s="9"/>
      <c r="AO617" s="9"/>
      <c r="AP617" s="9"/>
      <c r="AQ617" s="29"/>
      <c r="AR617" s="29"/>
      <c r="AS617" s="29"/>
    </row>
    <row r="618" spans="5:45" x14ac:dyDescent="0.25">
      <c r="E618" s="9"/>
      <c r="F618" s="9"/>
      <c r="G618" s="9"/>
      <c r="H618" s="9"/>
      <c r="I618" s="9"/>
      <c r="J618" s="9"/>
      <c r="K618" s="29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29"/>
      <c r="AC618" s="29"/>
      <c r="AD618" s="29"/>
      <c r="AE618" s="29"/>
      <c r="AF618" s="29"/>
      <c r="AG618" s="29"/>
      <c r="AH618" s="29"/>
      <c r="AI618" s="9"/>
      <c r="AJ618" s="9"/>
      <c r="AK618" s="9"/>
      <c r="AL618" s="9"/>
      <c r="AM618" s="9"/>
      <c r="AN618" s="9"/>
      <c r="AO618" s="9"/>
      <c r="AP618" s="9"/>
      <c r="AQ618" s="29"/>
      <c r="AR618" s="29"/>
      <c r="AS618" s="29"/>
    </row>
    <row r="619" spans="5:45" x14ac:dyDescent="0.25">
      <c r="E619" s="9"/>
      <c r="F619" s="9"/>
      <c r="G619" s="9"/>
      <c r="H619" s="9"/>
      <c r="I619" s="9"/>
      <c r="J619" s="9"/>
      <c r="K619" s="29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29"/>
      <c r="AC619" s="29"/>
      <c r="AD619" s="29"/>
      <c r="AE619" s="29"/>
      <c r="AF619" s="29"/>
      <c r="AG619" s="29"/>
      <c r="AH619" s="29"/>
      <c r="AI619" s="9"/>
      <c r="AJ619" s="9"/>
      <c r="AK619" s="9"/>
      <c r="AL619" s="9"/>
      <c r="AM619" s="9"/>
      <c r="AN619" s="9"/>
      <c r="AO619" s="9"/>
      <c r="AP619" s="9"/>
      <c r="AQ619" s="29"/>
      <c r="AR619" s="29"/>
      <c r="AS619" s="29"/>
    </row>
    <row r="620" spans="5:45" x14ac:dyDescent="0.25">
      <c r="E620" s="9"/>
      <c r="F620" s="9"/>
      <c r="G620" s="9"/>
      <c r="H620" s="9"/>
      <c r="I620" s="9"/>
      <c r="J620" s="9"/>
      <c r="K620" s="29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29"/>
      <c r="AC620" s="29"/>
      <c r="AD620" s="29"/>
      <c r="AE620" s="29"/>
      <c r="AF620" s="29"/>
      <c r="AG620" s="29"/>
      <c r="AH620" s="29"/>
      <c r="AI620" s="9"/>
      <c r="AJ620" s="9"/>
      <c r="AK620" s="9"/>
      <c r="AL620" s="9"/>
      <c r="AM620" s="9"/>
      <c r="AN620" s="9"/>
      <c r="AO620" s="9"/>
      <c r="AP620" s="9"/>
      <c r="AQ620" s="29"/>
      <c r="AR620" s="29"/>
      <c r="AS620" s="29"/>
    </row>
    <row r="621" spans="5:45" x14ac:dyDescent="0.25">
      <c r="E621" s="9"/>
      <c r="F621" s="9"/>
      <c r="G621" s="9"/>
      <c r="H621" s="9"/>
      <c r="I621" s="9"/>
      <c r="J621" s="9"/>
      <c r="K621" s="29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29"/>
      <c r="AC621" s="29"/>
      <c r="AD621" s="29"/>
      <c r="AE621" s="29"/>
      <c r="AF621" s="29"/>
      <c r="AG621" s="29"/>
      <c r="AH621" s="29"/>
      <c r="AI621" s="9"/>
      <c r="AJ621" s="9"/>
      <c r="AK621" s="9"/>
      <c r="AL621" s="9"/>
      <c r="AM621" s="9"/>
      <c r="AN621" s="9"/>
      <c r="AO621" s="9"/>
      <c r="AP621" s="9"/>
      <c r="AQ621" s="29"/>
      <c r="AR621" s="29"/>
      <c r="AS621" s="29"/>
    </row>
    <row r="622" spans="5:45" x14ac:dyDescent="0.25">
      <c r="E622" s="9"/>
      <c r="F622" s="9"/>
      <c r="G622" s="9"/>
      <c r="H622" s="9"/>
      <c r="I622" s="9"/>
      <c r="J622" s="9"/>
      <c r="K622" s="29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29"/>
      <c r="AC622" s="29"/>
      <c r="AD622" s="29"/>
      <c r="AE622" s="29"/>
      <c r="AF622" s="29"/>
      <c r="AG622" s="29"/>
      <c r="AH622" s="29"/>
      <c r="AI622" s="9"/>
      <c r="AJ622" s="9"/>
      <c r="AK622" s="9"/>
      <c r="AL622" s="9"/>
      <c r="AM622" s="9"/>
      <c r="AN622" s="9"/>
      <c r="AO622" s="9"/>
      <c r="AP622" s="9"/>
      <c r="AQ622" s="29"/>
      <c r="AR622" s="29"/>
      <c r="AS622" s="29"/>
    </row>
    <row r="623" spans="5:45" x14ac:dyDescent="0.25">
      <c r="E623" s="9"/>
      <c r="F623" s="9"/>
      <c r="G623" s="9"/>
      <c r="H623" s="9"/>
      <c r="I623" s="9"/>
      <c r="J623" s="9"/>
      <c r="K623" s="29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29"/>
      <c r="AC623" s="29"/>
      <c r="AD623" s="29"/>
      <c r="AE623" s="29"/>
      <c r="AF623" s="29"/>
      <c r="AG623" s="29"/>
      <c r="AH623" s="29"/>
      <c r="AI623" s="9"/>
      <c r="AJ623" s="9"/>
      <c r="AK623" s="9"/>
      <c r="AL623" s="9"/>
      <c r="AM623" s="9"/>
      <c r="AN623" s="9"/>
      <c r="AO623" s="9"/>
      <c r="AP623" s="9"/>
      <c r="AQ623" s="29"/>
      <c r="AR623" s="29"/>
      <c r="AS623" s="29"/>
    </row>
    <row r="624" spans="5:45" x14ac:dyDescent="0.25">
      <c r="E624" s="9"/>
      <c r="F624" s="9"/>
      <c r="G624" s="9"/>
      <c r="H624" s="9"/>
      <c r="I624" s="9"/>
      <c r="J624" s="9"/>
      <c r="K624" s="29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29"/>
      <c r="AC624" s="29"/>
      <c r="AD624" s="29"/>
      <c r="AE624" s="29"/>
      <c r="AF624" s="29"/>
      <c r="AG624" s="29"/>
      <c r="AH624" s="29"/>
      <c r="AI624" s="9"/>
      <c r="AJ624" s="9"/>
      <c r="AK624" s="9"/>
      <c r="AL624" s="9"/>
      <c r="AM624" s="9"/>
      <c r="AN624" s="9"/>
      <c r="AO624" s="9"/>
      <c r="AP624" s="9"/>
      <c r="AQ624" s="29"/>
      <c r="AR624" s="29"/>
      <c r="AS624" s="29"/>
    </row>
    <row r="625" spans="5:45" x14ac:dyDescent="0.25">
      <c r="E625" s="9"/>
      <c r="F625" s="9"/>
      <c r="G625" s="9"/>
      <c r="H625" s="9"/>
      <c r="I625" s="9"/>
      <c r="J625" s="9"/>
      <c r="K625" s="29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29"/>
      <c r="AC625" s="29"/>
      <c r="AD625" s="29"/>
      <c r="AE625" s="29"/>
      <c r="AF625" s="29"/>
      <c r="AG625" s="29"/>
      <c r="AH625" s="29"/>
      <c r="AI625" s="9"/>
      <c r="AJ625" s="9"/>
      <c r="AK625" s="9"/>
      <c r="AL625" s="9"/>
      <c r="AM625" s="9"/>
      <c r="AN625" s="9"/>
      <c r="AO625" s="9"/>
      <c r="AP625" s="9"/>
      <c r="AQ625" s="29"/>
      <c r="AR625" s="29"/>
      <c r="AS625" s="29"/>
    </row>
    <row r="626" spans="5:45" x14ac:dyDescent="0.25">
      <c r="E626" s="9"/>
      <c r="F626" s="9"/>
      <c r="G626" s="9"/>
      <c r="H626" s="9"/>
      <c r="I626" s="9"/>
      <c r="J626" s="9"/>
      <c r="K626" s="29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29"/>
      <c r="AC626" s="29"/>
      <c r="AD626" s="29"/>
      <c r="AE626" s="29"/>
      <c r="AF626" s="29"/>
      <c r="AG626" s="29"/>
      <c r="AH626" s="29"/>
      <c r="AI626" s="9"/>
      <c r="AJ626" s="9"/>
      <c r="AK626" s="9"/>
      <c r="AL626" s="9"/>
      <c r="AM626" s="9"/>
      <c r="AN626" s="9"/>
      <c r="AO626" s="9"/>
      <c r="AP626" s="9"/>
      <c r="AQ626" s="29"/>
      <c r="AR626" s="29"/>
      <c r="AS626" s="29"/>
    </row>
    <row r="627" spans="5:45" x14ac:dyDescent="0.25">
      <c r="E627" s="9"/>
      <c r="F627" s="9"/>
      <c r="G627" s="9"/>
      <c r="H627" s="9"/>
      <c r="I627" s="9"/>
      <c r="J627" s="9"/>
      <c r="K627" s="29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29"/>
      <c r="AC627" s="29"/>
      <c r="AD627" s="29"/>
      <c r="AE627" s="29"/>
      <c r="AF627" s="29"/>
      <c r="AG627" s="29"/>
      <c r="AH627" s="29"/>
      <c r="AI627" s="9"/>
      <c r="AJ627" s="9"/>
      <c r="AK627" s="9"/>
      <c r="AL627" s="9"/>
      <c r="AM627" s="9"/>
      <c r="AN627" s="9"/>
      <c r="AO627" s="9"/>
      <c r="AP627" s="9"/>
      <c r="AQ627" s="29"/>
      <c r="AR627" s="29"/>
      <c r="AS627" s="29"/>
    </row>
    <row r="628" spans="5:45" x14ac:dyDescent="0.25">
      <c r="E628" s="9"/>
      <c r="F628" s="9"/>
      <c r="G628" s="9"/>
      <c r="H628" s="9"/>
      <c r="I628" s="9"/>
      <c r="J628" s="9"/>
      <c r="K628" s="29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29"/>
      <c r="AC628" s="29"/>
      <c r="AD628" s="29"/>
      <c r="AE628" s="29"/>
      <c r="AF628" s="29"/>
      <c r="AG628" s="29"/>
      <c r="AH628" s="29"/>
      <c r="AI628" s="9"/>
      <c r="AJ628" s="9"/>
      <c r="AK628" s="9"/>
      <c r="AL628" s="9"/>
      <c r="AM628" s="9"/>
      <c r="AN628" s="9"/>
      <c r="AO628" s="9"/>
      <c r="AP628" s="9"/>
      <c r="AQ628" s="29"/>
      <c r="AR628" s="29"/>
      <c r="AS628" s="29"/>
    </row>
    <row r="629" spans="5:45" x14ac:dyDescent="0.25">
      <c r="E629" s="9"/>
      <c r="F629" s="9"/>
      <c r="G629" s="9"/>
      <c r="H629" s="9"/>
      <c r="I629" s="9"/>
      <c r="J629" s="9"/>
      <c r="K629" s="29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29"/>
      <c r="AC629" s="29"/>
      <c r="AD629" s="29"/>
      <c r="AE629" s="29"/>
      <c r="AF629" s="29"/>
      <c r="AG629" s="29"/>
      <c r="AH629" s="29"/>
      <c r="AI629" s="9"/>
      <c r="AJ629" s="9"/>
      <c r="AK629" s="9"/>
      <c r="AL629" s="9"/>
      <c r="AM629" s="9"/>
      <c r="AN629" s="9"/>
      <c r="AO629" s="9"/>
      <c r="AP629" s="9"/>
      <c r="AQ629" s="29"/>
      <c r="AR629" s="29"/>
      <c r="AS629" s="29"/>
    </row>
    <row r="630" spans="5:45" x14ac:dyDescent="0.25">
      <c r="E630" s="9"/>
      <c r="F630" s="9"/>
      <c r="G630" s="9"/>
      <c r="H630" s="9"/>
      <c r="I630" s="9"/>
      <c r="J630" s="9"/>
      <c r="K630" s="29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29"/>
      <c r="AC630" s="29"/>
      <c r="AD630" s="29"/>
      <c r="AE630" s="29"/>
      <c r="AF630" s="29"/>
      <c r="AG630" s="29"/>
      <c r="AH630" s="29"/>
      <c r="AI630" s="9"/>
      <c r="AJ630" s="9"/>
      <c r="AK630" s="9"/>
      <c r="AL630" s="9"/>
      <c r="AM630" s="9"/>
      <c r="AN630" s="9"/>
      <c r="AO630" s="9"/>
      <c r="AP630" s="9"/>
      <c r="AQ630" s="29"/>
      <c r="AR630" s="29"/>
      <c r="AS630" s="29"/>
    </row>
    <row r="631" spans="5:45" x14ac:dyDescent="0.25">
      <c r="E631" s="9"/>
      <c r="F631" s="9"/>
      <c r="G631" s="9"/>
      <c r="H631" s="9"/>
      <c r="I631" s="9"/>
      <c r="J631" s="9"/>
      <c r="K631" s="29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29"/>
      <c r="AC631" s="29"/>
      <c r="AD631" s="29"/>
      <c r="AE631" s="29"/>
      <c r="AF631" s="29"/>
      <c r="AG631" s="29"/>
      <c r="AH631" s="29"/>
      <c r="AI631" s="9"/>
      <c r="AJ631" s="9"/>
      <c r="AK631" s="9"/>
      <c r="AL631" s="9"/>
      <c r="AM631" s="9"/>
      <c r="AN631" s="9"/>
      <c r="AO631" s="9"/>
      <c r="AP631" s="9"/>
      <c r="AQ631" s="29"/>
      <c r="AR631" s="29"/>
      <c r="AS631" s="29"/>
    </row>
    <row r="632" spans="5:45" x14ac:dyDescent="0.25">
      <c r="E632" s="9"/>
      <c r="F632" s="9"/>
      <c r="G632" s="9"/>
      <c r="H632" s="9"/>
      <c r="I632" s="9"/>
      <c r="J632" s="9"/>
      <c r="K632" s="29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29"/>
      <c r="AC632" s="29"/>
      <c r="AD632" s="29"/>
      <c r="AE632" s="29"/>
      <c r="AF632" s="29"/>
      <c r="AG632" s="29"/>
      <c r="AH632" s="29"/>
      <c r="AI632" s="9"/>
      <c r="AJ632" s="9"/>
      <c r="AK632" s="9"/>
      <c r="AL632" s="9"/>
      <c r="AM632" s="9"/>
      <c r="AN632" s="9"/>
      <c r="AO632" s="9"/>
      <c r="AP632" s="9"/>
      <c r="AQ632" s="29"/>
      <c r="AR632" s="29"/>
      <c r="AS632" s="29"/>
    </row>
    <row r="633" spans="5:45" x14ac:dyDescent="0.25">
      <c r="E633" s="9"/>
      <c r="F633" s="9"/>
      <c r="G633" s="9"/>
      <c r="H633" s="9"/>
      <c r="I633" s="9"/>
      <c r="J633" s="9"/>
      <c r="K633" s="29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29"/>
      <c r="AC633" s="29"/>
      <c r="AD633" s="29"/>
      <c r="AE633" s="29"/>
      <c r="AF633" s="29"/>
      <c r="AG633" s="29"/>
      <c r="AH633" s="29"/>
      <c r="AI633" s="9"/>
      <c r="AJ633" s="9"/>
      <c r="AK633" s="9"/>
      <c r="AL633" s="9"/>
      <c r="AM633" s="9"/>
      <c r="AN633" s="9"/>
      <c r="AO633" s="9"/>
      <c r="AP633" s="9"/>
      <c r="AQ633" s="29"/>
      <c r="AR633" s="29"/>
      <c r="AS633" s="29"/>
    </row>
    <row r="634" spans="5:45" x14ac:dyDescent="0.25">
      <c r="E634" s="9"/>
      <c r="F634" s="9"/>
      <c r="G634" s="9"/>
      <c r="H634" s="9"/>
      <c r="I634" s="9"/>
      <c r="J634" s="9"/>
      <c r="K634" s="29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29"/>
      <c r="AC634" s="29"/>
      <c r="AD634" s="29"/>
      <c r="AE634" s="29"/>
      <c r="AF634" s="29"/>
      <c r="AG634" s="29"/>
      <c r="AH634" s="29"/>
      <c r="AI634" s="9"/>
      <c r="AJ634" s="9"/>
      <c r="AK634" s="9"/>
      <c r="AL634" s="9"/>
      <c r="AM634" s="9"/>
      <c r="AN634" s="9"/>
      <c r="AO634" s="9"/>
      <c r="AP634" s="9"/>
      <c r="AQ634" s="29"/>
      <c r="AR634" s="29"/>
      <c r="AS634" s="29"/>
    </row>
    <row r="635" spans="5:45" x14ac:dyDescent="0.25">
      <c r="E635" s="9"/>
      <c r="F635" s="9"/>
      <c r="G635" s="9"/>
      <c r="H635" s="9"/>
      <c r="I635" s="9"/>
      <c r="J635" s="9"/>
      <c r="K635" s="29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29"/>
      <c r="AC635" s="29"/>
      <c r="AD635" s="29"/>
      <c r="AE635" s="29"/>
      <c r="AF635" s="29"/>
      <c r="AG635" s="29"/>
      <c r="AH635" s="29"/>
      <c r="AI635" s="9"/>
      <c r="AJ635" s="9"/>
      <c r="AK635" s="9"/>
      <c r="AL635" s="9"/>
      <c r="AM635" s="9"/>
      <c r="AN635" s="9"/>
      <c r="AO635" s="9"/>
      <c r="AP635" s="9"/>
      <c r="AQ635" s="29"/>
      <c r="AR635" s="29"/>
      <c r="AS635" s="29"/>
    </row>
    <row r="636" spans="5:45" x14ac:dyDescent="0.25">
      <c r="E636" s="9"/>
      <c r="F636" s="9"/>
      <c r="G636" s="9"/>
      <c r="H636" s="9"/>
      <c r="I636" s="9"/>
      <c r="J636" s="9"/>
      <c r="K636" s="29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29"/>
      <c r="AC636" s="29"/>
      <c r="AD636" s="29"/>
      <c r="AE636" s="29"/>
      <c r="AF636" s="29"/>
      <c r="AG636" s="29"/>
      <c r="AH636" s="29"/>
      <c r="AI636" s="9"/>
      <c r="AJ636" s="9"/>
      <c r="AK636" s="9"/>
      <c r="AL636" s="9"/>
      <c r="AM636" s="9"/>
      <c r="AN636" s="9"/>
      <c r="AO636" s="9"/>
      <c r="AP636" s="9"/>
      <c r="AQ636" s="29"/>
      <c r="AR636" s="29"/>
      <c r="AS636" s="29"/>
    </row>
    <row r="637" spans="5:45" x14ac:dyDescent="0.25">
      <c r="E637" s="9"/>
      <c r="F637" s="9"/>
      <c r="G637" s="9"/>
      <c r="H637" s="9"/>
      <c r="I637" s="9"/>
      <c r="J637" s="9"/>
      <c r="K637" s="29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29"/>
      <c r="AC637" s="29"/>
      <c r="AD637" s="29"/>
      <c r="AE637" s="29"/>
      <c r="AF637" s="29"/>
      <c r="AG637" s="29"/>
      <c r="AH637" s="29"/>
      <c r="AI637" s="9"/>
      <c r="AJ637" s="9"/>
      <c r="AK637" s="9"/>
      <c r="AL637" s="9"/>
      <c r="AM637" s="9"/>
      <c r="AN637" s="9"/>
      <c r="AO637" s="9"/>
      <c r="AP637" s="9"/>
      <c r="AQ637" s="29"/>
      <c r="AR637" s="29"/>
      <c r="AS637" s="29"/>
    </row>
    <row r="638" spans="5:45" x14ac:dyDescent="0.25">
      <c r="E638" s="9"/>
      <c r="F638" s="9"/>
      <c r="G638" s="9"/>
      <c r="H638" s="9"/>
      <c r="I638" s="9"/>
      <c r="J638" s="9"/>
      <c r="K638" s="29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29"/>
      <c r="AC638" s="29"/>
      <c r="AD638" s="29"/>
      <c r="AE638" s="29"/>
      <c r="AF638" s="29"/>
      <c r="AG638" s="29"/>
      <c r="AH638" s="29"/>
      <c r="AI638" s="9"/>
      <c r="AJ638" s="9"/>
      <c r="AK638" s="9"/>
      <c r="AL638" s="9"/>
      <c r="AM638" s="9"/>
      <c r="AN638" s="9"/>
      <c r="AO638" s="9"/>
      <c r="AP638" s="9"/>
      <c r="AQ638" s="29"/>
      <c r="AR638" s="29"/>
      <c r="AS638" s="29"/>
    </row>
    <row r="639" spans="5:45" x14ac:dyDescent="0.25">
      <c r="E639" s="9"/>
      <c r="F639" s="9"/>
      <c r="G639" s="9"/>
      <c r="H639" s="9"/>
      <c r="I639" s="9"/>
      <c r="J639" s="9"/>
      <c r="K639" s="29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29"/>
      <c r="AC639" s="29"/>
      <c r="AD639" s="29"/>
      <c r="AE639" s="29"/>
      <c r="AF639" s="29"/>
      <c r="AG639" s="29"/>
      <c r="AH639" s="29"/>
      <c r="AI639" s="9"/>
      <c r="AJ639" s="9"/>
      <c r="AK639" s="9"/>
      <c r="AL639" s="9"/>
      <c r="AM639" s="9"/>
      <c r="AN639" s="9"/>
      <c r="AO639" s="9"/>
      <c r="AP639" s="9"/>
      <c r="AQ639" s="29"/>
      <c r="AR639" s="29"/>
      <c r="AS639" s="29"/>
    </row>
    <row r="640" spans="5:45" x14ac:dyDescent="0.25">
      <c r="E640" s="9"/>
      <c r="F640" s="9"/>
      <c r="G640" s="9"/>
      <c r="H640" s="9"/>
      <c r="I640" s="9"/>
      <c r="J640" s="9"/>
      <c r="K640" s="29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29"/>
      <c r="AC640" s="29"/>
      <c r="AD640" s="29"/>
      <c r="AE640" s="29"/>
      <c r="AF640" s="29"/>
      <c r="AG640" s="29"/>
      <c r="AH640" s="29"/>
      <c r="AI640" s="9"/>
      <c r="AJ640" s="9"/>
      <c r="AK640" s="9"/>
      <c r="AL640" s="9"/>
      <c r="AM640" s="9"/>
      <c r="AN640" s="9"/>
      <c r="AO640" s="9"/>
      <c r="AP640" s="9"/>
      <c r="AQ640" s="29"/>
      <c r="AR640" s="29"/>
      <c r="AS640" s="29"/>
    </row>
    <row r="641" spans="5:45" x14ac:dyDescent="0.25">
      <c r="E641" s="9"/>
      <c r="F641" s="9"/>
      <c r="G641" s="9"/>
      <c r="H641" s="9"/>
      <c r="I641" s="9"/>
      <c r="J641" s="9"/>
      <c r="K641" s="29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29"/>
      <c r="AC641" s="29"/>
      <c r="AD641" s="29"/>
      <c r="AE641" s="29"/>
      <c r="AF641" s="29"/>
      <c r="AG641" s="29"/>
      <c r="AH641" s="29"/>
      <c r="AI641" s="9"/>
      <c r="AJ641" s="9"/>
      <c r="AK641" s="9"/>
      <c r="AL641" s="9"/>
      <c r="AM641" s="9"/>
      <c r="AN641" s="9"/>
      <c r="AO641" s="9"/>
      <c r="AP641" s="9"/>
      <c r="AQ641" s="29"/>
      <c r="AR641" s="29"/>
      <c r="AS641" s="29"/>
    </row>
    <row r="642" spans="5:45" x14ac:dyDescent="0.25">
      <c r="E642" s="9"/>
      <c r="F642" s="9"/>
      <c r="G642" s="9"/>
      <c r="H642" s="9"/>
      <c r="I642" s="9"/>
      <c r="J642" s="9"/>
      <c r="K642" s="29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29"/>
      <c r="AC642" s="29"/>
      <c r="AD642" s="29"/>
      <c r="AE642" s="29"/>
      <c r="AF642" s="29"/>
      <c r="AG642" s="29"/>
      <c r="AH642" s="29"/>
      <c r="AI642" s="9"/>
      <c r="AJ642" s="9"/>
      <c r="AK642" s="9"/>
      <c r="AL642" s="9"/>
      <c r="AM642" s="9"/>
      <c r="AN642" s="9"/>
      <c r="AO642" s="9"/>
      <c r="AP642" s="9"/>
      <c r="AQ642" s="29"/>
      <c r="AR642" s="29"/>
      <c r="AS642" s="29"/>
    </row>
    <row r="643" spans="5:45" x14ac:dyDescent="0.25">
      <c r="E643" s="9"/>
      <c r="F643" s="9"/>
      <c r="G643" s="9"/>
      <c r="H643" s="9"/>
      <c r="I643" s="9"/>
      <c r="J643" s="9"/>
      <c r="K643" s="29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29"/>
      <c r="AC643" s="29"/>
      <c r="AD643" s="29"/>
      <c r="AE643" s="29"/>
      <c r="AF643" s="29"/>
      <c r="AG643" s="29"/>
      <c r="AH643" s="29"/>
      <c r="AI643" s="9"/>
      <c r="AJ643" s="9"/>
      <c r="AK643" s="9"/>
      <c r="AL643" s="9"/>
      <c r="AM643" s="9"/>
      <c r="AN643" s="9"/>
      <c r="AO643" s="9"/>
      <c r="AP643" s="9"/>
      <c r="AQ643" s="29"/>
      <c r="AR643" s="29"/>
      <c r="AS643" s="29"/>
    </row>
    <row r="644" spans="5:45" x14ac:dyDescent="0.25">
      <c r="E644" s="9"/>
      <c r="F644" s="9"/>
      <c r="G644" s="9"/>
      <c r="H644" s="9"/>
      <c r="I644" s="9"/>
      <c r="J644" s="9"/>
      <c r="K644" s="29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29"/>
      <c r="AC644" s="29"/>
      <c r="AD644" s="29"/>
      <c r="AE644" s="29"/>
      <c r="AF644" s="29"/>
      <c r="AG644" s="29"/>
      <c r="AH644" s="29"/>
      <c r="AI644" s="9"/>
      <c r="AJ644" s="9"/>
      <c r="AK644" s="9"/>
      <c r="AL644" s="9"/>
      <c r="AM644" s="9"/>
      <c r="AN644" s="9"/>
      <c r="AO644" s="9"/>
      <c r="AP644" s="9"/>
      <c r="AQ644" s="29"/>
      <c r="AR644" s="29"/>
      <c r="AS644" s="29"/>
    </row>
    <row r="645" spans="5:45" x14ac:dyDescent="0.25">
      <c r="E645" s="9"/>
      <c r="F645" s="9"/>
      <c r="G645" s="9"/>
      <c r="H645" s="9"/>
      <c r="I645" s="9"/>
      <c r="J645" s="9"/>
      <c r="K645" s="29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29"/>
      <c r="AC645" s="29"/>
      <c r="AD645" s="29"/>
      <c r="AE645" s="29"/>
      <c r="AF645" s="29"/>
      <c r="AG645" s="29"/>
      <c r="AH645" s="29"/>
      <c r="AI645" s="9"/>
      <c r="AJ645" s="9"/>
      <c r="AK645" s="9"/>
      <c r="AL645" s="9"/>
      <c r="AM645" s="9"/>
      <c r="AN645" s="9"/>
      <c r="AO645" s="9"/>
      <c r="AP645" s="9"/>
      <c r="AQ645" s="29"/>
      <c r="AR645" s="29"/>
      <c r="AS645" s="29"/>
    </row>
    <row r="646" spans="5:45" x14ac:dyDescent="0.25">
      <c r="E646" s="9"/>
      <c r="F646" s="9"/>
      <c r="G646" s="9"/>
      <c r="H646" s="9"/>
      <c r="I646" s="9"/>
      <c r="J646" s="9"/>
      <c r="K646" s="29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29"/>
      <c r="AC646" s="29"/>
      <c r="AD646" s="29"/>
      <c r="AE646" s="29"/>
      <c r="AF646" s="29"/>
      <c r="AG646" s="29"/>
      <c r="AH646" s="29"/>
      <c r="AI646" s="9"/>
      <c r="AJ646" s="9"/>
      <c r="AK646" s="9"/>
      <c r="AL646" s="9"/>
      <c r="AM646" s="9"/>
      <c r="AN646" s="9"/>
      <c r="AO646" s="9"/>
      <c r="AP646" s="9"/>
      <c r="AQ646" s="29"/>
      <c r="AR646" s="29"/>
      <c r="AS646" s="29"/>
    </row>
    <row r="647" spans="5:45" x14ac:dyDescent="0.25">
      <c r="E647" s="9"/>
      <c r="F647" s="9"/>
      <c r="G647" s="9"/>
      <c r="H647" s="9"/>
      <c r="I647" s="9"/>
      <c r="J647" s="9"/>
      <c r="K647" s="29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29"/>
      <c r="AC647" s="29"/>
      <c r="AD647" s="29"/>
      <c r="AE647" s="29"/>
      <c r="AF647" s="29"/>
      <c r="AG647" s="29"/>
      <c r="AH647" s="29"/>
      <c r="AI647" s="9"/>
      <c r="AJ647" s="9"/>
      <c r="AK647" s="9"/>
      <c r="AL647" s="9"/>
      <c r="AM647" s="9"/>
      <c r="AN647" s="9"/>
      <c r="AO647" s="9"/>
      <c r="AP647" s="9"/>
      <c r="AQ647" s="29"/>
      <c r="AR647" s="29"/>
      <c r="AS647" s="29"/>
    </row>
    <row r="648" spans="5:45" x14ac:dyDescent="0.25">
      <c r="E648" s="9"/>
      <c r="F648" s="9"/>
      <c r="G648" s="9"/>
      <c r="H648" s="9"/>
      <c r="I648" s="9"/>
      <c r="J648" s="9"/>
      <c r="K648" s="29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29"/>
      <c r="AC648" s="29"/>
      <c r="AD648" s="29"/>
      <c r="AE648" s="29"/>
      <c r="AF648" s="29"/>
      <c r="AG648" s="29"/>
      <c r="AH648" s="29"/>
      <c r="AI648" s="9"/>
      <c r="AJ648" s="9"/>
      <c r="AK648" s="9"/>
      <c r="AL648" s="9"/>
      <c r="AM648" s="9"/>
      <c r="AN648" s="9"/>
      <c r="AO648" s="9"/>
      <c r="AP648" s="9"/>
      <c r="AQ648" s="29"/>
      <c r="AR648" s="29"/>
      <c r="AS648" s="29"/>
    </row>
    <row r="649" spans="5:45" x14ac:dyDescent="0.25">
      <c r="E649" s="9"/>
      <c r="F649" s="9"/>
      <c r="G649" s="9"/>
      <c r="H649" s="9"/>
      <c r="I649" s="9"/>
      <c r="J649" s="9"/>
      <c r="K649" s="29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29"/>
      <c r="AC649" s="29"/>
      <c r="AD649" s="29"/>
      <c r="AE649" s="29"/>
      <c r="AF649" s="29"/>
      <c r="AG649" s="29"/>
      <c r="AH649" s="29"/>
      <c r="AI649" s="9"/>
      <c r="AJ649" s="9"/>
      <c r="AK649" s="9"/>
      <c r="AL649" s="9"/>
      <c r="AM649" s="9"/>
      <c r="AN649" s="9"/>
      <c r="AO649" s="9"/>
      <c r="AP649" s="9"/>
      <c r="AQ649" s="29"/>
      <c r="AR649" s="29"/>
      <c r="AS649" s="29"/>
    </row>
    <row r="650" spans="5:45" x14ac:dyDescent="0.25">
      <c r="E650" s="9"/>
      <c r="F650" s="9"/>
      <c r="G650" s="9"/>
      <c r="H650" s="9"/>
      <c r="I650" s="9"/>
      <c r="J650" s="9"/>
      <c r="K650" s="29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29"/>
      <c r="AC650" s="29"/>
      <c r="AD650" s="29"/>
      <c r="AE650" s="29"/>
      <c r="AF650" s="29"/>
      <c r="AG650" s="29"/>
      <c r="AH650" s="29"/>
      <c r="AI650" s="9"/>
      <c r="AJ650" s="9"/>
      <c r="AK650" s="9"/>
      <c r="AL650" s="9"/>
      <c r="AM650" s="9"/>
      <c r="AN650" s="9"/>
      <c r="AO650" s="9"/>
      <c r="AP650" s="9"/>
      <c r="AQ650" s="29"/>
      <c r="AR650" s="29"/>
      <c r="AS650" s="29"/>
    </row>
    <row r="651" spans="5:45" x14ac:dyDescent="0.25">
      <c r="E651" s="9"/>
      <c r="F651" s="9"/>
      <c r="G651" s="9"/>
      <c r="H651" s="9"/>
      <c r="I651" s="9"/>
      <c r="J651" s="9"/>
      <c r="K651" s="29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29"/>
      <c r="AC651" s="29"/>
      <c r="AD651" s="29"/>
      <c r="AE651" s="29"/>
      <c r="AF651" s="29"/>
      <c r="AG651" s="29"/>
      <c r="AH651" s="29"/>
      <c r="AI651" s="9"/>
      <c r="AJ651" s="9"/>
      <c r="AK651" s="9"/>
      <c r="AL651" s="9"/>
      <c r="AM651" s="9"/>
      <c r="AN651" s="9"/>
      <c r="AO651" s="9"/>
      <c r="AP651" s="9"/>
      <c r="AQ651" s="29"/>
      <c r="AR651" s="29"/>
      <c r="AS651" s="29"/>
    </row>
    <row r="652" spans="5:45" x14ac:dyDescent="0.25">
      <c r="E652" s="9"/>
      <c r="F652" s="9"/>
      <c r="G652" s="9"/>
      <c r="H652" s="9"/>
      <c r="I652" s="9"/>
      <c r="J652" s="9"/>
      <c r="K652" s="29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29"/>
      <c r="AC652" s="29"/>
      <c r="AD652" s="29"/>
      <c r="AE652" s="29"/>
      <c r="AF652" s="29"/>
      <c r="AG652" s="29"/>
      <c r="AH652" s="29"/>
      <c r="AI652" s="9"/>
      <c r="AJ652" s="9"/>
      <c r="AK652" s="9"/>
      <c r="AL652" s="9"/>
      <c r="AM652" s="9"/>
      <c r="AN652" s="9"/>
      <c r="AO652" s="9"/>
      <c r="AP652" s="9"/>
      <c r="AQ652" s="29"/>
      <c r="AR652" s="29"/>
      <c r="AS652" s="29"/>
    </row>
    <row r="653" spans="5:45" x14ac:dyDescent="0.25">
      <c r="E653" s="9"/>
      <c r="F653" s="9"/>
      <c r="G653" s="9"/>
      <c r="H653" s="9"/>
      <c r="I653" s="9"/>
      <c r="J653" s="9"/>
      <c r="K653" s="29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29"/>
      <c r="AC653" s="29"/>
      <c r="AD653" s="29"/>
      <c r="AE653" s="29"/>
      <c r="AF653" s="29"/>
      <c r="AG653" s="29"/>
      <c r="AH653" s="29"/>
      <c r="AI653" s="9"/>
      <c r="AJ653" s="9"/>
      <c r="AK653" s="9"/>
      <c r="AL653" s="9"/>
      <c r="AM653" s="9"/>
      <c r="AN653" s="9"/>
      <c r="AO653" s="9"/>
      <c r="AP653" s="9"/>
      <c r="AQ653" s="29"/>
      <c r="AR653" s="29"/>
      <c r="AS653" s="29"/>
    </row>
    <row r="654" spans="5:45" x14ac:dyDescent="0.25">
      <c r="E654" s="9"/>
      <c r="F654" s="9"/>
      <c r="G654" s="9"/>
      <c r="H654" s="9"/>
      <c r="I654" s="9"/>
      <c r="J654" s="9"/>
      <c r="K654" s="29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29"/>
      <c r="AC654" s="29"/>
      <c r="AD654" s="29"/>
      <c r="AE654" s="29"/>
      <c r="AF654" s="29"/>
      <c r="AG654" s="29"/>
      <c r="AH654" s="29"/>
      <c r="AI654" s="9"/>
      <c r="AJ654" s="9"/>
      <c r="AK654" s="9"/>
      <c r="AL654" s="9"/>
      <c r="AM654" s="9"/>
      <c r="AN654" s="9"/>
      <c r="AO654" s="9"/>
      <c r="AP654" s="9"/>
      <c r="AQ654" s="29"/>
      <c r="AR654" s="29"/>
      <c r="AS654" s="29"/>
    </row>
    <row r="655" spans="5:45" x14ac:dyDescent="0.25">
      <c r="E655" s="9"/>
      <c r="F655" s="9"/>
      <c r="G655" s="9"/>
      <c r="H655" s="9"/>
      <c r="I655" s="9"/>
      <c r="J655" s="9"/>
      <c r="K655" s="29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29"/>
      <c r="AC655" s="29"/>
      <c r="AD655" s="29"/>
      <c r="AE655" s="29"/>
      <c r="AF655" s="29"/>
      <c r="AG655" s="29"/>
      <c r="AH655" s="29"/>
      <c r="AI655" s="9"/>
      <c r="AJ655" s="9"/>
      <c r="AK655" s="9"/>
      <c r="AL655" s="9"/>
      <c r="AM655" s="9"/>
      <c r="AN655" s="9"/>
      <c r="AO655" s="9"/>
      <c r="AP655" s="9"/>
      <c r="AQ655" s="29"/>
      <c r="AR655" s="29"/>
      <c r="AS655" s="29"/>
    </row>
    <row r="656" spans="5:45" x14ac:dyDescent="0.25">
      <c r="E656" s="9"/>
      <c r="F656" s="9"/>
      <c r="G656" s="9"/>
      <c r="H656" s="9"/>
      <c r="I656" s="9"/>
      <c r="J656" s="9"/>
      <c r="K656" s="29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B656" s="29"/>
      <c r="AC656" s="29"/>
      <c r="AD656" s="29"/>
      <c r="AE656" s="29"/>
      <c r="AF656" s="29"/>
      <c r="AG656" s="29"/>
      <c r="AH656" s="29"/>
      <c r="AI656" s="9"/>
      <c r="AJ656" s="9"/>
      <c r="AK656" s="9"/>
      <c r="AL656" s="9"/>
      <c r="AM656" s="9"/>
      <c r="AN656" s="9"/>
      <c r="AO656" s="9"/>
      <c r="AP656" s="9"/>
      <c r="AQ656" s="29"/>
      <c r="AR656" s="29"/>
      <c r="AS656" s="29"/>
    </row>
    <row r="657" spans="5:45" x14ac:dyDescent="0.25">
      <c r="E657" s="9"/>
      <c r="F657" s="9"/>
      <c r="G657" s="9"/>
      <c r="H657" s="9"/>
      <c r="I657" s="9"/>
      <c r="J657" s="9"/>
      <c r="K657" s="29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B657" s="29"/>
      <c r="AC657" s="29"/>
      <c r="AD657" s="29"/>
      <c r="AE657" s="29"/>
      <c r="AF657" s="29"/>
      <c r="AG657" s="29"/>
      <c r="AH657" s="29"/>
      <c r="AI657" s="9"/>
      <c r="AJ657" s="9"/>
      <c r="AK657" s="9"/>
      <c r="AL657" s="9"/>
      <c r="AM657" s="9"/>
      <c r="AN657" s="9"/>
      <c r="AO657" s="9"/>
      <c r="AP657" s="9"/>
      <c r="AQ657" s="29"/>
      <c r="AR657" s="29"/>
      <c r="AS657" s="29"/>
    </row>
    <row r="658" spans="5:45" x14ac:dyDescent="0.25">
      <c r="E658" s="9"/>
      <c r="F658" s="9"/>
      <c r="G658" s="9"/>
      <c r="H658" s="9"/>
      <c r="I658" s="9"/>
      <c r="J658" s="9"/>
      <c r="K658" s="29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B658" s="29"/>
      <c r="AC658" s="29"/>
      <c r="AD658" s="29"/>
      <c r="AE658" s="29"/>
      <c r="AF658" s="29"/>
      <c r="AG658" s="29"/>
      <c r="AH658" s="29"/>
      <c r="AI658" s="9"/>
      <c r="AJ658" s="9"/>
      <c r="AK658" s="9"/>
      <c r="AL658" s="9"/>
      <c r="AM658" s="9"/>
      <c r="AN658" s="9"/>
      <c r="AO658" s="9"/>
      <c r="AP658" s="9"/>
      <c r="AQ658" s="29"/>
      <c r="AR658" s="29"/>
      <c r="AS658" s="29"/>
    </row>
    <row r="659" spans="5:45" x14ac:dyDescent="0.25">
      <c r="E659" s="9"/>
      <c r="F659" s="9"/>
      <c r="G659" s="9"/>
      <c r="H659" s="9"/>
      <c r="I659" s="9"/>
      <c r="J659" s="9"/>
      <c r="K659" s="29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B659" s="29"/>
      <c r="AC659" s="29"/>
      <c r="AD659" s="29"/>
      <c r="AE659" s="29"/>
      <c r="AF659" s="29"/>
      <c r="AG659" s="29"/>
      <c r="AH659" s="29"/>
      <c r="AI659" s="9"/>
      <c r="AJ659" s="9"/>
      <c r="AK659" s="9"/>
      <c r="AL659" s="9"/>
      <c r="AM659" s="9"/>
      <c r="AN659" s="9"/>
      <c r="AO659" s="9"/>
      <c r="AP659" s="9"/>
      <c r="AQ659" s="29"/>
      <c r="AR659" s="29"/>
      <c r="AS659" s="29"/>
    </row>
    <row r="660" spans="5:45" x14ac:dyDescent="0.25">
      <c r="E660" s="9"/>
      <c r="F660" s="9"/>
      <c r="G660" s="9"/>
      <c r="H660" s="9"/>
      <c r="I660" s="9"/>
      <c r="J660" s="9"/>
      <c r="K660" s="29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B660" s="29"/>
      <c r="AC660" s="29"/>
      <c r="AD660" s="29"/>
      <c r="AE660" s="29"/>
      <c r="AF660" s="29"/>
      <c r="AG660" s="29"/>
      <c r="AH660" s="29"/>
      <c r="AI660" s="9"/>
      <c r="AJ660" s="9"/>
      <c r="AK660" s="9"/>
      <c r="AL660" s="9"/>
      <c r="AM660" s="9"/>
      <c r="AN660" s="9"/>
      <c r="AO660" s="9"/>
      <c r="AP660" s="9"/>
      <c r="AQ660" s="29"/>
      <c r="AR660" s="29"/>
      <c r="AS660" s="29"/>
    </row>
    <row r="661" spans="5:45" x14ac:dyDescent="0.25">
      <c r="E661" s="9"/>
      <c r="F661" s="9"/>
      <c r="G661" s="9"/>
      <c r="H661" s="9"/>
      <c r="I661" s="9"/>
      <c r="J661" s="9"/>
      <c r="K661" s="29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B661" s="29"/>
      <c r="AC661" s="29"/>
      <c r="AD661" s="29"/>
      <c r="AE661" s="29"/>
      <c r="AF661" s="29"/>
      <c r="AG661" s="29"/>
      <c r="AH661" s="29"/>
      <c r="AI661" s="9"/>
      <c r="AJ661" s="9"/>
      <c r="AK661" s="9"/>
      <c r="AL661" s="9"/>
      <c r="AM661" s="9"/>
      <c r="AN661" s="9"/>
      <c r="AO661" s="9"/>
      <c r="AP661" s="9"/>
      <c r="AQ661" s="29"/>
      <c r="AR661" s="29"/>
      <c r="AS661" s="29"/>
    </row>
    <row r="662" spans="5:45" x14ac:dyDescent="0.25">
      <c r="E662" s="9"/>
      <c r="F662" s="9"/>
      <c r="G662" s="9"/>
      <c r="H662" s="9"/>
      <c r="I662" s="9"/>
      <c r="J662" s="9"/>
      <c r="K662" s="29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B662" s="29"/>
      <c r="AC662" s="29"/>
      <c r="AD662" s="29"/>
      <c r="AE662" s="29"/>
      <c r="AF662" s="29"/>
      <c r="AG662" s="29"/>
      <c r="AH662" s="29"/>
      <c r="AI662" s="9"/>
      <c r="AJ662" s="9"/>
      <c r="AK662" s="9"/>
      <c r="AL662" s="9"/>
      <c r="AM662" s="9"/>
      <c r="AN662" s="9"/>
      <c r="AO662" s="9"/>
      <c r="AP662" s="9"/>
      <c r="AQ662" s="29"/>
      <c r="AR662" s="29"/>
      <c r="AS662" s="29"/>
    </row>
    <row r="663" spans="5:45" x14ac:dyDescent="0.25">
      <c r="E663" s="9"/>
      <c r="F663" s="9"/>
      <c r="G663" s="9"/>
      <c r="H663" s="9"/>
      <c r="I663" s="9"/>
      <c r="J663" s="9"/>
      <c r="K663" s="29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B663" s="29"/>
      <c r="AC663" s="29"/>
      <c r="AD663" s="29"/>
      <c r="AE663" s="29"/>
      <c r="AF663" s="29"/>
      <c r="AG663" s="29"/>
      <c r="AH663" s="29"/>
      <c r="AI663" s="9"/>
      <c r="AJ663" s="9"/>
      <c r="AK663" s="9"/>
      <c r="AL663" s="9"/>
      <c r="AM663" s="9"/>
      <c r="AN663" s="9"/>
      <c r="AO663" s="9"/>
      <c r="AP663" s="9"/>
      <c r="AQ663" s="29"/>
      <c r="AR663" s="29"/>
      <c r="AS663" s="29"/>
    </row>
    <row r="664" spans="5:45" x14ac:dyDescent="0.25">
      <c r="E664" s="9"/>
      <c r="F664" s="9"/>
      <c r="G664" s="9"/>
      <c r="H664" s="9"/>
      <c r="I664" s="9"/>
      <c r="J664" s="9"/>
      <c r="K664" s="29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B664" s="29"/>
      <c r="AC664" s="29"/>
      <c r="AD664" s="29"/>
      <c r="AE664" s="29"/>
      <c r="AF664" s="29"/>
      <c r="AG664" s="29"/>
      <c r="AH664" s="29"/>
      <c r="AI664" s="9"/>
      <c r="AJ664" s="9"/>
      <c r="AK664" s="9"/>
      <c r="AL664" s="9"/>
      <c r="AM664" s="9"/>
      <c r="AN664" s="9"/>
      <c r="AO664" s="9"/>
      <c r="AP664" s="9"/>
      <c r="AQ664" s="29"/>
      <c r="AR664" s="29"/>
      <c r="AS664" s="29"/>
    </row>
    <row r="665" spans="5:45" x14ac:dyDescent="0.25">
      <c r="E665" s="9"/>
      <c r="F665" s="9"/>
      <c r="G665" s="9"/>
      <c r="H665" s="9"/>
      <c r="I665" s="9"/>
      <c r="J665" s="9"/>
      <c r="K665" s="29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B665" s="29"/>
      <c r="AC665" s="29"/>
      <c r="AD665" s="29"/>
      <c r="AE665" s="29"/>
      <c r="AF665" s="29"/>
      <c r="AG665" s="29"/>
      <c r="AH665" s="29"/>
      <c r="AI665" s="9"/>
      <c r="AJ665" s="9"/>
      <c r="AK665" s="9"/>
      <c r="AL665" s="9"/>
      <c r="AM665" s="9"/>
      <c r="AN665" s="9"/>
      <c r="AO665" s="9"/>
      <c r="AP665" s="9"/>
      <c r="AQ665" s="29"/>
      <c r="AR665" s="29"/>
      <c r="AS665" s="29"/>
    </row>
    <row r="666" spans="5:45" x14ac:dyDescent="0.25">
      <c r="E666" s="9"/>
      <c r="F666" s="9"/>
      <c r="G666" s="9"/>
      <c r="H666" s="9"/>
      <c r="I666" s="9"/>
      <c r="J666" s="9"/>
      <c r="K666" s="29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B666" s="29"/>
      <c r="AC666" s="29"/>
      <c r="AD666" s="29"/>
      <c r="AE666" s="29"/>
      <c r="AF666" s="29"/>
      <c r="AG666" s="29"/>
      <c r="AH666" s="29"/>
      <c r="AI666" s="9"/>
      <c r="AJ666" s="9"/>
      <c r="AK666" s="9"/>
      <c r="AL666" s="9"/>
      <c r="AM666" s="9"/>
      <c r="AN666" s="9"/>
      <c r="AO666" s="9"/>
      <c r="AP666" s="9"/>
      <c r="AQ666" s="29"/>
      <c r="AR666" s="29"/>
      <c r="AS666" s="29"/>
    </row>
    <row r="667" spans="5:45" x14ac:dyDescent="0.25">
      <c r="E667" s="9"/>
      <c r="F667" s="9"/>
      <c r="G667" s="9"/>
      <c r="H667" s="9"/>
      <c r="I667" s="9"/>
      <c r="J667" s="9"/>
      <c r="K667" s="29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B667" s="29"/>
      <c r="AC667" s="29"/>
      <c r="AD667" s="29"/>
      <c r="AE667" s="29"/>
      <c r="AF667" s="29"/>
      <c r="AG667" s="29"/>
      <c r="AH667" s="29"/>
      <c r="AI667" s="9"/>
      <c r="AJ667" s="9"/>
      <c r="AK667" s="9"/>
      <c r="AL667" s="9"/>
      <c r="AM667" s="9"/>
      <c r="AN667" s="9"/>
      <c r="AO667" s="9"/>
      <c r="AP667" s="9"/>
      <c r="AQ667" s="29"/>
      <c r="AR667" s="29"/>
      <c r="AS667" s="29"/>
    </row>
    <row r="668" spans="5:45" x14ac:dyDescent="0.25">
      <c r="E668" s="9"/>
      <c r="F668" s="9"/>
      <c r="G668" s="9"/>
      <c r="H668" s="9"/>
      <c r="I668" s="9"/>
      <c r="J668" s="9"/>
      <c r="K668" s="29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B668" s="29"/>
      <c r="AC668" s="29"/>
      <c r="AD668" s="29"/>
      <c r="AE668" s="29"/>
      <c r="AF668" s="29"/>
      <c r="AG668" s="29"/>
      <c r="AH668" s="29"/>
      <c r="AI668" s="9"/>
      <c r="AJ668" s="9"/>
      <c r="AK668" s="9"/>
      <c r="AL668" s="9"/>
      <c r="AM668" s="9"/>
      <c r="AN668" s="9"/>
      <c r="AO668" s="9"/>
      <c r="AP668" s="9"/>
      <c r="AQ668" s="29"/>
      <c r="AR668" s="29"/>
      <c r="AS668" s="29"/>
    </row>
    <row r="669" spans="5:45" x14ac:dyDescent="0.25">
      <c r="E669" s="9"/>
      <c r="F669" s="9"/>
      <c r="G669" s="9"/>
      <c r="H669" s="9"/>
      <c r="I669" s="9"/>
      <c r="J669" s="9"/>
      <c r="K669" s="29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B669" s="29"/>
      <c r="AC669" s="29"/>
      <c r="AD669" s="29"/>
      <c r="AE669" s="29"/>
      <c r="AF669" s="29"/>
      <c r="AG669" s="29"/>
      <c r="AH669" s="29"/>
      <c r="AI669" s="9"/>
      <c r="AJ669" s="9"/>
      <c r="AK669" s="9"/>
      <c r="AL669" s="9"/>
      <c r="AM669" s="9"/>
      <c r="AN669" s="9"/>
      <c r="AO669" s="9"/>
      <c r="AP669" s="9"/>
      <c r="AQ669" s="29"/>
      <c r="AR669" s="29"/>
      <c r="AS669" s="29"/>
    </row>
    <row r="670" spans="5:45" x14ac:dyDescent="0.25">
      <c r="E670" s="9"/>
      <c r="F670" s="9"/>
      <c r="G670" s="9"/>
      <c r="H670" s="9"/>
      <c r="I670" s="9"/>
      <c r="J670" s="9"/>
      <c r="K670" s="29"/>
      <c r="N670" s="21"/>
      <c r="O670" s="9"/>
      <c r="P670" s="9"/>
      <c r="Q670" s="9"/>
      <c r="R670" s="9"/>
      <c r="S670" s="9"/>
      <c r="T670" s="9"/>
      <c r="U670" s="9"/>
      <c r="V670" s="9"/>
      <c r="W670" s="9"/>
    </row>
    <row r="671" spans="5:45" x14ac:dyDescent="0.25">
      <c r="E671" s="9"/>
      <c r="F671" s="9"/>
      <c r="G671" s="9"/>
      <c r="H671" s="9"/>
      <c r="I671" s="9"/>
      <c r="J671" s="9"/>
      <c r="K671" s="29"/>
      <c r="N671" s="21"/>
    </row>
    <row r="672" spans="5:45" x14ac:dyDescent="0.25">
      <c r="E672" s="9"/>
      <c r="F672" s="9"/>
      <c r="G672" s="9"/>
      <c r="H672" s="9"/>
      <c r="I672" s="9"/>
      <c r="J672" s="9"/>
      <c r="K672" s="29"/>
      <c r="N672" s="21"/>
    </row>
    <row r="673" spans="5:14" x14ac:dyDescent="0.25">
      <c r="E673" s="9"/>
      <c r="F673" s="9"/>
      <c r="G673" s="9"/>
      <c r="H673" s="9"/>
      <c r="I673" s="9"/>
      <c r="J673" s="9"/>
      <c r="K673" s="29"/>
      <c r="N673" s="21"/>
    </row>
    <row r="674" spans="5:14" x14ac:dyDescent="0.25">
      <c r="N674" s="21"/>
    </row>
  </sheetData>
  <conditionalFormatting sqref="V96:X370 N4:N370">
    <cfRule type="cellIs" dxfId="873" priority="1733" operator="lessThan">
      <formula>0.8</formula>
    </cfRule>
    <cfRule type="cellIs" dxfId="872" priority="1734" operator="greaterThan">
      <formula>0.8</formula>
    </cfRule>
  </conditionalFormatting>
  <conditionalFormatting sqref="E1:K3 E282:K332 E236:K236 E243:K279 E5:K32 E36:K91 E94:K230 E335:K362 E367:K1048576">
    <cfRule type="containsText" dxfId="871" priority="1732" operator="containsText" text="Radio">
      <formula>NOT(ISERROR(SEARCH("Radio",E1)))</formula>
    </cfRule>
  </conditionalFormatting>
  <conditionalFormatting sqref="AA371:AA1048576 V96:X1048576">
    <cfRule type="notContainsText" dxfId="870" priority="1728" operator="notContains" text="Caida">
      <formula>ISERROR(SEARCH("Caida",V96))</formula>
    </cfRule>
    <cfRule type="containsText" dxfId="869" priority="1729" operator="containsText" text="Caida">
      <formula>NOT(ISERROR(SEARCH("Caida",V96)))</formula>
    </cfRule>
  </conditionalFormatting>
  <conditionalFormatting sqref="E280:K280">
    <cfRule type="containsText" dxfId="868" priority="1701" operator="containsText" text="Radio">
      <formula>NOT(ISERROR(SEARCH("Radio",E280)))</formula>
    </cfRule>
  </conditionalFormatting>
  <conditionalFormatting sqref="E281:K281">
    <cfRule type="containsText" dxfId="867" priority="1676" operator="containsText" text="Radio">
      <formula>NOT(ISERROR(SEARCH("Radio",E281)))</formula>
    </cfRule>
  </conditionalFormatting>
  <conditionalFormatting sqref="E4:K4">
    <cfRule type="containsText" dxfId="866" priority="1651" operator="containsText" text="Radio">
      <formula>NOT(ISERROR(SEARCH("Radio",E4)))</formula>
    </cfRule>
  </conditionalFormatting>
  <conditionalFormatting sqref="E231:K231">
    <cfRule type="containsText" dxfId="865" priority="1650" operator="containsText" text="Radio">
      <formula>NOT(ISERROR(SEARCH("Radio",E231)))</formula>
    </cfRule>
  </conditionalFormatting>
  <conditionalFormatting sqref="E232:K232">
    <cfRule type="containsText" dxfId="864" priority="1625" operator="containsText" text="Radio">
      <formula>NOT(ISERROR(SEARCH("Radio",E232)))</formula>
    </cfRule>
  </conditionalFormatting>
  <conditionalFormatting sqref="E233:K233">
    <cfRule type="containsText" dxfId="863" priority="1600" operator="containsText" text="Radio">
      <formula>NOT(ISERROR(SEARCH("Radio",E233)))</formula>
    </cfRule>
  </conditionalFormatting>
  <conditionalFormatting sqref="E234:K234">
    <cfRule type="containsText" dxfId="862" priority="1575" operator="containsText" text="Radio">
      <formula>NOT(ISERROR(SEARCH("Radio",E234)))</formula>
    </cfRule>
  </conditionalFormatting>
  <conditionalFormatting sqref="E235:K235">
    <cfRule type="containsText" dxfId="861" priority="1550" operator="containsText" text="Radio">
      <formula>NOT(ISERROR(SEARCH("Radio",E235)))</formula>
    </cfRule>
  </conditionalFormatting>
  <conditionalFormatting sqref="E333:K333">
    <cfRule type="containsText" dxfId="860" priority="1501" operator="containsText" text="Radio">
      <formula>NOT(ISERROR(SEARCH("Radio",E333)))</formula>
    </cfRule>
  </conditionalFormatting>
  <conditionalFormatting sqref="E334:K334">
    <cfRule type="containsText" dxfId="859" priority="1476" operator="containsText" text="Radio">
      <formula>NOT(ISERROR(SEARCH("Radio",E334)))</formula>
    </cfRule>
  </conditionalFormatting>
  <conditionalFormatting sqref="E237:K237">
    <cfRule type="containsText" dxfId="858" priority="1451" operator="containsText" text="Radio">
      <formula>NOT(ISERROR(SEARCH("Radio",E237)))</formula>
    </cfRule>
  </conditionalFormatting>
  <conditionalFormatting sqref="E238:K238">
    <cfRule type="containsText" dxfId="857" priority="1426" operator="containsText" text="Radio">
      <formula>NOT(ISERROR(SEARCH("Radio",E238)))</formula>
    </cfRule>
  </conditionalFormatting>
  <conditionalFormatting sqref="E33:K35">
    <cfRule type="containsText" dxfId="856" priority="1401" operator="containsText" text="Radio">
      <formula>NOT(ISERROR(SEARCH("Radio",E33)))</formula>
    </cfRule>
  </conditionalFormatting>
  <conditionalFormatting sqref="E239:K239">
    <cfRule type="containsText" dxfId="855" priority="1376" operator="containsText" text="Radio">
      <formula>NOT(ISERROR(SEARCH("Radio",E239)))</formula>
    </cfRule>
  </conditionalFormatting>
  <conditionalFormatting sqref="E240:K240">
    <cfRule type="containsText" dxfId="854" priority="1351" operator="containsText" text="Radio">
      <formula>NOT(ISERROR(SEARCH("Radio",E240)))</formula>
    </cfRule>
  </conditionalFormatting>
  <conditionalFormatting sqref="E241:K241">
    <cfRule type="containsText" dxfId="853" priority="1326" operator="containsText" text="Radio">
      <formula>NOT(ISERROR(SEARCH("Radio",E241)))</formula>
    </cfRule>
  </conditionalFormatting>
  <conditionalFormatting sqref="E242:K242">
    <cfRule type="containsText" dxfId="852" priority="1301" operator="containsText" text="Radio">
      <formula>NOT(ISERROR(SEARCH("Radio",E242)))</formula>
    </cfRule>
  </conditionalFormatting>
  <conditionalFormatting sqref="P6:P92 P236:P279 P96:P230">
    <cfRule type="cellIs" dxfId="851" priority="1226" operator="lessThan">
      <formula>0.8</formula>
    </cfRule>
    <cfRule type="cellIs" dxfId="850" priority="1227" operator="greaterThan">
      <formula>0.8</formula>
    </cfRule>
  </conditionalFormatting>
  <conditionalFormatting sqref="P6:P92 P236:P279 P96:P230">
    <cfRule type="notContainsText" dxfId="849" priority="1224" operator="notContains" text="Caida">
      <formula>ISERROR(SEARCH("Caida",P6))</formula>
    </cfRule>
    <cfRule type="containsText" dxfId="848" priority="1225" operator="containsText" text="Caida">
      <formula>NOT(ISERROR(SEARCH("Caida",P6)))</formula>
    </cfRule>
  </conditionalFormatting>
  <conditionalFormatting sqref="P335:P364 P282:P332">
    <cfRule type="cellIs" dxfId="847" priority="1222" operator="lessThan">
      <formula>0.8</formula>
    </cfRule>
    <cfRule type="cellIs" dxfId="846" priority="1223" operator="greaterThan">
      <formula>0.8</formula>
    </cfRule>
  </conditionalFormatting>
  <conditionalFormatting sqref="P335:P364 P282:P332 P371:P1048576">
    <cfRule type="notContainsText" dxfId="845" priority="1220" operator="notContains" text="Caida">
      <formula>ISERROR(SEARCH("Caida",P282))</formula>
    </cfRule>
    <cfRule type="containsText" dxfId="844" priority="1221" operator="containsText" text="Caida">
      <formula>NOT(ISERROR(SEARCH("Caida",P282)))</formula>
    </cfRule>
  </conditionalFormatting>
  <conditionalFormatting sqref="O372:O1048576">
    <cfRule type="notContainsText" dxfId="843" priority="1269" operator="notContains" text="Caida">
      <formula>ISERROR(SEARCH("Caida",O372))</formula>
    </cfRule>
    <cfRule type="containsText" dxfId="842" priority="1270" operator="containsText" text="Caida">
      <formula>NOT(ISERROR(SEARCH("Caida",O372)))</formula>
    </cfRule>
  </conditionalFormatting>
  <conditionalFormatting sqref="P334">
    <cfRule type="cellIs" dxfId="841" priority="1181" operator="lessThan">
      <formula>0.8</formula>
    </cfRule>
    <cfRule type="cellIs" dxfId="840" priority="1182" operator="greaterThan">
      <formula>0.8</formula>
    </cfRule>
  </conditionalFormatting>
  <conditionalFormatting sqref="P334">
    <cfRule type="notContainsText" dxfId="839" priority="1179" operator="notContains" text="Caida">
      <formula>ISERROR(SEARCH("Caida",P334))</formula>
    </cfRule>
    <cfRule type="containsText" dxfId="838" priority="1180" operator="containsText" text="Caida">
      <formula>NOT(ISERROR(SEARCH("Caida",P334)))</formula>
    </cfRule>
  </conditionalFormatting>
  <conditionalFormatting sqref="P22">
    <cfRule type="containsText" dxfId="837" priority="1219" operator="containsText" text="Instaladas en Funcionamiento Caida">
      <formula>NOT(ISERROR(SEARCH("Instaladas en Funcionamiento Caida",P22)))</formula>
    </cfRule>
  </conditionalFormatting>
  <conditionalFormatting sqref="P280">
    <cfRule type="cellIs" dxfId="836" priority="1217" operator="lessThan">
      <formula>0.8</formula>
    </cfRule>
    <cfRule type="cellIs" dxfId="835" priority="1218" operator="greaterThan">
      <formula>0.8</formula>
    </cfRule>
  </conditionalFormatting>
  <conditionalFormatting sqref="P280">
    <cfRule type="notContainsText" dxfId="834" priority="1215" operator="notContains" text="Caida">
      <formula>ISERROR(SEARCH("Caida",P280))</formula>
    </cfRule>
    <cfRule type="containsText" dxfId="833" priority="1216" operator="containsText" text="Caida">
      <formula>NOT(ISERROR(SEARCH("Caida",P280)))</formula>
    </cfRule>
  </conditionalFormatting>
  <conditionalFormatting sqref="P281">
    <cfRule type="cellIs" dxfId="832" priority="1213" operator="lessThan">
      <formula>0.8</formula>
    </cfRule>
    <cfRule type="cellIs" dxfId="831" priority="1214" operator="greaterThan">
      <formula>0.8</formula>
    </cfRule>
  </conditionalFormatting>
  <conditionalFormatting sqref="P281">
    <cfRule type="notContainsText" dxfId="830" priority="1211" operator="notContains" text="Caida">
      <formula>ISERROR(SEARCH("Caida",P281))</formula>
    </cfRule>
    <cfRule type="containsText" dxfId="829" priority="1212" operator="containsText" text="Caida">
      <formula>NOT(ISERROR(SEARCH("Caida",P281)))</formula>
    </cfRule>
  </conditionalFormatting>
  <conditionalFormatting sqref="P5">
    <cfRule type="cellIs" dxfId="828" priority="1209" operator="lessThan">
      <formula>0.8</formula>
    </cfRule>
    <cfRule type="cellIs" dxfId="827" priority="1210" operator="greaterThan">
      <formula>0.8</formula>
    </cfRule>
  </conditionalFormatting>
  <conditionalFormatting sqref="P5">
    <cfRule type="notContainsText" dxfId="826" priority="1207" operator="notContains" text="Caida">
      <formula>ISERROR(SEARCH("Caida",P5))</formula>
    </cfRule>
    <cfRule type="containsText" dxfId="825" priority="1208" operator="containsText" text="Caida">
      <formula>NOT(ISERROR(SEARCH("Caida",P5)))</formula>
    </cfRule>
  </conditionalFormatting>
  <conditionalFormatting sqref="P231">
    <cfRule type="cellIs" dxfId="824" priority="1205" operator="lessThan">
      <formula>0.8</formula>
    </cfRule>
    <cfRule type="cellIs" dxfId="823" priority="1206" operator="greaterThan">
      <formula>0.8</formula>
    </cfRule>
  </conditionalFormatting>
  <conditionalFormatting sqref="P231">
    <cfRule type="notContainsText" dxfId="822" priority="1203" operator="notContains" text="Caida">
      <formula>ISERROR(SEARCH("Caida",P231))</formula>
    </cfRule>
    <cfRule type="containsText" dxfId="821" priority="1204" operator="containsText" text="Caida">
      <formula>NOT(ISERROR(SEARCH("Caida",P231)))</formula>
    </cfRule>
  </conditionalFormatting>
  <conditionalFormatting sqref="P232">
    <cfRule type="cellIs" dxfId="820" priority="1201" operator="lessThan">
      <formula>0.8</formula>
    </cfRule>
    <cfRule type="cellIs" dxfId="819" priority="1202" operator="greaterThan">
      <formula>0.8</formula>
    </cfRule>
  </conditionalFormatting>
  <conditionalFormatting sqref="P232">
    <cfRule type="notContainsText" dxfId="818" priority="1199" operator="notContains" text="Caida">
      <formula>ISERROR(SEARCH("Caida",P232))</formula>
    </cfRule>
    <cfRule type="containsText" dxfId="817" priority="1200" operator="containsText" text="Caida">
      <formula>NOT(ISERROR(SEARCH("Caida",P232)))</formula>
    </cfRule>
  </conditionalFormatting>
  <conditionalFormatting sqref="P233">
    <cfRule type="cellIs" dxfId="816" priority="1197" operator="lessThan">
      <formula>0.8</formula>
    </cfRule>
    <cfRule type="cellIs" dxfId="815" priority="1198" operator="greaterThan">
      <formula>0.8</formula>
    </cfRule>
  </conditionalFormatting>
  <conditionalFormatting sqref="P233">
    <cfRule type="notContainsText" dxfId="814" priority="1195" operator="notContains" text="Caida">
      <formula>ISERROR(SEARCH("Caida",P233))</formula>
    </cfRule>
    <cfRule type="containsText" dxfId="813" priority="1196" operator="containsText" text="Caida">
      <formula>NOT(ISERROR(SEARCH("Caida",P233)))</formula>
    </cfRule>
  </conditionalFormatting>
  <conditionalFormatting sqref="P234">
    <cfRule type="cellIs" dxfId="812" priority="1193" operator="lessThan">
      <formula>0.8</formula>
    </cfRule>
    <cfRule type="cellIs" dxfId="811" priority="1194" operator="greaterThan">
      <formula>0.8</formula>
    </cfRule>
  </conditionalFormatting>
  <conditionalFormatting sqref="P234">
    <cfRule type="notContainsText" dxfId="810" priority="1191" operator="notContains" text="Caida">
      <formula>ISERROR(SEARCH("Caida",P234))</formula>
    </cfRule>
    <cfRule type="containsText" dxfId="809" priority="1192" operator="containsText" text="Caida">
      <formula>NOT(ISERROR(SEARCH("Caida",P234)))</formula>
    </cfRule>
  </conditionalFormatting>
  <conditionalFormatting sqref="P235">
    <cfRule type="cellIs" dxfId="808" priority="1189" operator="lessThan">
      <formula>0.8</formula>
    </cfRule>
    <cfRule type="cellIs" dxfId="807" priority="1190" operator="greaterThan">
      <formula>0.8</formula>
    </cfRule>
  </conditionalFormatting>
  <conditionalFormatting sqref="P235">
    <cfRule type="notContainsText" dxfId="806" priority="1187" operator="notContains" text="Caida">
      <formula>ISERROR(SEARCH("Caida",P235))</formula>
    </cfRule>
    <cfRule type="containsText" dxfId="805" priority="1188" operator="containsText" text="Caida">
      <formula>NOT(ISERROR(SEARCH("Caida",P235)))</formula>
    </cfRule>
  </conditionalFormatting>
  <conditionalFormatting sqref="P333">
    <cfRule type="cellIs" dxfId="804" priority="1185" operator="lessThan">
      <formula>0.8</formula>
    </cfRule>
    <cfRule type="cellIs" dxfId="803" priority="1186" operator="greaterThan">
      <formula>0.8</formula>
    </cfRule>
  </conditionalFormatting>
  <conditionalFormatting sqref="P333">
    <cfRule type="notContainsText" dxfId="802" priority="1183" operator="notContains" text="Caida">
      <formula>ISERROR(SEARCH("Caida",P333))</formula>
    </cfRule>
    <cfRule type="containsText" dxfId="801" priority="1184" operator="containsText" text="Caida">
      <formula>NOT(ISERROR(SEARCH("Caida",P333)))</formula>
    </cfRule>
  </conditionalFormatting>
  <conditionalFormatting sqref="Q236:Q279 Q6:Q92 Q96:Q230">
    <cfRule type="cellIs" dxfId="800" priority="1177" operator="lessThan">
      <formula>0.8</formula>
    </cfRule>
    <cfRule type="cellIs" dxfId="799" priority="1178" operator="greaterThan">
      <formula>0.8</formula>
    </cfRule>
  </conditionalFormatting>
  <conditionalFormatting sqref="Q236:Q279 Q6:Q92 Q96:Q230">
    <cfRule type="notContainsText" dxfId="798" priority="1175" operator="notContains" text="Caida">
      <formula>ISERROR(SEARCH("Caida",Q6))</formula>
    </cfRule>
    <cfRule type="containsText" dxfId="797" priority="1176" operator="containsText" text="Caida">
      <formula>NOT(ISERROR(SEARCH("Caida",Q6)))</formula>
    </cfRule>
  </conditionalFormatting>
  <conditionalFormatting sqref="Q334">
    <cfRule type="cellIs" dxfId="796" priority="1132" operator="lessThan">
      <formula>0.8</formula>
    </cfRule>
    <cfRule type="cellIs" dxfId="795" priority="1133" operator="greaterThan">
      <formula>0.8</formula>
    </cfRule>
  </conditionalFormatting>
  <conditionalFormatting sqref="Q334">
    <cfRule type="notContainsText" dxfId="794" priority="1130" operator="notContains" text="Caida">
      <formula>ISERROR(SEARCH("Caida",Q334))</formula>
    </cfRule>
    <cfRule type="containsText" dxfId="793" priority="1131" operator="containsText" text="Caida">
      <formula>NOT(ISERROR(SEARCH("Caida",Q334)))</formula>
    </cfRule>
  </conditionalFormatting>
  <conditionalFormatting sqref="Q335:Q364 Q282:Q332">
    <cfRule type="cellIs" dxfId="792" priority="1173" operator="lessThan">
      <formula>0.8</formula>
    </cfRule>
    <cfRule type="cellIs" dxfId="791" priority="1174" operator="greaterThan">
      <formula>0.8</formula>
    </cfRule>
  </conditionalFormatting>
  <conditionalFormatting sqref="Q335:Q364 Q282:Q332 Q371:Q1048576">
    <cfRule type="notContainsText" dxfId="790" priority="1171" operator="notContains" text="Caida">
      <formula>ISERROR(SEARCH("Caida",Q282))</formula>
    </cfRule>
    <cfRule type="containsText" dxfId="789" priority="1172" operator="containsText" text="Caida">
      <formula>NOT(ISERROR(SEARCH("Caida",Q282)))</formula>
    </cfRule>
  </conditionalFormatting>
  <conditionalFormatting sqref="Q22">
    <cfRule type="containsText" dxfId="788" priority="1170" operator="containsText" text="Instaladas en Funcionamiento Caida">
      <formula>NOT(ISERROR(SEARCH("Instaladas en Funcionamiento Caida",Q22)))</formula>
    </cfRule>
  </conditionalFormatting>
  <conditionalFormatting sqref="Q280">
    <cfRule type="cellIs" dxfId="787" priority="1168" operator="lessThan">
      <formula>0.8</formula>
    </cfRule>
    <cfRule type="cellIs" dxfId="786" priority="1169" operator="greaterThan">
      <formula>0.8</formula>
    </cfRule>
  </conditionalFormatting>
  <conditionalFormatting sqref="Q280">
    <cfRule type="notContainsText" dxfId="785" priority="1166" operator="notContains" text="Caida">
      <formula>ISERROR(SEARCH("Caida",Q280))</formula>
    </cfRule>
    <cfRule type="containsText" dxfId="784" priority="1167" operator="containsText" text="Caida">
      <formula>NOT(ISERROR(SEARCH("Caida",Q280)))</formula>
    </cfRule>
  </conditionalFormatting>
  <conditionalFormatting sqref="Q281">
    <cfRule type="cellIs" dxfId="783" priority="1164" operator="lessThan">
      <formula>0.8</formula>
    </cfRule>
    <cfRule type="cellIs" dxfId="782" priority="1165" operator="greaterThan">
      <formula>0.8</formula>
    </cfRule>
  </conditionalFormatting>
  <conditionalFormatting sqref="Q281">
    <cfRule type="notContainsText" dxfId="781" priority="1162" operator="notContains" text="Caida">
      <formula>ISERROR(SEARCH("Caida",Q281))</formula>
    </cfRule>
    <cfRule type="containsText" dxfId="780" priority="1163" operator="containsText" text="Caida">
      <formula>NOT(ISERROR(SEARCH("Caida",Q281)))</formula>
    </cfRule>
  </conditionalFormatting>
  <conditionalFormatting sqref="Q5">
    <cfRule type="cellIs" dxfId="779" priority="1160" operator="lessThan">
      <formula>0.8</formula>
    </cfRule>
    <cfRule type="cellIs" dxfId="778" priority="1161" operator="greaterThan">
      <formula>0.8</formula>
    </cfRule>
  </conditionalFormatting>
  <conditionalFormatting sqref="Q5">
    <cfRule type="notContainsText" dxfId="777" priority="1158" operator="notContains" text="Caida">
      <formula>ISERROR(SEARCH("Caida",Q5))</formula>
    </cfRule>
    <cfRule type="containsText" dxfId="776" priority="1159" operator="containsText" text="Caida">
      <formula>NOT(ISERROR(SEARCH("Caida",Q5)))</formula>
    </cfRule>
  </conditionalFormatting>
  <conditionalFormatting sqref="Q231">
    <cfRule type="cellIs" dxfId="775" priority="1156" operator="lessThan">
      <formula>0.8</formula>
    </cfRule>
    <cfRule type="cellIs" dxfId="774" priority="1157" operator="greaterThan">
      <formula>0.8</formula>
    </cfRule>
  </conditionalFormatting>
  <conditionalFormatting sqref="Q231">
    <cfRule type="notContainsText" dxfId="773" priority="1154" operator="notContains" text="Caida">
      <formula>ISERROR(SEARCH("Caida",Q231))</formula>
    </cfRule>
    <cfRule type="containsText" dxfId="772" priority="1155" operator="containsText" text="Caida">
      <formula>NOT(ISERROR(SEARCH("Caida",Q231)))</formula>
    </cfRule>
  </conditionalFormatting>
  <conditionalFormatting sqref="Q232">
    <cfRule type="cellIs" dxfId="771" priority="1152" operator="lessThan">
      <formula>0.8</formula>
    </cfRule>
    <cfRule type="cellIs" dxfId="770" priority="1153" operator="greaterThan">
      <formula>0.8</formula>
    </cfRule>
  </conditionalFormatting>
  <conditionalFormatting sqref="Q232">
    <cfRule type="notContainsText" dxfId="769" priority="1150" operator="notContains" text="Caida">
      <formula>ISERROR(SEARCH("Caida",Q232))</formula>
    </cfRule>
    <cfRule type="containsText" dxfId="768" priority="1151" operator="containsText" text="Caida">
      <formula>NOT(ISERROR(SEARCH("Caida",Q232)))</formula>
    </cfRule>
  </conditionalFormatting>
  <conditionalFormatting sqref="Q233">
    <cfRule type="cellIs" dxfId="767" priority="1148" operator="lessThan">
      <formula>0.8</formula>
    </cfRule>
    <cfRule type="cellIs" dxfId="766" priority="1149" operator="greaterThan">
      <formula>0.8</formula>
    </cfRule>
  </conditionalFormatting>
  <conditionalFormatting sqref="Q233">
    <cfRule type="notContainsText" dxfId="765" priority="1146" operator="notContains" text="Caida">
      <formula>ISERROR(SEARCH("Caida",Q233))</formula>
    </cfRule>
    <cfRule type="containsText" dxfId="764" priority="1147" operator="containsText" text="Caida">
      <formula>NOT(ISERROR(SEARCH("Caida",Q233)))</formula>
    </cfRule>
  </conditionalFormatting>
  <conditionalFormatting sqref="Q234">
    <cfRule type="cellIs" dxfId="763" priority="1144" operator="lessThan">
      <formula>0.8</formula>
    </cfRule>
    <cfRule type="cellIs" dxfId="762" priority="1145" operator="greaterThan">
      <formula>0.8</formula>
    </cfRule>
  </conditionalFormatting>
  <conditionalFormatting sqref="Q234">
    <cfRule type="notContainsText" dxfId="761" priority="1142" operator="notContains" text="Caida">
      <formula>ISERROR(SEARCH("Caida",Q234))</formula>
    </cfRule>
    <cfRule type="containsText" dxfId="760" priority="1143" operator="containsText" text="Caida">
      <formula>NOT(ISERROR(SEARCH("Caida",Q234)))</formula>
    </cfRule>
  </conditionalFormatting>
  <conditionalFormatting sqref="Q235">
    <cfRule type="cellIs" dxfId="759" priority="1140" operator="lessThan">
      <formula>0.8</formula>
    </cfRule>
    <cfRule type="cellIs" dxfId="758" priority="1141" operator="greaterThan">
      <formula>0.8</formula>
    </cfRule>
  </conditionalFormatting>
  <conditionalFormatting sqref="Q235">
    <cfRule type="notContainsText" dxfId="757" priority="1138" operator="notContains" text="Caida">
      <formula>ISERROR(SEARCH("Caida",Q235))</formula>
    </cfRule>
    <cfRule type="containsText" dxfId="756" priority="1139" operator="containsText" text="Caida">
      <formula>NOT(ISERROR(SEARCH("Caida",Q235)))</formula>
    </cfRule>
  </conditionalFormatting>
  <conditionalFormatting sqref="Q333">
    <cfRule type="cellIs" dxfId="755" priority="1136" operator="lessThan">
      <formula>0.8</formula>
    </cfRule>
    <cfRule type="cellIs" dxfId="754" priority="1137" operator="greaterThan">
      <formula>0.8</formula>
    </cfRule>
  </conditionalFormatting>
  <conditionalFormatting sqref="Q333">
    <cfRule type="notContainsText" dxfId="753" priority="1134" operator="notContains" text="Caida">
      <formula>ISERROR(SEARCH("Caida",Q333))</formula>
    </cfRule>
    <cfRule type="containsText" dxfId="752" priority="1135" operator="containsText" text="Caida">
      <formula>NOT(ISERROR(SEARCH("Caida",Q333)))</formula>
    </cfRule>
  </conditionalFormatting>
  <conditionalFormatting sqref="R6:R92 R236:R279 R96:R230">
    <cfRule type="cellIs" dxfId="751" priority="1128" operator="lessThan">
      <formula>0.8</formula>
    </cfRule>
    <cfRule type="cellIs" dxfId="750" priority="1129" operator="greaterThan">
      <formula>0.8</formula>
    </cfRule>
  </conditionalFormatting>
  <conditionalFormatting sqref="R6:R92 R236:R279 R96:R230">
    <cfRule type="notContainsText" dxfId="749" priority="1126" operator="notContains" text="Caida">
      <formula>ISERROR(SEARCH("Caida",R6))</formula>
    </cfRule>
    <cfRule type="containsText" dxfId="748" priority="1127" operator="containsText" text="Caida">
      <formula>NOT(ISERROR(SEARCH("Caida",R6)))</formula>
    </cfRule>
  </conditionalFormatting>
  <conditionalFormatting sqref="R334:T334">
    <cfRule type="cellIs" dxfId="747" priority="1083" operator="lessThan">
      <formula>0.8</formula>
    </cfRule>
    <cfRule type="cellIs" dxfId="746" priority="1084" operator="greaterThan">
      <formula>0.8</formula>
    </cfRule>
  </conditionalFormatting>
  <conditionalFormatting sqref="R334:T334">
    <cfRule type="notContainsText" dxfId="745" priority="1081" operator="notContains" text="Caida">
      <formula>ISERROR(SEARCH("Caida",R334))</formula>
    </cfRule>
    <cfRule type="containsText" dxfId="744" priority="1082" operator="containsText" text="Caida">
      <formula>NOT(ISERROR(SEARCH("Caida",R334)))</formula>
    </cfRule>
  </conditionalFormatting>
  <conditionalFormatting sqref="R335:R364 R282:R332">
    <cfRule type="cellIs" dxfId="743" priority="1124" operator="lessThan">
      <formula>0.8</formula>
    </cfRule>
    <cfRule type="cellIs" dxfId="742" priority="1125" operator="greaterThan">
      <formula>0.8</formula>
    </cfRule>
  </conditionalFormatting>
  <conditionalFormatting sqref="R335:R364 R282:R332 R371:R1048576">
    <cfRule type="notContainsText" dxfId="741" priority="1122" operator="notContains" text="Caida">
      <formula>ISERROR(SEARCH("Caida",R282))</formula>
    </cfRule>
    <cfRule type="containsText" dxfId="740" priority="1123" operator="containsText" text="Caida">
      <formula>NOT(ISERROR(SEARCH("Caida",R282)))</formula>
    </cfRule>
  </conditionalFormatting>
  <conditionalFormatting sqref="R22:T22">
    <cfRule type="containsText" dxfId="739" priority="1121" operator="containsText" text="Instaladas en Funcionamiento Caida">
      <formula>NOT(ISERROR(SEARCH("Instaladas en Funcionamiento Caida",R22)))</formula>
    </cfRule>
  </conditionalFormatting>
  <conditionalFormatting sqref="R280:T280">
    <cfRule type="cellIs" dxfId="738" priority="1119" operator="lessThan">
      <formula>0.8</formula>
    </cfRule>
    <cfRule type="cellIs" dxfId="737" priority="1120" operator="greaterThan">
      <formula>0.8</formula>
    </cfRule>
  </conditionalFormatting>
  <conditionalFormatting sqref="R280:T280">
    <cfRule type="notContainsText" dxfId="736" priority="1117" operator="notContains" text="Caida">
      <formula>ISERROR(SEARCH("Caida",R280))</formula>
    </cfRule>
    <cfRule type="containsText" dxfId="735" priority="1118" operator="containsText" text="Caida">
      <formula>NOT(ISERROR(SEARCH("Caida",R280)))</formula>
    </cfRule>
  </conditionalFormatting>
  <conditionalFormatting sqref="R281:T281">
    <cfRule type="cellIs" dxfId="734" priority="1115" operator="lessThan">
      <formula>0.8</formula>
    </cfRule>
    <cfRule type="cellIs" dxfId="733" priority="1116" operator="greaterThan">
      <formula>0.8</formula>
    </cfRule>
  </conditionalFormatting>
  <conditionalFormatting sqref="R281:T281">
    <cfRule type="notContainsText" dxfId="732" priority="1113" operator="notContains" text="Caida">
      <formula>ISERROR(SEARCH("Caida",R281))</formula>
    </cfRule>
    <cfRule type="containsText" dxfId="731" priority="1114" operator="containsText" text="Caida">
      <formula>NOT(ISERROR(SEARCH("Caida",R281)))</formula>
    </cfRule>
  </conditionalFormatting>
  <conditionalFormatting sqref="R5:T5">
    <cfRule type="cellIs" dxfId="730" priority="1111" operator="lessThan">
      <formula>0.8</formula>
    </cfRule>
    <cfRule type="cellIs" dxfId="729" priority="1112" operator="greaterThan">
      <formula>0.8</formula>
    </cfRule>
  </conditionalFormatting>
  <conditionalFormatting sqref="R5:T5">
    <cfRule type="notContainsText" dxfId="728" priority="1109" operator="notContains" text="Caida">
      <formula>ISERROR(SEARCH("Caida",R5))</formula>
    </cfRule>
    <cfRule type="containsText" dxfId="727" priority="1110" operator="containsText" text="Caida">
      <formula>NOT(ISERROR(SEARCH("Caida",R5)))</formula>
    </cfRule>
  </conditionalFormatting>
  <conditionalFormatting sqref="R231:T231">
    <cfRule type="cellIs" dxfId="726" priority="1107" operator="lessThan">
      <formula>0.8</formula>
    </cfRule>
    <cfRule type="cellIs" dxfId="725" priority="1108" operator="greaterThan">
      <formula>0.8</formula>
    </cfRule>
  </conditionalFormatting>
  <conditionalFormatting sqref="R231:T231">
    <cfRule type="notContainsText" dxfId="724" priority="1105" operator="notContains" text="Caida">
      <formula>ISERROR(SEARCH("Caida",R231))</formula>
    </cfRule>
    <cfRule type="containsText" dxfId="723" priority="1106" operator="containsText" text="Caida">
      <formula>NOT(ISERROR(SEARCH("Caida",R231)))</formula>
    </cfRule>
  </conditionalFormatting>
  <conditionalFormatting sqref="R232:T232">
    <cfRule type="cellIs" dxfId="722" priority="1103" operator="lessThan">
      <formula>0.8</formula>
    </cfRule>
    <cfRule type="cellIs" dxfId="721" priority="1104" operator="greaterThan">
      <formula>0.8</formula>
    </cfRule>
  </conditionalFormatting>
  <conditionalFormatting sqref="R232:T232">
    <cfRule type="notContainsText" dxfId="720" priority="1101" operator="notContains" text="Caida">
      <formula>ISERROR(SEARCH("Caida",R232))</formula>
    </cfRule>
    <cfRule type="containsText" dxfId="719" priority="1102" operator="containsText" text="Caida">
      <formula>NOT(ISERROR(SEARCH("Caida",R232)))</formula>
    </cfRule>
  </conditionalFormatting>
  <conditionalFormatting sqref="R233:T233">
    <cfRule type="cellIs" dxfId="718" priority="1099" operator="lessThan">
      <formula>0.8</formula>
    </cfRule>
    <cfRule type="cellIs" dxfId="717" priority="1100" operator="greaterThan">
      <formula>0.8</formula>
    </cfRule>
  </conditionalFormatting>
  <conditionalFormatting sqref="R233:T233">
    <cfRule type="notContainsText" dxfId="716" priority="1097" operator="notContains" text="Caida">
      <formula>ISERROR(SEARCH("Caida",R233))</formula>
    </cfRule>
    <cfRule type="containsText" dxfId="715" priority="1098" operator="containsText" text="Caida">
      <formula>NOT(ISERROR(SEARCH("Caida",R233)))</formula>
    </cfRule>
  </conditionalFormatting>
  <conditionalFormatting sqref="R234:T234">
    <cfRule type="cellIs" dxfId="714" priority="1095" operator="lessThan">
      <formula>0.8</formula>
    </cfRule>
    <cfRule type="cellIs" dxfId="713" priority="1096" operator="greaterThan">
      <formula>0.8</formula>
    </cfRule>
  </conditionalFormatting>
  <conditionalFormatting sqref="R234:T234">
    <cfRule type="notContainsText" dxfId="712" priority="1093" operator="notContains" text="Caida">
      <formula>ISERROR(SEARCH("Caida",R234))</formula>
    </cfRule>
    <cfRule type="containsText" dxfId="711" priority="1094" operator="containsText" text="Caida">
      <formula>NOT(ISERROR(SEARCH("Caida",R234)))</formula>
    </cfRule>
  </conditionalFormatting>
  <conditionalFormatting sqref="R235:T235">
    <cfRule type="cellIs" dxfId="710" priority="1091" operator="lessThan">
      <formula>0.8</formula>
    </cfRule>
    <cfRule type="cellIs" dxfId="709" priority="1092" operator="greaterThan">
      <formula>0.8</formula>
    </cfRule>
  </conditionalFormatting>
  <conditionalFormatting sqref="R235:T235">
    <cfRule type="notContainsText" dxfId="708" priority="1089" operator="notContains" text="Caida">
      <formula>ISERROR(SEARCH("Caida",R235))</formula>
    </cfRule>
    <cfRule type="containsText" dxfId="707" priority="1090" operator="containsText" text="Caida">
      <formula>NOT(ISERROR(SEARCH("Caida",R235)))</formula>
    </cfRule>
  </conditionalFormatting>
  <conditionalFormatting sqref="R333:T333">
    <cfRule type="cellIs" dxfId="706" priority="1087" operator="lessThan">
      <formula>0.8</formula>
    </cfRule>
    <cfRule type="cellIs" dxfId="705" priority="1088" operator="greaterThan">
      <formula>0.8</formula>
    </cfRule>
  </conditionalFormatting>
  <conditionalFormatting sqref="R333:T333">
    <cfRule type="notContainsText" dxfId="704" priority="1085" operator="notContains" text="Caida">
      <formula>ISERROR(SEARCH("Caida",R333))</formula>
    </cfRule>
    <cfRule type="containsText" dxfId="703" priority="1086" operator="containsText" text="Caida">
      <formula>NOT(ISERROR(SEARCH("Caida",R333)))</formula>
    </cfRule>
  </conditionalFormatting>
  <conditionalFormatting sqref="S371:S1048576">
    <cfRule type="notContainsText" dxfId="702" priority="1073" operator="notContains" text="Caida">
      <formula>ISERROR(SEARCH("Caida",S371))</formula>
    </cfRule>
    <cfRule type="containsText" dxfId="701" priority="1074" operator="containsText" text="Caida">
      <formula>NOT(ISERROR(SEARCH("Caida",S371)))</formula>
    </cfRule>
  </conditionalFormatting>
  <conditionalFormatting sqref="T371:T1048576">
    <cfRule type="notContainsText" dxfId="700" priority="1024" operator="notContains" text="Caida">
      <formula>ISERROR(SEARCH("Caida",T371))</formula>
    </cfRule>
    <cfRule type="containsText" dxfId="699" priority="1025" operator="containsText" text="Caida">
      <formula>NOT(ISERROR(SEARCH("Caida",T371)))</formula>
    </cfRule>
  </conditionalFormatting>
  <conditionalFormatting sqref="E92:K93">
    <cfRule type="containsText" dxfId="698" priority="980" operator="containsText" text="Radio">
      <formula>NOT(ISERROR(SEARCH("Radio",E92)))</formula>
    </cfRule>
  </conditionalFormatting>
  <conditionalFormatting sqref="P93:P95">
    <cfRule type="cellIs" dxfId="697" priority="950" operator="lessThan">
      <formula>0.8</formula>
    </cfRule>
    <cfRule type="cellIs" dxfId="696" priority="951" operator="greaterThan">
      <formula>0.8</formula>
    </cfRule>
  </conditionalFormatting>
  <conditionalFormatting sqref="P93:P95">
    <cfRule type="notContainsText" dxfId="695" priority="948" operator="notContains" text="Caida">
      <formula>ISERROR(SEARCH("Caida",P93))</formula>
    </cfRule>
    <cfRule type="containsText" dxfId="694" priority="949" operator="containsText" text="Caida">
      <formula>NOT(ISERROR(SEARCH("Caida",P93)))</formula>
    </cfRule>
  </conditionalFormatting>
  <conditionalFormatting sqref="Q93:Q95">
    <cfRule type="cellIs" dxfId="693" priority="946" operator="lessThan">
      <formula>0.8</formula>
    </cfRule>
    <cfRule type="cellIs" dxfId="692" priority="947" operator="greaterThan">
      <formula>0.8</formula>
    </cfRule>
  </conditionalFormatting>
  <conditionalFormatting sqref="Q93:Q95">
    <cfRule type="notContainsText" dxfId="691" priority="944" operator="notContains" text="Caida">
      <formula>ISERROR(SEARCH("Caida",Q93))</formula>
    </cfRule>
    <cfRule type="containsText" dxfId="690" priority="945" operator="containsText" text="Caida">
      <formula>NOT(ISERROR(SEARCH("Caida",Q93)))</formula>
    </cfRule>
  </conditionalFormatting>
  <conditionalFormatting sqref="R93:R95">
    <cfRule type="cellIs" dxfId="689" priority="942" operator="lessThan">
      <formula>0.8</formula>
    </cfRule>
    <cfRule type="cellIs" dxfId="688" priority="943" operator="greaterThan">
      <formula>0.8</formula>
    </cfRule>
  </conditionalFormatting>
  <conditionalFormatting sqref="R93:R95">
    <cfRule type="notContainsText" dxfId="687" priority="940" operator="notContains" text="Caida">
      <formula>ISERROR(SEARCH("Caida",R93))</formula>
    </cfRule>
    <cfRule type="containsText" dxfId="686" priority="941" operator="containsText" text="Caida">
      <formula>NOT(ISERROR(SEARCH("Caida",R93)))</formula>
    </cfRule>
  </conditionalFormatting>
  <conditionalFormatting sqref="E363:K363">
    <cfRule type="containsText" dxfId="685" priority="929" operator="containsText" text="Radio">
      <formula>NOT(ISERROR(SEARCH("Radio",E363)))</formula>
    </cfRule>
  </conditionalFormatting>
  <conditionalFormatting sqref="P365">
    <cfRule type="cellIs" dxfId="684" priority="911" operator="lessThan">
      <formula>0.8</formula>
    </cfRule>
    <cfRule type="cellIs" dxfId="683" priority="912" operator="greaterThan">
      <formula>0.8</formula>
    </cfRule>
  </conditionalFormatting>
  <conditionalFormatting sqref="P365">
    <cfRule type="notContainsText" dxfId="682" priority="909" operator="notContains" text="Caida">
      <formula>ISERROR(SEARCH("Caida",P365))</formula>
    </cfRule>
    <cfRule type="containsText" dxfId="681" priority="910" operator="containsText" text="Caida">
      <formula>NOT(ISERROR(SEARCH("Caida",P365)))</formula>
    </cfRule>
  </conditionalFormatting>
  <conditionalFormatting sqref="Q365">
    <cfRule type="cellIs" dxfId="680" priority="907" operator="lessThan">
      <formula>0.8</formula>
    </cfRule>
    <cfRule type="cellIs" dxfId="679" priority="908" operator="greaterThan">
      <formula>0.8</formula>
    </cfRule>
  </conditionalFormatting>
  <conditionalFormatting sqref="Q365">
    <cfRule type="notContainsText" dxfId="678" priority="905" operator="notContains" text="Caida">
      <formula>ISERROR(SEARCH("Caida",Q365))</formula>
    </cfRule>
    <cfRule type="containsText" dxfId="677" priority="906" operator="containsText" text="Caida">
      <formula>NOT(ISERROR(SEARCH("Caida",Q365)))</formula>
    </cfRule>
  </conditionalFormatting>
  <conditionalFormatting sqref="R365:T365">
    <cfRule type="cellIs" dxfId="676" priority="903" operator="lessThan">
      <formula>0.8</formula>
    </cfRule>
    <cfRule type="cellIs" dxfId="675" priority="904" operator="greaterThan">
      <formula>0.8</formula>
    </cfRule>
  </conditionalFormatting>
  <conditionalFormatting sqref="R365:T365">
    <cfRule type="notContainsText" dxfId="674" priority="901" operator="notContains" text="Caida">
      <formula>ISERROR(SEARCH("Caida",R365))</formula>
    </cfRule>
    <cfRule type="containsText" dxfId="673" priority="902" operator="containsText" text="Caida">
      <formula>NOT(ISERROR(SEARCH("Caida",R365)))</formula>
    </cfRule>
  </conditionalFormatting>
  <conditionalFormatting sqref="E364:K364">
    <cfRule type="containsText" dxfId="672" priority="890" operator="containsText" text="Radio">
      <formula>NOT(ISERROR(SEARCH("Radio",E364)))</formula>
    </cfRule>
  </conditionalFormatting>
  <conditionalFormatting sqref="P366">
    <cfRule type="cellIs" dxfId="671" priority="872" operator="lessThan">
      <formula>0.8</formula>
    </cfRule>
    <cfRule type="cellIs" dxfId="670" priority="873" operator="greaterThan">
      <formula>0.8</formula>
    </cfRule>
  </conditionalFormatting>
  <conditionalFormatting sqref="P366">
    <cfRule type="notContainsText" dxfId="669" priority="870" operator="notContains" text="Caida">
      <formula>ISERROR(SEARCH("Caida",P366))</formula>
    </cfRule>
    <cfRule type="containsText" dxfId="668" priority="871" operator="containsText" text="Caida">
      <formula>NOT(ISERROR(SEARCH("Caida",P366)))</formula>
    </cfRule>
  </conditionalFormatting>
  <conditionalFormatting sqref="Q366">
    <cfRule type="cellIs" dxfId="667" priority="868" operator="lessThan">
      <formula>0.8</formula>
    </cfRule>
    <cfRule type="cellIs" dxfId="666" priority="869" operator="greaterThan">
      <formula>0.8</formula>
    </cfRule>
  </conditionalFormatting>
  <conditionalFormatting sqref="Q366">
    <cfRule type="notContainsText" dxfId="665" priority="866" operator="notContains" text="Caida">
      <formula>ISERROR(SEARCH("Caida",Q366))</formula>
    </cfRule>
    <cfRule type="containsText" dxfId="664" priority="867" operator="containsText" text="Caida">
      <formula>NOT(ISERROR(SEARCH("Caida",Q366)))</formula>
    </cfRule>
  </conditionalFormatting>
  <conditionalFormatting sqref="R366:T366">
    <cfRule type="cellIs" dxfId="663" priority="864" operator="lessThan">
      <formula>0.8</formula>
    </cfRule>
    <cfRule type="cellIs" dxfId="662" priority="865" operator="greaterThan">
      <formula>0.8</formula>
    </cfRule>
  </conditionalFormatting>
  <conditionalFormatting sqref="R366:T366">
    <cfRule type="notContainsText" dxfId="661" priority="862" operator="notContains" text="Caida">
      <formula>ISERROR(SEARCH("Caida",R366))</formula>
    </cfRule>
    <cfRule type="containsText" dxfId="660" priority="863" operator="containsText" text="Caida">
      <formula>NOT(ISERROR(SEARCH("Caida",R366)))</formula>
    </cfRule>
  </conditionalFormatting>
  <conditionalFormatting sqref="E365:K365">
    <cfRule type="containsText" dxfId="659" priority="851" operator="containsText" text="Radio">
      <formula>NOT(ISERROR(SEARCH("Radio",E365)))</formula>
    </cfRule>
  </conditionalFormatting>
  <conditionalFormatting sqref="P367">
    <cfRule type="cellIs" dxfId="658" priority="833" operator="lessThan">
      <formula>0.8</formula>
    </cfRule>
    <cfRule type="cellIs" dxfId="657" priority="834" operator="greaterThan">
      <formula>0.8</formula>
    </cfRule>
  </conditionalFormatting>
  <conditionalFormatting sqref="P367">
    <cfRule type="notContainsText" dxfId="656" priority="831" operator="notContains" text="Caida">
      <formula>ISERROR(SEARCH("Caida",P367))</formula>
    </cfRule>
    <cfRule type="containsText" dxfId="655" priority="832" operator="containsText" text="Caida">
      <formula>NOT(ISERROR(SEARCH("Caida",P367)))</formula>
    </cfRule>
  </conditionalFormatting>
  <conditionalFormatting sqref="Q367">
    <cfRule type="cellIs" dxfId="654" priority="829" operator="lessThan">
      <formula>0.8</formula>
    </cfRule>
    <cfRule type="cellIs" dxfId="653" priority="830" operator="greaterThan">
      <formula>0.8</formula>
    </cfRule>
  </conditionalFormatting>
  <conditionalFormatting sqref="Q367">
    <cfRule type="notContainsText" dxfId="652" priority="827" operator="notContains" text="Caida">
      <formula>ISERROR(SEARCH("Caida",Q367))</formula>
    </cfRule>
    <cfRule type="containsText" dxfId="651" priority="828" operator="containsText" text="Caida">
      <formula>NOT(ISERROR(SEARCH("Caida",Q367)))</formula>
    </cfRule>
  </conditionalFormatting>
  <conditionalFormatting sqref="R367:T367">
    <cfRule type="cellIs" dxfId="650" priority="825" operator="lessThan">
      <formula>0.8</formula>
    </cfRule>
    <cfRule type="cellIs" dxfId="649" priority="826" operator="greaterThan">
      <formula>0.8</formula>
    </cfRule>
  </conditionalFormatting>
  <conditionalFormatting sqref="R367:T367">
    <cfRule type="notContainsText" dxfId="648" priority="823" operator="notContains" text="Caida">
      <formula>ISERROR(SEARCH("Caida",R367))</formula>
    </cfRule>
    <cfRule type="containsText" dxfId="647" priority="824" operator="containsText" text="Caida">
      <formula>NOT(ISERROR(SEARCH("Caida",R367)))</formula>
    </cfRule>
  </conditionalFormatting>
  <conditionalFormatting sqref="E366:K366">
    <cfRule type="containsText" dxfId="646" priority="812" operator="containsText" text="Radio">
      <formula>NOT(ISERROR(SEARCH("Radio",E366)))</formula>
    </cfRule>
  </conditionalFormatting>
  <conditionalFormatting sqref="U231">
    <cfRule type="cellIs" dxfId="645" priority="753" operator="lessThan">
      <formula>0.8</formula>
    </cfRule>
    <cfRule type="cellIs" dxfId="644" priority="754" operator="greaterThan">
      <formula>0.8</formula>
    </cfRule>
  </conditionalFormatting>
  <conditionalFormatting sqref="U231">
    <cfRule type="notContainsText" dxfId="643" priority="751" operator="notContains" text="Caida">
      <formula>ISERROR(SEARCH("Caida",U231))</formula>
    </cfRule>
    <cfRule type="containsText" dxfId="642" priority="752" operator="containsText" text="Caida">
      <formula>NOT(ISERROR(SEARCH("Caida",U231)))</formula>
    </cfRule>
  </conditionalFormatting>
  <conditionalFormatting sqref="U232">
    <cfRule type="cellIs" dxfId="641" priority="749" operator="lessThan">
      <formula>0.8</formula>
    </cfRule>
    <cfRule type="cellIs" dxfId="640" priority="750" operator="greaterThan">
      <formula>0.8</formula>
    </cfRule>
  </conditionalFormatting>
  <conditionalFormatting sqref="U232">
    <cfRule type="notContainsText" dxfId="639" priority="747" operator="notContains" text="Caida">
      <formula>ISERROR(SEARCH("Caida",U232))</formula>
    </cfRule>
    <cfRule type="containsText" dxfId="638" priority="748" operator="containsText" text="Caida">
      <formula>NOT(ISERROR(SEARCH("Caida",U232)))</formula>
    </cfRule>
  </conditionalFormatting>
  <conditionalFormatting sqref="P368:P370">
    <cfRule type="cellIs" dxfId="637" priority="794" operator="lessThan">
      <formula>0.8</formula>
    </cfRule>
    <cfRule type="cellIs" dxfId="636" priority="795" operator="greaterThan">
      <formula>0.8</formula>
    </cfRule>
  </conditionalFormatting>
  <conditionalFormatting sqref="P368:P370">
    <cfRule type="notContainsText" dxfId="635" priority="792" operator="notContains" text="Caida">
      <formula>ISERROR(SEARCH("Caida",P368))</formula>
    </cfRule>
    <cfRule type="containsText" dxfId="634" priority="793" operator="containsText" text="Caida">
      <formula>NOT(ISERROR(SEARCH("Caida",P368)))</formula>
    </cfRule>
  </conditionalFormatting>
  <conditionalFormatting sqref="Q368:Q370">
    <cfRule type="cellIs" dxfId="633" priority="790" operator="lessThan">
      <formula>0.8</formula>
    </cfRule>
    <cfRule type="cellIs" dxfId="632" priority="791" operator="greaterThan">
      <formula>0.8</formula>
    </cfRule>
  </conditionalFormatting>
  <conditionalFormatting sqref="Q368:Q370">
    <cfRule type="notContainsText" dxfId="631" priority="788" operator="notContains" text="Caida">
      <formula>ISERROR(SEARCH("Caida",Q368))</formula>
    </cfRule>
    <cfRule type="containsText" dxfId="630" priority="789" operator="containsText" text="Caida">
      <formula>NOT(ISERROR(SEARCH("Caida",Q368)))</formula>
    </cfRule>
  </conditionalFormatting>
  <conditionalFormatting sqref="R368:T368">
    <cfRule type="cellIs" dxfId="629" priority="786" operator="lessThan">
      <formula>0.8</formula>
    </cfRule>
    <cfRule type="cellIs" dxfId="628" priority="787" operator="greaterThan">
      <formula>0.8</formula>
    </cfRule>
  </conditionalFormatting>
  <conditionalFormatting sqref="R368:T368">
    <cfRule type="notContainsText" dxfId="627" priority="784" operator="notContains" text="Caida">
      <formula>ISERROR(SEARCH("Caida",R368))</formula>
    </cfRule>
    <cfRule type="containsText" dxfId="626" priority="785" operator="containsText" text="Caida">
      <formula>NOT(ISERROR(SEARCH("Caida",R368)))</formula>
    </cfRule>
  </conditionalFormatting>
  <conditionalFormatting sqref="U366">
    <cfRule type="cellIs" dxfId="625" priority="717" operator="lessThan">
      <formula>0.8</formula>
    </cfRule>
    <cfRule type="cellIs" dxfId="624" priority="718" operator="greaterThan">
      <formula>0.8</formula>
    </cfRule>
  </conditionalFormatting>
  <conditionalFormatting sqref="U366">
    <cfRule type="notContainsText" dxfId="623" priority="715" operator="notContains" text="Caida">
      <formula>ISERROR(SEARCH("Caida",U366))</formula>
    </cfRule>
    <cfRule type="containsText" dxfId="622" priority="716" operator="containsText" text="Caida">
      <formula>NOT(ISERROR(SEARCH("Caida",U366)))</formula>
    </cfRule>
  </conditionalFormatting>
  <conditionalFormatting sqref="U367">
    <cfRule type="cellIs" dxfId="621" priority="713" operator="lessThan">
      <formula>0.8</formula>
    </cfRule>
    <cfRule type="cellIs" dxfId="620" priority="714" operator="greaterThan">
      <formula>0.8</formula>
    </cfRule>
  </conditionalFormatting>
  <conditionalFormatting sqref="U367">
    <cfRule type="notContainsText" dxfId="619" priority="711" operator="notContains" text="Caida">
      <formula>ISERROR(SEARCH("Caida",U367))</formula>
    </cfRule>
    <cfRule type="containsText" dxfId="618" priority="712" operator="containsText" text="Caida">
      <formula>NOT(ISERROR(SEARCH("Caida",U367)))</formula>
    </cfRule>
  </conditionalFormatting>
  <conditionalFormatting sqref="U368:U370">
    <cfRule type="cellIs" dxfId="617" priority="709" operator="lessThan">
      <formula>0.8</formula>
    </cfRule>
    <cfRule type="cellIs" dxfId="616" priority="710" operator="greaterThan">
      <formula>0.8</formula>
    </cfRule>
  </conditionalFormatting>
  <conditionalFormatting sqref="U368:U370">
    <cfRule type="notContainsText" dxfId="615" priority="707" operator="notContains" text="Caida">
      <formula>ISERROR(SEARCH("Caida",U368))</formula>
    </cfRule>
    <cfRule type="containsText" dxfId="614" priority="708" operator="containsText" text="Caida">
      <formula>NOT(ISERROR(SEARCH("Caida",U368)))</formula>
    </cfRule>
  </conditionalFormatting>
  <conditionalFormatting sqref="U236:U279 U6:U92 U96:U230">
    <cfRule type="cellIs" dxfId="613" priority="774" operator="lessThan">
      <formula>0.8</formula>
    </cfRule>
    <cfRule type="cellIs" dxfId="612" priority="775" operator="greaterThan">
      <formula>0.8</formula>
    </cfRule>
  </conditionalFormatting>
  <conditionalFormatting sqref="U236:U279 U6:U92 U96:U230">
    <cfRule type="notContainsText" dxfId="611" priority="772" operator="notContains" text="Caida">
      <formula>ISERROR(SEARCH("Caida",U6))</formula>
    </cfRule>
    <cfRule type="containsText" dxfId="610" priority="773" operator="containsText" text="Caida">
      <formula>NOT(ISERROR(SEARCH("Caida",U6)))</formula>
    </cfRule>
  </conditionalFormatting>
  <conditionalFormatting sqref="U334">
    <cfRule type="cellIs" dxfId="609" priority="729" operator="lessThan">
      <formula>0.8</formula>
    </cfRule>
    <cfRule type="cellIs" dxfId="608" priority="730" operator="greaterThan">
      <formula>0.8</formula>
    </cfRule>
  </conditionalFormatting>
  <conditionalFormatting sqref="U334">
    <cfRule type="notContainsText" dxfId="607" priority="727" operator="notContains" text="Caida">
      <formula>ISERROR(SEARCH("Caida",U334))</formula>
    </cfRule>
    <cfRule type="containsText" dxfId="606" priority="728" operator="containsText" text="Caida">
      <formula>NOT(ISERROR(SEARCH("Caida",U334)))</formula>
    </cfRule>
  </conditionalFormatting>
  <conditionalFormatting sqref="U335:U364 U282:U332">
    <cfRule type="cellIs" dxfId="605" priority="770" operator="lessThan">
      <formula>0.8</formula>
    </cfRule>
    <cfRule type="cellIs" dxfId="604" priority="771" operator="greaterThan">
      <formula>0.8</formula>
    </cfRule>
  </conditionalFormatting>
  <conditionalFormatting sqref="U335:U364 U282:U332 U371:U1048576">
    <cfRule type="notContainsText" dxfId="603" priority="768" operator="notContains" text="Caida">
      <formula>ISERROR(SEARCH("Caida",U282))</formula>
    </cfRule>
    <cfRule type="containsText" dxfId="602" priority="769" operator="containsText" text="Caida">
      <formula>NOT(ISERROR(SEARCH("Caida",U282)))</formula>
    </cfRule>
  </conditionalFormatting>
  <conditionalFormatting sqref="U22">
    <cfRule type="containsText" dxfId="601" priority="767" operator="containsText" text="Instaladas en Funcionamiento Caida">
      <formula>NOT(ISERROR(SEARCH("Instaladas en Funcionamiento Caida",U22)))</formula>
    </cfRule>
  </conditionalFormatting>
  <conditionalFormatting sqref="U280">
    <cfRule type="cellIs" dxfId="600" priority="765" operator="lessThan">
      <formula>0.8</formula>
    </cfRule>
    <cfRule type="cellIs" dxfId="599" priority="766" operator="greaterThan">
      <formula>0.8</formula>
    </cfRule>
  </conditionalFormatting>
  <conditionalFormatting sqref="U280">
    <cfRule type="notContainsText" dxfId="598" priority="763" operator="notContains" text="Caida">
      <formula>ISERROR(SEARCH("Caida",U280))</formula>
    </cfRule>
    <cfRule type="containsText" dxfId="597" priority="764" operator="containsText" text="Caida">
      <formula>NOT(ISERROR(SEARCH("Caida",U280)))</formula>
    </cfRule>
  </conditionalFormatting>
  <conditionalFormatting sqref="U281">
    <cfRule type="cellIs" dxfId="596" priority="761" operator="lessThan">
      <formula>0.8</formula>
    </cfRule>
    <cfRule type="cellIs" dxfId="595" priority="762" operator="greaterThan">
      <formula>0.8</formula>
    </cfRule>
  </conditionalFormatting>
  <conditionalFormatting sqref="U281">
    <cfRule type="notContainsText" dxfId="594" priority="759" operator="notContains" text="Caida">
      <formula>ISERROR(SEARCH("Caida",U281))</formula>
    </cfRule>
    <cfRule type="containsText" dxfId="593" priority="760" operator="containsText" text="Caida">
      <formula>NOT(ISERROR(SEARCH("Caida",U281)))</formula>
    </cfRule>
  </conditionalFormatting>
  <conditionalFormatting sqref="U5">
    <cfRule type="cellIs" dxfId="592" priority="757" operator="lessThan">
      <formula>0.8</formula>
    </cfRule>
    <cfRule type="cellIs" dxfId="591" priority="758" operator="greaterThan">
      <formula>0.8</formula>
    </cfRule>
  </conditionalFormatting>
  <conditionalFormatting sqref="U5">
    <cfRule type="notContainsText" dxfId="590" priority="755" operator="notContains" text="Caida">
      <formula>ISERROR(SEARCH("Caida",U5))</formula>
    </cfRule>
    <cfRule type="containsText" dxfId="589" priority="756" operator="containsText" text="Caida">
      <formula>NOT(ISERROR(SEARCH("Caida",U5)))</formula>
    </cfRule>
  </conditionalFormatting>
  <conditionalFormatting sqref="U233">
    <cfRule type="cellIs" dxfId="588" priority="745" operator="lessThan">
      <formula>0.8</formula>
    </cfRule>
    <cfRule type="cellIs" dxfId="587" priority="746" operator="greaterThan">
      <formula>0.8</formula>
    </cfRule>
  </conditionalFormatting>
  <conditionalFormatting sqref="U233">
    <cfRule type="notContainsText" dxfId="586" priority="743" operator="notContains" text="Caida">
      <formula>ISERROR(SEARCH("Caida",U233))</formula>
    </cfRule>
    <cfRule type="containsText" dxfId="585" priority="744" operator="containsText" text="Caida">
      <formula>NOT(ISERROR(SEARCH("Caida",U233)))</formula>
    </cfRule>
  </conditionalFormatting>
  <conditionalFormatting sqref="U234">
    <cfRule type="cellIs" dxfId="584" priority="741" operator="lessThan">
      <formula>0.8</formula>
    </cfRule>
    <cfRule type="cellIs" dxfId="583" priority="742" operator="greaterThan">
      <formula>0.8</formula>
    </cfRule>
  </conditionalFormatting>
  <conditionalFormatting sqref="U234">
    <cfRule type="notContainsText" dxfId="582" priority="739" operator="notContains" text="Caida">
      <formula>ISERROR(SEARCH("Caida",U234))</formula>
    </cfRule>
    <cfRule type="containsText" dxfId="581" priority="740" operator="containsText" text="Caida">
      <formula>NOT(ISERROR(SEARCH("Caida",U234)))</formula>
    </cfRule>
  </conditionalFormatting>
  <conditionalFormatting sqref="U235">
    <cfRule type="cellIs" dxfId="580" priority="737" operator="lessThan">
      <formula>0.8</formula>
    </cfRule>
    <cfRule type="cellIs" dxfId="579" priority="738" operator="greaterThan">
      <formula>0.8</formula>
    </cfRule>
  </conditionalFormatting>
  <conditionalFormatting sqref="U235">
    <cfRule type="notContainsText" dxfId="578" priority="735" operator="notContains" text="Caida">
      <formula>ISERROR(SEARCH("Caida",U235))</formula>
    </cfRule>
    <cfRule type="containsText" dxfId="577" priority="736" operator="containsText" text="Caida">
      <formula>NOT(ISERROR(SEARCH("Caida",U235)))</formula>
    </cfRule>
  </conditionalFormatting>
  <conditionalFormatting sqref="U333">
    <cfRule type="cellIs" dxfId="576" priority="733" operator="lessThan">
      <formula>0.8</formula>
    </cfRule>
    <cfRule type="cellIs" dxfId="575" priority="734" operator="greaterThan">
      <formula>0.8</formula>
    </cfRule>
  </conditionalFormatting>
  <conditionalFormatting sqref="U333">
    <cfRule type="notContainsText" dxfId="574" priority="731" operator="notContains" text="Caida">
      <formula>ISERROR(SEARCH("Caida",U333))</formula>
    </cfRule>
    <cfRule type="containsText" dxfId="573" priority="732" operator="containsText" text="Caida">
      <formula>NOT(ISERROR(SEARCH("Caida",U333)))</formula>
    </cfRule>
  </conditionalFormatting>
  <conditionalFormatting sqref="U93:U95">
    <cfRule type="cellIs" dxfId="572" priority="725" operator="lessThan">
      <formula>0.8</formula>
    </cfRule>
    <cfRule type="cellIs" dxfId="571" priority="726" operator="greaterThan">
      <formula>0.8</formula>
    </cfRule>
  </conditionalFormatting>
  <conditionalFormatting sqref="U93:U95">
    <cfRule type="notContainsText" dxfId="570" priority="723" operator="notContains" text="Caida">
      <formula>ISERROR(SEARCH("Caida",U93))</formula>
    </cfRule>
    <cfRule type="containsText" dxfId="569" priority="724" operator="containsText" text="Caida">
      <formula>NOT(ISERROR(SEARCH("Caida",U93)))</formula>
    </cfRule>
  </conditionalFormatting>
  <conditionalFormatting sqref="U365">
    <cfRule type="cellIs" dxfId="568" priority="721" operator="lessThan">
      <formula>0.8</formula>
    </cfRule>
    <cfRule type="cellIs" dxfId="567" priority="722" operator="greaterThan">
      <formula>0.8</formula>
    </cfRule>
  </conditionalFormatting>
  <conditionalFormatting sqref="U365">
    <cfRule type="notContainsText" dxfId="566" priority="719" operator="notContains" text="Caida">
      <formula>ISERROR(SEARCH("Caida",U365))</formula>
    </cfRule>
    <cfRule type="containsText" dxfId="565" priority="720" operator="containsText" text="Caida">
      <formula>NOT(ISERROR(SEARCH("Caida",U365)))</formula>
    </cfRule>
  </conditionalFormatting>
  <conditionalFormatting sqref="V6:X92">
    <cfRule type="cellIs" dxfId="564" priority="705" operator="lessThan">
      <formula>0.8</formula>
    </cfRule>
    <cfRule type="cellIs" dxfId="563" priority="706" operator="greaterThan">
      <formula>0.8</formula>
    </cfRule>
  </conditionalFormatting>
  <conditionalFormatting sqref="V6:X92">
    <cfRule type="notContainsText" dxfId="562" priority="703" operator="notContains" text="Caida">
      <formula>ISERROR(SEARCH("Caida",V6))</formula>
    </cfRule>
    <cfRule type="containsText" dxfId="561" priority="704" operator="containsText" text="Caida">
      <formula>NOT(ISERROR(SEARCH("Caida",V6)))</formula>
    </cfRule>
  </conditionalFormatting>
  <conditionalFormatting sqref="V22:AH22">
    <cfRule type="containsText" dxfId="560" priority="702" operator="containsText" text="Instaladas en Funcionamiento Caida">
      <formula>NOT(ISERROR(SEARCH("Instaladas en Funcionamiento Caida",V22)))</formula>
    </cfRule>
  </conditionalFormatting>
  <conditionalFormatting sqref="V5:AH5">
    <cfRule type="cellIs" dxfId="559" priority="700" operator="lessThan">
      <formula>0.8</formula>
    </cfRule>
    <cfRule type="cellIs" dxfId="558" priority="701" operator="greaterThan">
      <formula>0.8</formula>
    </cfRule>
  </conditionalFormatting>
  <conditionalFormatting sqref="V5:AH5">
    <cfRule type="notContainsText" dxfId="557" priority="698" operator="notContains" text="Caida">
      <formula>ISERROR(SEARCH("Caida",V5))</formula>
    </cfRule>
    <cfRule type="containsText" dxfId="556" priority="699" operator="containsText" text="Caida">
      <formula>NOT(ISERROR(SEARCH("Caida",V5)))</formula>
    </cfRule>
  </conditionalFormatting>
  <conditionalFormatting sqref="V93:X95">
    <cfRule type="cellIs" dxfId="555" priority="696" operator="lessThan">
      <formula>0.8</formula>
    </cfRule>
    <cfRule type="cellIs" dxfId="554" priority="697" operator="greaterThan">
      <formula>0.8</formula>
    </cfRule>
  </conditionalFormatting>
  <conditionalFormatting sqref="V93:X95">
    <cfRule type="notContainsText" dxfId="553" priority="694" operator="notContains" text="Caida">
      <formula>ISERROR(SEARCH("Caida",V93))</formula>
    </cfRule>
    <cfRule type="containsText" dxfId="552" priority="695" operator="containsText" text="Caida">
      <formula>NOT(ISERROR(SEARCH("Caida",V93)))</formula>
    </cfRule>
  </conditionalFormatting>
  <conditionalFormatting sqref="Z371:Z1048576">
    <cfRule type="notContainsText" dxfId="551" priority="686" operator="notContains" text="Caida">
      <formula>ISERROR(SEARCH("Caida",Z371))</formula>
    </cfRule>
    <cfRule type="containsText" dxfId="550" priority="687" operator="containsText" text="Caida">
      <formula>NOT(ISERROR(SEARCH("Caida",Z371)))</formula>
    </cfRule>
  </conditionalFormatting>
  <conditionalFormatting sqref="Y371:Y1048576">
    <cfRule type="notContainsText" dxfId="549" priority="617" operator="notContains" text="Caida">
      <formula>ISERROR(SEARCH("Caida",Y371))</formula>
    </cfRule>
    <cfRule type="containsText" dxfId="548" priority="618" operator="containsText" text="Caida">
      <formula>NOT(ISERROR(SEARCH("Caida",Y371)))</formula>
    </cfRule>
  </conditionalFormatting>
  <conditionalFormatting sqref="E1:E1048576">
    <cfRule type="containsText" dxfId="547" priority="554" operator="containsText" text="fija">
      <formula>NOT(ISERROR(SEARCH("fija",E1)))</formula>
    </cfRule>
    <cfRule type="containsText" dxfId="546" priority="555" operator="containsText" text="domo">
      <formula>NOT(ISERROR(SEARCH("domo",E1)))</formula>
    </cfRule>
  </conditionalFormatting>
  <conditionalFormatting sqref="AI95:AI367">
    <cfRule type="cellIs" dxfId="545" priority="552" operator="lessThan">
      <formula>0.8</formula>
    </cfRule>
    <cfRule type="cellIs" dxfId="544" priority="553" operator="greaterThan">
      <formula>0.8</formula>
    </cfRule>
  </conditionalFormatting>
  <conditionalFormatting sqref="AI95:AI1048576">
    <cfRule type="notContainsText" dxfId="543" priority="550" operator="notContains" text="Caida">
      <formula>ISERROR(SEARCH("Caida",AI95))</formula>
    </cfRule>
    <cfRule type="containsText" dxfId="542" priority="551" operator="containsText" text="Caida">
      <formula>NOT(ISERROR(SEARCH("Caida",AI95)))</formula>
    </cfRule>
  </conditionalFormatting>
  <conditionalFormatting sqref="AI6:AI92">
    <cfRule type="cellIs" dxfId="541" priority="548" operator="lessThan">
      <formula>0.8</formula>
    </cfRule>
    <cfRule type="cellIs" dxfId="540" priority="549" operator="greaterThan">
      <formula>0.8</formula>
    </cfRule>
  </conditionalFormatting>
  <conditionalFormatting sqref="AI6:AI92">
    <cfRule type="notContainsText" dxfId="539" priority="546" operator="notContains" text="Caida">
      <formula>ISERROR(SEARCH("Caida",AI6))</formula>
    </cfRule>
    <cfRule type="containsText" dxfId="538" priority="547" operator="containsText" text="Caida">
      <formula>NOT(ISERROR(SEARCH("Caida",AI6)))</formula>
    </cfRule>
  </conditionalFormatting>
  <conditionalFormatting sqref="AI22">
    <cfRule type="containsText" dxfId="537" priority="545" operator="containsText" text="Instaladas en Funcionamiento Caida">
      <formula>NOT(ISERROR(SEARCH("Instaladas en Funcionamiento Caida",AI22)))</formula>
    </cfRule>
  </conditionalFormatting>
  <conditionalFormatting sqref="AI5">
    <cfRule type="cellIs" dxfId="536" priority="543" operator="lessThan">
      <formula>0.8</formula>
    </cfRule>
    <cfRule type="cellIs" dxfId="535" priority="544" operator="greaterThan">
      <formula>0.8</formula>
    </cfRule>
  </conditionalFormatting>
  <conditionalFormatting sqref="AI5">
    <cfRule type="notContainsText" dxfId="534" priority="541" operator="notContains" text="Caida">
      <formula>ISERROR(SEARCH("Caida",AI5))</formula>
    </cfRule>
    <cfRule type="containsText" dxfId="533" priority="542" operator="containsText" text="Caida">
      <formula>NOT(ISERROR(SEARCH("Caida",AI5)))</formula>
    </cfRule>
  </conditionalFormatting>
  <conditionalFormatting sqref="AI93:AI94">
    <cfRule type="cellIs" dxfId="532" priority="539" operator="lessThan">
      <formula>0.8</formula>
    </cfRule>
    <cfRule type="cellIs" dxfId="531" priority="540" operator="greaterThan">
      <formula>0.8</formula>
    </cfRule>
  </conditionalFormatting>
  <conditionalFormatting sqref="AI93:AI94">
    <cfRule type="notContainsText" dxfId="530" priority="537" operator="notContains" text="Caida">
      <formula>ISERROR(SEARCH("Caida",AI93))</formula>
    </cfRule>
    <cfRule type="containsText" dxfId="529" priority="538" operator="containsText" text="Caida">
      <formula>NOT(ISERROR(SEARCH("Caida",AI93)))</formula>
    </cfRule>
  </conditionalFormatting>
  <conditionalFormatting sqref="AI1 AI5:AI1048576">
    <cfRule type="cellIs" dxfId="528" priority="516" operator="equal">
      <formula>"APAGADO"</formula>
    </cfRule>
    <cfRule type="cellIs" dxfId="527" priority="536" operator="equal">
      <formula>"APAGADO"</formula>
    </cfRule>
  </conditionalFormatting>
  <conditionalFormatting sqref="AJ95:AP367">
    <cfRule type="cellIs" dxfId="526" priority="534" operator="lessThan">
      <formula>0.8</formula>
    </cfRule>
    <cfRule type="cellIs" dxfId="525" priority="535" operator="greaterThan">
      <formula>0.8</formula>
    </cfRule>
  </conditionalFormatting>
  <conditionalFormatting sqref="AJ95:AP1048576">
    <cfRule type="notContainsText" dxfId="524" priority="532" operator="notContains" text="Caida">
      <formula>ISERROR(SEARCH("Caida",AJ95))</formula>
    </cfRule>
    <cfRule type="containsText" dxfId="523" priority="533" operator="containsText" text="Caida">
      <formula>NOT(ISERROR(SEARCH("Caida",AJ95)))</formula>
    </cfRule>
  </conditionalFormatting>
  <conditionalFormatting sqref="AJ6:AP92">
    <cfRule type="cellIs" dxfId="522" priority="530" operator="lessThan">
      <formula>0.8</formula>
    </cfRule>
    <cfRule type="cellIs" dxfId="521" priority="531" operator="greaterThan">
      <formula>0.8</formula>
    </cfRule>
  </conditionalFormatting>
  <conditionalFormatting sqref="AJ6:AP92">
    <cfRule type="notContainsText" dxfId="520" priority="528" operator="notContains" text="Caida">
      <formula>ISERROR(SEARCH("Caida",AJ6))</formula>
    </cfRule>
    <cfRule type="containsText" dxfId="519" priority="529" operator="containsText" text="Caida">
      <formula>NOT(ISERROR(SEARCH("Caida",AJ6)))</formula>
    </cfRule>
  </conditionalFormatting>
  <conditionalFormatting sqref="AJ22:AS22">
    <cfRule type="containsText" dxfId="518" priority="527" operator="containsText" text="Instaladas en Funcionamiento Caida">
      <formula>NOT(ISERROR(SEARCH("Instaladas en Funcionamiento Caida",AJ22)))</formula>
    </cfRule>
  </conditionalFormatting>
  <conditionalFormatting sqref="AJ5:AS5">
    <cfRule type="cellIs" dxfId="517" priority="525" operator="lessThan">
      <formula>0.8</formula>
    </cfRule>
    <cfRule type="cellIs" dxfId="516" priority="526" operator="greaterThan">
      <formula>0.8</formula>
    </cfRule>
  </conditionalFormatting>
  <conditionalFormatting sqref="AJ5:AS5">
    <cfRule type="notContainsText" dxfId="515" priority="523" operator="notContains" text="Caida">
      <formula>ISERROR(SEARCH("Caida",AJ5))</formula>
    </cfRule>
    <cfRule type="containsText" dxfId="514" priority="524" operator="containsText" text="Caida">
      <formula>NOT(ISERROR(SEARCH("Caida",AJ5)))</formula>
    </cfRule>
  </conditionalFormatting>
  <conditionalFormatting sqref="AJ93:AP94">
    <cfRule type="cellIs" dxfId="513" priority="521" operator="lessThan">
      <formula>0.8</formula>
    </cfRule>
    <cfRule type="cellIs" dxfId="512" priority="522" operator="greaterThan">
      <formula>0.8</formula>
    </cfRule>
  </conditionalFormatting>
  <conditionalFormatting sqref="AJ93:AP94">
    <cfRule type="notContainsText" dxfId="511" priority="519" operator="notContains" text="Caida">
      <formula>ISERROR(SEARCH("Caida",AJ93))</formula>
    </cfRule>
    <cfRule type="containsText" dxfId="510" priority="520" operator="containsText" text="Caida">
      <formula>NOT(ISERROR(SEARCH("Caida",AJ93)))</formula>
    </cfRule>
  </conditionalFormatting>
  <conditionalFormatting sqref="AJ5:AS1048576 AJ1:AS1">
    <cfRule type="cellIs" dxfId="509" priority="518" operator="equal">
      <formula>"APAGADO"</formula>
    </cfRule>
  </conditionalFormatting>
  <conditionalFormatting sqref="AI249">
    <cfRule type="cellIs" dxfId="508" priority="517" operator="equal">
      <formula>"APAGADO"</formula>
    </cfRule>
  </conditionalFormatting>
  <conditionalFormatting sqref="Y96:Y370">
    <cfRule type="cellIs" dxfId="507" priority="514" operator="lessThan">
      <formula>0.8</formula>
    </cfRule>
    <cfRule type="cellIs" dxfId="506" priority="515" operator="greaterThan">
      <formula>0.8</formula>
    </cfRule>
  </conditionalFormatting>
  <conditionalFormatting sqref="Y96:Y370">
    <cfRule type="notContainsText" dxfId="505" priority="512" operator="notContains" text="Caida">
      <formula>ISERROR(SEARCH("Caida",Y96))</formula>
    </cfRule>
    <cfRule type="containsText" dxfId="504" priority="513" operator="containsText" text="Caida">
      <formula>NOT(ISERROR(SEARCH("Caida",Y96)))</formula>
    </cfRule>
  </conditionalFormatting>
  <conditionalFormatting sqref="Y6:Y92">
    <cfRule type="cellIs" dxfId="503" priority="510" operator="lessThan">
      <formula>0.8</formula>
    </cfRule>
    <cfRule type="cellIs" dxfId="502" priority="511" operator="greaterThan">
      <formula>0.8</formula>
    </cfRule>
  </conditionalFormatting>
  <conditionalFormatting sqref="Y6:Y92">
    <cfRule type="notContainsText" dxfId="501" priority="508" operator="notContains" text="Caida">
      <formula>ISERROR(SEARCH("Caida",Y6))</formula>
    </cfRule>
    <cfRule type="containsText" dxfId="500" priority="509" operator="containsText" text="Caida">
      <formula>NOT(ISERROR(SEARCH("Caida",Y6)))</formula>
    </cfRule>
  </conditionalFormatting>
  <conditionalFormatting sqref="Y93:Y95">
    <cfRule type="cellIs" dxfId="499" priority="506" operator="lessThan">
      <formula>0.8</formula>
    </cfRule>
    <cfRule type="cellIs" dxfId="498" priority="507" operator="greaterThan">
      <formula>0.8</formula>
    </cfRule>
  </conditionalFormatting>
  <conditionalFormatting sqref="Y93:Y95">
    <cfRule type="notContainsText" dxfId="497" priority="504" operator="notContains" text="Caida">
      <formula>ISERROR(SEARCH("Caida",Y93))</formula>
    </cfRule>
    <cfRule type="containsText" dxfId="496" priority="505" operator="containsText" text="Caida">
      <formula>NOT(ISERROR(SEARCH("Caida",Y93)))</formula>
    </cfRule>
  </conditionalFormatting>
  <conditionalFormatting sqref="S6:S92 S236:S279 S96:S230">
    <cfRule type="cellIs" dxfId="495" priority="502" operator="lessThan">
      <formula>0.8</formula>
    </cfRule>
    <cfRule type="cellIs" dxfId="494" priority="503" operator="greaterThan">
      <formula>0.8</formula>
    </cfRule>
  </conditionalFormatting>
  <conditionalFormatting sqref="S6:S92 S236:S279 S96:S230">
    <cfRule type="notContainsText" dxfId="493" priority="500" operator="notContains" text="Caida">
      <formula>ISERROR(SEARCH("Caida",S6))</formula>
    </cfRule>
    <cfRule type="containsText" dxfId="492" priority="501" operator="containsText" text="Caida">
      <formula>NOT(ISERROR(SEARCH("Caida",S6)))</formula>
    </cfRule>
  </conditionalFormatting>
  <conditionalFormatting sqref="S335:S364 S282:S332">
    <cfRule type="cellIs" dxfId="491" priority="498" operator="lessThan">
      <formula>0.8</formula>
    </cfRule>
    <cfRule type="cellIs" dxfId="490" priority="499" operator="greaterThan">
      <formula>0.8</formula>
    </cfRule>
  </conditionalFormatting>
  <conditionalFormatting sqref="S335:S364 S282:S332">
    <cfRule type="notContainsText" dxfId="489" priority="496" operator="notContains" text="Caida">
      <formula>ISERROR(SEARCH("Caida",S282))</formula>
    </cfRule>
    <cfRule type="containsText" dxfId="488" priority="497" operator="containsText" text="Caida">
      <formula>NOT(ISERROR(SEARCH("Caida",S282)))</formula>
    </cfRule>
  </conditionalFormatting>
  <conditionalFormatting sqref="S93:S95">
    <cfRule type="cellIs" dxfId="487" priority="494" operator="lessThan">
      <formula>0.8</formula>
    </cfRule>
    <cfRule type="cellIs" dxfId="486" priority="495" operator="greaterThan">
      <formula>0.8</formula>
    </cfRule>
  </conditionalFormatting>
  <conditionalFormatting sqref="S93:S95">
    <cfRule type="notContainsText" dxfId="485" priority="492" operator="notContains" text="Caida">
      <formula>ISERROR(SEARCH("Caida",S93))</formula>
    </cfRule>
    <cfRule type="containsText" dxfId="484" priority="493" operator="containsText" text="Caida">
      <formula>NOT(ISERROR(SEARCH("Caida",S93)))</formula>
    </cfRule>
  </conditionalFormatting>
  <conditionalFormatting sqref="T6:T92 T236:T279 T96:T230">
    <cfRule type="cellIs" dxfId="483" priority="490" operator="lessThan">
      <formula>0.8</formula>
    </cfRule>
    <cfRule type="cellIs" dxfId="482" priority="491" operator="greaterThan">
      <formula>0.8</formula>
    </cfRule>
  </conditionalFormatting>
  <conditionalFormatting sqref="T6:T92 T236:T279 T96:T230">
    <cfRule type="notContainsText" dxfId="481" priority="488" operator="notContains" text="Caida">
      <formula>ISERROR(SEARCH("Caida",T6))</formula>
    </cfRule>
    <cfRule type="containsText" dxfId="480" priority="489" operator="containsText" text="Caida">
      <formula>NOT(ISERROR(SEARCH("Caida",T6)))</formula>
    </cfRule>
  </conditionalFormatting>
  <conditionalFormatting sqref="T335:T364 T282:T332">
    <cfRule type="cellIs" dxfId="479" priority="486" operator="lessThan">
      <formula>0.8</formula>
    </cfRule>
    <cfRule type="cellIs" dxfId="478" priority="487" operator="greaterThan">
      <formula>0.8</formula>
    </cfRule>
  </conditionalFormatting>
  <conditionalFormatting sqref="T335:T364 T282:T332">
    <cfRule type="notContainsText" dxfId="477" priority="484" operator="notContains" text="Caida">
      <formula>ISERROR(SEARCH("Caida",T282))</formula>
    </cfRule>
    <cfRule type="containsText" dxfId="476" priority="485" operator="containsText" text="Caida">
      <formula>NOT(ISERROR(SEARCH("Caida",T282)))</formula>
    </cfRule>
  </conditionalFormatting>
  <conditionalFormatting sqref="T93:T95">
    <cfRule type="cellIs" dxfId="475" priority="482" operator="lessThan">
      <formula>0.8</formula>
    </cfRule>
    <cfRule type="cellIs" dxfId="474" priority="483" operator="greaterThan">
      <formula>0.8</formula>
    </cfRule>
  </conditionalFormatting>
  <conditionalFormatting sqref="T93:T95">
    <cfRule type="notContainsText" dxfId="473" priority="480" operator="notContains" text="Caida">
      <formula>ISERROR(SEARCH("Caida",T93))</formula>
    </cfRule>
    <cfRule type="containsText" dxfId="472" priority="481" operator="containsText" text="Caida">
      <formula>NOT(ISERROR(SEARCH("Caida",T93)))</formula>
    </cfRule>
  </conditionalFormatting>
  <conditionalFormatting sqref="Z96:Z370">
    <cfRule type="cellIs" dxfId="471" priority="478" operator="lessThan">
      <formula>0.8</formula>
    </cfRule>
    <cfRule type="cellIs" dxfId="470" priority="479" operator="greaterThan">
      <formula>0.8</formula>
    </cfRule>
  </conditionalFormatting>
  <conditionalFormatting sqref="Z96:Z370">
    <cfRule type="notContainsText" dxfId="469" priority="476" operator="notContains" text="Caida">
      <formula>ISERROR(SEARCH("Caida",Z96))</formula>
    </cfRule>
    <cfRule type="containsText" dxfId="468" priority="477" operator="containsText" text="Caida">
      <formula>NOT(ISERROR(SEARCH("Caida",Z96)))</formula>
    </cfRule>
  </conditionalFormatting>
  <conditionalFormatting sqref="Z6:Z92">
    <cfRule type="cellIs" dxfId="467" priority="474" operator="lessThan">
      <formula>0.8</formula>
    </cfRule>
    <cfRule type="cellIs" dxfId="466" priority="475" operator="greaterThan">
      <formula>0.8</formula>
    </cfRule>
  </conditionalFormatting>
  <conditionalFormatting sqref="Z6:Z92">
    <cfRule type="notContainsText" dxfId="465" priority="472" operator="notContains" text="Caida">
      <formula>ISERROR(SEARCH("Caida",Z6))</formula>
    </cfRule>
    <cfRule type="containsText" dxfId="464" priority="473" operator="containsText" text="Caida">
      <formula>NOT(ISERROR(SEARCH("Caida",Z6)))</formula>
    </cfRule>
  </conditionalFormatting>
  <conditionalFormatting sqref="Z93:Z95">
    <cfRule type="cellIs" dxfId="463" priority="470" operator="lessThan">
      <formula>0.8</formula>
    </cfRule>
    <cfRule type="cellIs" dxfId="462" priority="471" operator="greaterThan">
      <formula>0.8</formula>
    </cfRule>
  </conditionalFormatting>
  <conditionalFormatting sqref="Z93:Z95">
    <cfRule type="notContainsText" dxfId="461" priority="468" operator="notContains" text="Caida">
      <formula>ISERROR(SEARCH("Caida",Z93))</formula>
    </cfRule>
    <cfRule type="containsText" dxfId="460" priority="469" operator="containsText" text="Caida">
      <formula>NOT(ISERROR(SEARCH("Caida",Z93)))</formula>
    </cfRule>
  </conditionalFormatting>
  <conditionalFormatting sqref="AA96:AA370">
    <cfRule type="cellIs" dxfId="459" priority="466" operator="lessThan">
      <formula>0.8</formula>
    </cfRule>
    <cfRule type="cellIs" dxfId="458" priority="467" operator="greaterThan">
      <formula>0.8</formula>
    </cfRule>
  </conditionalFormatting>
  <conditionalFormatting sqref="AA96:AA370">
    <cfRule type="notContainsText" dxfId="457" priority="464" operator="notContains" text="Caida">
      <formula>ISERROR(SEARCH("Caida",AA96))</formula>
    </cfRule>
    <cfRule type="containsText" dxfId="456" priority="465" operator="containsText" text="Caida">
      <formula>NOT(ISERROR(SEARCH("Caida",AA96)))</formula>
    </cfRule>
  </conditionalFormatting>
  <conditionalFormatting sqref="AA6:AA92">
    <cfRule type="cellIs" dxfId="455" priority="462" operator="lessThan">
      <formula>0.8</formula>
    </cfRule>
    <cfRule type="cellIs" dxfId="454" priority="463" operator="greaterThan">
      <formula>0.8</formula>
    </cfRule>
  </conditionalFormatting>
  <conditionalFormatting sqref="AA6:AA92">
    <cfRule type="notContainsText" dxfId="453" priority="460" operator="notContains" text="Caida">
      <formula>ISERROR(SEARCH("Caida",AA6))</formula>
    </cfRule>
    <cfRule type="containsText" dxfId="452" priority="461" operator="containsText" text="Caida">
      <formula>NOT(ISERROR(SEARCH("Caida",AA6)))</formula>
    </cfRule>
  </conditionalFormatting>
  <conditionalFormatting sqref="AA93:AA95">
    <cfRule type="cellIs" dxfId="451" priority="458" operator="lessThan">
      <formula>0.8</formula>
    </cfRule>
    <cfRule type="cellIs" dxfId="450" priority="459" operator="greaterThan">
      <formula>0.8</formula>
    </cfRule>
  </conditionalFormatting>
  <conditionalFormatting sqref="AA93:AA95">
    <cfRule type="notContainsText" dxfId="449" priority="456" operator="notContains" text="Caida">
      <formula>ISERROR(SEARCH("Caida",AA93))</formula>
    </cfRule>
    <cfRule type="containsText" dxfId="448" priority="457" operator="containsText" text="Caida">
      <formula>NOT(ISERROR(SEARCH("Caida",AA93)))</formula>
    </cfRule>
  </conditionalFormatting>
  <conditionalFormatting sqref="AB371:AB1048576">
    <cfRule type="notContainsText" dxfId="447" priority="454" operator="notContains" text="Caida">
      <formula>ISERROR(SEARCH("Caida",AB371))</formula>
    </cfRule>
    <cfRule type="containsText" dxfId="446" priority="455" operator="containsText" text="Caida">
      <formula>NOT(ISERROR(SEARCH("Caida",AB371)))</formula>
    </cfRule>
  </conditionalFormatting>
  <conditionalFormatting sqref="AB96:AB107 AB109:AB370">
    <cfRule type="cellIs" dxfId="445" priority="452" operator="lessThan">
      <formula>0.8</formula>
    </cfRule>
    <cfRule type="cellIs" dxfId="444" priority="453" operator="greaterThan">
      <formula>0.8</formula>
    </cfRule>
  </conditionalFormatting>
  <conditionalFormatting sqref="AB96:AB107 AB109:AB370">
    <cfRule type="notContainsText" dxfId="443" priority="450" operator="notContains" text="Caida">
      <formula>ISERROR(SEARCH("Caida",AB96))</formula>
    </cfRule>
    <cfRule type="containsText" dxfId="442" priority="451" operator="containsText" text="Caida">
      <formula>NOT(ISERROR(SEARCH("Caida",AB96)))</formula>
    </cfRule>
  </conditionalFormatting>
  <conditionalFormatting sqref="AB6:AB92">
    <cfRule type="cellIs" dxfId="441" priority="448" operator="lessThan">
      <formula>0.8</formula>
    </cfRule>
    <cfRule type="cellIs" dxfId="440" priority="449" operator="greaterThan">
      <formula>0.8</formula>
    </cfRule>
  </conditionalFormatting>
  <conditionalFormatting sqref="AB6:AB92">
    <cfRule type="notContainsText" dxfId="439" priority="446" operator="notContains" text="Caida">
      <formula>ISERROR(SEARCH("Caida",AB6))</formula>
    </cfRule>
    <cfRule type="containsText" dxfId="438" priority="447" operator="containsText" text="Caida">
      <formula>NOT(ISERROR(SEARCH("Caida",AB6)))</formula>
    </cfRule>
  </conditionalFormatting>
  <conditionalFormatting sqref="AB93:AB95">
    <cfRule type="cellIs" dxfId="437" priority="444" operator="lessThan">
      <formula>0.8</formula>
    </cfRule>
    <cfRule type="cellIs" dxfId="436" priority="445" operator="greaterThan">
      <formula>0.8</formula>
    </cfRule>
  </conditionalFormatting>
  <conditionalFormatting sqref="AB93:AB95">
    <cfRule type="notContainsText" dxfId="435" priority="442" operator="notContains" text="Caida">
      <formula>ISERROR(SEARCH("Caida",AB93))</formula>
    </cfRule>
    <cfRule type="containsText" dxfId="434" priority="443" operator="containsText" text="Caida">
      <formula>NOT(ISERROR(SEARCH("Caida",AB93)))</formula>
    </cfRule>
  </conditionalFormatting>
  <conditionalFormatting sqref="AB108:AE108">
    <cfRule type="cellIs" dxfId="433" priority="440" operator="lessThan">
      <formula>0.8</formula>
    </cfRule>
    <cfRule type="cellIs" dxfId="432" priority="441" operator="greaterThan">
      <formula>0.8</formula>
    </cfRule>
  </conditionalFormatting>
  <conditionalFormatting sqref="AB108:AE108">
    <cfRule type="notContainsText" dxfId="431" priority="438" operator="notContains" text="Caida">
      <formula>ISERROR(SEARCH("Caida",AB108))</formula>
    </cfRule>
    <cfRule type="containsText" dxfId="430" priority="439" operator="containsText" text="Caida">
      <formula>NOT(ISERROR(SEARCH("Caida",AB108)))</formula>
    </cfRule>
  </conditionalFormatting>
  <conditionalFormatting sqref="AC371:AH1048576">
    <cfRule type="notContainsText" dxfId="429" priority="422" operator="notContains" text="Caida">
      <formula>ISERROR(SEARCH("Caida",AC371))</formula>
    </cfRule>
    <cfRule type="containsText" dxfId="428" priority="423" operator="containsText" text="Caida">
      <formula>NOT(ISERROR(SEARCH("Caida",AC371)))</formula>
    </cfRule>
  </conditionalFormatting>
  <conditionalFormatting sqref="AC106:AE107 AC109:AE109 AC115:AE116 AC120:AE123 AC133:AE133 AC137:AE137 AC149:AE151 AC159:AE159 AC169:AE169 AC171:AE171 AC173:AE173 AC193:AE194 AC230:AE230 AC238:AE240 AC249:AE252 AC259:AE259 AC271:AE272 AC291:AE291 AC319:AE320 AC331:AE331 AC345:AE349 AC367:AE367 AC197:AE198 AC206:AE206 AC204:AE204 AC96:AH105 AC110:AH114 AC117:AH119 AC124:AH132 AC134:AH136 AC138:AH148 AC152:AH158 AC160:AH168 AC170:AH170 AC172:AH172 AC174:AH192 AC195:AH196 AC231:AH237 AC241:AH248 AC253:AH258 AC260:AH270 AC273:AH290 AC292:AH318 AC321:AH330 AC332:AH344 AC350:AH366 AC368:AH368 AC199:AH203 AC207:AH229 AC205:AH205">
    <cfRule type="cellIs" dxfId="427" priority="420" operator="lessThan">
      <formula>0.8</formula>
    </cfRule>
    <cfRule type="cellIs" dxfId="426" priority="421" operator="greaterThan">
      <formula>0.8</formula>
    </cfRule>
  </conditionalFormatting>
  <conditionalFormatting sqref="AC106:AE107 AC109:AE109 AC115:AE116 AC120:AE123 AC133:AE133 AC137:AE137 AC149:AE151 AC159:AE159 AC169:AE169 AC171:AE171 AC173:AE173 AC193:AE194 AC230:AE230 AC238:AE240 AC249:AE252 AC259:AE259 AC271:AE272 AC291:AE291 AC319:AE320 AC331:AE331 AC345:AE349 AC367:AE367 AC197:AE198 AC206:AE206 AC204:AE204 AC96:AH105 AC110:AH114 AC117:AH119 AC124:AH132 AC134:AH136 AC138:AH148 AC152:AH158 AC160:AH168 AC170:AH170 AC172:AH172 AC174:AH192 AC195:AH196 AC231:AH237 AC241:AH248 AC253:AH258 AC260:AH270 AC273:AH290 AC292:AH318 AC321:AH330 AC332:AH344 AC350:AH366 AC368:AH368 AC199:AH203 AC207:AH229 AC205:AH205">
    <cfRule type="notContainsText" dxfId="425" priority="418" operator="notContains" text="Caida">
      <formula>ISERROR(SEARCH("Caida",AC96))</formula>
    </cfRule>
    <cfRule type="containsText" dxfId="424" priority="419" operator="containsText" text="Caida">
      <formula>NOT(ISERROR(SEARCH("Caida",AC96)))</formula>
    </cfRule>
  </conditionalFormatting>
  <conditionalFormatting sqref="AC6:AH92">
    <cfRule type="cellIs" dxfId="423" priority="416" operator="lessThan">
      <formula>0.8</formula>
    </cfRule>
    <cfRule type="cellIs" dxfId="422" priority="417" operator="greaterThan">
      <formula>0.8</formula>
    </cfRule>
  </conditionalFormatting>
  <conditionalFormatting sqref="AC6:AH92">
    <cfRule type="notContainsText" dxfId="421" priority="414" operator="notContains" text="Caida">
      <formula>ISERROR(SEARCH("Caida",AC6))</formula>
    </cfRule>
    <cfRule type="containsText" dxfId="420" priority="415" operator="containsText" text="Caida">
      <formula>NOT(ISERROR(SEARCH("Caida",AC6)))</formula>
    </cfRule>
  </conditionalFormatting>
  <conditionalFormatting sqref="AC93:AH95">
    <cfRule type="cellIs" dxfId="419" priority="412" operator="lessThan">
      <formula>0.8</formula>
    </cfRule>
    <cfRule type="cellIs" dxfId="418" priority="413" operator="greaterThan">
      <formula>0.8</formula>
    </cfRule>
  </conditionalFormatting>
  <conditionalFormatting sqref="AC93:AH95">
    <cfRule type="notContainsText" dxfId="417" priority="410" operator="notContains" text="Caida">
      <formula>ISERROR(SEARCH("Caida",AC93))</formula>
    </cfRule>
    <cfRule type="containsText" dxfId="416" priority="411" operator="containsText" text="Caida">
      <formula>NOT(ISERROR(SEARCH("Caida",AC93)))</formula>
    </cfRule>
  </conditionalFormatting>
  <conditionalFormatting sqref="F1:F1048576">
    <cfRule type="cellIs" dxfId="415" priority="409" operator="equal">
      <formula>"PTP A FO"</formula>
    </cfRule>
  </conditionalFormatting>
  <conditionalFormatting sqref="AF106:AH106">
    <cfRule type="cellIs" dxfId="414" priority="407" operator="lessThan">
      <formula>0.8</formula>
    </cfRule>
    <cfRule type="cellIs" dxfId="413" priority="408" operator="greaterThan">
      <formula>0.8</formula>
    </cfRule>
  </conditionalFormatting>
  <conditionalFormatting sqref="AF106:AH106">
    <cfRule type="notContainsText" dxfId="412" priority="405" operator="notContains" text="Caida">
      <formula>ISERROR(SEARCH("Caida",AF106))</formula>
    </cfRule>
    <cfRule type="containsText" dxfId="411" priority="406" operator="containsText" text="Caida">
      <formula>NOT(ISERROR(SEARCH("Caida",AF106)))</formula>
    </cfRule>
  </conditionalFormatting>
  <conditionalFormatting sqref="AF107:AH107">
    <cfRule type="cellIs" dxfId="410" priority="403" operator="lessThan">
      <formula>0.8</formula>
    </cfRule>
    <cfRule type="cellIs" dxfId="409" priority="404" operator="greaterThan">
      <formula>0.8</formula>
    </cfRule>
  </conditionalFormatting>
  <conditionalFormatting sqref="AF107:AH107">
    <cfRule type="notContainsText" dxfId="408" priority="401" operator="notContains" text="Caida">
      <formula>ISERROR(SEARCH("Caida",AF107))</formula>
    </cfRule>
    <cfRule type="containsText" dxfId="407" priority="402" operator="containsText" text="Caida">
      <formula>NOT(ISERROR(SEARCH("Caida",AF107)))</formula>
    </cfRule>
  </conditionalFormatting>
  <conditionalFormatting sqref="AF108:AH108">
    <cfRule type="cellIs" dxfId="406" priority="399" operator="lessThan">
      <formula>0.8</formula>
    </cfRule>
    <cfRule type="cellIs" dxfId="405" priority="400" operator="greaterThan">
      <formula>0.8</formula>
    </cfRule>
  </conditionalFormatting>
  <conditionalFormatting sqref="AF108:AH108">
    <cfRule type="notContainsText" dxfId="404" priority="397" operator="notContains" text="Caida">
      <formula>ISERROR(SEARCH("Caida",AF108))</formula>
    </cfRule>
    <cfRule type="containsText" dxfId="403" priority="398" operator="containsText" text="Caida">
      <formula>NOT(ISERROR(SEARCH("Caida",AF108)))</formula>
    </cfRule>
  </conditionalFormatting>
  <conditionalFormatting sqref="AF109:AH109">
    <cfRule type="cellIs" dxfId="402" priority="395" operator="lessThan">
      <formula>0.8</formula>
    </cfRule>
    <cfRule type="cellIs" dxfId="401" priority="396" operator="greaterThan">
      <formula>0.8</formula>
    </cfRule>
  </conditionalFormatting>
  <conditionalFormatting sqref="AF109:AH109">
    <cfRule type="notContainsText" dxfId="400" priority="393" operator="notContains" text="Caida">
      <formula>ISERROR(SEARCH("Caida",AF109))</formula>
    </cfRule>
    <cfRule type="containsText" dxfId="399" priority="394" operator="containsText" text="Caida">
      <formula>NOT(ISERROR(SEARCH("Caida",AF109)))</formula>
    </cfRule>
  </conditionalFormatting>
  <conditionalFormatting sqref="AF115:AH115">
    <cfRule type="cellIs" dxfId="398" priority="391" operator="lessThan">
      <formula>0.8</formula>
    </cfRule>
    <cfRule type="cellIs" dxfId="397" priority="392" operator="greaterThan">
      <formula>0.8</formula>
    </cfRule>
  </conditionalFormatting>
  <conditionalFormatting sqref="AF115:AH115">
    <cfRule type="notContainsText" dxfId="396" priority="389" operator="notContains" text="Caida">
      <formula>ISERROR(SEARCH("Caida",AF115))</formula>
    </cfRule>
    <cfRule type="containsText" dxfId="395" priority="390" operator="containsText" text="Caida">
      <formula>NOT(ISERROR(SEARCH("Caida",AF115)))</formula>
    </cfRule>
  </conditionalFormatting>
  <conditionalFormatting sqref="AF116:AH116">
    <cfRule type="cellIs" dxfId="394" priority="387" operator="lessThan">
      <formula>0.8</formula>
    </cfRule>
    <cfRule type="cellIs" dxfId="393" priority="388" operator="greaterThan">
      <formula>0.8</formula>
    </cfRule>
  </conditionalFormatting>
  <conditionalFormatting sqref="AF116:AH116">
    <cfRule type="notContainsText" dxfId="392" priority="385" operator="notContains" text="Caida">
      <formula>ISERROR(SEARCH("Caida",AF116))</formula>
    </cfRule>
    <cfRule type="containsText" dxfId="391" priority="386" operator="containsText" text="Caida">
      <formula>NOT(ISERROR(SEARCH("Caida",AF116)))</formula>
    </cfRule>
  </conditionalFormatting>
  <conditionalFormatting sqref="AF120:AH120">
    <cfRule type="cellIs" dxfId="390" priority="383" operator="lessThan">
      <formula>0.8</formula>
    </cfRule>
    <cfRule type="cellIs" dxfId="389" priority="384" operator="greaterThan">
      <formula>0.8</formula>
    </cfRule>
  </conditionalFormatting>
  <conditionalFormatting sqref="AF120:AH120">
    <cfRule type="notContainsText" dxfId="388" priority="381" operator="notContains" text="Caida">
      <formula>ISERROR(SEARCH("Caida",AF120))</formula>
    </cfRule>
    <cfRule type="containsText" dxfId="387" priority="382" operator="containsText" text="Caida">
      <formula>NOT(ISERROR(SEARCH("Caida",AF120)))</formula>
    </cfRule>
  </conditionalFormatting>
  <conditionalFormatting sqref="AF121:AH121">
    <cfRule type="cellIs" dxfId="386" priority="379" operator="lessThan">
      <formula>0.8</formula>
    </cfRule>
    <cfRule type="cellIs" dxfId="385" priority="380" operator="greaterThan">
      <formula>0.8</formula>
    </cfRule>
  </conditionalFormatting>
  <conditionalFormatting sqref="AF121:AH121">
    <cfRule type="notContainsText" dxfId="384" priority="377" operator="notContains" text="Caida">
      <formula>ISERROR(SEARCH("Caida",AF121))</formula>
    </cfRule>
    <cfRule type="containsText" dxfId="383" priority="378" operator="containsText" text="Caida">
      <formula>NOT(ISERROR(SEARCH("Caida",AF121)))</formula>
    </cfRule>
  </conditionalFormatting>
  <conditionalFormatting sqref="AF122:AH122">
    <cfRule type="cellIs" dxfId="382" priority="375" operator="lessThan">
      <formula>0.8</formula>
    </cfRule>
    <cfRule type="cellIs" dxfId="381" priority="376" operator="greaterThan">
      <formula>0.8</formula>
    </cfRule>
  </conditionalFormatting>
  <conditionalFormatting sqref="AF122:AH122">
    <cfRule type="notContainsText" dxfId="380" priority="373" operator="notContains" text="Caida">
      <formula>ISERROR(SEARCH("Caida",AF122))</formula>
    </cfRule>
    <cfRule type="containsText" dxfId="379" priority="374" operator="containsText" text="Caida">
      <formula>NOT(ISERROR(SEARCH("Caida",AF122)))</formula>
    </cfRule>
  </conditionalFormatting>
  <conditionalFormatting sqref="AF123:AH123">
    <cfRule type="cellIs" dxfId="378" priority="371" operator="lessThan">
      <formula>0.8</formula>
    </cfRule>
    <cfRule type="cellIs" dxfId="377" priority="372" operator="greaterThan">
      <formula>0.8</formula>
    </cfRule>
  </conditionalFormatting>
  <conditionalFormatting sqref="AF123:AH123">
    <cfRule type="notContainsText" dxfId="376" priority="369" operator="notContains" text="Caida">
      <formula>ISERROR(SEARCH("Caida",AF123))</formula>
    </cfRule>
    <cfRule type="containsText" dxfId="375" priority="370" operator="containsText" text="Caida">
      <formula>NOT(ISERROR(SEARCH("Caida",AF123)))</formula>
    </cfRule>
  </conditionalFormatting>
  <conditionalFormatting sqref="AF133:AH133">
    <cfRule type="cellIs" dxfId="374" priority="367" operator="lessThan">
      <formula>0.8</formula>
    </cfRule>
    <cfRule type="cellIs" dxfId="373" priority="368" operator="greaterThan">
      <formula>0.8</formula>
    </cfRule>
  </conditionalFormatting>
  <conditionalFormatting sqref="AF133:AH133">
    <cfRule type="notContainsText" dxfId="372" priority="365" operator="notContains" text="Caida">
      <formula>ISERROR(SEARCH("Caida",AF133))</formula>
    </cfRule>
    <cfRule type="containsText" dxfId="371" priority="366" operator="containsText" text="Caida">
      <formula>NOT(ISERROR(SEARCH("Caida",AF133)))</formula>
    </cfRule>
  </conditionalFormatting>
  <conditionalFormatting sqref="AF137:AH137">
    <cfRule type="cellIs" dxfId="370" priority="363" operator="lessThan">
      <formula>0.8</formula>
    </cfRule>
    <cfRule type="cellIs" dxfId="369" priority="364" operator="greaterThan">
      <formula>0.8</formula>
    </cfRule>
  </conditionalFormatting>
  <conditionalFormatting sqref="AF137:AH137">
    <cfRule type="notContainsText" dxfId="368" priority="361" operator="notContains" text="Caida">
      <formula>ISERROR(SEARCH("Caida",AF137))</formula>
    </cfRule>
    <cfRule type="containsText" dxfId="367" priority="362" operator="containsText" text="Caida">
      <formula>NOT(ISERROR(SEARCH("Caida",AF137)))</formula>
    </cfRule>
  </conditionalFormatting>
  <conditionalFormatting sqref="AF149:AH149">
    <cfRule type="cellIs" dxfId="366" priority="359" operator="lessThan">
      <formula>0.8</formula>
    </cfRule>
    <cfRule type="cellIs" dxfId="365" priority="360" operator="greaterThan">
      <formula>0.8</formula>
    </cfRule>
  </conditionalFormatting>
  <conditionalFormatting sqref="AF149:AH149">
    <cfRule type="notContainsText" dxfId="364" priority="357" operator="notContains" text="Caida">
      <formula>ISERROR(SEARCH("Caida",AF149))</formula>
    </cfRule>
    <cfRule type="containsText" dxfId="363" priority="358" operator="containsText" text="Caida">
      <formula>NOT(ISERROR(SEARCH("Caida",AF149)))</formula>
    </cfRule>
  </conditionalFormatting>
  <conditionalFormatting sqref="AF150:AH150">
    <cfRule type="cellIs" dxfId="362" priority="355" operator="lessThan">
      <formula>0.8</formula>
    </cfRule>
    <cfRule type="cellIs" dxfId="361" priority="356" operator="greaterThan">
      <formula>0.8</formula>
    </cfRule>
  </conditionalFormatting>
  <conditionalFormatting sqref="AF150:AH150">
    <cfRule type="notContainsText" dxfId="360" priority="353" operator="notContains" text="Caida">
      <formula>ISERROR(SEARCH("Caida",AF150))</formula>
    </cfRule>
    <cfRule type="containsText" dxfId="359" priority="354" operator="containsText" text="Caida">
      <formula>NOT(ISERROR(SEARCH("Caida",AF150)))</formula>
    </cfRule>
  </conditionalFormatting>
  <conditionalFormatting sqref="AF151:AH151">
    <cfRule type="cellIs" dxfId="358" priority="351" operator="lessThan">
      <formula>0.8</formula>
    </cfRule>
    <cfRule type="cellIs" dxfId="357" priority="352" operator="greaterThan">
      <formula>0.8</formula>
    </cfRule>
  </conditionalFormatting>
  <conditionalFormatting sqref="AF151:AH151">
    <cfRule type="notContainsText" dxfId="356" priority="349" operator="notContains" text="Caida">
      <formula>ISERROR(SEARCH("Caida",AF151))</formula>
    </cfRule>
    <cfRule type="containsText" dxfId="355" priority="350" operator="containsText" text="Caida">
      <formula>NOT(ISERROR(SEARCH("Caida",AF151)))</formula>
    </cfRule>
  </conditionalFormatting>
  <conditionalFormatting sqref="AF159:AH159">
    <cfRule type="cellIs" dxfId="354" priority="347" operator="lessThan">
      <formula>0.8</formula>
    </cfRule>
    <cfRule type="cellIs" dxfId="353" priority="348" operator="greaterThan">
      <formula>0.8</formula>
    </cfRule>
  </conditionalFormatting>
  <conditionalFormatting sqref="AF159:AH159">
    <cfRule type="notContainsText" dxfId="352" priority="345" operator="notContains" text="Caida">
      <formula>ISERROR(SEARCH("Caida",AF159))</formula>
    </cfRule>
    <cfRule type="containsText" dxfId="351" priority="346" operator="containsText" text="Caida">
      <formula>NOT(ISERROR(SEARCH("Caida",AF159)))</formula>
    </cfRule>
  </conditionalFormatting>
  <conditionalFormatting sqref="AF169:AH169">
    <cfRule type="cellIs" dxfId="350" priority="343" operator="lessThan">
      <formula>0.8</formula>
    </cfRule>
    <cfRule type="cellIs" dxfId="349" priority="344" operator="greaterThan">
      <formula>0.8</formula>
    </cfRule>
  </conditionalFormatting>
  <conditionalFormatting sqref="AF169:AH169">
    <cfRule type="notContainsText" dxfId="348" priority="341" operator="notContains" text="Caida">
      <formula>ISERROR(SEARCH("Caida",AF169))</formula>
    </cfRule>
    <cfRule type="containsText" dxfId="347" priority="342" operator="containsText" text="Caida">
      <formula>NOT(ISERROR(SEARCH("Caida",AF169)))</formula>
    </cfRule>
  </conditionalFormatting>
  <conditionalFormatting sqref="AF171:AH171">
    <cfRule type="cellIs" dxfId="346" priority="339" operator="lessThan">
      <formula>0.8</formula>
    </cfRule>
    <cfRule type="cellIs" dxfId="345" priority="340" operator="greaterThan">
      <formula>0.8</formula>
    </cfRule>
  </conditionalFormatting>
  <conditionalFormatting sqref="AF171:AH171">
    <cfRule type="notContainsText" dxfId="344" priority="337" operator="notContains" text="Caida">
      <formula>ISERROR(SEARCH("Caida",AF171))</formula>
    </cfRule>
    <cfRule type="containsText" dxfId="343" priority="338" operator="containsText" text="Caida">
      <formula>NOT(ISERROR(SEARCH("Caida",AF171)))</formula>
    </cfRule>
  </conditionalFormatting>
  <conditionalFormatting sqref="AF173:AH173">
    <cfRule type="cellIs" dxfId="342" priority="335" operator="lessThan">
      <formula>0.8</formula>
    </cfRule>
    <cfRule type="cellIs" dxfId="341" priority="336" operator="greaterThan">
      <formula>0.8</formula>
    </cfRule>
  </conditionalFormatting>
  <conditionalFormatting sqref="AF173:AH173">
    <cfRule type="notContainsText" dxfId="340" priority="333" operator="notContains" text="Caida">
      <formula>ISERROR(SEARCH("Caida",AF173))</formula>
    </cfRule>
    <cfRule type="containsText" dxfId="339" priority="334" operator="containsText" text="Caida">
      <formula>NOT(ISERROR(SEARCH("Caida",AF173)))</formula>
    </cfRule>
  </conditionalFormatting>
  <conditionalFormatting sqref="AF193:AH193">
    <cfRule type="cellIs" dxfId="338" priority="331" operator="lessThan">
      <formula>0.8</formula>
    </cfRule>
    <cfRule type="cellIs" dxfId="337" priority="332" operator="greaterThan">
      <formula>0.8</formula>
    </cfRule>
  </conditionalFormatting>
  <conditionalFormatting sqref="AF193:AH193">
    <cfRule type="notContainsText" dxfId="336" priority="329" operator="notContains" text="Caida">
      <formula>ISERROR(SEARCH("Caida",AF193))</formula>
    </cfRule>
    <cfRule type="containsText" dxfId="335" priority="330" operator="containsText" text="Caida">
      <formula>NOT(ISERROR(SEARCH("Caida",AF193)))</formula>
    </cfRule>
  </conditionalFormatting>
  <conditionalFormatting sqref="AF194:AH194">
    <cfRule type="cellIs" dxfId="334" priority="327" operator="lessThan">
      <formula>0.8</formula>
    </cfRule>
    <cfRule type="cellIs" dxfId="333" priority="328" operator="greaterThan">
      <formula>0.8</formula>
    </cfRule>
  </conditionalFormatting>
  <conditionalFormatting sqref="AF194:AH194">
    <cfRule type="notContainsText" dxfId="332" priority="325" operator="notContains" text="Caida">
      <formula>ISERROR(SEARCH("Caida",AF194))</formula>
    </cfRule>
    <cfRule type="containsText" dxfId="331" priority="326" operator="containsText" text="Caida">
      <formula>NOT(ISERROR(SEARCH("Caida",AF194)))</formula>
    </cfRule>
  </conditionalFormatting>
  <conditionalFormatting sqref="AF230:AH230">
    <cfRule type="cellIs" dxfId="330" priority="323" operator="lessThan">
      <formula>0.8</formula>
    </cfRule>
    <cfRule type="cellIs" dxfId="329" priority="324" operator="greaterThan">
      <formula>0.8</formula>
    </cfRule>
  </conditionalFormatting>
  <conditionalFormatting sqref="AF230:AH230">
    <cfRule type="notContainsText" dxfId="328" priority="321" operator="notContains" text="Caida">
      <formula>ISERROR(SEARCH("Caida",AF230))</formula>
    </cfRule>
    <cfRule type="containsText" dxfId="327" priority="322" operator="containsText" text="Caida">
      <formula>NOT(ISERROR(SEARCH("Caida",AF230)))</formula>
    </cfRule>
  </conditionalFormatting>
  <conditionalFormatting sqref="AF238:AH238">
    <cfRule type="cellIs" dxfId="326" priority="319" operator="lessThan">
      <formula>0.8</formula>
    </cfRule>
    <cfRule type="cellIs" dxfId="325" priority="320" operator="greaterThan">
      <formula>0.8</formula>
    </cfRule>
  </conditionalFormatting>
  <conditionalFormatting sqref="AF238:AH238">
    <cfRule type="notContainsText" dxfId="324" priority="317" operator="notContains" text="Caida">
      <formula>ISERROR(SEARCH("Caida",AF238))</formula>
    </cfRule>
    <cfRule type="containsText" dxfId="323" priority="318" operator="containsText" text="Caida">
      <formula>NOT(ISERROR(SEARCH("Caida",AF238)))</formula>
    </cfRule>
  </conditionalFormatting>
  <conditionalFormatting sqref="AF239:AH239">
    <cfRule type="cellIs" dxfId="322" priority="315" operator="lessThan">
      <formula>0.8</formula>
    </cfRule>
    <cfRule type="cellIs" dxfId="321" priority="316" operator="greaterThan">
      <formula>0.8</formula>
    </cfRule>
  </conditionalFormatting>
  <conditionalFormatting sqref="AF239:AH239">
    <cfRule type="notContainsText" dxfId="320" priority="313" operator="notContains" text="Caida">
      <formula>ISERROR(SEARCH("Caida",AF239))</formula>
    </cfRule>
    <cfRule type="containsText" dxfId="319" priority="314" operator="containsText" text="Caida">
      <formula>NOT(ISERROR(SEARCH("Caida",AF239)))</formula>
    </cfRule>
  </conditionalFormatting>
  <conditionalFormatting sqref="AF240:AH240">
    <cfRule type="cellIs" dxfId="318" priority="311" operator="lessThan">
      <formula>0.8</formula>
    </cfRule>
    <cfRule type="cellIs" dxfId="317" priority="312" operator="greaterThan">
      <formula>0.8</formula>
    </cfRule>
  </conditionalFormatting>
  <conditionalFormatting sqref="AF240:AH240">
    <cfRule type="notContainsText" dxfId="316" priority="309" operator="notContains" text="Caida">
      <formula>ISERROR(SEARCH("Caida",AF240))</formula>
    </cfRule>
    <cfRule type="containsText" dxfId="315" priority="310" operator="containsText" text="Caida">
      <formula>NOT(ISERROR(SEARCH("Caida",AF240)))</formula>
    </cfRule>
  </conditionalFormatting>
  <conditionalFormatting sqref="AF249:AH249">
    <cfRule type="cellIs" dxfId="314" priority="307" operator="lessThan">
      <formula>0.8</formula>
    </cfRule>
    <cfRule type="cellIs" dxfId="313" priority="308" operator="greaterThan">
      <formula>0.8</formula>
    </cfRule>
  </conditionalFormatting>
  <conditionalFormatting sqref="AF249:AH249">
    <cfRule type="notContainsText" dxfId="312" priority="305" operator="notContains" text="Caida">
      <formula>ISERROR(SEARCH("Caida",AF249))</formula>
    </cfRule>
    <cfRule type="containsText" dxfId="311" priority="306" operator="containsText" text="Caida">
      <formula>NOT(ISERROR(SEARCH("Caida",AF249)))</formula>
    </cfRule>
  </conditionalFormatting>
  <conditionalFormatting sqref="AF250:AH250">
    <cfRule type="cellIs" dxfId="310" priority="303" operator="lessThan">
      <formula>0.8</formula>
    </cfRule>
    <cfRule type="cellIs" dxfId="309" priority="304" operator="greaterThan">
      <formula>0.8</formula>
    </cfRule>
  </conditionalFormatting>
  <conditionalFormatting sqref="AF250:AH250">
    <cfRule type="notContainsText" dxfId="308" priority="301" operator="notContains" text="Caida">
      <formula>ISERROR(SEARCH("Caida",AF250))</formula>
    </cfRule>
    <cfRule type="containsText" dxfId="307" priority="302" operator="containsText" text="Caida">
      <formula>NOT(ISERROR(SEARCH("Caida",AF250)))</formula>
    </cfRule>
  </conditionalFormatting>
  <conditionalFormatting sqref="AF251:AH251">
    <cfRule type="cellIs" dxfId="306" priority="299" operator="lessThan">
      <formula>0.8</formula>
    </cfRule>
    <cfRule type="cellIs" dxfId="305" priority="300" operator="greaterThan">
      <formula>0.8</formula>
    </cfRule>
  </conditionalFormatting>
  <conditionalFormatting sqref="AF251:AH251">
    <cfRule type="notContainsText" dxfId="304" priority="297" operator="notContains" text="Caida">
      <formula>ISERROR(SEARCH("Caida",AF251))</formula>
    </cfRule>
    <cfRule type="containsText" dxfId="303" priority="298" operator="containsText" text="Caida">
      <formula>NOT(ISERROR(SEARCH("Caida",AF251)))</formula>
    </cfRule>
  </conditionalFormatting>
  <conditionalFormatting sqref="AF252:AH252">
    <cfRule type="cellIs" dxfId="302" priority="295" operator="lessThan">
      <formula>0.8</formula>
    </cfRule>
    <cfRule type="cellIs" dxfId="301" priority="296" operator="greaterThan">
      <formula>0.8</formula>
    </cfRule>
  </conditionalFormatting>
  <conditionalFormatting sqref="AF252:AH252">
    <cfRule type="notContainsText" dxfId="300" priority="293" operator="notContains" text="Caida">
      <formula>ISERROR(SEARCH("Caida",AF252))</formula>
    </cfRule>
    <cfRule type="containsText" dxfId="299" priority="294" operator="containsText" text="Caida">
      <formula>NOT(ISERROR(SEARCH("Caida",AF252)))</formula>
    </cfRule>
  </conditionalFormatting>
  <conditionalFormatting sqref="AF259:AH259">
    <cfRule type="cellIs" dxfId="298" priority="291" operator="lessThan">
      <formula>0.8</formula>
    </cfRule>
    <cfRule type="cellIs" dxfId="297" priority="292" operator="greaterThan">
      <formula>0.8</formula>
    </cfRule>
  </conditionalFormatting>
  <conditionalFormatting sqref="AF259:AH259">
    <cfRule type="notContainsText" dxfId="296" priority="289" operator="notContains" text="Caida">
      <formula>ISERROR(SEARCH("Caida",AF259))</formula>
    </cfRule>
    <cfRule type="containsText" dxfId="295" priority="290" operator="containsText" text="Caida">
      <formula>NOT(ISERROR(SEARCH("Caida",AF259)))</formula>
    </cfRule>
  </conditionalFormatting>
  <conditionalFormatting sqref="AF271:AH271">
    <cfRule type="cellIs" dxfId="294" priority="287" operator="lessThan">
      <formula>0.8</formula>
    </cfRule>
    <cfRule type="cellIs" dxfId="293" priority="288" operator="greaterThan">
      <formula>0.8</formula>
    </cfRule>
  </conditionalFormatting>
  <conditionalFormatting sqref="AF271:AH271">
    <cfRule type="notContainsText" dxfId="292" priority="285" operator="notContains" text="Caida">
      <formula>ISERROR(SEARCH("Caida",AF271))</formula>
    </cfRule>
    <cfRule type="containsText" dxfId="291" priority="286" operator="containsText" text="Caida">
      <formula>NOT(ISERROR(SEARCH("Caida",AF271)))</formula>
    </cfRule>
  </conditionalFormatting>
  <conditionalFormatting sqref="AF272:AH272">
    <cfRule type="cellIs" dxfId="290" priority="283" operator="lessThan">
      <formula>0.8</formula>
    </cfRule>
    <cfRule type="cellIs" dxfId="289" priority="284" operator="greaterThan">
      <formula>0.8</formula>
    </cfRule>
  </conditionalFormatting>
  <conditionalFormatting sqref="AF272:AH272">
    <cfRule type="notContainsText" dxfId="288" priority="281" operator="notContains" text="Caida">
      <formula>ISERROR(SEARCH("Caida",AF272))</formula>
    </cfRule>
    <cfRule type="containsText" dxfId="287" priority="282" operator="containsText" text="Caida">
      <formula>NOT(ISERROR(SEARCH("Caida",AF272)))</formula>
    </cfRule>
  </conditionalFormatting>
  <conditionalFormatting sqref="AF291:AH291">
    <cfRule type="cellIs" dxfId="286" priority="279" operator="lessThan">
      <formula>0.8</formula>
    </cfRule>
    <cfRule type="cellIs" dxfId="285" priority="280" operator="greaterThan">
      <formula>0.8</formula>
    </cfRule>
  </conditionalFormatting>
  <conditionalFormatting sqref="AF291:AH291">
    <cfRule type="notContainsText" dxfId="284" priority="277" operator="notContains" text="Caida">
      <formula>ISERROR(SEARCH("Caida",AF291))</formula>
    </cfRule>
    <cfRule type="containsText" dxfId="283" priority="278" operator="containsText" text="Caida">
      <formula>NOT(ISERROR(SEARCH("Caida",AF291)))</formula>
    </cfRule>
  </conditionalFormatting>
  <conditionalFormatting sqref="AF319:AH319">
    <cfRule type="cellIs" dxfId="282" priority="275" operator="lessThan">
      <formula>0.8</formula>
    </cfRule>
    <cfRule type="cellIs" dxfId="281" priority="276" operator="greaterThan">
      <formula>0.8</formula>
    </cfRule>
  </conditionalFormatting>
  <conditionalFormatting sqref="AF319:AH319">
    <cfRule type="notContainsText" dxfId="280" priority="273" operator="notContains" text="Caida">
      <formula>ISERROR(SEARCH("Caida",AF319))</formula>
    </cfRule>
    <cfRule type="containsText" dxfId="279" priority="274" operator="containsText" text="Caida">
      <formula>NOT(ISERROR(SEARCH("Caida",AF319)))</formula>
    </cfRule>
  </conditionalFormatting>
  <conditionalFormatting sqref="AF320:AH320">
    <cfRule type="cellIs" dxfId="278" priority="271" operator="lessThan">
      <formula>0.8</formula>
    </cfRule>
    <cfRule type="cellIs" dxfId="277" priority="272" operator="greaterThan">
      <formula>0.8</formula>
    </cfRule>
  </conditionalFormatting>
  <conditionalFormatting sqref="AF320:AH320">
    <cfRule type="notContainsText" dxfId="276" priority="269" operator="notContains" text="Caida">
      <formula>ISERROR(SEARCH("Caida",AF320))</formula>
    </cfRule>
    <cfRule type="containsText" dxfId="275" priority="270" operator="containsText" text="Caida">
      <formula>NOT(ISERROR(SEARCH("Caida",AF320)))</formula>
    </cfRule>
  </conditionalFormatting>
  <conditionalFormatting sqref="AF331:AH331">
    <cfRule type="cellIs" dxfId="274" priority="267" operator="lessThan">
      <formula>0.8</formula>
    </cfRule>
    <cfRule type="cellIs" dxfId="273" priority="268" operator="greaterThan">
      <formula>0.8</formula>
    </cfRule>
  </conditionalFormatting>
  <conditionalFormatting sqref="AF331:AH331">
    <cfRule type="notContainsText" dxfId="272" priority="265" operator="notContains" text="Caida">
      <formula>ISERROR(SEARCH("Caida",AF331))</formula>
    </cfRule>
    <cfRule type="containsText" dxfId="271" priority="266" operator="containsText" text="Caida">
      <formula>NOT(ISERROR(SEARCH("Caida",AF331)))</formula>
    </cfRule>
  </conditionalFormatting>
  <conditionalFormatting sqref="AF345:AH345">
    <cfRule type="cellIs" dxfId="270" priority="263" operator="lessThan">
      <formula>0.8</formula>
    </cfRule>
    <cfRule type="cellIs" dxfId="269" priority="264" operator="greaterThan">
      <formula>0.8</formula>
    </cfRule>
  </conditionalFormatting>
  <conditionalFormatting sqref="AF345:AH345">
    <cfRule type="notContainsText" dxfId="268" priority="261" operator="notContains" text="Caida">
      <formula>ISERROR(SEARCH("Caida",AF345))</formula>
    </cfRule>
    <cfRule type="containsText" dxfId="267" priority="262" operator="containsText" text="Caida">
      <formula>NOT(ISERROR(SEARCH("Caida",AF345)))</formula>
    </cfRule>
  </conditionalFormatting>
  <conditionalFormatting sqref="AF346:AH346">
    <cfRule type="cellIs" dxfId="266" priority="259" operator="lessThan">
      <formula>0.8</formula>
    </cfRule>
    <cfRule type="cellIs" dxfId="265" priority="260" operator="greaterThan">
      <formula>0.8</formula>
    </cfRule>
  </conditionalFormatting>
  <conditionalFormatting sqref="AF346:AH346">
    <cfRule type="notContainsText" dxfId="264" priority="257" operator="notContains" text="Caida">
      <formula>ISERROR(SEARCH("Caida",AF346))</formula>
    </cfRule>
    <cfRule type="containsText" dxfId="263" priority="258" operator="containsText" text="Caida">
      <formula>NOT(ISERROR(SEARCH("Caida",AF346)))</formula>
    </cfRule>
  </conditionalFormatting>
  <conditionalFormatting sqref="AF347:AH347">
    <cfRule type="cellIs" dxfId="262" priority="255" operator="lessThan">
      <formula>0.8</formula>
    </cfRule>
    <cfRule type="cellIs" dxfId="261" priority="256" operator="greaterThan">
      <formula>0.8</formula>
    </cfRule>
  </conditionalFormatting>
  <conditionalFormatting sqref="AF347:AH347">
    <cfRule type="notContainsText" dxfId="260" priority="253" operator="notContains" text="Caida">
      <formula>ISERROR(SEARCH("Caida",AF347))</formula>
    </cfRule>
    <cfRule type="containsText" dxfId="259" priority="254" operator="containsText" text="Caida">
      <formula>NOT(ISERROR(SEARCH("Caida",AF347)))</formula>
    </cfRule>
  </conditionalFormatting>
  <conditionalFormatting sqref="AF348:AH348">
    <cfRule type="cellIs" dxfId="258" priority="251" operator="lessThan">
      <formula>0.8</formula>
    </cfRule>
    <cfRule type="cellIs" dxfId="257" priority="252" operator="greaterThan">
      <formula>0.8</formula>
    </cfRule>
  </conditionalFormatting>
  <conditionalFormatting sqref="AF348:AH348">
    <cfRule type="notContainsText" dxfId="256" priority="249" operator="notContains" text="Caida">
      <formula>ISERROR(SEARCH("Caida",AF348))</formula>
    </cfRule>
    <cfRule type="containsText" dxfId="255" priority="250" operator="containsText" text="Caida">
      <formula>NOT(ISERROR(SEARCH("Caida",AF348)))</formula>
    </cfRule>
  </conditionalFormatting>
  <conditionalFormatting sqref="AF349:AH349">
    <cfRule type="cellIs" dxfId="254" priority="247" operator="lessThan">
      <formula>0.8</formula>
    </cfRule>
    <cfRule type="cellIs" dxfId="253" priority="248" operator="greaterThan">
      <formula>0.8</formula>
    </cfRule>
  </conditionalFormatting>
  <conditionalFormatting sqref="AF349:AH349">
    <cfRule type="notContainsText" dxfId="252" priority="245" operator="notContains" text="Caida">
      <formula>ISERROR(SEARCH("Caida",AF349))</formula>
    </cfRule>
    <cfRule type="containsText" dxfId="251" priority="246" operator="containsText" text="Caida">
      <formula>NOT(ISERROR(SEARCH("Caida",AF349)))</formula>
    </cfRule>
  </conditionalFormatting>
  <conditionalFormatting sqref="AF367:AH367">
    <cfRule type="cellIs" dxfId="250" priority="243" operator="lessThan">
      <formula>0.8</formula>
    </cfRule>
    <cfRule type="cellIs" dxfId="249" priority="244" operator="greaterThan">
      <formula>0.8</formula>
    </cfRule>
  </conditionalFormatting>
  <conditionalFormatting sqref="AF367:AH367">
    <cfRule type="notContainsText" dxfId="248" priority="241" operator="notContains" text="Caida">
      <formula>ISERROR(SEARCH("Caida",AF367))</formula>
    </cfRule>
    <cfRule type="containsText" dxfId="247" priority="242" operator="containsText" text="Caida">
      <formula>NOT(ISERROR(SEARCH("Caida",AF367)))</formula>
    </cfRule>
  </conditionalFormatting>
  <conditionalFormatting sqref="AF197:AH197">
    <cfRule type="cellIs" dxfId="246" priority="239" operator="lessThan">
      <formula>0.8</formula>
    </cfRule>
    <cfRule type="cellIs" dxfId="245" priority="240" operator="greaterThan">
      <formula>0.8</formula>
    </cfRule>
  </conditionalFormatting>
  <conditionalFormatting sqref="AF197:AH197">
    <cfRule type="notContainsText" dxfId="244" priority="237" operator="notContains" text="Caida">
      <formula>ISERROR(SEARCH("Caida",AF197))</formula>
    </cfRule>
    <cfRule type="containsText" dxfId="243" priority="238" operator="containsText" text="Caida">
      <formula>NOT(ISERROR(SEARCH("Caida",AF197)))</formula>
    </cfRule>
  </conditionalFormatting>
  <conditionalFormatting sqref="AF198:AH198">
    <cfRule type="cellIs" dxfId="242" priority="235" operator="lessThan">
      <formula>0.8</formula>
    </cfRule>
    <cfRule type="cellIs" dxfId="241" priority="236" operator="greaterThan">
      <formula>0.8</formula>
    </cfRule>
  </conditionalFormatting>
  <conditionalFormatting sqref="AF198:AH198">
    <cfRule type="notContainsText" dxfId="240" priority="233" operator="notContains" text="Caida">
      <formula>ISERROR(SEARCH("Caida",AF198))</formula>
    </cfRule>
    <cfRule type="containsText" dxfId="239" priority="234" operator="containsText" text="Caida">
      <formula>NOT(ISERROR(SEARCH("Caida",AF198)))</formula>
    </cfRule>
  </conditionalFormatting>
  <conditionalFormatting sqref="AF206:AH206">
    <cfRule type="cellIs" dxfId="238" priority="231" operator="lessThan">
      <formula>0.8</formula>
    </cfRule>
    <cfRule type="cellIs" dxfId="237" priority="232" operator="greaterThan">
      <formula>0.8</formula>
    </cfRule>
  </conditionalFormatting>
  <conditionalFormatting sqref="AF206:AH206">
    <cfRule type="notContainsText" dxfId="236" priority="229" operator="notContains" text="Caida">
      <formula>ISERROR(SEARCH("Caida",AF206))</formula>
    </cfRule>
    <cfRule type="containsText" dxfId="235" priority="230" operator="containsText" text="Caida">
      <formula>NOT(ISERROR(SEARCH("Caida",AF206)))</formula>
    </cfRule>
  </conditionalFormatting>
  <conditionalFormatting sqref="AF204:AH204">
    <cfRule type="cellIs" dxfId="234" priority="227" operator="lessThan">
      <formula>0.8</formula>
    </cfRule>
    <cfRule type="cellIs" dxfId="233" priority="228" operator="greaterThan">
      <formula>0.8</formula>
    </cfRule>
  </conditionalFormatting>
  <conditionalFormatting sqref="AF204:AH204">
    <cfRule type="notContainsText" dxfId="232" priority="225" operator="notContains" text="Caida">
      <formula>ISERROR(SEARCH("Caida",AF204))</formula>
    </cfRule>
    <cfRule type="containsText" dxfId="231" priority="226" operator="containsText" text="Caida">
      <formula>NOT(ISERROR(SEARCH("Caida",AF204)))</formula>
    </cfRule>
  </conditionalFormatting>
  <conditionalFormatting sqref="AJ115">
    <cfRule type="cellIs" dxfId="230" priority="223" operator="lessThan">
      <formula>0.8</formula>
    </cfRule>
    <cfRule type="cellIs" dxfId="229" priority="224" operator="greaterThan">
      <formula>0.8</formula>
    </cfRule>
  </conditionalFormatting>
  <conditionalFormatting sqref="AJ115">
    <cfRule type="notContainsText" dxfId="228" priority="221" operator="notContains" text="Caida">
      <formula>ISERROR(SEARCH("Caida",AJ115))</formula>
    </cfRule>
    <cfRule type="containsText" dxfId="227" priority="222" operator="containsText" text="Caida">
      <formula>NOT(ISERROR(SEARCH("Caida",AJ115)))</formula>
    </cfRule>
  </conditionalFormatting>
  <conditionalFormatting sqref="AJ116">
    <cfRule type="cellIs" dxfId="226" priority="219" operator="lessThan">
      <formula>0.8</formula>
    </cfRule>
    <cfRule type="cellIs" dxfId="225" priority="220" operator="greaterThan">
      <formula>0.8</formula>
    </cfRule>
  </conditionalFormatting>
  <conditionalFormatting sqref="AJ116">
    <cfRule type="notContainsText" dxfId="224" priority="217" operator="notContains" text="Caida">
      <formula>ISERROR(SEARCH("Caida",AJ116))</formula>
    </cfRule>
    <cfRule type="containsText" dxfId="223" priority="218" operator="containsText" text="Caida">
      <formula>NOT(ISERROR(SEARCH("Caida",AJ116)))</formula>
    </cfRule>
  </conditionalFormatting>
  <conditionalFormatting sqref="AJ120">
    <cfRule type="cellIs" dxfId="222" priority="215" operator="lessThan">
      <formula>0.8</formula>
    </cfRule>
    <cfRule type="cellIs" dxfId="221" priority="216" operator="greaterThan">
      <formula>0.8</formula>
    </cfRule>
  </conditionalFormatting>
  <conditionalFormatting sqref="AJ120">
    <cfRule type="notContainsText" dxfId="220" priority="213" operator="notContains" text="Caida">
      <formula>ISERROR(SEARCH("Caida",AJ120))</formula>
    </cfRule>
    <cfRule type="containsText" dxfId="219" priority="214" operator="containsText" text="Caida">
      <formula>NOT(ISERROR(SEARCH("Caida",AJ120)))</formula>
    </cfRule>
  </conditionalFormatting>
  <conditionalFormatting sqref="AJ121">
    <cfRule type="cellIs" dxfId="218" priority="211" operator="lessThan">
      <formula>0.8</formula>
    </cfRule>
    <cfRule type="cellIs" dxfId="217" priority="212" operator="greaterThan">
      <formula>0.8</formula>
    </cfRule>
  </conditionalFormatting>
  <conditionalFormatting sqref="AJ121">
    <cfRule type="notContainsText" dxfId="216" priority="209" operator="notContains" text="Caida">
      <formula>ISERROR(SEARCH("Caida",AJ121))</formula>
    </cfRule>
    <cfRule type="containsText" dxfId="215" priority="210" operator="containsText" text="Caida">
      <formula>NOT(ISERROR(SEARCH("Caida",AJ121)))</formula>
    </cfRule>
  </conditionalFormatting>
  <conditionalFormatting sqref="AJ133">
    <cfRule type="cellIs" dxfId="214" priority="207" operator="lessThan">
      <formula>0.8</formula>
    </cfRule>
    <cfRule type="cellIs" dxfId="213" priority="208" operator="greaterThan">
      <formula>0.8</formula>
    </cfRule>
  </conditionalFormatting>
  <conditionalFormatting sqref="AJ133">
    <cfRule type="notContainsText" dxfId="212" priority="205" operator="notContains" text="Caida">
      <formula>ISERROR(SEARCH("Caida",AJ133))</formula>
    </cfRule>
    <cfRule type="containsText" dxfId="211" priority="206" operator="containsText" text="Caida">
      <formula>NOT(ISERROR(SEARCH("Caida",AJ133)))</formula>
    </cfRule>
  </conditionalFormatting>
  <conditionalFormatting sqref="AJ137">
    <cfRule type="cellIs" dxfId="210" priority="203" operator="lessThan">
      <formula>0.8</formula>
    </cfRule>
    <cfRule type="cellIs" dxfId="209" priority="204" operator="greaterThan">
      <formula>0.8</formula>
    </cfRule>
  </conditionalFormatting>
  <conditionalFormatting sqref="AJ137">
    <cfRule type="notContainsText" dxfId="208" priority="201" operator="notContains" text="Caida">
      <formula>ISERROR(SEARCH("Caida",AJ137))</formula>
    </cfRule>
    <cfRule type="containsText" dxfId="207" priority="202" operator="containsText" text="Caida">
      <formula>NOT(ISERROR(SEARCH("Caida",AJ137)))</formula>
    </cfRule>
  </conditionalFormatting>
  <conditionalFormatting sqref="AJ149">
    <cfRule type="cellIs" dxfId="206" priority="199" operator="lessThan">
      <formula>0.8</formula>
    </cfRule>
    <cfRule type="cellIs" dxfId="205" priority="200" operator="greaterThan">
      <formula>0.8</formula>
    </cfRule>
  </conditionalFormatting>
  <conditionalFormatting sqref="AJ149">
    <cfRule type="notContainsText" dxfId="204" priority="197" operator="notContains" text="Caida">
      <formula>ISERROR(SEARCH("Caida",AJ149))</formula>
    </cfRule>
    <cfRule type="containsText" dxfId="203" priority="198" operator="containsText" text="Caida">
      <formula>NOT(ISERROR(SEARCH("Caida",AJ149)))</formula>
    </cfRule>
  </conditionalFormatting>
  <conditionalFormatting sqref="AJ150">
    <cfRule type="cellIs" dxfId="202" priority="195" operator="lessThan">
      <formula>0.8</formula>
    </cfRule>
    <cfRule type="cellIs" dxfId="201" priority="196" operator="greaterThan">
      <formula>0.8</formula>
    </cfRule>
  </conditionalFormatting>
  <conditionalFormatting sqref="AJ150">
    <cfRule type="notContainsText" dxfId="200" priority="193" operator="notContains" text="Caida">
      <formula>ISERROR(SEARCH("Caida",AJ150))</formula>
    </cfRule>
    <cfRule type="containsText" dxfId="199" priority="194" operator="containsText" text="Caida">
      <formula>NOT(ISERROR(SEARCH("Caida",AJ150)))</formula>
    </cfRule>
  </conditionalFormatting>
  <conditionalFormatting sqref="AJ151">
    <cfRule type="cellIs" dxfId="198" priority="191" operator="lessThan">
      <formula>0.8</formula>
    </cfRule>
    <cfRule type="cellIs" dxfId="197" priority="192" operator="greaterThan">
      <formula>0.8</formula>
    </cfRule>
  </conditionalFormatting>
  <conditionalFormatting sqref="AJ151">
    <cfRule type="notContainsText" dxfId="196" priority="189" operator="notContains" text="Caida">
      <formula>ISERROR(SEARCH("Caida",AJ151))</formula>
    </cfRule>
    <cfRule type="containsText" dxfId="195" priority="190" operator="containsText" text="Caida">
      <formula>NOT(ISERROR(SEARCH("Caida",AJ151)))</formula>
    </cfRule>
  </conditionalFormatting>
  <conditionalFormatting sqref="AJ159">
    <cfRule type="cellIs" dxfId="194" priority="187" operator="lessThan">
      <formula>0.8</formula>
    </cfRule>
    <cfRule type="cellIs" dxfId="193" priority="188" operator="greaterThan">
      <formula>0.8</formula>
    </cfRule>
  </conditionalFormatting>
  <conditionalFormatting sqref="AJ159">
    <cfRule type="notContainsText" dxfId="192" priority="185" operator="notContains" text="Caida">
      <formula>ISERROR(SEARCH("Caida",AJ159))</formula>
    </cfRule>
    <cfRule type="containsText" dxfId="191" priority="186" operator="containsText" text="Caida">
      <formula>NOT(ISERROR(SEARCH("Caida",AJ159)))</formula>
    </cfRule>
  </conditionalFormatting>
  <conditionalFormatting sqref="AJ169">
    <cfRule type="cellIs" dxfId="190" priority="183" operator="lessThan">
      <formula>0.8</formula>
    </cfRule>
    <cfRule type="cellIs" dxfId="189" priority="184" operator="greaterThan">
      <formula>0.8</formula>
    </cfRule>
  </conditionalFormatting>
  <conditionalFormatting sqref="AJ169">
    <cfRule type="notContainsText" dxfId="188" priority="181" operator="notContains" text="Caida">
      <formula>ISERROR(SEARCH("Caida",AJ169))</formula>
    </cfRule>
    <cfRule type="containsText" dxfId="187" priority="182" operator="containsText" text="Caida">
      <formula>NOT(ISERROR(SEARCH("Caida",AJ169)))</formula>
    </cfRule>
  </conditionalFormatting>
  <conditionalFormatting sqref="AJ171">
    <cfRule type="cellIs" dxfId="186" priority="179" operator="lessThan">
      <formula>0.8</formula>
    </cfRule>
    <cfRule type="cellIs" dxfId="185" priority="180" operator="greaterThan">
      <formula>0.8</formula>
    </cfRule>
  </conditionalFormatting>
  <conditionalFormatting sqref="AJ171">
    <cfRule type="notContainsText" dxfId="184" priority="177" operator="notContains" text="Caida">
      <formula>ISERROR(SEARCH("Caida",AJ171))</formula>
    </cfRule>
    <cfRule type="containsText" dxfId="183" priority="178" operator="containsText" text="Caida">
      <formula>NOT(ISERROR(SEARCH("Caida",AJ171)))</formula>
    </cfRule>
  </conditionalFormatting>
  <conditionalFormatting sqref="AJ173">
    <cfRule type="cellIs" dxfId="182" priority="175" operator="lessThan">
      <formula>0.8</formula>
    </cfRule>
    <cfRule type="cellIs" dxfId="181" priority="176" operator="greaterThan">
      <formula>0.8</formula>
    </cfRule>
  </conditionalFormatting>
  <conditionalFormatting sqref="AJ173">
    <cfRule type="notContainsText" dxfId="180" priority="173" operator="notContains" text="Caida">
      <formula>ISERROR(SEARCH("Caida",AJ173))</formula>
    </cfRule>
    <cfRule type="containsText" dxfId="179" priority="174" operator="containsText" text="Caida">
      <formula>NOT(ISERROR(SEARCH("Caida",AJ173)))</formula>
    </cfRule>
  </conditionalFormatting>
  <conditionalFormatting sqref="AJ174">
    <cfRule type="cellIs" dxfId="178" priority="171" operator="lessThan">
      <formula>0.8</formula>
    </cfRule>
    <cfRule type="cellIs" dxfId="177" priority="172" operator="greaterThan">
      <formula>0.8</formula>
    </cfRule>
  </conditionalFormatting>
  <conditionalFormatting sqref="AJ174">
    <cfRule type="notContainsText" dxfId="176" priority="169" operator="notContains" text="Caida">
      <formula>ISERROR(SEARCH("Caida",AJ174))</formula>
    </cfRule>
    <cfRule type="containsText" dxfId="175" priority="170" operator="containsText" text="Caida">
      <formula>NOT(ISERROR(SEARCH("Caida",AJ174)))</formula>
    </cfRule>
  </conditionalFormatting>
  <conditionalFormatting sqref="AJ191">
    <cfRule type="cellIs" dxfId="174" priority="167" operator="lessThan">
      <formula>0.8</formula>
    </cfRule>
    <cfRule type="cellIs" dxfId="173" priority="168" operator="greaterThan">
      <formula>0.8</formula>
    </cfRule>
  </conditionalFormatting>
  <conditionalFormatting sqref="AJ191">
    <cfRule type="notContainsText" dxfId="172" priority="165" operator="notContains" text="Caida">
      <formula>ISERROR(SEARCH("Caida",AJ191))</formula>
    </cfRule>
    <cfRule type="containsText" dxfId="171" priority="166" operator="containsText" text="Caida">
      <formula>NOT(ISERROR(SEARCH("Caida",AJ191)))</formula>
    </cfRule>
  </conditionalFormatting>
  <conditionalFormatting sqref="AJ192">
    <cfRule type="cellIs" dxfId="170" priority="163" operator="lessThan">
      <formula>0.8</formula>
    </cfRule>
    <cfRule type="cellIs" dxfId="169" priority="164" operator="greaterThan">
      <formula>0.8</formula>
    </cfRule>
  </conditionalFormatting>
  <conditionalFormatting sqref="AJ192">
    <cfRule type="notContainsText" dxfId="168" priority="161" operator="notContains" text="Caida">
      <formula>ISERROR(SEARCH("Caida",AJ192))</formula>
    </cfRule>
    <cfRule type="containsText" dxfId="167" priority="162" operator="containsText" text="Caida">
      <formula>NOT(ISERROR(SEARCH("Caida",AJ192)))</formula>
    </cfRule>
  </conditionalFormatting>
  <conditionalFormatting sqref="AJ193">
    <cfRule type="cellIs" dxfId="166" priority="159" operator="lessThan">
      <formula>0.8</formula>
    </cfRule>
    <cfRule type="cellIs" dxfId="165" priority="160" operator="greaterThan">
      <formula>0.8</formula>
    </cfRule>
  </conditionalFormatting>
  <conditionalFormatting sqref="AJ193">
    <cfRule type="notContainsText" dxfId="164" priority="157" operator="notContains" text="Caida">
      <formula>ISERROR(SEARCH("Caida",AJ193))</formula>
    </cfRule>
    <cfRule type="containsText" dxfId="163" priority="158" operator="containsText" text="Caida">
      <formula>NOT(ISERROR(SEARCH("Caida",AJ193)))</formula>
    </cfRule>
  </conditionalFormatting>
  <conditionalFormatting sqref="AJ194">
    <cfRule type="cellIs" dxfId="162" priority="155" operator="lessThan">
      <formula>0.8</formula>
    </cfRule>
    <cfRule type="cellIs" dxfId="161" priority="156" operator="greaterThan">
      <formula>0.8</formula>
    </cfRule>
  </conditionalFormatting>
  <conditionalFormatting sqref="AJ194">
    <cfRule type="notContainsText" dxfId="160" priority="153" operator="notContains" text="Caida">
      <formula>ISERROR(SEARCH("Caida",AJ194))</formula>
    </cfRule>
    <cfRule type="containsText" dxfId="159" priority="154" operator="containsText" text="Caida">
      <formula>NOT(ISERROR(SEARCH("Caida",AJ194)))</formula>
    </cfRule>
  </conditionalFormatting>
  <conditionalFormatting sqref="AJ224">
    <cfRule type="cellIs" dxfId="158" priority="151" operator="lessThan">
      <formula>0.8</formula>
    </cfRule>
    <cfRule type="cellIs" dxfId="157" priority="152" operator="greaterThan">
      <formula>0.8</formula>
    </cfRule>
  </conditionalFormatting>
  <conditionalFormatting sqref="AJ224">
    <cfRule type="notContainsText" dxfId="156" priority="149" operator="notContains" text="Caida">
      <formula>ISERROR(SEARCH("Caida",AJ224))</formula>
    </cfRule>
    <cfRule type="containsText" dxfId="155" priority="150" operator="containsText" text="Caida">
      <formula>NOT(ISERROR(SEARCH("Caida",AJ224)))</formula>
    </cfRule>
  </conditionalFormatting>
  <conditionalFormatting sqref="AJ230">
    <cfRule type="cellIs" dxfId="154" priority="147" operator="lessThan">
      <formula>0.8</formula>
    </cfRule>
    <cfRule type="cellIs" dxfId="153" priority="148" operator="greaterThan">
      <formula>0.8</formula>
    </cfRule>
  </conditionalFormatting>
  <conditionalFormatting sqref="AJ230">
    <cfRule type="notContainsText" dxfId="152" priority="145" operator="notContains" text="Caida">
      <formula>ISERROR(SEARCH("Caida",AJ230))</formula>
    </cfRule>
    <cfRule type="containsText" dxfId="151" priority="146" operator="containsText" text="Caida">
      <formula>NOT(ISERROR(SEARCH("Caida",AJ230)))</formula>
    </cfRule>
  </conditionalFormatting>
  <conditionalFormatting sqref="AJ238">
    <cfRule type="cellIs" dxfId="150" priority="143" operator="lessThan">
      <formula>0.8</formula>
    </cfRule>
    <cfRule type="cellIs" dxfId="149" priority="144" operator="greaterThan">
      <formula>0.8</formula>
    </cfRule>
  </conditionalFormatting>
  <conditionalFormatting sqref="AJ238">
    <cfRule type="notContainsText" dxfId="148" priority="141" operator="notContains" text="Caida">
      <formula>ISERROR(SEARCH("Caida",AJ238))</formula>
    </cfRule>
    <cfRule type="containsText" dxfId="147" priority="142" operator="containsText" text="Caida">
      <formula>NOT(ISERROR(SEARCH("Caida",AJ238)))</formula>
    </cfRule>
  </conditionalFormatting>
  <conditionalFormatting sqref="AJ239">
    <cfRule type="cellIs" dxfId="146" priority="139" operator="lessThan">
      <formula>0.8</formula>
    </cfRule>
    <cfRule type="cellIs" dxfId="145" priority="140" operator="greaterThan">
      <formula>0.8</formula>
    </cfRule>
  </conditionalFormatting>
  <conditionalFormatting sqref="AJ239">
    <cfRule type="notContainsText" dxfId="144" priority="137" operator="notContains" text="Caida">
      <formula>ISERROR(SEARCH("Caida",AJ239))</formula>
    </cfRule>
    <cfRule type="containsText" dxfId="143" priority="138" operator="containsText" text="Caida">
      <formula>NOT(ISERROR(SEARCH("Caida",AJ239)))</formula>
    </cfRule>
  </conditionalFormatting>
  <conditionalFormatting sqref="AJ240">
    <cfRule type="cellIs" dxfId="142" priority="135" operator="lessThan">
      <formula>0.8</formula>
    </cfRule>
    <cfRule type="cellIs" dxfId="141" priority="136" operator="greaterThan">
      <formula>0.8</formula>
    </cfRule>
  </conditionalFormatting>
  <conditionalFormatting sqref="AJ240">
    <cfRule type="notContainsText" dxfId="140" priority="133" operator="notContains" text="Caida">
      <formula>ISERROR(SEARCH("Caida",AJ240))</formula>
    </cfRule>
    <cfRule type="containsText" dxfId="139" priority="134" operator="containsText" text="Caida">
      <formula>NOT(ISERROR(SEARCH("Caida",AJ240)))</formula>
    </cfRule>
  </conditionalFormatting>
  <conditionalFormatting sqref="AJ249">
    <cfRule type="cellIs" dxfId="138" priority="131" operator="lessThan">
      <formula>0.8</formula>
    </cfRule>
    <cfRule type="cellIs" dxfId="137" priority="132" operator="greaterThan">
      <formula>0.8</formula>
    </cfRule>
  </conditionalFormatting>
  <conditionalFormatting sqref="AJ249">
    <cfRule type="notContainsText" dxfId="136" priority="129" operator="notContains" text="Caida">
      <formula>ISERROR(SEARCH("Caida",AJ249))</formula>
    </cfRule>
    <cfRule type="containsText" dxfId="135" priority="130" operator="containsText" text="Caida">
      <formula>NOT(ISERROR(SEARCH("Caida",AJ249)))</formula>
    </cfRule>
  </conditionalFormatting>
  <conditionalFormatting sqref="AJ250">
    <cfRule type="cellIs" dxfId="134" priority="127" operator="lessThan">
      <formula>0.8</formula>
    </cfRule>
    <cfRule type="cellIs" dxfId="133" priority="128" operator="greaterThan">
      <formula>0.8</formula>
    </cfRule>
  </conditionalFormatting>
  <conditionalFormatting sqref="AJ250">
    <cfRule type="notContainsText" dxfId="132" priority="125" operator="notContains" text="Caida">
      <formula>ISERROR(SEARCH("Caida",AJ250))</formula>
    </cfRule>
    <cfRule type="containsText" dxfId="131" priority="126" operator="containsText" text="Caida">
      <formula>NOT(ISERROR(SEARCH("Caida",AJ250)))</formula>
    </cfRule>
  </conditionalFormatting>
  <conditionalFormatting sqref="AJ251">
    <cfRule type="cellIs" dxfId="130" priority="123" operator="lessThan">
      <formula>0.8</formula>
    </cfRule>
    <cfRule type="cellIs" dxfId="129" priority="124" operator="greaterThan">
      <formula>0.8</formula>
    </cfRule>
  </conditionalFormatting>
  <conditionalFormatting sqref="AJ251">
    <cfRule type="notContainsText" dxfId="128" priority="121" operator="notContains" text="Caida">
      <formula>ISERROR(SEARCH("Caida",AJ251))</formula>
    </cfRule>
    <cfRule type="containsText" dxfId="127" priority="122" operator="containsText" text="Caida">
      <formula>NOT(ISERROR(SEARCH("Caida",AJ251)))</formula>
    </cfRule>
  </conditionalFormatting>
  <conditionalFormatting sqref="AJ252">
    <cfRule type="cellIs" dxfId="126" priority="119" operator="lessThan">
      <formula>0.8</formula>
    </cfRule>
    <cfRule type="cellIs" dxfId="125" priority="120" operator="greaterThan">
      <formula>0.8</formula>
    </cfRule>
  </conditionalFormatting>
  <conditionalFormatting sqref="AJ252">
    <cfRule type="notContainsText" dxfId="124" priority="117" operator="notContains" text="Caida">
      <formula>ISERROR(SEARCH("Caida",AJ252))</formula>
    </cfRule>
    <cfRule type="containsText" dxfId="123" priority="118" operator="containsText" text="Caida">
      <formula>NOT(ISERROR(SEARCH("Caida",AJ252)))</formula>
    </cfRule>
  </conditionalFormatting>
  <conditionalFormatting sqref="AJ259">
    <cfRule type="cellIs" dxfId="122" priority="115" operator="lessThan">
      <formula>0.8</formula>
    </cfRule>
    <cfRule type="cellIs" dxfId="121" priority="116" operator="greaterThan">
      <formula>0.8</formula>
    </cfRule>
  </conditionalFormatting>
  <conditionalFormatting sqref="AJ259">
    <cfRule type="notContainsText" dxfId="120" priority="113" operator="notContains" text="Caida">
      <formula>ISERROR(SEARCH("Caida",AJ259))</formula>
    </cfRule>
    <cfRule type="containsText" dxfId="119" priority="114" operator="containsText" text="Caida">
      <formula>NOT(ISERROR(SEARCH("Caida",AJ259)))</formula>
    </cfRule>
  </conditionalFormatting>
  <conditionalFormatting sqref="AJ271">
    <cfRule type="cellIs" dxfId="118" priority="111" operator="lessThan">
      <formula>0.8</formula>
    </cfRule>
    <cfRule type="cellIs" dxfId="117" priority="112" operator="greaterThan">
      <formula>0.8</formula>
    </cfRule>
  </conditionalFormatting>
  <conditionalFormatting sqref="AJ271">
    <cfRule type="notContainsText" dxfId="116" priority="109" operator="notContains" text="Caida">
      <formula>ISERROR(SEARCH("Caida",AJ271))</formula>
    </cfRule>
    <cfRule type="containsText" dxfId="115" priority="110" operator="containsText" text="Caida">
      <formula>NOT(ISERROR(SEARCH("Caida",AJ271)))</formula>
    </cfRule>
  </conditionalFormatting>
  <conditionalFormatting sqref="AJ272">
    <cfRule type="cellIs" dxfId="114" priority="107" operator="lessThan">
      <formula>0.8</formula>
    </cfRule>
    <cfRule type="cellIs" dxfId="113" priority="108" operator="greaterThan">
      <formula>0.8</formula>
    </cfRule>
  </conditionalFormatting>
  <conditionalFormatting sqref="AJ272">
    <cfRule type="notContainsText" dxfId="112" priority="105" operator="notContains" text="Caida">
      <formula>ISERROR(SEARCH("Caida",AJ272))</formula>
    </cfRule>
    <cfRule type="containsText" dxfId="111" priority="106" operator="containsText" text="Caida">
      <formula>NOT(ISERROR(SEARCH("Caida",AJ272)))</formula>
    </cfRule>
  </conditionalFormatting>
  <conditionalFormatting sqref="AJ280">
    <cfRule type="cellIs" dxfId="110" priority="103" operator="lessThan">
      <formula>0.8</formula>
    </cfRule>
    <cfRule type="cellIs" dxfId="109" priority="104" operator="greaterThan">
      <formula>0.8</formula>
    </cfRule>
  </conditionalFormatting>
  <conditionalFormatting sqref="AJ280">
    <cfRule type="notContainsText" dxfId="108" priority="101" operator="notContains" text="Caida">
      <formula>ISERROR(SEARCH("Caida",AJ280))</formula>
    </cfRule>
    <cfRule type="containsText" dxfId="107" priority="102" operator="containsText" text="Caida">
      <formula>NOT(ISERROR(SEARCH("Caida",AJ280)))</formula>
    </cfRule>
  </conditionalFormatting>
  <conditionalFormatting sqref="AJ319">
    <cfRule type="cellIs" dxfId="106" priority="99" operator="lessThan">
      <formula>0.8</formula>
    </cfRule>
    <cfRule type="cellIs" dxfId="105" priority="100" operator="greaterThan">
      <formula>0.8</formula>
    </cfRule>
  </conditionalFormatting>
  <conditionalFormatting sqref="AJ319">
    <cfRule type="notContainsText" dxfId="104" priority="97" operator="notContains" text="Caida">
      <formula>ISERROR(SEARCH("Caida",AJ319))</formula>
    </cfRule>
    <cfRule type="containsText" dxfId="103" priority="98" operator="containsText" text="Caida">
      <formula>NOT(ISERROR(SEARCH("Caida",AJ319)))</formula>
    </cfRule>
  </conditionalFormatting>
  <conditionalFormatting sqref="AJ320">
    <cfRule type="cellIs" dxfId="102" priority="95" operator="lessThan">
      <formula>0.8</formula>
    </cfRule>
    <cfRule type="cellIs" dxfId="101" priority="96" operator="greaterThan">
      <formula>0.8</formula>
    </cfRule>
  </conditionalFormatting>
  <conditionalFormatting sqref="AJ320">
    <cfRule type="notContainsText" dxfId="100" priority="93" operator="notContains" text="Caida">
      <formula>ISERROR(SEARCH("Caida",AJ320))</formula>
    </cfRule>
    <cfRule type="containsText" dxfId="99" priority="94" operator="containsText" text="Caida">
      <formula>NOT(ISERROR(SEARCH("Caida",AJ320)))</formula>
    </cfRule>
  </conditionalFormatting>
  <conditionalFormatting sqref="AJ306">
    <cfRule type="cellIs" dxfId="98" priority="91" operator="lessThan">
      <formula>0.8</formula>
    </cfRule>
    <cfRule type="cellIs" dxfId="97" priority="92" operator="greaterThan">
      <formula>0.8</formula>
    </cfRule>
  </conditionalFormatting>
  <conditionalFormatting sqref="AJ306">
    <cfRule type="notContainsText" dxfId="96" priority="89" operator="notContains" text="Caida">
      <formula>ISERROR(SEARCH("Caida",AJ306))</formula>
    </cfRule>
    <cfRule type="containsText" dxfId="95" priority="90" operator="containsText" text="Caida">
      <formula>NOT(ISERROR(SEARCH("Caida",AJ306)))</formula>
    </cfRule>
  </conditionalFormatting>
  <conditionalFormatting sqref="AJ331">
    <cfRule type="cellIs" dxfId="94" priority="87" operator="lessThan">
      <formula>0.8</formula>
    </cfRule>
    <cfRule type="cellIs" dxfId="93" priority="88" operator="greaterThan">
      <formula>0.8</formula>
    </cfRule>
  </conditionalFormatting>
  <conditionalFormatting sqref="AJ331">
    <cfRule type="notContainsText" dxfId="92" priority="85" operator="notContains" text="Caida">
      <formula>ISERROR(SEARCH("Caida",AJ331))</formula>
    </cfRule>
    <cfRule type="containsText" dxfId="91" priority="86" operator="containsText" text="Caida">
      <formula>NOT(ISERROR(SEARCH("Caida",AJ331)))</formula>
    </cfRule>
  </conditionalFormatting>
  <conditionalFormatting sqref="AJ345">
    <cfRule type="cellIs" dxfId="90" priority="83" operator="lessThan">
      <formula>0.8</formula>
    </cfRule>
    <cfRule type="cellIs" dxfId="89" priority="84" operator="greaterThan">
      <formula>0.8</formula>
    </cfRule>
  </conditionalFormatting>
  <conditionalFormatting sqref="AJ345">
    <cfRule type="notContainsText" dxfId="88" priority="81" operator="notContains" text="Caida">
      <formula>ISERROR(SEARCH("Caida",AJ345))</formula>
    </cfRule>
    <cfRule type="containsText" dxfId="87" priority="82" operator="containsText" text="Caida">
      <formula>NOT(ISERROR(SEARCH("Caida",AJ345)))</formula>
    </cfRule>
  </conditionalFormatting>
  <conditionalFormatting sqref="AJ346">
    <cfRule type="cellIs" dxfId="86" priority="79" operator="lessThan">
      <formula>0.8</formula>
    </cfRule>
    <cfRule type="cellIs" dxfId="85" priority="80" operator="greaterThan">
      <formula>0.8</formula>
    </cfRule>
  </conditionalFormatting>
  <conditionalFormatting sqref="AJ346">
    <cfRule type="notContainsText" dxfId="84" priority="77" operator="notContains" text="Caida">
      <formula>ISERROR(SEARCH("Caida",AJ346))</formula>
    </cfRule>
    <cfRule type="containsText" dxfId="83" priority="78" operator="containsText" text="Caida">
      <formula>NOT(ISERROR(SEARCH("Caida",AJ346)))</formula>
    </cfRule>
  </conditionalFormatting>
  <conditionalFormatting sqref="AJ347">
    <cfRule type="cellIs" dxfId="82" priority="75" operator="lessThan">
      <formula>0.8</formula>
    </cfRule>
    <cfRule type="cellIs" dxfId="81" priority="76" operator="greaterThan">
      <formula>0.8</formula>
    </cfRule>
  </conditionalFormatting>
  <conditionalFormatting sqref="AJ347">
    <cfRule type="notContainsText" dxfId="80" priority="73" operator="notContains" text="Caida">
      <formula>ISERROR(SEARCH("Caida",AJ347))</formula>
    </cfRule>
    <cfRule type="containsText" dxfId="79" priority="74" operator="containsText" text="Caida">
      <formula>NOT(ISERROR(SEARCH("Caida",AJ347)))</formula>
    </cfRule>
  </conditionalFormatting>
  <conditionalFormatting sqref="AJ348">
    <cfRule type="cellIs" dxfId="78" priority="71" operator="lessThan">
      <formula>0.8</formula>
    </cfRule>
    <cfRule type="cellIs" dxfId="77" priority="72" operator="greaterThan">
      <formula>0.8</formula>
    </cfRule>
  </conditionalFormatting>
  <conditionalFormatting sqref="AJ348">
    <cfRule type="notContainsText" dxfId="76" priority="69" operator="notContains" text="Caida">
      <formula>ISERROR(SEARCH("Caida",AJ348))</formula>
    </cfRule>
    <cfRule type="containsText" dxfId="75" priority="70" operator="containsText" text="Caida">
      <formula>NOT(ISERROR(SEARCH("Caida",AJ348)))</formula>
    </cfRule>
  </conditionalFormatting>
  <conditionalFormatting sqref="AJ349">
    <cfRule type="cellIs" dxfId="74" priority="67" operator="lessThan">
      <formula>0.8</formula>
    </cfRule>
    <cfRule type="cellIs" dxfId="73" priority="68" operator="greaterThan">
      <formula>0.8</formula>
    </cfRule>
  </conditionalFormatting>
  <conditionalFormatting sqref="AJ349">
    <cfRule type="notContainsText" dxfId="72" priority="65" operator="notContains" text="Caida">
      <formula>ISERROR(SEARCH("Caida",AJ349))</formula>
    </cfRule>
    <cfRule type="containsText" dxfId="71" priority="66" operator="containsText" text="Caida">
      <formula>NOT(ISERROR(SEARCH("Caida",AJ349)))</formula>
    </cfRule>
  </conditionalFormatting>
  <conditionalFormatting sqref="AJ367">
    <cfRule type="cellIs" dxfId="70" priority="63" operator="lessThan">
      <formula>0.8</formula>
    </cfRule>
    <cfRule type="cellIs" dxfId="69" priority="64" operator="greaterThan">
      <formula>0.8</formula>
    </cfRule>
  </conditionalFormatting>
  <conditionalFormatting sqref="AJ367">
    <cfRule type="notContainsText" dxfId="68" priority="61" operator="notContains" text="Caida">
      <formula>ISERROR(SEARCH("Caida",AJ367))</formula>
    </cfRule>
    <cfRule type="containsText" dxfId="67" priority="62" operator="containsText" text="Caida">
      <formula>NOT(ISERROR(SEARCH("Caida",AJ367)))</formula>
    </cfRule>
  </conditionalFormatting>
  <conditionalFormatting sqref="AJ204">
    <cfRule type="cellIs" dxfId="66" priority="59" operator="lessThan">
      <formula>0.8</formula>
    </cfRule>
    <cfRule type="cellIs" dxfId="65" priority="60" operator="greaterThan">
      <formula>0.8</formula>
    </cfRule>
  </conditionalFormatting>
  <conditionalFormatting sqref="AJ204">
    <cfRule type="notContainsText" dxfId="64" priority="57" operator="notContains" text="Caida">
      <formula>ISERROR(SEARCH("Caida",AJ204))</formula>
    </cfRule>
    <cfRule type="containsText" dxfId="63" priority="58" operator="containsText" text="Caida">
      <formula>NOT(ISERROR(SEARCH("Caida",AJ204)))</formula>
    </cfRule>
  </conditionalFormatting>
  <conditionalFormatting sqref="AJ197">
    <cfRule type="cellIs" dxfId="62" priority="55" operator="lessThan">
      <formula>0.8</formula>
    </cfRule>
    <cfRule type="cellIs" dxfId="61" priority="56" operator="greaterThan">
      <formula>0.8</formula>
    </cfRule>
  </conditionalFormatting>
  <conditionalFormatting sqref="AJ197">
    <cfRule type="notContainsText" dxfId="60" priority="53" operator="notContains" text="Caida">
      <formula>ISERROR(SEARCH("Caida",AJ197))</formula>
    </cfRule>
    <cfRule type="containsText" dxfId="59" priority="54" operator="containsText" text="Caida">
      <formula>NOT(ISERROR(SEARCH("Caida",AJ197)))</formula>
    </cfRule>
  </conditionalFormatting>
  <conditionalFormatting sqref="AJ206">
    <cfRule type="cellIs" dxfId="58" priority="51" operator="lessThan">
      <formula>0.8</formula>
    </cfRule>
    <cfRule type="cellIs" dxfId="57" priority="52" operator="greaterThan">
      <formula>0.8</formula>
    </cfRule>
  </conditionalFormatting>
  <conditionalFormatting sqref="AJ206">
    <cfRule type="notContainsText" dxfId="56" priority="49" operator="notContains" text="Caida">
      <formula>ISERROR(SEARCH("Caida",AJ206))</formula>
    </cfRule>
    <cfRule type="containsText" dxfId="55" priority="50" operator="containsText" text="Caida">
      <formula>NOT(ISERROR(SEARCH("Caida",AJ206)))</formula>
    </cfRule>
  </conditionalFormatting>
  <conditionalFormatting sqref="AJ5">
    <cfRule type="cellIs" dxfId="54" priority="47" operator="lessThan">
      <formula>0.8</formula>
    </cfRule>
    <cfRule type="cellIs" dxfId="53" priority="48" operator="greaterThan">
      <formula>0.8</formula>
    </cfRule>
  </conditionalFormatting>
  <conditionalFormatting sqref="AJ5">
    <cfRule type="notContainsText" dxfId="52" priority="45" operator="notContains" text="Caida">
      <formula>ISERROR(SEARCH("Caida",AJ5))</formula>
    </cfRule>
    <cfRule type="containsText" dxfId="51" priority="46" operator="containsText" text="Caida">
      <formula>NOT(ISERROR(SEARCH("Caida",AJ5)))</formula>
    </cfRule>
  </conditionalFormatting>
  <conditionalFormatting sqref="AJ277">
    <cfRule type="cellIs" dxfId="50" priority="43" operator="lessThan">
      <formula>0.8</formula>
    </cfRule>
    <cfRule type="cellIs" dxfId="49" priority="44" operator="greaterThan">
      <formula>0.8</formula>
    </cfRule>
  </conditionalFormatting>
  <conditionalFormatting sqref="AJ277">
    <cfRule type="notContainsText" dxfId="48" priority="41" operator="notContains" text="Caida">
      <formula>ISERROR(SEARCH("Caida",AJ277))</formula>
    </cfRule>
    <cfRule type="containsText" dxfId="47" priority="42" operator="containsText" text="Caida">
      <formula>NOT(ISERROR(SEARCH("Caida",AJ277)))</formula>
    </cfRule>
  </conditionalFormatting>
  <conditionalFormatting sqref="O5:AP367">
    <cfRule type="cellIs" dxfId="46" priority="40" operator="equal">
      <formula>"APAGADO"</formula>
    </cfRule>
  </conditionalFormatting>
  <conditionalFormatting sqref="R369:T370">
    <cfRule type="cellIs" dxfId="45" priority="38" operator="lessThan">
      <formula>0.8</formula>
    </cfRule>
    <cfRule type="cellIs" dxfId="44" priority="39" operator="greaterThan">
      <formula>0.8</formula>
    </cfRule>
  </conditionalFormatting>
  <conditionalFormatting sqref="R369:T370">
    <cfRule type="notContainsText" dxfId="43" priority="36" operator="notContains" text="Caida">
      <formula>ISERROR(SEARCH("Caida",R369))</formula>
    </cfRule>
    <cfRule type="containsText" dxfId="42" priority="37" operator="containsText" text="Caida">
      <formula>NOT(ISERROR(SEARCH("Caida",R369)))</formula>
    </cfRule>
  </conditionalFormatting>
  <conditionalFormatting sqref="AC369:AH370">
    <cfRule type="cellIs" dxfId="41" priority="34" operator="lessThan">
      <formula>0.8</formula>
    </cfRule>
    <cfRule type="cellIs" dxfId="40" priority="35" operator="greaterThan">
      <formula>0.8</formula>
    </cfRule>
  </conditionalFormatting>
  <conditionalFormatting sqref="AC369:AH370">
    <cfRule type="notContainsText" dxfId="39" priority="32" operator="notContains" text="Caida">
      <formula>ISERROR(SEARCH("Caida",AC369))</formula>
    </cfRule>
    <cfRule type="containsText" dxfId="38" priority="33" operator="containsText" text="Caida">
      <formula>NOT(ISERROR(SEARCH("Caida",AC369)))</formula>
    </cfRule>
  </conditionalFormatting>
  <conditionalFormatting sqref="O95:O367">
    <cfRule type="cellIs" dxfId="37" priority="30" operator="lessThan">
      <formula>0.8</formula>
    </cfRule>
    <cfRule type="cellIs" dxfId="36" priority="31" operator="greaterThan">
      <formula>0.8</formula>
    </cfRule>
  </conditionalFormatting>
  <conditionalFormatting sqref="O95:O371">
    <cfRule type="notContainsText" dxfId="35" priority="28" operator="notContains" text="Caida">
      <formula>ISERROR(SEARCH("Caida",O95))</formula>
    </cfRule>
    <cfRule type="containsText" dxfId="34" priority="29" operator="containsText" text="Caida">
      <formula>NOT(ISERROR(SEARCH("Caida",O95)))</formula>
    </cfRule>
  </conditionalFormatting>
  <conditionalFormatting sqref="O6:O92">
    <cfRule type="cellIs" dxfId="33" priority="26" operator="lessThan">
      <formula>0.8</formula>
    </cfRule>
    <cfRule type="cellIs" dxfId="32" priority="27" operator="greaterThan">
      <formula>0.8</formula>
    </cfRule>
  </conditionalFormatting>
  <conditionalFormatting sqref="O6:O92">
    <cfRule type="notContainsText" dxfId="31" priority="24" operator="notContains" text="Caida">
      <formula>ISERROR(SEARCH("Caida",O6))</formula>
    </cfRule>
    <cfRule type="containsText" dxfId="30" priority="25" operator="containsText" text="Caida">
      <formula>NOT(ISERROR(SEARCH("Caida",O6)))</formula>
    </cfRule>
  </conditionalFormatting>
  <conditionalFormatting sqref="O22">
    <cfRule type="containsText" dxfId="29" priority="23" operator="containsText" text="Instaladas en Funcionamiento Caida">
      <formula>NOT(ISERROR(SEARCH("Instaladas en Funcionamiento Caida",O22)))</formula>
    </cfRule>
  </conditionalFormatting>
  <conditionalFormatting sqref="O5">
    <cfRule type="cellIs" dxfId="28" priority="21" operator="lessThan">
      <formula>0.8</formula>
    </cfRule>
    <cfRule type="cellIs" dxfId="27" priority="22" operator="greaterThan">
      <formula>0.8</formula>
    </cfRule>
  </conditionalFormatting>
  <conditionalFormatting sqref="O5">
    <cfRule type="notContainsText" dxfId="26" priority="19" operator="notContains" text="Caida">
      <formula>ISERROR(SEARCH("Caida",O5))</formula>
    </cfRule>
    <cfRule type="containsText" dxfId="25" priority="20" operator="containsText" text="Caida">
      <formula>NOT(ISERROR(SEARCH("Caida",O5)))</formula>
    </cfRule>
  </conditionalFormatting>
  <conditionalFormatting sqref="O93:O94">
    <cfRule type="cellIs" dxfId="24" priority="17" operator="lessThan">
      <formula>0.8</formula>
    </cfRule>
    <cfRule type="cellIs" dxfId="23" priority="18" operator="greaterThan">
      <formula>0.8</formula>
    </cfRule>
  </conditionalFormatting>
  <conditionalFormatting sqref="O93:O94">
    <cfRule type="notContainsText" dxfId="22" priority="15" operator="notContains" text="Caida">
      <formula>ISERROR(SEARCH("Caida",O93))</formula>
    </cfRule>
    <cfRule type="containsText" dxfId="21" priority="16" operator="containsText" text="Caida">
      <formula>NOT(ISERROR(SEARCH("Caida",O93)))</formula>
    </cfRule>
  </conditionalFormatting>
  <conditionalFormatting sqref="O5:O371">
    <cfRule type="cellIs" dxfId="20" priority="14" operator="equal">
      <formula>"APAGADO"</formula>
    </cfRule>
  </conditionalFormatting>
  <conditionalFormatting sqref="AQ95:AS367">
    <cfRule type="cellIs" dxfId="19" priority="12" operator="lessThan">
      <formula>0.8</formula>
    </cfRule>
    <cfRule type="cellIs" dxfId="18" priority="13" operator="greaterThan">
      <formula>0.8</formula>
    </cfRule>
  </conditionalFormatting>
  <conditionalFormatting sqref="AQ95:AS1048576">
    <cfRule type="notContainsText" dxfId="17" priority="10" operator="notContains" text="Caida">
      <formula>ISERROR(SEARCH("Caida",AQ95))</formula>
    </cfRule>
    <cfRule type="containsText" dxfId="16" priority="11" operator="containsText" text="Caida">
      <formula>NOT(ISERROR(SEARCH("Caida",AQ95)))</formula>
    </cfRule>
  </conditionalFormatting>
  <conditionalFormatting sqref="AQ6:AS92">
    <cfRule type="cellIs" dxfId="15" priority="8" operator="lessThan">
      <formula>0.8</formula>
    </cfRule>
    <cfRule type="cellIs" dxfId="14" priority="9" operator="greaterThan">
      <formula>0.8</formula>
    </cfRule>
  </conditionalFormatting>
  <conditionalFormatting sqref="AQ6:AS92">
    <cfRule type="notContainsText" dxfId="13" priority="6" operator="notContains" text="Caida">
      <formula>ISERROR(SEARCH("Caida",AQ6))</formula>
    </cfRule>
    <cfRule type="containsText" dxfId="12" priority="7" operator="containsText" text="Caida">
      <formula>NOT(ISERROR(SEARCH("Caida",AQ6)))</formula>
    </cfRule>
  </conditionalFormatting>
  <conditionalFormatting sqref="AQ93:AS94">
    <cfRule type="cellIs" dxfId="11" priority="4" operator="lessThan">
      <formula>0.8</formula>
    </cfRule>
    <cfRule type="cellIs" dxfId="10" priority="5" operator="greaterThan">
      <formula>0.8</formula>
    </cfRule>
  </conditionalFormatting>
  <conditionalFormatting sqref="AQ93:AS94">
    <cfRule type="notContainsText" dxfId="9" priority="2" operator="notContains" text="Caida">
      <formula>ISERROR(SEARCH("Caida",AQ93))</formula>
    </cfRule>
    <cfRule type="containsText" dxfId="8" priority="3" operator="containsText" text="Caida">
      <formula>NOT(ISERROR(SEARCH("Caida",AQ93)))</formula>
    </cfRule>
  </conditionalFormatting>
  <conditionalFormatting sqref="AQ5:AS367">
    <cfRule type="cellIs" dxfId="7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4"/>
  <sheetViews>
    <sheetView topLeftCell="A4" workbookViewId="0">
      <selection activeCell="B21" sqref="B21"/>
    </sheetView>
  </sheetViews>
  <sheetFormatPr baseColWidth="10" defaultColWidth="11.5703125" defaultRowHeight="15" x14ac:dyDescent="0.25"/>
  <cols>
    <col min="1" max="1" width="18.28515625" style="48" bestFit="1" customWidth="1"/>
    <col min="2" max="2" width="81.140625" style="48" bestFit="1" customWidth="1"/>
    <col min="3" max="16384" width="11.5703125" style="48"/>
  </cols>
  <sheetData>
    <row r="1" spans="1:1" x14ac:dyDescent="0.25">
      <c r="A1" s="48" t="s">
        <v>1312</v>
      </c>
    </row>
    <row r="2" spans="1:1" ht="15.75" thickBot="1" x14ac:dyDescent="0.3"/>
    <row r="3" spans="1:1" ht="20.25" thickTop="1" thickBot="1" x14ac:dyDescent="0.3">
      <c r="A3" s="49">
        <v>44621</v>
      </c>
    </row>
    <row r="4" spans="1:1" ht="20.25" thickTop="1" thickBot="1" x14ac:dyDescent="0.3">
      <c r="A4" s="49">
        <v>44622</v>
      </c>
    </row>
    <row r="5" spans="1:1" ht="20.25" thickTop="1" thickBot="1" x14ac:dyDescent="0.3">
      <c r="A5" s="49">
        <v>44623</v>
      </c>
    </row>
    <row r="6" spans="1:1" ht="20.25" thickTop="1" thickBot="1" x14ac:dyDescent="0.3">
      <c r="A6" s="49">
        <v>44624</v>
      </c>
    </row>
    <row r="7" spans="1:1" ht="20.25" thickTop="1" thickBot="1" x14ac:dyDescent="0.3">
      <c r="A7" s="49">
        <v>44625</v>
      </c>
    </row>
    <row r="8" spans="1:1" ht="20.25" thickTop="1" thickBot="1" x14ac:dyDescent="0.3">
      <c r="A8" s="49">
        <v>44626</v>
      </c>
    </row>
    <row r="9" spans="1:1" ht="20.25" thickTop="1" thickBot="1" x14ac:dyDescent="0.3">
      <c r="A9" s="49">
        <v>44627</v>
      </c>
    </row>
    <row r="10" spans="1:1" ht="20.25" thickTop="1" thickBot="1" x14ac:dyDescent="0.3">
      <c r="A10" s="49">
        <v>44628</v>
      </c>
    </row>
    <row r="11" spans="1:1" ht="20.25" thickTop="1" thickBot="1" x14ac:dyDescent="0.3">
      <c r="A11" s="49">
        <v>44629</v>
      </c>
    </row>
    <row r="12" spans="1:1" ht="20.25" thickTop="1" thickBot="1" x14ac:dyDescent="0.3">
      <c r="A12" s="49">
        <v>44630</v>
      </c>
    </row>
    <row r="13" spans="1:1" ht="20.25" thickTop="1" thickBot="1" x14ac:dyDescent="0.3">
      <c r="A13" s="49">
        <v>44631</v>
      </c>
    </row>
    <row r="14" spans="1:1" ht="20.25" thickTop="1" thickBot="1" x14ac:dyDescent="0.3">
      <c r="A14" s="49">
        <v>44632</v>
      </c>
    </row>
    <row r="15" spans="1:1" ht="20.25" thickTop="1" thickBot="1" x14ac:dyDescent="0.3">
      <c r="A15" s="49">
        <v>44633</v>
      </c>
    </row>
    <row r="16" spans="1:1" ht="20.25" thickTop="1" thickBot="1" x14ac:dyDescent="0.3">
      <c r="A16" s="49">
        <v>44634</v>
      </c>
    </row>
    <row r="17" spans="1:2" ht="20.25" thickTop="1" thickBot="1" x14ac:dyDescent="0.3">
      <c r="A17" s="49">
        <v>44635</v>
      </c>
    </row>
    <row r="18" spans="1:2" ht="20.25" thickTop="1" thickBot="1" x14ac:dyDescent="0.3">
      <c r="A18" s="49">
        <v>44636</v>
      </c>
    </row>
    <row r="19" spans="1:2" ht="20.25" thickTop="1" thickBot="1" x14ac:dyDescent="0.3">
      <c r="A19" s="49">
        <v>44637</v>
      </c>
    </row>
    <row r="20" spans="1:2" ht="20.25" thickTop="1" thickBot="1" x14ac:dyDescent="0.3">
      <c r="A20" s="49">
        <v>44638</v>
      </c>
    </row>
    <row r="21" spans="1:2" ht="20.25" thickTop="1" thickBot="1" x14ac:dyDescent="0.3">
      <c r="A21" s="49">
        <v>44639</v>
      </c>
    </row>
    <row r="22" spans="1:2" ht="20.25" thickTop="1" thickBot="1" x14ac:dyDescent="0.3">
      <c r="A22" s="49">
        <v>44640</v>
      </c>
    </row>
    <row r="23" spans="1:2" ht="20.25" thickTop="1" thickBot="1" x14ac:dyDescent="0.3">
      <c r="A23" s="49">
        <v>44641</v>
      </c>
      <c r="B23" s="50"/>
    </row>
    <row r="24" spans="1:2" ht="20.25" thickTop="1" thickBot="1" x14ac:dyDescent="0.3">
      <c r="A24" s="49">
        <v>44642</v>
      </c>
      <c r="B24" s="51"/>
    </row>
    <row r="25" spans="1:2" ht="20.25" thickTop="1" thickBot="1" x14ac:dyDescent="0.3">
      <c r="A25" s="49">
        <v>44643</v>
      </c>
    </row>
    <row r="26" spans="1:2" ht="20.25" thickTop="1" thickBot="1" x14ac:dyDescent="0.3">
      <c r="A26" s="49">
        <v>44644</v>
      </c>
    </row>
    <row r="27" spans="1:2" ht="20.25" thickTop="1" thickBot="1" x14ac:dyDescent="0.3">
      <c r="A27" s="49">
        <v>44645</v>
      </c>
    </row>
    <row r="28" spans="1:2" ht="20.25" thickTop="1" thickBot="1" x14ac:dyDescent="0.3">
      <c r="A28" s="49">
        <v>44646</v>
      </c>
    </row>
    <row r="29" spans="1:2" ht="20.25" thickTop="1" thickBot="1" x14ac:dyDescent="0.3">
      <c r="A29" s="49">
        <v>44647</v>
      </c>
    </row>
    <row r="30" spans="1:2" ht="20.25" thickTop="1" thickBot="1" x14ac:dyDescent="0.3">
      <c r="A30" s="49">
        <v>44648</v>
      </c>
    </row>
    <row r="31" spans="1:2" ht="20.25" thickTop="1" thickBot="1" x14ac:dyDescent="0.3">
      <c r="A31" s="49">
        <v>44649</v>
      </c>
    </row>
    <row r="32" spans="1:2" ht="20.25" thickTop="1" thickBot="1" x14ac:dyDescent="0.3">
      <c r="A32" s="49">
        <v>44650</v>
      </c>
    </row>
    <row r="33" spans="1:1" ht="20.25" thickTop="1" thickBot="1" x14ac:dyDescent="0.3">
      <c r="A33" s="49">
        <v>44651</v>
      </c>
    </row>
    <row r="34" spans="1:1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67"/>
  <sheetViews>
    <sheetView topLeftCell="S1" workbookViewId="0">
      <selection activeCell="AA365" sqref="AA365:AG367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6">
        <f>'RESUMEN TOTAL'!O4</f>
        <v>44621</v>
      </c>
      <c r="G1" s="26">
        <f>'RESUMEN TOTAL'!P4</f>
        <v>44622</v>
      </c>
      <c r="H1" s="26">
        <f>'RESUMEN TOTAL'!Q4</f>
        <v>44623</v>
      </c>
      <c r="I1" s="26">
        <f>'RESUMEN TOTAL'!R4</f>
        <v>44624</v>
      </c>
      <c r="J1" s="26">
        <f>'RESUMEN TOTAL'!S4</f>
        <v>44625</v>
      </c>
      <c r="K1" s="26">
        <f>'RESUMEN TOTAL'!T4</f>
        <v>44626</v>
      </c>
      <c r="L1" s="26">
        <f>'RESUMEN TOTAL'!U4</f>
        <v>44627</v>
      </c>
      <c r="M1" s="26">
        <f>'RESUMEN TOTAL'!V4</f>
        <v>44628</v>
      </c>
      <c r="N1" s="26">
        <f>'RESUMEN TOTAL'!W4</f>
        <v>44629</v>
      </c>
      <c r="O1" s="26">
        <f>'RESUMEN TOTAL'!X4</f>
        <v>44630</v>
      </c>
      <c r="P1" s="26">
        <f>'RESUMEN TOTAL'!Y4</f>
        <v>44631</v>
      </c>
      <c r="Q1" s="26">
        <f>'RESUMEN TOTAL'!Z4</f>
        <v>44632</v>
      </c>
      <c r="R1" s="26">
        <f>'RESUMEN TOTAL'!AA4</f>
        <v>44633</v>
      </c>
      <c r="S1" s="26">
        <f>'RESUMEN TOTAL'!AB4</f>
        <v>44634</v>
      </c>
      <c r="T1" s="26">
        <f>'RESUMEN TOTAL'!AC4</f>
        <v>44635</v>
      </c>
      <c r="U1" s="26">
        <f>'RESUMEN TOTAL'!AD4</f>
        <v>44636</v>
      </c>
      <c r="V1" s="26">
        <f>'RESUMEN TOTAL'!AE4</f>
        <v>44637</v>
      </c>
      <c r="W1" s="26">
        <f>'RESUMEN TOTAL'!AF4</f>
        <v>44638</v>
      </c>
      <c r="X1" s="26">
        <f>'RESUMEN TOTAL'!AG4</f>
        <v>44639</v>
      </c>
      <c r="Y1" s="26">
        <f>'RESUMEN TOTAL'!AH4</f>
        <v>44640</v>
      </c>
      <c r="Z1" s="26">
        <f>'RESUMEN TOTAL'!AI4</f>
        <v>44641</v>
      </c>
      <c r="AA1" s="26">
        <f>'RESUMEN TOTAL'!AJ4</f>
        <v>44642</v>
      </c>
      <c r="AB1" s="26">
        <f>'RESUMEN TOTAL'!AK4</f>
        <v>44643</v>
      </c>
      <c r="AC1" s="26">
        <f>'RESUMEN TOTAL'!AL4</f>
        <v>44644</v>
      </c>
      <c r="AD1" s="26">
        <f>'RESUMEN TOTAL'!AM4</f>
        <v>44645</v>
      </c>
      <c r="AE1" s="26">
        <f>'RESUMEN TOTAL'!AN4</f>
        <v>44646</v>
      </c>
      <c r="AF1" s="26">
        <f>'RESUMEN TOTAL'!AO4</f>
        <v>44647</v>
      </c>
      <c r="AG1" s="26">
        <f>'RESUMEN TOTAL'!AP4</f>
        <v>44648</v>
      </c>
      <c r="AH1" s="26">
        <f>'RESUMEN TOTAL'!AQ4</f>
        <v>44649</v>
      </c>
      <c r="AI1" s="26">
        <f>'RESUMEN TOTAL'!AR4</f>
        <v>44650</v>
      </c>
      <c r="AJ1" s="26">
        <f>'RESUMEN TOTAL'!AS4</f>
        <v>44651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 t="str">
        <f>'RESUMEN TOTAL'!S5</f>
        <v>APAGADO</v>
      </c>
      <c r="K2" t="str">
        <f>'RESUMEN TOTAL'!T5</f>
        <v>APAGADO</v>
      </c>
      <c r="L2" t="str">
        <f>'RESUMEN TOTAL'!U5</f>
        <v>APAGADO</v>
      </c>
      <c r="M2" t="str">
        <f>'RESUMEN TOTAL'!V5</f>
        <v>APAGADO</v>
      </c>
      <c r="N2" t="str">
        <f>'RESUMEN TOTAL'!W5</f>
        <v>APAGADO</v>
      </c>
      <c r="O2" t="str">
        <f>'RESUMEN TOTAL'!X5</f>
        <v>APAGADO</v>
      </c>
      <c r="P2" t="str">
        <f>'RESUMEN TOTAL'!Y5</f>
        <v>APAGADO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>
        <f>'RESUMEN TOTAL'!R7</f>
        <v>0</v>
      </c>
      <c r="J4">
        <f>'RESUMEN TOTAL'!S7</f>
        <v>0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 t="str">
        <f>'RESUMEN TOTAL'!P19</f>
        <v>APAGADO</v>
      </c>
      <c r="H16" t="str">
        <f>'RESUMEN TOTAL'!Q19</f>
        <v>APAGADO</v>
      </c>
      <c r="I16" t="str">
        <f>'RESUMEN TOTAL'!R19</f>
        <v>APAGADO</v>
      </c>
      <c r="J16" t="str">
        <f>'RESUMEN TOTAL'!S19</f>
        <v>APAGADO</v>
      </c>
      <c r="K16" t="str">
        <f>'RESUMEN TOTAL'!T19</f>
        <v>APAGADO</v>
      </c>
      <c r="L16" t="str">
        <f>'RESUMEN TOTAL'!U19</f>
        <v>APAGADO</v>
      </c>
      <c r="M16" t="str">
        <f>'RESUMEN TOTAL'!V19</f>
        <v>APAGADO</v>
      </c>
      <c r="N16" t="str">
        <f>'RESUMEN TOTAL'!W19</f>
        <v>APAGADO</v>
      </c>
      <c r="O16" t="str">
        <f>'RESUMEN TOTAL'!X19</f>
        <v>APAGADO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</row>
    <row r="17" spans="1:33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</row>
    <row r="18" spans="1:33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</row>
    <row r="19" spans="1:33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 t="str">
        <f>'RESUMEN TOTAL'!W22</f>
        <v>APAGADO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</row>
    <row r="20" spans="1:33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</row>
    <row r="21" spans="1:33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 t="str">
        <f>'RESUMEN TOTAL'!R24</f>
        <v>APAGADO</v>
      </c>
      <c r="J21" t="str">
        <f>'RESUMEN TOTAL'!S24</f>
        <v>APAGADO</v>
      </c>
      <c r="K21" t="str">
        <f>'RESUMEN TOTAL'!T24</f>
        <v>APAGADO</v>
      </c>
      <c r="L21" t="str">
        <f>'RESUMEN TOTAL'!U24</f>
        <v>APAGADO</v>
      </c>
      <c r="M21">
        <f>'RESUMEN TOTAL'!V24</f>
        <v>0</v>
      </c>
      <c r="N21" t="str">
        <f>'RESUMEN TOTAL'!W24</f>
        <v>APAGADO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</row>
    <row r="22" spans="1:33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</row>
    <row r="23" spans="1:33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</row>
    <row r="24" spans="1:33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</row>
    <row r="25" spans="1:33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</row>
    <row r="26" spans="1:33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</row>
    <row r="27" spans="1:33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 t="str">
        <f>'RESUMEN TOTAL'!W30</f>
        <v>APAGADO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</row>
    <row r="28" spans="1:33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</row>
    <row r="29" spans="1:33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</row>
    <row r="30" spans="1:33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</row>
    <row r="31" spans="1:33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</row>
    <row r="32" spans="1:33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</row>
    <row r="33" spans="1:33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</row>
    <row r="34" spans="1:33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 t="str">
        <f>'RESUMEN TOTAL'!O37</f>
        <v>APAGADO</v>
      </c>
      <c r="G34" t="str">
        <f>'RESUMEN TOTAL'!P37</f>
        <v>APAGADO</v>
      </c>
      <c r="H34" t="str">
        <f>'RESUMEN TOTAL'!Q37</f>
        <v>APAGADO</v>
      </c>
      <c r="I34" t="str">
        <f>'RESUMEN TOTAL'!R37</f>
        <v>APAGADO</v>
      </c>
      <c r="J34" t="str">
        <f>'RESUMEN TOTAL'!S37</f>
        <v>APAGADO</v>
      </c>
      <c r="K34" t="str">
        <f>'RESUMEN TOTAL'!T37</f>
        <v>APAGADO</v>
      </c>
      <c r="L34" t="str">
        <f>'RESUMEN TOTAL'!U37</f>
        <v>APAGADO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</row>
    <row r="35" spans="1:33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 t="str">
        <f>'RESUMEN TOTAL'!U38</f>
        <v xml:space="preserve"> 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</row>
    <row r="36" spans="1:33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</row>
    <row r="37" spans="1:33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</row>
    <row r="38" spans="1:33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 t="str">
        <f>'RESUMEN TOTAL'!P41</f>
        <v>APAGADO</v>
      </c>
      <c r="H38" t="str">
        <f>'RESUMEN TOTAL'!Q41</f>
        <v>APAGADO</v>
      </c>
      <c r="I38" t="str">
        <f>'RESUMEN TOTAL'!R41</f>
        <v>APAGADO</v>
      </c>
      <c r="J38" t="str">
        <f>'RESUMEN TOTAL'!S41</f>
        <v>APAGADO</v>
      </c>
      <c r="K38" t="str">
        <f>'RESUMEN TOTAL'!T41</f>
        <v>APAGADO</v>
      </c>
      <c r="L38" t="str">
        <f>'RESUMEN TOTAL'!U41</f>
        <v>APAGADO</v>
      </c>
      <c r="M38">
        <f>'RESUMEN TOTAL'!V41</f>
        <v>0</v>
      </c>
      <c r="N38" t="str">
        <f>'RESUMEN TOTAL'!W41</f>
        <v>APAGADO</v>
      </c>
      <c r="O38" t="str">
        <f>'RESUMEN TOTAL'!X41</f>
        <v>APAGADO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</row>
    <row r="39" spans="1:33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</row>
    <row r="40" spans="1:33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 t="str">
        <f>'RESUMEN TOTAL'!W43</f>
        <v>APAGADO</v>
      </c>
      <c r="O40" t="str">
        <f>'RESUMEN TOTAL'!X43</f>
        <v>APAGADO</v>
      </c>
      <c r="P40" t="str">
        <f>'RESUMEN TOTAL'!Y43</f>
        <v>APAGADO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</row>
    <row r="41" spans="1:33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 t="str">
        <f>'RESUMEN TOTAL'!O44</f>
        <v>APAGADO</v>
      </c>
      <c r="G41" t="str">
        <f>'RESUMEN TOTAL'!P44</f>
        <v>APAGADO</v>
      </c>
      <c r="H41" t="str">
        <f>'RESUMEN TOTAL'!Q44</f>
        <v>APAGADO</v>
      </c>
      <c r="I41" t="str">
        <f>'RESUMEN TOTAL'!R44</f>
        <v>APAGADO</v>
      </c>
      <c r="J41" t="str">
        <f>'RESUMEN TOTAL'!S44</f>
        <v>APAGADO</v>
      </c>
      <c r="K41" t="str">
        <f>'RESUMEN TOTAL'!T44</f>
        <v>APAGADO</v>
      </c>
      <c r="L41" t="str">
        <f>'RESUMEN TOTAL'!U44</f>
        <v>APAGADO</v>
      </c>
      <c r="M41" t="str">
        <f>'RESUMEN TOTAL'!V44</f>
        <v>APAGADO</v>
      </c>
      <c r="N41" t="str">
        <f>'RESUMEN TOTAL'!W44</f>
        <v>APAGADO</v>
      </c>
      <c r="O41" t="str">
        <f>'RESUMEN TOTAL'!X44</f>
        <v>APAGADO</v>
      </c>
      <c r="P41" t="str">
        <f>'RESUMEN TOTAL'!Y44</f>
        <v>APAGADO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</row>
    <row r="42" spans="1:33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</row>
    <row r="43" spans="1:33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</row>
    <row r="44" spans="1:33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</row>
    <row r="45" spans="1:33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 t="str">
        <f>'RESUMEN TOTAL'!W48</f>
        <v>APAGADO</v>
      </c>
      <c r="O45" t="str">
        <f>'RESUMEN TOTAL'!X48</f>
        <v>APAGADO</v>
      </c>
      <c r="P45" t="str">
        <f>'RESUMEN TOTAL'!Y48</f>
        <v>APAGADO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</row>
    <row r="46" spans="1:33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</row>
    <row r="47" spans="1:33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</row>
    <row r="48" spans="1:33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</row>
    <row r="49" spans="1:33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 t="str">
        <f>'RESUMEN TOTAL'!O52</f>
        <v>APAGADO</v>
      </c>
      <c r="G49" t="str">
        <f>'RESUMEN TOTAL'!P52</f>
        <v>APAGADO</v>
      </c>
      <c r="H49" t="str">
        <f>'RESUMEN TOTAL'!Q52</f>
        <v>APAGADO</v>
      </c>
      <c r="I49" t="str">
        <f>'RESUMEN TOTAL'!R52</f>
        <v>APAGADO</v>
      </c>
      <c r="J49" t="str">
        <f>'RESUMEN TOTAL'!S52</f>
        <v>APAGADO</v>
      </c>
      <c r="K49" t="str">
        <f>'RESUMEN TOTAL'!T52</f>
        <v>APAGADO</v>
      </c>
      <c r="L49" t="str">
        <f>'RESUMEN TOTAL'!U52</f>
        <v>APAGADO</v>
      </c>
      <c r="M49" t="str">
        <f>'RESUMEN TOTAL'!V52</f>
        <v>APAGADO</v>
      </c>
      <c r="N49" t="str">
        <f>'RESUMEN TOTAL'!W52</f>
        <v>APAGADO</v>
      </c>
      <c r="O49" t="str">
        <f>'RESUMEN TOTAL'!X52</f>
        <v>APAGADO</v>
      </c>
      <c r="P49" t="str">
        <f>'RESUMEN TOTAL'!Y52</f>
        <v>APAGADO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</row>
    <row r="50" spans="1:33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</row>
    <row r="51" spans="1:33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 t="str">
        <f>'RESUMEN TOTAL'!S54</f>
        <v>APAGADO</v>
      </c>
      <c r="K51" t="str">
        <f>'RESUMEN TOTAL'!T54</f>
        <v>APAGADO</v>
      </c>
      <c r="L51" t="str">
        <f>'RESUMEN TOTAL'!U54</f>
        <v>APAGADO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</row>
    <row r="52" spans="1:33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</row>
    <row r="53" spans="1:33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 t="str">
        <f>'RESUMEN TOTAL'!W56</f>
        <v>APAGADO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</row>
    <row r="54" spans="1:33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</row>
    <row r="55" spans="1:33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</row>
    <row r="56" spans="1:33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 t="str">
        <f>'RESUMEN TOTAL'!W59</f>
        <v>APAGADO</v>
      </c>
      <c r="O56" t="str">
        <f>'RESUMEN TOTAL'!X59</f>
        <v>APAGADO</v>
      </c>
      <c r="P56" t="str">
        <f>'RESUMEN TOTAL'!Y59</f>
        <v>APAGADO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</row>
    <row r="57" spans="1:33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 t="str">
        <f>'RESUMEN TOTAL'!O60</f>
        <v>APAGADO</v>
      </c>
      <c r="G57" t="str">
        <f>'RESUMEN TOTAL'!P60</f>
        <v>APAGADO</v>
      </c>
      <c r="H57" t="str">
        <f>'RESUMEN TOTAL'!Q60</f>
        <v>APAGADO</v>
      </c>
      <c r="I57" t="str">
        <f>'RESUMEN TOTAL'!R60</f>
        <v>APAGADO</v>
      </c>
      <c r="J57" t="str">
        <f>'RESUMEN TOTAL'!S60</f>
        <v>APAGADO</v>
      </c>
      <c r="K57" t="str">
        <f>'RESUMEN TOTAL'!T60</f>
        <v>APAGADO</v>
      </c>
      <c r="L57" t="str">
        <f>'RESUMEN TOTAL'!U60</f>
        <v>APAGADO</v>
      </c>
      <c r="M57">
        <f>'RESUMEN TOTAL'!V60</f>
        <v>0</v>
      </c>
      <c r="N57" t="str">
        <f>'RESUMEN TOTAL'!W60</f>
        <v>APAGADO</v>
      </c>
      <c r="O57" t="str">
        <f>'RESUMEN TOTAL'!X60</f>
        <v>APAGADO</v>
      </c>
      <c r="P57" t="str">
        <f>'RESUMEN TOTAL'!Y60</f>
        <v>APAGADO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</row>
    <row r="58" spans="1:33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</row>
    <row r="59" spans="1:33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 t="str">
        <f>'RESUMEN TOTAL'!V62</f>
        <v>APAGADO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</row>
    <row r="60" spans="1:33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 t="str">
        <f>'RESUMEN TOTAL'!P63</f>
        <v>APAGADO</v>
      </c>
      <c r="H60" t="str">
        <f>'RESUMEN TOTAL'!Q63</f>
        <v>APAGADO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 t="str">
        <f>'RESUMEN TOTAL'!U63</f>
        <v>APAGADO</v>
      </c>
      <c r="M60" t="str">
        <f>'RESUMEN TOTAL'!V63</f>
        <v>APAGADO</v>
      </c>
      <c r="N60" t="str">
        <f>'RESUMEN TOTAL'!W63</f>
        <v>APAGADO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</row>
    <row r="61" spans="1:33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</row>
    <row r="62" spans="1:33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 t="str">
        <f>'RESUMEN TOTAL'!P65</f>
        <v>APAGADO</v>
      </c>
      <c r="H62" t="str">
        <f>'RESUMEN TOTAL'!Q65</f>
        <v>APAGADO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 t="str">
        <f>'RESUMEN TOTAL'!U65</f>
        <v>APAGADO</v>
      </c>
      <c r="M62" t="str">
        <f>'RESUMEN TOTAL'!V65</f>
        <v>APAGADO</v>
      </c>
      <c r="N62" t="str">
        <f>'RESUMEN TOTAL'!W65</f>
        <v>APAGADO</v>
      </c>
      <c r="O62" t="str">
        <f>'RESUMEN TOTAL'!X65</f>
        <v>APAGADO</v>
      </c>
      <c r="P62" t="str">
        <f>'RESUMEN TOTAL'!Y65</f>
        <v>APAGADO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</row>
    <row r="63" spans="1:33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</row>
    <row r="64" spans="1:33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</row>
    <row r="65" spans="1:33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 t="str">
        <f>'RESUMEN TOTAL'!P68</f>
        <v>APAGADO</v>
      </c>
      <c r="H65" t="str">
        <f>'RESUMEN TOTAL'!Q68</f>
        <v>APAGADO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 t="str">
        <f>'RESUMEN TOTAL'!U68</f>
        <v>APAGADO</v>
      </c>
      <c r="M65" t="str">
        <f>'RESUMEN TOTAL'!V68</f>
        <v>APAGADO</v>
      </c>
      <c r="N65" t="str">
        <f>'RESUMEN TOTAL'!W68</f>
        <v>APAGADO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</row>
    <row r="66" spans="1:33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</row>
    <row r="67" spans="1:33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 t="str">
        <f>'RESUMEN TOTAL'!O70</f>
        <v>APAGADO</v>
      </c>
      <c r="G67" t="str">
        <f>'RESUMEN TOTAL'!P70</f>
        <v>APAGADO</v>
      </c>
      <c r="H67" t="str">
        <f>'RESUMEN TOTAL'!Q70</f>
        <v>APAGADO</v>
      </c>
      <c r="I67" t="str">
        <f>'RESUMEN TOTAL'!R70</f>
        <v>APAGADO</v>
      </c>
      <c r="J67" t="str">
        <f>'RESUMEN TOTAL'!S70</f>
        <v>APAGADO</v>
      </c>
      <c r="K67" t="str">
        <f>'RESUMEN TOTAL'!T70</f>
        <v>APAGADO</v>
      </c>
      <c r="L67" t="str">
        <f>'RESUMEN TOTAL'!U70</f>
        <v>APAGADO</v>
      </c>
      <c r="M67" t="str">
        <f>'RESUMEN TOTAL'!V70</f>
        <v>APAGADO</v>
      </c>
      <c r="N67" t="str">
        <f>'RESUMEN TOTAL'!W70</f>
        <v>APAGADO</v>
      </c>
      <c r="O67" t="str">
        <f>'RESUMEN TOTAL'!X70</f>
        <v>APAGADO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</row>
    <row r="68" spans="1:33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</row>
    <row r="69" spans="1:33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</row>
    <row r="70" spans="1:33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</row>
    <row r="71" spans="1:33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</row>
    <row r="72" spans="1:33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</row>
    <row r="73" spans="1:33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</row>
    <row r="74" spans="1:33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</row>
    <row r="75" spans="1:33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</row>
    <row r="76" spans="1:33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</row>
    <row r="77" spans="1:33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</row>
    <row r="78" spans="1:33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</row>
    <row r="79" spans="1:33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</row>
    <row r="80" spans="1:33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</row>
    <row r="81" spans="1:33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 t="str">
        <f>'RESUMEN TOTAL'!Y84</f>
        <v>APAGADO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</row>
    <row r="82" spans="1:33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</row>
    <row r="83" spans="1:33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 t="str">
        <f>'RESUMEN TOTAL'!O86</f>
        <v>APAGADO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</row>
    <row r="84" spans="1:33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</row>
    <row r="85" spans="1:33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 t="str">
        <f>'RESUMEN TOTAL'!O88</f>
        <v>APAGADO</v>
      </c>
      <c r="G85" t="str">
        <f>'RESUMEN TOTAL'!P88</f>
        <v>APAGADO</v>
      </c>
      <c r="H85" t="str">
        <f>'RESUMEN TOTAL'!Q88</f>
        <v>APAGADO</v>
      </c>
      <c r="I85" t="str">
        <f>'RESUMEN TOTAL'!R88</f>
        <v>APAGADO</v>
      </c>
      <c r="J85" t="str">
        <f>'RESUMEN TOTAL'!S88</f>
        <v>APAGADO</v>
      </c>
      <c r="K85" t="str">
        <f>'RESUMEN TOTAL'!T88</f>
        <v>APAGADO</v>
      </c>
      <c r="L85" t="str">
        <f>'RESUMEN TOTAL'!U88</f>
        <v>APAGADO</v>
      </c>
      <c r="M85" t="str">
        <f>'RESUMEN TOTAL'!V88</f>
        <v>APAGADO</v>
      </c>
      <c r="N85" t="str">
        <f>'RESUMEN TOTAL'!W88</f>
        <v>APAGADO</v>
      </c>
      <c r="O85" t="str">
        <f>'RESUMEN TOTAL'!X88</f>
        <v>APAGADO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</row>
    <row r="86" spans="1:33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 t="str">
        <f>'RESUMEN TOTAL'!P89</f>
        <v>APAGADO</v>
      </c>
      <c r="H86" t="str">
        <f>'RESUMEN TOTAL'!Q89</f>
        <v>APAGADO</v>
      </c>
      <c r="I86" t="str">
        <f>'RESUMEN TOTAL'!R89</f>
        <v>APAGADO</v>
      </c>
      <c r="J86" t="str">
        <f>'RESUMEN TOTAL'!S89</f>
        <v>APAGADO</v>
      </c>
      <c r="K86" t="str">
        <f>'RESUMEN TOTAL'!T89</f>
        <v>APAGADO</v>
      </c>
      <c r="L86" t="str">
        <f>'RESUMEN TOTAL'!U89</f>
        <v>APAGADO</v>
      </c>
      <c r="M86" t="str">
        <f>'RESUMEN TOTAL'!V89</f>
        <v>APAGADO</v>
      </c>
      <c r="N86" t="str">
        <f>'RESUMEN TOTAL'!W89</f>
        <v>APAGADO</v>
      </c>
      <c r="O86" t="str">
        <f>'RESUMEN TOTAL'!X89</f>
        <v>APAGADO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</row>
    <row r="87" spans="1:33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 t="str">
        <f>'RESUMEN TOTAL'!P90</f>
        <v>APAGADO</v>
      </c>
      <c r="H87" t="str">
        <f>'RESUMEN TOTAL'!Q90</f>
        <v>APAGADO</v>
      </c>
      <c r="I87" t="str">
        <f>'RESUMEN TOTAL'!R90</f>
        <v>APAGADO</v>
      </c>
      <c r="J87" t="str">
        <f>'RESUMEN TOTAL'!S90</f>
        <v>APAGADO</v>
      </c>
      <c r="K87" t="str">
        <f>'RESUMEN TOTAL'!T90</f>
        <v>APAGADO</v>
      </c>
      <c r="L87" t="str">
        <f>'RESUMEN TOTAL'!U90</f>
        <v>APAGADO</v>
      </c>
      <c r="M87" t="str">
        <f>'RESUMEN TOTAL'!V90</f>
        <v>APAGADO</v>
      </c>
      <c r="N87" t="str">
        <f>'RESUMEN TOTAL'!W90</f>
        <v>APAGADO</v>
      </c>
      <c r="O87" t="str">
        <f>'RESUMEN TOTAL'!X90</f>
        <v>APAGADO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</row>
    <row r="88" spans="1:33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 t="str">
        <f>'RESUMEN TOTAL'!P91</f>
        <v>APAGADO</v>
      </c>
      <c r="H88" t="str">
        <f>'RESUMEN TOTAL'!Q91</f>
        <v>APAGADO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 t="str">
        <f>'RESUMEN TOTAL'!U91</f>
        <v>APAGADO</v>
      </c>
      <c r="M88" t="str">
        <f>'RESUMEN TOTAL'!V91</f>
        <v>APAGADO</v>
      </c>
      <c r="N88" t="str">
        <f>'RESUMEN TOTAL'!W91</f>
        <v>APAGADO</v>
      </c>
      <c r="O88" t="str">
        <f>'RESUMEN TOTAL'!X91</f>
        <v>APAGADO</v>
      </c>
      <c r="P88" t="str">
        <f>'RESUMEN TOTAL'!Y91</f>
        <v>APAGADO</v>
      </c>
      <c r="Q88" t="str">
        <f>'RESUMEN TOTAL'!Z91</f>
        <v>APAGADO</v>
      </c>
      <c r="R88" t="str">
        <f>'RESUMEN TOTAL'!AA91</f>
        <v>APAGADO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</row>
    <row r="89" spans="1:33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 t="str">
        <f>'RESUMEN TOTAL'!P92</f>
        <v>APAGADO</v>
      </c>
      <c r="H89" t="str">
        <f>'RESUMEN TOTAL'!Q92</f>
        <v>APAGADO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 t="str">
        <f>'RESUMEN TOTAL'!U92</f>
        <v>APAGADO</v>
      </c>
      <c r="M89" t="str">
        <f>'RESUMEN TOTAL'!V92</f>
        <v>APAGADO</v>
      </c>
      <c r="N89" t="str">
        <f>'RESUMEN TOTAL'!W92</f>
        <v>APAGADO</v>
      </c>
      <c r="O89" t="str">
        <f>'RESUMEN TOTAL'!X92</f>
        <v>APAGADO</v>
      </c>
      <c r="P89" t="str">
        <f>'RESUMEN TOTAL'!Y92</f>
        <v>APAGADO</v>
      </c>
      <c r="Q89" t="str">
        <f>'RESUMEN TOTAL'!Z92</f>
        <v>APAGADO</v>
      </c>
      <c r="R89" t="str">
        <f>'RESUMEN TOTAL'!AA92</f>
        <v>APAGADO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</row>
    <row r="90" spans="1:33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</row>
    <row r="91" spans="1:33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 t="str">
        <f>'RESUMEN TOTAL'!W94</f>
        <v>APAGADO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</row>
    <row r="92" spans="1:33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</row>
    <row r="93" spans="1:33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</row>
    <row r="94" spans="1:33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 t="str">
        <f>'RESUMEN TOTAL'!U97</f>
        <v>APAGADO</v>
      </c>
      <c r="M94" t="str">
        <f>'RESUMEN TOTAL'!V97</f>
        <v>APAGADO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</row>
    <row r="95" spans="1:33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</row>
    <row r="96" spans="1:33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</row>
    <row r="97" spans="1:33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</row>
    <row r="98" spans="1:33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</row>
    <row r="99" spans="1:33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 t="str">
        <f>'RESUMEN TOTAL'!U102</f>
        <v>APAGADO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 t="str">
        <f>'RESUMEN TOTAL'!Z102</f>
        <v>APAGADO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</row>
    <row r="100" spans="1:33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</row>
    <row r="101" spans="1:33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 t="str">
        <f>'RESUMEN TOTAL'!Y104</f>
        <v>APAGADO</v>
      </c>
      <c r="Q101" t="str">
        <f>'RESUMEN TOTAL'!Z104</f>
        <v>APAGADO</v>
      </c>
      <c r="R101" t="str">
        <f>'RESUMEN TOTAL'!AA104</f>
        <v>APAGADO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</row>
    <row r="102" spans="1:33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 t="str">
        <f>'RESUMEN TOTAL'!Y105</f>
        <v>APAGADO</v>
      </c>
      <c r="Q102" t="str">
        <f>'RESUMEN TOTAL'!Z105</f>
        <v>APAGADO</v>
      </c>
      <c r="R102" t="str">
        <f>'RESUMEN TOTAL'!AA105</f>
        <v>APAGADO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</row>
    <row r="103" spans="1:33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 t="str">
        <f>'RESUMEN TOTAL'!P106</f>
        <v>APAGADO</v>
      </c>
      <c r="H103" t="str">
        <f>'RESUMEN TOTAL'!Q106</f>
        <v>APAGADO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 t="str">
        <f>'RESUMEN TOTAL'!X106</f>
        <v>APAGADO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</row>
    <row r="104" spans="1:33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 t="str">
        <f>'RESUMEN TOTAL'!P107</f>
        <v>APAGADO</v>
      </c>
      <c r="H104" t="str">
        <f>'RESUMEN TOTAL'!Q107</f>
        <v>APAGADO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 t="str">
        <f>'RESUMEN TOTAL'!X107</f>
        <v>APAGADO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</row>
    <row r="105" spans="1:33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 t="str">
        <f>'RESUMEN TOTAL'!P108</f>
        <v>APAGADO</v>
      </c>
      <c r="H105" t="str">
        <f>'RESUMEN TOTAL'!Q108</f>
        <v>APAGADO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 t="str">
        <f>'RESUMEN TOTAL'!X108</f>
        <v>APAGADO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</row>
    <row r="106" spans="1:33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 t="str">
        <f>'RESUMEN TOTAL'!P109</f>
        <v>APAGADO</v>
      </c>
      <c r="H106" t="str">
        <f>'RESUMEN TOTAL'!Q109</f>
        <v>APAGADO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 t="str">
        <f>'RESUMEN TOTAL'!X109</f>
        <v>APAGADO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</row>
    <row r="107" spans="1:33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</row>
    <row r="108" spans="1:33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</row>
    <row r="109" spans="1:33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 t="str">
        <f>'RESUMEN TOTAL'!S112</f>
        <v>APAGADO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 t="str">
        <f>'RESUMEN TOTAL'!W112</f>
        <v>APAGADO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</row>
    <row r="110" spans="1:33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</row>
    <row r="111" spans="1:33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</row>
    <row r="112" spans="1:33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</row>
    <row r="113" spans="1:33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</row>
    <row r="114" spans="1:33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</row>
    <row r="115" spans="1:33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</row>
    <row r="116" spans="1:33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</row>
    <row r="117" spans="1:33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 t="str">
        <f>'RESUMEN TOTAL'!T120</f>
        <v>APAGADO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</row>
    <row r="118" spans="1:33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 t="str">
        <f>'RESUMEN TOTAL'!T121</f>
        <v>APAGADO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</row>
    <row r="119" spans="1:33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 t="str">
        <f>'RESUMEN TOTAL'!P122</f>
        <v>APAGADO</v>
      </c>
      <c r="H119" t="str">
        <f>'RESUMEN TOTAL'!Q122</f>
        <v>APAGADO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>
        <f>'RESUMEN TOTAL'!V122</f>
        <v>0</v>
      </c>
      <c r="N119">
        <f>'RESUMEN TOTAL'!W122</f>
        <v>0</v>
      </c>
      <c r="O119" t="str">
        <f>'RESUMEN TOTAL'!X122</f>
        <v>APAGADO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</row>
    <row r="120" spans="1:33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 t="str">
        <f>'RESUMEN TOTAL'!P123</f>
        <v>APAGADO</v>
      </c>
      <c r="H120" t="str">
        <f>'RESUMEN TOTAL'!Q123</f>
        <v>APAGADO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>
        <f>'RESUMEN TOTAL'!V123</f>
        <v>0</v>
      </c>
      <c r="N120">
        <f>'RESUMEN TOTAL'!W123</f>
        <v>0</v>
      </c>
      <c r="O120" t="str">
        <f>'RESUMEN TOTAL'!X123</f>
        <v>APAGADO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</row>
    <row r="121" spans="1:33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</row>
    <row r="122" spans="1:33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</row>
    <row r="123" spans="1:33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</row>
    <row r="124" spans="1:33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</row>
    <row r="125" spans="1:33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</row>
    <row r="126" spans="1:33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 t="str">
        <f>'RESUMEN TOTAL'!S129</f>
        <v>APAGADO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 t="str">
        <f>'RESUMEN TOTAL'!Y129</f>
        <v>APAGADO</v>
      </c>
      <c r="Q126" t="str">
        <f>'RESUMEN TOTAL'!Z129</f>
        <v>APAGADO</v>
      </c>
      <c r="R126" t="str">
        <f>'RESUMEN TOTAL'!AA129</f>
        <v>APAGADO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</row>
    <row r="127" spans="1:33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 t="str">
        <f>'RESUMEN TOTAL'!Y130</f>
        <v>APAGADO</v>
      </c>
      <c r="Q127" t="str">
        <f>'RESUMEN TOTAL'!Z130</f>
        <v>APAGADO</v>
      </c>
      <c r="R127" t="str">
        <f>'RESUMEN TOTAL'!AA130</f>
        <v>APAGADO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</row>
    <row r="128" spans="1:33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</row>
    <row r="129" spans="1:33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</row>
    <row r="130" spans="1:33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</row>
    <row r="131" spans="1:33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 t="str">
        <f>'RESUMEN TOTAL'!S134</f>
        <v>APAGADO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</row>
    <row r="132" spans="1:33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</row>
    <row r="133" spans="1:33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</row>
    <row r="134" spans="1:33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 t="str">
        <f>'RESUMEN TOTAL'!O137</f>
        <v>APAGADO</v>
      </c>
      <c r="G134" t="str">
        <f>'RESUMEN TOTAL'!P137</f>
        <v>APAGADO</v>
      </c>
      <c r="H134" t="str">
        <f>'RESUMEN TOTAL'!Q137</f>
        <v>APAGADO</v>
      </c>
      <c r="I134" t="str">
        <f>'RESUMEN TOTAL'!R137</f>
        <v>APAGADO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</row>
    <row r="135" spans="1:33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 t="str">
        <f>'RESUMEN TOTAL'!Y138</f>
        <v>APAGADO</v>
      </c>
      <c r="Q135" t="str">
        <f>'RESUMEN TOTAL'!Z138</f>
        <v>APAGADO</v>
      </c>
      <c r="R135" t="str">
        <f>'RESUMEN TOTAL'!AA138</f>
        <v>APAGADO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</row>
    <row r="136" spans="1:33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 t="str">
        <f>'RESUMEN TOTAL'!Y139</f>
        <v>APAGADO</v>
      </c>
      <c r="Q136" t="str">
        <f>'RESUMEN TOTAL'!Z139</f>
        <v>APAGADO</v>
      </c>
      <c r="R136" t="str">
        <f>'RESUMEN TOTAL'!AA139</f>
        <v>APAGADO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</row>
    <row r="137" spans="1:33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 t="str">
        <f>'RESUMEN TOTAL'!Y140</f>
        <v>APAGADO</v>
      </c>
      <c r="Q137" t="str">
        <f>'RESUMEN TOTAL'!Z140</f>
        <v>APAGADO</v>
      </c>
      <c r="R137" t="str">
        <f>'RESUMEN TOTAL'!AA140</f>
        <v>APAGADO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</row>
    <row r="138" spans="1:33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 t="str">
        <f>'RESUMEN TOTAL'!S141</f>
        <v>APAGADO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 t="str">
        <f>'RESUMEN TOTAL'!Y141</f>
        <v>APAGADO</v>
      </c>
      <c r="Q138" t="str">
        <f>'RESUMEN TOTAL'!Z141</f>
        <v>APAGADO</v>
      </c>
      <c r="R138" t="str">
        <f>'RESUMEN TOTAL'!AA141</f>
        <v>APAGADO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</row>
    <row r="139" spans="1:33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 t="str">
        <f>'RESUMEN TOTAL'!W142</f>
        <v>APAGADO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</row>
    <row r="140" spans="1:33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 t="str">
        <f>'RESUMEN TOTAL'!W143</f>
        <v>APAGADO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</row>
    <row r="141" spans="1:33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 t="str">
        <f>'RESUMEN TOTAL'!V144</f>
        <v>APAGADO</v>
      </c>
      <c r="N141" t="str">
        <f>'RESUMEN TOTAL'!W144</f>
        <v>APAGADO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</row>
    <row r="142" spans="1:33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</row>
    <row r="143" spans="1:33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 t="str">
        <f>'RESUMEN TOTAL'!S146</f>
        <v>APAGADO</v>
      </c>
      <c r="K143" t="str">
        <f>'RESUMEN TOTAL'!T146</f>
        <v>APAGADO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</row>
    <row r="144" spans="1:33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</row>
    <row r="145" spans="1:33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</row>
    <row r="146" spans="1:33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 t="str">
        <f>'RESUMEN TOTAL'!O149</f>
        <v>APAGADO</v>
      </c>
      <c r="G146" t="str">
        <f>'RESUMEN TOTAL'!P149</f>
        <v>APAGADO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</row>
    <row r="147" spans="1:33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 t="str">
        <f>'RESUMEN TOTAL'!O150</f>
        <v>APAGADO</v>
      </c>
      <c r="G147" t="str">
        <f>'RESUMEN TOTAL'!P150</f>
        <v>APAGADO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</row>
    <row r="148" spans="1:33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 t="str">
        <f>'RESUMEN TOTAL'!O151</f>
        <v>APAGADO</v>
      </c>
      <c r="G148" t="str">
        <f>'RESUMEN TOTAL'!P151</f>
        <v>APAGADO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</row>
    <row r="149" spans="1:33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</row>
    <row r="150" spans="1:33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 t="str">
        <f>'RESUMEN TOTAL'!V153</f>
        <v>APAGADO</v>
      </c>
      <c r="N150" t="str">
        <f>'RESUMEN TOTAL'!W153</f>
        <v>APAGADO</v>
      </c>
      <c r="O150" t="str">
        <f>'RESUMEN TOTAL'!X153</f>
        <v>APAGADO</v>
      </c>
      <c r="P150" t="str">
        <f>'RESUMEN TOTAL'!Y153</f>
        <v>APAGADO</v>
      </c>
      <c r="Q150" t="str">
        <f>'RESUMEN TOTAL'!Z153</f>
        <v>APAGADO</v>
      </c>
      <c r="R150" t="str">
        <f>'RESUMEN TOTAL'!AA153</f>
        <v>APAGADO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</row>
    <row r="151" spans="1:33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</row>
    <row r="152" spans="1:33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</row>
    <row r="153" spans="1:33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 t="str">
        <f>'RESUMEN TOTAL'!V156</f>
        <v>APAGADO</v>
      </c>
      <c r="N153" t="str">
        <f>'RESUMEN TOTAL'!W156</f>
        <v>APAGADO</v>
      </c>
      <c r="O153" t="str">
        <f>'RESUMEN TOTAL'!X156</f>
        <v>APAGADO</v>
      </c>
      <c r="P153" t="str">
        <f>'RESUMEN TOTAL'!Y156</f>
        <v>APAGADO</v>
      </c>
      <c r="Q153" t="str">
        <f>'RESUMEN TOTAL'!Z156</f>
        <v>APAGADO</v>
      </c>
      <c r="R153" t="str">
        <f>'RESUMEN TOTAL'!AA156</f>
        <v>APAGADO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</row>
    <row r="154" spans="1:33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</row>
    <row r="155" spans="1:33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</row>
    <row r="156" spans="1:33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 t="str">
        <f>'RESUMEN TOTAL'!O159</f>
        <v>APAGADO</v>
      </c>
      <c r="G156" t="str">
        <f>'RESUMEN TOTAL'!P159</f>
        <v>APAGADO</v>
      </c>
      <c r="H156" t="str">
        <f>'RESUMEN TOTAL'!Q159</f>
        <v>APAGADO</v>
      </c>
      <c r="I156" t="str">
        <f>'RESUMEN TOTAL'!R159</f>
        <v>APAGADO</v>
      </c>
      <c r="J156" t="str">
        <f>'RESUMEN TOTAL'!S159</f>
        <v>APAGADO</v>
      </c>
      <c r="K156" t="str">
        <f>'RESUMEN TOTAL'!T159</f>
        <v>APAGADO</v>
      </c>
      <c r="L156" t="str">
        <f>'RESUMEN TOTAL'!U159</f>
        <v>APAGADO</v>
      </c>
      <c r="M156">
        <f>'RESUMEN TOTAL'!V159</f>
        <v>0</v>
      </c>
      <c r="N156" t="str">
        <f>'RESUMEN TOTAL'!W159</f>
        <v>APAGADO</v>
      </c>
      <c r="O156" t="str">
        <f>'RESUMEN TOTAL'!X159</f>
        <v>APAGADO</v>
      </c>
      <c r="P156" t="str">
        <f>'RESUMEN TOTAL'!Y159</f>
        <v>APAGADO</v>
      </c>
      <c r="Q156" t="str">
        <f>'RESUMEN TOTAL'!Z159</f>
        <v>APAGADO</v>
      </c>
      <c r="R156" t="str">
        <f>'RESUMEN TOTAL'!AA159</f>
        <v>APAGADO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</row>
    <row r="157" spans="1:33" x14ac:dyDescent="0.25">
      <c r="A157">
        <f>'RESUMEN TOTAL'!A160</f>
        <v>0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 t="str">
        <f>'RESUMEN TOTAL'!P160</f>
        <v>APAGADO</v>
      </c>
      <c r="H157" t="str">
        <f>'RESUMEN TOTAL'!Q160</f>
        <v>APAGADO</v>
      </c>
      <c r="I157" t="str">
        <f>'RESUMEN TOTAL'!R160</f>
        <v>APAGADO</v>
      </c>
      <c r="J157" t="str">
        <f>'RESUMEN TOTAL'!S160</f>
        <v>APAGADO</v>
      </c>
      <c r="K157" t="str">
        <f>'RESUMEN TOTAL'!T160</f>
        <v>APAGADO</v>
      </c>
      <c r="L157" t="str">
        <f>'RESUMEN TOTAL'!U160</f>
        <v>APAGADO</v>
      </c>
      <c r="M157" t="str">
        <f>'RESUMEN TOTAL'!V160</f>
        <v>APAGADO</v>
      </c>
      <c r="N157" t="str">
        <f>'RESUMEN TOTAL'!W160</f>
        <v>APAGADO</v>
      </c>
      <c r="O157" t="str">
        <f>'RESUMEN TOTAL'!X160</f>
        <v>APAGADO</v>
      </c>
      <c r="P157" t="str">
        <f>'RESUMEN TOTAL'!Y160</f>
        <v>APAGADO</v>
      </c>
      <c r="Q157" t="str">
        <f>'RESUMEN TOTAL'!Z160</f>
        <v>APAGADO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</row>
    <row r="158" spans="1:33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 t="str">
        <f>'RESUMEN TOTAL'!Z161</f>
        <v>APAGADO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</row>
    <row r="159" spans="1:33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</row>
    <row r="160" spans="1:33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 t="str">
        <f>'RESUMEN TOTAL'!P163</f>
        <v>APAGADO</v>
      </c>
      <c r="H160" t="str">
        <f>'RESUMEN TOTAL'!Q163</f>
        <v>APAGADO</v>
      </c>
      <c r="I160" t="str">
        <f>'RESUMEN TOTAL'!R163</f>
        <v>APAGADO</v>
      </c>
      <c r="J160" t="str">
        <f>'RESUMEN TOTAL'!S163</f>
        <v>APAGADO</v>
      </c>
      <c r="K160" t="str">
        <f>'RESUMEN TOTAL'!T163</f>
        <v>APAGADO</v>
      </c>
      <c r="L160" t="str">
        <f>'RESUMEN TOTAL'!U163</f>
        <v>APAGADO</v>
      </c>
      <c r="M160" t="str">
        <f>'RESUMEN TOTAL'!V163</f>
        <v>APAGADO</v>
      </c>
      <c r="N160" t="str">
        <f>'RESUMEN TOTAL'!W163</f>
        <v>APAGADO</v>
      </c>
      <c r="O160" t="str">
        <f>'RESUMEN TOTAL'!X163</f>
        <v>APAGADO</v>
      </c>
      <c r="P160" t="str">
        <f>'RESUMEN TOTAL'!Y163</f>
        <v>APAGADO</v>
      </c>
      <c r="Q160" t="str">
        <f>'RESUMEN TOTAL'!Z163</f>
        <v>APAGADO</v>
      </c>
      <c r="R160" t="str">
        <f>'RESUMEN TOTAL'!AA163</f>
        <v>APAGADO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</row>
    <row r="161" spans="1:33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 t="str">
        <f>'RESUMEN TOTAL'!P164</f>
        <v>APAGADO</v>
      </c>
      <c r="H161" t="str">
        <f>'RESUMEN TOTAL'!Q164</f>
        <v>APAGADO</v>
      </c>
      <c r="I161" t="str">
        <f>'RESUMEN TOTAL'!R164</f>
        <v>APAGADO</v>
      </c>
      <c r="J161" t="str">
        <f>'RESUMEN TOTAL'!S164</f>
        <v>APAGADO</v>
      </c>
      <c r="K161" t="str">
        <f>'RESUMEN TOTAL'!T164</f>
        <v>APAGADO</v>
      </c>
      <c r="L161" t="str">
        <f>'RESUMEN TOTAL'!U164</f>
        <v>APAGADO</v>
      </c>
      <c r="M161" t="str">
        <f>'RESUMEN TOTAL'!V164</f>
        <v>APAGADO</v>
      </c>
      <c r="N161" t="str">
        <f>'RESUMEN TOTAL'!W164</f>
        <v>APAGADO</v>
      </c>
      <c r="O161" t="str">
        <f>'RESUMEN TOTAL'!X164</f>
        <v>APAGADO</v>
      </c>
      <c r="P161" t="str">
        <f>'RESUMEN TOTAL'!Y164</f>
        <v>APAGADO</v>
      </c>
      <c r="Q161" t="str">
        <f>'RESUMEN TOTAL'!Z164</f>
        <v>APAGADO</v>
      </c>
      <c r="R161" t="str">
        <f>'RESUMEN TOTAL'!AA164</f>
        <v>APAGADO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</row>
    <row r="162" spans="1:33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</row>
    <row r="163" spans="1:33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</row>
    <row r="164" spans="1:33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</row>
    <row r="165" spans="1:33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</row>
    <row r="166" spans="1:33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 t="str">
        <f>'RESUMEN TOTAL'!P169</f>
        <v>APAGADO</v>
      </c>
      <c r="H166" t="str">
        <f>'RESUMEN TOTAL'!Q169</f>
        <v>APAGADO</v>
      </c>
      <c r="I166" t="str">
        <f>'RESUMEN TOTAL'!R169</f>
        <v>APAGADO</v>
      </c>
      <c r="J166" t="str">
        <f>'RESUMEN TOTAL'!S169</f>
        <v>APAGADO</v>
      </c>
      <c r="K166" t="str">
        <f>'RESUMEN TOTAL'!T169</f>
        <v>APAGADO</v>
      </c>
      <c r="L166" t="str">
        <f>'RESUMEN TOTAL'!U169</f>
        <v>APAGADO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</row>
    <row r="167" spans="1:33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</row>
    <row r="168" spans="1:33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 t="str">
        <f>'RESUMEN TOTAL'!P171</f>
        <v>APAGADO</v>
      </c>
      <c r="H168" t="str">
        <f>'RESUMEN TOTAL'!Q171</f>
        <v>APAGADO</v>
      </c>
      <c r="I168" t="str">
        <f>'RESUMEN TOTAL'!R171</f>
        <v>APAGADO</v>
      </c>
      <c r="J168" t="str">
        <f>'RESUMEN TOTAL'!S171</f>
        <v>APAGADO</v>
      </c>
      <c r="K168" t="str">
        <f>'RESUMEN TOTAL'!T171</f>
        <v>APAGADO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 t="str">
        <f>'RESUMEN TOTAL'!Z171</f>
        <v>APAGADO</v>
      </c>
      <c r="R168" t="str">
        <f>'RESUMEN TOTAL'!AA171</f>
        <v>APAGADO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</row>
    <row r="169" spans="1:33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</row>
    <row r="170" spans="1:33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</row>
    <row r="171" spans="1:33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 t="str">
        <f>'RESUMEN TOTAL'!P174</f>
        <v>APAGADO</v>
      </c>
      <c r="H171" t="str">
        <f>'RESUMEN TOTAL'!Q174</f>
        <v>APAGADO</v>
      </c>
      <c r="I171" t="str">
        <f>'RESUMEN TOTAL'!R174</f>
        <v>APAGADO</v>
      </c>
      <c r="J171">
        <f>'RESUMEN TOTAL'!S174</f>
        <v>0</v>
      </c>
      <c r="K171" t="str">
        <f>'RESUMEN TOTAL'!T174</f>
        <v>APAGADO</v>
      </c>
      <c r="L171" t="str">
        <f>'RESUMEN TOTAL'!U174</f>
        <v>APAGADO</v>
      </c>
      <c r="M171" t="str">
        <f>'RESUMEN TOTAL'!V174</f>
        <v>APAGADO</v>
      </c>
      <c r="N171" t="str">
        <f>'RESUMEN TOTAL'!W174</f>
        <v>APAGADO</v>
      </c>
      <c r="O171" t="str">
        <f>'RESUMEN TOTAL'!X174</f>
        <v>APAGADO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</row>
    <row r="172" spans="1:33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</row>
    <row r="173" spans="1:33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</row>
    <row r="174" spans="1:33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</row>
    <row r="175" spans="1:33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</row>
    <row r="176" spans="1:33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</row>
    <row r="177" spans="1:33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 t="str">
        <f>'RESUMEN TOTAL'!O180</f>
        <v>APAGADO</v>
      </c>
      <c r="G177">
        <f>'RESUMEN TOTAL'!P180</f>
        <v>0</v>
      </c>
      <c r="H177">
        <f>'RESUMEN TOTAL'!Q180</f>
        <v>0</v>
      </c>
      <c r="I177" t="str">
        <f>'RESUMEN TOTAL'!R180</f>
        <v>APAGADO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</row>
    <row r="178" spans="1:33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</row>
    <row r="179" spans="1:33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 t="str">
        <f>'RESUMEN TOTAL'!W182</f>
        <v>APAGADO</v>
      </c>
      <c r="O179" t="str">
        <f>'RESUMEN TOTAL'!X182</f>
        <v>APAGADO</v>
      </c>
      <c r="P179" t="str">
        <f>'RESUMEN TOTAL'!Y182</f>
        <v>APAGADO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</row>
    <row r="180" spans="1:33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</row>
    <row r="181" spans="1:33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</row>
    <row r="182" spans="1:33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</row>
    <row r="183" spans="1:33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</row>
    <row r="184" spans="1:33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</row>
    <row r="185" spans="1:33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</row>
    <row r="186" spans="1:33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</row>
    <row r="187" spans="1:33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</row>
    <row r="188" spans="1:33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</row>
    <row r="189" spans="1:33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</row>
    <row r="190" spans="1:33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 t="str">
        <f>'RESUMEN TOTAL'!P193</f>
        <v>APAGADO</v>
      </c>
      <c r="H190" t="str">
        <f>'RESUMEN TOTAL'!Q193</f>
        <v>APAGADO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 t="str">
        <f>'RESUMEN TOTAL'!U193</f>
        <v>APAGADO</v>
      </c>
      <c r="M190" t="str">
        <f>'RESUMEN TOTAL'!V193</f>
        <v>APAGADO</v>
      </c>
      <c r="N190" t="str">
        <f>'RESUMEN TOTAL'!W193</f>
        <v>APAGADO</v>
      </c>
      <c r="O190" t="str">
        <f>'RESUMEN TOTAL'!X193</f>
        <v>APAGADO</v>
      </c>
      <c r="P190" t="str">
        <f>'RESUMEN TOTAL'!Y193</f>
        <v>APAGADO</v>
      </c>
      <c r="Q190" t="str">
        <f>'RESUMEN TOTAL'!Z193</f>
        <v>APAGADO</v>
      </c>
      <c r="R190" t="str">
        <f>'RESUMEN TOTAL'!AA193</f>
        <v>APAGADO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</row>
    <row r="191" spans="1:33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 t="str">
        <f>'RESUMEN TOTAL'!Y194</f>
        <v>APAGADO</v>
      </c>
      <c r="Q191">
        <f>'RESUMEN TOTAL'!Z194</f>
        <v>0</v>
      </c>
      <c r="R191" t="str">
        <f>'RESUMEN TOTAL'!AA194</f>
        <v>APAGADO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</row>
    <row r="192" spans="1:33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 t="str">
        <f>'RESUMEN TOTAL'!P195</f>
        <v>APAGADO</v>
      </c>
      <c r="H192" t="str">
        <f>'RESUMEN TOTAL'!Q195</f>
        <v>APAGADO</v>
      </c>
      <c r="I192" t="str">
        <f>'RESUMEN TOTAL'!R195</f>
        <v>APAGADO</v>
      </c>
      <c r="J192" t="str">
        <f>'RESUMEN TOTAL'!S195</f>
        <v>APAGADO</v>
      </c>
      <c r="K192" t="str">
        <f>'RESUMEN TOTAL'!T195</f>
        <v>APAGADO</v>
      </c>
      <c r="L192" t="str">
        <f>'RESUMEN TOTAL'!U195</f>
        <v>APAGADO</v>
      </c>
      <c r="M192" t="str">
        <f>'RESUMEN TOTAL'!V195</f>
        <v>APAGADO</v>
      </c>
      <c r="N192" t="str">
        <f>'RESUMEN TOTAL'!W195</f>
        <v>APAGADO</v>
      </c>
      <c r="O192" t="str">
        <f>'RESUMEN TOTAL'!X195</f>
        <v>APAGADO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</row>
    <row r="193" spans="1:33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 t="str">
        <f>'RESUMEN TOTAL'!P196</f>
        <v>APAGADO</v>
      </c>
      <c r="H193" t="str">
        <f>'RESUMEN TOTAL'!Q196</f>
        <v>APAGADO</v>
      </c>
      <c r="I193" t="str">
        <f>'RESUMEN TOTAL'!R196</f>
        <v>APAGADO</v>
      </c>
      <c r="J193" t="str">
        <f>'RESUMEN TOTAL'!S196</f>
        <v>APAGADO</v>
      </c>
      <c r="K193" t="str">
        <f>'RESUMEN TOTAL'!T196</f>
        <v>APAGADO</v>
      </c>
      <c r="L193" t="str">
        <f>'RESUMEN TOTAL'!U196</f>
        <v>APAGADO</v>
      </c>
      <c r="M193" t="str">
        <f>'RESUMEN TOTAL'!V196</f>
        <v>APAGADO</v>
      </c>
      <c r="N193" t="str">
        <f>'RESUMEN TOTAL'!W196</f>
        <v>APAGADO</v>
      </c>
      <c r="O193" t="str">
        <f>'RESUMEN TOTAL'!X196</f>
        <v>APAGADO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</row>
    <row r="194" spans="1:33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 t="str">
        <f>'RESUMEN TOTAL'!X197</f>
        <v>APAGADO</v>
      </c>
      <c r="P194">
        <f>'RESUMEN TOTAL'!Y197</f>
        <v>0</v>
      </c>
      <c r="Q194">
        <f>'RESUMEN TOTAL'!Z197</f>
        <v>0</v>
      </c>
      <c r="R194" t="str">
        <f>'RESUMEN TOTAL'!AA197</f>
        <v>APAGADO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</row>
    <row r="195" spans="1:33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 t="str">
        <f>'RESUMEN TOTAL'!P198</f>
        <v>APAGADO</v>
      </c>
      <c r="H195" t="str">
        <f>'RESUMEN TOTAL'!Q198</f>
        <v>APAGADO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 t="str">
        <f>'RESUMEN TOTAL'!X198</f>
        <v>APAGADO</v>
      </c>
      <c r="P195">
        <f>'RESUMEN TOTAL'!Y198</f>
        <v>0</v>
      </c>
      <c r="Q195">
        <f>'RESUMEN TOTAL'!Z198</f>
        <v>0</v>
      </c>
      <c r="R195" t="str">
        <f>'RESUMEN TOTAL'!AA198</f>
        <v>APAGADO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</row>
    <row r="196" spans="1:33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 t="str">
        <f>'RESUMEN TOTAL'!U199</f>
        <v>APAGADO</v>
      </c>
      <c r="M196" t="str">
        <f>'RESUMEN TOTAL'!V199</f>
        <v>APAGADO</v>
      </c>
      <c r="N196" t="str">
        <f>'RESUMEN TOTAL'!W199</f>
        <v>APAGADO</v>
      </c>
      <c r="O196">
        <f>'RESUMEN TOTAL'!X199</f>
        <v>0</v>
      </c>
      <c r="P196" t="str">
        <f>'RESUMEN TOTAL'!Y199</f>
        <v>APAGADO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</row>
    <row r="197" spans="1:33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 t="str">
        <f>'RESUMEN TOTAL'!U200</f>
        <v>APAGADO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</row>
    <row r="198" spans="1:33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</row>
    <row r="199" spans="1:33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</row>
    <row r="200" spans="1:33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</row>
    <row r="201" spans="1:33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 t="str">
        <f>'RESUMEN TOTAL'!T204</f>
        <v>APAGADO</v>
      </c>
      <c r="L201" t="str">
        <f>'RESUMEN TOTAL'!U204</f>
        <v>APAGADO</v>
      </c>
      <c r="M201" t="str">
        <f>'RESUMEN TOTAL'!V204</f>
        <v>APAGADO</v>
      </c>
      <c r="N201" t="str">
        <f>'RESUMEN TOTAL'!W204</f>
        <v>APAGADO</v>
      </c>
      <c r="O201" t="str">
        <f>'RESUMEN TOTAL'!X204</f>
        <v>APAGADO</v>
      </c>
      <c r="P201" t="str">
        <f>'RESUMEN TOTAL'!Y204</f>
        <v>APAGADO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</row>
    <row r="202" spans="1:33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 t="str">
        <f>'RESUMEN TOTAL'!T205</f>
        <v>APAGADO</v>
      </c>
      <c r="L202" t="str">
        <f>'RESUMEN TOTAL'!U205</f>
        <v>APAGADO</v>
      </c>
      <c r="M202" t="str">
        <f>'RESUMEN TOTAL'!V205</f>
        <v>APAGADO</v>
      </c>
      <c r="N202" t="str">
        <f>'RESUMEN TOTAL'!W205</f>
        <v>APAGADO</v>
      </c>
      <c r="O202" t="str">
        <f>'RESUMEN TOTAL'!X205</f>
        <v>APAGADO</v>
      </c>
      <c r="P202" t="str">
        <f>'RESUMEN TOTAL'!Y205</f>
        <v>APAGADO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</row>
    <row r="203" spans="1:33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</row>
    <row r="204" spans="1:33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 t="str">
        <f>'RESUMEN TOTAL'!P207</f>
        <v>APAGADO</v>
      </c>
      <c r="H204" t="str">
        <f>'RESUMEN TOTAL'!Q207</f>
        <v>APAGADO</v>
      </c>
      <c r="I204">
        <f>'RESUMEN TOTAL'!R207</f>
        <v>0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</row>
    <row r="205" spans="1:33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 t="str">
        <f>'RESUMEN TOTAL'!P208</f>
        <v>APAGADO</v>
      </c>
      <c r="H205" t="str">
        <f>'RESUMEN TOTAL'!Q208</f>
        <v>APAGADO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</row>
    <row r="206" spans="1:33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</row>
    <row r="207" spans="1:33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</row>
    <row r="208" spans="1:33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</row>
    <row r="209" spans="1:33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</row>
    <row r="210" spans="1:33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</row>
    <row r="211" spans="1:33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</row>
    <row r="212" spans="1:33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</row>
    <row r="213" spans="1:33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</row>
    <row r="214" spans="1:33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</row>
    <row r="215" spans="1:33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</row>
    <row r="216" spans="1:33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</row>
    <row r="217" spans="1:33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</row>
    <row r="218" spans="1:33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</row>
    <row r="219" spans="1:33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</row>
    <row r="220" spans="1:33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</row>
    <row r="221" spans="1:33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 t="str">
        <f>'RESUMEN TOTAL'!O224</f>
        <v>APAGADO</v>
      </c>
      <c r="G221" t="str">
        <f>'RESUMEN TOTAL'!P224</f>
        <v>APAGADO</v>
      </c>
      <c r="H221" t="str">
        <f>'RESUMEN TOTAL'!Q224</f>
        <v>APAGADO</v>
      </c>
      <c r="I221" t="str">
        <f>'RESUMEN TOTAL'!R224</f>
        <v>APAGADO</v>
      </c>
      <c r="J221" t="str">
        <f>'RESUMEN TOTAL'!S224</f>
        <v>APAGADO</v>
      </c>
      <c r="K221" t="str">
        <f>'RESUMEN TOTAL'!T224</f>
        <v>APAGADO</v>
      </c>
      <c r="L221" t="str">
        <f>'RESUMEN TOTAL'!U224</f>
        <v>APAGADO</v>
      </c>
      <c r="M221" t="str">
        <f>'RESUMEN TOTAL'!V224</f>
        <v>APAGADO</v>
      </c>
      <c r="N221" t="str">
        <f>'RESUMEN TOTAL'!W224</f>
        <v>APAGADO</v>
      </c>
      <c r="O221" t="str">
        <f>'RESUMEN TOTAL'!X224</f>
        <v>APAGADO</v>
      </c>
      <c r="P221" t="str">
        <f>'RESUMEN TOTAL'!Y224</f>
        <v>APAGADO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</row>
    <row r="222" spans="1:33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 t="str">
        <f>'RESUMEN TOTAL'!Z225</f>
        <v>APAGADO</v>
      </c>
      <c r="R222" t="str">
        <f>'RESUMEN TOTAL'!AA225</f>
        <v>APAGADO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</row>
    <row r="223" spans="1:33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</row>
    <row r="224" spans="1:33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</row>
    <row r="225" spans="1:33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</row>
    <row r="226" spans="1:33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</row>
    <row r="227" spans="1:33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</row>
    <row r="228" spans="1:33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</row>
    <row r="229" spans="1:33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</row>
    <row r="230" spans="1:33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 t="str">
        <f>'RESUMEN TOTAL'!Q233</f>
        <v>APAGADO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</row>
    <row r="231" spans="1:33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</row>
    <row r="232" spans="1:33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 t="str">
        <f>'RESUMEN TOTAL'!Z235</f>
        <v>APAGADO</v>
      </c>
      <c r="R232" t="str">
        <f>'RESUMEN TOTAL'!AA235</f>
        <v>APAGADO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</row>
    <row r="233" spans="1:33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 t="str">
        <f>'RESUMEN TOTAL'!Z236</f>
        <v>APAGADO</v>
      </c>
      <c r="R233" t="str">
        <f>'RESUMEN TOTAL'!AA236</f>
        <v>APAGADO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</row>
    <row r="234" spans="1:33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 t="str">
        <f>'RESUMEN TOTAL'!Z237</f>
        <v>APAGADO</v>
      </c>
      <c r="R234" t="str">
        <f>'RESUMEN TOTAL'!AA237</f>
        <v>APAGADO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</row>
    <row r="235" spans="1:33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 t="str">
        <f>'RESUMEN TOTAL'!O238</f>
        <v>APAGADO</v>
      </c>
      <c r="G235" t="str">
        <f>'RESUMEN TOTAL'!P238</f>
        <v>APAGADO</v>
      </c>
      <c r="H235" t="str">
        <f>'RESUMEN TOTAL'!Q238</f>
        <v>APAGADO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</row>
    <row r="236" spans="1:33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 t="str">
        <f>'RESUMEN TOTAL'!P239</f>
        <v>APAGADO</v>
      </c>
      <c r="H236" t="str">
        <f>'RESUMEN TOTAL'!Q239</f>
        <v>APAGADO</v>
      </c>
      <c r="I236" t="str">
        <f>'RESUMEN TOTAL'!R239</f>
        <v>APAGADO</v>
      </c>
      <c r="J236" t="str">
        <f>'RESUMEN TOTAL'!S239</f>
        <v>APAGADO</v>
      </c>
      <c r="K236" t="str">
        <f>'RESUMEN TOTAL'!T239</f>
        <v>APAGADO</v>
      </c>
      <c r="L236" t="str">
        <f>'RESUMEN TOTAL'!U239</f>
        <v>APAGADO</v>
      </c>
      <c r="M236" t="str">
        <f>'RESUMEN TOTAL'!V239</f>
        <v>APAGADO</v>
      </c>
      <c r="N236" t="str">
        <f>'RESUMEN TOTAL'!W239</f>
        <v>APAGADO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</row>
    <row r="237" spans="1:33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 t="str">
        <f>'RESUMEN TOTAL'!P240</f>
        <v>APAGADO</v>
      </c>
      <c r="H237" t="str">
        <f>'RESUMEN TOTAL'!Q240</f>
        <v>APAGADO</v>
      </c>
      <c r="I237" t="str">
        <f>'RESUMEN TOTAL'!R240</f>
        <v>APAGADO</v>
      </c>
      <c r="J237" t="str">
        <f>'RESUMEN TOTAL'!S240</f>
        <v>APAGADO</v>
      </c>
      <c r="K237" t="str">
        <f>'RESUMEN TOTAL'!T240</f>
        <v>APAGADO</v>
      </c>
      <c r="L237" t="str">
        <f>'RESUMEN TOTAL'!U240</f>
        <v>APAGADO</v>
      </c>
      <c r="M237" t="str">
        <f>'RESUMEN TOTAL'!V240</f>
        <v>APAGADO</v>
      </c>
      <c r="N237" t="str">
        <f>'RESUMEN TOTAL'!W240</f>
        <v>APAGADO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</row>
    <row r="238" spans="1:33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 t="str">
        <f>'RESUMEN TOTAL'!Z241</f>
        <v>APAGADO</v>
      </c>
      <c r="R238" t="str">
        <f>'RESUMEN TOTAL'!AA241</f>
        <v>APAGADO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</row>
    <row r="239" spans="1:33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 t="str">
        <f>'RESUMEN TOTAL'!Z242</f>
        <v>APAGADO</v>
      </c>
      <c r="R239" t="str">
        <f>'RESUMEN TOTAL'!AA242</f>
        <v>APAGADO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</row>
    <row r="240" spans="1:33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 t="str">
        <f>'RESUMEN TOTAL'!Z243</f>
        <v>APAGADO</v>
      </c>
      <c r="R240" t="str">
        <f>'RESUMEN TOTAL'!AA243</f>
        <v>APAGADO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</row>
    <row r="241" spans="1:33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 t="str">
        <f>'RESUMEN TOTAL'!Z244</f>
        <v>APAGADO</v>
      </c>
      <c r="R241" t="str">
        <f>'RESUMEN TOTAL'!AA244</f>
        <v>APAGADO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</row>
    <row r="242" spans="1:33" x14ac:dyDescent="0.25">
      <c r="A242" t="str">
        <f>'RESUMEN TOTAL'!A245</f>
        <v>SAN JORGE</v>
      </c>
      <c r="B242" t="str">
        <f>'RESUMEN TOTAL'!C245</f>
        <v>SJO 03</v>
      </c>
      <c r="C242" t="str">
        <f>'RESUMEN TOTAL'!D245</f>
        <v>517 Y 580</v>
      </c>
      <c r="D242" t="str">
        <f>'RESUMEN TOTAL'!E245</f>
        <v>DOMO</v>
      </c>
      <c r="E242" t="str">
        <f>'RESUMEN TOTAL'!F245</f>
        <v>Radio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</row>
    <row r="243" spans="1:33" x14ac:dyDescent="0.25">
      <c r="A243" t="str">
        <f>'RESUMEN TOTAL'!A246</f>
        <v>SAN JORGE</v>
      </c>
      <c r="B243" t="str">
        <f>'RESUMEN TOTAL'!C246</f>
        <v>SJO 04</v>
      </c>
      <c r="C243" t="str">
        <f>'RESUMEN TOTAL'!D246</f>
        <v>552 Y 519</v>
      </c>
      <c r="D243" t="str">
        <f>'RESUMEN TOTAL'!E246</f>
        <v>DOMO</v>
      </c>
      <c r="E243" t="str">
        <f>'RESUMEN TOTAL'!F246</f>
        <v>Radio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</row>
    <row r="244" spans="1:33" x14ac:dyDescent="0.25">
      <c r="A244" t="str">
        <f>'RESUMEN TOTAL'!A247</f>
        <v>SAN JORGE</v>
      </c>
      <c r="B244" t="str">
        <f>'RESUMEN TOTAL'!C247</f>
        <v>SJO01</v>
      </c>
      <c r="C244" t="str">
        <f>'RESUMEN TOTAL'!D247</f>
        <v>Calle 554 y 527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</row>
    <row r="245" spans="1:33" x14ac:dyDescent="0.25">
      <c r="A245" t="str">
        <f>'RESUMEN TOTAL'!A248</f>
        <v>SAN JORGE</v>
      </c>
      <c r="B245" t="str">
        <f>'RESUMEN TOTAL'!C248</f>
        <v>SJO02</v>
      </c>
      <c r="C245" t="str">
        <f>'RESUMEN TOTAL'!D248</f>
        <v>Calle 554 y 511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 t="str">
        <f>'RESUMEN TOTAL'!S248</f>
        <v>APAGADO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</row>
    <row r="246" spans="1:33" x14ac:dyDescent="0.25">
      <c r="A246" t="str">
        <f>'RESUMEN TOTAL'!A249</f>
        <v>SAN JORGE</v>
      </c>
      <c r="B246" t="str">
        <f>'RESUMEN TOTAL'!C249</f>
        <v>SJO05 (fija 1)</v>
      </c>
      <c r="C246" t="str">
        <f>'RESUMEN TOTAL'!D249</f>
        <v>511 Y 560</v>
      </c>
      <c r="D246" t="str">
        <f>'RESUMEN TOTAL'!E249</f>
        <v>Fija</v>
      </c>
      <c r="E246" t="str">
        <f>'RESUMEN TOTAL'!F249</f>
        <v>Fibra Optica</v>
      </c>
      <c r="F246" t="str">
        <f>'RESUMEN TOTAL'!O249</f>
        <v>APAGADO</v>
      </c>
      <c r="G246" t="str">
        <f>'RESUMEN TOTAL'!P249</f>
        <v>APAGADO</v>
      </c>
      <c r="H246" t="str">
        <f>'RESUMEN TOTAL'!Q249</f>
        <v>APAGADO</v>
      </c>
      <c r="I246" t="str">
        <f>'RESUMEN TOTAL'!R249</f>
        <v>APAGADO</v>
      </c>
      <c r="J246" t="str">
        <f>'RESUMEN TOTAL'!S249</f>
        <v>APAGADO</v>
      </c>
      <c r="K246" t="str">
        <f>'RESUMEN TOTAL'!T249</f>
        <v>APAGADO</v>
      </c>
      <c r="L246" t="str">
        <f>'RESUMEN TOTAL'!U249</f>
        <v>APAGADO</v>
      </c>
      <c r="M246" t="str">
        <f>'RESUMEN TOTAL'!V249</f>
        <v>APAGADO</v>
      </c>
      <c r="N246" t="str">
        <f>'RESUMEN TOTAL'!W249</f>
        <v>APAGADO</v>
      </c>
      <c r="O246" t="str">
        <f>'RESUMEN TOTAL'!X249</f>
        <v>APAGADO</v>
      </c>
      <c r="P246" t="str">
        <f>'RESUMEN TOTAL'!Y249</f>
        <v>APAGADO</v>
      </c>
      <c r="Q246" t="str">
        <f>'RESUMEN TOTAL'!Z249</f>
        <v>APAGADO</v>
      </c>
      <c r="R246" t="str">
        <f>'RESUMEN TOTAL'!AA249</f>
        <v>APAGADO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</row>
    <row r="247" spans="1:33" x14ac:dyDescent="0.25">
      <c r="A247" t="str">
        <f>'RESUMEN TOTAL'!A250</f>
        <v>SAN JORGE</v>
      </c>
      <c r="B247" t="str">
        <f>'RESUMEN TOTAL'!C250</f>
        <v>SJO06 (fija 2)</v>
      </c>
      <c r="C247" t="str">
        <f>'RESUMEN TOTAL'!D250</f>
        <v>511 Y 560</v>
      </c>
      <c r="D247" t="str">
        <f>'RESUMEN TOTAL'!E250</f>
        <v>Fija</v>
      </c>
      <c r="E247" t="str">
        <f>'RESUMEN TOTAL'!F250</f>
        <v>Fibra Optica</v>
      </c>
      <c r="F247" t="str">
        <f>'RESUMEN TOTAL'!O250</f>
        <v>APAGADO</v>
      </c>
      <c r="G247" t="str">
        <f>'RESUMEN TOTAL'!P250</f>
        <v>APAGADO</v>
      </c>
      <c r="H247" t="str">
        <f>'RESUMEN TOTAL'!Q250</f>
        <v>APAGADO</v>
      </c>
      <c r="I247" t="str">
        <f>'RESUMEN TOTAL'!R250</f>
        <v>APAGADO</v>
      </c>
      <c r="J247" t="str">
        <f>'RESUMEN TOTAL'!S250</f>
        <v>APAGADO</v>
      </c>
      <c r="K247" t="str">
        <f>'RESUMEN TOTAL'!T250</f>
        <v>APAGADO</v>
      </c>
      <c r="L247" t="str">
        <f>'RESUMEN TOTAL'!U250</f>
        <v>APAGADO</v>
      </c>
      <c r="M247" t="str">
        <f>'RESUMEN TOTAL'!V250</f>
        <v>APAGADO</v>
      </c>
      <c r="N247" t="str">
        <f>'RESUMEN TOTAL'!W250</f>
        <v>APAGADO</v>
      </c>
      <c r="O247" t="str">
        <f>'RESUMEN TOTAL'!X250</f>
        <v>APAGADO</v>
      </c>
      <c r="P247" t="str">
        <f>'RESUMEN TOTAL'!Y250</f>
        <v>APAGADO</v>
      </c>
      <c r="Q247" t="str">
        <f>'RESUMEN TOTAL'!Z250</f>
        <v>APAGADO</v>
      </c>
      <c r="R247" t="str">
        <f>'RESUMEN TOTAL'!AA250</f>
        <v>APAGADO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</row>
    <row r="248" spans="1:33" x14ac:dyDescent="0.25">
      <c r="A248" t="str">
        <f>'RESUMEN TOTAL'!A251</f>
        <v>SAN JORGE</v>
      </c>
      <c r="B248" t="str">
        <f>'RESUMEN TOTAL'!C251</f>
        <v>SJO07 (fija 1)</v>
      </c>
      <c r="C248" t="str">
        <f>'RESUMEN TOTAL'!D251</f>
        <v>503 Y 556</v>
      </c>
      <c r="D248" t="str">
        <f>'RESUMEN TOTAL'!E251</f>
        <v>Fija</v>
      </c>
      <c r="E248" t="str">
        <f>'RESUMEN TOTAL'!F251</f>
        <v>Fibra Optica</v>
      </c>
      <c r="F248" t="str">
        <f>'RESUMEN TOTAL'!O251</f>
        <v>APAGADO</v>
      </c>
      <c r="G248" t="str">
        <f>'RESUMEN TOTAL'!P251</f>
        <v>APAGADO</v>
      </c>
      <c r="H248" t="str">
        <f>'RESUMEN TOTAL'!Q251</f>
        <v>APAGADO</v>
      </c>
      <c r="I248" t="str">
        <f>'RESUMEN TOTAL'!R251</f>
        <v>APAGADO</v>
      </c>
      <c r="J248" t="str">
        <f>'RESUMEN TOTAL'!S251</f>
        <v>APAGADO</v>
      </c>
      <c r="K248" t="str">
        <f>'RESUMEN TOTAL'!T251</f>
        <v>APAGADO</v>
      </c>
      <c r="L248" t="str">
        <f>'RESUMEN TOTAL'!U251</f>
        <v>APAGADO</v>
      </c>
      <c r="M248" t="str">
        <f>'RESUMEN TOTAL'!V251</f>
        <v>APAGADO</v>
      </c>
      <c r="N248" t="str">
        <f>'RESUMEN TOTAL'!W251</f>
        <v>APAGADO</v>
      </c>
      <c r="O248" t="str">
        <f>'RESUMEN TOTAL'!X251</f>
        <v>APAGADO</v>
      </c>
      <c r="P248" t="str">
        <f>'RESUMEN TOTAL'!Y251</f>
        <v>APAGADO</v>
      </c>
      <c r="Q248" t="str">
        <f>'RESUMEN TOTAL'!Z251</f>
        <v>APAGADO</v>
      </c>
      <c r="R248" t="str">
        <f>'RESUMEN TOTAL'!AA251</f>
        <v>APAGADO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</row>
    <row r="249" spans="1:33" x14ac:dyDescent="0.25">
      <c r="A249" t="str">
        <f>'RESUMEN TOTAL'!A252</f>
        <v>SAN JORGE</v>
      </c>
      <c r="B249" t="str">
        <f>'RESUMEN TOTAL'!C252</f>
        <v>SJO08 (fija 2)</v>
      </c>
      <c r="C249" t="str">
        <f>'RESUMEN TOTAL'!D252</f>
        <v>503 Y 556</v>
      </c>
      <c r="D249" t="str">
        <f>'RESUMEN TOTAL'!E252</f>
        <v>Fija</v>
      </c>
      <c r="E249" t="str">
        <f>'RESUMEN TOTAL'!F252</f>
        <v>Fibra Optica</v>
      </c>
      <c r="F249" t="str">
        <f>'RESUMEN TOTAL'!O252</f>
        <v>APAGADO</v>
      </c>
      <c r="G249" t="str">
        <f>'RESUMEN TOTAL'!P252</f>
        <v>APAGADO</v>
      </c>
      <c r="H249" t="str">
        <f>'RESUMEN TOTAL'!Q252</f>
        <v>APAGADO</v>
      </c>
      <c r="I249" t="str">
        <f>'RESUMEN TOTAL'!R252</f>
        <v>APAGADO</v>
      </c>
      <c r="J249" t="str">
        <f>'RESUMEN TOTAL'!S252</f>
        <v>APAGADO</v>
      </c>
      <c r="K249" t="str">
        <f>'RESUMEN TOTAL'!T252</f>
        <v>APAGADO</v>
      </c>
      <c r="L249" t="str">
        <f>'RESUMEN TOTAL'!U252</f>
        <v>APAGADO</v>
      </c>
      <c r="M249" t="str">
        <f>'RESUMEN TOTAL'!V252</f>
        <v>APAGADO</v>
      </c>
      <c r="N249" t="str">
        <f>'RESUMEN TOTAL'!W252</f>
        <v>APAGADO</v>
      </c>
      <c r="O249" t="str">
        <f>'RESUMEN TOTAL'!X252</f>
        <v>APAGADO</v>
      </c>
      <c r="P249" t="str">
        <f>'RESUMEN TOTAL'!Y252</f>
        <v>APAGADO</v>
      </c>
      <c r="Q249" t="str">
        <f>'RESUMEN TOTAL'!Z252</f>
        <v>APAGADO</v>
      </c>
      <c r="R249" t="str">
        <f>'RESUMEN TOTAL'!AA252</f>
        <v>APAGADO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</row>
    <row r="250" spans="1:33" x14ac:dyDescent="0.25">
      <c r="A250" t="str">
        <f>'RESUMEN TOTAL'!A253</f>
        <v>SANTO TOMAS</v>
      </c>
      <c r="B250" t="str">
        <f>'RESUMEN TOTAL'!C253</f>
        <v>SJU01</v>
      </c>
      <c r="C250" t="str">
        <f>'RESUMEN TOTAL'!D253</f>
        <v>Ruta 36 y Pte.Peron</v>
      </c>
      <c r="D250" t="str">
        <f>'RESUMEN TOTAL'!E253</f>
        <v>Domo</v>
      </c>
      <c r="E250" t="str">
        <f>'RESUMEN TOTAL'!F253</f>
        <v>Radio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</row>
    <row r="251" spans="1:33" x14ac:dyDescent="0.25">
      <c r="A251">
        <f>'RESUMEN TOTAL'!A254</f>
        <v>0</v>
      </c>
      <c r="B251" t="str">
        <f>'RESUMEN TOTAL'!C254</f>
        <v>SMA 03</v>
      </c>
      <c r="C251" t="str">
        <f>'RESUMEN TOTAL'!D254</f>
        <v>ROSARIO Y SAN NICOLAS</v>
      </c>
      <c r="D251" t="str">
        <f>'RESUMEN TOTAL'!E254</f>
        <v>Domo</v>
      </c>
      <c r="E251" t="str">
        <f>'RESUMEN TOTAL'!F254</f>
        <v>Radio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</row>
    <row r="252" spans="1:33" x14ac:dyDescent="0.25">
      <c r="A252" t="str">
        <f>'RESUMEN TOTAL'!A255</f>
        <v>VILLA GENERAL SAN MARTIN</v>
      </c>
      <c r="B252" t="str">
        <f>'RESUMEN TOTAL'!C255</f>
        <v>SMA 04</v>
      </c>
      <c r="C252" t="str">
        <f>'RESUMEN TOTAL'!D255</f>
        <v>HUDSON Y MONTEVIDEO</v>
      </c>
      <c r="D252" t="str">
        <f>'RESUMEN TOTAL'!E255</f>
        <v>FIJA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</row>
    <row r="253" spans="1:33" x14ac:dyDescent="0.25">
      <c r="A253" t="str">
        <f>'RESUMEN TOTAL'!A256</f>
        <v>VILLA GENERAL SAN MARTIN</v>
      </c>
      <c r="B253" t="str">
        <f>'RESUMEN TOTAL'!C256</f>
        <v>SMA 06</v>
      </c>
      <c r="C253" t="str">
        <f>'RESUMEN TOTAL'!D256</f>
        <v>AV. HUDSON Y RIO IGUAZU</v>
      </c>
      <c r="D253" t="str">
        <f>'RESUMEN TOTAL'!E256</f>
        <v>DOMO</v>
      </c>
      <c r="E253" t="str">
        <f>'RESUMEN TOTAL'!F256</f>
        <v>Fibra Optica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</row>
    <row r="254" spans="1:33" x14ac:dyDescent="0.25">
      <c r="A254" t="str">
        <f>'RESUMEN TOTAL'!A257</f>
        <v>VILLA GENERAL SAN MARTIN</v>
      </c>
      <c r="B254" t="str">
        <f>'RESUMEN TOTAL'!C257</f>
        <v>SMA 07</v>
      </c>
      <c r="C254" t="str">
        <f>'RESUMEN TOTAL'!D257</f>
        <v>AV. HUDSON Y RIO TURBIO</v>
      </c>
      <c r="D254" t="str">
        <f>'RESUMEN TOTAL'!E257</f>
        <v>DOMO</v>
      </c>
      <c r="E254" t="str">
        <f>'RESUMEN TOTAL'!F257</f>
        <v>Fibra Optica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</row>
    <row r="255" spans="1:33" x14ac:dyDescent="0.25">
      <c r="A255" t="str">
        <f>'RESUMEN TOTAL'!A258</f>
        <v>VILLA GENERAL SAN MARTIN</v>
      </c>
      <c r="B255" t="str">
        <f>'RESUMEN TOTAL'!C258</f>
        <v>SMA01</v>
      </c>
      <c r="C255" t="str">
        <f>'RESUMEN TOTAL'!D258</f>
        <v>Hudson y Montevideo</v>
      </c>
      <c r="D255" t="str">
        <f>'RESUMEN TOTAL'!E258</f>
        <v>DOMO</v>
      </c>
      <c r="E255" t="str">
        <f>'RESUMEN TOTAL'!F258</f>
        <v>Radio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</row>
    <row r="256" spans="1:33" x14ac:dyDescent="0.25">
      <c r="A256" t="str">
        <f>'RESUMEN TOTAL'!A259</f>
        <v>VILLA GENERAL SAN MARTIN</v>
      </c>
      <c r="B256" t="str">
        <f>'RESUMEN TOTAL'!C259</f>
        <v>SMA02</v>
      </c>
      <c r="C256" t="str">
        <f>'RESUMEN TOTAL'!D259</f>
        <v>Hudson y San Nicolas</v>
      </c>
      <c r="D256" t="str">
        <f>'RESUMEN TOTAL'!E259</f>
        <v>Domo</v>
      </c>
      <c r="E256" t="str">
        <f>'RESUMEN TOTAL'!F259</f>
        <v>Radio</v>
      </c>
      <c r="F256" t="str">
        <f>'RESUMEN TOTAL'!O259</f>
        <v>APAGADO</v>
      </c>
      <c r="G256" t="str">
        <f>'RESUMEN TOTAL'!P259</f>
        <v>APAGADO</v>
      </c>
      <c r="H256" t="str">
        <f>'RESUMEN TOTAL'!Q259</f>
        <v>APAGADO</v>
      </c>
      <c r="I256" t="str">
        <f>'RESUMEN TOTAL'!R259</f>
        <v>APAGADO</v>
      </c>
      <c r="J256" t="str">
        <f>'RESUMEN TOTAL'!S259</f>
        <v>APAGADO</v>
      </c>
      <c r="K256" t="str">
        <f>'RESUMEN TOTAL'!T259</f>
        <v>APAGADO</v>
      </c>
      <c r="L256" t="str">
        <f>'RESUMEN TOTAL'!U259</f>
        <v>APAGADO</v>
      </c>
      <c r="M256" t="str">
        <f>'RESUMEN TOTAL'!V259</f>
        <v>APAGADO</v>
      </c>
      <c r="N256" t="str">
        <f>'RESUMEN TOTAL'!W259</f>
        <v>APAGADO</v>
      </c>
      <c r="O256" t="str">
        <f>'RESUMEN TOTAL'!X259</f>
        <v>APAGADO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</row>
    <row r="257" spans="1:33" x14ac:dyDescent="0.25">
      <c r="A257" t="str">
        <f>'RESUMEN TOTAL'!A260</f>
        <v>VILLA GENERAL SAN MARTIN</v>
      </c>
      <c r="B257" t="str">
        <f>'RESUMEN TOTAL'!C260</f>
        <v>SMA05</v>
      </c>
      <c r="C257" t="str">
        <f>'RESUMEN TOTAL'!D260</f>
        <v>MONTEVIDEO Y VILLEGAS</v>
      </c>
      <c r="D257" t="str">
        <f>'RESUMEN TOTAL'!E260</f>
        <v>DOMO</v>
      </c>
      <c r="E257" t="str">
        <f>'RESUMEN TOTAL'!F260</f>
        <v>PTP A FO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</row>
    <row r="258" spans="1:33" x14ac:dyDescent="0.25">
      <c r="A258" t="str">
        <f>'RESUMEN TOTAL'!A261</f>
        <v>SAN NICOLAS</v>
      </c>
      <c r="B258" t="str">
        <f>'RESUMEN TOTAL'!C261</f>
        <v>SNI01 (fija 1)</v>
      </c>
      <c r="C258" t="str">
        <f>'RESUMEN TOTAL'!D261</f>
        <v>SARRATEA E/ EEUU DE A. Y AGRELO</v>
      </c>
      <c r="D258" t="str">
        <f>'RESUMEN TOTAL'!E261</f>
        <v>Fija</v>
      </c>
      <c r="E258" t="str">
        <f>'RESUMEN TOTAL'!F261</f>
        <v>Fibra Optica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 t="str">
        <f>'RESUMEN TOTAL'!W261</f>
        <v>APAGADO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</row>
    <row r="259" spans="1:33" x14ac:dyDescent="0.25">
      <c r="A259" t="str">
        <f>'RESUMEN TOTAL'!A262</f>
        <v>SAN NICOLAS</v>
      </c>
      <c r="B259" t="str">
        <f>'RESUMEN TOTAL'!C262</f>
        <v>SNI02 (fija 2)</v>
      </c>
      <c r="C259" t="str">
        <f>'RESUMEN TOTAL'!D262</f>
        <v>SARRATEA E/ EEUU DE A. Y AGRELO</v>
      </c>
      <c r="D259" t="str">
        <f>'RESUMEN TOTAL'!E262</f>
        <v>Fija</v>
      </c>
      <c r="E259" t="str">
        <f>'RESUMEN TOTAL'!F262</f>
        <v>Fibra Optica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 t="str">
        <f>'RESUMEN TOTAL'!W262</f>
        <v>APAGADO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</row>
    <row r="260" spans="1:33" x14ac:dyDescent="0.25">
      <c r="A260" t="str">
        <f>'RESUMEN TOTAL'!A263</f>
        <v>SAN NICOLAS</v>
      </c>
      <c r="B260" t="str">
        <f>'RESUMEN TOTAL'!C263</f>
        <v>SNI03 (fija 1)</v>
      </c>
      <c r="C260" t="str">
        <f>'RESUMEN TOTAL'!D263</f>
        <v>SARRATEA Y LOS TREBOLES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 t="str">
        <f>'RESUMEN TOTAL'!P263</f>
        <v>APAGADO</v>
      </c>
      <c r="H260" t="str">
        <f>'RESUMEN TOTAL'!Q263</f>
        <v>APAGADO</v>
      </c>
      <c r="I260" t="str">
        <f>'RESUMEN TOTAL'!R263</f>
        <v>APAGADO</v>
      </c>
      <c r="J260" t="str">
        <f>'RESUMEN TOTAL'!S263</f>
        <v>APAGADO</v>
      </c>
      <c r="K260" t="str">
        <f>'RESUMEN TOTAL'!T263</f>
        <v>APAGADO</v>
      </c>
      <c r="L260" t="str">
        <f>'RESUMEN TOTAL'!U263</f>
        <v>APAGADO</v>
      </c>
      <c r="M260" t="str">
        <f>'RESUMEN TOTAL'!V263</f>
        <v>APAGADO</v>
      </c>
      <c r="N260" t="str">
        <f>'RESUMEN TOTAL'!W263</f>
        <v>APAGADO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</row>
    <row r="261" spans="1:33" x14ac:dyDescent="0.25">
      <c r="A261" t="str">
        <f>'RESUMEN TOTAL'!A264</f>
        <v>SAN NICOLAS</v>
      </c>
      <c r="B261" t="str">
        <f>'RESUMEN TOTAL'!C264</f>
        <v>SNI04 (fija 2)</v>
      </c>
      <c r="C261" t="str">
        <f>'RESUMEN TOTAL'!D264</f>
        <v>SARRATEA Y LOS TREBOLES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 t="str">
        <f>'RESUMEN TOTAL'!P264</f>
        <v>APAGADO</v>
      </c>
      <c r="H261" t="str">
        <f>'RESUMEN TOTAL'!Q264</f>
        <v>APAGADO</v>
      </c>
      <c r="I261" t="str">
        <f>'RESUMEN TOTAL'!R264</f>
        <v>APAGADO</v>
      </c>
      <c r="J261" t="str">
        <f>'RESUMEN TOTAL'!S264</f>
        <v>APAGADO</v>
      </c>
      <c r="K261" t="str">
        <f>'RESUMEN TOTAL'!T264</f>
        <v>APAGADO</v>
      </c>
      <c r="L261" t="str">
        <f>'RESUMEN TOTAL'!U264</f>
        <v>APAGADO</v>
      </c>
      <c r="M261" t="str">
        <f>'RESUMEN TOTAL'!V264</f>
        <v>APAGADO</v>
      </c>
      <c r="N261" t="str">
        <f>'RESUMEN TOTAL'!W264</f>
        <v>APAGADO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</row>
    <row r="262" spans="1:33" x14ac:dyDescent="0.25">
      <c r="A262" t="str">
        <f>'RESUMEN TOTAL'!A265</f>
        <v>SANTA ROSA</v>
      </c>
      <c r="B262" t="str">
        <f>'RESUMEN TOTAL'!C265</f>
        <v>SRO 05</v>
      </c>
      <c r="C262" t="str">
        <f>'RESUMEN TOTAL'!D265</f>
        <v>CAFFERATA Y BONN</v>
      </c>
      <c r="D262" t="str">
        <f>'RESUMEN TOTAL'!E265</f>
        <v>DOMO</v>
      </c>
      <c r="E262" t="str">
        <f>'RESUMEN TOTAL'!F265</f>
        <v>Radio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</row>
    <row r="263" spans="1:33" x14ac:dyDescent="0.25">
      <c r="A263" t="str">
        <f>'RESUMEN TOTAL'!A266</f>
        <v>SANTA ROSA</v>
      </c>
      <c r="B263" t="str">
        <f>'RESUMEN TOTAL'!C266</f>
        <v>SRO 06</v>
      </c>
      <c r="C263" t="str">
        <f>'RESUMEN TOTAL'!D266</f>
        <v>Novak y Bonn</v>
      </c>
      <c r="D263" t="str">
        <f>'RESUMEN TOTAL'!E266</f>
        <v>Domo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</row>
    <row r="264" spans="1:33" x14ac:dyDescent="0.25">
      <c r="A264" t="str">
        <f>'RESUMEN TOTAL'!A267</f>
        <v>SANTA ROSA</v>
      </c>
      <c r="B264" t="str">
        <f>'RESUMEN TOTAL'!C267</f>
        <v>SRO 07</v>
      </c>
      <c r="C264" t="str">
        <f>'RESUMEN TOTAL'!D267</f>
        <v>NOVAK Y BELGICA</v>
      </c>
      <c r="D264" t="str">
        <f>'RESUMEN TOTAL'!E267</f>
        <v>Domo</v>
      </c>
      <c r="E264" t="str">
        <f>'RESUMEN TOTAL'!F267</f>
        <v>Fibra Optica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</row>
    <row r="265" spans="1:33" x14ac:dyDescent="0.25">
      <c r="A265" t="str">
        <f>'RESUMEN TOTAL'!A268</f>
        <v>SANTA ROSA</v>
      </c>
      <c r="B265" t="str">
        <f>'RESUMEN TOTAL'!C268</f>
        <v>SRO 08</v>
      </c>
      <c r="C265" t="str">
        <f>'RESUMEN TOTAL'!D268</f>
        <v>NOVAK E/ DESSY Y BELGICA (POLIDEPORTIVO LA PATRIADA)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</row>
    <row r="266" spans="1:33" x14ac:dyDescent="0.25">
      <c r="A266" t="str">
        <f>'RESUMEN TOTAL'!A269</f>
        <v>SANTA ROSA</v>
      </c>
      <c r="B266" t="str">
        <f>'RESUMEN TOTAL'!C269</f>
        <v>SRO 09</v>
      </c>
      <c r="C266" t="str">
        <f>'RESUMEN TOTAL'!D269</f>
        <v>BUCAREST E/ ALEMANIA Y CAFFERATA</v>
      </c>
      <c r="D266" t="str">
        <f>'RESUMEN TOTAL'!E269</f>
        <v>DOMO</v>
      </c>
      <c r="E266" t="str">
        <f>'RESUMEN TOTAL'!F269</f>
        <v>Radio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</row>
    <row r="267" spans="1:33" x14ac:dyDescent="0.25">
      <c r="A267" t="str">
        <f>'RESUMEN TOTAL'!A270</f>
        <v>SANTA ROSA</v>
      </c>
      <c r="B267" t="str">
        <f>'RESUMEN TOTAL'!C270</f>
        <v>SRO 10</v>
      </c>
      <c r="C267" t="str">
        <f>'RESUMEN TOTAL'!D270</f>
        <v>DINAMARCA Y MILAN</v>
      </c>
      <c r="D267" t="str">
        <f>'RESUMEN TOTAL'!E270</f>
        <v>DOMO</v>
      </c>
      <c r="E267" t="str">
        <f>'RESUMEN TOTAL'!F270</f>
        <v>Radio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</row>
    <row r="268" spans="1:33" x14ac:dyDescent="0.25">
      <c r="A268" t="str">
        <f>'RESUMEN TOTAL'!A271</f>
        <v>SANTA ROSA</v>
      </c>
      <c r="B268" t="str">
        <f>'RESUMEN TOTAL'!C271</f>
        <v>SRO 16 (fija 1)</v>
      </c>
      <c r="C268" t="str">
        <f>'RESUMEN TOTAL'!D271</f>
        <v>ANDORRA E/ BELGICA Y SAN MARINO</v>
      </c>
      <c r="D268" t="str">
        <f>'RESUMEN TOTAL'!E271</f>
        <v>Fija</v>
      </c>
      <c r="E268" t="str">
        <f>'RESUMEN TOTAL'!F271</f>
        <v>Fibra Optica</v>
      </c>
      <c r="F268" t="str">
        <f>'RESUMEN TOTAL'!O271</f>
        <v>APAGADO</v>
      </c>
      <c r="G268" t="str">
        <f>'RESUMEN TOTAL'!P271</f>
        <v>APAGADO</v>
      </c>
      <c r="H268" t="str">
        <f>'RESUMEN TOTAL'!Q271</f>
        <v>APAGADO</v>
      </c>
      <c r="I268" t="str">
        <f>'RESUMEN TOTAL'!R271</f>
        <v>APAGADO</v>
      </c>
      <c r="J268" t="str">
        <f>'RESUMEN TOTAL'!S271</f>
        <v>APAGADO</v>
      </c>
      <c r="K268" t="str">
        <f>'RESUMEN TOTAL'!T271</f>
        <v>APAGADO</v>
      </c>
      <c r="L268">
        <f>'RESUMEN TOTAL'!U271</f>
        <v>0</v>
      </c>
      <c r="M268" t="str">
        <f>'RESUMEN TOTAL'!V271</f>
        <v>APAGADO</v>
      </c>
      <c r="N268" t="str">
        <f>'RESUMEN TOTAL'!W271</f>
        <v>APAGADO</v>
      </c>
      <c r="O268" t="str">
        <f>'RESUMEN TOTAL'!X271</f>
        <v>APAGADO</v>
      </c>
      <c r="P268" t="str">
        <f>'RESUMEN TOTAL'!Y271</f>
        <v>APAGADO</v>
      </c>
      <c r="Q268" t="str">
        <f>'RESUMEN TOTAL'!Z271</f>
        <v>APAGADO</v>
      </c>
      <c r="R268" t="str">
        <f>'RESUMEN TOTAL'!AA271</f>
        <v>APAGADO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</row>
    <row r="269" spans="1:33" x14ac:dyDescent="0.25">
      <c r="A269" t="str">
        <f>'RESUMEN TOTAL'!A272</f>
        <v>SANTA ROSA</v>
      </c>
      <c r="B269" t="str">
        <f>'RESUMEN TOTAL'!C272</f>
        <v>SRO 17 (fija 2)</v>
      </c>
      <c r="C269" t="str">
        <f>'RESUMEN TOTAL'!D272</f>
        <v>ANDORRA E/ BELGICA Y SAN MARINO</v>
      </c>
      <c r="D269" t="str">
        <f>'RESUMEN TOTAL'!E272</f>
        <v>Fija</v>
      </c>
      <c r="E269" t="str">
        <f>'RESUMEN TOTAL'!F272</f>
        <v>Fibra Optica</v>
      </c>
      <c r="F269" t="str">
        <f>'RESUMEN TOTAL'!O272</f>
        <v>APAGADO</v>
      </c>
      <c r="G269" t="str">
        <f>'RESUMEN TOTAL'!P272</f>
        <v>APAGADO</v>
      </c>
      <c r="H269" t="str">
        <f>'RESUMEN TOTAL'!Q272</f>
        <v>APAGADO</v>
      </c>
      <c r="I269" t="str">
        <f>'RESUMEN TOTAL'!R272</f>
        <v>APAGADO</v>
      </c>
      <c r="J269" t="str">
        <f>'RESUMEN TOTAL'!S272</f>
        <v>APAGADO</v>
      </c>
      <c r="K269" t="str">
        <f>'RESUMEN TOTAL'!T272</f>
        <v>APAGADO</v>
      </c>
      <c r="L269">
        <f>'RESUMEN TOTAL'!U272</f>
        <v>0</v>
      </c>
      <c r="M269" t="str">
        <f>'RESUMEN TOTAL'!V272</f>
        <v>APAGADO</v>
      </c>
      <c r="N269" t="str">
        <f>'RESUMEN TOTAL'!W272</f>
        <v>APAGADO</v>
      </c>
      <c r="O269" t="str">
        <f>'RESUMEN TOTAL'!X272</f>
        <v>APAGADO</v>
      </c>
      <c r="P269" t="str">
        <f>'RESUMEN TOTAL'!Y272</f>
        <v>APAGADO</v>
      </c>
      <c r="Q269">
        <f>'RESUMEN TOTAL'!Z272</f>
        <v>0</v>
      </c>
      <c r="R269" t="str">
        <f>'RESUMEN TOTAL'!AA272</f>
        <v>APAGADO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</row>
    <row r="270" spans="1:33" x14ac:dyDescent="0.25">
      <c r="A270" t="str">
        <f>'RESUMEN TOTAL'!A273</f>
        <v>SANTA ROSA</v>
      </c>
      <c r="B270" t="str">
        <f>'RESUMEN TOTAL'!C273</f>
        <v>SRO01</v>
      </c>
      <c r="C270" t="str">
        <f>'RESUMEN TOTAL'!D273</f>
        <v>Yugoslavia y Milani</v>
      </c>
      <c r="D270" t="str">
        <f>'RESUMEN TOTAL'!E273</f>
        <v>Domo</v>
      </c>
      <c r="E270" t="str">
        <f>'RESUMEN TOTAL'!F273</f>
        <v>Radio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</row>
    <row r="271" spans="1:33" x14ac:dyDescent="0.25">
      <c r="A271" t="str">
        <f>'RESUMEN TOTAL'!A274</f>
        <v>ZONA RURAL SANTA ROSA</v>
      </c>
      <c r="B271" t="str">
        <f>'RESUMEN TOTAL'!C274</f>
        <v>SRO02</v>
      </c>
      <c r="C271" t="str">
        <f>'RESUMEN TOTAL'!D274</f>
        <v>Bruselas y Calle 448</v>
      </c>
      <c r="D271" t="str">
        <f>'RESUMEN TOTAL'!E274</f>
        <v>Domo</v>
      </c>
      <c r="E271" t="str">
        <f>'RESUMEN TOTAL'!F274</f>
        <v>Radio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</row>
    <row r="272" spans="1:33" x14ac:dyDescent="0.25">
      <c r="A272" t="str">
        <f>'RESUMEN TOTAL'!A275</f>
        <v>SANTA ROSA</v>
      </c>
      <c r="B272" t="str">
        <f>'RESUMEN TOTAL'!C275</f>
        <v>SRO03</v>
      </c>
      <c r="C272" t="str">
        <f>'RESUMEN TOTAL'!D275</f>
        <v>Eva Peron y Paysandu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</row>
    <row r="273" spans="1:33" x14ac:dyDescent="0.25">
      <c r="A273" t="str">
        <f>'RESUMEN TOTAL'!A276</f>
        <v>SANTA ROSA</v>
      </c>
      <c r="B273" t="str">
        <f>'RESUMEN TOTAL'!C276</f>
        <v>SRO04</v>
      </c>
      <c r="C273" t="str">
        <f>'RESUMEN TOTAL'!D276</f>
        <v>Belgica y Andorra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 t="str">
        <f>'RESUMEN TOTAL'!P276</f>
        <v>APAGADO</v>
      </c>
      <c r="H273" t="str">
        <f>'RESUMEN TOTAL'!Q276</f>
        <v>APAGADO</v>
      </c>
      <c r="I273" t="str">
        <f>'RESUMEN TOTAL'!R276</f>
        <v>APAGADO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</row>
    <row r="274" spans="1:33" x14ac:dyDescent="0.25">
      <c r="A274" t="str">
        <f>'RESUMEN TOTAL'!A277</f>
        <v>SANTA ROSA</v>
      </c>
      <c r="B274" t="str">
        <f>'RESUMEN TOTAL'!C277</f>
        <v>SRO11</v>
      </c>
      <c r="C274" t="str">
        <f>'RESUMEN TOTAL'!D277</f>
        <v>MILAN Y MALLORCA</v>
      </c>
      <c r="D274" t="str">
        <f>'RESUMEN TOTAL'!E277</f>
        <v>DOMO</v>
      </c>
      <c r="E274" t="str">
        <f>'RESUMEN TOTAL'!F277</f>
        <v>Radio</v>
      </c>
      <c r="F274" t="str">
        <f>'RESUMEN TOTAL'!O277</f>
        <v>APAGADO</v>
      </c>
      <c r="G274" t="str">
        <f>'RESUMEN TOTAL'!P277</f>
        <v>APAGADO</v>
      </c>
      <c r="H274" t="str">
        <f>'RESUMEN TOTAL'!Q277</f>
        <v>APAGADO</v>
      </c>
      <c r="I274" t="str">
        <f>'RESUMEN TOTAL'!R277</f>
        <v>APAGADO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</row>
    <row r="275" spans="1:33" x14ac:dyDescent="0.25">
      <c r="A275" t="str">
        <f>'RESUMEN TOTAL'!A278</f>
        <v>SANTA ROSA</v>
      </c>
      <c r="B275" t="str">
        <f>'RESUMEN TOTAL'!C278</f>
        <v>SRO12</v>
      </c>
      <c r="C275" t="str">
        <f>'RESUMEN TOTAL'!D278</f>
        <v>YUGOSLAVIA Y PAYSANDU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</row>
    <row r="276" spans="1:33" x14ac:dyDescent="0.25">
      <c r="A276" t="str">
        <f>'RESUMEN TOTAL'!A279</f>
        <v>ZONA RURAL SANTA ROSA</v>
      </c>
      <c r="B276" t="str">
        <f>'RESUMEN TOTAL'!C279</f>
        <v>SRO13 (fija 1)</v>
      </c>
      <c r="C276" t="str">
        <f>'RESUMEN TOTAL'!D279</f>
        <v>BRUSELAS E/ GRECIA Y CHECOSLOVAQUIA</v>
      </c>
      <c r="D276" t="str">
        <f>'RESUMEN TOTAL'!E279</f>
        <v>Fija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 t="str">
        <f>'RESUMEN TOTAL'!V279</f>
        <v>APAGADO</v>
      </c>
      <c r="N276" t="str">
        <f>'RESUMEN TOTAL'!W279</f>
        <v>APAGADO</v>
      </c>
      <c r="O276" t="str">
        <f>'RESUMEN TOTAL'!X279</f>
        <v>APAGADO</v>
      </c>
      <c r="P276" t="str">
        <f>'RESUMEN TOTAL'!Y279</f>
        <v>APAGADO</v>
      </c>
      <c r="Q276" t="str">
        <f>'RESUMEN TOTAL'!Z279</f>
        <v>APAGADO</v>
      </c>
      <c r="R276" t="str">
        <f>'RESUMEN TOTAL'!AA279</f>
        <v>APAGADO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</row>
    <row r="277" spans="1:33" x14ac:dyDescent="0.25">
      <c r="A277" t="str">
        <f>'RESUMEN TOTAL'!A280</f>
        <v>ZONA RURAL SANTA ROSA</v>
      </c>
      <c r="B277" t="str">
        <f>'RESUMEN TOTAL'!C280</f>
        <v>SRO14 (fija 2)</v>
      </c>
      <c r="C277" t="str">
        <f>'RESUMEN TOTAL'!D280</f>
        <v>BRUSELAS E/ GRECIA Y CHECOSLOVAQUIA</v>
      </c>
      <c r="D277" t="str">
        <f>'RESUMEN TOTAL'!E280</f>
        <v>Fija</v>
      </c>
      <c r="E277" t="str">
        <f>'RESUMEN TOTAL'!F280</f>
        <v>RADIO</v>
      </c>
      <c r="F277" t="str">
        <f>'RESUMEN TOTAL'!O280</f>
        <v>APAGADO</v>
      </c>
      <c r="G277" t="str">
        <f>'RESUMEN TOTAL'!P280</f>
        <v>APAGADO</v>
      </c>
      <c r="H277" t="str">
        <f>'RESUMEN TOTAL'!Q280</f>
        <v>APAGADO</v>
      </c>
      <c r="I277" t="str">
        <f>'RESUMEN TOTAL'!R280</f>
        <v>APAGADO</v>
      </c>
      <c r="J277">
        <f>'RESUMEN TOTAL'!S280</f>
        <v>0</v>
      </c>
      <c r="K277">
        <f>'RESUMEN TOTAL'!T280</f>
        <v>0</v>
      </c>
      <c r="L277" t="str">
        <f>'RESUMEN TOTAL'!U280</f>
        <v>APAGADO</v>
      </c>
      <c r="M277" t="str">
        <f>'RESUMEN TOTAL'!V280</f>
        <v>APAGADO</v>
      </c>
      <c r="N277" t="str">
        <f>'RESUMEN TOTAL'!W280</f>
        <v>APAGADO</v>
      </c>
      <c r="O277" t="str">
        <f>'RESUMEN TOTAL'!X280</f>
        <v>APAGADO</v>
      </c>
      <c r="P277" t="str">
        <f>'RESUMEN TOTAL'!Y280</f>
        <v>APAGADO</v>
      </c>
      <c r="Q277" t="str">
        <f>'RESUMEN TOTAL'!Z280</f>
        <v>APAGADO</v>
      </c>
      <c r="R277" t="str">
        <f>'RESUMEN TOTAL'!AA280</f>
        <v>APAGADO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</row>
    <row r="278" spans="1:33" x14ac:dyDescent="0.25">
      <c r="A278" t="str">
        <f>'RESUMEN TOTAL'!A281</f>
        <v>SANTA ROSA</v>
      </c>
      <c r="B278" t="str">
        <f>'RESUMEN TOTAL'!C281</f>
        <v>SRO15</v>
      </c>
      <c r="C278" t="str">
        <f>'RESUMEN TOTAL'!D281</f>
        <v>NOVAK Y TIRANA (614)</v>
      </c>
      <c r="D278" t="str">
        <f>'RESUMEN TOTAL'!E281</f>
        <v>DOMO</v>
      </c>
      <c r="E278" t="str">
        <f>'RESUMEN TOTAL'!F281</f>
        <v>Fibra Optica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</row>
    <row r="279" spans="1:33" x14ac:dyDescent="0.25">
      <c r="A279" t="str">
        <f>'RESUMEN TOTAL'!A282</f>
        <v>SANTA ROSA</v>
      </c>
      <c r="B279" t="str">
        <f>'RESUMEN TOTAL'!C282</f>
        <v>SRO18 (fija 1)</v>
      </c>
      <c r="C279" t="str">
        <f>'RESUMEN TOTAL'!D282</f>
        <v>GRAN CANARIA Y BUDAPEST</v>
      </c>
      <c r="D279" t="str">
        <f>'RESUMEN TOTAL'!E282</f>
        <v>Fija</v>
      </c>
      <c r="E279" t="str">
        <f>'RESUMEN TOTAL'!F282</f>
        <v>Fibra Optica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</row>
    <row r="280" spans="1:33" x14ac:dyDescent="0.25">
      <c r="A280" t="str">
        <f>'RESUMEN TOTAL'!A283</f>
        <v>SANTA ROSA</v>
      </c>
      <c r="B280" t="str">
        <f>'RESUMEN TOTAL'!C283</f>
        <v>SRO19 (fija 2)</v>
      </c>
      <c r="C280" t="str">
        <f>'RESUMEN TOTAL'!D283</f>
        <v>GRAN CANARIA Y BUDAPEST</v>
      </c>
      <c r="D280" t="str">
        <f>'RESUMEN TOTAL'!E283</f>
        <v>Fija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</row>
    <row r="281" spans="1:33" x14ac:dyDescent="0.25">
      <c r="A281" t="str">
        <f>'RESUMEN TOTAL'!A284</f>
        <v>SAN RUDECINDO</v>
      </c>
      <c r="B281" t="str">
        <f>'RESUMEN TOTAL'!C284</f>
        <v>SRU01 (fija 1)</v>
      </c>
      <c r="C281" t="str">
        <f>'RESUMEN TOTAL'!D284</f>
        <v>HERNANDARIAS Y AMBATO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</row>
    <row r="282" spans="1:33" x14ac:dyDescent="0.25">
      <c r="A282" t="str">
        <f>'RESUMEN TOTAL'!A285</f>
        <v>SAN RUDECINDO</v>
      </c>
      <c r="B282" t="str">
        <f>'RESUMEN TOTAL'!C285</f>
        <v>SRU02 (fija 2)</v>
      </c>
      <c r="C282" t="str">
        <f>'RESUMEN TOTAL'!D285</f>
        <v>HERNANDARIAS Y AMBATO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</row>
    <row r="283" spans="1:33" x14ac:dyDescent="0.25">
      <c r="A283" t="str">
        <f>'RESUMEN TOTAL'!A286</f>
        <v>VILLA ANGELICA</v>
      </c>
      <c r="B283" t="str">
        <f>'RESUMEN TOTAL'!C286</f>
        <v>VANG01</v>
      </c>
      <c r="C283" t="str">
        <f>'RESUMEN TOTAL'!D286</f>
        <v>Senzabello y Necochea</v>
      </c>
      <c r="D283" t="str">
        <f>'RESUMEN TOTAL'!E286</f>
        <v>Domo</v>
      </c>
      <c r="E283" t="str">
        <f>'RESUMEN TOTAL'!F286</f>
        <v>PTP A FO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 t="str">
        <f>'RESUMEN TOTAL'!Y286</f>
        <v>APAGADO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</row>
    <row r="284" spans="1:33" x14ac:dyDescent="0.25">
      <c r="A284" t="str">
        <f>'RESUMEN TOTAL'!A287</f>
        <v>VILLA ANGELICA</v>
      </c>
      <c r="B284" t="str">
        <f>'RESUMEN TOTAL'!C287</f>
        <v>VANG02</v>
      </c>
      <c r="C284" t="str">
        <f>'RESUMEN TOTAL'!D287</f>
        <v>Thevenet y Ruta 36</v>
      </c>
      <c r="D284" t="str">
        <f>'RESUMEN TOTAL'!E287</f>
        <v>Domo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</row>
    <row r="285" spans="1:33" x14ac:dyDescent="0.25">
      <c r="A285" t="str">
        <f>'RESUMEN TOTAL'!A288</f>
        <v>VILLA DEL PLATA</v>
      </c>
      <c r="B285" t="str">
        <f>'RESUMEN TOTAL'!C288</f>
        <v>VANG03</v>
      </c>
      <c r="C285" t="str">
        <f>'RESUMEN TOTAL'!D288</f>
        <v>Thevenet 1950</v>
      </c>
      <c r="D285" t="str">
        <f>'RESUMEN TOTAL'!E288</f>
        <v>Domo</v>
      </c>
      <c r="E285" t="str">
        <f>'RESUMEN TOTAL'!F288</f>
        <v>Fibra Optica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</row>
    <row r="286" spans="1:33" x14ac:dyDescent="0.25">
      <c r="A286" t="str">
        <f>'RESUMEN TOTAL'!A289</f>
        <v>VILLA ANGELICA</v>
      </c>
      <c r="B286" t="str">
        <f>'RESUMEN TOTAL'!C289</f>
        <v>VANG04</v>
      </c>
      <c r="C286" t="str">
        <f>'RESUMEN TOTAL'!D289</f>
        <v>Storni e/Thevenet y Calle 158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</row>
    <row r="287" spans="1:33" x14ac:dyDescent="0.25">
      <c r="A287" t="str">
        <f>'RESUMEN TOTAL'!A290</f>
        <v>VILLA ANGELICA</v>
      </c>
      <c r="B287" t="str">
        <f>'RESUMEN TOTAL'!C290</f>
        <v>VANG05</v>
      </c>
      <c r="C287" t="str">
        <f>'RESUMEN TOTAL'!D290</f>
        <v>Storni y Thevenet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</row>
    <row r="288" spans="1:33" x14ac:dyDescent="0.25">
      <c r="A288" t="str">
        <f>'RESUMEN TOTAL'!A291</f>
        <v>VILLA ANGELICA</v>
      </c>
      <c r="B288" t="str">
        <f>'RESUMEN TOTAL'!C291</f>
        <v>VANG06</v>
      </c>
      <c r="C288" t="str">
        <f>'RESUMEN TOTAL'!D291</f>
        <v>Arenales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</row>
    <row r="289" spans="1:33" x14ac:dyDescent="0.25">
      <c r="A289" t="str">
        <f>'RESUMEN TOTAL'!A292</f>
        <v>VILLA ANGELICA</v>
      </c>
      <c r="B289" t="str">
        <f>'RESUMEN TOTAL'!C292</f>
        <v>VANG07</v>
      </c>
      <c r="C289" t="str">
        <f>'RESUMEN TOTAL'!D292</f>
        <v>Arenales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</row>
    <row r="290" spans="1:33" x14ac:dyDescent="0.25">
      <c r="A290" t="str">
        <f>'RESUMEN TOTAL'!A293</f>
        <v>VILLA ANGELICA</v>
      </c>
      <c r="B290" t="str">
        <f>'RESUMEN TOTAL'!C293</f>
        <v>VANG08</v>
      </c>
      <c r="C290" t="str">
        <f>'RESUMEN TOTAL'!D293</f>
        <v>Calle 158 al 2200</v>
      </c>
      <c r="D290" t="str">
        <f>'RESUMEN TOTAL'!E293</f>
        <v>Domo</v>
      </c>
      <c r="E290" t="str">
        <f>'RESUMEN TOTAL'!F293</f>
        <v>PTP A FO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</row>
    <row r="291" spans="1:33" x14ac:dyDescent="0.25">
      <c r="A291" t="str">
        <f>'RESUMEN TOTAL'!A294</f>
        <v>PRESIDENTE SARMIENTO</v>
      </c>
      <c r="B291" t="str">
        <f>'RESUMEN TOTAL'!C294</f>
        <v>VANG09</v>
      </c>
      <c r="C291" t="str">
        <f>'RESUMEN TOTAL'!D294</f>
        <v>Ruta 36 y Senzabello</v>
      </c>
      <c r="D291" t="str">
        <f>'RESUMEN TOTAL'!E294</f>
        <v>Domo</v>
      </c>
      <c r="E291" t="str">
        <f>'RESUMEN TOTAL'!F294</f>
        <v>PTP A FO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 t="str">
        <f>'RESUMEN TOTAL'!Y294</f>
        <v>APAGADO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</row>
    <row r="292" spans="1:33" x14ac:dyDescent="0.25">
      <c r="A292" t="str">
        <f>'RESUMEN TOTAL'!A295</f>
        <v>VILLA ARGENTINA</v>
      </c>
      <c r="B292" t="str">
        <f>'RESUMEN TOTAL'!C295</f>
        <v>VAR 01</v>
      </c>
      <c r="C292" t="str">
        <f>'RESUMEN TOTAL'!D295</f>
        <v>Calle 519 y 546</v>
      </c>
      <c r="D292" t="str">
        <f>'RESUMEN TOTAL'!E295</f>
        <v>Domo</v>
      </c>
      <c r="E292" t="str">
        <f>'RESUMEN TOTAL'!F295</f>
        <v>Radio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 t="str">
        <f>'RESUMEN TOTAL'!T295</f>
        <v>APAGADO</v>
      </c>
      <c r="L292">
        <f>'RESUMEN TOTAL'!U295</f>
        <v>0</v>
      </c>
      <c r="M292" t="str">
        <f>'RESUMEN TOTAL'!V295</f>
        <v>APAGADO</v>
      </c>
      <c r="N292" t="str">
        <f>'RESUMEN TOTAL'!W295</f>
        <v>APAGADO</v>
      </c>
      <c r="O292" t="str">
        <f>'RESUMEN TOTAL'!X295</f>
        <v>APAGADO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</row>
    <row r="293" spans="1:33" x14ac:dyDescent="0.25">
      <c r="A293" t="str">
        <f>'RESUMEN TOTAL'!A296</f>
        <v>VILLA ARGENTINA</v>
      </c>
      <c r="B293" t="str">
        <f>'RESUMEN TOTAL'!C296</f>
        <v>VAR 02</v>
      </c>
      <c r="C293" t="str">
        <f>'RESUMEN TOTAL'!D296</f>
        <v>DIAGONAL LOS TILOS Y 542</v>
      </c>
      <c r="D293" t="str">
        <f>'RESUMEN TOTAL'!E296</f>
        <v>DOMO</v>
      </c>
      <c r="E293" t="str">
        <f>'RESUMEN TOTAL'!F296</f>
        <v>Radio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</row>
    <row r="294" spans="1:33" x14ac:dyDescent="0.25">
      <c r="A294" t="str">
        <f>'RESUMEN TOTAL'!A297</f>
        <v>VILLA ARGENTINA</v>
      </c>
      <c r="B294" t="str">
        <f>'RESUMEN TOTAL'!C297</f>
        <v>VAR03 (fija 1)</v>
      </c>
      <c r="C294" t="str">
        <f>'RESUMEN TOTAL'!D297</f>
        <v>509 y 546</v>
      </c>
      <c r="D294" t="str">
        <f>'RESUMEN TOTAL'!E297</f>
        <v>Fija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</row>
    <row r="295" spans="1:33" x14ac:dyDescent="0.25">
      <c r="A295" t="str">
        <f>'RESUMEN TOTAL'!A298</f>
        <v>VILLA ARGENTINA</v>
      </c>
      <c r="B295" t="str">
        <f>'RESUMEN TOTAL'!C298</f>
        <v>VAR04 (fija 2)</v>
      </c>
      <c r="C295" t="str">
        <f>'RESUMEN TOTAL'!D298</f>
        <v>509 y 546</v>
      </c>
      <c r="D295" t="str">
        <f>'RESUMEN TOTAL'!E298</f>
        <v>Fija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</row>
    <row r="296" spans="1:33" x14ac:dyDescent="0.25">
      <c r="A296" t="str">
        <f>'RESUMEN TOTAL'!A299</f>
        <v>VILLA ARGENTINA</v>
      </c>
      <c r="B296" t="str">
        <f>'RESUMEN TOTAL'!C299</f>
        <v>VAR05 (fija 1)</v>
      </c>
      <c r="C296" t="str">
        <f>'RESUMEN TOTAL'!D299</f>
        <v>511 E/ 544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</row>
    <row r="297" spans="1:33" x14ac:dyDescent="0.25">
      <c r="A297" t="str">
        <f>'RESUMEN TOTAL'!A300</f>
        <v>VILLA ARGENTINA</v>
      </c>
      <c r="B297" t="str">
        <f>'RESUMEN TOTAL'!C300</f>
        <v>VAR06 (fija 2)</v>
      </c>
      <c r="C297" t="str">
        <f>'RESUMEN TOTAL'!D300</f>
        <v>511 E/ 544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</row>
    <row r="298" spans="1:33" x14ac:dyDescent="0.25">
      <c r="A298" t="str">
        <f>'RESUMEN TOTAL'!A301</f>
        <v>VILLA ARGENTINA</v>
      </c>
      <c r="B298" t="str">
        <f>'RESUMEN TOTAL'!C301</f>
        <v>VAR07</v>
      </c>
      <c r="C298" t="str">
        <f>'RESUMEN TOTAL'!D301</f>
        <v>DIAG. LOS TILOS Y 517</v>
      </c>
      <c r="D298" t="str">
        <f>'RESUMEN TOTAL'!E301</f>
        <v>DOMO</v>
      </c>
      <c r="E298" t="str">
        <f>'RESUMEN TOTAL'!F301</f>
        <v>Fibra Optica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</row>
    <row r="299" spans="1:33" x14ac:dyDescent="0.25">
      <c r="A299" t="str">
        <f>'RESUMEN TOTAL'!A302</f>
        <v>VILLA ARGENTINA</v>
      </c>
      <c r="B299" t="str">
        <f>'RESUMEN TOTAL'!C302</f>
        <v>VAR08 (fija 1)</v>
      </c>
      <c r="C299" t="str">
        <f>'RESUMEN TOTAL'!D302</f>
        <v>534 Y 523</v>
      </c>
      <c r="D299" t="str">
        <f>'RESUMEN TOTAL'!E302</f>
        <v>Fija</v>
      </c>
      <c r="E299" t="str">
        <f>'RESUMEN TOTAL'!F302</f>
        <v>Fibra Optica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 t="str">
        <f>'RESUMEN TOTAL'!Y302</f>
        <v>APAGADO</v>
      </c>
      <c r="Q299" t="str">
        <f>'RESUMEN TOTAL'!Z302</f>
        <v>APAGADO</v>
      </c>
      <c r="R299" t="str">
        <f>'RESUMEN TOTAL'!AA302</f>
        <v>APAGADO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</row>
    <row r="300" spans="1:33" x14ac:dyDescent="0.25">
      <c r="A300" t="str">
        <f>'RESUMEN TOTAL'!A303</f>
        <v>VILLA ARGENTINA</v>
      </c>
      <c r="B300" t="str">
        <f>'RESUMEN TOTAL'!C303</f>
        <v>VAR09 (fija 2)</v>
      </c>
      <c r="C300" t="str">
        <f>'RESUMEN TOTAL'!D303</f>
        <v>534 Y 523</v>
      </c>
      <c r="D300" t="str">
        <f>'RESUMEN TOTAL'!E303</f>
        <v>Fija</v>
      </c>
      <c r="E300" t="str">
        <f>'RESUMEN TOTAL'!F303</f>
        <v>Fibra Optica</v>
      </c>
      <c r="F300">
        <f>'RESUMEN TOTAL'!O303</f>
        <v>0</v>
      </c>
      <c r="G300">
        <f>'RESUMEN TOTAL'!P303</f>
        <v>0</v>
      </c>
      <c r="H300">
        <f>'RESUMEN TOTAL'!Q303</f>
        <v>0</v>
      </c>
      <c r="I300">
        <f>'RESUMEN TOTAL'!R303</f>
        <v>0</v>
      </c>
      <c r="J300">
        <f>'RESUMEN TOTAL'!S303</f>
        <v>0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 t="str">
        <f>'RESUMEN TOTAL'!Y303</f>
        <v>APAGADO</v>
      </c>
      <c r="Q300" t="str">
        <f>'RESUMEN TOTAL'!Z303</f>
        <v>APAGADO</v>
      </c>
      <c r="R300" t="str">
        <f>'RESUMEN TOTAL'!AA303</f>
        <v>APAGADO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</row>
    <row r="301" spans="1:33" x14ac:dyDescent="0.25">
      <c r="A301" t="str">
        <f>'RESUMEN TOTAL'!A304</f>
        <v>VILLA ARGENTINA</v>
      </c>
      <c r="B301" t="str">
        <f>'RESUMEN TOTAL'!C304</f>
        <v>VAR10 (fija 1)</v>
      </c>
      <c r="C301" t="str">
        <f>'RESUMEN TOTAL'!D304</f>
        <v>532 A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 t="str">
        <f>'RESUMEN TOTAL'!Y304</f>
        <v>APAGADO</v>
      </c>
      <c r="Q301" t="str">
        <f>'RESUMEN TOTAL'!Z304</f>
        <v>APAGADO</v>
      </c>
      <c r="R301" t="str">
        <f>'RESUMEN TOTAL'!AA304</f>
        <v>APAGADO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</row>
    <row r="302" spans="1:33" x14ac:dyDescent="0.25">
      <c r="A302" t="str">
        <f>'RESUMEN TOTAL'!A305</f>
        <v>VILLA ARGENTINA</v>
      </c>
      <c r="B302" t="str">
        <f>'RESUMEN TOTAL'!C305</f>
        <v>VAR11 (fija 2)</v>
      </c>
      <c r="C302" t="str">
        <f>'RESUMEN TOTAL'!D305</f>
        <v>532 A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 t="str">
        <f>'RESUMEN TOTAL'!Y305</f>
        <v>APAGADO</v>
      </c>
      <c r="Q302" t="str">
        <f>'RESUMEN TOTAL'!Z305</f>
        <v>APAGADO</v>
      </c>
      <c r="R302" t="str">
        <f>'RESUMEN TOTAL'!AA305</f>
        <v>APAGADO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</row>
    <row r="303" spans="1:33" x14ac:dyDescent="0.25">
      <c r="A303">
        <f>'RESUMEN TOTAL'!A306</f>
        <v>0</v>
      </c>
      <c r="B303" t="str">
        <f>'RESUMEN TOTAL'!C306</f>
        <v>VAT 12</v>
      </c>
      <c r="C303" t="str">
        <f>'RESUMEN TOTAL'!D306</f>
        <v>12 DE OCTUBRE Y CHACO</v>
      </c>
      <c r="D303" t="str">
        <f>'RESUMEN TOTAL'!E306</f>
        <v>DOMO</v>
      </c>
      <c r="E303" t="str">
        <f>'RESUMEN TOTAL'!F306</f>
        <v>PTP A FO</v>
      </c>
      <c r="F303" t="str">
        <f>'RESUMEN TOTAL'!O306</f>
        <v>APAGADO</v>
      </c>
      <c r="G303" t="str">
        <f>'RESUMEN TOTAL'!P306</f>
        <v>APAGADO</v>
      </c>
      <c r="H303">
        <f>'RESUMEN TOTAL'!Q306</f>
        <v>0</v>
      </c>
      <c r="I303">
        <f>'RESUMEN TOTAL'!R306</f>
        <v>0</v>
      </c>
      <c r="J303" t="str">
        <f>'RESUMEN TOTAL'!S306</f>
        <v>APAGADO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 t="str">
        <f>'RESUMEN TOTAL'!AA306</f>
        <v>APAGADO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</row>
    <row r="304" spans="1:33" x14ac:dyDescent="0.25">
      <c r="A304" t="str">
        <f>'RESUMEN TOTAL'!A307</f>
        <v>VILLA VATTEONE CENTRO</v>
      </c>
      <c r="B304" t="str">
        <f>'RESUMEN TOTAL'!C307</f>
        <v>VAT 13</v>
      </c>
      <c r="C304" t="str">
        <f>'RESUMEN TOTAL'!D307</f>
        <v>Av.12 de Octubre y Belgrano</v>
      </c>
      <c r="D304" t="str">
        <f>'RESUMEN TOTAL'!E307</f>
        <v>Domo</v>
      </c>
      <c r="E304" t="str">
        <f>'RESUMEN TOTAL'!F307</f>
        <v>PTP A FO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</row>
    <row r="305" spans="1:33" x14ac:dyDescent="0.25">
      <c r="A305">
        <f>'RESUMEN TOTAL'!A308</f>
        <v>0</v>
      </c>
      <c r="B305" t="str">
        <f>'RESUMEN TOTAL'!C308</f>
        <v>VAT 15</v>
      </c>
      <c r="C305" t="str">
        <f>'RESUMEN TOTAL'!D308</f>
        <v>CORRIENTES Y VICENTE LOPEZ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</row>
    <row r="306" spans="1:33" x14ac:dyDescent="0.25">
      <c r="A306" t="str">
        <f>'RESUMEN TOTAL'!A309</f>
        <v>VILLA VATTEONE</v>
      </c>
      <c r="B306" t="str">
        <f>'RESUMEN TOTAL'!C309</f>
        <v>VAT 16</v>
      </c>
      <c r="C306" t="str">
        <f>'RESUMEN TOTAL'!D309</f>
        <v>MONTEVIDEO Y CHACO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</row>
    <row r="307" spans="1:33" x14ac:dyDescent="0.25">
      <c r="A307" t="str">
        <f>'RESUMEN TOTAL'!A310</f>
        <v>VILLA VATTEONE</v>
      </c>
      <c r="B307" t="str">
        <f>'RESUMEN TOTAL'!C310</f>
        <v>VAT 17</v>
      </c>
      <c r="C307" t="str">
        <f>'RESUMEN TOTAL'!D310</f>
        <v>CHAÑAR Y URUGUAY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</row>
    <row r="308" spans="1:33" x14ac:dyDescent="0.25">
      <c r="A308" t="str">
        <f>'RESUMEN TOTAL'!A311</f>
        <v>VILLA VATTEONE CENTRO</v>
      </c>
      <c r="B308" t="str">
        <f>'RESUMEN TOTAL'!C311</f>
        <v>VAT 18</v>
      </c>
      <c r="C308" t="str">
        <f>'RESUMEN TOTAL'!D311</f>
        <v>LAVALLE Y FONROUGE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 t="str">
        <f>'RESUMEN TOTAL'!AA311</f>
        <v>APAGADO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</row>
    <row r="309" spans="1:33" x14ac:dyDescent="0.25">
      <c r="A309" t="str">
        <f>'RESUMEN TOTAL'!A312</f>
        <v>VILLA VATTEONE CENTRO</v>
      </c>
      <c r="B309" t="str">
        <f>'RESUMEN TOTAL'!C312</f>
        <v>VAT 19</v>
      </c>
      <c r="C309" t="str">
        <f>'RESUMEN TOTAL'!D312</f>
        <v>QUINTANA Y FONROUGE ( TUCUMAN )</v>
      </c>
      <c r="D309" t="str">
        <f>'RESUMEN TOTAL'!E312</f>
        <v>DOMO</v>
      </c>
      <c r="E309" t="str">
        <f>'RESUMEN TOTAL'!F312</f>
        <v>Radio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</row>
    <row r="310" spans="1:33" x14ac:dyDescent="0.25">
      <c r="A310" t="str">
        <f>'RESUMEN TOTAL'!A313</f>
        <v>VILLA VATTEONE</v>
      </c>
      <c r="B310" t="str">
        <f>'RESUMEN TOTAL'!C313</f>
        <v>VAT 20</v>
      </c>
      <c r="C310" t="str">
        <f>'RESUMEN TOTAL'!D313</f>
        <v>URUGUAY Y PILCOMAYO</v>
      </c>
      <c r="D310" t="str">
        <f>'RESUMEN TOTAL'!E313</f>
        <v>FIJA</v>
      </c>
      <c r="E310" t="str">
        <f>'RESUMEN TOTAL'!F313</f>
        <v>Radio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 t="str">
        <f>'RESUMEN TOTAL'!AA313</f>
        <v>APAGADO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</row>
    <row r="311" spans="1:33" x14ac:dyDescent="0.25">
      <c r="A311" t="str">
        <f>'RESUMEN TOTAL'!A314</f>
        <v>VILLA VATTEONE</v>
      </c>
      <c r="B311" t="str">
        <f>'RESUMEN TOTAL'!C314</f>
        <v>VAT01</v>
      </c>
      <c r="C311" t="str">
        <f>'RESUMEN TOTAL'!D314</f>
        <v>Montevideo y El Chañar</v>
      </c>
      <c r="D311" t="str">
        <f>'RESUMEN TOTAL'!E314</f>
        <v>Domo</v>
      </c>
      <c r="E311" t="str">
        <f>'RESUMEN TOTAL'!F314</f>
        <v>Fibra Optica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</row>
    <row r="312" spans="1:33" x14ac:dyDescent="0.25">
      <c r="A312" t="str">
        <f>'RESUMEN TOTAL'!A315</f>
        <v>VILLA VATTEONE CENTRO</v>
      </c>
      <c r="B312" t="str">
        <f>'RESUMEN TOTAL'!C315</f>
        <v>VAT02</v>
      </c>
      <c r="C312" t="str">
        <f>'RESUMEN TOTAL'!D315</f>
        <v>Eva Peron y 12 de Octubre</v>
      </c>
      <c r="D312" t="str">
        <f>'RESUMEN TOTAL'!E315</f>
        <v>Domo</v>
      </c>
      <c r="E312" t="str">
        <f>'RESUMEN TOTAL'!F315</f>
        <v>Fibra Optica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</row>
    <row r="313" spans="1:33" x14ac:dyDescent="0.25">
      <c r="A313" t="str">
        <f>'RESUMEN TOTAL'!A316</f>
        <v>VILLA VATTEONE CENTRO</v>
      </c>
      <c r="B313" t="str">
        <f>'RESUMEN TOTAL'!C316</f>
        <v>VAT03</v>
      </c>
      <c r="C313" t="str">
        <f>'RESUMEN TOTAL'!D316</f>
        <v>Lavalle y Belgrano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</row>
    <row r="314" spans="1:33" x14ac:dyDescent="0.25">
      <c r="A314" t="str">
        <f>'RESUMEN TOTAL'!A317</f>
        <v>VILLA VATTEONE CENTRO</v>
      </c>
      <c r="B314" t="str">
        <f>'RESUMEN TOTAL'!C317</f>
        <v>VAT04</v>
      </c>
      <c r="C314" t="str">
        <f>'RESUMEN TOTAL'!D317</f>
        <v>Lavalle y Entre Rios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</row>
    <row r="315" spans="1:33" x14ac:dyDescent="0.25">
      <c r="A315" t="str">
        <f>'RESUMEN TOTAL'!A318</f>
        <v>VILLA VATTEONE CENTRO</v>
      </c>
      <c r="B315" t="str">
        <f>'RESUMEN TOTAL'!C318</f>
        <v>VAT05</v>
      </c>
      <c r="C315" t="str">
        <f>'RESUMEN TOTAL'!D318</f>
        <v>Lavalle y Colombia</v>
      </c>
      <c r="D315" t="str">
        <f>'RESUMEN TOTAL'!E318</f>
        <v>Domo</v>
      </c>
      <c r="E315" t="str">
        <f>'RESUMEN TOTAL'!F318</f>
        <v>Radio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</row>
    <row r="316" spans="1:33" x14ac:dyDescent="0.25">
      <c r="A316" t="str">
        <f>'RESUMEN TOTAL'!A319</f>
        <v>VILLA VATTEONE CENTRO</v>
      </c>
      <c r="B316" t="str">
        <f>'RESUMEN TOTAL'!C319</f>
        <v>VAT06</v>
      </c>
      <c r="C316" t="str">
        <f>'RESUMEN TOTAL'!D319</f>
        <v>Eva Peron y Pueyrredon</v>
      </c>
      <c r="D316" t="str">
        <f>'RESUMEN TOTAL'!E319</f>
        <v>Domo</v>
      </c>
      <c r="E316" t="str">
        <f>'RESUMEN TOTAL'!F319</f>
        <v>Fibra Optica</v>
      </c>
      <c r="F316" t="str">
        <f>'RESUMEN TOTAL'!O319</f>
        <v>APAGADO</v>
      </c>
      <c r="G316" t="str">
        <f>'RESUMEN TOTAL'!P319</f>
        <v>APAGADO</v>
      </c>
      <c r="H316" t="str">
        <f>'RESUMEN TOTAL'!Q319</f>
        <v>APAGADO</v>
      </c>
      <c r="I316" t="str">
        <f>'RESUMEN TOTAL'!R319</f>
        <v>APAGADO</v>
      </c>
      <c r="J316" t="str">
        <f>'RESUMEN TOTAL'!S319</f>
        <v>APAGADO</v>
      </c>
      <c r="K316" t="str">
        <f>'RESUMEN TOTAL'!T319</f>
        <v>APAGADO</v>
      </c>
      <c r="L316" t="str">
        <f>'RESUMEN TOTAL'!U319</f>
        <v>APAGADO</v>
      </c>
      <c r="M316" t="str">
        <f>'RESUMEN TOTAL'!V319</f>
        <v>APAGADO</v>
      </c>
      <c r="N316" t="str">
        <f>'RESUMEN TOTAL'!W319</f>
        <v>APAGADO</v>
      </c>
      <c r="O316" t="str">
        <f>'RESUMEN TOTAL'!X319</f>
        <v>APAGADO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</row>
    <row r="317" spans="1:33" x14ac:dyDescent="0.25">
      <c r="A317" t="str">
        <f>'RESUMEN TOTAL'!A320</f>
        <v>VILLA VATTEONE CENTRO</v>
      </c>
      <c r="B317" t="str">
        <f>'RESUMEN TOTAL'!C320</f>
        <v>VAT07</v>
      </c>
      <c r="C317" t="str">
        <f>'RESUMEN TOTAL'!D320</f>
        <v>Eva Peron y Lavalle</v>
      </c>
      <c r="D317" t="str">
        <f>'RESUMEN TOTAL'!E320</f>
        <v>DOMO</v>
      </c>
      <c r="E317" t="str">
        <f>'RESUMEN TOTAL'!F320</f>
        <v>PTP A FO</v>
      </c>
      <c r="F317" t="str">
        <f>'RESUMEN TOTAL'!O320</f>
        <v>APAGADO</v>
      </c>
      <c r="G317" t="str">
        <f>'RESUMEN TOTAL'!P320</f>
        <v>APAGADO</v>
      </c>
      <c r="H317" t="str">
        <f>'RESUMEN TOTAL'!Q320</f>
        <v>APAGADO</v>
      </c>
      <c r="I317" t="str">
        <f>'RESUMEN TOTAL'!R320</f>
        <v>APAGADO</v>
      </c>
      <c r="J317" t="str">
        <f>'RESUMEN TOTAL'!S320</f>
        <v>APAGADO</v>
      </c>
      <c r="K317" t="str">
        <f>'RESUMEN TOTAL'!T320</f>
        <v>APAGADO</v>
      </c>
      <c r="L317" t="str">
        <f>'RESUMEN TOTAL'!U320</f>
        <v>APAGADO</v>
      </c>
      <c r="M317" t="str">
        <f>'RESUMEN TOTAL'!V320</f>
        <v>APAGADO</v>
      </c>
      <c r="N317" t="str">
        <f>'RESUMEN TOTAL'!W320</f>
        <v>APAGADO</v>
      </c>
      <c r="O317" t="str">
        <f>'RESUMEN TOTAL'!X320</f>
        <v>APAGADO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</row>
    <row r="318" spans="1:33" x14ac:dyDescent="0.25">
      <c r="A318" t="str">
        <f>'RESUMEN TOTAL'!A321</f>
        <v>VILLA VATTEONE</v>
      </c>
      <c r="B318" t="str">
        <f>'RESUMEN TOTAL'!C321</f>
        <v>VAT08</v>
      </c>
      <c r="C318" t="str">
        <f>'RESUMEN TOTAL'!D321</f>
        <v>12 de Octubre y Florida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</row>
    <row r="319" spans="1:33" x14ac:dyDescent="0.25">
      <c r="A319" t="str">
        <f>'RESUMEN TOTAL'!A322</f>
        <v>VILLA VATTEONE</v>
      </c>
      <c r="B319" t="str">
        <f>'RESUMEN TOTAL'!C322</f>
        <v>VAT09</v>
      </c>
      <c r="C319" t="str">
        <f>'RESUMEN TOTAL'!D322</f>
        <v>Montevideo y Alsina</v>
      </c>
      <c r="D319" t="str">
        <f>'RESUMEN TOTAL'!E322</f>
        <v>Domo</v>
      </c>
      <c r="E319" t="str">
        <f>'RESUMEN TOTAL'!F322</f>
        <v>Fibra Optica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</row>
    <row r="320" spans="1:33" x14ac:dyDescent="0.25">
      <c r="A320" t="str">
        <f>'RESUMEN TOTAL'!A323</f>
        <v>VILLA VATTEONE CENTRO</v>
      </c>
      <c r="B320" t="str">
        <f>'RESUMEN TOTAL'!C323</f>
        <v>VAT10</v>
      </c>
      <c r="C320" t="str">
        <f>'RESUMEN TOTAL'!D323</f>
        <v>Belgrano y Quintana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</row>
    <row r="321" spans="1:33" x14ac:dyDescent="0.25">
      <c r="A321" t="str">
        <f>'RESUMEN TOTAL'!A324</f>
        <v>VILLA VATTEONE</v>
      </c>
      <c r="B321" t="str">
        <f>'RESUMEN TOTAL'!C324</f>
        <v>VAT11</v>
      </c>
      <c r="C321" t="str">
        <f>'RESUMEN TOTAL'!D324</f>
        <v>Mainini y Montevideo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</row>
    <row r="322" spans="1:33" x14ac:dyDescent="0.25">
      <c r="A322">
        <f>'RESUMEN TOTAL'!A325</f>
        <v>0</v>
      </c>
      <c r="B322" t="str">
        <f>'RESUMEN TOTAL'!C325</f>
        <v>VAT14</v>
      </c>
      <c r="C322" t="str">
        <f>'RESUMEN TOTAL'!D325</f>
        <v>FLORIDA Y MONTEVIDEO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</row>
    <row r="323" spans="1:33" x14ac:dyDescent="0.25">
      <c r="A323" t="str">
        <f>'RESUMEN TOTAL'!A326</f>
        <v>VILLA VATTEONE CENTRO</v>
      </c>
      <c r="B323" t="str">
        <f>'RESUMEN TOTAL'!C326</f>
        <v>VAT21 (fija 1)</v>
      </c>
      <c r="C323" t="str">
        <f>'RESUMEN TOTAL'!D326</f>
        <v>QUINTANA E/ BELGRANO Y FONROUGE</v>
      </c>
      <c r="D323" t="str">
        <f>'RESUMEN TOTAL'!E326</f>
        <v>Fija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</row>
    <row r="324" spans="1:33" x14ac:dyDescent="0.25">
      <c r="A324" t="str">
        <f>'RESUMEN TOTAL'!A327</f>
        <v>VILLA VATTEONE CENTRO</v>
      </c>
      <c r="B324" t="str">
        <f>'RESUMEN TOTAL'!C327</f>
        <v>VAT22 (fija 2)</v>
      </c>
      <c r="C324" t="str">
        <f>'RESUMEN TOTAL'!D327</f>
        <v>QUINTANA E/ BELGRANO Y FONROUGE</v>
      </c>
      <c r="D324" t="str">
        <f>'RESUMEN TOTAL'!E327</f>
        <v>Fija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</row>
    <row r="325" spans="1:33" x14ac:dyDescent="0.25">
      <c r="A325" t="str">
        <f>'RESUMEN TOTAL'!A328</f>
        <v>VILLA VATTEONE CENTRO</v>
      </c>
      <c r="B325" t="str">
        <f>'RESUMEN TOTAL'!C328</f>
        <v>VAT23 (fija 1)</v>
      </c>
      <c r="C325" t="str">
        <f>'RESUMEN TOTAL'!D328</f>
        <v>EVA PERON Y "EL TUNEL" (BAJO NIVEL)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 t="str">
        <f>'RESUMEN TOTAL'!P328</f>
        <v>APAGADO</v>
      </c>
      <c r="H325" t="str">
        <f>'RESUMEN TOTAL'!Q328</f>
        <v>APAGADO</v>
      </c>
      <c r="I325" t="str">
        <f>'RESUMEN TOTAL'!R328</f>
        <v>APAGADO</v>
      </c>
      <c r="J325" t="str">
        <f>'RESUMEN TOTAL'!S328</f>
        <v>APAGADO</v>
      </c>
      <c r="K325" t="str">
        <f>'RESUMEN TOTAL'!T328</f>
        <v>APAGADO</v>
      </c>
      <c r="L325" t="str">
        <f>'RESUMEN TOTAL'!U328</f>
        <v>APAGADO</v>
      </c>
      <c r="M325" t="str">
        <f>'RESUMEN TOTAL'!V328</f>
        <v>APAGADO</v>
      </c>
      <c r="N325" t="str">
        <f>'RESUMEN TOTAL'!W328</f>
        <v>APAGADO</v>
      </c>
      <c r="O325" t="str">
        <f>'RESUMEN TOTAL'!X328</f>
        <v>APAGADO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</row>
    <row r="326" spans="1:33" x14ac:dyDescent="0.25">
      <c r="A326" t="str">
        <f>'RESUMEN TOTAL'!A329</f>
        <v>VILLA VATTEONE CENTRO</v>
      </c>
      <c r="B326" t="str">
        <f>'RESUMEN TOTAL'!C329</f>
        <v>VAT24 (fija 2)</v>
      </c>
      <c r="C326" t="str">
        <f>'RESUMEN TOTAL'!D329</f>
        <v>EVA PERON Y "EL TUNEL" (BAJO NIVEL)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 t="str">
        <f>'RESUMEN TOTAL'!P329</f>
        <v>APAGADO</v>
      </c>
      <c r="H326" t="str">
        <f>'RESUMEN TOTAL'!Q329</f>
        <v>APAGADO</v>
      </c>
      <c r="I326" t="str">
        <f>'RESUMEN TOTAL'!R329</f>
        <v>APAGADO</v>
      </c>
      <c r="J326" t="str">
        <f>'RESUMEN TOTAL'!S329</f>
        <v>APAGADO</v>
      </c>
      <c r="K326" t="str">
        <f>'RESUMEN TOTAL'!T329</f>
        <v>APAGADO</v>
      </c>
      <c r="L326" t="str">
        <f>'RESUMEN TOTAL'!U329</f>
        <v>APAGADO</v>
      </c>
      <c r="M326" t="str">
        <f>'RESUMEN TOTAL'!V329</f>
        <v>APAGADO</v>
      </c>
      <c r="N326" t="str">
        <f>'RESUMEN TOTAL'!W329</f>
        <v>APAGADO</v>
      </c>
      <c r="O326" t="str">
        <f>'RESUMEN TOTAL'!X329</f>
        <v>APAGADO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</row>
    <row r="327" spans="1:33" x14ac:dyDescent="0.25">
      <c r="A327" t="str">
        <f>'RESUMEN TOTAL'!A330</f>
        <v>VILLA AURORA</v>
      </c>
      <c r="B327" t="str">
        <f>'RESUMEN TOTAL'!C330</f>
        <v>VAU 07</v>
      </c>
      <c r="C327" t="str">
        <f>'RESUMEN TOTAL'!D330</f>
        <v>VICTORINO DE LA PLAZA Y MONTEVERDE</v>
      </c>
      <c r="D327" t="str">
        <f>'RESUMEN TOTAL'!E330</f>
        <v>Domo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</row>
    <row r="328" spans="1:33" x14ac:dyDescent="0.25">
      <c r="A328" t="str">
        <f>'RESUMEN TOTAL'!A331</f>
        <v>VILLA AURORA</v>
      </c>
      <c r="B328" t="str">
        <f>'RESUMEN TOTAL'!C331</f>
        <v>VAU01</v>
      </c>
      <c r="C328" t="str">
        <f>'RESUMEN TOTAL'!D331</f>
        <v>San Martin y Monteverde</v>
      </c>
      <c r="D328" t="str">
        <f>'RESUMEN TOTAL'!E331</f>
        <v>Domo</v>
      </c>
      <c r="E328" t="str">
        <f>'RESUMEN TOTAL'!F331</f>
        <v>Fibra Optica</v>
      </c>
      <c r="F328" t="str">
        <f>'RESUMEN TOTAL'!O331</f>
        <v>APAGADO</v>
      </c>
      <c r="G328" t="str">
        <f>'RESUMEN TOTAL'!P331</f>
        <v>APAGADO</v>
      </c>
      <c r="H328" t="str">
        <f>'RESUMEN TOTAL'!Q331</f>
        <v>APAGADO</v>
      </c>
      <c r="I328" t="str">
        <f>'RESUMEN TOTAL'!R331</f>
        <v>APAGADO</v>
      </c>
      <c r="J328" t="str">
        <f>'RESUMEN TOTAL'!S331</f>
        <v>APAGADO</v>
      </c>
      <c r="K328" t="str">
        <f>'RESUMEN TOTAL'!T331</f>
        <v>APAGADO</v>
      </c>
      <c r="L328" t="str">
        <f>'RESUMEN TOTAL'!U331</f>
        <v>APAGADO</v>
      </c>
      <c r="M328" t="str">
        <f>'RESUMEN TOTAL'!V331</f>
        <v>APAGADO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</row>
    <row r="329" spans="1:33" x14ac:dyDescent="0.25">
      <c r="A329" t="str">
        <f>'RESUMEN TOTAL'!A332</f>
        <v>SAN EMILIO</v>
      </c>
      <c r="B329" t="str">
        <f>'RESUMEN TOTAL'!C332</f>
        <v>VAU02</v>
      </c>
      <c r="C329" t="str">
        <f>'RESUMEN TOTAL'!D332</f>
        <v>San Martin y Lope de Vega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</row>
    <row r="330" spans="1:33" x14ac:dyDescent="0.25">
      <c r="A330" t="str">
        <f>'RESUMEN TOTAL'!A333</f>
        <v>VILLA AURORA</v>
      </c>
      <c r="B330" t="str">
        <f>'RESUMEN TOTAL'!C333</f>
        <v>VAU03 (fija 1)</v>
      </c>
      <c r="C330" t="str">
        <f>'RESUMEN TOTAL'!D333</f>
        <v>PIZZURNO Y NUESTRAS MALVINAS</v>
      </c>
      <c r="D330" t="str">
        <f>'RESUMEN TOTAL'!E333</f>
        <v>Fija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</row>
    <row r="331" spans="1:33" x14ac:dyDescent="0.25">
      <c r="A331" t="str">
        <f>'RESUMEN TOTAL'!A334</f>
        <v>VILLA AURORA</v>
      </c>
      <c r="B331" t="str">
        <f>'RESUMEN TOTAL'!C334</f>
        <v>VAU04 (fija 2)</v>
      </c>
      <c r="C331" t="str">
        <f>'RESUMEN TOTAL'!D334</f>
        <v>PIZZURNO Y NUESTRAS MALVINAS</v>
      </c>
      <c r="D331" t="str">
        <f>'RESUMEN TOTAL'!E334</f>
        <v>Fija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</row>
    <row r="332" spans="1:33" x14ac:dyDescent="0.25">
      <c r="A332" t="str">
        <f>'RESUMEN TOTAL'!A335</f>
        <v>VILLA AURORA</v>
      </c>
      <c r="B332" t="str">
        <f>'RESUMEN TOTAL'!C335</f>
        <v>VAU05 (fija 1)</v>
      </c>
      <c r="C332" t="str">
        <f>'RESUMEN TOTAL'!D335</f>
        <v>GUIDO SPANO Y VICTORINO DE LA PLAZA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</row>
    <row r="333" spans="1:33" x14ac:dyDescent="0.25">
      <c r="A333" t="str">
        <f>'RESUMEN TOTAL'!A336</f>
        <v>VILLA AURORA</v>
      </c>
      <c r="B333" t="str">
        <f>'RESUMEN TOTAL'!C336</f>
        <v>VAU06 (fija 2)</v>
      </c>
      <c r="C333" t="str">
        <f>'RESUMEN TOTAL'!D336</f>
        <v>GUIDO SPANO Y VICTORINO DE LA PLAZA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</row>
    <row r="334" spans="1:33" x14ac:dyDescent="0.25">
      <c r="A334" t="str">
        <f>'RESUMEN TOTAL'!A337</f>
        <v>VILLA AURORA</v>
      </c>
      <c r="B334" t="str">
        <f>'RESUMEN TOTAL'!C337</f>
        <v>VAU08</v>
      </c>
      <c r="C334" t="str">
        <f>'RESUMEN TOTAL'!D337</f>
        <v>MONTEVERDE Y WASHINGTON</v>
      </c>
      <c r="D334" t="str">
        <f>'RESUMEN TOTAL'!E337</f>
        <v>DOMO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</row>
    <row r="335" spans="1:33" x14ac:dyDescent="0.25">
      <c r="A335" t="str">
        <f>'RESUMEN TOTAL'!A338</f>
        <v>VILLA DEL PLATA</v>
      </c>
      <c r="B335" t="str">
        <f>'RESUMEN TOTAL'!C338</f>
        <v>VDPL02</v>
      </c>
      <c r="C335" t="str">
        <f>'RESUMEN TOTAL'!D338</f>
        <v>Thevenet y Berutti</v>
      </c>
      <c r="D335" t="str">
        <f>'RESUMEN TOTAL'!E338</f>
        <v>Domo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</row>
    <row r="336" spans="1:33" x14ac:dyDescent="0.25">
      <c r="A336" t="str">
        <f>'RESUMEN TOTAL'!A339</f>
        <v>VILLA DEL PLATA</v>
      </c>
      <c r="B336" t="str">
        <f>'RESUMEN TOTAL'!C339</f>
        <v>VDPL03</v>
      </c>
      <c r="C336" t="str">
        <f>'RESUMEN TOTAL'!D339</f>
        <v>Neuquen y Alvarado</v>
      </c>
      <c r="D336" t="str">
        <f>'RESUMEN TOTAL'!E339</f>
        <v>Domo</v>
      </c>
      <c r="E336" t="str">
        <f>'RESUMEN TOTAL'!F339</f>
        <v>Radio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</row>
    <row r="337" spans="1:33" x14ac:dyDescent="0.25">
      <c r="A337" t="str">
        <f>'RESUMEN TOTAL'!A340</f>
        <v>VILLA DEL PLATA</v>
      </c>
      <c r="B337" t="str">
        <f>'RESUMEN TOTAL'!C340</f>
        <v>VDPL04</v>
      </c>
      <c r="C337" t="str">
        <f>'RESUMEN TOTAL'!D340</f>
        <v>Neuquen y Diagonal Guemes</v>
      </c>
      <c r="D337" t="str">
        <f>'RESUMEN TOTAL'!E340</f>
        <v>Domo</v>
      </c>
      <c r="E337" t="str">
        <f>'RESUMEN TOTAL'!F340</f>
        <v>Radio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</row>
    <row r="338" spans="1:33" x14ac:dyDescent="0.25">
      <c r="A338" t="str">
        <f>'RESUMEN TOTAL'!A341</f>
        <v>VILLA DEL PLATA</v>
      </c>
      <c r="B338" t="str">
        <f>'RESUMEN TOTAL'!C341</f>
        <v>VDPL05</v>
      </c>
      <c r="C338" t="str">
        <f>'RESUMEN TOTAL'!D341</f>
        <v>Ruta 36 y Abraham</v>
      </c>
      <c r="D338" t="str">
        <f>'RESUMEN TOTAL'!E341</f>
        <v>Domo</v>
      </c>
      <c r="E338" t="str">
        <f>'RESUMEN TOTAL'!F341</f>
        <v>PTP A FO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</row>
    <row r="339" spans="1:33" x14ac:dyDescent="0.25">
      <c r="A339" t="str">
        <f>'RESUMEN TOTAL'!A342</f>
        <v>VILLA ANGELICA</v>
      </c>
      <c r="B339" t="str">
        <f>'RESUMEN TOTAL'!C342</f>
        <v>VDPL06</v>
      </c>
      <c r="C339" t="str">
        <f>'RESUMEN TOTAL'!D342</f>
        <v>Thevenet e/ Islas Orcadas y Gardel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</row>
    <row r="340" spans="1:33" x14ac:dyDescent="0.25">
      <c r="A340" t="str">
        <f>'RESUMEN TOTAL'!A343</f>
        <v>VILLA HUDSON</v>
      </c>
      <c r="B340" t="str">
        <f>'RESUMEN TOTAL'!C343</f>
        <v>VHS 01</v>
      </c>
      <c r="C340" t="str">
        <f>'RESUMEN TOTAL'!D343</f>
        <v>AV. HUDSON Y AV. LUJAN</v>
      </c>
      <c r="D340" t="str">
        <f>'RESUMEN TOTAL'!E343</f>
        <v>DOMO</v>
      </c>
      <c r="E340" t="str">
        <f>'RESUMEN TOTAL'!F343</f>
        <v>Fibra Optica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</row>
    <row r="341" spans="1:33" x14ac:dyDescent="0.25">
      <c r="A341" t="str">
        <f>'RESUMEN TOTAL'!A344</f>
        <v>VILLA HUDSON</v>
      </c>
      <c r="B341" t="str">
        <f>'RESUMEN TOTAL'!C344</f>
        <v>VHS 02</v>
      </c>
      <c r="C341" t="str">
        <f>'RESUMEN TOTAL'!D344</f>
        <v>AV. LUJAN Y CALLE 909 A</v>
      </c>
      <c r="D341" t="str">
        <f>'RESUMEN TOTAL'!E344</f>
        <v>DOMO</v>
      </c>
      <c r="E341" t="str">
        <f>'RESUMEN TOTAL'!F344</f>
        <v>Fibra Optica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</row>
    <row r="342" spans="1:33" x14ac:dyDescent="0.25">
      <c r="A342" t="str">
        <f>'RESUMEN TOTAL'!A345</f>
        <v>VILLA HUDSON</v>
      </c>
      <c r="B342" t="str">
        <f>'RESUMEN TOTAL'!C345</f>
        <v>VHS03 (fija 1)</v>
      </c>
      <c r="C342" t="str">
        <f>'RESUMEN TOTAL'!D345</f>
        <v>AV. HUDSON Y LOS INMIGRANTES</v>
      </c>
      <c r="D342" t="str">
        <f>'RESUMEN TOTAL'!E345</f>
        <v>Fija</v>
      </c>
      <c r="E342" t="str">
        <f>'RESUMEN TOTAL'!F345</f>
        <v>Fibra Optica</v>
      </c>
      <c r="F342" t="str">
        <f>'RESUMEN TOTAL'!O345</f>
        <v>APAGADO</v>
      </c>
      <c r="G342" t="str">
        <f>'RESUMEN TOTAL'!P345</f>
        <v>APAGADO</v>
      </c>
      <c r="H342" t="str">
        <f>'RESUMEN TOTAL'!Q345</f>
        <v>APAGADO</v>
      </c>
      <c r="I342" t="str">
        <f>'RESUMEN TOTAL'!R345</f>
        <v>APAGADO</v>
      </c>
      <c r="J342" t="str">
        <f>'RESUMEN TOTAL'!S345</f>
        <v>APAGADO</v>
      </c>
      <c r="K342" t="str">
        <f>'RESUMEN TOTAL'!T345</f>
        <v>APAGADO</v>
      </c>
      <c r="L342" t="str">
        <f>'RESUMEN TOTAL'!U345</f>
        <v>APAGADO</v>
      </c>
      <c r="M342" t="str">
        <f>'RESUMEN TOTAL'!V345</f>
        <v>APAGADO</v>
      </c>
      <c r="N342" t="str">
        <f>'RESUMEN TOTAL'!W345</f>
        <v>APAGADO</v>
      </c>
      <c r="O342" t="str">
        <f>'RESUMEN TOTAL'!X345</f>
        <v>APAGADO</v>
      </c>
      <c r="P342" t="str">
        <f>'RESUMEN TOTAL'!Y345</f>
        <v>APAGADO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</row>
    <row r="343" spans="1:33" x14ac:dyDescent="0.25">
      <c r="A343" t="str">
        <f>'RESUMEN TOTAL'!A346</f>
        <v>VILLA HUDSON</v>
      </c>
      <c r="B343" t="str">
        <f>'RESUMEN TOTAL'!C346</f>
        <v>VHS04 (fija 2)</v>
      </c>
      <c r="C343" t="str">
        <f>'RESUMEN TOTAL'!D346</f>
        <v>AV. HUDSON Y LOS INMIGRANTES</v>
      </c>
      <c r="D343" t="str">
        <f>'RESUMEN TOTAL'!E346</f>
        <v>Fija</v>
      </c>
      <c r="E343" t="str">
        <f>'RESUMEN TOTAL'!F346</f>
        <v>Fibra Optica</v>
      </c>
      <c r="F343" t="str">
        <f>'RESUMEN TOTAL'!O346</f>
        <v>APAGADO</v>
      </c>
      <c r="G343" t="str">
        <f>'RESUMEN TOTAL'!P346</f>
        <v>APAGADO</v>
      </c>
      <c r="H343" t="str">
        <f>'RESUMEN TOTAL'!Q346</f>
        <v>APAGADO</v>
      </c>
      <c r="I343" t="str">
        <f>'RESUMEN TOTAL'!R346</f>
        <v>APAGADO</v>
      </c>
      <c r="J343" t="str">
        <f>'RESUMEN TOTAL'!S346</f>
        <v>APAGADO</v>
      </c>
      <c r="K343" t="str">
        <f>'RESUMEN TOTAL'!T346</f>
        <v>APAGADO</v>
      </c>
      <c r="L343" t="str">
        <f>'RESUMEN TOTAL'!U346</f>
        <v>APAGADO</v>
      </c>
      <c r="M343" t="str">
        <f>'RESUMEN TOTAL'!V346</f>
        <v>APAGADO</v>
      </c>
      <c r="N343" t="str">
        <f>'RESUMEN TOTAL'!W346</f>
        <v>APAGADO</v>
      </c>
      <c r="O343" t="str">
        <f>'RESUMEN TOTAL'!X346</f>
        <v>APAGADO</v>
      </c>
      <c r="P343" t="str">
        <f>'RESUMEN TOTAL'!Y346</f>
        <v>APAGADO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</row>
    <row r="344" spans="1:33" x14ac:dyDescent="0.25">
      <c r="A344" t="str">
        <f>'RESUMEN TOTAL'!A347</f>
        <v>VILLA ARIAS</v>
      </c>
      <c r="B344" t="str">
        <f>'RESUMEN TOTAL'!C347</f>
        <v>VLA01 (fija 1)</v>
      </c>
      <c r="C344" t="str">
        <f>'RESUMEN TOTAL'!D347</f>
        <v>820 Y SOLER</v>
      </c>
      <c r="D344" t="str">
        <f>'RESUMEN TOTAL'!E347</f>
        <v>Fija</v>
      </c>
      <c r="E344" t="str">
        <f>'RESUMEN TOTAL'!F347</f>
        <v>Fibra Optica</v>
      </c>
      <c r="F344" t="str">
        <f>'RESUMEN TOTAL'!O347</f>
        <v>APAGADO</v>
      </c>
      <c r="G344" t="str">
        <f>'RESUMEN TOTAL'!P347</f>
        <v>APAGADO</v>
      </c>
      <c r="H344" t="str">
        <f>'RESUMEN TOTAL'!Q347</f>
        <v>APAGADO</v>
      </c>
      <c r="I344" t="str">
        <f>'RESUMEN TOTAL'!R347</f>
        <v>APAGADO</v>
      </c>
      <c r="J344" t="str">
        <f>'RESUMEN TOTAL'!S347</f>
        <v>APAGADO</v>
      </c>
      <c r="K344" t="str">
        <f>'RESUMEN TOTAL'!T347</f>
        <v>APAGADO</v>
      </c>
      <c r="L344" t="str">
        <f>'RESUMEN TOTAL'!U347</f>
        <v>APAGADO</v>
      </c>
      <c r="M344" t="str">
        <f>'RESUMEN TOTAL'!V347</f>
        <v>APAGADO</v>
      </c>
      <c r="N344" t="str">
        <f>'RESUMEN TOTAL'!W347</f>
        <v>APAGADO</v>
      </c>
      <c r="O344" t="str">
        <f>'RESUMEN TOTAL'!X347</f>
        <v>APAGADO</v>
      </c>
      <c r="P344" t="str">
        <f>'RESUMEN TOTAL'!Y347</f>
        <v>APAGADO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</row>
    <row r="345" spans="1:33" x14ac:dyDescent="0.25">
      <c r="A345" t="str">
        <f>'RESUMEN TOTAL'!A348</f>
        <v>VILLA ARIAS</v>
      </c>
      <c r="B345" t="str">
        <f>'RESUMEN TOTAL'!C348</f>
        <v>VLA02</v>
      </c>
      <c r="C345" t="str">
        <f>'RESUMEN TOTAL'!D348</f>
        <v>ESPORA Y HUDSON</v>
      </c>
      <c r="D345" t="str">
        <f>'RESUMEN TOTAL'!E348</f>
        <v>DOMO</v>
      </c>
      <c r="E345" t="str">
        <f>'RESUMEN TOTAL'!F348</f>
        <v>Fibra Optica</v>
      </c>
      <c r="F345" t="str">
        <f>'RESUMEN TOTAL'!O348</f>
        <v>APAGADO</v>
      </c>
      <c r="G345" t="str">
        <f>'RESUMEN TOTAL'!P348</f>
        <v>APAGADO</v>
      </c>
      <c r="H345" t="str">
        <f>'RESUMEN TOTAL'!Q348</f>
        <v>APAGADO</v>
      </c>
      <c r="I345" t="str">
        <f>'RESUMEN TOTAL'!R348</f>
        <v>APAGADO</v>
      </c>
      <c r="J345">
        <f>'RESUMEN TOTAL'!S348</f>
        <v>0</v>
      </c>
      <c r="K345" t="str">
        <f>'RESUMEN TOTAL'!T348</f>
        <v>APAGADO</v>
      </c>
      <c r="L345" t="str">
        <f>'RESUMEN TOTAL'!U348</f>
        <v>APAGADO</v>
      </c>
      <c r="M345" t="str">
        <f>'RESUMEN TOTAL'!V348</f>
        <v>APAGADO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 t="str">
        <f>'RESUMEN TOTAL'!Z348</f>
        <v>APAGADO</v>
      </c>
      <c r="R345" t="str">
        <f>'RESUMEN TOTAL'!AA348</f>
        <v>APAGADO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</row>
    <row r="346" spans="1:33" x14ac:dyDescent="0.25">
      <c r="A346" t="str">
        <f>'RESUMEN TOTAL'!A349</f>
        <v>VILLA ARIAS</v>
      </c>
      <c r="B346" t="str">
        <f>'RESUMEN TOTAL'!C349</f>
        <v>VLA03 (fija 2)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 t="str">
        <f>'RESUMEN TOTAL'!O349</f>
        <v>APAGADO</v>
      </c>
      <c r="G346" t="str">
        <f>'RESUMEN TOTAL'!P349</f>
        <v>APAGADO</v>
      </c>
      <c r="H346" t="str">
        <f>'RESUMEN TOTAL'!Q349</f>
        <v>APAGADO</v>
      </c>
      <c r="I346" t="str">
        <f>'RESUMEN TOTAL'!R349</f>
        <v>APAGADO</v>
      </c>
      <c r="J346" t="str">
        <f>'RESUMEN TOTAL'!S349</f>
        <v>APAGADO</v>
      </c>
      <c r="K346" t="str">
        <f>'RESUMEN TOTAL'!T349</f>
        <v>APAGADO</v>
      </c>
      <c r="L346" t="str">
        <f>'RESUMEN TOTAL'!U349</f>
        <v>APAGADO</v>
      </c>
      <c r="M346" t="str">
        <f>'RESUMEN TOTAL'!V349</f>
        <v>APAGADO</v>
      </c>
      <c r="N346" t="str">
        <f>'RESUMEN TOTAL'!W349</f>
        <v>APAGADO</v>
      </c>
      <c r="O346" t="str">
        <f>'RESUMEN TOTAL'!X349</f>
        <v>APAGADO</v>
      </c>
      <c r="P346" t="str">
        <f>'RESUMEN TOTAL'!Y349</f>
        <v>APAGADO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</row>
    <row r="347" spans="1:33" x14ac:dyDescent="0.25">
      <c r="A347" t="str">
        <f>'RESUMEN TOTAL'!A350</f>
        <v>VILLA ARIAS</v>
      </c>
      <c r="B347" t="str">
        <f>'RESUMEN TOTAL'!C350</f>
        <v>VLA04</v>
      </c>
      <c r="C347" t="str">
        <f>'RESUMEN TOTAL'!D350</f>
        <v>ESPORA Y MARTIN GRASS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</row>
    <row r="348" spans="1:33" x14ac:dyDescent="0.25">
      <c r="A348" t="str">
        <f>'RESUMEN TOTAL'!A351</f>
        <v>VILLA ARIAS</v>
      </c>
      <c r="B348" t="str">
        <f>'RESUMEN TOTAL'!C351</f>
        <v>VLA05</v>
      </c>
      <c r="C348" t="str">
        <f>'RESUMEN TOTAL'!D351</f>
        <v>ESPORA Y 802</v>
      </c>
      <c r="D348" t="str">
        <f>'RESUMEN TOTAL'!E351</f>
        <v>DOMO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</row>
    <row r="349" spans="1:33" x14ac:dyDescent="0.25">
      <c r="A349" t="str">
        <f>'RESUMEN TOTAL'!A352</f>
        <v>VILLA MONICA NUEVA</v>
      </c>
      <c r="B349" t="str">
        <f>'RESUMEN TOTAL'!C352</f>
        <v>VMO 02</v>
      </c>
      <c r="C349" t="str">
        <f>'RESUMEN TOTAL'!D352</f>
        <v>Rio Carapachay y Oroño</v>
      </c>
      <c r="D349" t="str">
        <f>'RESUMEN TOTAL'!E352</f>
        <v>Domo</v>
      </c>
      <c r="E349" t="str">
        <f>'RESUMEN TOTAL'!F352</f>
        <v>Radio</v>
      </c>
      <c r="F349">
        <f>'RESUMEN TOTAL'!O352</f>
        <v>0</v>
      </c>
      <c r="G349">
        <f>'RESUMEN TOTAL'!P352</f>
        <v>0</v>
      </c>
      <c r="H349">
        <f>'RESUMEN TOTAL'!Q352</f>
        <v>0</v>
      </c>
      <c r="I349">
        <f>'RESUMEN TOTAL'!R352</f>
        <v>0</v>
      </c>
      <c r="J349">
        <f>'RESUMEN TOTAL'!S352</f>
        <v>0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</row>
    <row r="350" spans="1:33" x14ac:dyDescent="0.25">
      <c r="A350">
        <f>'RESUMEN TOTAL'!A353</f>
        <v>0</v>
      </c>
      <c r="B350" t="str">
        <f>'RESUMEN TOTAL'!C353</f>
        <v>VMO01</v>
      </c>
      <c r="C350" t="str">
        <f>'RESUMEN TOTAL'!D353</f>
        <v>Eva Peron y Monseñor de las Casas</v>
      </c>
      <c r="D350" t="str">
        <f>'RESUMEN TOTAL'!E353</f>
        <v>DOMO</v>
      </c>
      <c r="E350">
        <f>'RESUMEN TOTAL'!F353</f>
        <v>0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 t="str">
        <f>'RESUMEN TOTAL'!S353</f>
        <v>APAGADO</v>
      </c>
      <c r="K350" t="str">
        <f>'RESUMEN TOTAL'!T353</f>
        <v>APAGADO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 t="str">
        <f>'RESUMEN TOTAL'!Z353</f>
        <v>APAGADO</v>
      </c>
      <c r="R350" t="str">
        <f>'RESUMEN TOTAL'!AA353</f>
        <v>APAGADO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</row>
    <row r="351" spans="1:33" x14ac:dyDescent="0.25">
      <c r="A351" t="str">
        <f>'RESUMEN TOTAL'!A354</f>
        <v>VILLA MONICA NUEVA</v>
      </c>
      <c r="B351" t="str">
        <f>'RESUMEN TOTAL'!C354</f>
        <v>VMO03 (fija 1)</v>
      </c>
      <c r="C351" t="str">
        <f>'RESUMEN TOTAL'!D354</f>
        <v>EVA PERON E/ OROÑO Y 734 A</v>
      </c>
      <c r="D351" t="str">
        <f>'RESUMEN TOTAL'!E354</f>
        <v>Fija</v>
      </c>
      <c r="E351" t="str">
        <f>'RESUMEN TOTAL'!F354</f>
        <v>Fibra Optica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</row>
    <row r="352" spans="1:33" x14ac:dyDescent="0.25">
      <c r="A352" t="str">
        <f>'RESUMEN TOTAL'!A355</f>
        <v>VILLA MONICA NUEVA</v>
      </c>
      <c r="B352" t="str">
        <f>'RESUMEN TOTAL'!C355</f>
        <v>VMO04 (fija 2)</v>
      </c>
      <c r="C352" t="str">
        <f>'RESUMEN TOTAL'!D355</f>
        <v>EVA PERON E/ OROÑO Y 734 A</v>
      </c>
      <c r="D352" t="str">
        <f>'RESUMEN TOTAL'!E355</f>
        <v>Fija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</row>
    <row r="353" spans="1:33" x14ac:dyDescent="0.25">
      <c r="A353" t="str">
        <f>'RESUMEN TOTAL'!A356</f>
        <v>VILLA MONICA NUEVA</v>
      </c>
      <c r="B353" t="str">
        <f>'RESUMEN TOTAL'!C356</f>
        <v>VMO05</v>
      </c>
      <c r="C353" t="str">
        <f>'RESUMEN TOTAL'!D356</f>
        <v>OROÑO Y EVA PERON</v>
      </c>
      <c r="D353" t="str">
        <f>'RESUMEN TOTAL'!E356</f>
        <v>DOMO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</row>
    <row r="354" spans="1:33" x14ac:dyDescent="0.25">
      <c r="A354" t="str">
        <f>'RESUMEN TOTAL'!A357</f>
        <v>VILLA MONICA VIEJA</v>
      </c>
      <c r="B354" t="str">
        <f>'RESUMEN TOTAL'!C357</f>
        <v>VMOV01 (fija 1)</v>
      </c>
      <c r="C354" t="str">
        <f>'RESUMEN TOTAL'!D357</f>
        <v>ATENAS E/ CAFFERATA Y ALEMANIA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</row>
    <row r="355" spans="1:33" x14ac:dyDescent="0.25">
      <c r="A355" t="str">
        <f>'RESUMEN TOTAL'!A358</f>
        <v>VILLA MONICA VIEJA</v>
      </c>
      <c r="B355" t="str">
        <f>'RESUMEN TOTAL'!C358</f>
        <v>VMOV02 (fija 2)</v>
      </c>
      <c r="C355" t="str">
        <f>'RESUMEN TOTAL'!D358</f>
        <v>ATENAS E/ CAFFERATA Y ALEMANIA</v>
      </c>
      <c r="D355" t="str">
        <f>'RESUMEN TOTAL'!E358</f>
        <v>Fija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</row>
    <row r="356" spans="1:33" x14ac:dyDescent="0.25">
      <c r="A356" t="str">
        <f>'RESUMEN TOTAL'!A359</f>
        <v>VILLA MONICA VIEJA</v>
      </c>
      <c r="B356" t="str">
        <f>'RESUMEN TOTAL'!C359</f>
        <v>VMOV03 (fija 1)</v>
      </c>
      <c r="C356" t="str">
        <f>'RESUMEN TOTAL'!D359</f>
        <v>ROMA E/ HOLANDA Y CAFFERATA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</row>
    <row r="357" spans="1:33" x14ac:dyDescent="0.25">
      <c r="A357" t="str">
        <f>'RESUMEN TOTAL'!A360</f>
        <v>VILLA MONICA VIEJA</v>
      </c>
      <c r="B357" t="str">
        <f>'RESUMEN TOTAL'!C360</f>
        <v>VMOV04 (fija 2)</v>
      </c>
      <c r="C357" t="str">
        <f>'RESUMEN TOTAL'!D360</f>
        <v>ROMA E/ HOLANDA Y CAFFERATA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</row>
    <row r="358" spans="1:33" x14ac:dyDescent="0.25">
      <c r="A358" t="str">
        <f>'RESUMEN TOTAL'!A361</f>
        <v>VILLA SAN LUIS</v>
      </c>
      <c r="B358" t="str">
        <f>'RESUMEN TOTAL'!C361</f>
        <v>VSL 01</v>
      </c>
      <c r="C358" t="str">
        <f>'RESUMEN TOTAL'!D361</f>
        <v>AV. HUDSON Y CACHEUTA</v>
      </c>
      <c r="D358" t="str">
        <f>'RESUMEN TOTAL'!E361</f>
        <v>DOMO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</row>
    <row r="359" spans="1:33" x14ac:dyDescent="0.25">
      <c r="A359" t="str">
        <f>'RESUMEN TOTAL'!A362</f>
        <v>VILLA SUSANA</v>
      </c>
      <c r="B359" t="str">
        <f>'RESUMEN TOTAL'!C362</f>
        <v>VSU 01</v>
      </c>
      <c r="C359" t="str">
        <f>'RESUMEN TOTAL'!D362</f>
        <v>CJAL. JUAN BROWN Y SANTA FE</v>
      </c>
      <c r="D359" t="str">
        <f>'RESUMEN TOTAL'!E362</f>
        <v>DOMO</v>
      </c>
      <c r="E359" t="str">
        <f>'RESUMEN TOTAL'!F362</f>
        <v>Radio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 t="str">
        <f>'RESUMEN TOTAL'!Y362</f>
        <v>APAGADO</v>
      </c>
      <c r="Q359">
        <f>'RESUMEN TOTAL'!Z362</f>
        <v>0</v>
      </c>
      <c r="R359" t="str">
        <f>'RESUMEN TOTAL'!AA362</f>
        <v>APAGADO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</row>
    <row r="360" spans="1:33" x14ac:dyDescent="0.25">
      <c r="A360" t="str">
        <f>'RESUMEN TOTAL'!A363</f>
        <v>VILLA SUSANA</v>
      </c>
      <c r="B360" t="str">
        <f>'RESUMEN TOTAL'!C363</f>
        <v>VSU 02</v>
      </c>
      <c r="C360" t="str">
        <f>'RESUMEN TOTAL'!D363</f>
        <v>CABELLO Y SANTA FE</v>
      </c>
      <c r="D360" t="str">
        <f>'RESUMEN TOTAL'!E363</f>
        <v>DOMO</v>
      </c>
      <c r="E360" t="str">
        <f>'RESUMEN TOTAL'!F363</f>
        <v>Radio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</row>
    <row r="361" spans="1:33" x14ac:dyDescent="0.25">
      <c r="A361" t="str">
        <f>'RESUMEN TOTAL'!A364</f>
        <v>VILLA SUSANA</v>
      </c>
      <c r="B361" t="str">
        <f>'RESUMEN TOTAL'!C364</f>
        <v>VSU 03</v>
      </c>
      <c r="C361" t="str">
        <f>'RESUMEN TOTAL'!D364</f>
        <v>EE.UU Y SERRANO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</row>
    <row r="362" spans="1:33" x14ac:dyDescent="0.25">
      <c r="A362">
        <f>'RESUMEN TOTAL'!A365</f>
        <v>0</v>
      </c>
      <c r="B362" t="str">
        <f>'RESUMEN TOTAL'!C365</f>
        <v>ZEB 05</v>
      </c>
      <c r="C362" t="str">
        <f>'RESUMEN TOTAL'!D365</f>
        <v>DIAG. GRANADEROS Y 214 BIS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</row>
    <row r="363" spans="1:33" x14ac:dyDescent="0.25">
      <c r="A363" t="str">
        <f>'RESUMEN TOTAL'!A366</f>
        <v>ZEBALLOS</v>
      </c>
      <c r="B363" t="str">
        <f>'RESUMEN TOTAL'!C366</f>
        <v>ZEB02</v>
      </c>
      <c r="C363" t="str">
        <f>'RESUMEN TOTAL'!D366</f>
        <v>Quinquela Martin y Sgo. del Estero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</row>
    <row r="364" spans="1:33" x14ac:dyDescent="0.25">
      <c r="A364" t="str">
        <f>'RESUMEN TOTAL'!A367</f>
        <v>9 DE JULIO</v>
      </c>
      <c r="B364" t="str">
        <f>'RESUMEN TOTAL'!C367</f>
        <v>ZEB03</v>
      </c>
      <c r="C364" t="str">
        <f>'RESUMEN TOTAL'!D367</f>
        <v>Quinquela Martin y Pte. Peron</v>
      </c>
      <c r="D364" t="str">
        <f>'RESUMEN TOTAL'!E367</f>
        <v>Domo</v>
      </c>
      <c r="E364" t="str">
        <f>'RESUMEN TOTAL'!F367</f>
        <v>Radio</v>
      </c>
      <c r="F364" t="str">
        <f>'RESUMEN TOTAL'!O367</f>
        <v>APAGADO</v>
      </c>
      <c r="G364" t="str">
        <f>'RESUMEN TOTAL'!P367</f>
        <v>APAGADO</v>
      </c>
      <c r="H364" t="str">
        <f>'RESUMEN TOTAL'!Q367</f>
        <v>APAGADO</v>
      </c>
      <c r="I364" t="str">
        <f>'RESUMEN TOTAL'!R367</f>
        <v>APAGADO</v>
      </c>
      <c r="J364" t="str">
        <f>'RESUMEN TOTAL'!S367</f>
        <v>APAGADO</v>
      </c>
      <c r="K364" t="str">
        <f>'RESUMEN TOTAL'!T367</f>
        <v>APAGADO</v>
      </c>
      <c r="L364" t="str">
        <f>'RESUMEN TOTAL'!U367</f>
        <v>APAGADO</v>
      </c>
      <c r="M364" t="str">
        <f>'RESUMEN TOTAL'!V367</f>
        <v>APAGADO</v>
      </c>
      <c r="N364" t="str">
        <f>'RESUMEN TOTAL'!W367</f>
        <v>APAGADO</v>
      </c>
      <c r="O364" t="str">
        <f>'RESUMEN TOTAL'!X367</f>
        <v>APAGADO</v>
      </c>
      <c r="P364" t="str">
        <f>'RESUMEN TOTAL'!Y367</f>
        <v>APAGADO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</row>
    <row r="365" spans="1:33" x14ac:dyDescent="0.25">
      <c r="A365">
        <f>'RESUMEN TOTAL'!A368</f>
        <v>0</v>
      </c>
      <c r="B365" t="str">
        <f>'RESUMEN TOTAL'!C368</f>
        <v>ZEB04</v>
      </c>
      <c r="C365" t="str">
        <f>'RESUMEN TOTAL'!D368</f>
        <v>THEVENET Y DIAGONAL GRANADEROS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</row>
    <row r="366" spans="1:33" x14ac:dyDescent="0.25">
      <c r="A366" t="str">
        <f>'RESUMEN TOTAL'!A369</f>
        <v>SANTA ANA</v>
      </c>
      <c r="B366" t="str">
        <f>'RESUMEN TOTAL'!C369</f>
        <v>SAN01</v>
      </c>
      <c r="C366" t="str">
        <f>'RESUMEN TOTAL'!D369</f>
        <v>HUDSON Y SUIPACHA FIJA 1</v>
      </c>
      <c r="D366" t="str">
        <f>'RESUMEN TOTAL'!E369</f>
        <v>Fija</v>
      </c>
      <c r="E366" t="str">
        <f>'RESUMEN TOTAL'!F369</f>
        <v>Fibra Optica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</row>
    <row r="367" spans="1:33" x14ac:dyDescent="0.25">
      <c r="A367" t="str">
        <f>'RESUMEN TOTAL'!A370</f>
        <v>SANTA ANA</v>
      </c>
      <c r="B367" t="str">
        <f>'RESUMEN TOTAL'!C370</f>
        <v>SAN02</v>
      </c>
      <c r="C367" t="str">
        <f>'RESUMEN TOTAL'!D370</f>
        <v>HUDSON Y SUIPACHA FIJA 2</v>
      </c>
      <c r="D367" t="str">
        <f>'RESUMEN TOTAL'!E370</f>
        <v>Fija</v>
      </c>
      <c r="E367" t="str">
        <f>'RESUMEN TOTAL'!F370</f>
        <v>Fibra Optica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G36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A3" sqref="A3:Z365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27" t="s">
        <v>934</v>
      </c>
      <c r="F1" s="27">
        <f t="shared" ref="F1:AC1" si="0">COUNTIF(F3:F366, "APAGADO")</f>
        <v>62</v>
      </c>
      <c r="G1" s="27">
        <f t="shared" si="0"/>
        <v>80</v>
      </c>
      <c r="H1" s="27">
        <f t="shared" si="0"/>
        <v>77</v>
      </c>
      <c r="I1" s="27">
        <f t="shared" si="0"/>
        <v>70</v>
      </c>
      <c r="J1" s="27">
        <f t="shared" si="0"/>
        <v>70</v>
      </c>
      <c r="K1" s="27">
        <f t="shared" si="0"/>
        <v>69</v>
      </c>
      <c r="L1" s="27">
        <f t="shared" si="0"/>
        <v>71</v>
      </c>
      <c r="M1" s="27">
        <f t="shared" si="0"/>
        <v>67</v>
      </c>
      <c r="N1" s="27">
        <f t="shared" si="0"/>
        <v>79</v>
      </c>
      <c r="O1" s="27">
        <f t="shared" si="0"/>
        <v>69</v>
      </c>
      <c r="P1" s="27">
        <f t="shared" si="0"/>
        <v>59</v>
      </c>
      <c r="Q1" s="27">
        <f t="shared" si="0"/>
        <v>48</v>
      </c>
      <c r="R1" s="27">
        <f t="shared" si="0"/>
        <v>53</v>
      </c>
      <c r="S1" s="27">
        <f t="shared" si="0"/>
        <v>0</v>
      </c>
      <c r="T1" s="27">
        <f t="shared" si="0"/>
        <v>0</v>
      </c>
      <c r="U1" s="27">
        <f t="shared" si="0"/>
        <v>0</v>
      </c>
      <c r="V1" s="27">
        <f t="shared" si="0"/>
        <v>0</v>
      </c>
      <c r="W1" s="27">
        <f t="shared" si="0"/>
        <v>0</v>
      </c>
      <c r="X1" s="27">
        <f t="shared" si="0"/>
        <v>0</v>
      </c>
      <c r="Y1" s="27">
        <f t="shared" si="0"/>
        <v>0</v>
      </c>
      <c r="Z1" s="27">
        <f t="shared" si="0"/>
        <v>0</v>
      </c>
      <c r="AA1" s="27">
        <f t="shared" si="0"/>
        <v>0</v>
      </c>
      <c r="AB1" s="27">
        <f t="shared" si="0"/>
        <v>0</v>
      </c>
      <c r="AC1" s="27">
        <f t="shared" si="0"/>
        <v>0</v>
      </c>
      <c r="AD1" s="27">
        <f>COUNTIF(AD3:AD366, "APAGADO")</f>
        <v>0</v>
      </c>
      <c r="AE1" s="27">
        <f t="shared" ref="AE1:AG1" si="1">COUNTIF(AE3:AE366, "APAGADO")</f>
        <v>0</v>
      </c>
      <c r="AF1" s="27">
        <f t="shared" si="1"/>
        <v>0</v>
      </c>
      <c r="AG1" s="27">
        <f t="shared" si="1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6">
        <f>ESTADISTICA!F1</f>
        <v>44621</v>
      </c>
      <c r="G2" s="26">
        <f>ESTADISTICA!G1</f>
        <v>44622</v>
      </c>
      <c r="H2" s="26">
        <f>ESTADISTICA!H1</f>
        <v>44623</v>
      </c>
      <c r="I2" s="26">
        <f>ESTADISTICA!I1</f>
        <v>44624</v>
      </c>
      <c r="J2" s="26">
        <f>ESTADISTICA!J1</f>
        <v>44625</v>
      </c>
      <c r="K2" s="26">
        <f>ESTADISTICA!K1</f>
        <v>44626</v>
      </c>
      <c r="L2" s="26">
        <f>ESTADISTICA!L1</f>
        <v>44627</v>
      </c>
      <c r="M2" s="26">
        <f>ESTADISTICA!M1</f>
        <v>44628</v>
      </c>
      <c r="N2" s="26">
        <f>ESTADISTICA!N1</f>
        <v>44629</v>
      </c>
      <c r="O2" s="26">
        <f>ESTADISTICA!O1</f>
        <v>44630</v>
      </c>
      <c r="P2" s="26">
        <f>ESTADISTICA!P1</f>
        <v>44631</v>
      </c>
      <c r="Q2" s="26">
        <f>ESTADISTICA!Q1</f>
        <v>44632</v>
      </c>
      <c r="R2" s="26">
        <f>ESTADISTICA!R1</f>
        <v>44633</v>
      </c>
      <c r="S2" s="26">
        <f>ESTADISTICA!S1</f>
        <v>44634</v>
      </c>
      <c r="T2" s="26">
        <f>ESTADISTICA!T1</f>
        <v>44635</v>
      </c>
      <c r="U2" s="26">
        <f>ESTADISTICA!U1</f>
        <v>44636</v>
      </c>
      <c r="V2" s="26">
        <f>ESTADISTICA!V1</f>
        <v>44637</v>
      </c>
      <c r="W2" s="26">
        <f>ESTADISTICA!W1</f>
        <v>44638</v>
      </c>
      <c r="X2" s="26">
        <f>ESTADISTICA!X1</f>
        <v>44639</v>
      </c>
      <c r="Y2" s="26">
        <f>ESTADISTICA!Y1</f>
        <v>44640</v>
      </c>
      <c r="Z2" s="26">
        <f>ESTADISTICA!Z1</f>
        <v>44641</v>
      </c>
      <c r="AA2" s="26">
        <f>ESTADISTICA!AA1</f>
        <v>44642</v>
      </c>
      <c r="AB2" s="26">
        <f>ESTADISTICA!AB1</f>
        <v>44643</v>
      </c>
      <c r="AC2" s="26">
        <f>ESTADISTICA!AC1</f>
        <v>44644</v>
      </c>
      <c r="AD2" s="26">
        <f>ESTADISTICA!AD1</f>
        <v>44645</v>
      </c>
      <c r="AE2" s="26">
        <f>ESTADISTICA!AE1</f>
        <v>44646</v>
      </c>
      <c r="AF2" s="26">
        <f>ESTADISTICA!AF1</f>
        <v>44647</v>
      </c>
      <c r="AG2" s="26">
        <f>ESTADISTICA!AG1</f>
        <v>44648</v>
      </c>
    </row>
    <row r="3" spans="1:33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 t="str">
        <f>ESTADISTICA!N16</f>
        <v>APAGADO</v>
      </c>
      <c r="O17" t="str">
        <f>ESTADISTICA!O16</f>
        <v>APAGADO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 t="str">
        <f>ESTADISTICA!N19</f>
        <v>APAGADO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>
        <f>ESTADISTICA!M21</f>
        <v>0</v>
      </c>
      <c r="N22" t="str">
        <f>ESTADISTICA!N21</f>
        <v>APAGADO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 t="str">
        <f>ESTADISTICA!N27</f>
        <v>APAGADO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 t="str">
        <f>ESTADISTICA!L34</f>
        <v>APAGADO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 t="str">
        <f>ESTADISTICA!L35</f>
        <v xml:space="preserve"> 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>
        <f>ESTADISTICA!M38</f>
        <v>0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 t="str">
        <f>ESTADISTICA!N40</f>
        <v>APAGADO</v>
      </c>
      <c r="O41" t="str">
        <f>ESTADISTICA!O40</f>
        <v>APAGADO</v>
      </c>
      <c r="P41" t="str">
        <f>ESTADISTICA!P40</f>
        <v>APAGADO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 t="str">
        <f>ESTADISTICA!P49</f>
        <v>APAGADO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 t="str">
        <f>ESTADISTICA!N53</f>
        <v>APAGADO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>
        <f>ESTADISTICA!M57</f>
        <v>0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 t="str">
        <f>ESTADISTICA!M59</f>
        <v>APAGADO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 t="str">
        <f>ESTADISTICA!P81</f>
        <v>APAGADO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 t="str">
        <f>ESTADISTICA!M86</f>
        <v>APAGADO</v>
      </c>
      <c r="N87" t="str">
        <f>ESTADISTICA!N86</f>
        <v>APAGADO</v>
      </c>
      <c r="O87" t="str">
        <f>ESTADISTICA!O86</f>
        <v>APAGADO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 t="str">
        <f>ESTADISTICA!R88</f>
        <v>APAGADO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 t="str">
        <f>ESTADISTICA!M89</f>
        <v>APAGADO</v>
      </c>
      <c r="N90" t="str">
        <f>ESTADISTICA!N89</f>
        <v>APAGADO</v>
      </c>
      <c r="O90" t="str">
        <f>ESTADISTICA!O89</f>
        <v>APAGADO</v>
      </c>
      <c r="P90" t="str">
        <f>ESTADISTICA!P89</f>
        <v>APAGADO</v>
      </c>
      <c r="Q90" t="str">
        <f>ESTADISTICA!Q89</f>
        <v>APAGADO</v>
      </c>
      <c r="R90" t="str">
        <f>ESTADISTICA!R89</f>
        <v>APAGADO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 t="str">
        <f>ESTADISTICA!N91</f>
        <v>APAGADO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 t="str">
        <f>ESTADISTICA!M94</f>
        <v>APAGADO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 t="str">
        <f>ESTADISTICA!Q99</f>
        <v>APAGADO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 t="str">
        <f>ESTADISTICA!P102</f>
        <v>APAGADO</v>
      </c>
      <c r="Q103" t="str">
        <f>ESTADISTICA!Q102</f>
        <v>APAGADO</v>
      </c>
      <c r="R103" t="str">
        <f>ESTADISTICA!R102</f>
        <v>APAGADO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 t="str">
        <f>ESTADISTICA!O103</f>
        <v>APAGADO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 t="str">
        <f>ESTADISTICA!O104</f>
        <v>APAGADO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 t="str">
        <f>ESTADISTICA!O106</f>
        <v>APAGADO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 t="str">
        <f>ESTADISTICA!N109</f>
        <v>APAGADO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 t="str">
        <f>ESTADISTICA!O119</f>
        <v>APAGADO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 t="str">
        <f>ESTADISTICA!P126</f>
        <v>APAGADO</v>
      </c>
      <c r="Q127" t="str">
        <f>ESTADISTICA!Q126</f>
        <v>APAGADO</v>
      </c>
      <c r="R127" t="str">
        <f>ESTADISTICA!R126</f>
        <v>APAGADO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 t="str">
        <f>ESTADISTICA!P127</f>
        <v>APAGADO</v>
      </c>
      <c r="Q128" t="str">
        <f>ESTADISTICA!Q127</f>
        <v>APAGADO</v>
      </c>
      <c r="R128" t="str">
        <f>ESTADISTICA!R127</f>
        <v>APAGADO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 t="str">
        <f>ESTADISTICA!J131</f>
        <v>APAGADO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 t="str">
        <f>ESTADISTICA!P135</f>
        <v>APAGADO</v>
      </c>
      <c r="Q136" t="str">
        <f>ESTADISTICA!Q135</f>
        <v>APAGADO</v>
      </c>
      <c r="R136" t="str">
        <f>ESTADISTICA!R135</f>
        <v>APAGADO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 t="str">
        <f>ESTADISTICA!P136</f>
        <v>APAGADO</v>
      </c>
      <c r="Q137" t="str">
        <f>ESTADISTICA!Q136</f>
        <v>APAGADO</v>
      </c>
      <c r="R137" t="str">
        <f>ESTADISTICA!R136</f>
        <v>APAGADO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 t="str">
        <f>ESTADISTICA!P137</f>
        <v>APAGADO</v>
      </c>
      <c r="Q138" t="str">
        <f>ESTADISTICA!Q137</f>
        <v>APAGADO</v>
      </c>
      <c r="R138" t="str">
        <f>ESTADISTICA!R137</f>
        <v>APAGADO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 t="str">
        <f>ESTADISTICA!R138</f>
        <v>APAGADO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 t="str">
        <f>ESTADISTICA!N139</f>
        <v>APAGADO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 t="str">
        <f>ESTADISTICA!N140</f>
        <v>APAGADO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 t="str">
        <f>ESTADISTICA!M141</f>
        <v>APAGADO</v>
      </c>
      <c r="N142" t="str">
        <f>ESTADISTICA!N141</f>
        <v>APAGADO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 t="str">
        <f>ESTADISTICA!O153</f>
        <v>APAGADO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 t="str">
        <f>ESTADISTICA!K156</f>
        <v>APAGADO</v>
      </c>
      <c r="L157" t="str">
        <f>ESTADISTICA!L156</f>
        <v>APAGADO</v>
      </c>
      <c r="M157">
        <f>ESTADISTICA!M156</f>
        <v>0</v>
      </c>
      <c r="N157" t="str">
        <f>ESTADISTICA!N156</f>
        <v>APAGADO</v>
      </c>
      <c r="O157" t="str">
        <f>ESTADISTICA!O156</f>
        <v>APAGADO</v>
      </c>
      <c r="P157" t="str">
        <f>ESTADISTICA!P156</f>
        <v>APAGADO</v>
      </c>
      <c r="Q157" t="str">
        <f>ESTADISTICA!Q156</f>
        <v>APAGADO</v>
      </c>
      <c r="R157" t="str">
        <f>ESTADISTICA!R156</f>
        <v>APAGADO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x14ac:dyDescent="0.25">
      <c r="A158">
        <f>ESTADISTICA!A157</f>
        <v>0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 t="str">
        <f>ESTADISTICA!L157</f>
        <v>APAGADO</v>
      </c>
      <c r="M158" t="str">
        <f>ESTADISTICA!M157</f>
        <v>APAGADO</v>
      </c>
      <c r="N158" t="str">
        <f>ESTADISTICA!N157</f>
        <v>APAGADO</v>
      </c>
      <c r="O158" t="str">
        <f>ESTADISTICA!O157</f>
        <v>APAGADO</v>
      </c>
      <c r="P158" t="str">
        <f>ESTADISTICA!P157</f>
        <v>APAGADO</v>
      </c>
      <c r="Q158" t="str">
        <f>ESTADISTICA!Q157</f>
        <v>APAGADO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 t="str">
        <f>ESTADISTICA!M161</f>
        <v>APAGADO</v>
      </c>
      <c r="N162" t="str">
        <f>ESTADISTICA!N161</f>
        <v>APAGADO</v>
      </c>
      <c r="O162" t="str">
        <f>ESTADISTICA!O161</f>
        <v>APAGADO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 t="str">
        <f>ESTADISTICA!Q168</f>
        <v>APAGADO</v>
      </c>
      <c r="R169" t="str">
        <f>ESTADISTICA!R168</f>
        <v>APAGADO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 t="str">
        <f>ESTADISTICA!P190</f>
        <v>APAGADO</v>
      </c>
      <c r="Q191" t="str">
        <f>ESTADISTICA!Q190</f>
        <v>APAGADO</v>
      </c>
      <c r="R191" t="str">
        <f>ESTADISTICA!R190</f>
        <v>APAGADO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 t="str">
        <f>ESTADISTICA!O192</f>
        <v>APAGADO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 t="str">
        <f>ESTADISTICA!R194</f>
        <v>APAGADO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 t="str">
        <f>ESTADISTICA!R195</f>
        <v>APAGADO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>
        <f>ESTADISTICA!O196</f>
        <v>0</v>
      </c>
      <c r="P197" t="str">
        <f>ESTADISTICA!P196</f>
        <v>APAGADO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 t="str">
        <f>ESTADISTICA!L197</f>
        <v>APAGADO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 t="str">
        <f>ESTADISTICA!N202</f>
        <v>APAGADO</v>
      </c>
      <c r="O203" t="str">
        <f>ESTADISTICA!O202</f>
        <v>APAGADO</v>
      </c>
      <c r="P203" t="str">
        <f>ESTADISTICA!P202</f>
        <v>APAGADO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 t="str">
        <f>ESTADISTICA!O221</f>
        <v>APAGADO</v>
      </c>
      <c r="P222" t="str">
        <f>ESTADISTICA!P221</f>
        <v>APAGADO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 t="str">
        <f>ESTADISTICA!R222</f>
        <v>APAGADO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 t="str">
        <f>ESTADISTICA!Q232</f>
        <v>APAGADO</v>
      </c>
      <c r="R233" t="str">
        <f>ESTADISTICA!R232</f>
        <v>APAGADO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 t="str">
        <f>ESTADISTICA!Q233</f>
        <v>APAGADO</v>
      </c>
      <c r="R234" t="str">
        <f>ESTADISTICA!R233</f>
        <v>APAGADO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 t="str">
        <f>ESTADISTICA!Q234</f>
        <v>APAGADO</v>
      </c>
      <c r="R235" t="str">
        <f>ESTADISTICA!R234</f>
        <v>APAGADO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 t="str">
        <f>ESTADISTICA!N237</f>
        <v>APAGADO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 t="str">
        <f>ESTADISTICA!Q238</f>
        <v>APAGADO</v>
      </c>
      <c r="R239" t="str">
        <f>ESTADISTICA!R238</f>
        <v>APAGADO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 t="str">
        <f>ESTADISTICA!Q239</f>
        <v>APAGADO</v>
      </c>
      <c r="R240" t="str">
        <f>ESTADISTICA!R239</f>
        <v>APAGADO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 t="str">
        <f>ESTADISTICA!Q240</f>
        <v>APAGADO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 t="str">
        <f>ESTADISTICA!Q241</f>
        <v>APAGADO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25">
      <c r="A243" t="str">
        <f>ESTADISTICA!A242</f>
        <v>SAN JORGE</v>
      </c>
      <c r="B243" t="str">
        <f>ESTADISTICA!B242</f>
        <v>SJO 03</v>
      </c>
      <c r="C243" t="str">
        <f>ESTADISTICA!C242</f>
        <v>517 Y 580</v>
      </c>
      <c r="D243" t="str">
        <f>ESTADISTICA!D242</f>
        <v>DOMO</v>
      </c>
      <c r="E243" t="str">
        <f>ESTADISTICA!E242</f>
        <v>Radio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SAN JORGE</v>
      </c>
      <c r="B244" t="str">
        <f>ESTADISTICA!B243</f>
        <v>SJO 04</v>
      </c>
      <c r="C244" t="str">
        <f>ESTADISTICA!C243</f>
        <v>552 Y 519</v>
      </c>
      <c r="D244" t="str">
        <f>ESTADISTICA!D243</f>
        <v>DOMO</v>
      </c>
      <c r="E244" t="str">
        <f>ESTADISTICA!E243</f>
        <v>Radio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x14ac:dyDescent="0.25">
      <c r="A245" t="str">
        <f>ESTADISTICA!A244</f>
        <v>SAN JORGE</v>
      </c>
      <c r="B245" t="str">
        <f>ESTADISTICA!B244</f>
        <v>SJO01</v>
      </c>
      <c r="C245" t="str">
        <f>ESTADISTICA!C244</f>
        <v>Calle 554 y 527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x14ac:dyDescent="0.25">
      <c r="A246" t="str">
        <f>ESTADISTICA!A245</f>
        <v>SAN JORGE</v>
      </c>
      <c r="B246" t="str">
        <f>ESTADISTICA!B245</f>
        <v>SJO02</v>
      </c>
      <c r="C246" t="str">
        <f>ESTADISTICA!C245</f>
        <v>Calle 554 y 511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 t="str">
        <f>ESTADISTICA!J245</f>
        <v>APAGADO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x14ac:dyDescent="0.25">
      <c r="A247" t="str">
        <f>ESTADISTICA!A246</f>
        <v>SAN JORGE</v>
      </c>
      <c r="B247" t="str">
        <f>ESTADISTICA!B246</f>
        <v>SJO05 (fija 1)</v>
      </c>
      <c r="C247" t="str">
        <f>ESTADISTICA!C246</f>
        <v>511 Y 560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 t="str">
        <f>ESTADISTICA!J246</f>
        <v>APAGADO</v>
      </c>
      <c r="K247" t="str">
        <f>ESTADISTICA!K246</f>
        <v>APAGADO</v>
      </c>
      <c r="L247" t="str">
        <f>ESTADISTICA!L246</f>
        <v>APAGADO</v>
      </c>
      <c r="M247" t="str">
        <f>ESTADISTICA!M246</f>
        <v>APAGADO</v>
      </c>
      <c r="N247" t="str">
        <f>ESTADISTICA!N246</f>
        <v>APAGADO</v>
      </c>
      <c r="O247" t="str">
        <f>ESTADISTICA!O246</f>
        <v>APAGADO</v>
      </c>
      <c r="P247" t="str">
        <f>ESTADISTICA!P246</f>
        <v>APAGADO</v>
      </c>
      <c r="Q247" t="str">
        <f>ESTADISTICA!Q246</f>
        <v>APAGADO</v>
      </c>
      <c r="R247" t="str">
        <f>ESTADISTICA!R246</f>
        <v>APAGADO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x14ac:dyDescent="0.25">
      <c r="A248" t="str">
        <f>ESTADISTICA!A247</f>
        <v>SAN JORGE</v>
      </c>
      <c r="B248" t="str">
        <f>ESTADISTICA!B247</f>
        <v>SJO06 (fija 2)</v>
      </c>
      <c r="C248" t="str">
        <f>ESTADISTICA!C247</f>
        <v>511 Y 560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 t="str">
        <f>ESTADISTICA!O247</f>
        <v>APAGADO</v>
      </c>
      <c r="P248" t="str">
        <f>ESTADISTICA!P247</f>
        <v>APAGADO</v>
      </c>
      <c r="Q248" t="str">
        <f>ESTADISTICA!Q247</f>
        <v>APAGADO</v>
      </c>
      <c r="R248" t="str">
        <f>ESTADISTICA!R247</f>
        <v>APAGADO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SJO07 (fija 1)</v>
      </c>
      <c r="C249" t="str">
        <f>ESTADISTICA!C248</f>
        <v>503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SJO08 (fija 2)</v>
      </c>
      <c r="C250" t="str">
        <f>ESTADISTICA!C249</f>
        <v>503 Y 556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SANTO TOMAS</v>
      </c>
      <c r="B251" t="str">
        <f>ESTADISTICA!B250</f>
        <v>SJU01</v>
      </c>
      <c r="C251" t="str">
        <f>ESTADISTICA!C250</f>
        <v>Ruta 36 y Pte.Peron</v>
      </c>
      <c r="D251" t="str">
        <f>ESTADISTICA!D250</f>
        <v>Domo</v>
      </c>
      <c r="E251" t="str">
        <f>ESTADISTICA!E250</f>
        <v>Radio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>
        <f>ESTADISTICA!A251</f>
        <v>0</v>
      </c>
      <c r="B252" t="str">
        <f>ESTADISTICA!B251</f>
        <v>SMA 03</v>
      </c>
      <c r="C252" t="str">
        <f>ESTADISTICA!C251</f>
        <v>ROSARIO Y SAN NICOLAS</v>
      </c>
      <c r="D252" t="str">
        <f>ESTADISTICA!D251</f>
        <v>Domo</v>
      </c>
      <c r="E252" t="str">
        <f>ESTADISTICA!E251</f>
        <v>Radio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x14ac:dyDescent="0.25">
      <c r="A253" t="str">
        <f>ESTADISTICA!A252</f>
        <v>VILLA GENERAL SAN MARTIN</v>
      </c>
      <c r="B253" t="str">
        <f>ESTADISTICA!B252</f>
        <v>SMA 04</v>
      </c>
      <c r="C253" t="str">
        <f>ESTADISTICA!C252</f>
        <v>HUDSON Y MONTEVIDEO</v>
      </c>
      <c r="D253" t="str">
        <f>ESTADISTICA!D252</f>
        <v>FIJA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x14ac:dyDescent="0.25">
      <c r="A254" t="str">
        <f>ESTADISTICA!A253</f>
        <v>VILLA GENERAL SAN MARTIN</v>
      </c>
      <c r="B254" t="str">
        <f>ESTADISTICA!B253</f>
        <v>SMA 06</v>
      </c>
      <c r="C254" t="str">
        <f>ESTADISTICA!C253</f>
        <v>AV. HUDSON Y RIO IGUAZU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x14ac:dyDescent="0.25">
      <c r="A255" t="str">
        <f>ESTADISTICA!A254</f>
        <v>VILLA GENERAL SAN MARTIN</v>
      </c>
      <c r="B255" t="str">
        <f>ESTADISTICA!B254</f>
        <v>SMA 07</v>
      </c>
      <c r="C255" t="str">
        <f>ESTADISTICA!C254</f>
        <v>AV. HUDSON Y RIO TURBIO</v>
      </c>
      <c r="D255" t="str">
        <f>ESTADISTICA!D254</f>
        <v>DOMO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x14ac:dyDescent="0.25">
      <c r="A256" t="str">
        <f>ESTADISTICA!A255</f>
        <v>VILLA GENERAL SAN MARTIN</v>
      </c>
      <c r="B256" t="str">
        <f>ESTADISTICA!B255</f>
        <v>SMA01</v>
      </c>
      <c r="C256" t="str">
        <f>ESTADISTICA!C255</f>
        <v>Hudson y Montevideo</v>
      </c>
      <c r="D256" t="str">
        <f>ESTADISTICA!D255</f>
        <v>DOMO</v>
      </c>
      <c r="E256" t="str">
        <f>ESTADISTICA!E255</f>
        <v>Radio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x14ac:dyDescent="0.25">
      <c r="A257" t="str">
        <f>ESTADISTICA!A256</f>
        <v>VILLA GENERAL SAN MARTIN</v>
      </c>
      <c r="B257" t="str">
        <f>ESTADISTICA!B256</f>
        <v>SMA02</v>
      </c>
      <c r="C257" t="str">
        <f>ESTADISTICA!C256</f>
        <v>Hudson y San Nicolas</v>
      </c>
      <c r="D257" t="str">
        <f>ESTADISTICA!D256</f>
        <v>Domo</v>
      </c>
      <c r="E257" t="str">
        <f>ESTADISTICA!E256</f>
        <v>Radio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 t="str">
        <f>ESTADISTICA!K256</f>
        <v>APAGADO</v>
      </c>
      <c r="L257" t="str">
        <f>ESTADISTICA!L256</f>
        <v>APAGADO</v>
      </c>
      <c r="M257" t="str">
        <f>ESTADISTICA!M256</f>
        <v>APAGADO</v>
      </c>
      <c r="N257" t="str">
        <f>ESTADISTICA!N256</f>
        <v>APAGADO</v>
      </c>
      <c r="O257" t="str">
        <f>ESTADISTICA!O256</f>
        <v>APAGADO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x14ac:dyDescent="0.25">
      <c r="A258" t="str">
        <f>ESTADISTICA!A257</f>
        <v>VILLA GENERAL SAN MARTIN</v>
      </c>
      <c r="B258" t="str">
        <f>ESTADISTICA!B257</f>
        <v>SMA05</v>
      </c>
      <c r="C258" t="str">
        <f>ESTADISTICA!C257</f>
        <v>MONTEVIDEO Y VILLEGAS</v>
      </c>
      <c r="D258" t="str">
        <f>ESTADISTICA!D257</f>
        <v>DOMO</v>
      </c>
      <c r="E258" t="str">
        <f>ESTADISTICA!E257</f>
        <v>PTP A FO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x14ac:dyDescent="0.25">
      <c r="A259" t="str">
        <f>ESTADISTICA!A258</f>
        <v>SAN NICOLAS</v>
      </c>
      <c r="B259" t="str">
        <f>ESTADISTICA!B258</f>
        <v>SNI01 (fija 1)</v>
      </c>
      <c r="C259" t="str">
        <f>ESTADISTICA!C258</f>
        <v>SARRATEA E/ EEUU DE A. Y AGRELO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 t="str">
        <f>ESTADISTICA!N258</f>
        <v>APAGADO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SAN NICOLAS</v>
      </c>
      <c r="B260" t="str">
        <f>ESTADISTICA!B259</f>
        <v>SNI02 (fija 2)</v>
      </c>
      <c r="C260" t="str">
        <f>ESTADISTICA!C259</f>
        <v>SARRATEA E/ EEUU DE A. Y AGRELO</v>
      </c>
      <c r="D260" t="str">
        <f>ESTADISTICA!D259</f>
        <v>Fija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 t="str">
        <f>ESTADISTICA!N259</f>
        <v>APAGADO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SNI03 (fija 1)</v>
      </c>
      <c r="C261" t="str">
        <f>ESTADISTICA!C260</f>
        <v>SARRATEA Y LOS TREBOLES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 t="str">
        <f>ESTADISTICA!K260</f>
        <v>APAGADO</v>
      </c>
      <c r="L261" t="str">
        <f>ESTADISTICA!L260</f>
        <v>APAGADO</v>
      </c>
      <c r="M261" t="str">
        <f>ESTADISTICA!M260</f>
        <v>APAGADO</v>
      </c>
      <c r="N261" t="str">
        <f>ESTADISTICA!N260</f>
        <v>APAGADO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SNI04 (fija 2)</v>
      </c>
      <c r="C262" t="str">
        <f>ESTADISTICA!C261</f>
        <v>SARRATEA Y LOS TREBOLES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 t="str">
        <f>ESTADISTICA!L261</f>
        <v>APAGADO</v>
      </c>
      <c r="M262" t="str">
        <f>ESTADISTICA!M261</f>
        <v>APAGADO</v>
      </c>
      <c r="N262" t="str">
        <f>ESTADISTICA!N261</f>
        <v>APAGADO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SANTA ROSA</v>
      </c>
      <c r="B263" t="str">
        <f>ESTADISTICA!B262</f>
        <v>SRO 05</v>
      </c>
      <c r="C263" t="str">
        <f>ESTADISTICA!C262</f>
        <v>CAFFERATA Y BONN</v>
      </c>
      <c r="D263" t="str">
        <f>ESTADISTICA!D262</f>
        <v>DOMO</v>
      </c>
      <c r="E263" t="str">
        <f>ESTADISTICA!E262</f>
        <v>Radio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SANTA ROSA</v>
      </c>
      <c r="B264" t="str">
        <f>ESTADISTICA!B263</f>
        <v>SRO 06</v>
      </c>
      <c r="C264" t="str">
        <f>ESTADISTICA!C263</f>
        <v>Novak y Bonn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x14ac:dyDescent="0.25">
      <c r="A265" t="str">
        <f>ESTADISTICA!A264</f>
        <v>SANTA ROSA</v>
      </c>
      <c r="B265" t="str">
        <f>ESTADISTICA!B264</f>
        <v>SRO 07</v>
      </c>
      <c r="C265" t="str">
        <f>ESTADISTICA!C264</f>
        <v>NOVAK Y BELGICA</v>
      </c>
      <c r="D265" t="str">
        <f>ESTADISTICA!D264</f>
        <v>Domo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x14ac:dyDescent="0.25">
      <c r="A266" t="str">
        <f>ESTADISTICA!A265</f>
        <v>SANTA ROSA</v>
      </c>
      <c r="B266" t="str">
        <f>ESTADISTICA!B265</f>
        <v>SRO 08</v>
      </c>
      <c r="C266" t="str">
        <f>ESTADISTICA!C265</f>
        <v>NOVAK E/ DESSY Y BELGICA (POLIDEPORTIVO LA PATRIADA)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x14ac:dyDescent="0.25">
      <c r="A267" t="str">
        <f>ESTADISTICA!A266</f>
        <v>SANTA ROSA</v>
      </c>
      <c r="B267" t="str">
        <f>ESTADISTICA!B266</f>
        <v>SRO 09</v>
      </c>
      <c r="C267" t="str">
        <f>ESTADISTICA!C266</f>
        <v>BUCAREST E/ ALEMANIA Y CAFFERATA</v>
      </c>
      <c r="D267" t="str">
        <f>ESTADISTICA!D266</f>
        <v>DOMO</v>
      </c>
      <c r="E267" t="str">
        <f>ESTADISTICA!E266</f>
        <v>Radio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x14ac:dyDescent="0.25">
      <c r="A268" t="str">
        <f>ESTADISTICA!A267</f>
        <v>SANTA ROSA</v>
      </c>
      <c r="B268" t="str">
        <f>ESTADISTICA!B267</f>
        <v>SRO 10</v>
      </c>
      <c r="C268" t="str">
        <f>ESTADISTICA!C267</f>
        <v>DINAMARCA Y MILAN</v>
      </c>
      <c r="D268" t="str">
        <f>ESTADISTICA!D267</f>
        <v>DOMO</v>
      </c>
      <c r="E268" t="str">
        <f>ESTADISTICA!E267</f>
        <v>Radio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x14ac:dyDescent="0.25">
      <c r="A269" t="str">
        <f>ESTADISTICA!A268</f>
        <v>SANTA ROSA</v>
      </c>
      <c r="B269" t="str">
        <f>ESTADISTICA!B268</f>
        <v>SRO 16 (fija 1)</v>
      </c>
      <c r="C269" t="str">
        <f>ESTADISTICA!C268</f>
        <v>ANDORRA E/ BELGICA Y SAN MARINO</v>
      </c>
      <c r="D269" t="str">
        <f>ESTADISTICA!D268</f>
        <v>Fija</v>
      </c>
      <c r="E269" t="str">
        <f>ESTADISTICA!E268</f>
        <v>Fibra Optica</v>
      </c>
      <c r="F269" t="str">
        <f>ESTADISTICA!F268</f>
        <v>APAGADO</v>
      </c>
      <c r="G269" t="str">
        <f>ESTADISTICA!G268</f>
        <v>APAGADO</v>
      </c>
      <c r="H269" t="str">
        <f>ESTADISTICA!H268</f>
        <v>APAGADO</v>
      </c>
      <c r="I269" t="str">
        <f>ESTADISTICA!I268</f>
        <v>APAGADO</v>
      </c>
      <c r="J269" t="str">
        <f>ESTADISTICA!J268</f>
        <v>APAGADO</v>
      </c>
      <c r="K269" t="str">
        <f>ESTADISTICA!K268</f>
        <v>APAGADO</v>
      </c>
      <c r="L269">
        <f>ESTADISTICA!L268</f>
        <v>0</v>
      </c>
      <c r="M269" t="str">
        <f>ESTADISTICA!M268</f>
        <v>APAGADO</v>
      </c>
      <c r="N269" t="str">
        <f>ESTADISTICA!N268</f>
        <v>APAGADO</v>
      </c>
      <c r="O269" t="str">
        <f>ESTADISTICA!O268</f>
        <v>APAGADO</v>
      </c>
      <c r="P269" t="str">
        <f>ESTADISTICA!P268</f>
        <v>APAGADO</v>
      </c>
      <c r="Q269" t="str">
        <f>ESTADISTICA!Q268</f>
        <v>APAGADO</v>
      </c>
      <c r="R269" t="str">
        <f>ESTADISTICA!R268</f>
        <v>APAGADO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x14ac:dyDescent="0.25">
      <c r="A270" t="str">
        <f>ESTADISTICA!A269</f>
        <v>SANTA ROSA</v>
      </c>
      <c r="B270" t="str">
        <f>ESTADISTICA!B269</f>
        <v>SRO 17 (fija 2)</v>
      </c>
      <c r="C270" t="str">
        <f>ESTADISTICA!C269</f>
        <v>ANDORRA E/ BELGICA Y SAN MARINO</v>
      </c>
      <c r="D270" t="str">
        <f>ESTADISTICA!D269</f>
        <v>Fija</v>
      </c>
      <c r="E270" t="str">
        <f>ESTADISTICA!E269</f>
        <v>Fibra Optica</v>
      </c>
      <c r="F270" t="str">
        <f>ESTADISTICA!F269</f>
        <v>APAGADO</v>
      </c>
      <c r="G270" t="str">
        <f>ESTADISTICA!G269</f>
        <v>APAGADO</v>
      </c>
      <c r="H270" t="str">
        <f>ESTADISTICA!H269</f>
        <v>APAGADO</v>
      </c>
      <c r="I270" t="str">
        <f>ESTADISTICA!I269</f>
        <v>APAGADO</v>
      </c>
      <c r="J270" t="str">
        <f>ESTADISTICA!J269</f>
        <v>APAGADO</v>
      </c>
      <c r="K270" t="str">
        <f>ESTADISTICA!K269</f>
        <v>APAGADO</v>
      </c>
      <c r="L270">
        <f>ESTADISTICA!L269</f>
        <v>0</v>
      </c>
      <c r="M270" t="str">
        <f>ESTADISTICA!M269</f>
        <v>APAGADO</v>
      </c>
      <c r="N270" t="str">
        <f>ESTADISTICA!N269</f>
        <v>APAGADO</v>
      </c>
      <c r="O270" t="str">
        <f>ESTADISTICA!O269</f>
        <v>APAGADO</v>
      </c>
      <c r="P270" t="str">
        <f>ESTADISTICA!P269</f>
        <v>APAGADO</v>
      </c>
      <c r="Q270">
        <f>ESTADISTICA!Q269</f>
        <v>0</v>
      </c>
      <c r="R270" t="str">
        <f>ESTADISTICA!R269</f>
        <v>APAGADO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x14ac:dyDescent="0.25">
      <c r="A271" t="str">
        <f>ESTADISTICA!A270</f>
        <v>SANTA ROSA</v>
      </c>
      <c r="B271" t="str">
        <f>ESTADISTICA!B270</f>
        <v>SRO01</v>
      </c>
      <c r="C271" t="str">
        <f>ESTADISTICA!C270</f>
        <v>Yugoslavia y Milani</v>
      </c>
      <c r="D271" t="str">
        <f>ESTADISTICA!D270</f>
        <v>Domo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x14ac:dyDescent="0.25">
      <c r="A272" t="str">
        <f>ESTADISTICA!A271</f>
        <v>ZONA RURAL SANTA ROSA</v>
      </c>
      <c r="B272" t="str">
        <f>ESTADISTICA!B271</f>
        <v>SRO02</v>
      </c>
      <c r="C272" t="str">
        <f>ESTADISTICA!C271</f>
        <v>Bruselas y Calle 448</v>
      </c>
      <c r="D272" t="str">
        <f>ESTADISTICA!D271</f>
        <v>Domo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x14ac:dyDescent="0.25">
      <c r="A273" t="str">
        <f>ESTADISTICA!A272</f>
        <v>SANTA ROSA</v>
      </c>
      <c r="B273" t="str">
        <f>ESTADISTICA!B272</f>
        <v>SRO03</v>
      </c>
      <c r="C273" t="str">
        <f>ESTADISTICA!C272</f>
        <v>Eva Peron y Paysandu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x14ac:dyDescent="0.25">
      <c r="A274" t="str">
        <f>ESTADISTICA!A273</f>
        <v>SANTA ROSA</v>
      </c>
      <c r="B274" t="str">
        <f>ESTADISTICA!B273</f>
        <v>SRO04</v>
      </c>
      <c r="C274" t="str">
        <f>ESTADISTICA!C273</f>
        <v>Belgica y Andorra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x14ac:dyDescent="0.25">
      <c r="A275" t="str">
        <f>ESTADISTICA!A274</f>
        <v>SANTA ROSA</v>
      </c>
      <c r="B275" t="str">
        <f>ESTADISTICA!B274</f>
        <v>SRO11</v>
      </c>
      <c r="C275" t="str">
        <f>ESTADISTICA!C274</f>
        <v>MILAN Y MALLORCA</v>
      </c>
      <c r="D275" t="str">
        <f>ESTADISTICA!D274</f>
        <v>DOMO</v>
      </c>
      <c r="E275" t="str">
        <f>ESTADISTICA!E274</f>
        <v>Radio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x14ac:dyDescent="0.25">
      <c r="A276" t="str">
        <f>ESTADISTICA!A275</f>
        <v>SANTA ROSA</v>
      </c>
      <c r="B276" t="str">
        <f>ESTADISTICA!B275</f>
        <v>SRO12</v>
      </c>
      <c r="C276" t="str">
        <f>ESTADISTICA!C275</f>
        <v>YUGOSLAVIA Y PAYSANDU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x14ac:dyDescent="0.25">
      <c r="A277" t="str">
        <f>ESTADISTICA!A276</f>
        <v>ZONA RURAL SANTA ROSA</v>
      </c>
      <c r="B277" t="str">
        <f>ESTADISTICA!B276</f>
        <v>SRO13 (fija 1)</v>
      </c>
      <c r="C277" t="str">
        <f>ESTADISTICA!C276</f>
        <v>BRUSELAS E/ GRECIA Y CHECOSLOVAQUIA</v>
      </c>
      <c r="D277" t="str">
        <f>ESTADISTICA!D276</f>
        <v>Fija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 t="str">
        <f>ESTADISTICA!M276</f>
        <v>APAGADO</v>
      </c>
      <c r="N277" t="str">
        <f>ESTADISTICA!N276</f>
        <v>APAGADO</v>
      </c>
      <c r="O277" t="str">
        <f>ESTADISTICA!O276</f>
        <v>APAGADO</v>
      </c>
      <c r="P277" t="str">
        <f>ESTADISTICA!P276</f>
        <v>APAGADO</v>
      </c>
      <c r="Q277" t="str">
        <f>ESTADISTICA!Q276</f>
        <v>APAGADO</v>
      </c>
      <c r="R277" t="str">
        <f>ESTADISTICA!R276</f>
        <v>APAGADO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x14ac:dyDescent="0.25">
      <c r="A278" t="str">
        <f>ESTADISTICA!A277</f>
        <v>ZONA RURAL SANTA ROSA</v>
      </c>
      <c r="B278" t="str">
        <f>ESTADISTICA!B277</f>
        <v>SRO14 (fija 2)</v>
      </c>
      <c r="C278" t="str">
        <f>ESTADISTICA!C277</f>
        <v>BRUSELAS E/ GRECIA Y CHECOSLOVAQUIA</v>
      </c>
      <c r="D278" t="str">
        <f>ESTADISTICA!D277</f>
        <v>Fija</v>
      </c>
      <c r="E278" t="str">
        <f>ESTADISTICA!E277</f>
        <v>RADIO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 t="str">
        <f>ESTADISTICA!L277</f>
        <v>APAGADO</v>
      </c>
      <c r="M278" t="str">
        <f>ESTADISTICA!M277</f>
        <v>APAGADO</v>
      </c>
      <c r="N278" t="str">
        <f>ESTADISTICA!N277</f>
        <v>APAGADO</v>
      </c>
      <c r="O278" t="str">
        <f>ESTADISTICA!O277</f>
        <v>APAGADO</v>
      </c>
      <c r="P278" t="str">
        <f>ESTADISTICA!P277</f>
        <v>APAGADO</v>
      </c>
      <c r="Q278" t="str">
        <f>ESTADISTICA!Q277</f>
        <v>APAGADO</v>
      </c>
      <c r="R278" t="str">
        <f>ESTADISTICA!R277</f>
        <v>APAGADO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SANTA ROSA</v>
      </c>
      <c r="B279" t="str">
        <f>ESTADISTICA!B278</f>
        <v>SRO15</v>
      </c>
      <c r="C279" t="str">
        <f>ESTADISTICA!C278</f>
        <v>NOVAK Y TIRANA (614)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SANTA ROSA</v>
      </c>
      <c r="B280" t="str">
        <f>ESTADISTICA!B279</f>
        <v>SRO18 (fija 1)</v>
      </c>
      <c r="C280" t="str">
        <f>ESTADISTICA!C279</f>
        <v>GRAN CANARIA Y BUDAPEST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x14ac:dyDescent="0.25">
      <c r="A281" t="str">
        <f>ESTADISTICA!A280</f>
        <v>SANTA ROSA</v>
      </c>
      <c r="B281" t="str">
        <f>ESTADISTICA!B280</f>
        <v>SRO19 (fija 2)</v>
      </c>
      <c r="C281" t="str">
        <f>ESTADISTICA!C280</f>
        <v>GRAN CANARIA Y BUDAPEST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 RUDECINDO</v>
      </c>
      <c r="B282" t="str">
        <f>ESTADISTICA!B281</f>
        <v>SRU01 (fija 1)</v>
      </c>
      <c r="C282" t="str">
        <f>ESTADISTICA!C281</f>
        <v>HERNANDARIAS Y AMBATO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25">
      <c r="A283" t="str">
        <f>ESTADISTICA!A282</f>
        <v>SAN RUDECINDO</v>
      </c>
      <c r="B283" t="str">
        <f>ESTADISTICA!B282</f>
        <v>SRU02 (fija 2)</v>
      </c>
      <c r="C283" t="str">
        <f>ESTADISTICA!C282</f>
        <v>HERNANDARIAS Y AMBATO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x14ac:dyDescent="0.25">
      <c r="A284" t="str">
        <f>ESTADISTICA!A283</f>
        <v>VILLA ANGELICA</v>
      </c>
      <c r="B284" t="str">
        <f>ESTADISTICA!B283</f>
        <v>VANG01</v>
      </c>
      <c r="C284" t="str">
        <f>ESTADISTICA!C283</f>
        <v>Senzabello y Necochea</v>
      </c>
      <c r="D284" t="str">
        <f>ESTADISTICA!D283</f>
        <v>Domo</v>
      </c>
      <c r="E284" t="str">
        <f>ESTADISTICA!E283</f>
        <v>PTP A FO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 t="str">
        <f>ESTADISTICA!P283</f>
        <v>APAGADO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x14ac:dyDescent="0.25">
      <c r="A285" t="str">
        <f>ESTADISTICA!A284</f>
        <v>VILLA ANGELICA</v>
      </c>
      <c r="B285" t="str">
        <f>ESTADISTICA!B284</f>
        <v>VANG02</v>
      </c>
      <c r="C285" t="str">
        <f>ESTADISTICA!C284</f>
        <v>Thevenet y Ruta 36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x14ac:dyDescent="0.25">
      <c r="A286" t="str">
        <f>ESTADISTICA!A285</f>
        <v>VILLA DEL PLATA</v>
      </c>
      <c r="B286" t="str">
        <f>ESTADISTICA!B285</f>
        <v>VANG03</v>
      </c>
      <c r="C286" t="str">
        <f>ESTADISTICA!C285</f>
        <v>Thevenet 1950</v>
      </c>
      <c r="D286" t="str">
        <f>ESTADISTICA!D285</f>
        <v>Domo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x14ac:dyDescent="0.25">
      <c r="A287" t="str">
        <f>ESTADISTICA!A286</f>
        <v>VILLA ANGELICA</v>
      </c>
      <c r="B287" t="str">
        <f>ESTADISTICA!B286</f>
        <v>VANG04</v>
      </c>
      <c r="C287" t="str">
        <f>ESTADISTICA!C286</f>
        <v>Storni e/Thevenet y Calle 158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x14ac:dyDescent="0.25">
      <c r="A288" t="str">
        <f>ESTADISTICA!A287</f>
        <v>VILLA ANGELICA</v>
      </c>
      <c r="B288" t="str">
        <f>ESTADISTICA!B287</f>
        <v>VANG05</v>
      </c>
      <c r="C288" t="str">
        <f>ESTADISTICA!C287</f>
        <v>Storni y Thevenet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x14ac:dyDescent="0.25">
      <c r="A289" t="str">
        <f>ESTADISTICA!A288</f>
        <v>VILLA ANGELICA</v>
      </c>
      <c r="B289" t="str">
        <f>ESTADISTICA!B288</f>
        <v>VANG06</v>
      </c>
      <c r="C289" t="str">
        <f>ESTADISTICA!C288</f>
        <v>Arenales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x14ac:dyDescent="0.25">
      <c r="A290" t="str">
        <f>ESTADISTICA!A289</f>
        <v>VILLA ANGELICA</v>
      </c>
      <c r="B290" t="str">
        <f>ESTADISTICA!B289</f>
        <v>VANG07</v>
      </c>
      <c r="C290" t="str">
        <f>ESTADISTICA!C289</f>
        <v>Arenales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x14ac:dyDescent="0.25">
      <c r="A291" t="str">
        <f>ESTADISTICA!A290</f>
        <v>VILLA ANGELICA</v>
      </c>
      <c r="B291" t="str">
        <f>ESTADISTICA!B290</f>
        <v>VANG08</v>
      </c>
      <c r="C291" t="str">
        <f>ESTADISTICA!C290</f>
        <v>Calle 158 al 2200</v>
      </c>
      <c r="D291" t="str">
        <f>ESTADISTICA!D290</f>
        <v>Domo</v>
      </c>
      <c r="E291" t="str">
        <f>ESTADISTICA!E290</f>
        <v>PTP A FO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x14ac:dyDescent="0.25">
      <c r="A292" t="str">
        <f>ESTADISTICA!A291</f>
        <v>PRESIDENTE SARMIENTO</v>
      </c>
      <c r="B292" t="str">
        <f>ESTADISTICA!B291</f>
        <v>VANG09</v>
      </c>
      <c r="C292" t="str">
        <f>ESTADISTICA!C291</f>
        <v>Ruta 36 y Senzabello</v>
      </c>
      <c r="D292" t="str">
        <f>ESTADISTICA!D291</f>
        <v>Domo</v>
      </c>
      <c r="E292" t="str">
        <f>ESTADISTICA!E291</f>
        <v>PTP A FO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 t="str">
        <f>ESTADISTICA!P291</f>
        <v>APAGADO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x14ac:dyDescent="0.25">
      <c r="A293" t="str">
        <f>ESTADISTICA!A292</f>
        <v>VILLA ARGENTINA</v>
      </c>
      <c r="B293" t="str">
        <f>ESTADISTICA!B292</f>
        <v>VAR 01</v>
      </c>
      <c r="C293" t="str">
        <f>ESTADISTICA!C292</f>
        <v>Calle 519 y 546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 t="str">
        <f>ESTADISTICA!K292</f>
        <v>APAGADO</v>
      </c>
      <c r="L293">
        <f>ESTADISTICA!L292</f>
        <v>0</v>
      </c>
      <c r="M293" t="str">
        <f>ESTADISTICA!M292</f>
        <v>APAGADO</v>
      </c>
      <c r="N293" t="str">
        <f>ESTADISTICA!N292</f>
        <v>APAGADO</v>
      </c>
      <c r="O293" t="str">
        <f>ESTADISTICA!O292</f>
        <v>APAGADO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x14ac:dyDescent="0.25">
      <c r="A294" t="str">
        <f>ESTADISTICA!A293</f>
        <v>VILLA ARGENTINA</v>
      </c>
      <c r="B294" t="str">
        <f>ESTADISTICA!B293</f>
        <v>VAR 02</v>
      </c>
      <c r="C294" t="str">
        <f>ESTADISTICA!C293</f>
        <v>DIAGONAL LOS TILOS Y 542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x14ac:dyDescent="0.25">
      <c r="A295" t="str">
        <f>ESTADISTICA!A294</f>
        <v>VILLA ARGENTINA</v>
      </c>
      <c r="B295" t="str">
        <f>ESTADISTICA!B294</f>
        <v>VAR03 (fija 1)</v>
      </c>
      <c r="C295" t="str">
        <f>ESTADISTICA!C294</f>
        <v>509 y 546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x14ac:dyDescent="0.25">
      <c r="A296" t="str">
        <f>ESTADISTICA!A295</f>
        <v>VILLA ARGENTINA</v>
      </c>
      <c r="B296" t="str">
        <f>ESTADISTICA!B295</f>
        <v>VAR04 (fija 2)</v>
      </c>
      <c r="C296" t="str">
        <f>ESTADISTICA!C295</f>
        <v>509 y 546</v>
      </c>
      <c r="D296" t="str">
        <f>ESTADISTICA!D295</f>
        <v>Fija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x14ac:dyDescent="0.25">
      <c r="A297" t="str">
        <f>ESTADISTICA!A296</f>
        <v>VILLA ARGENTINA</v>
      </c>
      <c r="B297" t="str">
        <f>ESTADISTICA!B296</f>
        <v>VAR05 (fija 1)</v>
      </c>
      <c r="C297" t="str">
        <f>ESTADISTICA!C296</f>
        <v>511 E/ 544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x14ac:dyDescent="0.25">
      <c r="A298" t="str">
        <f>ESTADISTICA!A297</f>
        <v>VILLA ARGENTINA</v>
      </c>
      <c r="B298" t="str">
        <f>ESTADISTICA!B297</f>
        <v>VAR06 (fija 2)</v>
      </c>
      <c r="C298" t="str">
        <f>ESTADISTICA!C297</f>
        <v>511 E/ 544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x14ac:dyDescent="0.25">
      <c r="A299" t="str">
        <f>ESTADISTICA!A298</f>
        <v>VILLA ARGENTINA</v>
      </c>
      <c r="B299" t="str">
        <f>ESTADISTICA!B298</f>
        <v>VAR07</v>
      </c>
      <c r="C299" t="str">
        <f>ESTADISTICA!C298</f>
        <v>DIAG. LOS TILOS Y 517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x14ac:dyDescent="0.25">
      <c r="A300" t="str">
        <f>ESTADISTICA!A299</f>
        <v>VILLA ARGENTINA</v>
      </c>
      <c r="B300" t="str">
        <f>ESTADISTICA!B299</f>
        <v>VAR08 (fija 1)</v>
      </c>
      <c r="C300" t="str">
        <f>ESTADISTICA!C299</f>
        <v>534 Y 523</v>
      </c>
      <c r="D300" t="str">
        <f>ESTADISTICA!D299</f>
        <v>Fija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 t="str">
        <f>ESTADISTICA!P299</f>
        <v>APAGADO</v>
      </c>
      <c r="Q300" t="str">
        <f>ESTADISTICA!Q299</f>
        <v>APAGADO</v>
      </c>
      <c r="R300" t="str">
        <f>ESTADISTICA!R299</f>
        <v>APAGADO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x14ac:dyDescent="0.25">
      <c r="A301" t="str">
        <f>ESTADISTICA!A300</f>
        <v>VILLA ARGENTINA</v>
      </c>
      <c r="B301" t="str">
        <f>ESTADISTICA!B300</f>
        <v>VAR09 (fija 2)</v>
      </c>
      <c r="C301" t="str">
        <f>ESTADISTICA!C300</f>
        <v>534 Y 523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 t="str">
        <f>ESTADISTICA!P300</f>
        <v>APAGADO</v>
      </c>
      <c r="Q301" t="str">
        <f>ESTADISTICA!Q300</f>
        <v>APAGADO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VAR10 (fija 1)</v>
      </c>
      <c r="C302" t="str">
        <f>ESTADISTICA!C301</f>
        <v>532 A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VAR11 (fija 2)</v>
      </c>
      <c r="C303" t="str">
        <f>ESTADISTICA!C302</f>
        <v>532 A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 t="str">
        <f>ESTADISTICA!P302</f>
        <v>APAGADO</v>
      </c>
      <c r="Q303" t="str">
        <f>ESTADISTICA!Q302</f>
        <v>APAGADO</v>
      </c>
      <c r="R303" t="str">
        <f>ESTADISTICA!R302</f>
        <v>APAGADO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25">
      <c r="A304">
        <f>ESTADISTICA!A303</f>
        <v>0</v>
      </c>
      <c r="B304" t="str">
        <f>ESTADISTICA!B303</f>
        <v>VAT 12</v>
      </c>
      <c r="C304" t="str">
        <f>ESTADISTICA!C303</f>
        <v>12 DE OCTUBRE Y CHACO</v>
      </c>
      <c r="D304" t="str">
        <f>ESTADISTICA!D303</f>
        <v>DOMO</v>
      </c>
      <c r="E304" t="str">
        <f>ESTADISTICA!E303</f>
        <v>PTP A FO</v>
      </c>
      <c r="F304" t="str">
        <f>ESTADISTICA!F303</f>
        <v>APAGADO</v>
      </c>
      <c r="G304" t="str">
        <f>ESTADISTICA!G303</f>
        <v>APAGADO</v>
      </c>
      <c r="H304">
        <f>ESTADISTICA!H303</f>
        <v>0</v>
      </c>
      <c r="I304">
        <f>ESTADISTICA!I303</f>
        <v>0</v>
      </c>
      <c r="J304" t="str">
        <f>ESTADISTICA!J303</f>
        <v>APAGADO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 t="str">
        <f>ESTADISTICA!R303</f>
        <v>APAGADO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VATTEONE CENTRO</v>
      </c>
      <c r="B305" t="str">
        <f>ESTADISTICA!B304</f>
        <v>VAT 13</v>
      </c>
      <c r="C305" t="str">
        <f>ESTADISTICA!C304</f>
        <v>Av.12 de Octubre y Belgrano</v>
      </c>
      <c r="D305" t="str">
        <f>ESTADISTICA!D304</f>
        <v>Domo</v>
      </c>
      <c r="E305" t="str">
        <f>ESTADISTICA!E304</f>
        <v>PTP A FO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x14ac:dyDescent="0.25">
      <c r="A306">
        <f>ESTADISTICA!A305</f>
        <v>0</v>
      </c>
      <c r="B306" t="str">
        <f>ESTADISTICA!B305</f>
        <v>VAT 15</v>
      </c>
      <c r="C306" t="str">
        <f>ESTADISTICA!C305</f>
        <v>CORRIENTES Y VICENTE LOPEZ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x14ac:dyDescent="0.25">
      <c r="A307" t="str">
        <f>ESTADISTICA!A306</f>
        <v>VILLA VATTEONE</v>
      </c>
      <c r="B307" t="str">
        <f>ESTADISTICA!B306</f>
        <v>VAT 16</v>
      </c>
      <c r="C307" t="str">
        <f>ESTADISTICA!C306</f>
        <v>MONTEVIDEO Y CHACO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x14ac:dyDescent="0.25">
      <c r="A308" t="str">
        <f>ESTADISTICA!A307</f>
        <v>VILLA VATTEONE</v>
      </c>
      <c r="B308" t="str">
        <f>ESTADISTICA!B307</f>
        <v>VAT 17</v>
      </c>
      <c r="C308" t="str">
        <f>ESTADISTICA!C307</f>
        <v>CHAÑAR Y URUGUAY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25">
      <c r="A309" t="str">
        <f>ESTADISTICA!A308</f>
        <v>VILLA VATTEONE CENTRO</v>
      </c>
      <c r="B309" t="str">
        <f>ESTADISTICA!B308</f>
        <v>VAT 18</v>
      </c>
      <c r="C309" t="str">
        <f>ESTADISTICA!C308</f>
        <v>LAVALLE Y FONROUGE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 t="str">
        <f>ESTADISTICA!R308</f>
        <v>APAGADO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 CENTRO</v>
      </c>
      <c r="B310" t="str">
        <f>ESTADISTICA!B309</f>
        <v>VAT 19</v>
      </c>
      <c r="C310" t="str">
        <f>ESTADISTICA!C309</f>
        <v>QUINTANA Y FONROUGE ( TUCUMAN )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</v>
      </c>
      <c r="B311" t="str">
        <f>ESTADISTICA!B310</f>
        <v>VAT 20</v>
      </c>
      <c r="C311" t="str">
        <f>ESTADISTICA!C310</f>
        <v>URUGUAY Y PILCOMAYO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 t="str">
        <f>ESTADISTICA!R310</f>
        <v>APAGADO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x14ac:dyDescent="0.25">
      <c r="A312" t="str">
        <f>ESTADISTICA!A311</f>
        <v>VILLA VATTEONE</v>
      </c>
      <c r="B312" t="str">
        <f>ESTADISTICA!B311</f>
        <v>VAT01</v>
      </c>
      <c r="C312" t="str">
        <f>ESTADISTICA!C311</f>
        <v>Montevideo y El Chañar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x14ac:dyDescent="0.25">
      <c r="A313" t="str">
        <f>ESTADISTICA!A312</f>
        <v>VILLA VATTEONE CENTRO</v>
      </c>
      <c r="B313" t="str">
        <f>ESTADISTICA!B312</f>
        <v>VAT02</v>
      </c>
      <c r="C313" t="str">
        <f>ESTADISTICA!C312</f>
        <v>Eva Peron y 12 de Octubre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x14ac:dyDescent="0.25">
      <c r="A314" t="str">
        <f>ESTADISTICA!A313</f>
        <v>VILLA VATTEONE CENTRO</v>
      </c>
      <c r="B314" t="str">
        <f>ESTADISTICA!B313</f>
        <v>VAT03</v>
      </c>
      <c r="C314" t="str">
        <f>ESTADISTICA!C313</f>
        <v>Lavalle y Belgrano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x14ac:dyDescent="0.25">
      <c r="A315" t="str">
        <f>ESTADISTICA!A314</f>
        <v>VILLA VATTEONE CENTRO</v>
      </c>
      <c r="B315" t="str">
        <f>ESTADISTICA!B314</f>
        <v>VAT04</v>
      </c>
      <c r="C315" t="str">
        <f>ESTADISTICA!C314</f>
        <v>Lavalle y Entre Rios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x14ac:dyDescent="0.25">
      <c r="A316" t="str">
        <f>ESTADISTICA!A315</f>
        <v>VILLA VATTEONE CENTRO</v>
      </c>
      <c r="B316" t="str">
        <f>ESTADISTICA!B315</f>
        <v>VAT05</v>
      </c>
      <c r="C316" t="str">
        <f>ESTADISTICA!C315</f>
        <v>Lavalle y Colombia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x14ac:dyDescent="0.25">
      <c r="A317" t="str">
        <f>ESTADISTICA!A316</f>
        <v>VILLA VATTEONE CENTRO</v>
      </c>
      <c r="B317" t="str">
        <f>ESTADISTICA!B316</f>
        <v>VAT06</v>
      </c>
      <c r="C317" t="str">
        <f>ESTADISTICA!C316</f>
        <v>Eva Peron y Pueyrredon</v>
      </c>
      <c r="D317" t="str">
        <f>ESTADISTICA!D316</f>
        <v>Domo</v>
      </c>
      <c r="E317" t="str">
        <f>ESTADISTICA!E316</f>
        <v>Fibra Optica</v>
      </c>
      <c r="F317" t="str">
        <f>ESTADISTICA!F316</f>
        <v>APAGADO</v>
      </c>
      <c r="G317" t="str">
        <f>ESTADISTICA!G316</f>
        <v>APAGADO</v>
      </c>
      <c r="H317" t="str">
        <f>ESTADISTICA!H316</f>
        <v>APAGADO</v>
      </c>
      <c r="I317" t="str">
        <f>ESTADISTICA!I316</f>
        <v>APAGADO</v>
      </c>
      <c r="J317" t="str">
        <f>ESTADISTICA!J316</f>
        <v>APAGADO</v>
      </c>
      <c r="K317" t="str">
        <f>ESTADISTICA!K316</f>
        <v>APAGADO</v>
      </c>
      <c r="L317" t="str">
        <f>ESTADISTICA!L316</f>
        <v>APAGADO</v>
      </c>
      <c r="M317" t="str">
        <f>ESTADISTICA!M316</f>
        <v>APAGADO</v>
      </c>
      <c r="N317" t="str">
        <f>ESTADISTICA!N316</f>
        <v>APAGADO</v>
      </c>
      <c r="O317" t="str">
        <f>ESTADISTICA!O316</f>
        <v>APAGADO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x14ac:dyDescent="0.25">
      <c r="A318" t="str">
        <f>ESTADISTICA!A317</f>
        <v>VILLA VATTEONE CENTRO</v>
      </c>
      <c r="B318" t="str">
        <f>ESTADISTICA!B317</f>
        <v>VAT07</v>
      </c>
      <c r="C318" t="str">
        <f>ESTADISTICA!C317</f>
        <v>Eva Peron y Lavalle</v>
      </c>
      <c r="D318" t="str">
        <f>ESTADISTICA!D317</f>
        <v>DOMO</v>
      </c>
      <c r="E318" t="str">
        <f>ESTADISTICA!E317</f>
        <v>PTP A FO</v>
      </c>
      <c r="F318" t="str">
        <f>ESTADISTICA!F317</f>
        <v>APAGADO</v>
      </c>
      <c r="G318" t="str">
        <f>ESTADISTICA!G317</f>
        <v>APAGADO</v>
      </c>
      <c r="H318" t="str">
        <f>ESTADISTICA!H317</f>
        <v>APAGADO</v>
      </c>
      <c r="I318" t="str">
        <f>ESTADISTICA!I317</f>
        <v>APAGADO</v>
      </c>
      <c r="J318" t="str">
        <f>ESTADISTICA!J317</f>
        <v>APAGADO</v>
      </c>
      <c r="K318" t="str">
        <f>ESTADISTICA!K317</f>
        <v>APAGADO</v>
      </c>
      <c r="L318" t="str">
        <f>ESTADISTICA!L317</f>
        <v>APAGADO</v>
      </c>
      <c r="M318" t="str">
        <f>ESTADISTICA!M317</f>
        <v>APAGADO</v>
      </c>
      <c r="N318" t="str">
        <f>ESTADISTICA!N317</f>
        <v>APAGADO</v>
      </c>
      <c r="O318" t="str">
        <f>ESTADISTICA!O317</f>
        <v>APAGADO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</v>
      </c>
      <c r="B319" t="str">
        <f>ESTADISTICA!B318</f>
        <v>VAT08</v>
      </c>
      <c r="C319" t="str">
        <f>ESTADISTICA!C318</f>
        <v>12 de Octubre y Florida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x14ac:dyDescent="0.25">
      <c r="A320" t="str">
        <f>ESTADISTICA!A319</f>
        <v>VILLA VATTEONE</v>
      </c>
      <c r="B320" t="str">
        <f>ESTADISTICA!B319</f>
        <v>VAT09</v>
      </c>
      <c r="C320" t="str">
        <f>ESTADISTICA!C319</f>
        <v>Montevideo y Alsina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x14ac:dyDescent="0.25">
      <c r="A321" t="str">
        <f>ESTADISTICA!A320</f>
        <v>VILLA VATTEONE CENTRO</v>
      </c>
      <c r="B321" t="str">
        <f>ESTADISTICA!B320</f>
        <v>VAT10</v>
      </c>
      <c r="C321" t="str">
        <f>ESTADISTICA!C320</f>
        <v>Belgrano y Quintana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VAT11</v>
      </c>
      <c r="C322" t="str">
        <f>ESTADISTICA!C321</f>
        <v>Mainini y Montevideo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x14ac:dyDescent="0.25">
      <c r="A323">
        <f>ESTADISTICA!A322</f>
        <v>0</v>
      </c>
      <c r="B323" t="str">
        <f>ESTADISTICA!B322</f>
        <v>VAT14</v>
      </c>
      <c r="C323" t="str">
        <f>ESTADISTICA!C322</f>
        <v>FLORIDA Y MONTEVIDEO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x14ac:dyDescent="0.25">
      <c r="A324" t="str">
        <f>ESTADISTICA!A323</f>
        <v>VILLA VATTEONE CENTRO</v>
      </c>
      <c r="B324" t="str">
        <f>ESTADISTICA!B323</f>
        <v>VAT21 (fija 1)</v>
      </c>
      <c r="C324" t="str">
        <f>ESTADISTICA!C323</f>
        <v>QUINTANA E/ BELGRANO Y FONROUGE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x14ac:dyDescent="0.25">
      <c r="A325" t="str">
        <f>ESTADISTICA!A324</f>
        <v>VILLA VATTEONE CENTRO</v>
      </c>
      <c r="B325" t="str">
        <f>ESTADISTICA!B324</f>
        <v>VAT22 (fija 2)</v>
      </c>
      <c r="C325" t="str">
        <f>ESTADISTICA!C324</f>
        <v>QUINTANA E/ BELGRANO Y FONROUGE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x14ac:dyDescent="0.25">
      <c r="A326" t="str">
        <f>ESTADISTICA!A325</f>
        <v>VILLA VATTEONE CENTRO</v>
      </c>
      <c r="B326" t="str">
        <f>ESTADISTICA!B325</f>
        <v>VAT23 (fija 1)</v>
      </c>
      <c r="C326" t="str">
        <f>ESTADISTICA!C325</f>
        <v>EVA PERON Y "EL TUNEL" (BAJO NIVEL)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 t="str">
        <f>ESTADISTICA!L325</f>
        <v>APAGADO</v>
      </c>
      <c r="M326" t="str">
        <f>ESTADISTICA!M325</f>
        <v>APAGADO</v>
      </c>
      <c r="N326" t="str">
        <f>ESTADISTICA!N325</f>
        <v>APAGADO</v>
      </c>
      <c r="O326" t="str">
        <f>ESTADISTICA!O325</f>
        <v>APAGADO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x14ac:dyDescent="0.25">
      <c r="A327" t="str">
        <f>ESTADISTICA!A326</f>
        <v>VILLA VATTEONE CENTRO</v>
      </c>
      <c r="B327" t="str">
        <f>ESTADISTICA!B326</f>
        <v>VAT24 (fija 2)</v>
      </c>
      <c r="C327" t="str">
        <f>ESTADISTICA!C326</f>
        <v>EVA PERON Y "EL TUNEL" (BAJO NIVEL)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 t="str">
        <f>ESTADISTICA!J326</f>
        <v>APAGADO</v>
      </c>
      <c r="K327" t="str">
        <f>ESTADISTICA!K326</f>
        <v>APAGADO</v>
      </c>
      <c r="L327" t="str">
        <f>ESTADISTICA!L326</f>
        <v>APAGADO</v>
      </c>
      <c r="M327" t="str">
        <f>ESTADISTICA!M326</f>
        <v>APAGADO</v>
      </c>
      <c r="N327" t="str">
        <f>ESTADISTICA!N326</f>
        <v>APAGADO</v>
      </c>
      <c r="O327" t="str">
        <f>ESTADISTICA!O326</f>
        <v>APAGADO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x14ac:dyDescent="0.25">
      <c r="A328" t="str">
        <f>ESTADISTICA!A327</f>
        <v>VILLA AURORA</v>
      </c>
      <c r="B328" t="str">
        <f>ESTADISTICA!B327</f>
        <v>VAU 07</v>
      </c>
      <c r="C328" t="str">
        <f>ESTADISTICA!C327</f>
        <v>VICTORINO DE LA PLAZA Y MONTEVERDE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x14ac:dyDescent="0.25">
      <c r="A329" t="str">
        <f>ESTADISTICA!A328</f>
        <v>VILLA AURORA</v>
      </c>
      <c r="B329" t="str">
        <f>ESTADISTICA!B328</f>
        <v>VAU01</v>
      </c>
      <c r="C329" t="str">
        <f>ESTADISTICA!C328</f>
        <v>San Martin y Monteverde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 t="str">
        <f>ESTADISTICA!K328</f>
        <v>APAGADO</v>
      </c>
      <c r="L329" t="str">
        <f>ESTADISTICA!L328</f>
        <v>APAGADO</v>
      </c>
      <c r="M329" t="str">
        <f>ESTADISTICA!M328</f>
        <v>APAGADO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x14ac:dyDescent="0.25">
      <c r="A330" t="str">
        <f>ESTADISTICA!A329</f>
        <v>SAN EMILIO</v>
      </c>
      <c r="B330" t="str">
        <f>ESTADISTICA!B329</f>
        <v>VAU02</v>
      </c>
      <c r="C330" t="str">
        <f>ESTADISTICA!C329</f>
        <v>San Martin y Lope de Vega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x14ac:dyDescent="0.25">
      <c r="A331" t="str">
        <f>ESTADISTICA!A330</f>
        <v>VILLA AURORA</v>
      </c>
      <c r="B331" t="str">
        <f>ESTADISTICA!B330</f>
        <v>VAU03 (fija 1)</v>
      </c>
      <c r="C331" t="str">
        <f>ESTADISTICA!C330</f>
        <v>PIZZURNO Y NUESTRAS MALVINAS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x14ac:dyDescent="0.25">
      <c r="A332" t="str">
        <f>ESTADISTICA!A331</f>
        <v>VILLA AURORA</v>
      </c>
      <c r="B332" t="str">
        <f>ESTADISTICA!B331</f>
        <v>VAU04 (fija 2)</v>
      </c>
      <c r="C332" t="str">
        <f>ESTADISTICA!C331</f>
        <v>PIZZURNO Y NUESTRAS MALVINAS</v>
      </c>
      <c r="D332" t="str">
        <f>ESTADISTICA!D331</f>
        <v>Fija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x14ac:dyDescent="0.25">
      <c r="A333" t="str">
        <f>ESTADISTICA!A332</f>
        <v>VILLA AURORA</v>
      </c>
      <c r="B333" t="str">
        <f>ESTADISTICA!B332</f>
        <v>VAU05 (fija 1)</v>
      </c>
      <c r="C333" t="str">
        <f>ESTADISTICA!C332</f>
        <v>GUIDO SPANO Y VICTORINO DE LA PLAZA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x14ac:dyDescent="0.25">
      <c r="A334" t="str">
        <f>ESTADISTICA!A333</f>
        <v>VILLA AURORA</v>
      </c>
      <c r="B334" t="str">
        <f>ESTADISTICA!B333</f>
        <v>VAU06 (fija 2)</v>
      </c>
      <c r="C334" t="str">
        <f>ESTADISTICA!C333</f>
        <v>GUIDO SPANO Y VICTORINO DE LA PLAZA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x14ac:dyDescent="0.25">
      <c r="A335" t="str">
        <f>ESTADISTICA!A334</f>
        <v>VILLA AURORA</v>
      </c>
      <c r="B335" t="str">
        <f>ESTADISTICA!B334</f>
        <v>VAU08</v>
      </c>
      <c r="C335" t="str">
        <f>ESTADISTICA!C334</f>
        <v>MONTEVERDE Y WASHINGTON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x14ac:dyDescent="0.25">
      <c r="A336" t="str">
        <f>ESTADISTICA!A335</f>
        <v>VILLA DEL PLATA</v>
      </c>
      <c r="B336" t="str">
        <f>ESTADISTICA!B335</f>
        <v>VDPL02</v>
      </c>
      <c r="C336" t="str">
        <f>ESTADISTICA!C335</f>
        <v>Thevenet y Berutti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x14ac:dyDescent="0.25">
      <c r="A337" t="str">
        <f>ESTADISTICA!A336</f>
        <v>VILLA DEL PLATA</v>
      </c>
      <c r="B337" t="str">
        <f>ESTADISTICA!B336</f>
        <v>VDPL03</v>
      </c>
      <c r="C337" t="str">
        <f>ESTADISTICA!C336</f>
        <v>Neuquen y Alvarado</v>
      </c>
      <c r="D337" t="str">
        <f>ESTADISTICA!D336</f>
        <v>Domo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x14ac:dyDescent="0.25">
      <c r="A338" t="str">
        <f>ESTADISTICA!A337</f>
        <v>VILLA DEL PLATA</v>
      </c>
      <c r="B338" t="str">
        <f>ESTADISTICA!B337</f>
        <v>VDPL04</v>
      </c>
      <c r="C338" t="str">
        <f>ESTADISTICA!C337</f>
        <v>Neuquen y Diagonal Guemes</v>
      </c>
      <c r="D338" t="str">
        <f>ESTADISTICA!D337</f>
        <v>Domo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x14ac:dyDescent="0.25">
      <c r="A339" t="str">
        <f>ESTADISTICA!A338</f>
        <v>VILLA DEL PLATA</v>
      </c>
      <c r="B339" t="str">
        <f>ESTADISTICA!B338</f>
        <v>VDPL05</v>
      </c>
      <c r="C339" t="str">
        <f>ESTADISTICA!C338</f>
        <v>Ruta 36 y Abraham</v>
      </c>
      <c r="D339" t="str">
        <f>ESTADISTICA!D338</f>
        <v>Domo</v>
      </c>
      <c r="E339" t="str">
        <f>ESTADISTICA!E338</f>
        <v>PTP A FO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x14ac:dyDescent="0.25">
      <c r="A340" t="str">
        <f>ESTADISTICA!A339</f>
        <v>VILLA ANGELICA</v>
      </c>
      <c r="B340" t="str">
        <f>ESTADISTICA!B339</f>
        <v>VDPL06</v>
      </c>
      <c r="C340" t="str">
        <f>ESTADISTICA!C339</f>
        <v>Thevenet e/ Islas Orcadas y Gardel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x14ac:dyDescent="0.25">
      <c r="A341" t="str">
        <f>ESTADISTICA!A340</f>
        <v>VILLA HUDSON</v>
      </c>
      <c r="B341" t="str">
        <f>ESTADISTICA!B340</f>
        <v>VHS 01</v>
      </c>
      <c r="C341" t="str">
        <f>ESTADISTICA!C340</f>
        <v>AV. HUDSON Y AV. LUJAN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x14ac:dyDescent="0.25">
      <c r="A342" t="str">
        <f>ESTADISTICA!A341</f>
        <v>VILLA HUDSON</v>
      </c>
      <c r="B342" t="str">
        <f>ESTADISTICA!B341</f>
        <v>VHS 02</v>
      </c>
      <c r="C342" t="str">
        <f>ESTADISTICA!C341</f>
        <v>AV. LUJAN Y CALLE 909 A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x14ac:dyDescent="0.25">
      <c r="A343" t="str">
        <f>ESTADISTICA!A342</f>
        <v>VILLA HUDSON</v>
      </c>
      <c r="B343" t="str">
        <f>ESTADISTICA!B342</f>
        <v>VHS03 (fija 1)</v>
      </c>
      <c r="C343" t="str">
        <f>ESTADISTICA!C342</f>
        <v>AV. HUDSON Y LOS INMIGRANTES</v>
      </c>
      <c r="D343" t="str">
        <f>ESTADISTICA!D342</f>
        <v>Fija</v>
      </c>
      <c r="E343" t="str">
        <f>ESTADISTICA!E342</f>
        <v>Fibra Optica</v>
      </c>
      <c r="F343" t="str">
        <f>ESTADISTICA!F342</f>
        <v>APAGADO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 t="str">
        <f>ESTADISTICA!K342</f>
        <v>APAGADO</v>
      </c>
      <c r="L343" t="str">
        <f>ESTADISTICA!L342</f>
        <v>APAGADO</v>
      </c>
      <c r="M343" t="str">
        <f>ESTADISTICA!M342</f>
        <v>APAGADO</v>
      </c>
      <c r="N343" t="str">
        <f>ESTADISTICA!N342</f>
        <v>APAGADO</v>
      </c>
      <c r="O343" t="str">
        <f>ESTADISTICA!O342</f>
        <v>APAGADO</v>
      </c>
      <c r="P343" t="str">
        <f>ESTADISTICA!P342</f>
        <v>APAGADO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x14ac:dyDescent="0.25">
      <c r="A344" t="str">
        <f>ESTADISTICA!A343</f>
        <v>VILLA HUDSON</v>
      </c>
      <c r="B344" t="str">
        <f>ESTADISTICA!B343</f>
        <v>VHS04 (fija 2)</v>
      </c>
      <c r="C344" t="str">
        <f>ESTADISTICA!C343</f>
        <v>AV. HUDSON Y LOS INMIGRANTES</v>
      </c>
      <c r="D344" t="str">
        <f>ESTADISTICA!D343</f>
        <v>Fija</v>
      </c>
      <c r="E344" t="str">
        <f>ESTADISTICA!E343</f>
        <v>Fibra Optica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 t="str">
        <f>ESTADISTICA!K343</f>
        <v>APAGADO</v>
      </c>
      <c r="L344" t="str">
        <f>ESTADISTICA!L343</f>
        <v>APAGADO</v>
      </c>
      <c r="M344" t="str">
        <f>ESTADISTICA!M343</f>
        <v>APAGADO</v>
      </c>
      <c r="N344" t="str">
        <f>ESTADISTICA!N343</f>
        <v>APAGADO</v>
      </c>
      <c r="O344" t="str">
        <f>ESTADISTICA!O343</f>
        <v>APAGADO</v>
      </c>
      <c r="P344" t="str">
        <f>ESTADISTICA!P343</f>
        <v>APAGADO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x14ac:dyDescent="0.25">
      <c r="A345" t="str">
        <f>ESTADISTICA!A344</f>
        <v>VILLA ARIAS</v>
      </c>
      <c r="B345" t="str">
        <f>ESTADISTICA!B344</f>
        <v>VLA01 (fija 1)</v>
      </c>
      <c r="C345" t="str">
        <f>ESTADISTICA!C344</f>
        <v>820 Y SOLER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x14ac:dyDescent="0.25">
      <c r="A346" t="str">
        <f>ESTADISTICA!A345</f>
        <v>VILLA ARIAS</v>
      </c>
      <c r="B346" t="str">
        <f>ESTADISTICA!B345</f>
        <v>VLA02</v>
      </c>
      <c r="C346" t="str">
        <f>ESTADISTICA!C345</f>
        <v>ESPORA Y HUDSON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>
        <f>ESTADISTICA!N345</f>
        <v>0</v>
      </c>
      <c r="O346">
        <f>ESTADISTICA!O345</f>
        <v>0</v>
      </c>
      <c r="P346">
        <f>ESTADISTICA!P345</f>
        <v>0</v>
      </c>
      <c r="Q346" t="str">
        <f>ESTADISTICA!Q345</f>
        <v>APAGADO</v>
      </c>
      <c r="R346" t="str">
        <f>ESTADISTICA!R345</f>
        <v>APAGADO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VLA03 (fija 2)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VLA04</v>
      </c>
      <c r="C348" t="str">
        <f>ESTADISTICA!C347</f>
        <v>ESPORA Y MARTIN GRASS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x14ac:dyDescent="0.25">
      <c r="A349" t="str">
        <f>ESTADISTICA!A348</f>
        <v>VILLA ARIAS</v>
      </c>
      <c r="B349" t="str">
        <f>ESTADISTICA!B348</f>
        <v>VLA05</v>
      </c>
      <c r="C349" t="str">
        <f>ESTADISTICA!C348</f>
        <v>ESPORA Y 802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x14ac:dyDescent="0.25">
      <c r="A350" t="str">
        <f>ESTADISTICA!A349</f>
        <v>VILLA MONICA NUEVA</v>
      </c>
      <c r="B350" t="str">
        <f>ESTADISTICA!B349</f>
        <v>VMO 02</v>
      </c>
      <c r="C350" t="str">
        <f>ESTADISTICA!C349</f>
        <v>Rio Carapachay y Oroño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x14ac:dyDescent="0.25">
      <c r="A351">
        <f>ESTADISTICA!A350</f>
        <v>0</v>
      </c>
      <c r="B351" t="str">
        <f>ESTADISTICA!B350</f>
        <v>VMO01</v>
      </c>
      <c r="C351" t="str">
        <f>ESTADISTICA!C350</f>
        <v>Eva Peron y Monseñor de las Casas</v>
      </c>
      <c r="D351" t="str">
        <f>ESTADISTICA!D350</f>
        <v>DOMO</v>
      </c>
      <c r="E351">
        <f>ESTADISTICA!E350</f>
        <v>0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 t="str">
        <f>ESTADISTICA!J350</f>
        <v>APAGADO</v>
      </c>
      <c r="K351" t="str">
        <f>ESTADISTICA!K350</f>
        <v>APAGADO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 t="str">
        <f>ESTADISTICA!Q350</f>
        <v>APAGADO</v>
      </c>
      <c r="R351" t="str">
        <f>ESTADISTICA!R350</f>
        <v>APAGADO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x14ac:dyDescent="0.25">
      <c r="A352" t="str">
        <f>ESTADISTICA!A351</f>
        <v>VILLA MONICA NUEVA</v>
      </c>
      <c r="B352" t="str">
        <f>ESTADISTICA!B351</f>
        <v>VMO03 (fija 1)</v>
      </c>
      <c r="C352" t="str">
        <f>ESTADISTICA!C351</f>
        <v>EVA PERON E/ OROÑO Y 734 A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x14ac:dyDescent="0.25">
      <c r="A353" t="str">
        <f>ESTADISTICA!A352</f>
        <v>VILLA MONICA NUEVA</v>
      </c>
      <c r="B353" t="str">
        <f>ESTADISTICA!B352</f>
        <v>VMO04 (fija 2)</v>
      </c>
      <c r="C353" t="str">
        <f>ESTADISTICA!C352</f>
        <v>EVA PERON E/ OROÑO Y 734 A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x14ac:dyDescent="0.25">
      <c r="A354" t="str">
        <f>ESTADISTICA!A353</f>
        <v>VILLA MONICA NUEVA</v>
      </c>
      <c r="B354" t="str">
        <f>ESTADISTICA!B353</f>
        <v>VMO05</v>
      </c>
      <c r="C354" t="str">
        <f>ESTADISTICA!C353</f>
        <v>OROÑO Y EVA PERON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x14ac:dyDescent="0.25">
      <c r="A355" t="str">
        <f>ESTADISTICA!A354</f>
        <v>VILLA MONICA VIEJA</v>
      </c>
      <c r="B355" t="str">
        <f>ESTADISTICA!B354</f>
        <v>VMOV01 (fija 1)</v>
      </c>
      <c r="C355" t="str">
        <f>ESTADISTICA!C354</f>
        <v>ATENAS E/ CAFFERATA Y ALEMANIA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x14ac:dyDescent="0.25">
      <c r="A356" t="str">
        <f>ESTADISTICA!A355</f>
        <v>VILLA MONICA VIEJA</v>
      </c>
      <c r="B356" t="str">
        <f>ESTADISTICA!B355</f>
        <v>VMOV02 (fija 2)</v>
      </c>
      <c r="C356" t="str">
        <f>ESTADISTICA!C355</f>
        <v>ATENAS E/ CAFFERATA Y ALEMANIA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x14ac:dyDescent="0.25">
      <c r="A357" t="str">
        <f>ESTADISTICA!A356</f>
        <v>VILLA MONICA VIEJA</v>
      </c>
      <c r="B357" t="str">
        <f>ESTADISTICA!B356</f>
        <v>VMOV03 (fija 1)</v>
      </c>
      <c r="C357" t="str">
        <f>ESTADISTICA!C356</f>
        <v>ROMA E/ HOLANDA Y CAFFERATA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x14ac:dyDescent="0.25">
      <c r="A358" t="str">
        <f>ESTADISTICA!A357</f>
        <v>VILLA MONICA VIEJA</v>
      </c>
      <c r="B358" t="str">
        <f>ESTADISTICA!B357</f>
        <v>VMOV04 (fija 2)</v>
      </c>
      <c r="C358" t="str">
        <f>ESTADISTICA!C357</f>
        <v>ROMA E/ HOLANDA Y CAFFERATA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x14ac:dyDescent="0.25">
      <c r="A359" t="str">
        <f>ESTADISTICA!A358</f>
        <v>VILLA SAN LUIS</v>
      </c>
      <c r="B359" t="str">
        <f>ESTADISTICA!B358</f>
        <v>VSL 01</v>
      </c>
      <c r="C359" t="str">
        <f>ESTADISTICA!C358</f>
        <v>AV. HUDSON Y CACHEUTA</v>
      </c>
      <c r="D359" t="str">
        <f>ESTADISTICA!D358</f>
        <v>DOMO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x14ac:dyDescent="0.25">
      <c r="A360" t="str">
        <f>ESTADISTICA!A359</f>
        <v>VILLA SUSANA</v>
      </c>
      <c r="B360" t="str">
        <f>ESTADISTICA!B359</f>
        <v>VSU 01</v>
      </c>
      <c r="C360" t="str">
        <f>ESTADISTICA!C359</f>
        <v>CJAL. JUAN BROWN Y SANTA FE</v>
      </c>
      <c r="D360" t="str">
        <f>ESTADISTICA!D359</f>
        <v>DOMO</v>
      </c>
      <c r="E360" t="str">
        <f>ESTADISTICA!E359</f>
        <v>Radio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>
        <f>ESTADISTICA!Q359</f>
        <v>0</v>
      </c>
      <c r="R360" t="str">
        <f>ESTADISTICA!R359</f>
        <v>APAGADO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x14ac:dyDescent="0.25">
      <c r="A361" t="str">
        <f>ESTADISTICA!A360</f>
        <v>VILLA SUSANA</v>
      </c>
      <c r="B361" t="str">
        <f>ESTADISTICA!B360</f>
        <v>VSU 02</v>
      </c>
      <c r="C361" t="str">
        <f>ESTADISTICA!C360</f>
        <v>CABELLO Y SANTA FE</v>
      </c>
      <c r="D361" t="str">
        <f>ESTADISTICA!D360</f>
        <v>DOMO</v>
      </c>
      <c r="E361" t="str">
        <f>ESTADISTICA!E360</f>
        <v>Radio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x14ac:dyDescent="0.25">
      <c r="A362" t="str">
        <f>ESTADISTICA!A361</f>
        <v>VILLA SUSANA</v>
      </c>
      <c r="B362" t="str">
        <f>ESTADISTICA!B361</f>
        <v>VSU 03</v>
      </c>
      <c r="C362" t="str">
        <f>ESTADISTICA!C361</f>
        <v>EE.UU Y SERRANO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x14ac:dyDescent="0.25">
      <c r="A363">
        <f>ESTADISTICA!A362</f>
        <v>0</v>
      </c>
      <c r="B363" t="str">
        <f>ESTADISTICA!B362</f>
        <v>ZEB 05</v>
      </c>
      <c r="C363" t="str">
        <f>ESTADISTICA!C362</f>
        <v>DIAG. GRANADEROS Y 214 BIS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x14ac:dyDescent="0.25">
      <c r="A364" t="str">
        <f>ESTADISTICA!A363</f>
        <v>ZEBALLOS</v>
      </c>
      <c r="B364" t="str">
        <f>ESTADISTICA!B363</f>
        <v>ZEB02</v>
      </c>
      <c r="C364" t="str">
        <f>ESTADISTICA!C363</f>
        <v>Quinquela Martin y Sgo. del Estero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x14ac:dyDescent="0.25">
      <c r="A365" t="str">
        <f>ESTADISTICA!A364</f>
        <v>9 DE JULIO</v>
      </c>
      <c r="B365" t="str">
        <f>ESTADISTICA!B364</f>
        <v>ZEB03</v>
      </c>
      <c r="C365" t="str">
        <f>ESTADISTICA!C364</f>
        <v>Quinquela Martin y Pte. Peron</v>
      </c>
      <c r="D365" t="str">
        <f>ESTADISTICA!D364</f>
        <v>Domo</v>
      </c>
      <c r="E365" t="str">
        <f>ESTADISTICA!E364</f>
        <v>Radio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 t="str">
        <f>ESTADISTICA!K364</f>
        <v>APAGADO</v>
      </c>
      <c r="L365" t="str">
        <f>ESTADISTICA!L364</f>
        <v>APAGADO</v>
      </c>
      <c r="M365" t="str">
        <f>ESTADISTICA!M364</f>
        <v>APAGADO</v>
      </c>
      <c r="N365" t="str">
        <f>ESTADISTICA!N364</f>
        <v>APAGADO</v>
      </c>
      <c r="O365" t="str">
        <f>ESTADISTICA!O364</f>
        <v>APAGADO</v>
      </c>
      <c r="P365" t="str">
        <f>ESTADISTICA!P364</f>
        <v>APAGADO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x14ac:dyDescent="0.25">
      <c r="A366">
        <f>ESTADISTICA!A365</f>
        <v>0</v>
      </c>
      <c r="B366" t="str">
        <f>ESTADISTICA!B365</f>
        <v>ZEB04</v>
      </c>
      <c r="C366" t="str">
        <f>ESTADISTICA!C365</f>
        <v>THEVENET Y DIAGONAL GRANADEROS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</sheetData>
  <autoFilter ref="A2:AG366" xr:uid="{2CD2C71F-307D-4E12-901F-A6B69A40CA8C}"/>
  <conditionalFormatting sqref="F3:AG366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F263" activePane="bottomRight" state="frozen"/>
      <selection pane="topRight" activeCell="F1" sqref="F1"/>
      <selection pane="bottomLeft" activeCell="A8" sqref="A8"/>
      <selection pane="bottomRight" activeCell="O2" sqref="O2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4" t="s">
        <v>1323</v>
      </c>
      <c r="D1" s="55">
        <f>COUNTIFS(E4:E369,"=Fibra Optica")</f>
        <v>237</v>
      </c>
    </row>
    <row r="2" spans="1:36" ht="21" x14ac:dyDescent="0.35">
      <c r="E2" s="27" t="s">
        <v>934</v>
      </c>
      <c r="F2" s="27">
        <f>COUNTIFS(F4:F367, "=APAGADO",E4:E367,"=Fibra Optica")</f>
        <v>52</v>
      </c>
      <c r="G2" s="27">
        <f>COUNTIFS(G4:G367, "=APAGADO",E4:E367,"=Fibra Optica")</f>
        <v>69</v>
      </c>
      <c r="H2" s="27">
        <f>COUNTIFS(H4:H367, "=APAGADO",E4:E367,"=Fibra Optica")</f>
        <v>66</v>
      </c>
      <c r="I2" s="27">
        <f>COUNTIFS(I4:I367, "=APAGADO",E4:E367,"=Fibra Optica")</f>
        <v>60</v>
      </c>
      <c r="J2" s="27">
        <f>COUNTIFS(J4:J367, "=APAGADO",E4:E367,"=Fibra Optica")</f>
        <v>56</v>
      </c>
      <c r="K2" s="27">
        <f>COUNTIFS(K4:K367, "=APAGADO",E4:E367,"=Fibra Optica")</f>
        <v>60</v>
      </c>
      <c r="L2" s="27">
        <f>COUNTIFS(L4:L367, "=APAGADO",E4:E367,"=Fibra Optica")</f>
        <v>61</v>
      </c>
      <c r="M2" s="27">
        <f>COUNTIFS(M4:M367, "=APAGADO",E4:E367,"=Fibra Optica")</f>
        <v>56</v>
      </c>
      <c r="N2" s="27">
        <f>COUNTIFS(N4:N367, "=APAGADO",E4:E367,"=Fibra Optica")</f>
        <v>63</v>
      </c>
      <c r="O2" s="27">
        <f>COUNTIFS(O4:O367, "=APAGADO",E4:E367,"=Fibra Optica")</f>
        <v>59</v>
      </c>
      <c r="P2" s="27">
        <f>COUNTIFS(P4:P367, "=APAGADO",E4:E367,"=Fibra Optica")</f>
        <v>42</v>
      </c>
      <c r="Q2" s="27">
        <f>COUNTIFS(Q4:Q367, "=APAGADO",E4:E367,"=Fibra Optica")</f>
        <v>35</v>
      </c>
      <c r="R2" s="27">
        <f>COUNTIFS(R4:R367, "=APAGADO",E4:E367,"=Fibra Optica")</f>
        <v>37</v>
      </c>
      <c r="S2" s="27">
        <f>COUNTIFS(S4:S367, "=APAGADO",E4:E367,"=Fibra Optica")</f>
        <v>0</v>
      </c>
      <c r="T2" s="27">
        <f>COUNTIFS(T4:T367, "=APAGADO",E4:E367,"=Fibra Optica")</f>
        <v>0</v>
      </c>
      <c r="U2" s="27">
        <f>COUNTIFS(U4:U367, "=APAGADO",E4:E367,"=Fibra Optica")</f>
        <v>0</v>
      </c>
      <c r="V2" s="27">
        <f>COUNTIFS(V4:V367, "=APAGADO",E4:E367,"=Fibra Optica")</f>
        <v>0</v>
      </c>
      <c r="W2" s="27">
        <f>COUNTIFS(W4:W367, "=APAGADO",E4:E367,"=Fibra Optica")</f>
        <v>0</v>
      </c>
      <c r="X2" s="27">
        <f>COUNTIFS(X4:X367, "=APAGADO",E4:E367,"=Fibra Optica")</f>
        <v>0</v>
      </c>
      <c r="Y2" s="27">
        <f>COUNTIFS(Y4:Y367, "=APAGADO",E4:E367,"=Fibra Optica")</f>
        <v>0</v>
      </c>
      <c r="Z2" s="27">
        <f>COUNTIFS(Z4:Z367, "=APAGADO",E4:E367,"=Fibra Optica")</f>
        <v>0</v>
      </c>
      <c r="AA2" s="27">
        <f>COUNTIFS(AA4:AA367, "=APAGADO",E4:E367,"=Fibra Optica")</f>
        <v>0</v>
      </c>
      <c r="AB2" s="27">
        <f>COUNTIFS(AB4:AB367, "=APAGADO",E4:E367,"=Fibra Optica")</f>
        <v>0</v>
      </c>
      <c r="AC2" s="27">
        <f>COUNTIFS(AC4:AC367, "=APAGADO",E4:E367,"=Fibra Optica")</f>
        <v>0</v>
      </c>
      <c r="AD2" s="27">
        <f t="shared" ref="AD2" si="0">COUNTIFS(AD4:AD367, "=APAGADO",AC4:AC367,"=Fibra Optica")</f>
        <v>0</v>
      </c>
      <c r="AE2" s="27">
        <f t="shared" ref="AE2" si="1">COUNTIFS(AE4:AE367, "=APAGADO",AC4:AC367,"=Fibra Optica")</f>
        <v>0</v>
      </c>
      <c r="AF2" s="27">
        <f t="shared" ref="AF2" si="2">COUNTIFS(AF4:AF367, "=APAGADO",AC4:AC367,"=Fibra Optica")</f>
        <v>0</v>
      </c>
      <c r="AG2" s="27">
        <f t="shared" ref="AG2" si="3">COUNTIFS(AG4:AG367, "=APAGADO",AC4:AC367,"=Fibra Optica")</f>
        <v>0</v>
      </c>
      <c r="AH2" s="27">
        <f t="shared" ref="AH2" si="4">COUNTIFS(AH4:AH367, "=APAGADO",AD4:AD367,"=Fibra Optica")</f>
        <v>0</v>
      </c>
      <c r="AI2" s="27">
        <f t="shared" ref="AI2" si="5">COUNTIFS(AI4:AI367, "=APAGADO",AE4:AE367,"=Fibra Optica")</f>
        <v>0</v>
      </c>
      <c r="AJ2" s="27">
        <f t="shared" ref="AJ2" si="6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6">
        <f>ESTADISTICA!F1</f>
        <v>44621</v>
      </c>
      <c r="G3" s="26">
        <f>ESTADISTICA!G1</f>
        <v>44622</v>
      </c>
      <c r="H3" s="26">
        <f>ESTADISTICA!H1</f>
        <v>44623</v>
      </c>
      <c r="I3" s="26">
        <f>ESTADISTICA!I1</f>
        <v>44624</v>
      </c>
      <c r="J3" s="26">
        <f>ESTADISTICA!J1</f>
        <v>44625</v>
      </c>
      <c r="K3" s="26">
        <f>ESTADISTICA!K1</f>
        <v>44626</v>
      </c>
      <c r="L3" s="26">
        <f>ESTADISTICA!L1</f>
        <v>44627</v>
      </c>
      <c r="M3" s="26">
        <f>ESTADISTICA!M1</f>
        <v>44628</v>
      </c>
      <c r="N3" s="26">
        <f>ESTADISTICA!N1</f>
        <v>44629</v>
      </c>
      <c r="O3" s="26">
        <f>ESTADISTICA!O1</f>
        <v>44630</v>
      </c>
      <c r="P3" s="26">
        <f>ESTADISTICA!P1</f>
        <v>44631</v>
      </c>
      <c r="Q3" s="26">
        <f>ESTADISTICA!Q1</f>
        <v>44632</v>
      </c>
      <c r="R3" s="26">
        <f>ESTADISTICA!R1</f>
        <v>44633</v>
      </c>
      <c r="S3" s="26">
        <f>ESTADISTICA!S1</f>
        <v>44634</v>
      </c>
      <c r="T3" s="26">
        <f>ESTADISTICA!T1</f>
        <v>44635</v>
      </c>
      <c r="U3" s="26">
        <f>ESTADISTICA!U1</f>
        <v>44636</v>
      </c>
      <c r="V3" s="26">
        <f>ESTADISTICA!V1</f>
        <v>44637</v>
      </c>
      <c r="W3" s="26">
        <f>ESTADISTICA!W1</f>
        <v>44638</v>
      </c>
      <c r="X3" s="26">
        <f>ESTADISTICA!X1</f>
        <v>44639</v>
      </c>
      <c r="Y3" s="26">
        <f>ESTADISTICA!Y1</f>
        <v>44640</v>
      </c>
      <c r="Z3" s="26">
        <f>ESTADISTICA!Z1</f>
        <v>44641</v>
      </c>
      <c r="AA3" s="26">
        <f>ESTADISTICA!AA1</f>
        <v>44642</v>
      </c>
      <c r="AB3" s="26">
        <f>ESTADISTICA!AB1</f>
        <v>44643</v>
      </c>
      <c r="AC3" s="26">
        <f>ESTADISTICA!AC1</f>
        <v>44644</v>
      </c>
      <c r="AD3" s="26">
        <f>ESTADISTICA!AD1</f>
        <v>44645</v>
      </c>
      <c r="AE3" s="26">
        <f>ESTADISTICA!AE1</f>
        <v>44646</v>
      </c>
      <c r="AF3" s="26">
        <f>ESTADISTICA!AF1</f>
        <v>44647</v>
      </c>
      <c r="AG3" s="26">
        <f>ESTADISTICA!AG1</f>
        <v>44648</v>
      </c>
      <c r="AH3" s="26">
        <f>ESTADISTICA!AH1</f>
        <v>44649</v>
      </c>
      <c r="AI3" s="26">
        <f>ESTADISTICA!AI1</f>
        <v>44650</v>
      </c>
      <c r="AJ3" s="26">
        <f>ESTADISTICA!AJ1</f>
        <v>44651</v>
      </c>
    </row>
    <row r="4" spans="1:36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x14ac:dyDescent="0.25">
      <c r="A159">
        <f>ESTADISTICA!A157</f>
        <v>0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25">
      <c r="A244" t="str">
        <f>ESTADISTICA!A242</f>
        <v>SAN JORGE</v>
      </c>
      <c r="B244" t="str">
        <f>ESTADISTICA!B242</f>
        <v>SJO 03</v>
      </c>
      <c r="C244" t="str">
        <f>ESTADISTICA!C242</f>
        <v>517 Y 580</v>
      </c>
      <c r="D244" t="str">
        <f>ESTADISTICA!D242</f>
        <v>DOMO</v>
      </c>
      <c r="E244" t="str">
        <f>ESTADISTICA!E242</f>
        <v>Radio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25">
      <c r="A245" t="str">
        <f>ESTADISTICA!A243</f>
        <v>SAN JORGE</v>
      </c>
      <c r="B245" t="str">
        <f>ESTADISTICA!B243</f>
        <v>SJO 04</v>
      </c>
      <c r="C245" t="str">
        <f>ESTADISTICA!C243</f>
        <v>552 Y 519</v>
      </c>
      <c r="D245" t="str">
        <f>ESTADISTICA!D243</f>
        <v>DOMO</v>
      </c>
      <c r="E245" t="str">
        <f>ESTADISTICA!E243</f>
        <v>Radio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25">
      <c r="A246" t="str">
        <f>ESTADISTICA!A244</f>
        <v>SAN JORGE</v>
      </c>
      <c r="B246" t="str">
        <f>ESTADISTICA!B244</f>
        <v>SJO01</v>
      </c>
      <c r="C246" t="str">
        <f>ESTADISTICA!C244</f>
        <v>Calle 554 y 527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25">
      <c r="A247" t="str">
        <f>ESTADISTICA!A245</f>
        <v>SAN JORGE</v>
      </c>
      <c r="B247" t="str">
        <f>ESTADISTICA!B245</f>
        <v>SJO02</v>
      </c>
      <c r="C247" t="str">
        <f>ESTADISTICA!C245</f>
        <v>Calle 554 y 511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 t="str">
        <f>ESTADISTICA!J245</f>
        <v>APAGADO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x14ac:dyDescent="0.25">
      <c r="A248" t="str">
        <f>ESTADISTICA!A246</f>
        <v>SAN JORGE</v>
      </c>
      <c r="B248" t="str">
        <f>ESTADISTICA!B246</f>
        <v>SJO05 (fija 1)</v>
      </c>
      <c r="C248" t="str">
        <f>ESTADISTICA!C246</f>
        <v>511 Y 560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 t="str">
        <f>ESTADISTICA!J246</f>
        <v>APAGADO</v>
      </c>
      <c r="K248" t="str">
        <f>ESTADISTICA!K246</f>
        <v>APAGADO</v>
      </c>
      <c r="L248" t="str">
        <f>ESTADISTICA!L246</f>
        <v>APAGADO</v>
      </c>
      <c r="M248" t="str">
        <f>ESTADISTICA!M246</f>
        <v>APAGADO</v>
      </c>
      <c r="N248" t="str">
        <f>ESTADISTICA!N246</f>
        <v>APAGADO</v>
      </c>
      <c r="O248" t="str">
        <f>ESTADISTICA!O246</f>
        <v>APAGADO</v>
      </c>
      <c r="P248" t="str">
        <f>ESTADISTICA!P246</f>
        <v>APAGADO</v>
      </c>
      <c r="Q248" t="str">
        <f>ESTADISTICA!Q246</f>
        <v>APAGADO</v>
      </c>
      <c r="R248" t="str">
        <f>ESTADISTICA!R246</f>
        <v>APAGADO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x14ac:dyDescent="0.25">
      <c r="A249" t="str">
        <f>ESTADISTICA!A247</f>
        <v>SAN JORGE</v>
      </c>
      <c r="B249" t="str">
        <f>ESTADISTICA!B247</f>
        <v>SJO06 (fija 2)</v>
      </c>
      <c r="C249" t="str">
        <f>ESTADISTICA!C247</f>
        <v>511 Y 560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 t="str">
        <f>ESTADISTICA!G247</f>
        <v>APAGADO</v>
      </c>
      <c r="H249" t="str">
        <f>ESTADISTICA!H247</f>
        <v>APAGADO</v>
      </c>
      <c r="I249" t="str">
        <f>ESTADISTICA!I247</f>
        <v>APAGADO</v>
      </c>
      <c r="J249" t="str">
        <f>ESTADISTICA!J247</f>
        <v>APAGADO</v>
      </c>
      <c r="K249" t="str">
        <f>ESTADISTICA!K247</f>
        <v>APAGADO</v>
      </c>
      <c r="L249" t="str">
        <f>ESTADISTICA!L247</f>
        <v>APAGADO</v>
      </c>
      <c r="M249" t="str">
        <f>ESTADISTICA!M247</f>
        <v>APAGADO</v>
      </c>
      <c r="N249" t="str">
        <f>ESTADISTICA!N247</f>
        <v>APAGADO</v>
      </c>
      <c r="O249" t="str">
        <f>ESTADISTICA!O247</f>
        <v>APAGADO</v>
      </c>
      <c r="P249" t="str">
        <f>ESTADISTICA!P247</f>
        <v>APAGADO</v>
      </c>
      <c r="Q249" t="str">
        <f>ESTADISTICA!Q247</f>
        <v>APAGADO</v>
      </c>
      <c r="R249" t="str">
        <f>ESTADISTICA!R247</f>
        <v>APAGADO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x14ac:dyDescent="0.25">
      <c r="A250" t="str">
        <f>ESTADISTICA!A248</f>
        <v>SAN JORGE</v>
      </c>
      <c r="B250" t="str">
        <f>ESTADISTICA!B248</f>
        <v>SJO07 (fija 1)</v>
      </c>
      <c r="C250" t="str">
        <f>ESTADISTICA!C248</f>
        <v>503 Y 556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x14ac:dyDescent="0.25">
      <c r="A251" t="str">
        <f>ESTADISTICA!A249</f>
        <v>SAN JORGE</v>
      </c>
      <c r="B251" t="str">
        <f>ESTADISTICA!B249</f>
        <v>SJO08 (fija 2)</v>
      </c>
      <c r="C251" t="str">
        <f>ESTADISTICA!C249</f>
        <v>503 Y 556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25">
      <c r="A252" t="str">
        <f>ESTADISTICA!A250</f>
        <v>SANTO TOMAS</v>
      </c>
      <c r="B252" t="str">
        <f>ESTADISTICA!B250</f>
        <v>SJU01</v>
      </c>
      <c r="C252" t="str">
        <f>ESTADISTICA!C250</f>
        <v>Ruta 36 y Pte.Peron</v>
      </c>
      <c r="D252" t="str">
        <f>ESTADISTICA!D250</f>
        <v>Domo</v>
      </c>
      <c r="E252" t="str">
        <f>ESTADISTICA!E250</f>
        <v>Radio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25">
      <c r="A253">
        <f>ESTADISTICA!A251</f>
        <v>0</v>
      </c>
      <c r="B253" t="str">
        <f>ESTADISTICA!B251</f>
        <v>SMA 03</v>
      </c>
      <c r="C253" t="str">
        <f>ESTADISTICA!C251</f>
        <v>ROSARIO Y SAN NICOLAS</v>
      </c>
      <c r="D253" t="str">
        <f>ESTADISTICA!D251</f>
        <v>Domo</v>
      </c>
      <c r="E253" t="str">
        <f>ESTADISTICA!E251</f>
        <v>Radio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25">
      <c r="A254" t="str">
        <f>ESTADISTICA!A252</f>
        <v>VILLA GENERAL SAN MARTIN</v>
      </c>
      <c r="B254" t="str">
        <f>ESTADISTICA!B252</f>
        <v>SMA 04</v>
      </c>
      <c r="C254" t="str">
        <f>ESTADISTICA!C252</f>
        <v>HUDSON Y MONTEVIDEO</v>
      </c>
      <c r="D254" t="str">
        <f>ESTADISTICA!D252</f>
        <v>FIJA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25">
      <c r="A255" t="str">
        <f>ESTADISTICA!A253</f>
        <v>VILLA GENERAL SAN MARTIN</v>
      </c>
      <c r="B255" t="str">
        <f>ESTADISTICA!B253</f>
        <v>SMA 06</v>
      </c>
      <c r="C255" t="str">
        <f>ESTADISTICA!C253</f>
        <v>AV. HUDSON Y RIO IGUAZU</v>
      </c>
      <c r="D255" t="str">
        <f>ESTADISTICA!D253</f>
        <v>DOMO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25">
      <c r="A256" t="str">
        <f>ESTADISTICA!A254</f>
        <v>VILLA GENERAL SAN MARTIN</v>
      </c>
      <c r="B256" t="str">
        <f>ESTADISTICA!B254</f>
        <v>SMA 07</v>
      </c>
      <c r="C256" t="str">
        <f>ESTADISTICA!C254</f>
        <v>AV. HUDSON Y RIO TURBIO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25">
      <c r="A257" t="str">
        <f>ESTADISTICA!A255</f>
        <v>VILLA GENERAL SAN MARTIN</v>
      </c>
      <c r="B257" t="str">
        <f>ESTADISTICA!B255</f>
        <v>SMA01</v>
      </c>
      <c r="C257" t="str">
        <f>ESTADISTICA!C255</f>
        <v>Hudson y Montevideo</v>
      </c>
      <c r="D257" t="str">
        <f>ESTADISTICA!D255</f>
        <v>DOMO</v>
      </c>
      <c r="E257" t="str">
        <f>ESTADISTICA!E255</f>
        <v>Radio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25">
      <c r="A258" t="str">
        <f>ESTADISTICA!A256</f>
        <v>VILLA GENERAL SAN MARTIN</v>
      </c>
      <c r="B258" t="str">
        <f>ESTADISTICA!B256</f>
        <v>SMA02</v>
      </c>
      <c r="C258" t="str">
        <f>ESTADISTICA!C256</f>
        <v>Hudson y San Nicolas</v>
      </c>
      <c r="D258" t="str">
        <f>ESTADISTICA!D256</f>
        <v>Domo</v>
      </c>
      <c r="E258" t="str">
        <f>ESTADISTICA!E256</f>
        <v>Radio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 t="str">
        <f>ESTADISTICA!K256</f>
        <v>APAGADO</v>
      </c>
      <c r="L258" t="str">
        <f>ESTADISTICA!L256</f>
        <v>APAGADO</v>
      </c>
      <c r="M258" t="str">
        <f>ESTADISTICA!M256</f>
        <v>APAGADO</v>
      </c>
      <c r="N258" t="str">
        <f>ESTADISTICA!N256</f>
        <v>APAGADO</v>
      </c>
      <c r="O258" t="str">
        <f>ESTADISTICA!O256</f>
        <v>APAGADO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25">
      <c r="A259" t="str">
        <f>ESTADISTICA!A257</f>
        <v>VILLA GENERAL SAN MARTIN</v>
      </c>
      <c r="B259" t="str">
        <f>ESTADISTICA!B257</f>
        <v>SMA05</v>
      </c>
      <c r="C259" t="str">
        <f>ESTADISTICA!C257</f>
        <v>MONTEVIDEO Y VILLEGAS</v>
      </c>
      <c r="D259" t="str">
        <f>ESTADISTICA!D257</f>
        <v>DOMO</v>
      </c>
      <c r="E259" t="str">
        <f>ESTADISTICA!E257</f>
        <v>PTP A FO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25">
      <c r="A260" t="str">
        <f>ESTADISTICA!A258</f>
        <v>SAN NICOLAS</v>
      </c>
      <c r="B260" t="str">
        <f>ESTADISTICA!B258</f>
        <v>SNI01 (fija 1)</v>
      </c>
      <c r="C260" t="str">
        <f>ESTADISTICA!C258</f>
        <v>SARRATEA E/ EEUU DE A. Y AGRELO</v>
      </c>
      <c r="D260" t="str">
        <f>ESTADISTICA!D258</f>
        <v>Fija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 t="str">
        <f>ESTADISTICA!N258</f>
        <v>APAGADO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25">
      <c r="A261" t="str">
        <f>ESTADISTICA!A259</f>
        <v>SAN NICOLAS</v>
      </c>
      <c r="B261" t="str">
        <f>ESTADISTICA!B259</f>
        <v>SNI02 (fija 2)</v>
      </c>
      <c r="C261" t="str">
        <f>ESTADISTICA!C259</f>
        <v>SARRATEA E/ EEUU DE A. Y AGRELO</v>
      </c>
      <c r="D261" t="str">
        <f>ESTADISTICA!D259</f>
        <v>Fija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 t="str">
        <f>ESTADISTICA!N259</f>
        <v>APAGADO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25">
      <c r="A262" t="str">
        <f>ESTADISTICA!A260</f>
        <v>SAN NICOLAS</v>
      </c>
      <c r="B262" t="str">
        <f>ESTADISTICA!B260</f>
        <v>SNI03 (fija 1)</v>
      </c>
      <c r="C262" t="str">
        <f>ESTADISTICA!C260</f>
        <v>SARRATEA Y LOS TREBOLES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 t="str">
        <f>ESTADISTICA!L260</f>
        <v>APAGADO</v>
      </c>
      <c r="M262" t="str">
        <f>ESTADISTICA!M260</f>
        <v>APAGADO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25">
      <c r="A263" t="str">
        <f>ESTADISTICA!A261</f>
        <v>SAN NICOLAS</v>
      </c>
      <c r="B263" t="str">
        <f>ESTADISTICA!B261</f>
        <v>SNI04 (fija 2)</v>
      </c>
      <c r="C263" t="str">
        <f>ESTADISTICA!C261</f>
        <v>SARRATEA Y LOS TREBOLES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 t="str">
        <f>ESTADISTICA!M261</f>
        <v>APAGADO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25">
      <c r="A264" t="str">
        <f>ESTADISTICA!A262</f>
        <v>SANTA ROSA</v>
      </c>
      <c r="B264" t="str">
        <f>ESTADISTICA!B262</f>
        <v>SRO 05</v>
      </c>
      <c r="C264" t="str">
        <f>ESTADISTICA!C262</f>
        <v>CAFFERATA Y BONN</v>
      </c>
      <c r="D264" t="str">
        <f>ESTADISTICA!D262</f>
        <v>DOMO</v>
      </c>
      <c r="E264" t="str">
        <f>ESTADISTICA!E262</f>
        <v>Radio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25">
      <c r="A265" t="str">
        <f>ESTADISTICA!A263</f>
        <v>SANTA ROSA</v>
      </c>
      <c r="B265" t="str">
        <f>ESTADISTICA!B263</f>
        <v>SRO 06</v>
      </c>
      <c r="C265" t="str">
        <f>ESTADISTICA!C263</f>
        <v>Novak y Bonn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25">
      <c r="A266" t="str">
        <f>ESTADISTICA!A264</f>
        <v>SANTA ROSA</v>
      </c>
      <c r="B266" t="str">
        <f>ESTADISTICA!B264</f>
        <v>SRO 07</v>
      </c>
      <c r="C266" t="str">
        <f>ESTADISTICA!C264</f>
        <v>NOVAK Y BELGICA</v>
      </c>
      <c r="D266" t="str">
        <f>ESTADISTICA!D264</f>
        <v>Domo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25">
      <c r="A267" t="str">
        <f>ESTADISTICA!A265</f>
        <v>SANTA ROSA</v>
      </c>
      <c r="B267" t="str">
        <f>ESTADISTICA!B265</f>
        <v>SRO 08</v>
      </c>
      <c r="C267" t="str">
        <f>ESTADISTICA!C265</f>
        <v>NOVAK E/ DESSY Y BELGICA (POLIDEPORTIVO LA PATRIADA)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25">
      <c r="A268" t="str">
        <f>ESTADISTICA!A266</f>
        <v>SANTA ROSA</v>
      </c>
      <c r="B268" t="str">
        <f>ESTADISTICA!B266</f>
        <v>SRO 09</v>
      </c>
      <c r="C268" t="str">
        <f>ESTADISTICA!C266</f>
        <v>BUCAREST E/ ALEMANIA Y CAFFERATA</v>
      </c>
      <c r="D268" t="str">
        <f>ESTADISTICA!D266</f>
        <v>DOMO</v>
      </c>
      <c r="E268" t="str">
        <f>ESTADISTICA!E266</f>
        <v>Radio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25">
      <c r="A269" t="str">
        <f>ESTADISTICA!A267</f>
        <v>SANTA ROSA</v>
      </c>
      <c r="B269" t="str">
        <f>ESTADISTICA!B267</f>
        <v>SRO 10</v>
      </c>
      <c r="C269" t="str">
        <f>ESTADISTICA!C267</f>
        <v>DINAMARCA Y MILAN</v>
      </c>
      <c r="D269" t="str">
        <f>ESTADISTICA!D267</f>
        <v>DOMO</v>
      </c>
      <c r="E269" t="str">
        <f>ESTADISTICA!E267</f>
        <v>Radio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x14ac:dyDescent="0.25">
      <c r="A270" t="str">
        <f>ESTADISTICA!A268</f>
        <v>SANTA ROSA</v>
      </c>
      <c r="B270" t="str">
        <f>ESTADISTICA!B268</f>
        <v>SRO 16 (fija 1)</v>
      </c>
      <c r="C270" t="str">
        <f>ESTADISTICA!C268</f>
        <v>ANDORRA E/ BELGICA Y SAN MARINO</v>
      </c>
      <c r="D270" t="str">
        <f>ESTADISTICA!D268</f>
        <v>Fija</v>
      </c>
      <c r="E270" t="str">
        <f>ESTADISTICA!E268</f>
        <v>Fibra Optica</v>
      </c>
      <c r="F270" t="str">
        <f>ESTADISTICA!F268</f>
        <v>APAGADO</v>
      </c>
      <c r="G270" t="str">
        <f>ESTADISTICA!G268</f>
        <v>APAGADO</v>
      </c>
      <c r="H270" t="str">
        <f>ESTADISTICA!H268</f>
        <v>APAGADO</v>
      </c>
      <c r="I270" t="str">
        <f>ESTADISTICA!I268</f>
        <v>APAGADO</v>
      </c>
      <c r="J270" t="str">
        <f>ESTADISTICA!J268</f>
        <v>APAGADO</v>
      </c>
      <c r="K270" t="str">
        <f>ESTADISTICA!K268</f>
        <v>APAGADO</v>
      </c>
      <c r="L270">
        <f>ESTADISTICA!L268</f>
        <v>0</v>
      </c>
      <c r="M270" t="str">
        <f>ESTADISTICA!M268</f>
        <v>APAGADO</v>
      </c>
      <c r="N270" t="str">
        <f>ESTADISTICA!N268</f>
        <v>APAGADO</v>
      </c>
      <c r="O270" t="str">
        <f>ESTADISTICA!O268</f>
        <v>APAGADO</v>
      </c>
      <c r="P270" t="str">
        <f>ESTADISTICA!P268</f>
        <v>APAGADO</v>
      </c>
      <c r="Q270" t="str">
        <f>ESTADISTICA!Q268</f>
        <v>APAGADO</v>
      </c>
      <c r="R270" t="str">
        <f>ESTADISTICA!R268</f>
        <v>APAGADO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x14ac:dyDescent="0.25">
      <c r="A271" t="str">
        <f>ESTADISTICA!A269</f>
        <v>SANTA ROSA</v>
      </c>
      <c r="B271" t="str">
        <f>ESTADISTICA!B269</f>
        <v>SRO 17 (fija 2)</v>
      </c>
      <c r="C271" t="str">
        <f>ESTADISTICA!C269</f>
        <v>ANDORRA E/ BELGICA Y SAN MARINO</v>
      </c>
      <c r="D271" t="str">
        <f>ESTADISTICA!D269</f>
        <v>Fija</v>
      </c>
      <c r="E271" t="str">
        <f>ESTADISTICA!E269</f>
        <v>Fibra Optica</v>
      </c>
      <c r="F271" t="str">
        <f>ESTADISTICA!F269</f>
        <v>APAGADO</v>
      </c>
      <c r="G271" t="str">
        <f>ESTADISTICA!G269</f>
        <v>APAGADO</v>
      </c>
      <c r="H271" t="str">
        <f>ESTADISTICA!H269</f>
        <v>APAGADO</v>
      </c>
      <c r="I271" t="str">
        <f>ESTADISTICA!I269</f>
        <v>APAGADO</v>
      </c>
      <c r="J271" t="str">
        <f>ESTADISTICA!J269</f>
        <v>APAGADO</v>
      </c>
      <c r="K271" t="str">
        <f>ESTADISTICA!K269</f>
        <v>APAGADO</v>
      </c>
      <c r="L271">
        <f>ESTADISTICA!L269</f>
        <v>0</v>
      </c>
      <c r="M271" t="str">
        <f>ESTADISTICA!M269</f>
        <v>APAGADO</v>
      </c>
      <c r="N271" t="str">
        <f>ESTADISTICA!N269</f>
        <v>APAGADO</v>
      </c>
      <c r="O271" t="str">
        <f>ESTADISTICA!O269</f>
        <v>APAGADO</v>
      </c>
      <c r="P271" t="str">
        <f>ESTADISTICA!P269</f>
        <v>APAGADO</v>
      </c>
      <c r="Q271">
        <f>ESTADISTICA!Q269</f>
        <v>0</v>
      </c>
      <c r="R271" t="str">
        <f>ESTADISTICA!R269</f>
        <v>APAGADO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25">
      <c r="A272" t="str">
        <f>ESTADISTICA!A270</f>
        <v>SANTA ROSA</v>
      </c>
      <c r="B272" t="str">
        <f>ESTADISTICA!B270</f>
        <v>SRO01</v>
      </c>
      <c r="C272" t="str">
        <f>ESTADISTICA!C270</f>
        <v>Yugoslavia y Milani</v>
      </c>
      <c r="D272" t="str">
        <f>ESTADISTICA!D270</f>
        <v>Domo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25">
      <c r="A273" t="str">
        <f>ESTADISTICA!A271</f>
        <v>ZONA RURAL SANTA ROSA</v>
      </c>
      <c r="B273" t="str">
        <f>ESTADISTICA!B271</f>
        <v>SRO02</v>
      </c>
      <c r="C273" t="str">
        <f>ESTADISTICA!C271</f>
        <v>Bruselas y Calle 448</v>
      </c>
      <c r="D273" t="str">
        <f>ESTADISTICA!D271</f>
        <v>Domo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25">
      <c r="A274" t="str">
        <f>ESTADISTICA!A272</f>
        <v>SANTA ROSA</v>
      </c>
      <c r="B274" t="str">
        <f>ESTADISTICA!B272</f>
        <v>SRO03</v>
      </c>
      <c r="C274" t="str">
        <f>ESTADISTICA!C272</f>
        <v>Eva Peron y Paysandu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25">
      <c r="A275" t="str">
        <f>ESTADISTICA!A273</f>
        <v>SANTA ROSA</v>
      </c>
      <c r="B275" t="str">
        <f>ESTADISTICA!B273</f>
        <v>SRO04</v>
      </c>
      <c r="C275" t="str">
        <f>ESTADISTICA!C273</f>
        <v>Belgica y Andorra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 t="str">
        <f>ESTADISTICA!G273</f>
        <v>APAGADO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25">
      <c r="A276" t="str">
        <f>ESTADISTICA!A274</f>
        <v>SANTA ROSA</v>
      </c>
      <c r="B276" t="str">
        <f>ESTADISTICA!B274</f>
        <v>SRO11</v>
      </c>
      <c r="C276" t="str">
        <f>ESTADISTICA!C274</f>
        <v>MILAN Y MALLORCA</v>
      </c>
      <c r="D276" t="str">
        <f>ESTADISTICA!D274</f>
        <v>DOMO</v>
      </c>
      <c r="E276" t="str">
        <f>ESTADISTICA!E274</f>
        <v>Radio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25">
      <c r="A277" t="str">
        <f>ESTADISTICA!A275</f>
        <v>SANTA ROSA</v>
      </c>
      <c r="B277" t="str">
        <f>ESTADISTICA!B275</f>
        <v>SRO12</v>
      </c>
      <c r="C277" t="str">
        <f>ESTADISTICA!C275</f>
        <v>YUGOSLAVIA Y PAYSANDU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hidden="1" x14ac:dyDescent="0.25">
      <c r="A278" t="str">
        <f>ESTADISTICA!A276</f>
        <v>ZONA RURAL SANTA ROSA</v>
      </c>
      <c r="B278" t="str">
        <f>ESTADISTICA!B276</f>
        <v>SRO13 (fija 1)</v>
      </c>
      <c r="C278" t="str">
        <f>ESTADISTICA!C276</f>
        <v>BRUSELAS E/ GRECIA Y CHECOSLOVAQUIA</v>
      </c>
      <c r="D278" t="str">
        <f>ESTADISTICA!D276</f>
        <v>Fija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 t="str">
        <f>ESTADISTICA!R276</f>
        <v>APAGADO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hidden="1" x14ac:dyDescent="0.25">
      <c r="A279" t="str">
        <f>ESTADISTICA!A277</f>
        <v>ZONA RURAL SANTA ROSA</v>
      </c>
      <c r="B279" t="str">
        <f>ESTADISTICA!B277</f>
        <v>SRO14 (fija 2)</v>
      </c>
      <c r="C279" t="str">
        <f>ESTADISTICA!C277</f>
        <v>BRUSELAS E/ GRECIA Y CHECOSLOVAQUIA</v>
      </c>
      <c r="D279" t="str">
        <f>ESTADISTICA!D277</f>
        <v>Fija</v>
      </c>
      <c r="E279" t="str">
        <f>ESTADISTICA!E277</f>
        <v>RADIO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 t="str">
        <f>ESTADISTICA!L277</f>
        <v>APAGADO</v>
      </c>
      <c r="M279" t="str">
        <f>ESTADISTICA!M277</f>
        <v>APAGADO</v>
      </c>
      <c r="N279" t="str">
        <f>ESTADISTICA!N277</f>
        <v>APAGADO</v>
      </c>
      <c r="O279" t="str">
        <f>ESTADISTICA!O277</f>
        <v>APAGADO</v>
      </c>
      <c r="P279" t="str">
        <f>ESTADISTICA!P277</f>
        <v>APAGADO</v>
      </c>
      <c r="Q279" t="str">
        <f>ESTADISTICA!Q277</f>
        <v>APAGADO</v>
      </c>
      <c r="R279" t="str">
        <f>ESTADISTICA!R277</f>
        <v>APAGADO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hidden="1" x14ac:dyDescent="0.25">
      <c r="A280" t="str">
        <f>ESTADISTICA!A278</f>
        <v>SANTA ROSA</v>
      </c>
      <c r="B280" t="str">
        <f>ESTADISTICA!B278</f>
        <v>SRO15</v>
      </c>
      <c r="C280" t="str">
        <f>ESTADISTICA!C278</f>
        <v>NOVAK Y TIRANA (614)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hidden="1" x14ac:dyDescent="0.25">
      <c r="A281" t="str">
        <f>ESTADISTICA!A279</f>
        <v>SANTA ROSA</v>
      </c>
      <c r="B281" t="str">
        <f>ESTADISTICA!B279</f>
        <v>SRO18 (fija 1)</v>
      </c>
      <c r="C281" t="str">
        <f>ESTADISTICA!C279</f>
        <v>GRAN CANARIA Y BUDAPEST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hidden="1" x14ac:dyDescent="0.25">
      <c r="A282" t="str">
        <f>ESTADISTICA!A280</f>
        <v>SANTA ROSA</v>
      </c>
      <c r="B282" t="str">
        <f>ESTADISTICA!B280</f>
        <v>SRO19 (fija 2)</v>
      </c>
      <c r="C282" t="str">
        <f>ESTADISTICA!C280</f>
        <v>GRAN CANARIA Y BUDAPEST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25">
      <c r="A283" t="str">
        <f>ESTADISTICA!A281</f>
        <v>SAN RUDECINDO</v>
      </c>
      <c r="B283" t="str">
        <f>ESTADISTICA!B281</f>
        <v>SRU01 (fija 1)</v>
      </c>
      <c r="C283" t="str">
        <f>ESTADISTICA!C281</f>
        <v>HERNANDARIAS Y AMBATO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hidden="1" x14ac:dyDescent="0.25">
      <c r="A284" t="str">
        <f>ESTADISTICA!A282</f>
        <v>SAN RUDECINDO</v>
      </c>
      <c r="B284" t="str">
        <f>ESTADISTICA!B282</f>
        <v>SRU02 (fija 2)</v>
      </c>
      <c r="C284" t="str">
        <f>ESTADISTICA!C282</f>
        <v>HERNANDARIAS Y AMBATO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hidden="1" x14ac:dyDescent="0.25">
      <c r="A285" t="str">
        <f>ESTADISTICA!A283</f>
        <v>VILLA ANGELICA</v>
      </c>
      <c r="B285" t="str">
        <f>ESTADISTICA!B283</f>
        <v>VANG01</v>
      </c>
      <c r="C285" t="str">
        <f>ESTADISTICA!C283</f>
        <v>Senzabello y Necochea</v>
      </c>
      <c r="D285" t="str">
        <f>ESTADISTICA!D283</f>
        <v>Domo</v>
      </c>
      <c r="E285" t="str">
        <f>ESTADISTICA!E283</f>
        <v>PTP A FO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 t="str">
        <f>ESTADISTICA!P283</f>
        <v>APAGADO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25">
      <c r="A286" t="str">
        <f>ESTADISTICA!A284</f>
        <v>VILLA ANGELICA</v>
      </c>
      <c r="B286" t="str">
        <f>ESTADISTICA!B284</f>
        <v>VANG02</v>
      </c>
      <c r="C286" t="str">
        <f>ESTADISTICA!C284</f>
        <v>Thevenet y Ruta 36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25">
      <c r="A287" t="str">
        <f>ESTADISTICA!A285</f>
        <v>VILLA DEL PLATA</v>
      </c>
      <c r="B287" t="str">
        <f>ESTADISTICA!B285</f>
        <v>VANG03</v>
      </c>
      <c r="C287" t="str">
        <f>ESTADISTICA!C285</f>
        <v>Thevenet 1950</v>
      </c>
      <c r="D287" t="str">
        <f>ESTADISTICA!D285</f>
        <v>Domo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25">
      <c r="A288" t="str">
        <f>ESTADISTICA!A286</f>
        <v>VILLA ANGELICA</v>
      </c>
      <c r="B288" t="str">
        <f>ESTADISTICA!B286</f>
        <v>VANG04</v>
      </c>
      <c r="C288" t="str">
        <f>ESTADISTICA!C286</f>
        <v>Storni e/Thevenet y Calle 158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25">
      <c r="A289" t="str">
        <f>ESTADISTICA!A287</f>
        <v>VILLA ANGELICA</v>
      </c>
      <c r="B289" t="str">
        <f>ESTADISTICA!B287</f>
        <v>VANG05</v>
      </c>
      <c r="C289" t="str">
        <f>ESTADISTICA!C287</f>
        <v>Storni y Thevenet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25">
      <c r="A290" t="str">
        <f>ESTADISTICA!A288</f>
        <v>VILLA ANGELICA</v>
      </c>
      <c r="B290" t="str">
        <f>ESTADISTICA!B288</f>
        <v>VANG06</v>
      </c>
      <c r="C290" t="str">
        <f>ESTADISTICA!C288</f>
        <v>Arenales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hidden="1" x14ac:dyDescent="0.25">
      <c r="A291" t="str">
        <f>ESTADISTICA!A289</f>
        <v>VILLA ANGELICA</v>
      </c>
      <c r="B291" t="str">
        <f>ESTADISTICA!B289</f>
        <v>VANG07</v>
      </c>
      <c r="C291" t="str">
        <f>ESTADISTICA!C289</f>
        <v>Arenales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hidden="1" x14ac:dyDescent="0.25">
      <c r="A292" t="str">
        <f>ESTADISTICA!A290</f>
        <v>VILLA ANGELICA</v>
      </c>
      <c r="B292" t="str">
        <f>ESTADISTICA!B290</f>
        <v>VANG08</v>
      </c>
      <c r="C292" t="str">
        <f>ESTADISTICA!C290</f>
        <v>Calle 158 al 2200</v>
      </c>
      <c r="D292" t="str">
        <f>ESTADISTICA!D290</f>
        <v>Domo</v>
      </c>
      <c r="E292" t="str">
        <f>ESTADISTICA!E290</f>
        <v>PTP A FO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hidden="1" x14ac:dyDescent="0.25">
      <c r="A293" t="str">
        <f>ESTADISTICA!A291</f>
        <v>PRESIDENTE SARMIENTO</v>
      </c>
      <c r="B293" t="str">
        <f>ESTADISTICA!B291</f>
        <v>VANG09</v>
      </c>
      <c r="C293" t="str">
        <f>ESTADISTICA!C291</f>
        <v>Ruta 36 y Senzabello</v>
      </c>
      <c r="D293" t="str">
        <f>ESTADISTICA!D291</f>
        <v>Domo</v>
      </c>
      <c r="E293" t="str">
        <f>ESTADISTICA!E291</f>
        <v>PTP A FO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 t="str">
        <f>ESTADISTICA!P291</f>
        <v>APAGADO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hidden="1" x14ac:dyDescent="0.25">
      <c r="A294" t="str">
        <f>ESTADISTICA!A292</f>
        <v>VILLA ARGENTINA</v>
      </c>
      <c r="B294" t="str">
        <f>ESTADISTICA!B292</f>
        <v>VAR 01</v>
      </c>
      <c r="C294" t="str">
        <f>ESTADISTICA!C292</f>
        <v>Calle 519 y 546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 t="str">
        <f>ESTADISTICA!K292</f>
        <v>APAGADO</v>
      </c>
      <c r="L294">
        <f>ESTADISTICA!L292</f>
        <v>0</v>
      </c>
      <c r="M294" t="str">
        <f>ESTADISTICA!M292</f>
        <v>APAGADO</v>
      </c>
      <c r="N294" t="str">
        <f>ESTADISTICA!N292</f>
        <v>APAGADO</v>
      </c>
      <c r="O294" t="str">
        <f>ESTADISTICA!O292</f>
        <v>APAGADO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hidden="1" x14ac:dyDescent="0.25">
      <c r="A295" t="str">
        <f>ESTADISTICA!A293</f>
        <v>VILLA ARGENTINA</v>
      </c>
      <c r="B295" t="str">
        <f>ESTADISTICA!B293</f>
        <v>VAR 02</v>
      </c>
      <c r="C295" t="str">
        <f>ESTADISTICA!C293</f>
        <v>DIAGONAL LOS TILOS Y 542</v>
      </c>
      <c r="D295" t="str">
        <f>ESTADISTICA!D293</f>
        <v>DOMO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25">
      <c r="A296" t="str">
        <f>ESTADISTICA!A294</f>
        <v>VILLA ARGENTINA</v>
      </c>
      <c r="B296" t="str">
        <f>ESTADISTICA!B294</f>
        <v>VAR03 (fija 1)</v>
      </c>
      <c r="C296" t="str">
        <f>ESTADISTICA!C294</f>
        <v>509 y 546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25">
      <c r="A297" t="str">
        <f>ESTADISTICA!A295</f>
        <v>VILLA ARGENTINA</v>
      </c>
      <c r="B297" t="str">
        <f>ESTADISTICA!B295</f>
        <v>VAR04 (fija 2)</v>
      </c>
      <c r="C297" t="str">
        <f>ESTADISTICA!C295</f>
        <v>509 y 546</v>
      </c>
      <c r="D297" t="str">
        <f>ESTADISTICA!D295</f>
        <v>Fija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25">
      <c r="A298" t="str">
        <f>ESTADISTICA!A296</f>
        <v>VILLA ARGENTINA</v>
      </c>
      <c r="B298" t="str">
        <f>ESTADISTICA!B296</f>
        <v>VAR05 (fija 1)</v>
      </c>
      <c r="C298" t="str">
        <f>ESTADISTICA!C296</f>
        <v>511 E/ 544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25">
      <c r="A299" t="str">
        <f>ESTADISTICA!A297</f>
        <v>VILLA ARGENTINA</v>
      </c>
      <c r="B299" t="str">
        <f>ESTADISTICA!B297</f>
        <v>VAR06 (fija 2)</v>
      </c>
      <c r="C299" t="str">
        <f>ESTADISTICA!C297</f>
        <v>511 E/ 544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25">
      <c r="A300" t="str">
        <f>ESTADISTICA!A298</f>
        <v>VILLA ARGENTINA</v>
      </c>
      <c r="B300" t="str">
        <f>ESTADISTICA!B298</f>
        <v>VAR07</v>
      </c>
      <c r="C300" t="str">
        <f>ESTADISTICA!C298</f>
        <v>DIAG. LOS TILOS Y 517</v>
      </c>
      <c r="D300" t="str">
        <f>ESTADISTICA!D298</f>
        <v>DOMO</v>
      </c>
      <c r="E300" t="str">
        <f>ESTADISTICA!E298</f>
        <v>Fibra Optica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25">
      <c r="A301" t="str">
        <f>ESTADISTICA!A299</f>
        <v>VILLA ARGENTINA</v>
      </c>
      <c r="B301" t="str">
        <f>ESTADISTICA!B299</f>
        <v>VAR08 (fija 1)</v>
      </c>
      <c r="C301" t="str">
        <f>ESTADISTICA!C299</f>
        <v>534 Y 523</v>
      </c>
      <c r="D301" t="str">
        <f>ESTADISTICA!D299</f>
        <v>Fija</v>
      </c>
      <c r="E301" t="str">
        <f>ESTADISTICA!E299</f>
        <v>Fibra Optica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hidden="1" x14ac:dyDescent="0.25">
      <c r="A302" t="str">
        <f>ESTADISTICA!A300</f>
        <v>VILLA ARGENTINA</v>
      </c>
      <c r="B302" t="str">
        <f>ESTADISTICA!B300</f>
        <v>VAR09 (fija 2)</v>
      </c>
      <c r="C302" t="str">
        <f>ESTADISTICA!C300</f>
        <v>534 Y 523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hidden="1" x14ac:dyDescent="0.25">
      <c r="A303" t="str">
        <f>ESTADISTICA!A301</f>
        <v>VILLA ARGENTINA</v>
      </c>
      <c r="B303" t="str">
        <f>ESTADISTICA!B301</f>
        <v>VAR10 (fija 1)</v>
      </c>
      <c r="C303" t="str">
        <f>ESTADISTICA!C301</f>
        <v>532 A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hidden="1" x14ac:dyDescent="0.25">
      <c r="A304" t="str">
        <f>ESTADISTICA!A302</f>
        <v>VILLA ARGENTINA</v>
      </c>
      <c r="B304" t="str">
        <f>ESTADISTICA!B302</f>
        <v>VAR11 (fija 2)</v>
      </c>
      <c r="C304" t="str">
        <f>ESTADISTICA!C302</f>
        <v>532 A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25">
      <c r="A305">
        <f>ESTADISTICA!A303</f>
        <v>0</v>
      </c>
      <c r="B305" t="str">
        <f>ESTADISTICA!B303</f>
        <v>VAT 12</v>
      </c>
      <c r="C305" t="str">
        <f>ESTADISTICA!C303</f>
        <v>12 DE OCTUBRE Y CHACO</v>
      </c>
      <c r="D305" t="str">
        <f>ESTADISTICA!D303</f>
        <v>DOMO</v>
      </c>
      <c r="E305" t="str">
        <f>ESTADISTICA!E303</f>
        <v>PTP A FO</v>
      </c>
      <c r="F305" t="str">
        <f>ESTADISTICA!F303</f>
        <v>APAGADO</v>
      </c>
      <c r="G305" t="str">
        <f>ESTADISTICA!G303</f>
        <v>APAGADO</v>
      </c>
      <c r="H305">
        <f>ESTADISTICA!H303</f>
        <v>0</v>
      </c>
      <c r="I305">
        <f>ESTADISTICA!I303</f>
        <v>0</v>
      </c>
      <c r="J305" t="str">
        <f>ESTADISTICA!J303</f>
        <v>APAGADO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 t="str">
        <f>ESTADISTICA!R303</f>
        <v>APAGADO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25">
      <c r="A306" t="str">
        <f>ESTADISTICA!A304</f>
        <v>VILLA VATTEONE CENTRO</v>
      </c>
      <c r="B306" t="str">
        <f>ESTADISTICA!B304</f>
        <v>VAT 13</v>
      </c>
      <c r="C306" t="str">
        <f>ESTADISTICA!C304</f>
        <v>Av.12 de Octubre y Belgrano</v>
      </c>
      <c r="D306" t="str">
        <f>ESTADISTICA!D304</f>
        <v>Domo</v>
      </c>
      <c r="E306" t="str">
        <f>ESTADISTICA!E304</f>
        <v>PTP A FO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25">
      <c r="A307">
        <f>ESTADISTICA!A305</f>
        <v>0</v>
      </c>
      <c r="B307" t="str">
        <f>ESTADISTICA!B305</f>
        <v>VAT 15</v>
      </c>
      <c r="C307" t="str">
        <f>ESTADISTICA!C305</f>
        <v>CORRIENTES Y VICENTE LOPEZ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25">
      <c r="A308" t="str">
        <f>ESTADISTICA!A306</f>
        <v>VILLA VATTEONE</v>
      </c>
      <c r="B308" t="str">
        <f>ESTADISTICA!B306</f>
        <v>VAT 16</v>
      </c>
      <c r="C308" t="str">
        <f>ESTADISTICA!C306</f>
        <v>MONTEVIDEO Y CHACO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25">
      <c r="A309" t="str">
        <f>ESTADISTICA!A307</f>
        <v>VILLA VATTEONE</v>
      </c>
      <c r="B309" t="str">
        <f>ESTADISTICA!B307</f>
        <v>VAT 17</v>
      </c>
      <c r="C309" t="str">
        <f>ESTADISTICA!C307</f>
        <v>CHAÑAR Y URUGUAY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25">
      <c r="A310" t="str">
        <f>ESTADISTICA!A308</f>
        <v>VILLA VATTEONE CENTRO</v>
      </c>
      <c r="B310" t="str">
        <f>ESTADISTICA!B308</f>
        <v>VAT 18</v>
      </c>
      <c r="C310" t="str">
        <f>ESTADISTICA!C308</f>
        <v>LAVALLE Y FONROUGE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 t="str">
        <f>ESTADISTICA!R308</f>
        <v>APAGADO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25">
      <c r="A311" t="str">
        <f>ESTADISTICA!A309</f>
        <v>VILLA VATTEONE CENTRO</v>
      </c>
      <c r="B311" t="str">
        <f>ESTADISTICA!B309</f>
        <v>VAT 19</v>
      </c>
      <c r="C311" t="str">
        <f>ESTADISTICA!C309</f>
        <v>QUINTANA Y FONROUGE ( TUCUMAN )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25">
      <c r="A312" t="str">
        <f>ESTADISTICA!A310</f>
        <v>VILLA VATTEONE</v>
      </c>
      <c r="B312" t="str">
        <f>ESTADISTICA!B310</f>
        <v>VAT 20</v>
      </c>
      <c r="C312" t="str">
        <f>ESTADISTICA!C310</f>
        <v>URUGUAY Y PILCOMAYO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25">
      <c r="A313" t="str">
        <f>ESTADISTICA!A311</f>
        <v>VILLA VATTEONE</v>
      </c>
      <c r="B313" t="str">
        <f>ESTADISTICA!B311</f>
        <v>VAT01</v>
      </c>
      <c r="C313" t="str">
        <f>ESTADISTICA!C311</f>
        <v>Montevideo y El Chañar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25">
      <c r="A314" t="str">
        <f>ESTADISTICA!A312</f>
        <v>VILLA VATTEONE CENTRO</v>
      </c>
      <c r="B314" t="str">
        <f>ESTADISTICA!B312</f>
        <v>VAT02</v>
      </c>
      <c r="C314" t="str">
        <f>ESTADISTICA!C312</f>
        <v>Eva Peron y 12 de Octubre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25">
      <c r="A315" t="str">
        <f>ESTADISTICA!A313</f>
        <v>VILLA VATTEONE CENTRO</v>
      </c>
      <c r="B315" t="str">
        <f>ESTADISTICA!B313</f>
        <v>VAT03</v>
      </c>
      <c r="C315" t="str">
        <f>ESTADISTICA!C313</f>
        <v>Lavalle y Belgrano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25">
      <c r="A316" t="str">
        <f>ESTADISTICA!A314</f>
        <v>VILLA VATTEONE CENTRO</v>
      </c>
      <c r="B316" t="str">
        <f>ESTADISTICA!B314</f>
        <v>VAT04</v>
      </c>
      <c r="C316" t="str">
        <f>ESTADISTICA!C314</f>
        <v>Lavalle y Entre Rios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25">
      <c r="A317" t="str">
        <f>ESTADISTICA!A315</f>
        <v>VILLA VATTEONE CENTRO</v>
      </c>
      <c r="B317" t="str">
        <f>ESTADISTICA!B315</f>
        <v>VAT05</v>
      </c>
      <c r="C317" t="str">
        <f>ESTADISTICA!C315</f>
        <v>Lavalle y Colombia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x14ac:dyDescent="0.25">
      <c r="A318" t="str">
        <f>ESTADISTICA!A316</f>
        <v>VILLA VATTEONE CENTRO</v>
      </c>
      <c r="B318" t="str">
        <f>ESTADISTICA!B316</f>
        <v>VAT06</v>
      </c>
      <c r="C318" t="str">
        <f>ESTADISTICA!C316</f>
        <v>Eva Peron y Pueyrredon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 t="str">
        <f>ESTADISTICA!K316</f>
        <v>APAGADO</v>
      </c>
      <c r="L318" t="str">
        <f>ESTADISTICA!L316</f>
        <v>APAGADO</v>
      </c>
      <c r="M318" t="str">
        <f>ESTADISTICA!M316</f>
        <v>APAGADO</v>
      </c>
      <c r="N318" t="str">
        <f>ESTADISTICA!N316</f>
        <v>APAGADO</v>
      </c>
      <c r="O318" t="str">
        <f>ESTADISTICA!O316</f>
        <v>APAGADO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25">
      <c r="A319" t="str">
        <f>ESTADISTICA!A317</f>
        <v>VILLA VATTEONE CENTRO</v>
      </c>
      <c r="B319" t="str">
        <f>ESTADISTICA!B317</f>
        <v>VAT07</v>
      </c>
      <c r="C319" t="str">
        <f>ESTADISTICA!C317</f>
        <v>Eva Peron y Lavalle</v>
      </c>
      <c r="D319" t="str">
        <f>ESTADISTICA!D317</f>
        <v>DOMO</v>
      </c>
      <c r="E319" t="str">
        <f>ESTADISTICA!E317</f>
        <v>PTP A FO</v>
      </c>
      <c r="F319" t="str">
        <f>ESTADISTICA!F317</f>
        <v>APAGADO</v>
      </c>
      <c r="G319" t="str">
        <f>ESTADISTICA!G317</f>
        <v>APAGADO</v>
      </c>
      <c r="H319" t="str">
        <f>ESTADISTICA!H317</f>
        <v>APAGADO</v>
      </c>
      <c r="I319" t="str">
        <f>ESTADISTICA!I317</f>
        <v>APAGADO</v>
      </c>
      <c r="J319" t="str">
        <f>ESTADISTICA!J317</f>
        <v>APAGADO</v>
      </c>
      <c r="K319" t="str">
        <f>ESTADISTICA!K317</f>
        <v>APAGADO</v>
      </c>
      <c r="L319" t="str">
        <f>ESTADISTICA!L317</f>
        <v>APAGADO</v>
      </c>
      <c r="M319" t="str">
        <f>ESTADISTICA!M317</f>
        <v>APAGADO</v>
      </c>
      <c r="N319" t="str">
        <f>ESTADISTICA!N317</f>
        <v>APAGADO</v>
      </c>
      <c r="O319" t="str">
        <f>ESTADISTICA!O317</f>
        <v>APAGADO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25">
      <c r="A320" t="str">
        <f>ESTADISTICA!A318</f>
        <v>VILLA VATTEONE</v>
      </c>
      <c r="B320" t="str">
        <f>ESTADISTICA!B318</f>
        <v>VAT08</v>
      </c>
      <c r="C320" t="str">
        <f>ESTADISTICA!C318</f>
        <v>12 de Octubre y Florida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25">
      <c r="A321" t="str">
        <f>ESTADISTICA!A319</f>
        <v>VILLA VATTEONE</v>
      </c>
      <c r="B321" t="str">
        <f>ESTADISTICA!B319</f>
        <v>VAT09</v>
      </c>
      <c r="C321" t="str">
        <f>ESTADISTICA!C319</f>
        <v>Montevideo y Alsina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25">
      <c r="A322" t="str">
        <f>ESTADISTICA!A320</f>
        <v>VILLA VATTEONE CENTRO</v>
      </c>
      <c r="B322" t="str">
        <f>ESTADISTICA!B320</f>
        <v>VAT10</v>
      </c>
      <c r="C322" t="str">
        <f>ESTADISTICA!C320</f>
        <v>Belgrano y Quintana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25">
      <c r="A323" t="str">
        <f>ESTADISTICA!A321</f>
        <v>VILLA VATTEONE</v>
      </c>
      <c r="B323" t="str">
        <f>ESTADISTICA!B321</f>
        <v>VAT11</v>
      </c>
      <c r="C323" t="str">
        <f>ESTADISTICA!C321</f>
        <v>Mainini y Montevideo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25">
      <c r="A324">
        <f>ESTADISTICA!A322</f>
        <v>0</v>
      </c>
      <c r="B324" t="str">
        <f>ESTADISTICA!B322</f>
        <v>VAT14</v>
      </c>
      <c r="C324" t="str">
        <f>ESTADISTICA!C322</f>
        <v>FLORIDA Y MONTEVIDEO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25">
      <c r="A325" t="str">
        <f>ESTADISTICA!A323</f>
        <v>VILLA VATTEONE CENTRO</v>
      </c>
      <c r="B325" t="str">
        <f>ESTADISTICA!B323</f>
        <v>VAT21 (fija 1)</v>
      </c>
      <c r="C325" t="str">
        <f>ESTADISTICA!C323</f>
        <v>QUINTANA E/ BELGRANO Y FONROUGE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25">
      <c r="A326" t="str">
        <f>ESTADISTICA!A324</f>
        <v>VILLA VATTEONE CENTRO</v>
      </c>
      <c r="B326" t="str">
        <f>ESTADISTICA!B324</f>
        <v>VAT22 (fija 2)</v>
      </c>
      <c r="C326" t="str">
        <f>ESTADISTICA!C324</f>
        <v>QUINTANA E/ BELGRANO Y FONROUGE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x14ac:dyDescent="0.25">
      <c r="A327" t="str">
        <f>ESTADISTICA!A325</f>
        <v>VILLA VATTEONE CENTRO</v>
      </c>
      <c r="B327" t="str">
        <f>ESTADISTICA!B325</f>
        <v>VAT23 (fija 1)</v>
      </c>
      <c r="C327" t="str">
        <f>ESTADISTICA!C325</f>
        <v>EVA PERON Y "EL TUNEL" (BAJO NIVEL)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x14ac:dyDescent="0.25">
      <c r="A328" t="str">
        <f>ESTADISTICA!A326</f>
        <v>VILLA VATTEONE CENTRO</v>
      </c>
      <c r="B328" t="str">
        <f>ESTADISTICA!B326</f>
        <v>VAT24 (fija 2)</v>
      </c>
      <c r="C328" t="str">
        <f>ESTADISTICA!C326</f>
        <v>EVA PERON Y "EL TUNEL" (BAJO NIVEL)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 t="str">
        <f>ESTADISTICA!K326</f>
        <v>APAGADO</v>
      </c>
      <c r="L328" t="str">
        <f>ESTADISTICA!L326</f>
        <v>APAGADO</v>
      </c>
      <c r="M328" t="str">
        <f>ESTADISTICA!M326</f>
        <v>APAGADO</v>
      </c>
      <c r="N328" t="str">
        <f>ESTADISTICA!N326</f>
        <v>APAGADO</v>
      </c>
      <c r="O328" t="str">
        <f>ESTADISTICA!O326</f>
        <v>APAGADO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25">
      <c r="A329" t="str">
        <f>ESTADISTICA!A327</f>
        <v>VILLA AURORA</v>
      </c>
      <c r="B329" t="str">
        <f>ESTADISTICA!B327</f>
        <v>VAU 07</v>
      </c>
      <c r="C329" t="str">
        <f>ESTADISTICA!C327</f>
        <v>VICTORINO DE LA PLAZA Y MONTEVERDE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25">
      <c r="A330" t="str">
        <f>ESTADISTICA!A328</f>
        <v>VILLA AURORA</v>
      </c>
      <c r="B330" t="str">
        <f>ESTADISTICA!B328</f>
        <v>VAU01</v>
      </c>
      <c r="C330" t="str">
        <f>ESTADISTICA!C328</f>
        <v>San Martin y Monteverde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25">
      <c r="A331" t="str">
        <f>ESTADISTICA!A329</f>
        <v>SAN EMILIO</v>
      </c>
      <c r="B331" t="str">
        <f>ESTADISTICA!B329</f>
        <v>VAU02</v>
      </c>
      <c r="C331" t="str">
        <f>ESTADISTICA!C329</f>
        <v>San Martin y Lope de Vega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25">
      <c r="A332" t="str">
        <f>ESTADISTICA!A330</f>
        <v>VILLA AURORA</v>
      </c>
      <c r="B332" t="str">
        <f>ESTADISTICA!B330</f>
        <v>VAU03 (fija 1)</v>
      </c>
      <c r="C332" t="str">
        <f>ESTADISTICA!C330</f>
        <v>PIZZURNO Y NUESTRAS MALVINAS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25">
      <c r="A333" t="str">
        <f>ESTADISTICA!A331</f>
        <v>VILLA AURORA</v>
      </c>
      <c r="B333" t="str">
        <f>ESTADISTICA!B331</f>
        <v>VAU04 (fija 2)</v>
      </c>
      <c r="C333" t="str">
        <f>ESTADISTICA!C331</f>
        <v>PIZZURNO Y NUESTRAS MALVINAS</v>
      </c>
      <c r="D333" t="str">
        <f>ESTADISTICA!D331</f>
        <v>Fija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25">
      <c r="A334" t="str">
        <f>ESTADISTICA!A332</f>
        <v>VILLA AURORA</v>
      </c>
      <c r="B334" t="str">
        <f>ESTADISTICA!B332</f>
        <v>VAU05 (fija 1)</v>
      </c>
      <c r="C334" t="str">
        <f>ESTADISTICA!C332</f>
        <v>GUIDO SPANO Y VICTORINO DE LA PLAZA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25">
      <c r="A335" t="str">
        <f>ESTADISTICA!A333</f>
        <v>VILLA AURORA</v>
      </c>
      <c r="B335" t="str">
        <f>ESTADISTICA!B333</f>
        <v>VAU06 (fija 2)</v>
      </c>
      <c r="C335" t="str">
        <f>ESTADISTICA!C333</f>
        <v>GUIDO SPANO Y VICTORINO DE LA PLAZA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25">
      <c r="A336" t="str">
        <f>ESTADISTICA!A334</f>
        <v>VILLA AURORA</v>
      </c>
      <c r="B336" t="str">
        <f>ESTADISTICA!B334</f>
        <v>VAU08</v>
      </c>
      <c r="C336" t="str">
        <f>ESTADISTICA!C334</f>
        <v>MONTEVERDE Y WASHINGTON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25">
      <c r="A337" t="str">
        <f>ESTADISTICA!A335</f>
        <v>VILLA DEL PLATA</v>
      </c>
      <c r="B337" t="str">
        <f>ESTADISTICA!B335</f>
        <v>VDPL02</v>
      </c>
      <c r="C337" t="str">
        <f>ESTADISTICA!C335</f>
        <v>Thevenet y Berutti</v>
      </c>
      <c r="D337" t="str">
        <f>ESTADISTICA!D335</f>
        <v>Domo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25">
      <c r="A338" t="str">
        <f>ESTADISTICA!A336</f>
        <v>VILLA DEL PLATA</v>
      </c>
      <c r="B338" t="str">
        <f>ESTADISTICA!B336</f>
        <v>VDPL03</v>
      </c>
      <c r="C338" t="str">
        <f>ESTADISTICA!C336</f>
        <v>Neuquen y Alvarado</v>
      </c>
      <c r="D338" t="str">
        <f>ESTADISTICA!D336</f>
        <v>Domo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25">
      <c r="A339" t="str">
        <f>ESTADISTICA!A337</f>
        <v>VILLA DEL PLATA</v>
      </c>
      <c r="B339" t="str">
        <f>ESTADISTICA!B337</f>
        <v>VDPL04</v>
      </c>
      <c r="C339" t="str">
        <f>ESTADISTICA!C337</f>
        <v>Neuquen y Diagonal Guemes</v>
      </c>
      <c r="D339" t="str">
        <f>ESTADISTICA!D337</f>
        <v>Domo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25">
      <c r="A340" t="str">
        <f>ESTADISTICA!A338</f>
        <v>VILLA DEL PLATA</v>
      </c>
      <c r="B340" t="str">
        <f>ESTADISTICA!B338</f>
        <v>VDPL05</v>
      </c>
      <c r="C340" t="str">
        <f>ESTADISTICA!C338</f>
        <v>Ruta 36 y Abraham</v>
      </c>
      <c r="D340" t="str">
        <f>ESTADISTICA!D338</f>
        <v>Domo</v>
      </c>
      <c r="E340" t="str">
        <f>ESTADISTICA!E338</f>
        <v>PTP A FO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25">
      <c r="A341" t="str">
        <f>ESTADISTICA!A339</f>
        <v>VILLA ANGELICA</v>
      </c>
      <c r="B341" t="str">
        <f>ESTADISTICA!B339</f>
        <v>VDPL06</v>
      </c>
      <c r="C341" t="str">
        <f>ESTADISTICA!C339</f>
        <v>Thevenet e/ Islas Orcadas y Gardel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hidden="1" x14ac:dyDescent="0.25">
      <c r="A342" t="str">
        <f>ESTADISTICA!A340</f>
        <v>VILLA HUDSON</v>
      </c>
      <c r="B342" t="str">
        <f>ESTADISTICA!B340</f>
        <v>VHS 01</v>
      </c>
      <c r="C342" t="str">
        <f>ESTADISTICA!C340</f>
        <v>AV. HUDSON Y AV. LUJAN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25">
      <c r="A343" t="str">
        <f>ESTADISTICA!A341</f>
        <v>VILLA HUDSON</v>
      </c>
      <c r="B343" t="str">
        <f>ESTADISTICA!B341</f>
        <v>VHS 02</v>
      </c>
      <c r="C343" t="str">
        <f>ESTADISTICA!C341</f>
        <v>AV. LUJAN Y CALLE 909 A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x14ac:dyDescent="0.25">
      <c r="A344" t="str">
        <f>ESTADISTICA!A342</f>
        <v>VILLA HUDSON</v>
      </c>
      <c r="B344" t="str">
        <f>ESTADISTICA!B342</f>
        <v>VHS03 (fija 1)</v>
      </c>
      <c r="C344" t="str">
        <f>ESTADISTICA!C342</f>
        <v>AV. HUDSON Y LOS INMIGRANTES</v>
      </c>
      <c r="D344" t="str">
        <f>ESTADISTICA!D342</f>
        <v>Fija</v>
      </c>
      <c r="E344" t="str">
        <f>ESTADISTICA!E342</f>
        <v>Fibra Optica</v>
      </c>
      <c r="F344" t="str">
        <f>ESTADISTICA!F342</f>
        <v>APAGADO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 t="str">
        <f>ESTADISTICA!K342</f>
        <v>APAGADO</v>
      </c>
      <c r="L344" t="str">
        <f>ESTADISTICA!L342</f>
        <v>APAGADO</v>
      </c>
      <c r="M344" t="str">
        <f>ESTADISTICA!M342</f>
        <v>APAGADO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x14ac:dyDescent="0.25">
      <c r="A345" t="str">
        <f>ESTADISTICA!A343</f>
        <v>VILLA HUDSON</v>
      </c>
      <c r="B345" t="str">
        <f>ESTADISTICA!B343</f>
        <v>VHS04 (fija 2)</v>
      </c>
      <c r="C345" t="str">
        <f>ESTADISTICA!C343</f>
        <v>AV. HUDSON Y LOS INMIGRANTES</v>
      </c>
      <c r="D345" t="str">
        <f>ESTADISTICA!D343</f>
        <v>Fija</v>
      </c>
      <c r="E345" t="str">
        <f>ESTADISTICA!E343</f>
        <v>Fibra Optica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 t="str">
        <f>ESTADISTICA!K343</f>
        <v>APAGADO</v>
      </c>
      <c r="L345" t="str">
        <f>ESTADISTICA!L343</f>
        <v>APAGADO</v>
      </c>
      <c r="M345" t="str">
        <f>ESTADISTICA!M343</f>
        <v>APAGADO</v>
      </c>
      <c r="N345" t="str">
        <f>ESTADISTICA!N343</f>
        <v>APAGADO</v>
      </c>
      <c r="O345" t="str">
        <f>ESTADISTICA!O343</f>
        <v>APAGADO</v>
      </c>
      <c r="P345" t="str">
        <f>ESTADISTICA!P343</f>
        <v>APAGADO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x14ac:dyDescent="0.25">
      <c r="A346" t="str">
        <f>ESTADISTICA!A344</f>
        <v>VILLA ARIAS</v>
      </c>
      <c r="B346" t="str">
        <f>ESTADISTICA!B344</f>
        <v>VLA01 (fija 1)</v>
      </c>
      <c r="C346" t="str">
        <f>ESTADISTICA!C344</f>
        <v>820 Y SOLER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25">
      <c r="A347" t="str">
        <f>ESTADISTICA!A345</f>
        <v>VILLA ARIAS</v>
      </c>
      <c r="B347" t="str">
        <f>ESTADISTICA!B345</f>
        <v>VLA02</v>
      </c>
      <c r="C347" t="str">
        <f>ESTADISTICA!C345</f>
        <v>ESPORA Y HUDSON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>
        <f>ESTADISTICA!N345</f>
        <v>0</v>
      </c>
      <c r="O347">
        <f>ESTADISTICA!O345</f>
        <v>0</v>
      </c>
      <c r="P347">
        <f>ESTADISTICA!P345</f>
        <v>0</v>
      </c>
      <c r="Q347" t="str">
        <f>ESTADISTICA!Q345</f>
        <v>APAGADO</v>
      </c>
      <c r="R347" t="str">
        <f>ESTADISTICA!R345</f>
        <v>APAGADO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x14ac:dyDescent="0.25">
      <c r="A348" t="str">
        <f>ESTADISTICA!A346</f>
        <v>VILLA ARIAS</v>
      </c>
      <c r="B348" t="str">
        <f>ESTADISTICA!B346</f>
        <v>VLA03 (fija 2)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25">
      <c r="A349" t="str">
        <f>ESTADISTICA!A347</f>
        <v>VILLA ARIAS</v>
      </c>
      <c r="B349" t="str">
        <f>ESTADISTICA!B347</f>
        <v>VLA04</v>
      </c>
      <c r="C349" t="str">
        <f>ESTADISTICA!C347</f>
        <v>ESPORA Y MARTIN GRASS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25">
      <c r="A350" t="str">
        <f>ESTADISTICA!A348</f>
        <v>VILLA ARIAS</v>
      </c>
      <c r="B350" t="str">
        <f>ESTADISTICA!B348</f>
        <v>VLA05</v>
      </c>
      <c r="C350" t="str">
        <f>ESTADISTICA!C348</f>
        <v>ESPORA Y 802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25">
      <c r="A351" t="str">
        <f>ESTADISTICA!A349</f>
        <v>VILLA MONICA NUEVA</v>
      </c>
      <c r="B351" t="str">
        <f>ESTADISTICA!B349</f>
        <v>VMO 02</v>
      </c>
      <c r="C351" t="str">
        <f>ESTADISTICA!C349</f>
        <v>Rio Carapachay y Oroño</v>
      </c>
      <c r="D351" t="str">
        <f>ESTADISTICA!D349</f>
        <v>Domo</v>
      </c>
      <c r="E351" t="str">
        <f>ESTADISTICA!E349</f>
        <v>Radio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hidden="1" x14ac:dyDescent="0.25">
      <c r="A352">
        <f>ESTADISTICA!A350</f>
        <v>0</v>
      </c>
      <c r="B352" t="str">
        <f>ESTADISTICA!B350</f>
        <v>VMO01</v>
      </c>
      <c r="C352" t="str">
        <f>ESTADISTICA!C350</f>
        <v>Eva Peron y Monseñor de las Casas</v>
      </c>
      <c r="D352" t="str">
        <f>ESTADISTICA!D350</f>
        <v>DOMO</v>
      </c>
      <c r="E352">
        <f>ESTADISTICA!E350</f>
        <v>0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 t="str">
        <f>ESTADISTICA!J350</f>
        <v>APAGADO</v>
      </c>
      <c r="K352" t="str">
        <f>ESTADISTICA!K350</f>
        <v>APAGADO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 t="str">
        <f>ESTADISTICA!Q350</f>
        <v>APAGADO</v>
      </c>
      <c r="R352" t="str">
        <f>ESTADISTICA!R350</f>
        <v>APAGADO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25">
      <c r="A353" t="str">
        <f>ESTADISTICA!A351</f>
        <v>VILLA MONICA NUEVA</v>
      </c>
      <c r="B353" t="str">
        <f>ESTADISTICA!B351</f>
        <v>VMO03 (fija 1)</v>
      </c>
      <c r="C353" t="str">
        <f>ESTADISTICA!C351</f>
        <v>EVA PERON E/ OROÑO Y 734 A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25">
      <c r="A354" t="str">
        <f>ESTADISTICA!A352</f>
        <v>VILLA MONICA NUEVA</v>
      </c>
      <c r="B354" t="str">
        <f>ESTADISTICA!B352</f>
        <v>VMO04 (fija 2)</v>
      </c>
      <c r="C354" t="str">
        <f>ESTADISTICA!C352</f>
        <v>EVA PERON E/ OROÑO Y 734 A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hidden="1" x14ac:dyDescent="0.25">
      <c r="A355" t="str">
        <f>ESTADISTICA!A353</f>
        <v>VILLA MONICA NUEVA</v>
      </c>
      <c r="B355" t="str">
        <f>ESTADISTICA!B353</f>
        <v>VMO05</v>
      </c>
      <c r="C355" t="str">
        <f>ESTADISTICA!C353</f>
        <v>OROÑO Y EVA PERON</v>
      </c>
      <c r="D355" t="str">
        <f>ESTADISTICA!D353</f>
        <v>DOMO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25">
      <c r="A356" t="str">
        <f>ESTADISTICA!A354</f>
        <v>VILLA MONICA VIEJA</v>
      </c>
      <c r="B356" t="str">
        <f>ESTADISTICA!B354</f>
        <v>VMOV01 (fija 1)</v>
      </c>
      <c r="C356" t="str">
        <f>ESTADISTICA!C354</f>
        <v>ATENAS E/ CAFFERATA Y ALEMANIA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25">
      <c r="A357" t="str">
        <f>ESTADISTICA!A355</f>
        <v>VILLA MONICA VIEJA</v>
      </c>
      <c r="B357" t="str">
        <f>ESTADISTICA!B355</f>
        <v>VMOV02 (fija 2)</v>
      </c>
      <c r="C357" t="str">
        <f>ESTADISTICA!C355</f>
        <v>ATENAS E/ CAFFERATA Y ALEMANIA</v>
      </c>
      <c r="D357" t="str">
        <f>ESTADISTICA!D355</f>
        <v>Fija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hidden="1" x14ac:dyDescent="0.25">
      <c r="A358" t="str">
        <f>ESTADISTICA!A356</f>
        <v>VILLA MONICA VIEJA</v>
      </c>
      <c r="B358" t="str">
        <f>ESTADISTICA!B356</f>
        <v>VMOV03 (fija 1)</v>
      </c>
      <c r="C358" t="str">
        <f>ESTADISTICA!C356</f>
        <v>ROMA E/ HOLANDA Y CAFFERATA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25">
      <c r="A359" t="str">
        <f>ESTADISTICA!A357</f>
        <v>VILLA MONICA VIEJA</v>
      </c>
      <c r="B359" t="str">
        <f>ESTADISTICA!B357</f>
        <v>VMOV04 (fija 2)</v>
      </c>
      <c r="C359" t="str">
        <f>ESTADISTICA!C357</f>
        <v>ROMA E/ HOLANDA Y CAFFERATA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25">
      <c r="A360" t="str">
        <f>ESTADISTICA!A358</f>
        <v>VILLA SAN LUIS</v>
      </c>
      <c r="B360" t="str">
        <f>ESTADISTICA!B358</f>
        <v>VSL 01</v>
      </c>
      <c r="C360" t="str">
        <f>ESTADISTICA!C358</f>
        <v>AV. HUDSON Y CACHEUTA</v>
      </c>
      <c r="D360" t="str">
        <f>ESTADISTICA!D358</f>
        <v>DOMO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25">
      <c r="A361" t="str">
        <f>ESTADISTICA!A359</f>
        <v>VILLA SUSANA</v>
      </c>
      <c r="B361" t="str">
        <f>ESTADISTICA!B359</f>
        <v>VSU 01</v>
      </c>
      <c r="C361" t="str">
        <f>ESTADISTICA!C359</f>
        <v>CJAL. JUAN BROWN Y SANTA FE</v>
      </c>
      <c r="D361" t="str">
        <f>ESTADISTICA!D359</f>
        <v>DOMO</v>
      </c>
      <c r="E361" t="str">
        <f>ESTADISTICA!E359</f>
        <v>Radio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>
        <f>ESTADISTICA!Q359</f>
        <v>0</v>
      </c>
      <c r="R361" t="str">
        <f>ESTADISTICA!R359</f>
        <v>APAGADO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25">
      <c r="A362" t="str">
        <f>ESTADISTICA!A360</f>
        <v>VILLA SUSANA</v>
      </c>
      <c r="B362" t="str">
        <f>ESTADISTICA!B360</f>
        <v>VSU 02</v>
      </c>
      <c r="C362" t="str">
        <f>ESTADISTICA!C360</f>
        <v>CABELLO Y SANTA FE</v>
      </c>
      <c r="D362" t="str">
        <f>ESTADISTICA!D360</f>
        <v>DOMO</v>
      </c>
      <c r="E362" t="str">
        <f>ESTADISTICA!E360</f>
        <v>Radio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25">
      <c r="A363" t="str">
        <f>ESTADISTICA!A361</f>
        <v>VILLA SUSANA</v>
      </c>
      <c r="B363" t="str">
        <f>ESTADISTICA!B361</f>
        <v>VSU 03</v>
      </c>
      <c r="C363" t="str">
        <f>ESTADISTICA!C361</f>
        <v>EE.UU Y SERRANO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25">
      <c r="A364">
        <f>ESTADISTICA!A362</f>
        <v>0</v>
      </c>
      <c r="B364" t="str">
        <f>ESTADISTICA!B362</f>
        <v>ZEB 05</v>
      </c>
      <c r="C364" t="str">
        <f>ESTADISTICA!C362</f>
        <v>DIAG. GRANADEROS Y 214 BIS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25">
      <c r="A365" t="str">
        <f>ESTADISTICA!A363</f>
        <v>ZEBALLOS</v>
      </c>
      <c r="B365" t="str">
        <f>ESTADISTICA!B363</f>
        <v>ZEB02</v>
      </c>
      <c r="C365" t="str">
        <f>ESTADISTICA!C363</f>
        <v>Quinquela Martin y Sgo. del Estero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25">
      <c r="A366" t="str">
        <f>ESTADISTICA!A364</f>
        <v>9 DE JULIO</v>
      </c>
      <c r="B366" t="str">
        <f>ESTADISTICA!B364</f>
        <v>ZEB03</v>
      </c>
      <c r="C366" t="str">
        <f>ESTADISTICA!C364</f>
        <v>Quinquela Martin y Pte. Peron</v>
      </c>
      <c r="D366" t="str">
        <f>ESTADISTICA!D364</f>
        <v>Domo</v>
      </c>
      <c r="E366" t="str">
        <f>ESTADISTICA!E364</f>
        <v>Radio</v>
      </c>
      <c r="F366" t="str">
        <f>ESTADISTICA!F364</f>
        <v>APAGADO</v>
      </c>
      <c r="G366" t="str">
        <f>ESTADISTICA!G364</f>
        <v>APAGADO</v>
      </c>
      <c r="H366" t="str">
        <f>ESTADISTICA!H364</f>
        <v>APAGADO</v>
      </c>
      <c r="I366" t="str">
        <f>ESTADISTICA!I364</f>
        <v>APAGADO</v>
      </c>
      <c r="J366" t="str">
        <f>ESTADISTICA!J364</f>
        <v>APAGADO</v>
      </c>
      <c r="K366" t="str">
        <f>ESTADISTICA!K364</f>
        <v>APAGADO</v>
      </c>
      <c r="L366" t="str">
        <f>ESTADISTICA!L364</f>
        <v>APAGADO</v>
      </c>
      <c r="M366" t="str">
        <f>ESTADISTICA!M364</f>
        <v>APAGADO</v>
      </c>
      <c r="N366" t="str">
        <f>ESTADISTICA!N364</f>
        <v>APAGADO</v>
      </c>
      <c r="O366" t="str">
        <f>ESTADISTICA!O364</f>
        <v>APAGADO</v>
      </c>
      <c r="P366" t="str">
        <f>ESTADISTICA!P364</f>
        <v>APAGADO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25">
      <c r="A367">
        <f>ESTADISTICA!A365</f>
        <v>0</v>
      </c>
      <c r="B367" t="str">
        <f>ESTADISTICA!B365</f>
        <v>ZEB04</v>
      </c>
      <c r="C367" t="str">
        <f>ESTADISTICA!C365</f>
        <v>THEVENET Y DIAGONAL GRANADEROS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25">
      <c r="A368" t="str">
        <f>ESTADISTICA!A366</f>
        <v>SANTA ANA</v>
      </c>
      <c r="B368" t="str">
        <f>ESTADISTICA!B366</f>
        <v>SAN01</v>
      </c>
      <c r="C368" t="str">
        <f>ESTADISTICA!C366</f>
        <v>HUDSON Y SUIPACHA FIJA 1</v>
      </c>
      <c r="D368" t="str">
        <f>ESTADISTICA!D366</f>
        <v>Fija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 t="str">
        <f>ESTADISTICA!A367</f>
        <v>SANTA ANA</v>
      </c>
      <c r="B369" t="str">
        <f>ESTADISTICA!B367</f>
        <v>SAN02</v>
      </c>
      <c r="C369" t="str">
        <f>ESTADISTICA!C367</f>
        <v>HUDSON Y SUIPACHA FIJA 2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  <filterColumn colId="14">
      <filters>
        <filter val="APAGADO"/>
      </filters>
    </filterColumn>
  </autoFilter>
  <conditionalFormatting sqref="F9:AG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J378" sqref="J378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6" t="s">
        <v>1324</v>
      </c>
      <c r="D1" s="56">
        <f>COUNTIFS(E4:E367,"=PTP A FO")</f>
        <v>38</v>
      </c>
    </row>
    <row r="2" spans="1:36" ht="21" x14ac:dyDescent="0.35">
      <c r="E2" s="27" t="s">
        <v>934</v>
      </c>
      <c r="F2" s="27">
        <f>COUNTIFS(F4:F367, "=APAGADO",E4:E367,"=PTP A FO")</f>
        <v>2</v>
      </c>
      <c r="G2" s="27">
        <f>COUNTIFS(G4:G367, "=APAGADO",E4:E367,"=PTP A FO")</f>
        <v>4</v>
      </c>
      <c r="H2" s="27">
        <f>COUNTIFS(H4:H367, "=APAGADO",E4:E367,"=PTP A FO")</f>
        <v>3</v>
      </c>
      <c r="I2" s="27">
        <f>COUNTIFS(I4:I367, "=APAGADO",E4:E367,"=PTP A FO")</f>
        <v>1</v>
      </c>
      <c r="J2" s="27">
        <f>COUNTIFS(J4:J367, "=APAGADO",E4:E367,"=PTP A FO")</f>
        <v>4</v>
      </c>
      <c r="K2" s="27">
        <f>COUNTIFS(K4:K367, "=APAGADO",E4:E367,"=PTP A FO")</f>
        <v>1</v>
      </c>
      <c r="L2" s="27">
        <f>COUNTIFS(L4:L367, "=APAGADO",E4:E367,"=PTP A FO")</f>
        <v>1</v>
      </c>
      <c r="M2" s="27">
        <f>COUNTIFS(M4:M367, "=APAGADO",E4:E367,"=PTP A FO")</f>
        <v>2</v>
      </c>
      <c r="N2" s="27">
        <f>COUNTIFS(N4:N367, "=APAGADO",E4:E367,"=PTP A FO")</f>
        <v>6</v>
      </c>
      <c r="O2" s="27">
        <f>COUNTIFS(O4:O367,"APAGADO", E4:E367,"=PTP A FO" )</f>
        <v>2</v>
      </c>
      <c r="P2" s="27">
        <f>COUNTIFS(P4:P367, "=APAGADO",E4:E367,"=PTP A FO")</f>
        <v>11</v>
      </c>
      <c r="Q2" s="27">
        <f>COUNTIFS(Q4:Q367, "=APAGADO",E4:E367,"=PTP A FO")</f>
        <v>8</v>
      </c>
      <c r="R2" s="27">
        <f>COUNTIFS(R4:R367, "=APAGADO",E4:E367,"=PTP A FO")</f>
        <v>10</v>
      </c>
      <c r="S2" s="27">
        <f>COUNTIFS(S4:S367, "=APAGADO",E4:E367,"=PTP A FO")</f>
        <v>0</v>
      </c>
      <c r="T2" s="27">
        <f>COUNTIFS(T4:T367, "=APAGADO",E4:E367,"=PTP A FO")</f>
        <v>0</v>
      </c>
      <c r="U2" s="27">
        <f>COUNTIFS(U4:U367, "=APAGADO",E4:E367,"=PTP A FO")</f>
        <v>0</v>
      </c>
      <c r="V2" s="27">
        <f>COUNTIFS(V4:V367, "=APAGADO",E4:E367,"=PTP A FO")</f>
        <v>0</v>
      </c>
      <c r="W2" s="27">
        <f>COUNTIFS(W4:W367, "=APAGADO",E4:E367,"=PTP A FO")</f>
        <v>0</v>
      </c>
      <c r="X2" s="27">
        <f>COUNTIFS(X4:X367, "=APAGADO",E4:E367,"=PTP A FO")</f>
        <v>0</v>
      </c>
      <c r="Y2" s="27">
        <f>COUNTIFS(Y4:Y367, "=APAGADO",E4:E367,"=PTP A FO")</f>
        <v>0</v>
      </c>
      <c r="Z2" s="27">
        <f>COUNTIFS(Z4:Z367, "=APAGADO",E4:E367,"=PTP A FO")</f>
        <v>0</v>
      </c>
      <c r="AA2" s="27">
        <f>COUNTIFS(AA4:AA367, "=APAGADO",E4:E367,"=PTP A FO")</f>
        <v>0</v>
      </c>
      <c r="AB2" s="27">
        <f>COUNTIFS(AB4:AB367, "=APAGADO",D4:D367,"=PTP A FO")</f>
        <v>0</v>
      </c>
      <c r="AC2" s="27">
        <f>COUNTIFS(AC4:AC367, "=APAGADO",E4:E367,"=PTP A FO")</f>
        <v>0</v>
      </c>
      <c r="AD2" s="27">
        <f>COUNTIFS(AD4:AD367, "=APAGADO",E4:E367,"=PTP A FO")</f>
        <v>0</v>
      </c>
      <c r="AE2" s="27">
        <f>COUNTIFS(AE4:AE367, "=APAGADO",E4:E367,"=PTP A FO")</f>
        <v>0</v>
      </c>
      <c r="AF2" s="27">
        <f>COUNTIFS(AF4:AF367, "=APAGADO",E4:E367,"=PTP A FO")</f>
        <v>0</v>
      </c>
      <c r="AG2" s="27">
        <f>COUNTIFS(AG4:AG367, "=APAGADO",E4:E367,"=PTP A FO")</f>
        <v>0</v>
      </c>
      <c r="AH2" s="27">
        <f t="shared" ref="AH2:AJ2" si="0">COUNTIFS(AH4:AH367, "=APAGADO",F4:F367,"=PTP A FO")</f>
        <v>0</v>
      </c>
      <c r="AI2" s="27">
        <f t="shared" si="0"/>
        <v>0</v>
      </c>
      <c r="AJ2" s="27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6">
        <f>ESTADISTICA!F1</f>
        <v>44621</v>
      </c>
      <c r="G3" s="26">
        <f>ESTADISTICA!G1</f>
        <v>44622</v>
      </c>
      <c r="H3" s="26">
        <f>ESTADISTICA!H1</f>
        <v>44623</v>
      </c>
      <c r="I3" s="26">
        <f>ESTADISTICA!I1</f>
        <v>44624</v>
      </c>
      <c r="J3" s="26">
        <f>ESTADISTICA!J1</f>
        <v>44625</v>
      </c>
      <c r="K3" s="26">
        <f>ESTADISTICA!K1</f>
        <v>44626</v>
      </c>
      <c r="L3" s="26">
        <f>ESTADISTICA!L1</f>
        <v>44627</v>
      </c>
      <c r="M3" s="26">
        <f>ESTADISTICA!M1</f>
        <v>44628</v>
      </c>
      <c r="N3" s="26">
        <f>ESTADISTICA!N1</f>
        <v>44629</v>
      </c>
      <c r="O3" s="26">
        <f>ESTADISTICA!O1</f>
        <v>44630</v>
      </c>
      <c r="P3" s="26">
        <f>ESTADISTICA!P1</f>
        <v>44631</v>
      </c>
      <c r="Q3" s="26">
        <f>ESTADISTICA!Q1</f>
        <v>44632</v>
      </c>
      <c r="R3" s="26">
        <f>ESTADISTICA!R1</f>
        <v>44633</v>
      </c>
      <c r="S3" s="26">
        <f>ESTADISTICA!S1</f>
        <v>44634</v>
      </c>
      <c r="T3" s="26">
        <f>ESTADISTICA!T1</f>
        <v>44635</v>
      </c>
      <c r="U3" s="26">
        <f>ESTADISTICA!U1</f>
        <v>44636</v>
      </c>
      <c r="V3" s="26">
        <f>ESTADISTICA!V1</f>
        <v>44637</v>
      </c>
      <c r="W3" s="26">
        <f>ESTADISTICA!W1</f>
        <v>44638</v>
      </c>
      <c r="X3" s="26">
        <f>ESTADISTICA!X1</f>
        <v>44639</v>
      </c>
      <c r="Y3" s="26">
        <f>ESTADISTICA!Y1</f>
        <v>44640</v>
      </c>
      <c r="Z3" s="26">
        <f>ESTADISTICA!Z1</f>
        <v>44641</v>
      </c>
      <c r="AA3" s="26">
        <f>ESTADISTICA!AA1</f>
        <v>44642</v>
      </c>
      <c r="AB3" s="26">
        <f>ESTADISTICA!AB1</f>
        <v>44643</v>
      </c>
      <c r="AC3" s="26">
        <f>ESTADISTICA!AC1</f>
        <v>44644</v>
      </c>
      <c r="AD3" s="26">
        <f>ESTADISTICA!AD1</f>
        <v>44645</v>
      </c>
      <c r="AE3" s="26">
        <f>ESTADISTICA!AE1</f>
        <v>44646</v>
      </c>
      <c r="AF3" s="26">
        <f>ESTADISTICA!AF1</f>
        <v>44647</v>
      </c>
      <c r="AG3" s="26">
        <f>ESTADISTICA!AG1</f>
        <v>44648</v>
      </c>
      <c r="AH3" s="26">
        <f>ESTADISTICA!AH1</f>
        <v>44649</v>
      </c>
      <c r="AI3" s="26">
        <f>ESTADISTICA!AI1</f>
        <v>44650</v>
      </c>
      <c r="AJ3" s="26">
        <f>ESTADISTICA!AJ1</f>
        <v>44651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25">
      <c r="A159">
        <f>ESTADISTICA!A157</f>
        <v>0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25">
      <c r="A244" t="str">
        <f>ESTADISTICA!A242</f>
        <v>SAN JORGE</v>
      </c>
      <c r="B244" t="str">
        <f>ESTADISTICA!B242</f>
        <v>SJO 03</v>
      </c>
      <c r="C244" t="str">
        <f>ESTADISTICA!C242</f>
        <v>517 Y 580</v>
      </c>
      <c r="D244" t="str">
        <f>ESTADISTICA!D242</f>
        <v>DOMO</v>
      </c>
      <c r="E244" t="str">
        <f>ESTADISTICA!E242</f>
        <v>Radio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25">
      <c r="A245" t="str">
        <f>ESTADISTICA!A243</f>
        <v>SAN JORGE</v>
      </c>
      <c r="B245" t="str">
        <f>ESTADISTICA!B243</f>
        <v>SJO 04</v>
      </c>
      <c r="C245" t="str">
        <f>ESTADISTICA!C243</f>
        <v>552 Y 519</v>
      </c>
      <c r="D245" t="str">
        <f>ESTADISTICA!D243</f>
        <v>DOMO</v>
      </c>
      <c r="E245" t="str">
        <f>ESTADISTICA!E243</f>
        <v>Radio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25">
      <c r="A246" t="str">
        <f>ESTADISTICA!A244</f>
        <v>SAN JORGE</v>
      </c>
      <c r="B246" t="str">
        <f>ESTADISTICA!B244</f>
        <v>SJO01</v>
      </c>
      <c r="C246" t="str">
        <f>ESTADISTICA!C244</f>
        <v>Calle 554 y 527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25">
      <c r="A247" t="str">
        <f>ESTADISTICA!A245</f>
        <v>SAN JORGE</v>
      </c>
      <c r="B247" t="str">
        <f>ESTADISTICA!B245</f>
        <v>SJO02</v>
      </c>
      <c r="C247" t="str">
        <f>ESTADISTICA!C245</f>
        <v>Calle 554 y 511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 t="str">
        <f>ESTADISTICA!J245</f>
        <v>APAGADO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hidden="1" x14ac:dyDescent="0.25">
      <c r="A248" t="str">
        <f>ESTADISTICA!A246</f>
        <v>SAN JORGE</v>
      </c>
      <c r="B248" t="str">
        <f>ESTADISTICA!B246</f>
        <v>SJO05 (fija 1)</v>
      </c>
      <c r="C248" t="str">
        <f>ESTADISTICA!C246</f>
        <v>511 Y 560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 t="str">
        <f>ESTADISTICA!J246</f>
        <v>APAGADO</v>
      </c>
      <c r="K248" t="str">
        <f>ESTADISTICA!K246</f>
        <v>APAGADO</v>
      </c>
      <c r="L248" t="str">
        <f>ESTADISTICA!L246</f>
        <v>APAGADO</v>
      </c>
      <c r="M248" t="str">
        <f>ESTADISTICA!M246</f>
        <v>APAGADO</v>
      </c>
      <c r="N248" t="str">
        <f>ESTADISTICA!N246</f>
        <v>APAGADO</v>
      </c>
      <c r="O248" t="str">
        <f>ESTADISTICA!O246</f>
        <v>APAGADO</v>
      </c>
      <c r="P248" t="str">
        <f>ESTADISTICA!P246</f>
        <v>APAGADO</v>
      </c>
      <c r="Q248" t="str">
        <f>ESTADISTICA!Q246</f>
        <v>APAGADO</v>
      </c>
      <c r="R248" t="str">
        <f>ESTADISTICA!R246</f>
        <v>APAGADO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hidden="1" x14ac:dyDescent="0.25">
      <c r="A249" t="str">
        <f>ESTADISTICA!A247</f>
        <v>SAN JORGE</v>
      </c>
      <c r="B249" t="str">
        <f>ESTADISTICA!B247</f>
        <v>SJO06 (fija 2)</v>
      </c>
      <c r="C249" t="str">
        <f>ESTADISTICA!C247</f>
        <v>511 Y 560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 t="str">
        <f>ESTADISTICA!G247</f>
        <v>APAGADO</v>
      </c>
      <c r="H249" t="str">
        <f>ESTADISTICA!H247</f>
        <v>APAGADO</v>
      </c>
      <c r="I249" t="str">
        <f>ESTADISTICA!I247</f>
        <v>APAGADO</v>
      </c>
      <c r="J249" t="str">
        <f>ESTADISTICA!J247</f>
        <v>APAGADO</v>
      </c>
      <c r="K249" t="str">
        <f>ESTADISTICA!K247</f>
        <v>APAGADO</v>
      </c>
      <c r="L249" t="str">
        <f>ESTADISTICA!L247</f>
        <v>APAGADO</v>
      </c>
      <c r="M249" t="str">
        <f>ESTADISTICA!M247</f>
        <v>APAGADO</v>
      </c>
      <c r="N249" t="str">
        <f>ESTADISTICA!N247</f>
        <v>APAGADO</v>
      </c>
      <c r="O249" t="str">
        <f>ESTADISTICA!O247</f>
        <v>APAGADO</v>
      </c>
      <c r="P249" t="str">
        <f>ESTADISTICA!P247</f>
        <v>APAGADO</v>
      </c>
      <c r="Q249" t="str">
        <f>ESTADISTICA!Q247</f>
        <v>APAGADO</v>
      </c>
      <c r="R249" t="str">
        <f>ESTADISTICA!R247</f>
        <v>APAGADO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hidden="1" x14ac:dyDescent="0.25">
      <c r="A250" t="str">
        <f>ESTADISTICA!A248</f>
        <v>SAN JORGE</v>
      </c>
      <c r="B250" t="str">
        <f>ESTADISTICA!B248</f>
        <v>SJO07 (fija 1)</v>
      </c>
      <c r="C250" t="str">
        <f>ESTADISTICA!C248</f>
        <v>503 Y 556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hidden="1" x14ac:dyDescent="0.25">
      <c r="A251" t="str">
        <f>ESTADISTICA!A249</f>
        <v>SAN JORGE</v>
      </c>
      <c r="B251" t="str">
        <f>ESTADISTICA!B249</f>
        <v>SJO08 (fija 2)</v>
      </c>
      <c r="C251" t="str">
        <f>ESTADISTICA!C249</f>
        <v>503 Y 556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25">
      <c r="A252" t="str">
        <f>ESTADISTICA!A250</f>
        <v>SANTO TOMAS</v>
      </c>
      <c r="B252" t="str">
        <f>ESTADISTICA!B250</f>
        <v>SJU01</v>
      </c>
      <c r="C252" t="str">
        <f>ESTADISTICA!C250</f>
        <v>Ruta 36 y Pte.Peron</v>
      </c>
      <c r="D252" t="str">
        <f>ESTADISTICA!D250</f>
        <v>Domo</v>
      </c>
      <c r="E252" t="str">
        <f>ESTADISTICA!E250</f>
        <v>Radio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25">
      <c r="A253">
        <f>ESTADISTICA!A251</f>
        <v>0</v>
      </c>
      <c r="B253" t="str">
        <f>ESTADISTICA!B251</f>
        <v>SMA 03</v>
      </c>
      <c r="C253" t="str">
        <f>ESTADISTICA!C251</f>
        <v>ROSARIO Y SAN NICOLAS</v>
      </c>
      <c r="D253" t="str">
        <f>ESTADISTICA!D251</f>
        <v>Domo</v>
      </c>
      <c r="E253" t="str">
        <f>ESTADISTICA!E251</f>
        <v>Radio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25">
      <c r="A254" t="str">
        <f>ESTADISTICA!A252</f>
        <v>VILLA GENERAL SAN MARTIN</v>
      </c>
      <c r="B254" t="str">
        <f>ESTADISTICA!B252</f>
        <v>SMA 04</v>
      </c>
      <c r="C254" t="str">
        <f>ESTADISTICA!C252</f>
        <v>HUDSON Y MONTEVIDEO</v>
      </c>
      <c r="D254" t="str">
        <f>ESTADISTICA!D252</f>
        <v>FIJA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25">
      <c r="A255" t="str">
        <f>ESTADISTICA!A253</f>
        <v>VILLA GENERAL SAN MARTIN</v>
      </c>
      <c r="B255" t="str">
        <f>ESTADISTICA!B253</f>
        <v>SMA 06</v>
      </c>
      <c r="C255" t="str">
        <f>ESTADISTICA!C253</f>
        <v>AV. HUDSON Y RIO IGUAZU</v>
      </c>
      <c r="D255" t="str">
        <f>ESTADISTICA!D253</f>
        <v>DOMO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25">
      <c r="A256" t="str">
        <f>ESTADISTICA!A254</f>
        <v>VILLA GENERAL SAN MARTIN</v>
      </c>
      <c r="B256" t="str">
        <f>ESTADISTICA!B254</f>
        <v>SMA 07</v>
      </c>
      <c r="C256" t="str">
        <f>ESTADISTICA!C254</f>
        <v>AV. HUDSON Y RIO TURBIO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25">
      <c r="A257" t="str">
        <f>ESTADISTICA!A255</f>
        <v>VILLA GENERAL SAN MARTIN</v>
      </c>
      <c r="B257" t="str">
        <f>ESTADISTICA!B255</f>
        <v>SMA01</v>
      </c>
      <c r="C257" t="str">
        <f>ESTADISTICA!C255</f>
        <v>Hudson y Montevideo</v>
      </c>
      <c r="D257" t="str">
        <f>ESTADISTICA!D255</f>
        <v>DOMO</v>
      </c>
      <c r="E257" t="str">
        <f>ESTADISTICA!E255</f>
        <v>Radio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25">
      <c r="A258" t="str">
        <f>ESTADISTICA!A256</f>
        <v>VILLA GENERAL SAN MARTIN</v>
      </c>
      <c r="B258" t="str">
        <f>ESTADISTICA!B256</f>
        <v>SMA02</v>
      </c>
      <c r="C258" t="str">
        <f>ESTADISTICA!C256</f>
        <v>Hudson y San Nicolas</v>
      </c>
      <c r="D258" t="str">
        <f>ESTADISTICA!D256</f>
        <v>Domo</v>
      </c>
      <c r="E258" t="str">
        <f>ESTADISTICA!E256</f>
        <v>Radio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 t="str">
        <f>ESTADISTICA!K256</f>
        <v>APAGADO</v>
      </c>
      <c r="L258" t="str">
        <f>ESTADISTICA!L256</f>
        <v>APAGADO</v>
      </c>
      <c r="M258" t="str">
        <f>ESTADISTICA!M256</f>
        <v>APAGADO</v>
      </c>
      <c r="N258" t="str">
        <f>ESTADISTICA!N256</f>
        <v>APAGADO</v>
      </c>
      <c r="O258" t="str">
        <f>ESTADISTICA!O256</f>
        <v>APAGADO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25">
      <c r="A259" t="str">
        <f>ESTADISTICA!A257</f>
        <v>VILLA GENERAL SAN MARTIN</v>
      </c>
      <c r="B259" t="str">
        <f>ESTADISTICA!B257</f>
        <v>SMA05</v>
      </c>
      <c r="C259" t="str">
        <f>ESTADISTICA!C257</f>
        <v>MONTEVIDEO Y VILLEGAS</v>
      </c>
      <c r="D259" t="str">
        <f>ESTADISTICA!D257</f>
        <v>DOMO</v>
      </c>
      <c r="E259" t="str">
        <f>ESTADISTICA!E257</f>
        <v>PTP A FO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25">
      <c r="A260" t="str">
        <f>ESTADISTICA!A258</f>
        <v>SAN NICOLAS</v>
      </c>
      <c r="B260" t="str">
        <f>ESTADISTICA!B258</f>
        <v>SNI01 (fija 1)</v>
      </c>
      <c r="C260" t="str">
        <f>ESTADISTICA!C258</f>
        <v>SARRATEA E/ EEUU DE A. Y AGRELO</v>
      </c>
      <c r="D260" t="str">
        <f>ESTADISTICA!D258</f>
        <v>Fija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 t="str">
        <f>ESTADISTICA!N258</f>
        <v>APAGADO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25">
      <c r="A261" t="str">
        <f>ESTADISTICA!A259</f>
        <v>SAN NICOLAS</v>
      </c>
      <c r="B261" t="str">
        <f>ESTADISTICA!B259</f>
        <v>SNI02 (fija 2)</v>
      </c>
      <c r="C261" t="str">
        <f>ESTADISTICA!C259</f>
        <v>SARRATEA E/ EEUU DE A. Y AGRELO</v>
      </c>
      <c r="D261" t="str">
        <f>ESTADISTICA!D259</f>
        <v>Fija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 t="str">
        <f>ESTADISTICA!N259</f>
        <v>APAGADO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25">
      <c r="A262" t="str">
        <f>ESTADISTICA!A260</f>
        <v>SAN NICOLAS</v>
      </c>
      <c r="B262" t="str">
        <f>ESTADISTICA!B260</f>
        <v>SNI03 (fija 1)</v>
      </c>
      <c r="C262" t="str">
        <f>ESTADISTICA!C260</f>
        <v>SARRATEA Y LOS TREBOLES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 t="str">
        <f>ESTADISTICA!L260</f>
        <v>APAGADO</v>
      </c>
      <c r="M262" t="str">
        <f>ESTADISTICA!M260</f>
        <v>APAGADO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25">
      <c r="A263" t="str">
        <f>ESTADISTICA!A261</f>
        <v>SAN NICOLAS</v>
      </c>
      <c r="B263" t="str">
        <f>ESTADISTICA!B261</f>
        <v>SNI04 (fija 2)</v>
      </c>
      <c r="C263" t="str">
        <f>ESTADISTICA!C261</f>
        <v>SARRATEA Y LOS TREBOLES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 t="str">
        <f>ESTADISTICA!M261</f>
        <v>APAGADO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25">
      <c r="A264" t="str">
        <f>ESTADISTICA!A262</f>
        <v>SANTA ROSA</v>
      </c>
      <c r="B264" t="str">
        <f>ESTADISTICA!B262</f>
        <v>SRO 05</v>
      </c>
      <c r="C264" t="str">
        <f>ESTADISTICA!C262</f>
        <v>CAFFERATA Y BONN</v>
      </c>
      <c r="D264" t="str">
        <f>ESTADISTICA!D262</f>
        <v>DOMO</v>
      </c>
      <c r="E264" t="str">
        <f>ESTADISTICA!E262</f>
        <v>Radio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25">
      <c r="A265" t="str">
        <f>ESTADISTICA!A263</f>
        <v>SANTA ROSA</v>
      </c>
      <c r="B265" t="str">
        <f>ESTADISTICA!B263</f>
        <v>SRO 06</v>
      </c>
      <c r="C265" t="str">
        <f>ESTADISTICA!C263</f>
        <v>Novak y Bonn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25">
      <c r="A266" t="str">
        <f>ESTADISTICA!A264</f>
        <v>SANTA ROSA</v>
      </c>
      <c r="B266" t="str">
        <f>ESTADISTICA!B264</f>
        <v>SRO 07</v>
      </c>
      <c r="C266" t="str">
        <f>ESTADISTICA!C264</f>
        <v>NOVAK Y BELGICA</v>
      </c>
      <c r="D266" t="str">
        <f>ESTADISTICA!D264</f>
        <v>Domo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25">
      <c r="A267" t="str">
        <f>ESTADISTICA!A265</f>
        <v>SANTA ROSA</v>
      </c>
      <c r="B267" t="str">
        <f>ESTADISTICA!B265</f>
        <v>SRO 08</v>
      </c>
      <c r="C267" t="str">
        <f>ESTADISTICA!C265</f>
        <v>NOVAK E/ DESSY Y BELGICA (POLIDEPORTIVO LA PATRIADA)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25">
      <c r="A268" t="str">
        <f>ESTADISTICA!A266</f>
        <v>SANTA ROSA</v>
      </c>
      <c r="B268" t="str">
        <f>ESTADISTICA!B266</f>
        <v>SRO 09</v>
      </c>
      <c r="C268" t="str">
        <f>ESTADISTICA!C266</f>
        <v>BUCAREST E/ ALEMANIA Y CAFFERATA</v>
      </c>
      <c r="D268" t="str">
        <f>ESTADISTICA!D266</f>
        <v>DOMO</v>
      </c>
      <c r="E268" t="str">
        <f>ESTADISTICA!E266</f>
        <v>Radio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25">
      <c r="A269" t="str">
        <f>ESTADISTICA!A267</f>
        <v>SANTA ROSA</v>
      </c>
      <c r="B269" t="str">
        <f>ESTADISTICA!B267</f>
        <v>SRO 10</v>
      </c>
      <c r="C269" t="str">
        <f>ESTADISTICA!C267</f>
        <v>DINAMARCA Y MILAN</v>
      </c>
      <c r="D269" t="str">
        <f>ESTADISTICA!D267</f>
        <v>DOMO</v>
      </c>
      <c r="E269" t="str">
        <f>ESTADISTICA!E267</f>
        <v>Radio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25">
      <c r="A270" t="str">
        <f>ESTADISTICA!A268</f>
        <v>SANTA ROSA</v>
      </c>
      <c r="B270" t="str">
        <f>ESTADISTICA!B268</f>
        <v>SRO 16 (fija 1)</v>
      </c>
      <c r="C270" t="str">
        <f>ESTADISTICA!C268</f>
        <v>ANDORRA E/ BELGICA Y SAN MARINO</v>
      </c>
      <c r="D270" t="str">
        <f>ESTADISTICA!D268</f>
        <v>Fija</v>
      </c>
      <c r="E270" t="str">
        <f>ESTADISTICA!E268</f>
        <v>Fibra Optica</v>
      </c>
      <c r="F270" t="str">
        <f>ESTADISTICA!F268</f>
        <v>APAGADO</v>
      </c>
      <c r="G270" t="str">
        <f>ESTADISTICA!G268</f>
        <v>APAGADO</v>
      </c>
      <c r="H270" t="str">
        <f>ESTADISTICA!H268</f>
        <v>APAGADO</v>
      </c>
      <c r="I270" t="str">
        <f>ESTADISTICA!I268</f>
        <v>APAGADO</v>
      </c>
      <c r="J270" t="str">
        <f>ESTADISTICA!J268</f>
        <v>APAGADO</v>
      </c>
      <c r="K270" t="str">
        <f>ESTADISTICA!K268</f>
        <v>APAGADO</v>
      </c>
      <c r="L270">
        <f>ESTADISTICA!L268</f>
        <v>0</v>
      </c>
      <c r="M270" t="str">
        <f>ESTADISTICA!M268</f>
        <v>APAGADO</v>
      </c>
      <c r="N270" t="str">
        <f>ESTADISTICA!N268</f>
        <v>APAGADO</v>
      </c>
      <c r="O270" t="str">
        <f>ESTADISTICA!O268</f>
        <v>APAGADO</v>
      </c>
      <c r="P270" t="str">
        <f>ESTADISTICA!P268</f>
        <v>APAGADO</v>
      </c>
      <c r="Q270" t="str">
        <f>ESTADISTICA!Q268</f>
        <v>APAGADO</v>
      </c>
      <c r="R270" t="str">
        <f>ESTADISTICA!R268</f>
        <v>APAGADO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25">
      <c r="A271" t="str">
        <f>ESTADISTICA!A269</f>
        <v>SANTA ROSA</v>
      </c>
      <c r="B271" t="str">
        <f>ESTADISTICA!B269</f>
        <v>SRO 17 (fija 2)</v>
      </c>
      <c r="C271" t="str">
        <f>ESTADISTICA!C269</f>
        <v>ANDORRA E/ BELGICA Y SAN MARINO</v>
      </c>
      <c r="D271" t="str">
        <f>ESTADISTICA!D269</f>
        <v>Fija</v>
      </c>
      <c r="E271" t="str">
        <f>ESTADISTICA!E269</f>
        <v>Fibra Optica</v>
      </c>
      <c r="F271" t="str">
        <f>ESTADISTICA!F269</f>
        <v>APAGADO</v>
      </c>
      <c r="G271" t="str">
        <f>ESTADISTICA!G269</f>
        <v>APAGADO</v>
      </c>
      <c r="H271" t="str">
        <f>ESTADISTICA!H269</f>
        <v>APAGADO</v>
      </c>
      <c r="I271" t="str">
        <f>ESTADISTICA!I269</f>
        <v>APAGADO</v>
      </c>
      <c r="J271" t="str">
        <f>ESTADISTICA!J269</f>
        <v>APAGADO</v>
      </c>
      <c r="K271" t="str">
        <f>ESTADISTICA!K269</f>
        <v>APAGADO</v>
      </c>
      <c r="L271">
        <f>ESTADISTICA!L269</f>
        <v>0</v>
      </c>
      <c r="M271" t="str">
        <f>ESTADISTICA!M269</f>
        <v>APAGADO</v>
      </c>
      <c r="N271" t="str">
        <f>ESTADISTICA!N269</f>
        <v>APAGADO</v>
      </c>
      <c r="O271" t="str">
        <f>ESTADISTICA!O269</f>
        <v>APAGADO</v>
      </c>
      <c r="P271" t="str">
        <f>ESTADISTICA!P269</f>
        <v>APAGADO</v>
      </c>
      <c r="Q271">
        <f>ESTADISTICA!Q269</f>
        <v>0</v>
      </c>
      <c r="R271" t="str">
        <f>ESTADISTICA!R269</f>
        <v>APAGADO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25">
      <c r="A272" t="str">
        <f>ESTADISTICA!A270</f>
        <v>SANTA ROSA</v>
      </c>
      <c r="B272" t="str">
        <f>ESTADISTICA!B270</f>
        <v>SRO01</v>
      </c>
      <c r="C272" t="str">
        <f>ESTADISTICA!C270</f>
        <v>Yugoslavia y Milani</v>
      </c>
      <c r="D272" t="str">
        <f>ESTADISTICA!D270</f>
        <v>Domo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25">
      <c r="A273" t="str">
        <f>ESTADISTICA!A271</f>
        <v>ZONA RURAL SANTA ROSA</v>
      </c>
      <c r="B273" t="str">
        <f>ESTADISTICA!B271</f>
        <v>SRO02</v>
      </c>
      <c r="C273" t="str">
        <f>ESTADISTICA!C271</f>
        <v>Bruselas y Calle 448</v>
      </c>
      <c r="D273" t="str">
        <f>ESTADISTICA!D271</f>
        <v>Domo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25">
      <c r="A274" t="str">
        <f>ESTADISTICA!A272</f>
        <v>SANTA ROSA</v>
      </c>
      <c r="B274" t="str">
        <f>ESTADISTICA!B272</f>
        <v>SRO03</v>
      </c>
      <c r="C274" t="str">
        <f>ESTADISTICA!C272</f>
        <v>Eva Peron y Paysandu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25">
      <c r="A275" t="str">
        <f>ESTADISTICA!A273</f>
        <v>SANTA ROSA</v>
      </c>
      <c r="B275" t="str">
        <f>ESTADISTICA!B273</f>
        <v>SRO04</v>
      </c>
      <c r="C275" t="str">
        <f>ESTADISTICA!C273</f>
        <v>Belgica y Andorra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 t="str">
        <f>ESTADISTICA!G273</f>
        <v>APAGADO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25">
      <c r="A276" t="str">
        <f>ESTADISTICA!A274</f>
        <v>SANTA ROSA</v>
      </c>
      <c r="B276" t="str">
        <f>ESTADISTICA!B274</f>
        <v>SRO11</v>
      </c>
      <c r="C276" t="str">
        <f>ESTADISTICA!C274</f>
        <v>MILAN Y MALLORCA</v>
      </c>
      <c r="D276" t="str">
        <f>ESTADISTICA!D274</f>
        <v>DOMO</v>
      </c>
      <c r="E276" t="str">
        <f>ESTADISTICA!E274</f>
        <v>Radio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25">
      <c r="A277" t="str">
        <f>ESTADISTICA!A275</f>
        <v>SANTA ROSA</v>
      </c>
      <c r="B277" t="str">
        <f>ESTADISTICA!B275</f>
        <v>SRO12</v>
      </c>
      <c r="C277" t="str">
        <f>ESTADISTICA!C275</f>
        <v>YUGOSLAVIA Y PAYSANDU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hidden="1" x14ac:dyDescent="0.25">
      <c r="A278" t="str">
        <f>ESTADISTICA!A276</f>
        <v>ZONA RURAL SANTA ROSA</v>
      </c>
      <c r="B278" t="str">
        <f>ESTADISTICA!B276</f>
        <v>SRO13 (fija 1)</v>
      </c>
      <c r="C278" t="str">
        <f>ESTADISTICA!C276</f>
        <v>BRUSELAS E/ GRECIA Y CHECOSLOVAQUIA</v>
      </c>
      <c r="D278" t="str">
        <f>ESTADISTICA!D276</f>
        <v>Fija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 t="str">
        <f>ESTADISTICA!R276</f>
        <v>APAGADO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hidden="1" x14ac:dyDescent="0.25">
      <c r="A279" t="s">
        <v>940</v>
      </c>
      <c r="B279" t="str">
        <f>ESTADISTICA!B277</f>
        <v>SRO14 (fija 2)</v>
      </c>
      <c r="C279" t="str">
        <f>ESTADISTICA!C277</f>
        <v>BRUSELAS E/ GRECIA Y CHECOSLOVAQUIA</v>
      </c>
      <c r="D279" t="str">
        <f>ESTADISTICA!D277</f>
        <v>Fija</v>
      </c>
      <c r="E279" t="str">
        <f>ESTADISTICA!E277</f>
        <v>RADIO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 t="str">
        <f>ESTADISTICA!L277</f>
        <v>APAGADO</v>
      </c>
      <c r="M279" t="str">
        <f>ESTADISTICA!M277</f>
        <v>APAGADO</v>
      </c>
      <c r="N279" t="str">
        <f>ESTADISTICA!N277</f>
        <v>APAGADO</v>
      </c>
      <c r="O279" t="str">
        <f>ESTADISTICA!O277</f>
        <v>APAGADO</v>
      </c>
      <c r="P279" t="str">
        <f>ESTADISTICA!P277</f>
        <v>APAGADO</v>
      </c>
      <c r="Q279" t="str">
        <f>ESTADISTICA!Q277</f>
        <v>APAGADO</v>
      </c>
      <c r="R279" t="str">
        <f>ESTADISTICA!R277</f>
        <v>APAGADO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hidden="1" x14ac:dyDescent="0.25">
      <c r="A280" t="str">
        <f>ESTADISTICA!A278</f>
        <v>SANTA ROSA</v>
      </c>
      <c r="B280" t="str">
        <f>ESTADISTICA!B278</f>
        <v>SRO15</v>
      </c>
      <c r="C280" t="str">
        <f>ESTADISTICA!C278</f>
        <v>NOVAK Y TIRANA (614)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hidden="1" x14ac:dyDescent="0.25">
      <c r="A281" t="str">
        <f>ESTADISTICA!A279</f>
        <v>SANTA ROSA</v>
      </c>
      <c r="B281" t="str">
        <f>ESTADISTICA!B279</f>
        <v>SRO18 (fija 1)</v>
      </c>
      <c r="C281" t="str">
        <f>ESTADISTICA!C279</f>
        <v>GRAN CANARIA Y BUDAPEST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hidden="1" x14ac:dyDescent="0.25">
      <c r="A282" t="str">
        <f>ESTADISTICA!A280</f>
        <v>SANTA ROSA</v>
      </c>
      <c r="B282" t="str">
        <f>ESTADISTICA!B280</f>
        <v>SRO19 (fija 2)</v>
      </c>
      <c r="C282" t="str">
        <f>ESTADISTICA!C280</f>
        <v>GRAN CANARIA Y BUDAPEST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25">
      <c r="A283" t="str">
        <f>ESTADISTICA!A281</f>
        <v>SAN RUDECINDO</v>
      </c>
      <c r="B283" t="str">
        <f>ESTADISTICA!B281</f>
        <v>SRU01 (fija 1)</v>
      </c>
      <c r="C283" t="str">
        <f>ESTADISTICA!C281</f>
        <v>HERNANDARIAS Y AMBATO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hidden="1" x14ac:dyDescent="0.25">
      <c r="A284" t="str">
        <f>ESTADISTICA!A282</f>
        <v>SAN RUDECINDO</v>
      </c>
      <c r="B284" t="str">
        <f>ESTADISTICA!B282</f>
        <v>SRU02 (fija 2)</v>
      </c>
      <c r="C284" t="str">
        <f>ESTADISTICA!C282</f>
        <v>HERNANDARIAS Y AMBATO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hidden="1" x14ac:dyDescent="0.25">
      <c r="A285" t="str">
        <f>ESTADISTICA!A283</f>
        <v>VILLA ANGELICA</v>
      </c>
      <c r="B285" t="str">
        <f>ESTADISTICA!B283</f>
        <v>VANG01</v>
      </c>
      <c r="C285" t="str">
        <f>ESTADISTICA!C283</f>
        <v>Senzabello y Necochea</v>
      </c>
      <c r="D285" t="str">
        <f>ESTADISTICA!D283</f>
        <v>Domo</v>
      </c>
      <c r="E285" t="str">
        <f>ESTADISTICA!E283</f>
        <v>PTP A FO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 t="str">
        <f>ESTADISTICA!P283</f>
        <v>APAGADO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25">
      <c r="A286" t="str">
        <f>ESTADISTICA!A284</f>
        <v>VILLA ANGELICA</v>
      </c>
      <c r="B286" t="str">
        <f>ESTADISTICA!B284</f>
        <v>VANG02</v>
      </c>
      <c r="C286" t="str">
        <f>ESTADISTICA!C284</f>
        <v>Thevenet y Ruta 36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25">
      <c r="A287" t="str">
        <f>ESTADISTICA!A285</f>
        <v>VILLA DEL PLATA</v>
      </c>
      <c r="B287" t="str">
        <f>ESTADISTICA!B285</f>
        <v>VANG03</v>
      </c>
      <c r="C287" t="str">
        <f>ESTADISTICA!C285</f>
        <v>Thevenet 1950</v>
      </c>
      <c r="D287" t="str">
        <f>ESTADISTICA!D285</f>
        <v>Domo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25">
      <c r="A288" t="str">
        <f>ESTADISTICA!A286</f>
        <v>VILLA ANGELICA</v>
      </c>
      <c r="B288" t="str">
        <f>ESTADISTICA!B286</f>
        <v>VANG04</v>
      </c>
      <c r="C288" t="str">
        <f>ESTADISTICA!C286</f>
        <v>Storni e/Thevenet y Calle 158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25">
      <c r="A289" t="str">
        <f>ESTADISTICA!A287</f>
        <v>VILLA ANGELICA</v>
      </c>
      <c r="B289" t="str">
        <f>ESTADISTICA!B287</f>
        <v>VANG05</v>
      </c>
      <c r="C289" t="str">
        <f>ESTADISTICA!C287</f>
        <v>Storni y Thevenet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25">
      <c r="A290" t="str">
        <f>ESTADISTICA!A288</f>
        <v>VILLA ANGELICA</v>
      </c>
      <c r="B290" t="str">
        <f>ESTADISTICA!B288</f>
        <v>VANG06</v>
      </c>
      <c r="C290" t="str">
        <f>ESTADISTICA!C288</f>
        <v>Arenales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hidden="1" x14ac:dyDescent="0.25">
      <c r="A291" t="str">
        <f>ESTADISTICA!A289</f>
        <v>VILLA ANGELICA</v>
      </c>
      <c r="B291" t="str">
        <f>ESTADISTICA!B289</f>
        <v>VANG07</v>
      </c>
      <c r="C291" t="str">
        <f>ESTADISTICA!C289</f>
        <v>Arenales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hidden="1" x14ac:dyDescent="0.25">
      <c r="A292" t="str">
        <f>ESTADISTICA!A290</f>
        <v>VILLA ANGELICA</v>
      </c>
      <c r="B292" t="str">
        <f>ESTADISTICA!B290</f>
        <v>VANG08</v>
      </c>
      <c r="C292" t="str">
        <f>ESTADISTICA!C290</f>
        <v>Calle 158 al 2200</v>
      </c>
      <c r="D292" t="str">
        <f>ESTADISTICA!D290</f>
        <v>Domo</v>
      </c>
      <c r="E292" t="str">
        <f>ESTADISTICA!E290</f>
        <v>PTP A FO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hidden="1" x14ac:dyDescent="0.25">
      <c r="A293" t="str">
        <f>ESTADISTICA!A291</f>
        <v>PRESIDENTE SARMIENTO</v>
      </c>
      <c r="B293" t="str">
        <f>ESTADISTICA!B291</f>
        <v>VANG09</v>
      </c>
      <c r="C293" t="str">
        <f>ESTADISTICA!C291</f>
        <v>Ruta 36 y Senzabello</v>
      </c>
      <c r="D293" t="str">
        <f>ESTADISTICA!D291</f>
        <v>Domo</v>
      </c>
      <c r="E293" t="str">
        <f>ESTADISTICA!E291</f>
        <v>PTP A FO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 t="str">
        <f>ESTADISTICA!P291</f>
        <v>APAGADO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hidden="1" x14ac:dyDescent="0.25">
      <c r="A294" t="str">
        <f>ESTADISTICA!A292</f>
        <v>VILLA ARGENTINA</v>
      </c>
      <c r="B294" t="str">
        <f>ESTADISTICA!B292</f>
        <v>VAR 01</v>
      </c>
      <c r="C294" t="str">
        <f>ESTADISTICA!C292</f>
        <v>Calle 519 y 546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 t="str">
        <f>ESTADISTICA!K292</f>
        <v>APAGADO</v>
      </c>
      <c r="L294">
        <f>ESTADISTICA!L292</f>
        <v>0</v>
      </c>
      <c r="M294" t="str">
        <f>ESTADISTICA!M292</f>
        <v>APAGADO</v>
      </c>
      <c r="N294" t="str">
        <f>ESTADISTICA!N292</f>
        <v>APAGADO</v>
      </c>
      <c r="O294" t="str">
        <f>ESTADISTICA!O292</f>
        <v>APAGADO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hidden="1" x14ac:dyDescent="0.25">
      <c r="A295" t="str">
        <f>ESTADISTICA!A293</f>
        <v>VILLA ARGENTINA</v>
      </c>
      <c r="B295" t="str">
        <f>ESTADISTICA!B293</f>
        <v>VAR 02</v>
      </c>
      <c r="C295" t="str">
        <f>ESTADISTICA!C293</f>
        <v>DIAGONAL LOS TILOS Y 542</v>
      </c>
      <c r="D295" t="str">
        <f>ESTADISTICA!D293</f>
        <v>DOMO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25">
      <c r="A296" t="str">
        <f>ESTADISTICA!A294</f>
        <v>VILLA ARGENTINA</v>
      </c>
      <c r="B296" t="str">
        <f>ESTADISTICA!B294</f>
        <v>VAR03 (fija 1)</v>
      </c>
      <c r="C296" t="str">
        <f>ESTADISTICA!C294</f>
        <v>509 y 546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25">
      <c r="A297" t="str">
        <f>ESTADISTICA!A295</f>
        <v>VILLA ARGENTINA</v>
      </c>
      <c r="B297" t="str">
        <f>ESTADISTICA!B295</f>
        <v>VAR04 (fija 2)</v>
      </c>
      <c r="C297" t="str">
        <f>ESTADISTICA!C295</f>
        <v>509 y 546</v>
      </c>
      <c r="D297" t="str">
        <f>ESTADISTICA!D295</f>
        <v>Fija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25">
      <c r="A298" t="str">
        <f>ESTADISTICA!A296</f>
        <v>VILLA ARGENTINA</v>
      </c>
      <c r="B298" t="str">
        <f>ESTADISTICA!B296</f>
        <v>VAR05 (fija 1)</v>
      </c>
      <c r="C298" t="str">
        <f>ESTADISTICA!C296</f>
        <v>511 E/ 544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25">
      <c r="A299" t="str">
        <f>ESTADISTICA!A297</f>
        <v>VILLA ARGENTINA</v>
      </c>
      <c r="B299" t="str">
        <f>ESTADISTICA!B297</f>
        <v>VAR06 (fija 2)</v>
      </c>
      <c r="C299" t="str">
        <f>ESTADISTICA!C297</f>
        <v>511 E/ 544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25">
      <c r="A300" t="str">
        <f>ESTADISTICA!A298</f>
        <v>VILLA ARGENTINA</v>
      </c>
      <c r="B300" t="str">
        <f>ESTADISTICA!B298</f>
        <v>VAR07</v>
      </c>
      <c r="C300" t="str">
        <f>ESTADISTICA!C298</f>
        <v>DIAG. LOS TILOS Y 517</v>
      </c>
      <c r="D300" t="str">
        <f>ESTADISTICA!D298</f>
        <v>DOMO</v>
      </c>
      <c r="E300" t="str">
        <f>ESTADISTICA!E298</f>
        <v>Fibra Optica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25">
      <c r="A301" t="str">
        <f>ESTADISTICA!A299</f>
        <v>VILLA ARGENTINA</v>
      </c>
      <c r="B301" t="str">
        <f>ESTADISTICA!B299</f>
        <v>VAR08 (fija 1)</v>
      </c>
      <c r="C301" t="str">
        <f>ESTADISTICA!C299</f>
        <v>534 Y 523</v>
      </c>
      <c r="D301" t="str">
        <f>ESTADISTICA!D299</f>
        <v>Fija</v>
      </c>
      <c r="E301" t="str">
        <f>ESTADISTICA!E299</f>
        <v>Fibra Optica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hidden="1" x14ac:dyDescent="0.25">
      <c r="A302" t="str">
        <f>ESTADISTICA!A300</f>
        <v>VILLA ARGENTINA</v>
      </c>
      <c r="B302" t="str">
        <f>ESTADISTICA!B300</f>
        <v>VAR09 (fija 2)</v>
      </c>
      <c r="C302" t="str">
        <f>ESTADISTICA!C300</f>
        <v>534 Y 523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hidden="1" x14ac:dyDescent="0.25">
      <c r="A303" t="str">
        <f>ESTADISTICA!A301</f>
        <v>VILLA ARGENTINA</v>
      </c>
      <c r="B303" t="str">
        <f>ESTADISTICA!B301</f>
        <v>VAR10 (fija 1)</v>
      </c>
      <c r="C303" t="str">
        <f>ESTADISTICA!C301</f>
        <v>532 A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hidden="1" x14ac:dyDescent="0.25">
      <c r="A304" t="str">
        <f>ESTADISTICA!A302</f>
        <v>VILLA ARGENTINA</v>
      </c>
      <c r="B304" t="str">
        <f>ESTADISTICA!B302</f>
        <v>VAR11 (fija 2)</v>
      </c>
      <c r="C304" t="str">
        <f>ESTADISTICA!C302</f>
        <v>532 A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25">
      <c r="A305">
        <f>ESTADISTICA!A303</f>
        <v>0</v>
      </c>
      <c r="B305" t="str">
        <f>ESTADISTICA!B303</f>
        <v>VAT 12</v>
      </c>
      <c r="C305" t="str">
        <f>ESTADISTICA!C303</f>
        <v>12 DE OCTUBRE Y CHACO</v>
      </c>
      <c r="D305" t="str">
        <f>ESTADISTICA!D303</f>
        <v>DOMO</v>
      </c>
      <c r="E305" t="str">
        <f>ESTADISTICA!E303</f>
        <v>PTP A FO</v>
      </c>
      <c r="F305" t="str">
        <f>ESTADISTICA!F303</f>
        <v>APAGADO</v>
      </c>
      <c r="G305" t="str">
        <f>ESTADISTICA!G303</f>
        <v>APAGADO</v>
      </c>
      <c r="H305">
        <f>ESTADISTICA!H303</f>
        <v>0</v>
      </c>
      <c r="I305">
        <f>ESTADISTICA!I303</f>
        <v>0</v>
      </c>
      <c r="J305" t="str">
        <f>ESTADISTICA!J303</f>
        <v>APAGADO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 t="str">
        <f>ESTADISTICA!R303</f>
        <v>APAGADO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25">
      <c r="A306" t="str">
        <f>ESTADISTICA!A304</f>
        <v>VILLA VATTEONE CENTRO</v>
      </c>
      <c r="B306" t="str">
        <f>ESTADISTICA!B304</f>
        <v>VAT 13</v>
      </c>
      <c r="C306" t="str">
        <f>ESTADISTICA!C304</f>
        <v>Av.12 de Octubre y Belgrano</v>
      </c>
      <c r="D306" t="str">
        <f>ESTADISTICA!D304</f>
        <v>Domo</v>
      </c>
      <c r="E306" t="str">
        <f>ESTADISTICA!E304</f>
        <v>PTP A FO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25">
      <c r="A307">
        <f>ESTADISTICA!A305</f>
        <v>0</v>
      </c>
      <c r="B307" t="str">
        <f>ESTADISTICA!B305</f>
        <v>VAT 15</v>
      </c>
      <c r="C307" t="str">
        <f>ESTADISTICA!C305</f>
        <v>CORRIENTES Y VICENTE LOPEZ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25">
      <c r="A308" t="str">
        <f>ESTADISTICA!A306</f>
        <v>VILLA VATTEONE</v>
      </c>
      <c r="B308" t="str">
        <f>ESTADISTICA!B306</f>
        <v>VAT 16</v>
      </c>
      <c r="C308" t="str">
        <f>ESTADISTICA!C306</f>
        <v>MONTEVIDEO Y CHACO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25">
      <c r="A309" t="str">
        <f>ESTADISTICA!A307</f>
        <v>VILLA VATTEONE</v>
      </c>
      <c r="B309" t="str">
        <f>ESTADISTICA!B307</f>
        <v>VAT 17</v>
      </c>
      <c r="C309" t="str">
        <f>ESTADISTICA!C307</f>
        <v>CHAÑAR Y URUGUAY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25">
      <c r="A310" t="str">
        <f>ESTADISTICA!A308</f>
        <v>VILLA VATTEONE CENTRO</v>
      </c>
      <c r="B310" t="str">
        <f>ESTADISTICA!B308</f>
        <v>VAT 18</v>
      </c>
      <c r="C310" t="str">
        <f>ESTADISTICA!C308</f>
        <v>LAVALLE Y FONROUGE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 t="str">
        <f>ESTADISTICA!R308</f>
        <v>APAGADO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25">
      <c r="A311" t="str">
        <f>ESTADISTICA!A309</f>
        <v>VILLA VATTEONE CENTRO</v>
      </c>
      <c r="B311" t="str">
        <f>ESTADISTICA!B309</f>
        <v>VAT 19</v>
      </c>
      <c r="C311" t="str">
        <f>ESTADISTICA!C309</f>
        <v>QUINTANA Y FONROUGE ( TUCUMAN )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25">
      <c r="A312" t="str">
        <f>ESTADISTICA!A310</f>
        <v>VILLA VATTEONE</v>
      </c>
      <c r="B312" t="str">
        <f>ESTADISTICA!B310</f>
        <v>VAT 20</v>
      </c>
      <c r="C312" t="str">
        <f>ESTADISTICA!C310</f>
        <v>URUGUAY Y PILCOMAYO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25">
      <c r="A313" t="str">
        <f>ESTADISTICA!A311</f>
        <v>VILLA VATTEONE</v>
      </c>
      <c r="B313" t="str">
        <f>ESTADISTICA!B311</f>
        <v>VAT01</v>
      </c>
      <c r="C313" t="str">
        <f>ESTADISTICA!C311</f>
        <v>Montevideo y El Chañar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25">
      <c r="A314" t="str">
        <f>ESTADISTICA!A312</f>
        <v>VILLA VATTEONE CENTRO</v>
      </c>
      <c r="B314" t="str">
        <f>ESTADISTICA!B312</f>
        <v>VAT02</v>
      </c>
      <c r="C314" t="str">
        <f>ESTADISTICA!C312</f>
        <v>Eva Peron y 12 de Octubre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25">
      <c r="A315" t="str">
        <f>ESTADISTICA!A313</f>
        <v>VILLA VATTEONE CENTRO</v>
      </c>
      <c r="B315" t="str">
        <f>ESTADISTICA!B313</f>
        <v>VAT03</v>
      </c>
      <c r="C315" t="str">
        <f>ESTADISTICA!C313</f>
        <v>Lavalle y Belgrano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25">
      <c r="A316" t="str">
        <f>ESTADISTICA!A314</f>
        <v>VILLA VATTEONE CENTRO</v>
      </c>
      <c r="B316" t="str">
        <f>ESTADISTICA!B314</f>
        <v>VAT04</v>
      </c>
      <c r="C316" t="str">
        <f>ESTADISTICA!C314</f>
        <v>Lavalle y Entre Rios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25">
      <c r="A317" t="str">
        <f>ESTADISTICA!A315</f>
        <v>VILLA VATTEONE CENTRO</v>
      </c>
      <c r="B317" t="str">
        <f>ESTADISTICA!B315</f>
        <v>VAT05</v>
      </c>
      <c r="C317" t="str">
        <f>ESTADISTICA!C315</f>
        <v>Lavalle y Colombia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hidden="1" x14ac:dyDescent="0.25">
      <c r="A318" t="str">
        <f>ESTADISTICA!A316</f>
        <v>VILLA VATTEONE CENTRO</v>
      </c>
      <c r="B318" t="str">
        <f>ESTADISTICA!B316</f>
        <v>VAT06</v>
      </c>
      <c r="C318" t="str">
        <f>ESTADISTICA!C316</f>
        <v>Eva Peron y Pueyrredon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 t="str">
        <f>ESTADISTICA!K316</f>
        <v>APAGADO</v>
      </c>
      <c r="L318" t="str">
        <f>ESTADISTICA!L316</f>
        <v>APAGADO</v>
      </c>
      <c r="M318" t="str">
        <f>ESTADISTICA!M316</f>
        <v>APAGADO</v>
      </c>
      <c r="N318" t="str">
        <f>ESTADISTICA!N316</f>
        <v>APAGADO</v>
      </c>
      <c r="O318" t="str">
        <f>ESTADISTICA!O316</f>
        <v>APAGADO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x14ac:dyDescent="0.25">
      <c r="A319" t="str">
        <f>ESTADISTICA!A317</f>
        <v>VILLA VATTEONE CENTRO</v>
      </c>
      <c r="B319" t="str">
        <f>ESTADISTICA!B317</f>
        <v>VAT07</v>
      </c>
      <c r="C319" t="str">
        <f>ESTADISTICA!C317</f>
        <v>Eva Peron y Lavalle</v>
      </c>
      <c r="D319" t="str">
        <f>ESTADISTICA!D317</f>
        <v>DOMO</v>
      </c>
      <c r="E319" t="str">
        <f>ESTADISTICA!E317</f>
        <v>PTP A FO</v>
      </c>
      <c r="F319" t="str">
        <f>ESTADISTICA!F317</f>
        <v>APAGADO</v>
      </c>
      <c r="G319" t="str">
        <f>ESTADISTICA!G317</f>
        <v>APAGADO</v>
      </c>
      <c r="H319" t="str">
        <f>ESTADISTICA!H317</f>
        <v>APAGADO</v>
      </c>
      <c r="I319" t="str">
        <f>ESTADISTICA!I317</f>
        <v>APAGADO</v>
      </c>
      <c r="J319" t="str">
        <f>ESTADISTICA!J317</f>
        <v>APAGADO</v>
      </c>
      <c r="K319" t="str">
        <f>ESTADISTICA!K317</f>
        <v>APAGADO</v>
      </c>
      <c r="L319" t="str">
        <f>ESTADISTICA!L317</f>
        <v>APAGADO</v>
      </c>
      <c r="M319" t="str">
        <f>ESTADISTICA!M317</f>
        <v>APAGADO</v>
      </c>
      <c r="N319" t="str">
        <f>ESTADISTICA!N317</f>
        <v>APAGADO</v>
      </c>
      <c r="O319" t="str">
        <f>ESTADISTICA!O317</f>
        <v>APAGADO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25">
      <c r="A320" t="str">
        <f>ESTADISTICA!A318</f>
        <v>VILLA VATTEONE</v>
      </c>
      <c r="B320" t="str">
        <f>ESTADISTICA!B318</f>
        <v>VAT08</v>
      </c>
      <c r="C320" t="str">
        <f>ESTADISTICA!C318</f>
        <v>12 de Octubre y Florida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25">
      <c r="A321" t="str">
        <f>ESTADISTICA!A319</f>
        <v>VILLA VATTEONE</v>
      </c>
      <c r="B321" t="str">
        <f>ESTADISTICA!B319</f>
        <v>VAT09</v>
      </c>
      <c r="C321" t="str">
        <f>ESTADISTICA!C319</f>
        <v>Montevideo y Alsina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25">
      <c r="A322" t="str">
        <f>ESTADISTICA!A320</f>
        <v>VILLA VATTEONE CENTRO</v>
      </c>
      <c r="B322" t="str">
        <f>ESTADISTICA!B320</f>
        <v>VAT10</v>
      </c>
      <c r="C322" t="str">
        <f>ESTADISTICA!C320</f>
        <v>Belgrano y Quintana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25">
      <c r="A323" t="str">
        <f>ESTADISTICA!A321</f>
        <v>VILLA VATTEONE</v>
      </c>
      <c r="B323" t="str">
        <f>ESTADISTICA!B321</f>
        <v>VAT11</v>
      </c>
      <c r="C323" t="str">
        <f>ESTADISTICA!C321</f>
        <v>Mainini y Montevideo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25">
      <c r="A324">
        <f>ESTADISTICA!A322</f>
        <v>0</v>
      </c>
      <c r="B324" t="str">
        <f>ESTADISTICA!B322</f>
        <v>VAT14</v>
      </c>
      <c r="C324" t="str">
        <f>ESTADISTICA!C322</f>
        <v>FLORIDA Y MONTEVIDEO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25">
      <c r="A325" t="str">
        <f>ESTADISTICA!A323</f>
        <v>VILLA VATTEONE CENTRO</v>
      </c>
      <c r="B325" t="str">
        <f>ESTADISTICA!B323</f>
        <v>VAT21 (fija 1)</v>
      </c>
      <c r="C325" t="str">
        <f>ESTADISTICA!C323</f>
        <v>QUINTANA E/ BELGRANO Y FONROUGE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25">
      <c r="A326" t="str">
        <f>ESTADISTICA!A324</f>
        <v>VILLA VATTEONE CENTRO</v>
      </c>
      <c r="B326" t="str">
        <f>ESTADISTICA!B324</f>
        <v>VAT22 (fija 2)</v>
      </c>
      <c r="C326" t="str">
        <f>ESTADISTICA!C324</f>
        <v>QUINTANA E/ BELGRANO Y FONROUGE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25">
      <c r="A327" t="str">
        <f>ESTADISTICA!A325</f>
        <v>VILLA VATTEONE CENTRO</v>
      </c>
      <c r="B327" t="str">
        <f>ESTADISTICA!B325</f>
        <v>VAT23 (fija 1)</v>
      </c>
      <c r="C327" t="str">
        <f>ESTADISTICA!C325</f>
        <v>EVA PERON Y "EL TUNEL" (BAJO NIVEL)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25">
      <c r="A328" t="str">
        <f>ESTADISTICA!A326</f>
        <v>VILLA VATTEONE CENTRO</v>
      </c>
      <c r="B328" t="str">
        <f>ESTADISTICA!B326</f>
        <v>VAT24 (fija 2)</v>
      </c>
      <c r="C328" t="str">
        <f>ESTADISTICA!C326</f>
        <v>EVA PERON Y "EL TUNEL" (BAJO NIVEL)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 t="str">
        <f>ESTADISTICA!K326</f>
        <v>APAGADO</v>
      </c>
      <c r="L328" t="str">
        <f>ESTADISTICA!L326</f>
        <v>APAGADO</v>
      </c>
      <c r="M328" t="str">
        <f>ESTADISTICA!M326</f>
        <v>APAGADO</v>
      </c>
      <c r="N328" t="str">
        <f>ESTADISTICA!N326</f>
        <v>APAGADO</v>
      </c>
      <c r="O328" t="str">
        <f>ESTADISTICA!O326</f>
        <v>APAGADO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25">
      <c r="A329" t="str">
        <f>ESTADISTICA!A327</f>
        <v>VILLA AURORA</v>
      </c>
      <c r="B329" t="str">
        <f>ESTADISTICA!B327</f>
        <v>VAU 07</v>
      </c>
      <c r="C329" t="str">
        <f>ESTADISTICA!C327</f>
        <v>VICTORINO DE LA PLAZA Y MONTEVERDE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25">
      <c r="A330" t="str">
        <f>ESTADISTICA!A328</f>
        <v>VILLA AURORA</v>
      </c>
      <c r="B330" t="str">
        <f>ESTADISTICA!B328</f>
        <v>VAU01</v>
      </c>
      <c r="C330" t="str">
        <f>ESTADISTICA!C328</f>
        <v>San Martin y Monteverde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25">
      <c r="A331" t="str">
        <f>ESTADISTICA!A329</f>
        <v>SAN EMILIO</v>
      </c>
      <c r="B331" t="str">
        <f>ESTADISTICA!B329</f>
        <v>VAU02</v>
      </c>
      <c r="C331" t="str">
        <f>ESTADISTICA!C329</f>
        <v>San Martin y Lope de Vega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25">
      <c r="A332" t="str">
        <f>ESTADISTICA!A330</f>
        <v>VILLA AURORA</v>
      </c>
      <c r="B332" t="str">
        <f>ESTADISTICA!B330</f>
        <v>VAU03 (fija 1)</v>
      </c>
      <c r="C332" t="str">
        <f>ESTADISTICA!C330</f>
        <v>PIZZURNO Y NUESTRAS MALVINAS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25">
      <c r="A333" t="str">
        <f>ESTADISTICA!A331</f>
        <v>VILLA AURORA</v>
      </c>
      <c r="B333" t="str">
        <f>ESTADISTICA!B331</f>
        <v>VAU04 (fija 2)</v>
      </c>
      <c r="C333" t="str">
        <f>ESTADISTICA!C331</f>
        <v>PIZZURNO Y NUESTRAS MALVINAS</v>
      </c>
      <c r="D333" t="str">
        <f>ESTADISTICA!D331</f>
        <v>Fija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25">
      <c r="A334" t="str">
        <f>ESTADISTICA!A332</f>
        <v>VILLA AURORA</v>
      </c>
      <c r="B334" t="str">
        <f>ESTADISTICA!B332</f>
        <v>VAU05 (fija 1)</v>
      </c>
      <c r="C334" t="str">
        <f>ESTADISTICA!C332</f>
        <v>GUIDO SPANO Y VICTORINO DE LA PLAZA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25">
      <c r="A335" t="str">
        <f>ESTADISTICA!A333</f>
        <v>VILLA AURORA</v>
      </c>
      <c r="B335" t="str">
        <f>ESTADISTICA!B333</f>
        <v>VAU06 (fija 2)</v>
      </c>
      <c r="C335" t="str">
        <f>ESTADISTICA!C333</f>
        <v>GUIDO SPANO Y VICTORINO DE LA PLAZA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25">
      <c r="A336" t="str">
        <f>ESTADISTICA!A334</f>
        <v>VILLA AURORA</v>
      </c>
      <c r="B336" t="str">
        <f>ESTADISTICA!B334</f>
        <v>VAU08</v>
      </c>
      <c r="C336" t="str">
        <f>ESTADISTICA!C334</f>
        <v>MONTEVERDE Y WASHINGTON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25">
      <c r="A337" t="str">
        <f>ESTADISTICA!A335</f>
        <v>VILLA DEL PLATA</v>
      </c>
      <c r="B337" t="str">
        <f>ESTADISTICA!B335</f>
        <v>VDPL02</v>
      </c>
      <c r="C337" t="str">
        <f>ESTADISTICA!C335</f>
        <v>Thevenet y Berutti</v>
      </c>
      <c r="D337" t="str">
        <f>ESTADISTICA!D335</f>
        <v>Domo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25">
      <c r="A338" t="str">
        <f>ESTADISTICA!A336</f>
        <v>VILLA DEL PLATA</v>
      </c>
      <c r="B338" t="str">
        <f>ESTADISTICA!B336</f>
        <v>VDPL03</v>
      </c>
      <c r="C338" t="str">
        <f>ESTADISTICA!C336</f>
        <v>Neuquen y Alvarado</v>
      </c>
      <c r="D338" t="str">
        <f>ESTADISTICA!D336</f>
        <v>Domo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25">
      <c r="A339" t="str">
        <f>ESTADISTICA!A337</f>
        <v>VILLA DEL PLATA</v>
      </c>
      <c r="B339" t="str">
        <f>ESTADISTICA!B337</f>
        <v>VDPL04</v>
      </c>
      <c r="C339" t="str">
        <f>ESTADISTICA!C337</f>
        <v>Neuquen y Diagonal Guemes</v>
      </c>
      <c r="D339" t="str">
        <f>ESTADISTICA!D337</f>
        <v>Domo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25">
      <c r="A340" t="str">
        <f>ESTADISTICA!A338</f>
        <v>VILLA DEL PLATA</v>
      </c>
      <c r="B340" t="str">
        <f>ESTADISTICA!B338</f>
        <v>VDPL05</v>
      </c>
      <c r="C340" t="str">
        <f>ESTADISTICA!C338</f>
        <v>Ruta 36 y Abraham</v>
      </c>
      <c r="D340" t="str">
        <f>ESTADISTICA!D338</f>
        <v>Domo</v>
      </c>
      <c r="E340" t="str">
        <f>ESTADISTICA!E338</f>
        <v>PTP A FO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25">
      <c r="A341" t="str">
        <f>ESTADISTICA!A339</f>
        <v>VILLA ANGELICA</v>
      </c>
      <c r="B341" t="str">
        <f>ESTADISTICA!B339</f>
        <v>VDPL06</v>
      </c>
      <c r="C341" t="str">
        <f>ESTADISTICA!C339</f>
        <v>Thevenet e/ Islas Orcadas y Gardel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hidden="1" x14ac:dyDescent="0.25">
      <c r="A342" t="str">
        <f>ESTADISTICA!A340</f>
        <v>VILLA HUDSON</v>
      </c>
      <c r="B342" t="str">
        <f>ESTADISTICA!B340</f>
        <v>VHS 01</v>
      </c>
      <c r="C342" t="str">
        <f>ESTADISTICA!C340</f>
        <v>AV. HUDSON Y AV. LUJAN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25">
      <c r="A343" t="str">
        <f>ESTADISTICA!A341</f>
        <v>VILLA HUDSON</v>
      </c>
      <c r="B343" t="str">
        <f>ESTADISTICA!B341</f>
        <v>VHS 02</v>
      </c>
      <c r="C343" t="str">
        <f>ESTADISTICA!C341</f>
        <v>AV. LUJAN Y CALLE 909 A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25">
      <c r="A344" t="str">
        <f>ESTADISTICA!A342</f>
        <v>VILLA HUDSON</v>
      </c>
      <c r="B344" t="str">
        <f>ESTADISTICA!B342</f>
        <v>VHS03 (fija 1)</v>
      </c>
      <c r="C344" t="str">
        <f>ESTADISTICA!C342</f>
        <v>AV. HUDSON Y LOS INMIGRANTES</v>
      </c>
      <c r="D344" t="str">
        <f>ESTADISTICA!D342</f>
        <v>Fija</v>
      </c>
      <c r="E344" t="str">
        <f>ESTADISTICA!E342</f>
        <v>Fibra Optica</v>
      </c>
      <c r="F344" t="str">
        <f>ESTADISTICA!F342</f>
        <v>APAGADO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 t="str">
        <f>ESTADISTICA!K342</f>
        <v>APAGADO</v>
      </c>
      <c r="L344" t="str">
        <f>ESTADISTICA!L342</f>
        <v>APAGADO</v>
      </c>
      <c r="M344" t="str">
        <f>ESTADISTICA!M342</f>
        <v>APAGADO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25">
      <c r="A345" t="str">
        <f>ESTADISTICA!A343</f>
        <v>VILLA HUDSON</v>
      </c>
      <c r="B345" t="str">
        <f>ESTADISTICA!B343</f>
        <v>VHS04 (fija 2)</v>
      </c>
      <c r="C345" t="str">
        <f>ESTADISTICA!C343</f>
        <v>AV. HUDSON Y LOS INMIGRANTES</v>
      </c>
      <c r="D345" t="str">
        <f>ESTADISTICA!D343</f>
        <v>Fija</v>
      </c>
      <c r="E345" t="str">
        <f>ESTADISTICA!E343</f>
        <v>Fibra Optica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 t="str">
        <f>ESTADISTICA!K343</f>
        <v>APAGADO</v>
      </c>
      <c r="L345" t="str">
        <f>ESTADISTICA!L343</f>
        <v>APAGADO</v>
      </c>
      <c r="M345" t="str">
        <f>ESTADISTICA!M343</f>
        <v>APAGADO</v>
      </c>
      <c r="N345" t="str">
        <f>ESTADISTICA!N343</f>
        <v>APAGADO</v>
      </c>
      <c r="O345" t="str">
        <f>ESTADISTICA!O343</f>
        <v>APAGADO</v>
      </c>
      <c r="P345" t="str">
        <f>ESTADISTICA!P343</f>
        <v>APAGADO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hidden="1" x14ac:dyDescent="0.25">
      <c r="A346" t="str">
        <f>ESTADISTICA!A344</f>
        <v>VILLA ARIAS</v>
      </c>
      <c r="B346" t="str">
        <f>ESTADISTICA!B344</f>
        <v>VLA01 (fija 1)</v>
      </c>
      <c r="C346" t="str">
        <f>ESTADISTICA!C344</f>
        <v>820 Y SOLER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25">
      <c r="A347" t="str">
        <f>ESTADISTICA!A345</f>
        <v>VILLA ARIAS</v>
      </c>
      <c r="B347" t="str">
        <f>ESTADISTICA!B345</f>
        <v>VLA02</v>
      </c>
      <c r="C347" t="str">
        <f>ESTADISTICA!C345</f>
        <v>ESPORA Y HUDSON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>
        <f>ESTADISTICA!N345</f>
        <v>0</v>
      </c>
      <c r="O347">
        <f>ESTADISTICA!O345</f>
        <v>0</v>
      </c>
      <c r="P347">
        <f>ESTADISTICA!P345</f>
        <v>0</v>
      </c>
      <c r="Q347" t="str">
        <f>ESTADISTICA!Q345</f>
        <v>APAGADO</v>
      </c>
      <c r="R347" t="str">
        <f>ESTADISTICA!R345</f>
        <v>APAGADO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25">
      <c r="A348" t="str">
        <f>ESTADISTICA!A346</f>
        <v>VILLA ARIAS</v>
      </c>
      <c r="B348" t="str">
        <f>ESTADISTICA!B346</f>
        <v>VLA03 (fija 2)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25">
      <c r="A349" t="str">
        <f>ESTADISTICA!A347</f>
        <v>VILLA ARIAS</v>
      </c>
      <c r="B349" t="str">
        <f>ESTADISTICA!B347</f>
        <v>VLA04</v>
      </c>
      <c r="C349" t="str">
        <f>ESTADISTICA!C347</f>
        <v>ESPORA Y MARTIN GRASS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25">
      <c r="A350" t="str">
        <f>ESTADISTICA!A348</f>
        <v>VILLA ARIAS</v>
      </c>
      <c r="B350" t="str">
        <f>ESTADISTICA!B348</f>
        <v>VLA05</v>
      </c>
      <c r="C350" t="str">
        <f>ESTADISTICA!C348</f>
        <v>ESPORA Y 802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25">
      <c r="A351" t="str">
        <f>ESTADISTICA!A349</f>
        <v>VILLA MONICA NUEVA</v>
      </c>
      <c r="B351" t="str">
        <f>ESTADISTICA!B349</f>
        <v>VMO 02</v>
      </c>
      <c r="C351" t="str">
        <f>ESTADISTICA!C349</f>
        <v>Rio Carapachay y Oroño</v>
      </c>
      <c r="D351" t="str">
        <f>ESTADISTICA!D349</f>
        <v>Domo</v>
      </c>
      <c r="E351" t="str">
        <f>ESTADISTICA!E349</f>
        <v>Radio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hidden="1" x14ac:dyDescent="0.25">
      <c r="A352">
        <f>ESTADISTICA!A350</f>
        <v>0</v>
      </c>
      <c r="B352" t="str">
        <f>ESTADISTICA!B350</f>
        <v>VMO01</v>
      </c>
      <c r="C352" t="str">
        <f>ESTADISTICA!C350</f>
        <v>Eva Peron y Monseñor de las Casas</v>
      </c>
      <c r="D352" t="str">
        <f>ESTADISTICA!D350</f>
        <v>DOMO</v>
      </c>
      <c r="E352">
        <f>ESTADISTICA!E350</f>
        <v>0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 t="str">
        <f>ESTADISTICA!J350</f>
        <v>APAGADO</v>
      </c>
      <c r="K352" t="str">
        <f>ESTADISTICA!K350</f>
        <v>APAGADO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 t="str">
        <f>ESTADISTICA!Q350</f>
        <v>APAGADO</v>
      </c>
      <c r="R352" t="str">
        <f>ESTADISTICA!R350</f>
        <v>APAGADO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25">
      <c r="A353" t="str">
        <f>ESTADISTICA!A351</f>
        <v>VILLA MONICA NUEVA</v>
      </c>
      <c r="B353" t="str">
        <f>ESTADISTICA!B351</f>
        <v>VMO03 (fija 1)</v>
      </c>
      <c r="C353" t="str">
        <f>ESTADISTICA!C351</f>
        <v>EVA PERON E/ OROÑO Y 734 A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25">
      <c r="A354" t="str">
        <f>ESTADISTICA!A352</f>
        <v>VILLA MONICA NUEVA</v>
      </c>
      <c r="B354" t="str">
        <f>ESTADISTICA!B352</f>
        <v>VMO04 (fija 2)</v>
      </c>
      <c r="C354" t="str">
        <f>ESTADISTICA!C352</f>
        <v>EVA PERON E/ OROÑO Y 734 A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hidden="1" x14ac:dyDescent="0.25">
      <c r="A355" t="str">
        <f>ESTADISTICA!A353</f>
        <v>VILLA MONICA NUEVA</v>
      </c>
      <c r="B355" t="str">
        <f>ESTADISTICA!B353</f>
        <v>VMO05</v>
      </c>
      <c r="C355" t="str">
        <f>ESTADISTICA!C353</f>
        <v>OROÑO Y EVA PERON</v>
      </c>
      <c r="D355" t="str">
        <f>ESTADISTICA!D353</f>
        <v>DOMO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25">
      <c r="A356" t="str">
        <f>ESTADISTICA!A354</f>
        <v>VILLA MONICA VIEJA</v>
      </c>
      <c r="B356" t="str">
        <f>ESTADISTICA!B354</f>
        <v>VMOV01 (fija 1)</v>
      </c>
      <c r="C356" t="str">
        <f>ESTADISTICA!C354</f>
        <v>ATENAS E/ CAFFERATA Y ALEMANIA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25">
      <c r="A357" t="str">
        <f>ESTADISTICA!A355</f>
        <v>VILLA MONICA VIEJA</v>
      </c>
      <c r="B357" t="str">
        <f>ESTADISTICA!B355</f>
        <v>VMOV02 (fija 2)</v>
      </c>
      <c r="C357" t="str">
        <f>ESTADISTICA!C355</f>
        <v>ATENAS E/ CAFFERATA Y ALEMANIA</v>
      </c>
      <c r="D357" t="str">
        <f>ESTADISTICA!D355</f>
        <v>Fija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hidden="1" x14ac:dyDescent="0.25">
      <c r="A358" t="str">
        <f>ESTADISTICA!A356</f>
        <v>VILLA MONICA VIEJA</v>
      </c>
      <c r="B358" t="str">
        <f>ESTADISTICA!B356</f>
        <v>VMOV03 (fija 1)</v>
      </c>
      <c r="C358" t="str">
        <f>ESTADISTICA!C356</f>
        <v>ROMA E/ HOLANDA Y CAFFERATA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25">
      <c r="A359" t="str">
        <f>ESTADISTICA!A357</f>
        <v>VILLA MONICA VIEJA</v>
      </c>
      <c r="B359" t="str">
        <f>ESTADISTICA!B357</f>
        <v>VMOV04 (fija 2)</v>
      </c>
      <c r="C359" t="str">
        <f>ESTADISTICA!C357</f>
        <v>ROMA E/ HOLANDA Y CAFFERATA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25">
      <c r="A360" t="str">
        <f>ESTADISTICA!A358</f>
        <v>VILLA SAN LUIS</v>
      </c>
      <c r="B360" t="str">
        <f>ESTADISTICA!B358</f>
        <v>VSL 01</v>
      </c>
      <c r="C360" t="str">
        <f>ESTADISTICA!C358</f>
        <v>AV. HUDSON Y CACHEUTA</v>
      </c>
      <c r="D360" t="str">
        <f>ESTADISTICA!D358</f>
        <v>DOMO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25">
      <c r="A361" t="str">
        <f>ESTADISTICA!A359</f>
        <v>VILLA SUSANA</v>
      </c>
      <c r="B361" t="str">
        <f>ESTADISTICA!B359</f>
        <v>VSU 01</v>
      </c>
      <c r="C361" t="str">
        <f>ESTADISTICA!C359</f>
        <v>CJAL. JUAN BROWN Y SANTA FE</v>
      </c>
      <c r="D361" t="str">
        <f>ESTADISTICA!D359</f>
        <v>DOMO</v>
      </c>
      <c r="E361" t="str">
        <f>ESTADISTICA!E359</f>
        <v>Radio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>
        <f>ESTADISTICA!Q359</f>
        <v>0</v>
      </c>
      <c r="R361" t="str">
        <f>ESTADISTICA!R359</f>
        <v>APAGADO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25">
      <c r="A362" t="str">
        <f>ESTADISTICA!A360</f>
        <v>VILLA SUSANA</v>
      </c>
      <c r="B362" t="str">
        <f>ESTADISTICA!B360</f>
        <v>VSU 02</v>
      </c>
      <c r="C362" t="str">
        <f>ESTADISTICA!C360</f>
        <v>CABELLO Y SANTA FE</v>
      </c>
      <c r="D362" t="str">
        <f>ESTADISTICA!D360</f>
        <v>DOMO</v>
      </c>
      <c r="E362" t="str">
        <f>ESTADISTICA!E360</f>
        <v>Radio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25">
      <c r="A363" t="str">
        <f>ESTADISTICA!A361</f>
        <v>VILLA SUSANA</v>
      </c>
      <c r="B363" t="str">
        <f>ESTADISTICA!B361</f>
        <v>VSU 03</v>
      </c>
      <c r="C363" t="str">
        <f>ESTADISTICA!C361</f>
        <v>EE.UU Y SERRANO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25">
      <c r="A364">
        <f>ESTADISTICA!A362</f>
        <v>0</v>
      </c>
      <c r="B364" t="str">
        <f>ESTADISTICA!B362</f>
        <v>ZEB 05</v>
      </c>
      <c r="C364" t="str">
        <f>ESTADISTICA!C362</f>
        <v>DIAG. GRANADEROS Y 214 BIS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25">
      <c r="A365" t="str">
        <f>ESTADISTICA!A363</f>
        <v>ZEBALLOS</v>
      </c>
      <c r="B365" t="str">
        <f>ESTADISTICA!B363</f>
        <v>ZEB02</v>
      </c>
      <c r="C365" t="str">
        <f>ESTADISTICA!C363</f>
        <v>Quinquela Martin y Sgo. del Estero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25">
      <c r="A366" t="str">
        <f>ESTADISTICA!A364</f>
        <v>9 DE JULIO</v>
      </c>
      <c r="B366" t="str">
        <f>ESTADISTICA!B364</f>
        <v>ZEB03</v>
      </c>
      <c r="C366" t="str">
        <f>ESTADISTICA!C364</f>
        <v>Quinquela Martin y Pte. Peron</v>
      </c>
      <c r="D366" t="str">
        <f>ESTADISTICA!D364</f>
        <v>Domo</v>
      </c>
      <c r="E366" t="str">
        <f>ESTADISTICA!E364</f>
        <v>Radio</v>
      </c>
      <c r="F366" t="str">
        <f>ESTADISTICA!F364</f>
        <v>APAGADO</v>
      </c>
      <c r="G366" t="str">
        <f>ESTADISTICA!G364</f>
        <v>APAGADO</v>
      </c>
      <c r="H366" t="str">
        <f>ESTADISTICA!H364</f>
        <v>APAGADO</v>
      </c>
      <c r="I366" t="str">
        <f>ESTADISTICA!I364</f>
        <v>APAGADO</v>
      </c>
      <c r="J366" t="str">
        <f>ESTADISTICA!J364</f>
        <v>APAGADO</v>
      </c>
      <c r="K366" t="str">
        <f>ESTADISTICA!K364</f>
        <v>APAGADO</v>
      </c>
      <c r="L366" t="str">
        <f>ESTADISTICA!L364</f>
        <v>APAGADO</v>
      </c>
      <c r="M366" t="str">
        <f>ESTADISTICA!M364</f>
        <v>APAGADO</v>
      </c>
      <c r="N366" t="str">
        <f>ESTADISTICA!N364</f>
        <v>APAGADO</v>
      </c>
      <c r="O366" t="str">
        <f>ESTADISTICA!O364</f>
        <v>APAGADO</v>
      </c>
      <c r="P366" t="str">
        <f>ESTADISTICA!P364</f>
        <v>APAGADO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25">
      <c r="A367">
        <f>ESTADISTICA!A365</f>
        <v>0</v>
      </c>
      <c r="B367" t="str">
        <f>ESTADISTICA!B365</f>
        <v>ZEB04</v>
      </c>
      <c r="C367" t="str">
        <f>ESTADISTICA!C365</f>
        <v>THEVENET Y DIAGONAL GRANADEROS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25">
      <c r="A368" t="str">
        <f>ESTADISTICA!A366</f>
        <v>SANTA ANA</v>
      </c>
      <c r="B368" t="str">
        <f>ESTADISTICA!B366</f>
        <v>SAN01</v>
      </c>
      <c r="C368" t="str">
        <f>ESTADISTICA!C366</f>
        <v>HUDSON Y SUIPACHA FIJA 1</v>
      </c>
      <c r="D368" t="str">
        <f>ESTADISTICA!D366</f>
        <v>Fija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 t="str">
        <f>ESTADISTICA!A367</f>
        <v>SANTA ANA</v>
      </c>
      <c r="B369" t="str">
        <f>ESTADISTICA!B367</f>
        <v>SAN02</v>
      </c>
      <c r="C369" t="str">
        <f>ESTADISTICA!C367</f>
        <v>HUDSON Y SUIPACHA FIJA 2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FC730B5B-E791-4742-8990-AFF1FAD7E538}">
    <filterColumn colId="4">
      <filters>
        <filter val="PTP A FO"/>
      </filters>
    </filterColumn>
    <filterColumn colId="14">
      <filters>
        <filter val="APAGADO"/>
      </filters>
    </filterColumn>
  </autoFilter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O3" sqref="O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6" t="s">
        <v>1325</v>
      </c>
      <c r="D1" s="56">
        <f>COUNTIFS(E4:E367,"=radio")</f>
        <v>90</v>
      </c>
    </row>
    <row r="2" spans="1:36" ht="21" x14ac:dyDescent="0.35">
      <c r="E2" s="27" t="s">
        <v>934</v>
      </c>
      <c r="F2" s="27">
        <f>COUNTIFS(F4:F367, "=APAGADO",E4:E367,"=radio")</f>
        <v>8</v>
      </c>
      <c r="G2" s="27">
        <f>COUNTIFS(G4:G367, "=APAGADO",E4:E367,"=radio")</f>
        <v>7</v>
      </c>
      <c r="H2" s="27">
        <f>COUNTIFS(H4:H367, "=APAGADO",E4:E367,"=radio")</f>
        <v>8</v>
      </c>
      <c r="I2" s="27">
        <f>COUNTIFS(I4:I367, "=APAGADO",E4:E367,"=radio")</f>
        <v>9</v>
      </c>
      <c r="J2" s="27">
        <f>COUNTIFS(J4:J367, "=APAGADO",E4:E367,"=radio")</f>
        <v>9</v>
      </c>
      <c r="K2" s="27">
        <f>COUNTIFS(K4:K367, "=APAGADO",E4:E367,"=radio")</f>
        <v>7</v>
      </c>
      <c r="L2" s="27">
        <f>COUNTIFS(L4:L367, "=APAGADO",E4:E367,"=radio")</f>
        <v>9</v>
      </c>
      <c r="M2" s="27">
        <f>COUNTIFS(M4:M367, "=APAGADO",E4:E367,"=radio")</f>
        <v>9</v>
      </c>
      <c r="N2" s="27">
        <f>COUNTIFS(N4:N367, "=APAGADO",E4:E367,"=radio")</f>
        <v>10</v>
      </c>
      <c r="O2" s="27">
        <f>COUNTIFS(O4:O367, "=APAGADO",E4:E367,"=radio")</f>
        <v>8</v>
      </c>
      <c r="P2" s="27">
        <f>COUNTIFS(P4:P367, "=APAGADO",E4:E367,"=radio")</f>
        <v>6</v>
      </c>
      <c r="Q2" s="27">
        <f>COUNTIFS(Q4:Q367, "=APAGADO",E4:E367,"=radio")</f>
        <v>4</v>
      </c>
      <c r="R2" s="27">
        <f>COUNTIFS(R4:R367, "=APAGADO",E4:E367,"=radio")</f>
        <v>5</v>
      </c>
      <c r="S2" s="27">
        <f>COUNTIFS(S4:S367, "=APAGADO",E4:E367,"=radio")</f>
        <v>0</v>
      </c>
      <c r="T2" s="27">
        <f>COUNTIFS(T4:T367, "=APAGADO",E4:E367,"=radio")</f>
        <v>0</v>
      </c>
      <c r="U2" s="27">
        <f>COUNTIFS(U4:U367, "=APAGADO",E4:E367,"=radio")</f>
        <v>0</v>
      </c>
      <c r="V2" s="27">
        <f>COUNTIFS(V4:V367, "=APAGADO",E4:E367,"=radio")</f>
        <v>0</v>
      </c>
      <c r="W2" s="27">
        <f>COUNTIFS(W4:W367, "=APAGADO",E4:E367,"=radio")</f>
        <v>0</v>
      </c>
      <c r="X2" s="27">
        <f>COUNTIFS(X4:X367, "=APAGADO",E4:E367,"=radio")</f>
        <v>0</v>
      </c>
      <c r="Y2" s="27">
        <f>COUNTIFS(Y4:Y367, "=APAGADO",E4:E367,"=radio")</f>
        <v>0</v>
      </c>
      <c r="Z2" s="27">
        <f>COUNTIFS(Z4:Z367, "=APAGADO",E4:E367,"=radio")</f>
        <v>0</v>
      </c>
      <c r="AA2" s="27">
        <f>COUNTIFS(AA4:AA367, "=APAGADO",E4:E367,"=radio")</f>
        <v>0</v>
      </c>
      <c r="AB2" s="27">
        <f>COUNTIFS(AB4:AB367, "=APAGADO",E4:E367,"=radio")</f>
        <v>0</v>
      </c>
      <c r="AC2" s="27">
        <f>COUNTIFS(AC4:AC367, "=APAGADO",E4:E367,"=radio")</f>
        <v>0</v>
      </c>
      <c r="AD2" s="27">
        <f>COUNTIFS(AD4:AD367, "=APAGADO",E4:E367,"=radio")</f>
        <v>0</v>
      </c>
      <c r="AE2" s="27">
        <f>COUNTIFS(AE4:AE367, "=APAGADO",E4:E367,"=radio")</f>
        <v>0</v>
      </c>
      <c r="AF2" s="27">
        <f>COUNTIFS(AF4:AF367, "=APAGADO",E4:E367,"=radio")</f>
        <v>0</v>
      </c>
      <c r="AG2" s="27">
        <f>COUNTIFS(AG4:AG367, "=APAGADO",E4:E367,"=radio")</f>
        <v>0</v>
      </c>
      <c r="AH2" s="27">
        <f t="shared" ref="AH2:AJ2" si="0">COUNTIFS(AH4:AH367, "=APAGADO",F4:F367,"=radio")</f>
        <v>0</v>
      </c>
      <c r="AI2" s="27">
        <f t="shared" si="0"/>
        <v>0</v>
      </c>
      <c r="AJ2" s="27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6">
        <f>ESTADISTICA!F1</f>
        <v>44621</v>
      </c>
      <c r="G3" s="26">
        <f>ESTADISTICA!G1</f>
        <v>44622</v>
      </c>
      <c r="H3" s="26">
        <f>ESTADISTICA!H1</f>
        <v>44623</v>
      </c>
      <c r="I3" s="26">
        <f>ESTADISTICA!I1</f>
        <v>44624</v>
      </c>
      <c r="J3" s="26">
        <f>ESTADISTICA!J1</f>
        <v>44625</v>
      </c>
      <c r="K3" s="26">
        <f>ESTADISTICA!K1</f>
        <v>44626</v>
      </c>
      <c r="L3" s="26">
        <f>ESTADISTICA!L1</f>
        <v>44627</v>
      </c>
      <c r="M3" s="26">
        <f>ESTADISTICA!M1</f>
        <v>44628</v>
      </c>
      <c r="N3" s="26">
        <f>ESTADISTICA!N1</f>
        <v>44629</v>
      </c>
      <c r="O3" s="26">
        <f>ESTADISTICA!O1</f>
        <v>44630</v>
      </c>
      <c r="P3" s="26">
        <f>ESTADISTICA!P1</f>
        <v>44631</v>
      </c>
      <c r="Q3" s="26">
        <f>ESTADISTICA!Q1</f>
        <v>44632</v>
      </c>
      <c r="R3" s="26">
        <f>ESTADISTICA!R1</f>
        <v>44633</v>
      </c>
      <c r="S3" s="26">
        <f>ESTADISTICA!S1</f>
        <v>44634</v>
      </c>
      <c r="T3" s="26">
        <f>ESTADISTICA!T1</f>
        <v>44635</v>
      </c>
      <c r="U3" s="26">
        <f>ESTADISTICA!U1</f>
        <v>44636</v>
      </c>
      <c r="V3" s="26">
        <f>ESTADISTICA!V1</f>
        <v>44637</v>
      </c>
      <c r="W3" s="26">
        <f>ESTADISTICA!W1</f>
        <v>44638</v>
      </c>
      <c r="X3" s="26">
        <f>ESTADISTICA!X1</f>
        <v>44639</v>
      </c>
      <c r="Y3" s="26">
        <f>ESTADISTICA!Y1</f>
        <v>44640</v>
      </c>
      <c r="Z3" s="26">
        <f>ESTADISTICA!Z1</f>
        <v>44641</v>
      </c>
      <c r="AA3" s="26">
        <f>ESTADISTICA!AA1</f>
        <v>44642</v>
      </c>
      <c r="AB3" s="26">
        <f>ESTADISTICA!AB1</f>
        <v>44643</v>
      </c>
      <c r="AC3" s="26">
        <f>ESTADISTICA!AC1</f>
        <v>44644</v>
      </c>
      <c r="AD3" s="26">
        <f>ESTADISTICA!AD1</f>
        <v>44645</v>
      </c>
      <c r="AE3" s="26">
        <f>ESTADISTICA!AE1</f>
        <v>44646</v>
      </c>
      <c r="AF3" s="26">
        <f>ESTADISTICA!AF1</f>
        <v>44647</v>
      </c>
      <c r="AG3" s="26">
        <f>ESTADISTICA!AG1</f>
        <v>44648</v>
      </c>
      <c r="AH3" s="26">
        <f>ESTADISTICA!AH1</f>
        <v>44649</v>
      </c>
      <c r="AI3" s="26">
        <f>ESTADISTICA!AI1</f>
        <v>44650</v>
      </c>
      <c r="AJ3" s="26">
        <f>ESTADISTICA!AJ1</f>
        <v>44651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25">
      <c r="A159">
        <f>ESTADISTICA!A157</f>
        <v>0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25">
      <c r="A244" t="str">
        <f>ESTADISTICA!A242</f>
        <v>SAN JORGE</v>
      </c>
      <c r="B244" t="str">
        <f>ESTADISTICA!B242</f>
        <v>SJO 03</v>
      </c>
      <c r="C244" t="str">
        <f>ESTADISTICA!C242</f>
        <v>517 Y 580</v>
      </c>
      <c r="D244" t="str">
        <f>ESTADISTICA!D242</f>
        <v>DOMO</v>
      </c>
      <c r="E244" t="str">
        <f>ESTADISTICA!E242</f>
        <v>Radio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25">
      <c r="A245" t="str">
        <f>ESTADISTICA!A243</f>
        <v>SAN JORGE</v>
      </c>
      <c r="B245" t="str">
        <f>ESTADISTICA!B243</f>
        <v>SJO 04</v>
      </c>
      <c r="C245" t="str">
        <f>ESTADISTICA!C243</f>
        <v>552 Y 519</v>
      </c>
      <c r="D245" t="str">
        <f>ESTADISTICA!D243</f>
        <v>DOMO</v>
      </c>
      <c r="E245" t="str">
        <f>ESTADISTICA!E243</f>
        <v>Radio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25">
      <c r="A246" t="str">
        <f>ESTADISTICA!A244</f>
        <v>SAN JORGE</v>
      </c>
      <c r="B246" t="str">
        <f>ESTADISTICA!B244</f>
        <v>SJO01</v>
      </c>
      <c r="C246" t="str">
        <f>ESTADISTICA!C244</f>
        <v>Calle 554 y 527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25">
      <c r="A247" t="str">
        <f>ESTADISTICA!A245</f>
        <v>SAN JORGE</v>
      </c>
      <c r="B247" t="str">
        <f>ESTADISTICA!B245</f>
        <v>SJO02</v>
      </c>
      <c r="C247" t="str">
        <f>ESTADISTICA!C245</f>
        <v>Calle 554 y 511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 t="str">
        <f>ESTADISTICA!J245</f>
        <v>APAGADO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hidden="1" x14ac:dyDescent="0.25">
      <c r="A248" t="str">
        <f>ESTADISTICA!A246</f>
        <v>SAN JORGE</v>
      </c>
      <c r="B248" t="str">
        <f>ESTADISTICA!B246</f>
        <v>SJO05 (fija 1)</v>
      </c>
      <c r="C248" t="str">
        <f>ESTADISTICA!C246</f>
        <v>511 Y 560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 t="str">
        <f>ESTADISTICA!J246</f>
        <v>APAGADO</v>
      </c>
      <c r="K248" t="str">
        <f>ESTADISTICA!K246</f>
        <v>APAGADO</v>
      </c>
      <c r="L248" t="str">
        <f>ESTADISTICA!L246</f>
        <v>APAGADO</v>
      </c>
      <c r="M248" t="str">
        <f>ESTADISTICA!M246</f>
        <v>APAGADO</v>
      </c>
      <c r="N248" t="str">
        <f>ESTADISTICA!N246</f>
        <v>APAGADO</v>
      </c>
      <c r="O248" t="str">
        <f>ESTADISTICA!O246</f>
        <v>APAGADO</v>
      </c>
      <c r="P248" t="str">
        <f>ESTADISTICA!P246</f>
        <v>APAGADO</v>
      </c>
      <c r="Q248" t="str">
        <f>ESTADISTICA!Q246</f>
        <v>APAGADO</v>
      </c>
      <c r="R248" t="str">
        <f>ESTADISTICA!R246</f>
        <v>APAGADO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hidden="1" x14ac:dyDescent="0.25">
      <c r="A249" t="str">
        <f>ESTADISTICA!A247</f>
        <v>SAN JORGE</v>
      </c>
      <c r="B249" t="str">
        <f>ESTADISTICA!B247</f>
        <v>SJO06 (fija 2)</v>
      </c>
      <c r="C249" t="str">
        <f>ESTADISTICA!C247</f>
        <v>511 Y 560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 t="str">
        <f>ESTADISTICA!G247</f>
        <v>APAGADO</v>
      </c>
      <c r="H249" t="str">
        <f>ESTADISTICA!H247</f>
        <v>APAGADO</v>
      </c>
      <c r="I249" t="str">
        <f>ESTADISTICA!I247</f>
        <v>APAGADO</v>
      </c>
      <c r="J249" t="str">
        <f>ESTADISTICA!J247</f>
        <v>APAGADO</v>
      </c>
      <c r="K249" t="str">
        <f>ESTADISTICA!K247</f>
        <v>APAGADO</v>
      </c>
      <c r="L249" t="str">
        <f>ESTADISTICA!L247</f>
        <v>APAGADO</v>
      </c>
      <c r="M249" t="str">
        <f>ESTADISTICA!M247</f>
        <v>APAGADO</v>
      </c>
      <c r="N249" t="str">
        <f>ESTADISTICA!N247</f>
        <v>APAGADO</v>
      </c>
      <c r="O249" t="str">
        <f>ESTADISTICA!O247</f>
        <v>APAGADO</v>
      </c>
      <c r="P249" t="str">
        <f>ESTADISTICA!P247</f>
        <v>APAGADO</v>
      </c>
      <c r="Q249" t="str">
        <f>ESTADISTICA!Q247</f>
        <v>APAGADO</v>
      </c>
      <c r="R249" t="str">
        <f>ESTADISTICA!R247</f>
        <v>APAGADO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hidden="1" x14ac:dyDescent="0.25">
      <c r="A250" t="str">
        <f>ESTADISTICA!A248</f>
        <v>SAN JORGE</v>
      </c>
      <c r="B250" t="str">
        <f>ESTADISTICA!B248</f>
        <v>SJO07 (fija 1)</v>
      </c>
      <c r="C250" t="str">
        <f>ESTADISTICA!C248</f>
        <v>503 Y 556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hidden="1" x14ac:dyDescent="0.25">
      <c r="A251" t="str">
        <f>ESTADISTICA!A249</f>
        <v>SAN JORGE</v>
      </c>
      <c r="B251" t="str">
        <f>ESTADISTICA!B249</f>
        <v>SJO08 (fija 2)</v>
      </c>
      <c r="C251" t="str">
        <f>ESTADISTICA!C249</f>
        <v>503 Y 556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25">
      <c r="A252" t="str">
        <f>ESTADISTICA!A250</f>
        <v>SANTO TOMAS</v>
      </c>
      <c r="B252" t="str">
        <f>ESTADISTICA!B250</f>
        <v>SJU01</v>
      </c>
      <c r="C252" t="str">
        <f>ESTADISTICA!C250</f>
        <v>Ruta 36 y Pte.Peron</v>
      </c>
      <c r="D252" t="str">
        <f>ESTADISTICA!D250</f>
        <v>Domo</v>
      </c>
      <c r="E252" t="str">
        <f>ESTADISTICA!E250</f>
        <v>Radio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25">
      <c r="A253">
        <f>ESTADISTICA!A251</f>
        <v>0</v>
      </c>
      <c r="B253" t="str">
        <f>ESTADISTICA!B251</f>
        <v>SMA 03</v>
      </c>
      <c r="C253" t="str">
        <f>ESTADISTICA!C251</f>
        <v>ROSARIO Y SAN NICOLAS</v>
      </c>
      <c r="D253" t="str">
        <f>ESTADISTICA!D251</f>
        <v>Domo</v>
      </c>
      <c r="E253" t="str">
        <f>ESTADISTICA!E251</f>
        <v>Radio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25">
      <c r="A254" t="str">
        <f>ESTADISTICA!A252</f>
        <v>VILLA GENERAL SAN MARTIN</v>
      </c>
      <c r="B254" t="str">
        <f>ESTADISTICA!B252</f>
        <v>SMA 04</v>
      </c>
      <c r="C254" t="str">
        <f>ESTADISTICA!C252</f>
        <v>HUDSON Y MONTEVIDEO</v>
      </c>
      <c r="D254" t="str">
        <f>ESTADISTICA!D252</f>
        <v>FIJA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25">
      <c r="A255" t="str">
        <f>ESTADISTICA!A253</f>
        <v>VILLA GENERAL SAN MARTIN</v>
      </c>
      <c r="B255" t="str">
        <f>ESTADISTICA!B253</f>
        <v>SMA 06</v>
      </c>
      <c r="C255" t="str">
        <f>ESTADISTICA!C253</f>
        <v>AV. HUDSON Y RIO IGUAZU</v>
      </c>
      <c r="D255" t="str">
        <f>ESTADISTICA!D253</f>
        <v>DOMO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25">
      <c r="A256" t="str">
        <f>ESTADISTICA!A254</f>
        <v>VILLA GENERAL SAN MARTIN</v>
      </c>
      <c r="B256" t="str">
        <f>ESTADISTICA!B254</f>
        <v>SMA 07</v>
      </c>
      <c r="C256" t="str">
        <f>ESTADISTICA!C254</f>
        <v>AV. HUDSON Y RIO TURBIO</v>
      </c>
      <c r="D256" t="str">
        <f>ESTADISTICA!D254</f>
        <v>DOMO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25">
      <c r="A257" t="str">
        <f>ESTADISTICA!A255</f>
        <v>VILLA GENERAL SAN MARTIN</v>
      </c>
      <c r="B257" t="str">
        <f>ESTADISTICA!B255</f>
        <v>SMA01</v>
      </c>
      <c r="C257" t="str">
        <f>ESTADISTICA!C255</f>
        <v>Hudson y Montevideo</v>
      </c>
      <c r="D257" t="str">
        <f>ESTADISTICA!D255</f>
        <v>DOMO</v>
      </c>
      <c r="E257" t="str">
        <f>ESTADISTICA!E255</f>
        <v>Radio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x14ac:dyDescent="0.25">
      <c r="A258" t="str">
        <f>ESTADISTICA!A256</f>
        <v>VILLA GENERAL SAN MARTIN</v>
      </c>
      <c r="B258" t="str">
        <f>ESTADISTICA!B256</f>
        <v>SMA02</v>
      </c>
      <c r="C258" t="str">
        <f>ESTADISTICA!C256</f>
        <v>Hudson y San Nicolas</v>
      </c>
      <c r="D258" t="str">
        <f>ESTADISTICA!D256</f>
        <v>Domo</v>
      </c>
      <c r="E258" t="str">
        <f>ESTADISTICA!E256</f>
        <v>Radio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 t="str">
        <f>ESTADISTICA!K256</f>
        <v>APAGADO</v>
      </c>
      <c r="L258" t="str">
        <f>ESTADISTICA!L256</f>
        <v>APAGADO</v>
      </c>
      <c r="M258" t="str">
        <f>ESTADISTICA!M256</f>
        <v>APAGADO</v>
      </c>
      <c r="N258" t="str">
        <f>ESTADISTICA!N256</f>
        <v>APAGADO</v>
      </c>
      <c r="O258" t="str">
        <f>ESTADISTICA!O256</f>
        <v>APAGADO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25">
      <c r="A259" t="str">
        <f>ESTADISTICA!A257</f>
        <v>VILLA GENERAL SAN MARTIN</v>
      </c>
      <c r="B259" t="str">
        <f>ESTADISTICA!B257</f>
        <v>SMA05</v>
      </c>
      <c r="C259" t="str">
        <f>ESTADISTICA!C257</f>
        <v>MONTEVIDEO Y VILLEGAS</v>
      </c>
      <c r="D259" t="str">
        <f>ESTADISTICA!D257</f>
        <v>DOMO</v>
      </c>
      <c r="E259" t="str">
        <f>ESTADISTICA!E257</f>
        <v>PTP A FO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25">
      <c r="A260" t="str">
        <f>ESTADISTICA!A258</f>
        <v>SAN NICOLAS</v>
      </c>
      <c r="B260" t="str">
        <f>ESTADISTICA!B258</f>
        <v>SNI01 (fija 1)</v>
      </c>
      <c r="C260" t="str">
        <f>ESTADISTICA!C258</f>
        <v>SARRATEA E/ EEUU DE A. Y AGRELO</v>
      </c>
      <c r="D260" t="str">
        <f>ESTADISTICA!D258</f>
        <v>Fija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 t="str">
        <f>ESTADISTICA!N258</f>
        <v>APAGADO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25">
      <c r="A261" t="str">
        <f>ESTADISTICA!A259</f>
        <v>SAN NICOLAS</v>
      </c>
      <c r="B261" t="str">
        <f>ESTADISTICA!B259</f>
        <v>SNI02 (fija 2)</v>
      </c>
      <c r="C261" t="str">
        <f>ESTADISTICA!C259</f>
        <v>SARRATEA E/ EEUU DE A. Y AGRELO</v>
      </c>
      <c r="D261" t="str">
        <f>ESTADISTICA!D259</f>
        <v>Fija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 t="str">
        <f>ESTADISTICA!N259</f>
        <v>APAGADO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25">
      <c r="A262" t="str">
        <f>ESTADISTICA!A260</f>
        <v>SAN NICOLAS</v>
      </c>
      <c r="B262" t="str">
        <f>ESTADISTICA!B260</f>
        <v>SNI03 (fija 1)</v>
      </c>
      <c r="C262" t="str">
        <f>ESTADISTICA!C260</f>
        <v>SARRATEA Y LOS TREBOLES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 t="str">
        <f>ESTADISTICA!L260</f>
        <v>APAGADO</v>
      </c>
      <c r="M262" t="str">
        <f>ESTADISTICA!M260</f>
        <v>APAGADO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25">
      <c r="A263" t="str">
        <f>ESTADISTICA!A261</f>
        <v>SAN NICOLAS</v>
      </c>
      <c r="B263" t="str">
        <f>ESTADISTICA!B261</f>
        <v>SNI04 (fija 2)</v>
      </c>
      <c r="C263" t="str">
        <f>ESTADISTICA!C261</f>
        <v>SARRATEA Y LOS TREBOLES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 t="str">
        <f>ESTADISTICA!M261</f>
        <v>APAGADO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25">
      <c r="A264" t="str">
        <f>ESTADISTICA!A262</f>
        <v>SANTA ROSA</v>
      </c>
      <c r="B264" t="str">
        <f>ESTADISTICA!B262</f>
        <v>SRO 05</v>
      </c>
      <c r="C264" t="str">
        <f>ESTADISTICA!C262</f>
        <v>CAFFERATA Y BONN</v>
      </c>
      <c r="D264" t="str">
        <f>ESTADISTICA!D262</f>
        <v>DOMO</v>
      </c>
      <c r="E264" t="str">
        <f>ESTADISTICA!E262</f>
        <v>Radio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25">
      <c r="A265" t="str">
        <f>ESTADISTICA!A263</f>
        <v>SANTA ROSA</v>
      </c>
      <c r="B265" t="str">
        <f>ESTADISTICA!B263</f>
        <v>SRO 06</v>
      </c>
      <c r="C265" t="str">
        <f>ESTADISTICA!C263</f>
        <v>Novak y Bonn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25">
      <c r="A266" t="str">
        <f>ESTADISTICA!A264</f>
        <v>SANTA ROSA</v>
      </c>
      <c r="B266" t="str">
        <f>ESTADISTICA!B264</f>
        <v>SRO 07</v>
      </c>
      <c r="C266" t="str">
        <f>ESTADISTICA!C264</f>
        <v>NOVAK Y BELGICA</v>
      </c>
      <c r="D266" t="str">
        <f>ESTADISTICA!D264</f>
        <v>Domo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25">
      <c r="A267" t="str">
        <f>ESTADISTICA!A265</f>
        <v>SANTA ROSA</v>
      </c>
      <c r="B267" t="str">
        <f>ESTADISTICA!B265</f>
        <v>SRO 08</v>
      </c>
      <c r="C267" t="str">
        <f>ESTADISTICA!C265</f>
        <v>NOVAK E/ DESSY Y BELGICA (POLIDEPORTIVO LA PATRIADA)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25">
      <c r="A268" t="str">
        <f>ESTADISTICA!A266</f>
        <v>SANTA ROSA</v>
      </c>
      <c r="B268" t="str">
        <f>ESTADISTICA!B266</f>
        <v>SRO 09</v>
      </c>
      <c r="C268" t="str">
        <f>ESTADISTICA!C266</f>
        <v>BUCAREST E/ ALEMANIA Y CAFFERATA</v>
      </c>
      <c r="D268" t="str">
        <f>ESTADISTICA!D266</f>
        <v>DOMO</v>
      </c>
      <c r="E268" t="str">
        <f>ESTADISTICA!E266</f>
        <v>Radio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25">
      <c r="A269" t="str">
        <f>ESTADISTICA!A267</f>
        <v>SANTA ROSA</v>
      </c>
      <c r="B269" t="str">
        <f>ESTADISTICA!B267</f>
        <v>SRO 10</v>
      </c>
      <c r="C269" t="str">
        <f>ESTADISTICA!C267</f>
        <v>DINAMARCA Y MILAN</v>
      </c>
      <c r="D269" t="str">
        <f>ESTADISTICA!D267</f>
        <v>DOMO</v>
      </c>
      <c r="E269" t="str">
        <f>ESTADISTICA!E267</f>
        <v>Radio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25">
      <c r="A270" t="str">
        <f>ESTADISTICA!A268</f>
        <v>SANTA ROSA</v>
      </c>
      <c r="B270" t="str">
        <f>ESTADISTICA!B268</f>
        <v>SRO 16 (fija 1)</v>
      </c>
      <c r="C270" t="str">
        <f>ESTADISTICA!C268</f>
        <v>ANDORRA E/ BELGICA Y SAN MARINO</v>
      </c>
      <c r="D270" t="str">
        <f>ESTADISTICA!D268</f>
        <v>Fija</v>
      </c>
      <c r="E270" t="str">
        <f>ESTADISTICA!E268</f>
        <v>Fibra Optica</v>
      </c>
      <c r="F270" t="str">
        <f>ESTADISTICA!F268</f>
        <v>APAGADO</v>
      </c>
      <c r="G270" t="str">
        <f>ESTADISTICA!G268</f>
        <v>APAGADO</v>
      </c>
      <c r="H270" t="str">
        <f>ESTADISTICA!H268</f>
        <v>APAGADO</v>
      </c>
      <c r="I270" t="str">
        <f>ESTADISTICA!I268</f>
        <v>APAGADO</v>
      </c>
      <c r="J270" t="str">
        <f>ESTADISTICA!J268</f>
        <v>APAGADO</v>
      </c>
      <c r="K270" t="str">
        <f>ESTADISTICA!K268</f>
        <v>APAGADO</v>
      </c>
      <c r="L270">
        <f>ESTADISTICA!L268</f>
        <v>0</v>
      </c>
      <c r="M270" t="str">
        <f>ESTADISTICA!M268</f>
        <v>APAGADO</v>
      </c>
      <c r="N270" t="str">
        <f>ESTADISTICA!N268</f>
        <v>APAGADO</v>
      </c>
      <c r="O270" t="str">
        <f>ESTADISTICA!O268</f>
        <v>APAGADO</v>
      </c>
      <c r="P270" t="str">
        <f>ESTADISTICA!P268</f>
        <v>APAGADO</v>
      </c>
      <c r="Q270" t="str">
        <f>ESTADISTICA!Q268</f>
        <v>APAGADO</v>
      </c>
      <c r="R270" t="str">
        <f>ESTADISTICA!R268</f>
        <v>APAGADO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25">
      <c r="A271" t="str">
        <f>ESTADISTICA!A269</f>
        <v>SANTA ROSA</v>
      </c>
      <c r="B271" t="str">
        <f>ESTADISTICA!B269</f>
        <v>SRO 17 (fija 2)</v>
      </c>
      <c r="C271" t="str">
        <f>ESTADISTICA!C269</f>
        <v>ANDORRA E/ BELGICA Y SAN MARINO</v>
      </c>
      <c r="D271" t="str">
        <f>ESTADISTICA!D269</f>
        <v>Fija</v>
      </c>
      <c r="E271" t="str">
        <f>ESTADISTICA!E269</f>
        <v>Fibra Optica</v>
      </c>
      <c r="F271" t="str">
        <f>ESTADISTICA!F269</f>
        <v>APAGADO</v>
      </c>
      <c r="G271" t="str">
        <f>ESTADISTICA!G269</f>
        <v>APAGADO</v>
      </c>
      <c r="H271" t="str">
        <f>ESTADISTICA!H269</f>
        <v>APAGADO</v>
      </c>
      <c r="I271" t="str">
        <f>ESTADISTICA!I269</f>
        <v>APAGADO</v>
      </c>
      <c r="J271" t="str">
        <f>ESTADISTICA!J269</f>
        <v>APAGADO</v>
      </c>
      <c r="K271" t="str">
        <f>ESTADISTICA!K269</f>
        <v>APAGADO</v>
      </c>
      <c r="L271">
        <f>ESTADISTICA!L269</f>
        <v>0</v>
      </c>
      <c r="M271" t="str">
        <f>ESTADISTICA!M269</f>
        <v>APAGADO</v>
      </c>
      <c r="N271" t="str">
        <f>ESTADISTICA!N269</f>
        <v>APAGADO</v>
      </c>
      <c r="O271" t="str">
        <f>ESTADISTICA!O269</f>
        <v>APAGADO</v>
      </c>
      <c r="P271" t="str">
        <f>ESTADISTICA!P269</f>
        <v>APAGADO</v>
      </c>
      <c r="Q271">
        <f>ESTADISTICA!Q269</f>
        <v>0</v>
      </c>
      <c r="R271" t="str">
        <f>ESTADISTICA!R269</f>
        <v>APAGADO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25">
      <c r="A272" t="str">
        <f>ESTADISTICA!A270</f>
        <v>SANTA ROSA</v>
      </c>
      <c r="B272" t="str">
        <f>ESTADISTICA!B270</f>
        <v>SRO01</v>
      </c>
      <c r="C272" t="str">
        <f>ESTADISTICA!C270</f>
        <v>Yugoslavia y Milani</v>
      </c>
      <c r="D272" t="str">
        <f>ESTADISTICA!D270</f>
        <v>Domo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25">
      <c r="A273" t="str">
        <f>ESTADISTICA!A271</f>
        <v>ZONA RURAL SANTA ROSA</v>
      </c>
      <c r="B273" t="str">
        <f>ESTADISTICA!B271</f>
        <v>SRO02</v>
      </c>
      <c r="C273" t="str">
        <f>ESTADISTICA!C271</f>
        <v>Bruselas y Calle 448</v>
      </c>
      <c r="D273" t="str">
        <f>ESTADISTICA!D271</f>
        <v>Domo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25">
      <c r="A274" t="str">
        <f>ESTADISTICA!A272</f>
        <v>SANTA ROSA</v>
      </c>
      <c r="B274" t="str">
        <f>ESTADISTICA!B272</f>
        <v>SRO03</v>
      </c>
      <c r="C274" t="str">
        <f>ESTADISTICA!C272</f>
        <v>Eva Peron y Paysandu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25">
      <c r="A275" t="str">
        <f>ESTADISTICA!A273</f>
        <v>SANTA ROSA</v>
      </c>
      <c r="B275" t="str">
        <f>ESTADISTICA!B273</f>
        <v>SRO04</v>
      </c>
      <c r="C275" t="str">
        <f>ESTADISTICA!C273</f>
        <v>Belgica y Andorra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 t="str">
        <f>ESTADISTICA!G273</f>
        <v>APAGADO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25">
      <c r="A276" t="str">
        <f>ESTADISTICA!A274</f>
        <v>SANTA ROSA</v>
      </c>
      <c r="B276" t="str">
        <f>ESTADISTICA!B274</f>
        <v>SRO11</v>
      </c>
      <c r="C276" t="str">
        <f>ESTADISTICA!C274</f>
        <v>MILAN Y MALLORCA</v>
      </c>
      <c r="D276" t="str">
        <f>ESTADISTICA!D274</f>
        <v>DOMO</v>
      </c>
      <c r="E276" t="str">
        <f>ESTADISTICA!E274</f>
        <v>Radio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 t="str">
        <f>ESTADISTICA!I274</f>
        <v>APAGADO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25">
      <c r="A277" t="str">
        <f>ESTADISTICA!A275</f>
        <v>SANTA ROSA</v>
      </c>
      <c r="B277" t="str">
        <f>ESTADISTICA!B275</f>
        <v>SRO12</v>
      </c>
      <c r="C277" t="str">
        <f>ESTADISTICA!C275</f>
        <v>YUGOSLAVIA Y PAYSANDU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x14ac:dyDescent="0.25">
      <c r="A278" t="str">
        <f>ESTADISTICA!A276</f>
        <v>ZONA RURAL SANTA ROSA</v>
      </c>
      <c r="B278" t="str">
        <f>ESTADISTICA!B276</f>
        <v>SRO13 (fija 1)</v>
      </c>
      <c r="C278" t="str">
        <f>ESTADISTICA!C276</f>
        <v>BRUSELAS E/ GRECIA Y CHECOSLOVAQUIA</v>
      </c>
      <c r="D278" t="str">
        <f>ESTADISTICA!D276</f>
        <v>Fija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 t="str">
        <f>ESTADISTICA!R276</f>
        <v>APAGADO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x14ac:dyDescent="0.25">
      <c r="A279" t="s">
        <v>940</v>
      </c>
      <c r="B279" t="str">
        <f>ESTADISTICA!B277</f>
        <v>SRO14 (fija 2)</v>
      </c>
      <c r="C279" t="str">
        <f>ESTADISTICA!C277</f>
        <v>BRUSELAS E/ GRECIA Y CHECOSLOVAQUIA</v>
      </c>
      <c r="D279" t="str">
        <f>ESTADISTICA!D277</f>
        <v>Fija</v>
      </c>
      <c r="E279" t="str">
        <f>ESTADISTICA!E277</f>
        <v>RADIO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 t="str">
        <f>ESTADISTICA!L277</f>
        <v>APAGADO</v>
      </c>
      <c r="M279" t="str">
        <f>ESTADISTICA!M277</f>
        <v>APAGADO</v>
      </c>
      <c r="N279" t="str">
        <f>ESTADISTICA!N277</f>
        <v>APAGADO</v>
      </c>
      <c r="O279" t="str">
        <f>ESTADISTICA!O277</f>
        <v>APAGADO</v>
      </c>
      <c r="P279" t="str">
        <f>ESTADISTICA!P277</f>
        <v>APAGADO</v>
      </c>
      <c r="Q279" t="str">
        <f>ESTADISTICA!Q277</f>
        <v>APAGADO</v>
      </c>
      <c r="R279" t="str">
        <f>ESTADISTICA!R277</f>
        <v>APAGADO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hidden="1" x14ac:dyDescent="0.25">
      <c r="A280" t="str">
        <f>ESTADISTICA!A278</f>
        <v>SANTA ROSA</v>
      </c>
      <c r="B280" t="str">
        <f>ESTADISTICA!B278</f>
        <v>SRO15</v>
      </c>
      <c r="C280" t="str">
        <f>ESTADISTICA!C278</f>
        <v>NOVAK Y TIRANA (614)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hidden="1" x14ac:dyDescent="0.25">
      <c r="A281" t="str">
        <f>ESTADISTICA!A279</f>
        <v>SANTA ROSA</v>
      </c>
      <c r="B281" t="str">
        <f>ESTADISTICA!B279</f>
        <v>SRO18 (fija 1)</v>
      </c>
      <c r="C281" t="str">
        <f>ESTADISTICA!C279</f>
        <v>GRAN CANARIA Y BUDAPEST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hidden="1" x14ac:dyDescent="0.25">
      <c r="A282" t="str">
        <f>ESTADISTICA!A280</f>
        <v>SANTA ROSA</v>
      </c>
      <c r="B282" t="str">
        <f>ESTADISTICA!B280</f>
        <v>SRO19 (fija 2)</v>
      </c>
      <c r="C282" t="str">
        <f>ESTADISTICA!C280</f>
        <v>GRAN CANARIA Y BUDAPEST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25">
      <c r="A283" t="str">
        <f>ESTADISTICA!A281</f>
        <v>SAN RUDECINDO</v>
      </c>
      <c r="B283" t="str">
        <f>ESTADISTICA!B281</f>
        <v>SRU01 (fija 1)</v>
      </c>
      <c r="C283" t="str">
        <f>ESTADISTICA!C281</f>
        <v>HERNANDARIAS Y AMBATO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hidden="1" x14ac:dyDescent="0.25">
      <c r="A284" t="str">
        <f>ESTADISTICA!A282</f>
        <v>SAN RUDECINDO</v>
      </c>
      <c r="B284" t="str">
        <f>ESTADISTICA!B282</f>
        <v>SRU02 (fija 2)</v>
      </c>
      <c r="C284" t="str">
        <f>ESTADISTICA!C282</f>
        <v>HERNANDARIAS Y AMBATO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hidden="1" x14ac:dyDescent="0.25">
      <c r="A285" t="str">
        <f>ESTADISTICA!A283</f>
        <v>VILLA ANGELICA</v>
      </c>
      <c r="B285" t="str">
        <f>ESTADISTICA!B283</f>
        <v>VANG01</v>
      </c>
      <c r="C285" t="str">
        <f>ESTADISTICA!C283</f>
        <v>Senzabello y Necochea</v>
      </c>
      <c r="D285" t="str">
        <f>ESTADISTICA!D283</f>
        <v>Domo</v>
      </c>
      <c r="E285" t="str">
        <f>ESTADISTICA!E283</f>
        <v>PTP A FO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 t="str">
        <f>ESTADISTICA!P283</f>
        <v>APAGADO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25">
      <c r="A286" t="str">
        <f>ESTADISTICA!A284</f>
        <v>VILLA ANGELICA</v>
      </c>
      <c r="B286" t="str">
        <f>ESTADISTICA!B284</f>
        <v>VANG02</v>
      </c>
      <c r="C286" t="str">
        <f>ESTADISTICA!C284</f>
        <v>Thevenet y Ruta 36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25">
      <c r="A287" t="str">
        <f>ESTADISTICA!A285</f>
        <v>VILLA DEL PLATA</v>
      </c>
      <c r="B287" t="str">
        <f>ESTADISTICA!B285</f>
        <v>VANG03</v>
      </c>
      <c r="C287" t="str">
        <f>ESTADISTICA!C285</f>
        <v>Thevenet 1950</v>
      </c>
      <c r="D287" t="str">
        <f>ESTADISTICA!D285</f>
        <v>Domo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25">
      <c r="A288" t="str">
        <f>ESTADISTICA!A286</f>
        <v>VILLA ANGELICA</v>
      </c>
      <c r="B288" t="str">
        <f>ESTADISTICA!B286</f>
        <v>VANG04</v>
      </c>
      <c r="C288" t="str">
        <f>ESTADISTICA!C286</f>
        <v>Storni e/Thevenet y Calle 158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25">
      <c r="A289" t="str">
        <f>ESTADISTICA!A287</f>
        <v>VILLA ANGELICA</v>
      </c>
      <c r="B289" t="str">
        <f>ESTADISTICA!B287</f>
        <v>VANG05</v>
      </c>
      <c r="C289" t="str">
        <f>ESTADISTICA!C287</f>
        <v>Storni y Thevenet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25">
      <c r="A290" t="str">
        <f>ESTADISTICA!A288</f>
        <v>VILLA ANGELICA</v>
      </c>
      <c r="B290" t="str">
        <f>ESTADISTICA!B288</f>
        <v>VANG06</v>
      </c>
      <c r="C290" t="str">
        <f>ESTADISTICA!C288</f>
        <v>Arenales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hidden="1" x14ac:dyDescent="0.25">
      <c r="A291" t="str">
        <f>ESTADISTICA!A289</f>
        <v>VILLA ANGELICA</v>
      </c>
      <c r="B291" t="str">
        <f>ESTADISTICA!B289</f>
        <v>VANG07</v>
      </c>
      <c r="C291" t="str">
        <f>ESTADISTICA!C289</f>
        <v>Arenales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hidden="1" x14ac:dyDescent="0.25">
      <c r="A292" t="str">
        <f>ESTADISTICA!A290</f>
        <v>VILLA ANGELICA</v>
      </c>
      <c r="B292" t="str">
        <f>ESTADISTICA!B290</f>
        <v>VANG08</v>
      </c>
      <c r="C292" t="str">
        <f>ESTADISTICA!C290</f>
        <v>Calle 158 al 2200</v>
      </c>
      <c r="D292" t="str">
        <f>ESTADISTICA!D290</f>
        <v>Domo</v>
      </c>
      <c r="E292" t="str">
        <f>ESTADISTICA!E290</f>
        <v>PTP A FO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hidden="1" x14ac:dyDescent="0.25">
      <c r="A293" t="str">
        <f>ESTADISTICA!A291</f>
        <v>PRESIDENTE SARMIENTO</v>
      </c>
      <c r="B293" t="str">
        <f>ESTADISTICA!B291</f>
        <v>VANG09</v>
      </c>
      <c r="C293" t="str">
        <f>ESTADISTICA!C291</f>
        <v>Ruta 36 y Senzabello</v>
      </c>
      <c r="D293" t="str">
        <f>ESTADISTICA!D291</f>
        <v>Domo</v>
      </c>
      <c r="E293" t="str">
        <f>ESTADISTICA!E291</f>
        <v>PTP A FO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 t="str">
        <f>ESTADISTICA!P291</f>
        <v>APAGADO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x14ac:dyDescent="0.25">
      <c r="A294" t="str">
        <f>ESTADISTICA!A292</f>
        <v>VILLA ARGENTINA</v>
      </c>
      <c r="B294" t="str">
        <f>ESTADISTICA!B292</f>
        <v>VAR 01</v>
      </c>
      <c r="C294" t="str">
        <f>ESTADISTICA!C292</f>
        <v>Calle 519 y 546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 t="str">
        <f>ESTADISTICA!K292</f>
        <v>APAGADO</v>
      </c>
      <c r="L294">
        <f>ESTADISTICA!L292</f>
        <v>0</v>
      </c>
      <c r="M294" t="str">
        <f>ESTADISTICA!M292</f>
        <v>APAGADO</v>
      </c>
      <c r="N294" t="str">
        <f>ESTADISTICA!N292</f>
        <v>APAGADO</v>
      </c>
      <c r="O294" t="str">
        <f>ESTADISTICA!O292</f>
        <v>APAGADO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hidden="1" x14ac:dyDescent="0.25">
      <c r="A295" t="str">
        <f>ESTADISTICA!A293</f>
        <v>VILLA ARGENTINA</v>
      </c>
      <c r="B295" t="str">
        <f>ESTADISTICA!B293</f>
        <v>VAR 02</v>
      </c>
      <c r="C295" t="str">
        <f>ESTADISTICA!C293</f>
        <v>DIAGONAL LOS TILOS Y 542</v>
      </c>
      <c r="D295" t="str">
        <f>ESTADISTICA!D293</f>
        <v>DOMO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25">
      <c r="A296" t="str">
        <f>ESTADISTICA!A294</f>
        <v>VILLA ARGENTINA</v>
      </c>
      <c r="B296" t="str">
        <f>ESTADISTICA!B294</f>
        <v>VAR03 (fija 1)</v>
      </c>
      <c r="C296" t="str">
        <f>ESTADISTICA!C294</f>
        <v>509 y 546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25">
      <c r="A297" t="str">
        <f>ESTADISTICA!A295</f>
        <v>VILLA ARGENTINA</v>
      </c>
      <c r="B297" t="str">
        <f>ESTADISTICA!B295</f>
        <v>VAR04 (fija 2)</v>
      </c>
      <c r="C297" t="str">
        <f>ESTADISTICA!C295</f>
        <v>509 y 546</v>
      </c>
      <c r="D297" t="str">
        <f>ESTADISTICA!D295</f>
        <v>Fija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25">
      <c r="A298" t="str">
        <f>ESTADISTICA!A296</f>
        <v>VILLA ARGENTINA</v>
      </c>
      <c r="B298" t="str">
        <f>ESTADISTICA!B296</f>
        <v>VAR05 (fija 1)</v>
      </c>
      <c r="C298" t="str">
        <f>ESTADISTICA!C296</f>
        <v>511 E/ 544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25">
      <c r="A299" t="str">
        <f>ESTADISTICA!A297</f>
        <v>VILLA ARGENTINA</v>
      </c>
      <c r="B299" t="str">
        <f>ESTADISTICA!B297</f>
        <v>VAR06 (fija 2)</v>
      </c>
      <c r="C299" t="str">
        <f>ESTADISTICA!C297</f>
        <v>511 E/ 544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25">
      <c r="A300" t="str">
        <f>ESTADISTICA!A298</f>
        <v>VILLA ARGENTINA</v>
      </c>
      <c r="B300" t="str">
        <f>ESTADISTICA!B298</f>
        <v>VAR07</v>
      </c>
      <c r="C300" t="str">
        <f>ESTADISTICA!C298</f>
        <v>DIAG. LOS TILOS Y 517</v>
      </c>
      <c r="D300" t="str">
        <f>ESTADISTICA!D298</f>
        <v>DOMO</v>
      </c>
      <c r="E300" t="str">
        <f>ESTADISTICA!E298</f>
        <v>Fibra Optica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25">
      <c r="A301" t="str">
        <f>ESTADISTICA!A299</f>
        <v>VILLA ARGENTINA</v>
      </c>
      <c r="B301" t="str">
        <f>ESTADISTICA!B299</f>
        <v>VAR08 (fija 1)</v>
      </c>
      <c r="C301" t="str">
        <f>ESTADISTICA!C299</f>
        <v>534 Y 523</v>
      </c>
      <c r="D301" t="str">
        <f>ESTADISTICA!D299</f>
        <v>Fija</v>
      </c>
      <c r="E301" t="str">
        <f>ESTADISTICA!E299</f>
        <v>Fibra Optica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hidden="1" x14ac:dyDescent="0.25">
      <c r="A302" t="str">
        <f>ESTADISTICA!A300</f>
        <v>VILLA ARGENTINA</v>
      </c>
      <c r="B302" t="str">
        <f>ESTADISTICA!B300</f>
        <v>VAR09 (fija 2)</v>
      </c>
      <c r="C302" t="str">
        <f>ESTADISTICA!C300</f>
        <v>534 Y 523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hidden="1" x14ac:dyDescent="0.25">
      <c r="A303" t="str">
        <f>ESTADISTICA!A301</f>
        <v>VILLA ARGENTINA</v>
      </c>
      <c r="B303" t="str">
        <f>ESTADISTICA!B301</f>
        <v>VAR10 (fija 1)</v>
      </c>
      <c r="C303" t="str">
        <f>ESTADISTICA!C301</f>
        <v>532 A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hidden="1" x14ac:dyDescent="0.25">
      <c r="A304" t="str">
        <f>ESTADISTICA!A302</f>
        <v>VILLA ARGENTINA</v>
      </c>
      <c r="B304" t="str">
        <f>ESTADISTICA!B302</f>
        <v>VAR11 (fija 2)</v>
      </c>
      <c r="C304" t="str">
        <f>ESTADISTICA!C302</f>
        <v>532 A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25">
      <c r="A305">
        <f>ESTADISTICA!A303</f>
        <v>0</v>
      </c>
      <c r="B305" t="str">
        <f>ESTADISTICA!B303</f>
        <v>VAT 12</v>
      </c>
      <c r="C305" t="str">
        <f>ESTADISTICA!C303</f>
        <v>12 DE OCTUBRE Y CHACO</v>
      </c>
      <c r="D305" t="str">
        <f>ESTADISTICA!D303</f>
        <v>DOMO</v>
      </c>
      <c r="E305" t="str">
        <f>ESTADISTICA!E303</f>
        <v>PTP A FO</v>
      </c>
      <c r="F305" t="str">
        <f>ESTADISTICA!F303</f>
        <v>APAGADO</v>
      </c>
      <c r="G305" t="str">
        <f>ESTADISTICA!G303</f>
        <v>APAGADO</v>
      </c>
      <c r="H305">
        <f>ESTADISTICA!H303</f>
        <v>0</v>
      </c>
      <c r="I305">
        <f>ESTADISTICA!I303</f>
        <v>0</v>
      </c>
      <c r="J305" t="str">
        <f>ESTADISTICA!J303</f>
        <v>APAGADO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 t="str">
        <f>ESTADISTICA!R303</f>
        <v>APAGADO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25">
      <c r="A306" t="str">
        <f>ESTADISTICA!A304</f>
        <v>VILLA VATTEONE CENTRO</v>
      </c>
      <c r="B306" t="str">
        <f>ESTADISTICA!B304</f>
        <v>VAT 13</v>
      </c>
      <c r="C306" t="str">
        <f>ESTADISTICA!C304</f>
        <v>Av.12 de Octubre y Belgrano</v>
      </c>
      <c r="D306" t="str">
        <f>ESTADISTICA!D304</f>
        <v>Domo</v>
      </c>
      <c r="E306" t="str">
        <f>ESTADISTICA!E304</f>
        <v>PTP A FO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25">
      <c r="A307">
        <f>ESTADISTICA!A305</f>
        <v>0</v>
      </c>
      <c r="B307" t="str">
        <f>ESTADISTICA!B305</f>
        <v>VAT 15</v>
      </c>
      <c r="C307" t="str">
        <f>ESTADISTICA!C305</f>
        <v>CORRIENTES Y VICENTE LOPEZ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25">
      <c r="A308" t="str">
        <f>ESTADISTICA!A306</f>
        <v>VILLA VATTEONE</v>
      </c>
      <c r="B308" t="str">
        <f>ESTADISTICA!B306</f>
        <v>VAT 16</v>
      </c>
      <c r="C308" t="str">
        <f>ESTADISTICA!C306</f>
        <v>MONTEVIDEO Y CHACO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25">
      <c r="A309" t="str">
        <f>ESTADISTICA!A307</f>
        <v>VILLA VATTEONE</v>
      </c>
      <c r="B309" t="str">
        <f>ESTADISTICA!B307</f>
        <v>VAT 17</v>
      </c>
      <c r="C309" t="str">
        <f>ESTADISTICA!C307</f>
        <v>CHAÑAR Y URUGUAY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25">
      <c r="A310" t="str">
        <f>ESTADISTICA!A308</f>
        <v>VILLA VATTEONE CENTRO</v>
      </c>
      <c r="B310" t="str">
        <f>ESTADISTICA!B308</f>
        <v>VAT 18</v>
      </c>
      <c r="C310" t="str">
        <f>ESTADISTICA!C308</f>
        <v>LAVALLE Y FONROUGE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 t="str">
        <f>ESTADISTICA!R308</f>
        <v>APAGADO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25">
      <c r="A311" t="str">
        <f>ESTADISTICA!A309</f>
        <v>VILLA VATTEONE CENTRO</v>
      </c>
      <c r="B311" t="str">
        <f>ESTADISTICA!B309</f>
        <v>VAT 19</v>
      </c>
      <c r="C311" t="str">
        <f>ESTADISTICA!C309</f>
        <v>QUINTANA Y FONROUGE ( TUCUMAN )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25">
      <c r="A312" t="str">
        <f>ESTADISTICA!A310</f>
        <v>VILLA VATTEONE</v>
      </c>
      <c r="B312" t="str">
        <f>ESTADISTICA!B310</f>
        <v>VAT 20</v>
      </c>
      <c r="C312" t="str">
        <f>ESTADISTICA!C310</f>
        <v>URUGUAY Y PILCOMAYO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25">
      <c r="A313" t="str">
        <f>ESTADISTICA!A311</f>
        <v>VILLA VATTEONE</v>
      </c>
      <c r="B313" t="str">
        <f>ESTADISTICA!B311</f>
        <v>VAT01</v>
      </c>
      <c r="C313" t="str">
        <f>ESTADISTICA!C311</f>
        <v>Montevideo y El Chañar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25">
      <c r="A314" t="str">
        <f>ESTADISTICA!A312</f>
        <v>VILLA VATTEONE CENTRO</v>
      </c>
      <c r="B314" t="str">
        <f>ESTADISTICA!B312</f>
        <v>VAT02</v>
      </c>
      <c r="C314" t="str">
        <f>ESTADISTICA!C312</f>
        <v>Eva Peron y 12 de Octubre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25">
      <c r="A315" t="str">
        <f>ESTADISTICA!A313</f>
        <v>VILLA VATTEONE CENTRO</v>
      </c>
      <c r="B315" t="str">
        <f>ESTADISTICA!B313</f>
        <v>VAT03</v>
      </c>
      <c r="C315" t="str">
        <f>ESTADISTICA!C313</f>
        <v>Lavalle y Belgrano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25">
      <c r="A316" t="str">
        <f>ESTADISTICA!A314</f>
        <v>VILLA VATTEONE CENTRO</v>
      </c>
      <c r="B316" t="str">
        <f>ESTADISTICA!B314</f>
        <v>VAT04</v>
      </c>
      <c r="C316" t="str">
        <f>ESTADISTICA!C314</f>
        <v>Lavalle y Entre Rios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25">
      <c r="A317" t="str">
        <f>ESTADISTICA!A315</f>
        <v>VILLA VATTEONE CENTRO</v>
      </c>
      <c r="B317" t="str">
        <f>ESTADISTICA!B315</f>
        <v>VAT05</v>
      </c>
      <c r="C317" t="str">
        <f>ESTADISTICA!C315</f>
        <v>Lavalle y Colombia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hidden="1" x14ac:dyDescent="0.25">
      <c r="A318" t="str">
        <f>ESTADISTICA!A316</f>
        <v>VILLA VATTEONE CENTRO</v>
      </c>
      <c r="B318" t="str">
        <f>ESTADISTICA!B316</f>
        <v>VAT06</v>
      </c>
      <c r="C318" t="str">
        <f>ESTADISTICA!C316</f>
        <v>Eva Peron y Pueyrredon</v>
      </c>
      <c r="D318" t="str">
        <f>ESTADISTICA!D316</f>
        <v>Domo</v>
      </c>
      <c r="E318" t="str">
        <f>ESTADISTICA!E316</f>
        <v>Fibra Optica</v>
      </c>
      <c r="F318" t="str">
        <f>ESTADISTICA!F316</f>
        <v>APAGADO</v>
      </c>
      <c r="G318" t="str">
        <f>ESTADISTICA!G316</f>
        <v>APAGADO</v>
      </c>
      <c r="H318" t="str">
        <f>ESTADISTICA!H316</f>
        <v>APAGADO</v>
      </c>
      <c r="I318" t="str">
        <f>ESTADISTICA!I316</f>
        <v>APAGADO</v>
      </c>
      <c r="J318" t="str">
        <f>ESTADISTICA!J316</f>
        <v>APAGADO</v>
      </c>
      <c r="K318" t="str">
        <f>ESTADISTICA!K316</f>
        <v>APAGADO</v>
      </c>
      <c r="L318" t="str">
        <f>ESTADISTICA!L316</f>
        <v>APAGADO</v>
      </c>
      <c r="M318" t="str">
        <f>ESTADISTICA!M316</f>
        <v>APAGADO</v>
      </c>
      <c r="N318" t="str">
        <f>ESTADISTICA!N316</f>
        <v>APAGADO</v>
      </c>
      <c r="O318" t="str">
        <f>ESTADISTICA!O316</f>
        <v>APAGADO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25">
      <c r="A319" t="str">
        <f>ESTADISTICA!A317</f>
        <v>VILLA VATTEONE CENTRO</v>
      </c>
      <c r="B319" t="str">
        <f>ESTADISTICA!B317</f>
        <v>VAT07</v>
      </c>
      <c r="C319" t="str">
        <f>ESTADISTICA!C317</f>
        <v>Eva Peron y Lavalle</v>
      </c>
      <c r="D319" t="str">
        <f>ESTADISTICA!D317</f>
        <v>DOMO</v>
      </c>
      <c r="E319" t="str">
        <f>ESTADISTICA!E317</f>
        <v>PTP A FO</v>
      </c>
      <c r="F319" t="str">
        <f>ESTADISTICA!F317</f>
        <v>APAGADO</v>
      </c>
      <c r="G319" t="str">
        <f>ESTADISTICA!G317</f>
        <v>APAGADO</v>
      </c>
      <c r="H319" t="str">
        <f>ESTADISTICA!H317</f>
        <v>APAGADO</v>
      </c>
      <c r="I319" t="str">
        <f>ESTADISTICA!I317</f>
        <v>APAGADO</v>
      </c>
      <c r="J319" t="str">
        <f>ESTADISTICA!J317</f>
        <v>APAGADO</v>
      </c>
      <c r="K319" t="str">
        <f>ESTADISTICA!K317</f>
        <v>APAGADO</v>
      </c>
      <c r="L319" t="str">
        <f>ESTADISTICA!L317</f>
        <v>APAGADO</v>
      </c>
      <c r="M319" t="str">
        <f>ESTADISTICA!M317</f>
        <v>APAGADO</v>
      </c>
      <c r="N319" t="str">
        <f>ESTADISTICA!N317</f>
        <v>APAGADO</v>
      </c>
      <c r="O319" t="str">
        <f>ESTADISTICA!O317</f>
        <v>APAGADO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25">
      <c r="A320" t="str">
        <f>ESTADISTICA!A318</f>
        <v>VILLA VATTEONE</v>
      </c>
      <c r="B320" t="str">
        <f>ESTADISTICA!B318</f>
        <v>VAT08</v>
      </c>
      <c r="C320" t="str">
        <f>ESTADISTICA!C318</f>
        <v>12 de Octubre y Florida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25">
      <c r="A321" t="str">
        <f>ESTADISTICA!A319</f>
        <v>VILLA VATTEONE</v>
      </c>
      <c r="B321" t="str">
        <f>ESTADISTICA!B319</f>
        <v>VAT09</v>
      </c>
      <c r="C321" t="str">
        <f>ESTADISTICA!C319</f>
        <v>Montevideo y Alsina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25">
      <c r="A322" t="str">
        <f>ESTADISTICA!A320</f>
        <v>VILLA VATTEONE CENTRO</v>
      </c>
      <c r="B322" t="str">
        <f>ESTADISTICA!B320</f>
        <v>VAT10</v>
      </c>
      <c r="C322" t="str">
        <f>ESTADISTICA!C320</f>
        <v>Belgrano y Quintana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25">
      <c r="A323" t="str">
        <f>ESTADISTICA!A321</f>
        <v>VILLA VATTEONE</v>
      </c>
      <c r="B323" t="str">
        <f>ESTADISTICA!B321</f>
        <v>VAT11</v>
      </c>
      <c r="C323" t="str">
        <f>ESTADISTICA!C321</f>
        <v>Mainini y Montevideo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25">
      <c r="A324">
        <f>ESTADISTICA!A322</f>
        <v>0</v>
      </c>
      <c r="B324" t="str">
        <f>ESTADISTICA!B322</f>
        <v>VAT14</v>
      </c>
      <c r="C324" t="str">
        <f>ESTADISTICA!C322</f>
        <v>FLORIDA Y MONTEVIDEO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25">
      <c r="A325" t="str">
        <f>ESTADISTICA!A323</f>
        <v>VILLA VATTEONE CENTRO</v>
      </c>
      <c r="B325" t="str">
        <f>ESTADISTICA!B323</f>
        <v>VAT21 (fija 1)</v>
      </c>
      <c r="C325" t="str">
        <f>ESTADISTICA!C323</f>
        <v>QUINTANA E/ BELGRANO Y FONROUGE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25">
      <c r="A326" t="str">
        <f>ESTADISTICA!A324</f>
        <v>VILLA VATTEONE CENTRO</v>
      </c>
      <c r="B326" t="str">
        <f>ESTADISTICA!B324</f>
        <v>VAT22 (fija 2)</v>
      </c>
      <c r="C326" t="str">
        <f>ESTADISTICA!C324</f>
        <v>QUINTANA E/ BELGRANO Y FONROUGE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25">
      <c r="A327" t="str">
        <f>ESTADISTICA!A325</f>
        <v>VILLA VATTEONE CENTRO</v>
      </c>
      <c r="B327" t="str">
        <f>ESTADISTICA!B325</f>
        <v>VAT23 (fija 1)</v>
      </c>
      <c r="C327" t="str">
        <f>ESTADISTICA!C325</f>
        <v>EVA PERON Y "EL TUNEL" (BAJO NIVEL)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25">
      <c r="A328" t="str">
        <f>ESTADISTICA!A326</f>
        <v>VILLA VATTEONE CENTRO</v>
      </c>
      <c r="B328" t="str">
        <f>ESTADISTICA!B326</f>
        <v>VAT24 (fija 2)</v>
      </c>
      <c r="C328" t="str">
        <f>ESTADISTICA!C326</f>
        <v>EVA PERON Y "EL TUNEL" (BAJO NIVEL)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 t="str">
        <f>ESTADISTICA!J326</f>
        <v>APAGADO</v>
      </c>
      <c r="K328" t="str">
        <f>ESTADISTICA!K326</f>
        <v>APAGADO</v>
      </c>
      <c r="L328" t="str">
        <f>ESTADISTICA!L326</f>
        <v>APAGADO</v>
      </c>
      <c r="M328" t="str">
        <f>ESTADISTICA!M326</f>
        <v>APAGADO</v>
      </c>
      <c r="N328" t="str">
        <f>ESTADISTICA!N326</f>
        <v>APAGADO</v>
      </c>
      <c r="O328" t="str">
        <f>ESTADISTICA!O326</f>
        <v>APAGADO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25">
      <c r="A329" t="str">
        <f>ESTADISTICA!A327</f>
        <v>VILLA AURORA</v>
      </c>
      <c r="B329" t="str">
        <f>ESTADISTICA!B327</f>
        <v>VAU 07</v>
      </c>
      <c r="C329" t="str">
        <f>ESTADISTICA!C327</f>
        <v>VICTORINO DE LA PLAZA Y MONTEVERDE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25">
      <c r="A330" t="str">
        <f>ESTADISTICA!A328</f>
        <v>VILLA AURORA</v>
      </c>
      <c r="B330" t="str">
        <f>ESTADISTICA!B328</f>
        <v>VAU01</v>
      </c>
      <c r="C330" t="str">
        <f>ESTADISTICA!C328</f>
        <v>San Martin y Monteverde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25">
      <c r="A331" t="str">
        <f>ESTADISTICA!A329</f>
        <v>SAN EMILIO</v>
      </c>
      <c r="B331" t="str">
        <f>ESTADISTICA!B329</f>
        <v>VAU02</v>
      </c>
      <c r="C331" t="str">
        <f>ESTADISTICA!C329</f>
        <v>San Martin y Lope de Vega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25">
      <c r="A332" t="str">
        <f>ESTADISTICA!A330</f>
        <v>VILLA AURORA</v>
      </c>
      <c r="B332" t="str">
        <f>ESTADISTICA!B330</f>
        <v>VAU03 (fija 1)</v>
      </c>
      <c r="C332" t="str">
        <f>ESTADISTICA!C330</f>
        <v>PIZZURNO Y NUESTRAS MALVINAS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25">
      <c r="A333" t="str">
        <f>ESTADISTICA!A331</f>
        <v>VILLA AURORA</v>
      </c>
      <c r="B333" t="str">
        <f>ESTADISTICA!B331</f>
        <v>VAU04 (fija 2)</v>
      </c>
      <c r="C333" t="str">
        <f>ESTADISTICA!C331</f>
        <v>PIZZURNO Y NUESTRAS MALVINAS</v>
      </c>
      <c r="D333" t="str">
        <f>ESTADISTICA!D331</f>
        <v>Fija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25">
      <c r="A334" t="str">
        <f>ESTADISTICA!A332</f>
        <v>VILLA AURORA</v>
      </c>
      <c r="B334" t="str">
        <f>ESTADISTICA!B332</f>
        <v>VAU05 (fija 1)</v>
      </c>
      <c r="C334" t="str">
        <f>ESTADISTICA!C332</f>
        <v>GUIDO SPANO Y VICTORINO DE LA PLAZA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25">
      <c r="A335" t="str">
        <f>ESTADISTICA!A333</f>
        <v>VILLA AURORA</v>
      </c>
      <c r="B335" t="str">
        <f>ESTADISTICA!B333</f>
        <v>VAU06 (fija 2)</v>
      </c>
      <c r="C335" t="str">
        <f>ESTADISTICA!C333</f>
        <v>GUIDO SPANO Y VICTORINO DE LA PLAZA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25">
      <c r="A336" t="str">
        <f>ESTADISTICA!A334</f>
        <v>VILLA AURORA</v>
      </c>
      <c r="B336" t="str">
        <f>ESTADISTICA!B334</f>
        <v>VAU08</v>
      </c>
      <c r="C336" t="str">
        <f>ESTADISTICA!C334</f>
        <v>MONTEVERDE Y WASHINGTON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25">
      <c r="A337" t="str">
        <f>ESTADISTICA!A335</f>
        <v>VILLA DEL PLATA</v>
      </c>
      <c r="B337" t="str">
        <f>ESTADISTICA!B335</f>
        <v>VDPL02</v>
      </c>
      <c r="C337" t="str">
        <f>ESTADISTICA!C335</f>
        <v>Thevenet y Berutti</v>
      </c>
      <c r="D337" t="str">
        <f>ESTADISTICA!D335</f>
        <v>Domo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25">
      <c r="A338" t="str">
        <f>ESTADISTICA!A336</f>
        <v>VILLA DEL PLATA</v>
      </c>
      <c r="B338" t="str">
        <f>ESTADISTICA!B336</f>
        <v>VDPL03</v>
      </c>
      <c r="C338" t="str">
        <f>ESTADISTICA!C336</f>
        <v>Neuquen y Alvarado</v>
      </c>
      <c r="D338" t="str">
        <f>ESTADISTICA!D336</f>
        <v>Domo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25">
      <c r="A339" t="str">
        <f>ESTADISTICA!A337</f>
        <v>VILLA DEL PLATA</v>
      </c>
      <c r="B339" t="str">
        <f>ESTADISTICA!B337</f>
        <v>VDPL04</v>
      </c>
      <c r="C339" t="str">
        <f>ESTADISTICA!C337</f>
        <v>Neuquen y Diagonal Guemes</v>
      </c>
      <c r="D339" t="str">
        <f>ESTADISTICA!D337</f>
        <v>Domo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25">
      <c r="A340" t="str">
        <f>ESTADISTICA!A338</f>
        <v>VILLA DEL PLATA</v>
      </c>
      <c r="B340" t="str">
        <f>ESTADISTICA!B338</f>
        <v>VDPL05</v>
      </c>
      <c r="C340" t="str">
        <f>ESTADISTICA!C338</f>
        <v>Ruta 36 y Abraham</v>
      </c>
      <c r="D340" t="str">
        <f>ESTADISTICA!D338</f>
        <v>Domo</v>
      </c>
      <c r="E340" t="str">
        <f>ESTADISTICA!E338</f>
        <v>PTP A FO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25">
      <c r="A341" t="str">
        <f>ESTADISTICA!A339</f>
        <v>VILLA ANGELICA</v>
      </c>
      <c r="B341" t="str">
        <f>ESTADISTICA!B339</f>
        <v>VDPL06</v>
      </c>
      <c r="C341" t="str">
        <f>ESTADISTICA!C339</f>
        <v>Thevenet e/ Islas Orcadas y Gardel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hidden="1" x14ac:dyDescent="0.25">
      <c r="A342" t="str">
        <f>ESTADISTICA!A340</f>
        <v>VILLA HUDSON</v>
      </c>
      <c r="B342" t="str">
        <f>ESTADISTICA!B340</f>
        <v>VHS 01</v>
      </c>
      <c r="C342" t="str">
        <f>ESTADISTICA!C340</f>
        <v>AV. HUDSON Y AV. LUJAN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25">
      <c r="A343" t="str">
        <f>ESTADISTICA!A341</f>
        <v>VILLA HUDSON</v>
      </c>
      <c r="B343" t="str">
        <f>ESTADISTICA!B341</f>
        <v>VHS 02</v>
      </c>
      <c r="C343" t="str">
        <f>ESTADISTICA!C341</f>
        <v>AV. LUJAN Y CALLE 909 A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25">
      <c r="A344" t="str">
        <f>ESTADISTICA!A342</f>
        <v>VILLA HUDSON</v>
      </c>
      <c r="B344" t="str">
        <f>ESTADISTICA!B342</f>
        <v>VHS03 (fija 1)</v>
      </c>
      <c r="C344" t="str">
        <f>ESTADISTICA!C342</f>
        <v>AV. HUDSON Y LOS INMIGRANTES</v>
      </c>
      <c r="D344" t="str">
        <f>ESTADISTICA!D342</f>
        <v>Fija</v>
      </c>
      <c r="E344" t="str">
        <f>ESTADISTICA!E342</f>
        <v>Fibra Optica</v>
      </c>
      <c r="F344" t="str">
        <f>ESTADISTICA!F342</f>
        <v>APAGADO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 t="str">
        <f>ESTADISTICA!K342</f>
        <v>APAGADO</v>
      </c>
      <c r="L344" t="str">
        <f>ESTADISTICA!L342</f>
        <v>APAGADO</v>
      </c>
      <c r="M344" t="str">
        <f>ESTADISTICA!M342</f>
        <v>APAGADO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25">
      <c r="A345" t="str">
        <f>ESTADISTICA!A343</f>
        <v>VILLA HUDSON</v>
      </c>
      <c r="B345" t="str">
        <f>ESTADISTICA!B343</f>
        <v>VHS04 (fija 2)</v>
      </c>
      <c r="C345" t="str">
        <f>ESTADISTICA!C343</f>
        <v>AV. HUDSON Y LOS INMIGRANTES</v>
      </c>
      <c r="D345" t="str">
        <f>ESTADISTICA!D343</f>
        <v>Fija</v>
      </c>
      <c r="E345" t="str">
        <f>ESTADISTICA!E343</f>
        <v>Fibra Optica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 t="str">
        <f>ESTADISTICA!K343</f>
        <v>APAGADO</v>
      </c>
      <c r="L345" t="str">
        <f>ESTADISTICA!L343</f>
        <v>APAGADO</v>
      </c>
      <c r="M345" t="str">
        <f>ESTADISTICA!M343</f>
        <v>APAGADO</v>
      </c>
      <c r="N345" t="str">
        <f>ESTADISTICA!N343</f>
        <v>APAGADO</v>
      </c>
      <c r="O345" t="str">
        <f>ESTADISTICA!O343</f>
        <v>APAGADO</v>
      </c>
      <c r="P345" t="str">
        <f>ESTADISTICA!P343</f>
        <v>APAGADO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hidden="1" x14ac:dyDescent="0.25">
      <c r="A346" t="str">
        <f>ESTADISTICA!A344</f>
        <v>VILLA ARIAS</v>
      </c>
      <c r="B346" t="str">
        <f>ESTADISTICA!B344</f>
        <v>VLA01 (fija 1)</v>
      </c>
      <c r="C346" t="str">
        <f>ESTADISTICA!C344</f>
        <v>820 Y SOLER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25">
      <c r="A347" t="str">
        <f>ESTADISTICA!A345</f>
        <v>VILLA ARIAS</v>
      </c>
      <c r="B347" t="str">
        <f>ESTADISTICA!B345</f>
        <v>VLA02</v>
      </c>
      <c r="C347" t="str">
        <f>ESTADISTICA!C345</f>
        <v>ESPORA Y HUDSON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>
        <f>ESTADISTICA!N345</f>
        <v>0</v>
      </c>
      <c r="O347">
        <f>ESTADISTICA!O345</f>
        <v>0</v>
      </c>
      <c r="P347">
        <f>ESTADISTICA!P345</f>
        <v>0</v>
      </c>
      <c r="Q347" t="str">
        <f>ESTADISTICA!Q345</f>
        <v>APAGADO</v>
      </c>
      <c r="R347" t="str">
        <f>ESTADISTICA!R345</f>
        <v>APAGADO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25">
      <c r="A348" t="str">
        <f>ESTADISTICA!A346</f>
        <v>VILLA ARIAS</v>
      </c>
      <c r="B348" t="str">
        <f>ESTADISTICA!B346</f>
        <v>VLA03 (fija 2)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25">
      <c r="A349" t="str">
        <f>ESTADISTICA!A347</f>
        <v>VILLA ARIAS</v>
      </c>
      <c r="B349" t="str">
        <f>ESTADISTICA!B347</f>
        <v>VLA04</v>
      </c>
      <c r="C349" t="str">
        <f>ESTADISTICA!C347</f>
        <v>ESPORA Y MARTIN GRASS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25">
      <c r="A350" t="str">
        <f>ESTADISTICA!A348</f>
        <v>VILLA ARIAS</v>
      </c>
      <c r="B350" t="str">
        <f>ESTADISTICA!B348</f>
        <v>VLA05</v>
      </c>
      <c r="C350" t="str">
        <f>ESTADISTICA!C348</f>
        <v>ESPORA Y 802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25">
      <c r="A351" t="str">
        <f>ESTADISTICA!A349</f>
        <v>VILLA MONICA NUEVA</v>
      </c>
      <c r="B351" t="str">
        <f>ESTADISTICA!B349</f>
        <v>VMO 02</v>
      </c>
      <c r="C351" t="str">
        <f>ESTADISTICA!C349</f>
        <v>Rio Carapachay y Oroño</v>
      </c>
      <c r="D351" t="str">
        <f>ESTADISTICA!D349</f>
        <v>Domo</v>
      </c>
      <c r="E351" t="str">
        <f>ESTADISTICA!E349</f>
        <v>Radio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hidden="1" x14ac:dyDescent="0.25">
      <c r="A352">
        <f>ESTADISTICA!A350</f>
        <v>0</v>
      </c>
      <c r="B352" t="str">
        <f>ESTADISTICA!B350</f>
        <v>VMO01</v>
      </c>
      <c r="C352" t="str">
        <f>ESTADISTICA!C350</f>
        <v>Eva Peron y Monseñor de las Casas</v>
      </c>
      <c r="D352" t="str">
        <f>ESTADISTICA!D350</f>
        <v>DOMO</v>
      </c>
      <c r="E352">
        <f>ESTADISTICA!E350</f>
        <v>0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 t="str">
        <f>ESTADISTICA!J350</f>
        <v>APAGADO</v>
      </c>
      <c r="K352" t="str">
        <f>ESTADISTICA!K350</f>
        <v>APAGADO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 t="str">
        <f>ESTADISTICA!Q350</f>
        <v>APAGADO</v>
      </c>
      <c r="R352" t="str">
        <f>ESTADISTICA!R350</f>
        <v>APAGADO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25">
      <c r="A353" t="str">
        <f>ESTADISTICA!A351</f>
        <v>VILLA MONICA NUEVA</v>
      </c>
      <c r="B353" t="str">
        <f>ESTADISTICA!B351</f>
        <v>VMO03 (fija 1)</v>
      </c>
      <c r="C353" t="str">
        <f>ESTADISTICA!C351</f>
        <v>EVA PERON E/ OROÑO Y 734 A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25">
      <c r="A354" t="str">
        <f>ESTADISTICA!A352</f>
        <v>VILLA MONICA NUEVA</v>
      </c>
      <c r="B354" t="str">
        <f>ESTADISTICA!B352</f>
        <v>VMO04 (fija 2)</v>
      </c>
      <c r="C354" t="str">
        <f>ESTADISTICA!C352</f>
        <v>EVA PERON E/ OROÑO Y 734 A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hidden="1" x14ac:dyDescent="0.25">
      <c r="A355" t="str">
        <f>ESTADISTICA!A353</f>
        <v>VILLA MONICA NUEVA</v>
      </c>
      <c r="B355" t="str">
        <f>ESTADISTICA!B353</f>
        <v>VMO05</v>
      </c>
      <c r="C355" t="str">
        <f>ESTADISTICA!C353</f>
        <v>OROÑO Y EVA PERON</v>
      </c>
      <c r="D355" t="str">
        <f>ESTADISTICA!D353</f>
        <v>DOMO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25">
      <c r="A356" t="str">
        <f>ESTADISTICA!A354</f>
        <v>VILLA MONICA VIEJA</v>
      </c>
      <c r="B356" t="str">
        <f>ESTADISTICA!B354</f>
        <v>VMOV01 (fija 1)</v>
      </c>
      <c r="C356" t="str">
        <f>ESTADISTICA!C354</f>
        <v>ATENAS E/ CAFFERATA Y ALEMANIA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25">
      <c r="A357" t="str">
        <f>ESTADISTICA!A355</f>
        <v>VILLA MONICA VIEJA</v>
      </c>
      <c r="B357" t="str">
        <f>ESTADISTICA!B355</f>
        <v>VMOV02 (fija 2)</v>
      </c>
      <c r="C357" t="str">
        <f>ESTADISTICA!C355</f>
        <v>ATENAS E/ CAFFERATA Y ALEMANIA</v>
      </c>
      <c r="D357" t="str">
        <f>ESTADISTICA!D355</f>
        <v>Fija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hidden="1" x14ac:dyDescent="0.25">
      <c r="A358" t="str">
        <f>ESTADISTICA!A356</f>
        <v>VILLA MONICA VIEJA</v>
      </c>
      <c r="B358" t="str">
        <f>ESTADISTICA!B356</f>
        <v>VMOV03 (fija 1)</v>
      </c>
      <c r="C358" t="str">
        <f>ESTADISTICA!C356</f>
        <v>ROMA E/ HOLANDA Y CAFFERATA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25">
      <c r="A359" t="str">
        <f>ESTADISTICA!A357</f>
        <v>VILLA MONICA VIEJA</v>
      </c>
      <c r="B359" t="str">
        <f>ESTADISTICA!B357</f>
        <v>VMOV04 (fija 2)</v>
      </c>
      <c r="C359" t="str">
        <f>ESTADISTICA!C357</f>
        <v>ROMA E/ HOLANDA Y CAFFERATA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25">
      <c r="A360" t="str">
        <f>ESTADISTICA!A358</f>
        <v>VILLA SAN LUIS</v>
      </c>
      <c r="B360" t="str">
        <f>ESTADISTICA!B358</f>
        <v>VSL 01</v>
      </c>
      <c r="C360" t="str">
        <f>ESTADISTICA!C358</f>
        <v>AV. HUDSON Y CACHEUTA</v>
      </c>
      <c r="D360" t="str">
        <f>ESTADISTICA!D358</f>
        <v>DOMO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x14ac:dyDescent="0.25">
      <c r="A361" t="str">
        <f>ESTADISTICA!A359</f>
        <v>VILLA SUSANA</v>
      </c>
      <c r="B361" t="str">
        <f>ESTADISTICA!B359</f>
        <v>VSU 01</v>
      </c>
      <c r="C361" t="str">
        <f>ESTADISTICA!C359</f>
        <v>CJAL. JUAN BROWN Y SANTA FE</v>
      </c>
      <c r="D361" t="str">
        <f>ESTADISTICA!D359</f>
        <v>DOMO</v>
      </c>
      <c r="E361" t="str">
        <f>ESTADISTICA!E359</f>
        <v>Radio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>
        <f>ESTADISTICA!Q359</f>
        <v>0</v>
      </c>
      <c r="R361" t="str">
        <f>ESTADISTICA!R359</f>
        <v>APAGADO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25">
      <c r="A362" t="str">
        <f>ESTADISTICA!A360</f>
        <v>VILLA SUSANA</v>
      </c>
      <c r="B362" t="str">
        <f>ESTADISTICA!B360</f>
        <v>VSU 02</v>
      </c>
      <c r="C362" t="str">
        <f>ESTADISTICA!C360</f>
        <v>CABELLO Y SANTA FE</v>
      </c>
      <c r="D362" t="str">
        <f>ESTADISTICA!D360</f>
        <v>DOMO</v>
      </c>
      <c r="E362" t="str">
        <f>ESTADISTICA!E360</f>
        <v>Radio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25">
      <c r="A363" t="str">
        <f>ESTADISTICA!A361</f>
        <v>VILLA SUSANA</v>
      </c>
      <c r="B363" t="str">
        <f>ESTADISTICA!B361</f>
        <v>VSU 03</v>
      </c>
      <c r="C363" t="str">
        <f>ESTADISTICA!C361</f>
        <v>EE.UU Y SERRANO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25">
      <c r="A364">
        <f>ESTADISTICA!A362</f>
        <v>0</v>
      </c>
      <c r="B364" t="str">
        <f>ESTADISTICA!B362</f>
        <v>ZEB 05</v>
      </c>
      <c r="C364" t="str">
        <f>ESTADISTICA!C362</f>
        <v>DIAG. GRANADEROS Y 214 BIS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25">
      <c r="A365" t="str">
        <f>ESTADISTICA!A363</f>
        <v>ZEBALLOS</v>
      </c>
      <c r="B365" t="str">
        <f>ESTADISTICA!B363</f>
        <v>ZEB02</v>
      </c>
      <c r="C365" t="str">
        <f>ESTADISTICA!C363</f>
        <v>Quinquela Martin y Sgo. del Estero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x14ac:dyDescent="0.25">
      <c r="A366" t="str">
        <f>ESTADISTICA!A364</f>
        <v>9 DE JULIO</v>
      </c>
      <c r="B366" t="str">
        <f>ESTADISTICA!B364</f>
        <v>ZEB03</v>
      </c>
      <c r="C366" t="str">
        <f>ESTADISTICA!C364</f>
        <v>Quinquela Martin y Pte. Peron</v>
      </c>
      <c r="D366" t="str">
        <f>ESTADISTICA!D364</f>
        <v>Domo</v>
      </c>
      <c r="E366" t="str">
        <f>ESTADISTICA!E364</f>
        <v>Radio</v>
      </c>
      <c r="F366" t="str">
        <f>ESTADISTICA!F364</f>
        <v>APAGADO</v>
      </c>
      <c r="G366" t="str">
        <f>ESTADISTICA!G364</f>
        <v>APAGADO</v>
      </c>
      <c r="H366" t="str">
        <f>ESTADISTICA!H364</f>
        <v>APAGADO</v>
      </c>
      <c r="I366" t="str">
        <f>ESTADISTICA!I364</f>
        <v>APAGADO</v>
      </c>
      <c r="J366" t="str">
        <f>ESTADISTICA!J364</f>
        <v>APAGADO</v>
      </c>
      <c r="K366" t="str">
        <f>ESTADISTICA!K364</f>
        <v>APAGADO</v>
      </c>
      <c r="L366" t="str">
        <f>ESTADISTICA!L364</f>
        <v>APAGADO</v>
      </c>
      <c r="M366" t="str">
        <f>ESTADISTICA!M364</f>
        <v>APAGADO</v>
      </c>
      <c r="N366" t="str">
        <f>ESTADISTICA!N364</f>
        <v>APAGADO</v>
      </c>
      <c r="O366" t="str">
        <f>ESTADISTICA!O364</f>
        <v>APAGADO</v>
      </c>
      <c r="P366" t="str">
        <f>ESTADISTICA!P364</f>
        <v>APAGADO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25">
      <c r="A367">
        <f>ESTADISTICA!A365</f>
        <v>0</v>
      </c>
      <c r="B367" t="str">
        <f>ESTADISTICA!B365</f>
        <v>ZEB04</v>
      </c>
      <c r="C367" t="str">
        <f>ESTADISTICA!C365</f>
        <v>THEVENET Y DIAGONAL GRANADEROS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25">
      <c r="A368" t="str">
        <f>ESTADISTICA!A366</f>
        <v>SANTA ANA</v>
      </c>
      <c r="B368" t="str">
        <f>ESTADISTICA!B366</f>
        <v>SAN01</v>
      </c>
      <c r="C368" t="str">
        <f>ESTADISTICA!C366</f>
        <v>HUDSON Y SUIPACHA FIJA 1</v>
      </c>
      <c r="D368" t="str">
        <f>ESTADISTICA!D366</f>
        <v>Fija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 t="str">
        <f>ESTADISTICA!A367</f>
        <v>SANTA ANA</v>
      </c>
      <c r="B369" t="str">
        <f>ESTADISTICA!B367</f>
        <v>SAN02</v>
      </c>
      <c r="C369" t="str">
        <f>ESTADISTICA!C367</f>
        <v>HUDSON Y SUIPACHA FIJA 2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FC730B5B-E791-4742-8990-AFF1FAD7E538}">
    <filterColumn colId="4">
      <filters>
        <filter val="Radio"/>
      </filters>
    </filterColumn>
    <filterColumn colId="14">
      <filters>
        <filter val="APAGADO"/>
      </filters>
    </filterColumn>
  </autoFilter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A10" workbookViewId="0">
      <selection activeCell="Q11" sqref="Q11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topLeftCell="A28" workbookViewId="0">
      <selection activeCell="E5" sqref="E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A46" workbookViewId="0">
      <selection activeCell="R17" sqref="R1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37"/>
  <sheetViews>
    <sheetView workbookViewId="0">
      <selection activeCell="B11" sqref="B11"/>
    </sheetView>
  </sheetViews>
  <sheetFormatPr baseColWidth="10" defaultRowHeight="15" x14ac:dyDescent="0.25"/>
  <cols>
    <col min="5" max="5" width="15.7109375" bestFit="1" customWidth="1"/>
  </cols>
  <sheetData>
    <row r="1" spans="1:6" x14ac:dyDescent="0.25">
      <c r="A1" t="s">
        <v>935</v>
      </c>
      <c r="B1" t="s">
        <v>20</v>
      </c>
      <c r="C1" t="s">
        <v>936</v>
      </c>
      <c r="D1" t="s">
        <v>1313</v>
      </c>
      <c r="E1" t="s">
        <v>938</v>
      </c>
      <c r="F1" t="s">
        <v>937</v>
      </c>
    </row>
    <row r="2" spans="1:6" x14ac:dyDescent="0.25">
      <c r="A2" s="26">
        <f>'APAGADOS RADIO'!F3</f>
        <v>44621</v>
      </c>
      <c r="B2">
        <f>'APAGADOS RADIO'!F2+D2</f>
        <v>10</v>
      </c>
      <c r="C2">
        <f>'APAGADOS FIBRA'!F2</f>
        <v>52</v>
      </c>
      <c r="D2">
        <f>'APAGADOS ANTENA'!F2</f>
        <v>2</v>
      </c>
      <c r="E2">
        <f>B2+C2</f>
        <v>62</v>
      </c>
      <c r="F2">
        <f>'RESUMEN TOTAL'!C1</f>
        <v>366</v>
      </c>
    </row>
    <row r="3" spans="1:6" x14ac:dyDescent="0.25">
      <c r="A3" s="26">
        <f>'APAGADOS RADIO'!G3</f>
        <v>44622</v>
      </c>
      <c r="B3">
        <f>'APAGADOS RADIO'!G2+D3</f>
        <v>11</v>
      </c>
      <c r="C3" s="31">
        <f>'APAGADOS FIBRA'!G2</f>
        <v>69</v>
      </c>
      <c r="D3">
        <f>'APAGADOS ANTENA'!G2</f>
        <v>4</v>
      </c>
      <c r="E3">
        <f t="shared" ref="E3:E4" si="0">B3+C3</f>
        <v>80</v>
      </c>
      <c r="F3">
        <f>'RESUMEN TOTAL'!C1</f>
        <v>366</v>
      </c>
    </row>
    <row r="4" spans="1:6" x14ac:dyDescent="0.25">
      <c r="A4" s="26">
        <f>'APAGADOS RADIO'!H3</f>
        <v>44623</v>
      </c>
      <c r="B4">
        <f>'APAGADOS RADIO'!H2+D4</f>
        <v>11</v>
      </c>
      <c r="C4">
        <f>'APAGADOS FIBRA'!H2</f>
        <v>66</v>
      </c>
      <c r="D4">
        <f>'APAGADOS ANTENA'!H2</f>
        <v>3</v>
      </c>
      <c r="E4">
        <f t="shared" si="0"/>
        <v>77</v>
      </c>
      <c r="F4">
        <f>'RESUMEN TOTAL'!C1</f>
        <v>366</v>
      </c>
    </row>
    <row r="5" spans="1:6" x14ac:dyDescent="0.25">
      <c r="A5" s="26">
        <f>'APAGADOS RADIO'!I3</f>
        <v>44624</v>
      </c>
      <c r="B5">
        <f>'APAGADOS RADIO'!I2+D5</f>
        <v>10</v>
      </c>
      <c r="C5" s="31">
        <f>'APAGADOS FIBRA'!I2</f>
        <v>60</v>
      </c>
      <c r="D5">
        <f>'APAGADOS ANTENA'!I2</f>
        <v>1</v>
      </c>
      <c r="E5">
        <f t="shared" ref="E5:E9" si="1">B5+C5</f>
        <v>70</v>
      </c>
      <c r="F5">
        <f>'RESUMEN TOTAL'!C1</f>
        <v>366</v>
      </c>
    </row>
    <row r="6" spans="1:6" x14ac:dyDescent="0.25">
      <c r="A6" s="26">
        <f>'APAGADOS RADIO'!J3</f>
        <v>44625</v>
      </c>
      <c r="B6">
        <f>'APAGADOS RADIO'!J2+D6</f>
        <v>9</v>
      </c>
      <c r="C6">
        <f>'APAGADOS FIBRA'!J2</f>
        <v>56</v>
      </c>
      <c r="D6">
        <f>'APAGADOS ANTENA'!F52</f>
        <v>0</v>
      </c>
      <c r="E6">
        <f t="shared" si="1"/>
        <v>65</v>
      </c>
      <c r="F6">
        <f>'RESUMEN TOTAL'!C1</f>
        <v>366</v>
      </c>
    </row>
    <row r="7" spans="1:6" x14ac:dyDescent="0.25">
      <c r="A7" s="26">
        <f>'APAGADOS RADIO'!K3</f>
        <v>44626</v>
      </c>
      <c r="B7">
        <f>'APAGADOS RADIO'!K2+D7</f>
        <v>8</v>
      </c>
      <c r="C7" s="31">
        <f>'APAGADOS FIBRA'!K2</f>
        <v>60</v>
      </c>
      <c r="D7">
        <f>'APAGADOS ANTENA'!K2</f>
        <v>1</v>
      </c>
      <c r="E7">
        <f t="shared" si="1"/>
        <v>68</v>
      </c>
      <c r="F7">
        <f>'RESUMEN TOTAL'!C1</f>
        <v>366</v>
      </c>
    </row>
    <row r="8" spans="1:6" x14ac:dyDescent="0.25">
      <c r="A8" s="26">
        <f>'APAGADOS RADIO'!L3</f>
        <v>44627</v>
      </c>
      <c r="B8">
        <f>'APAGADOS RADIO'!L2+D8</f>
        <v>10</v>
      </c>
      <c r="C8">
        <f>'APAGADOS FIBRA'!L2</f>
        <v>61</v>
      </c>
      <c r="D8">
        <f>'APAGADOS ANTENA'!L2</f>
        <v>1</v>
      </c>
      <c r="E8">
        <f t="shared" si="1"/>
        <v>71</v>
      </c>
      <c r="F8">
        <f>'RESUMEN TOTAL'!C1</f>
        <v>366</v>
      </c>
    </row>
    <row r="9" spans="1:6" x14ac:dyDescent="0.25">
      <c r="A9" s="26">
        <f>'APAGADOS RADIO'!M3</f>
        <v>44628</v>
      </c>
      <c r="B9">
        <f>'APAGADOS RADIO'!M2+D9</f>
        <v>11</v>
      </c>
      <c r="C9" s="31">
        <f>'APAGADOS FIBRA'!M2</f>
        <v>56</v>
      </c>
      <c r="D9">
        <f>'APAGADOS ANTENA'!M2</f>
        <v>2</v>
      </c>
      <c r="E9">
        <f t="shared" si="1"/>
        <v>67</v>
      </c>
      <c r="F9">
        <f>'RESUMEN TOTAL'!C1</f>
        <v>366</v>
      </c>
    </row>
    <row r="10" spans="1:6" x14ac:dyDescent="0.25">
      <c r="A10" s="26">
        <f>'APAGADOS RADIO'!N3</f>
        <v>44629</v>
      </c>
      <c r="B10">
        <f>'APAGADOS RADIO'!N2+D10</f>
        <v>16</v>
      </c>
      <c r="C10" s="31">
        <f>'APAGADOS FIBRA'!N2</f>
        <v>63</v>
      </c>
      <c r="D10">
        <f>'APAGADOS ANTENA'!N2</f>
        <v>6</v>
      </c>
      <c r="E10">
        <f t="shared" ref="E10" si="2">B10+C10</f>
        <v>79</v>
      </c>
      <c r="F10">
        <f>'RESUMEN TOTAL'!C1</f>
        <v>366</v>
      </c>
    </row>
    <row r="11" spans="1:6" x14ac:dyDescent="0.25">
      <c r="A11" s="26">
        <f>'APAGADOS RADIO'!O3</f>
        <v>44630</v>
      </c>
      <c r="B11">
        <f>'APAGADOS RADIO'!O2+D11</f>
        <v>10</v>
      </c>
      <c r="C11" s="31">
        <f>'APAGADOS FIBRA'!O2</f>
        <v>59</v>
      </c>
      <c r="D11">
        <f>'APAGADOS ANTENA'!O2</f>
        <v>2</v>
      </c>
      <c r="E11">
        <f t="shared" ref="E11" si="3">B11+C11</f>
        <v>69</v>
      </c>
      <c r="F11">
        <f>'RESUMEN TOTAL'!C1</f>
        <v>366</v>
      </c>
    </row>
    <row r="12" spans="1:6" x14ac:dyDescent="0.25">
      <c r="A12" s="26">
        <f>'APAGADOS RADIO'!P3</f>
        <v>44631</v>
      </c>
      <c r="F12">
        <f>'RESUMEN TOTAL'!C1</f>
        <v>366</v>
      </c>
    </row>
    <row r="13" spans="1:6" x14ac:dyDescent="0.25">
      <c r="A13" s="26">
        <f>'APAGADOS RADIO'!Q3</f>
        <v>44632</v>
      </c>
      <c r="F13">
        <f>'RESUMEN TOTAL'!C1</f>
        <v>366</v>
      </c>
    </row>
    <row r="14" spans="1:6" x14ac:dyDescent="0.25">
      <c r="A14" s="26">
        <f>'APAGADOS RADIO'!R3</f>
        <v>44633</v>
      </c>
      <c r="F14">
        <f>'RESUMEN TOTAL'!C1</f>
        <v>366</v>
      </c>
    </row>
    <row r="15" spans="1:6" x14ac:dyDescent="0.25">
      <c r="A15" s="26">
        <f>'APAGADOS RADIO'!S3</f>
        <v>44634</v>
      </c>
      <c r="F15">
        <f>'RESUMEN TOTAL'!C1</f>
        <v>366</v>
      </c>
    </row>
    <row r="16" spans="1:6" x14ac:dyDescent="0.25">
      <c r="A16" s="26">
        <f>'APAGADOS RADIO'!T3</f>
        <v>44635</v>
      </c>
      <c r="F16">
        <f>'RESUMEN TOTAL'!C1</f>
        <v>366</v>
      </c>
    </row>
    <row r="17" spans="1:6" x14ac:dyDescent="0.25">
      <c r="A17" s="26">
        <f>'APAGADOS RADIO'!U3</f>
        <v>44636</v>
      </c>
      <c r="F17">
        <f>'RESUMEN TOTAL'!C1</f>
        <v>366</v>
      </c>
    </row>
    <row r="18" spans="1:6" x14ac:dyDescent="0.25">
      <c r="A18" s="26">
        <f>'APAGADOS RADIO'!V3</f>
        <v>44637</v>
      </c>
      <c r="F18">
        <f>'RESUMEN TOTAL'!C1</f>
        <v>366</v>
      </c>
    </row>
    <row r="19" spans="1:6" x14ac:dyDescent="0.25">
      <c r="A19" s="26">
        <f>'APAGADOS RADIO'!W3</f>
        <v>44638</v>
      </c>
      <c r="F19">
        <f>'RESUMEN TOTAL'!C1</f>
        <v>366</v>
      </c>
    </row>
    <row r="20" spans="1:6" x14ac:dyDescent="0.25">
      <c r="A20" s="26">
        <f>'APAGADOS RADIO'!X3</f>
        <v>44639</v>
      </c>
      <c r="C20" s="31"/>
      <c r="F20">
        <f>'RESUMEN TOTAL'!C1</f>
        <v>366</v>
      </c>
    </row>
    <row r="21" spans="1:6" x14ac:dyDescent="0.25">
      <c r="A21" s="26">
        <f>'APAGADOS RADIO'!Y3</f>
        <v>44640</v>
      </c>
      <c r="F21">
        <f>'RESUMEN TOTAL'!C1</f>
        <v>366</v>
      </c>
    </row>
    <row r="22" spans="1:6" x14ac:dyDescent="0.25">
      <c r="A22" s="26">
        <f>'APAGADOS RADIO'!Z3</f>
        <v>44641</v>
      </c>
      <c r="B22" s="31"/>
      <c r="C22" s="31"/>
      <c r="F22">
        <f>'RESUMEN TOTAL'!C1</f>
        <v>366</v>
      </c>
    </row>
    <row r="23" spans="1:6" x14ac:dyDescent="0.25">
      <c r="A23" s="26">
        <f>'APAGADOS RADIO'!AA3</f>
        <v>44642</v>
      </c>
      <c r="B23" s="31"/>
      <c r="C23" s="31"/>
      <c r="F23">
        <f>'RESUMEN TOTAL'!C1</f>
        <v>366</v>
      </c>
    </row>
    <row r="24" spans="1:6" x14ac:dyDescent="0.25">
      <c r="A24" s="26">
        <f>'APAGADOS RADIO'!AB3</f>
        <v>44643</v>
      </c>
      <c r="B24" s="31"/>
      <c r="C24" s="31"/>
      <c r="F24">
        <f>'RESUMEN TOTAL'!C1</f>
        <v>366</v>
      </c>
    </row>
    <row r="25" spans="1:6" x14ac:dyDescent="0.25">
      <c r="A25" s="26">
        <f>'APAGADOS RADIO'!AC3</f>
        <v>44644</v>
      </c>
      <c r="B25" s="31"/>
      <c r="C25" s="31"/>
      <c r="F25">
        <f>'RESUMEN TOTAL'!C1</f>
        <v>366</v>
      </c>
    </row>
    <row r="26" spans="1:6" x14ac:dyDescent="0.25">
      <c r="A26" s="26">
        <f>'APAGADOS RADIO'!AD3</f>
        <v>44645</v>
      </c>
      <c r="B26" s="31"/>
      <c r="C26" s="31"/>
      <c r="F26">
        <f>'RESUMEN TOTAL'!C1</f>
        <v>366</v>
      </c>
    </row>
    <row r="27" spans="1:6" x14ac:dyDescent="0.25">
      <c r="A27" s="26">
        <f>'APAGADOS RADIO'!AE3</f>
        <v>44646</v>
      </c>
      <c r="F27">
        <f>'RESUMEN TOTAL'!C1</f>
        <v>366</v>
      </c>
    </row>
    <row r="28" spans="1:6" x14ac:dyDescent="0.25">
      <c r="A28" s="26">
        <f>'APAGADOS RADIO'!AF3</f>
        <v>44647</v>
      </c>
      <c r="F28">
        <f>'RESUMEN TOTAL'!C1</f>
        <v>366</v>
      </c>
    </row>
    <row r="29" spans="1:6" x14ac:dyDescent="0.25">
      <c r="A29" s="26">
        <f>'APAGADOS RADIO'!AG3</f>
        <v>44648</v>
      </c>
      <c r="F29">
        <f>'RESUMEN TOTAL'!C1</f>
        <v>366</v>
      </c>
    </row>
    <row r="30" spans="1:6" x14ac:dyDescent="0.25">
      <c r="A30" s="26">
        <f>'APAGADOS RADIO'!AH3</f>
        <v>44649</v>
      </c>
      <c r="F30">
        <f>'RESUMEN TOTAL'!C1</f>
        <v>366</v>
      </c>
    </row>
    <row r="31" spans="1:6" x14ac:dyDescent="0.25">
      <c r="A31" s="26">
        <f>'APAGADOS RADIO'!AI3</f>
        <v>44650</v>
      </c>
      <c r="F31">
        <f>'RESUMEN TOTAL'!C1</f>
        <v>366</v>
      </c>
    </row>
    <row r="32" spans="1:6" x14ac:dyDescent="0.25">
      <c r="A32" s="26">
        <f>'APAGADOS RADIO'!AJ3</f>
        <v>44651</v>
      </c>
      <c r="F32">
        <f>'RESUMEN TOTAL'!C1</f>
        <v>366</v>
      </c>
    </row>
    <row r="34" spans="1:30" x14ac:dyDescent="0.25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</row>
    <row r="35" spans="1:30" s="31" customFormat="1" x14ac:dyDescent="0.25"/>
    <row r="36" spans="1:30" s="31" customFormat="1" x14ac:dyDescent="0.25"/>
    <row r="37" spans="1:30" s="20" customFormat="1" x14ac:dyDescent="0.25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2022-03-14T10:51:01Z</dcterms:modified>
</cp:coreProperties>
</file>