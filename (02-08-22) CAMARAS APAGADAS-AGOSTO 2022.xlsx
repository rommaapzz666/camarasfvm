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05F1694C-CF60-4C58-9743-913A0958BED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TOTAL'!$A$4:$AS$396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AH395" i="9"/>
  <c r="AI395" i="9"/>
  <c r="AH396" i="9"/>
  <c r="AI396" i="9"/>
  <c r="AH397" i="9"/>
  <c r="AI397" i="9"/>
  <c r="AH398" i="9"/>
  <c r="AI398" i="9"/>
  <c r="AH399" i="9"/>
  <c r="AI399" i="9"/>
  <c r="AH400" i="9"/>
  <c r="AI400" i="9"/>
  <c r="AH401" i="9"/>
  <c r="AI401" i="9"/>
  <c r="D38" i="24"/>
  <c r="C39" i="24"/>
  <c r="D39" i="24" s="1"/>
  <c r="D33" i="24"/>
  <c r="C34" i="24"/>
  <c r="D34" i="24" s="1"/>
  <c r="D28" i="24"/>
  <c r="C29" i="24"/>
  <c r="D29" i="24" s="1"/>
  <c r="D23" i="24"/>
  <c r="C24" i="24"/>
  <c r="C25" i="24" s="1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A394" i="8"/>
  <c r="A396" i="11" s="1"/>
  <c r="B394" i="8"/>
  <c r="C394" i="8"/>
  <c r="D394" i="8"/>
  <c r="E394" i="8"/>
  <c r="F394" i="8"/>
  <c r="F396" i="21" s="1"/>
  <c r="G394" i="8"/>
  <c r="G395" i="9" s="1"/>
  <c r="H394" i="8"/>
  <c r="I394" i="8"/>
  <c r="I396" i="11" s="1"/>
  <c r="J394" i="8"/>
  <c r="K394" i="8"/>
  <c r="L394" i="8"/>
  <c r="M394" i="8"/>
  <c r="N394" i="8"/>
  <c r="N396" i="21" s="1"/>
  <c r="O394" i="8"/>
  <c r="O395" i="9" s="1"/>
  <c r="P394" i="8"/>
  <c r="Q394" i="8"/>
  <c r="Q396" i="11" s="1"/>
  <c r="R394" i="8"/>
  <c r="S394" i="8"/>
  <c r="A395" i="8"/>
  <c r="B395" i="8"/>
  <c r="C395" i="8"/>
  <c r="D395" i="8"/>
  <c r="E395" i="8"/>
  <c r="F395" i="8"/>
  <c r="F397" i="10" s="1"/>
  <c r="G395" i="8"/>
  <c r="H395" i="8"/>
  <c r="I395" i="8"/>
  <c r="J395" i="8"/>
  <c r="K395" i="8"/>
  <c r="L395" i="8"/>
  <c r="L397" i="21" s="1"/>
  <c r="M395" i="8"/>
  <c r="N395" i="8"/>
  <c r="N397" i="11" s="1"/>
  <c r="O395" i="8"/>
  <c r="P395" i="8"/>
  <c r="Q395" i="8"/>
  <c r="R395" i="8"/>
  <c r="S395" i="8"/>
  <c r="A396" i="8"/>
  <c r="A398" i="10" s="1"/>
  <c r="B396" i="8"/>
  <c r="C396" i="8"/>
  <c r="C398" i="11" s="1"/>
  <c r="D396" i="8"/>
  <c r="E396" i="8"/>
  <c r="F396" i="8"/>
  <c r="G396" i="8"/>
  <c r="H396" i="8"/>
  <c r="I396" i="8"/>
  <c r="I398" i="10" s="1"/>
  <c r="J396" i="8"/>
  <c r="K396" i="8"/>
  <c r="K398" i="11" s="1"/>
  <c r="L396" i="8"/>
  <c r="M396" i="8"/>
  <c r="N396" i="8"/>
  <c r="O396" i="8"/>
  <c r="P396" i="8"/>
  <c r="Q396" i="8"/>
  <c r="Q398" i="10" s="1"/>
  <c r="R396" i="8"/>
  <c r="S396" i="8"/>
  <c r="S398" i="11" s="1"/>
  <c r="A397" i="8"/>
  <c r="B397" i="8"/>
  <c r="C397" i="8"/>
  <c r="D397" i="8"/>
  <c r="E397" i="8"/>
  <c r="F397" i="8"/>
  <c r="F398" i="9" s="1"/>
  <c r="G397" i="8"/>
  <c r="H397" i="8"/>
  <c r="H398" i="9" s="1"/>
  <c r="I397" i="8"/>
  <c r="J397" i="8"/>
  <c r="K397" i="8"/>
  <c r="L397" i="8"/>
  <c r="M397" i="8"/>
  <c r="N397" i="8"/>
  <c r="N398" i="9" s="1"/>
  <c r="O397" i="8"/>
  <c r="P397" i="8"/>
  <c r="P399" i="11" s="1"/>
  <c r="Q397" i="8"/>
  <c r="R397" i="8"/>
  <c r="S397" i="8"/>
  <c r="A398" i="8"/>
  <c r="B398" i="8"/>
  <c r="B400" i="21" s="1"/>
  <c r="C398" i="8"/>
  <c r="C399" i="9" s="1"/>
  <c r="D398" i="8"/>
  <c r="E398" i="8"/>
  <c r="E400" i="11" s="1"/>
  <c r="F398" i="8"/>
  <c r="G398" i="8"/>
  <c r="H398" i="8"/>
  <c r="I398" i="8"/>
  <c r="J398" i="8"/>
  <c r="J400" i="21" s="1"/>
  <c r="K398" i="8"/>
  <c r="K399" i="9" s="1"/>
  <c r="L398" i="8"/>
  <c r="M398" i="8"/>
  <c r="M400" i="11" s="1"/>
  <c r="N398" i="8"/>
  <c r="O398" i="8"/>
  <c r="P398" i="8"/>
  <c r="Q398" i="8"/>
  <c r="R398" i="8"/>
  <c r="R400" i="21" s="1"/>
  <c r="S398" i="8"/>
  <c r="S399" i="9" s="1"/>
  <c r="A399" i="8"/>
  <c r="B399" i="8"/>
  <c r="C399" i="8"/>
  <c r="D399" i="8"/>
  <c r="E399" i="8"/>
  <c r="F399" i="8"/>
  <c r="G399" i="8"/>
  <c r="G401" i="21" s="1"/>
  <c r="H399" i="8"/>
  <c r="H400" i="9" s="1"/>
  <c r="I399" i="8"/>
  <c r="J399" i="8"/>
  <c r="K399" i="8"/>
  <c r="L399" i="8"/>
  <c r="M399" i="8"/>
  <c r="N399" i="8"/>
  <c r="O399" i="8"/>
  <c r="O401" i="21" s="1"/>
  <c r="P399" i="8"/>
  <c r="P400" i="9" s="1"/>
  <c r="Q399" i="8"/>
  <c r="R399" i="8"/>
  <c r="S399" i="8"/>
  <c r="F378" i="10"/>
  <c r="H380" i="10"/>
  <c r="G383" i="10"/>
  <c r="L384" i="10"/>
  <c r="A396" i="10"/>
  <c r="B396" i="10"/>
  <c r="C396" i="10"/>
  <c r="D396" i="10"/>
  <c r="E396" i="10"/>
  <c r="H396" i="10"/>
  <c r="I396" i="10"/>
  <c r="J396" i="10"/>
  <c r="K396" i="10"/>
  <c r="L396" i="10"/>
  <c r="M396" i="10"/>
  <c r="P396" i="10"/>
  <c r="Q396" i="10"/>
  <c r="R396" i="10"/>
  <c r="S396" i="10"/>
  <c r="T396" i="10"/>
  <c r="U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E397" i="10"/>
  <c r="G397" i="10"/>
  <c r="H397" i="10"/>
  <c r="I397" i="10"/>
  <c r="J397" i="10"/>
  <c r="M397" i="10"/>
  <c r="N397" i="10"/>
  <c r="O397" i="10"/>
  <c r="P397" i="10"/>
  <c r="Q397" i="10"/>
  <c r="R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B398" i="10"/>
  <c r="D398" i="10"/>
  <c r="E398" i="10"/>
  <c r="F398" i="10"/>
  <c r="G398" i="10"/>
  <c r="J398" i="10"/>
  <c r="L398" i="10"/>
  <c r="M398" i="10"/>
  <c r="N398" i="10"/>
  <c r="O398" i="10"/>
  <c r="R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G399" i="10"/>
  <c r="I399" i="10"/>
  <c r="J399" i="10"/>
  <c r="K399" i="10"/>
  <c r="L399" i="10"/>
  <c r="N399" i="10"/>
  <c r="O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D400" i="10"/>
  <c r="F400" i="10"/>
  <c r="G400" i="10"/>
  <c r="H400" i="10"/>
  <c r="I400" i="10"/>
  <c r="L400" i="10"/>
  <c r="N400" i="10"/>
  <c r="O400" i="10"/>
  <c r="P400" i="10"/>
  <c r="Q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D383" i="9"/>
  <c r="A384" i="9"/>
  <c r="N385" i="9"/>
  <c r="B395" i="9"/>
  <c r="C395" i="9"/>
  <c r="D395" i="9"/>
  <c r="E395" i="9"/>
  <c r="H395" i="9"/>
  <c r="J395" i="9"/>
  <c r="K395" i="9"/>
  <c r="L395" i="9"/>
  <c r="M395" i="9"/>
  <c r="P395" i="9"/>
  <c r="R395" i="9"/>
  <c r="S395" i="9"/>
  <c r="T395" i="9"/>
  <c r="U395" i="9"/>
  <c r="W395" i="9"/>
  <c r="X395" i="9"/>
  <c r="Y395" i="9"/>
  <c r="Z395" i="9"/>
  <c r="AA395" i="9"/>
  <c r="AB395" i="9"/>
  <c r="AC395" i="9"/>
  <c r="AD395" i="9"/>
  <c r="AE395" i="9"/>
  <c r="AF395" i="9"/>
  <c r="AG395" i="9"/>
  <c r="A396" i="9"/>
  <c r="B396" i="9"/>
  <c r="C396" i="9"/>
  <c r="E396" i="9"/>
  <c r="G396" i="9"/>
  <c r="H396" i="9"/>
  <c r="I396" i="9"/>
  <c r="J396" i="9"/>
  <c r="M396" i="9"/>
  <c r="O396" i="9"/>
  <c r="P396" i="9"/>
  <c r="Q396" i="9"/>
  <c r="R396" i="9"/>
  <c r="T396" i="9"/>
  <c r="U396" i="9"/>
  <c r="V396" i="9"/>
  <c r="W396" i="9"/>
  <c r="X396" i="9"/>
  <c r="Y396" i="9"/>
  <c r="Z396" i="9"/>
  <c r="AA396" i="9"/>
  <c r="AB396" i="9"/>
  <c r="AC396" i="9"/>
  <c r="AD396" i="9"/>
  <c r="AE396" i="9"/>
  <c r="AF396" i="9"/>
  <c r="AG396" i="9"/>
  <c r="B397" i="9"/>
  <c r="D397" i="9"/>
  <c r="E397" i="9"/>
  <c r="F397" i="9"/>
  <c r="G397" i="9"/>
  <c r="I397" i="9"/>
  <c r="J397" i="9"/>
  <c r="L397" i="9"/>
  <c r="M397" i="9"/>
  <c r="N397" i="9"/>
  <c r="O397" i="9"/>
  <c r="R397" i="9"/>
  <c r="T397" i="9"/>
  <c r="U397" i="9"/>
  <c r="V397" i="9"/>
  <c r="W397" i="9"/>
  <c r="X397" i="9"/>
  <c r="Y397" i="9"/>
  <c r="Z397" i="9"/>
  <c r="AA397" i="9"/>
  <c r="AB397" i="9"/>
  <c r="AC397" i="9"/>
  <c r="AD397" i="9"/>
  <c r="AE397" i="9"/>
  <c r="AF397" i="9"/>
  <c r="AG397" i="9"/>
  <c r="A398" i="9"/>
  <c r="B398" i="9"/>
  <c r="C398" i="9"/>
  <c r="D398" i="9"/>
  <c r="G398" i="9"/>
  <c r="I398" i="9"/>
  <c r="J398" i="9"/>
  <c r="K398" i="9"/>
  <c r="L398" i="9"/>
  <c r="O398" i="9"/>
  <c r="Q398" i="9"/>
  <c r="R398" i="9"/>
  <c r="S398" i="9"/>
  <c r="T398" i="9"/>
  <c r="U398" i="9"/>
  <c r="V398" i="9"/>
  <c r="W398" i="9"/>
  <c r="X398" i="9"/>
  <c r="Y398" i="9"/>
  <c r="Z398" i="9"/>
  <c r="AA398" i="9"/>
  <c r="AB398" i="9"/>
  <c r="AC398" i="9"/>
  <c r="AD398" i="9"/>
  <c r="AE398" i="9"/>
  <c r="AF398" i="9"/>
  <c r="AG398" i="9"/>
  <c r="A399" i="9"/>
  <c r="D399" i="9"/>
  <c r="F399" i="9"/>
  <c r="G399" i="9"/>
  <c r="H399" i="9"/>
  <c r="I399" i="9"/>
  <c r="J399" i="9"/>
  <c r="L399" i="9"/>
  <c r="N399" i="9"/>
  <c r="O399" i="9"/>
  <c r="P399" i="9"/>
  <c r="Q399" i="9"/>
  <c r="R399" i="9"/>
  <c r="T399" i="9"/>
  <c r="U399" i="9"/>
  <c r="V399" i="9"/>
  <c r="W399" i="9"/>
  <c r="X399" i="9"/>
  <c r="Y399" i="9"/>
  <c r="Z399" i="9"/>
  <c r="AA399" i="9"/>
  <c r="AB399" i="9"/>
  <c r="AC399" i="9"/>
  <c r="AD399" i="9"/>
  <c r="AE399" i="9"/>
  <c r="AF399" i="9"/>
  <c r="AG399" i="9"/>
  <c r="A400" i="9"/>
  <c r="C400" i="9"/>
  <c r="D400" i="9"/>
  <c r="E400" i="9"/>
  <c r="F400" i="9"/>
  <c r="I400" i="9"/>
  <c r="K400" i="9"/>
  <c r="L400" i="9"/>
  <c r="M400" i="9"/>
  <c r="N400" i="9"/>
  <c r="O400" i="9"/>
  <c r="Q400" i="9"/>
  <c r="S400" i="9"/>
  <c r="T400" i="9"/>
  <c r="U400" i="9"/>
  <c r="V400" i="9"/>
  <c r="W400" i="9"/>
  <c r="X400" i="9"/>
  <c r="Y400" i="9"/>
  <c r="Z400" i="9"/>
  <c r="AA400" i="9"/>
  <c r="AB400" i="9"/>
  <c r="AC400" i="9"/>
  <c r="AD400" i="9"/>
  <c r="AE400" i="9"/>
  <c r="AF400" i="9"/>
  <c r="AG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I377" i="21"/>
  <c r="F378" i="21"/>
  <c r="H380" i="21"/>
  <c r="O391" i="21"/>
  <c r="C393" i="21"/>
  <c r="N394" i="21"/>
  <c r="B396" i="21"/>
  <c r="C396" i="21"/>
  <c r="D396" i="21"/>
  <c r="E396" i="21"/>
  <c r="H396" i="21"/>
  <c r="J396" i="21"/>
  <c r="K396" i="21"/>
  <c r="L396" i="21"/>
  <c r="M396" i="21"/>
  <c r="O396" i="21"/>
  <c r="P396" i="21"/>
  <c r="R396" i="21"/>
  <c r="S396" i="21"/>
  <c r="T396" i="21"/>
  <c r="U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397" i="21"/>
  <c r="B397" i="21"/>
  <c r="E397" i="21"/>
  <c r="G397" i="21"/>
  <c r="H397" i="21"/>
  <c r="I397" i="21"/>
  <c r="J397" i="21"/>
  <c r="M397" i="21"/>
  <c r="O397" i="21"/>
  <c r="P397" i="21"/>
  <c r="Q397" i="21"/>
  <c r="R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B398" i="21"/>
  <c r="D398" i="21"/>
  <c r="E398" i="21"/>
  <c r="F398" i="21"/>
  <c r="G398" i="21"/>
  <c r="I398" i="21"/>
  <c r="J398" i="21"/>
  <c r="L398" i="21"/>
  <c r="M398" i="21"/>
  <c r="N398" i="21"/>
  <c r="O398" i="21"/>
  <c r="R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399" i="21"/>
  <c r="B399" i="21"/>
  <c r="C399" i="21"/>
  <c r="D399" i="21"/>
  <c r="G399" i="21"/>
  <c r="I399" i="21"/>
  <c r="J399" i="21"/>
  <c r="K399" i="21"/>
  <c r="L399" i="21"/>
  <c r="O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400" i="21"/>
  <c r="C400" i="21"/>
  <c r="D400" i="21"/>
  <c r="F400" i="21"/>
  <c r="G400" i="21"/>
  <c r="H400" i="21"/>
  <c r="I400" i="21"/>
  <c r="L400" i="21"/>
  <c r="N400" i="21"/>
  <c r="O400" i="21"/>
  <c r="P400" i="21"/>
  <c r="Q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401" i="21"/>
  <c r="C401" i="21"/>
  <c r="D401" i="21"/>
  <c r="E401" i="21"/>
  <c r="F401" i="21"/>
  <c r="I401" i="21"/>
  <c r="K401" i="21"/>
  <c r="L401" i="21"/>
  <c r="M401" i="21"/>
  <c r="N401" i="21"/>
  <c r="P401" i="21"/>
  <c r="Q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N378" i="11"/>
  <c r="C379" i="11"/>
  <c r="E381" i="11"/>
  <c r="B382" i="11"/>
  <c r="N386" i="11"/>
  <c r="P388" i="11"/>
  <c r="Q392" i="11"/>
  <c r="N394" i="11"/>
  <c r="K395" i="11"/>
  <c r="B396" i="11"/>
  <c r="C396" i="11"/>
  <c r="D396" i="11"/>
  <c r="E396" i="11"/>
  <c r="F396" i="11"/>
  <c r="H396" i="11"/>
  <c r="J396" i="11"/>
  <c r="K396" i="11"/>
  <c r="L396" i="11"/>
  <c r="M396" i="11"/>
  <c r="N396" i="11"/>
  <c r="P396" i="11"/>
  <c r="R396" i="11"/>
  <c r="S396" i="11"/>
  <c r="T396" i="11"/>
  <c r="U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E397" i="11"/>
  <c r="G397" i="11"/>
  <c r="H397" i="11"/>
  <c r="I397" i="11"/>
  <c r="J397" i="11"/>
  <c r="K397" i="11"/>
  <c r="M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B398" i="11"/>
  <c r="D398" i="11"/>
  <c r="E398" i="11"/>
  <c r="F398" i="11"/>
  <c r="G398" i="11"/>
  <c r="H398" i="11"/>
  <c r="J398" i="11"/>
  <c r="L398" i="11"/>
  <c r="M398" i="11"/>
  <c r="N398" i="11"/>
  <c r="O398" i="11"/>
  <c r="P398" i="11"/>
  <c r="R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G399" i="11"/>
  <c r="I399" i="11"/>
  <c r="J399" i="11"/>
  <c r="K399" i="11"/>
  <c r="L399" i="11"/>
  <c r="M399" i="11"/>
  <c r="O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D400" i="11"/>
  <c r="F400" i="11"/>
  <c r="G400" i="11"/>
  <c r="H400" i="11"/>
  <c r="I400" i="11"/>
  <c r="J400" i="11"/>
  <c r="L400" i="11"/>
  <c r="N400" i="11"/>
  <c r="O400" i="11"/>
  <c r="P400" i="11"/>
  <c r="Q400" i="11"/>
  <c r="R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S395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U394" i="8"/>
  <c r="V394" i="8"/>
  <c r="V396" i="10" s="1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D18" i="24"/>
  <c r="C19" i="24"/>
  <c r="C20" i="24" s="1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F386" i="10" l="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C45" i="24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40" i="24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N393" i="2"/>
  <c r="N389" i="2"/>
  <c r="N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C35" i="24"/>
  <c r="C30" i="24"/>
  <c r="N385" i="2"/>
  <c r="D24" i="24"/>
  <c r="D25" i="24"/>
  <c r="C26" i="24"/>
  <c r="D26" i="24" s="1"/>
  <c r="N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N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N394" i="2"/>
  <c r="N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N396" i="2"/>
  <c r="N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N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N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N391" i="2"/>
  <c r="N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N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D19" i="24"/>
  <c r="D20" i="24"/>
  <c r="C21" i="24"/>
  <c r="D21" i="24" s="1"/>
  <c r="N387" i="2"/>
  <c r="N386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Q3" i="2"/>
  <c r="AR3" i="2"/>
  <c r="C46" i="24" l="1"/>
  <c r="D46" i="24" s="1"/>
  <c r="D45" i="24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AH1" i="9" s="1"/>
  <c r="S367" i="9"/>
  <c r="D40" i="24"/>
  <c r="C41" i="24"/>
  <c r="D41" i="24" s="1"/>
  <c r="A368" i="10"/>
  <c r="D35" i="24"/>
  <c r="C36" i="24"/>
  <c r="D36" i="24" s="1"/>
  <c r="D30" i="24"/>
  <c r="C31" i="24"/>
  <c r="D31" i="24" s="1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N370" i="2"/>
  <c r="N346" i="2"/>
  <c r="N338" i="2"/>
  <c r="N314" i="2"/>
  <c r="N298" i="2"/>
  <c r="N290" i="2"/>
  <c r="N274" i="2"/>
  <c r="N258" i="2"/>
  <c r="N250" i="2"/>
  <c r="A368" i="9"/>
  <c r="AI283" i="10"/>
  <c r="AH191" i="10"/>
  <c r="AH128" i="21"/>
  <c r="AI88" i="10"/>
  <c r="N369" i="2"/>
  <c r="N353" i="2"/>
  <c r="H369" i="11"/>
  <c r="Y368" i="10"/>
  <c r="AH305" i="21"/>
  <c r="AH90" i="10"/>
  <c r="C367" i="9"/>
  <c r="AI304" i="10"/>
  <c r="AI91" i="10"/>
  <c r="J368" i="10"/>
  <c r="AG368" i="11"/>
  <c r="AH263" i="11"/>
  <c r="N372" i="2"/>
  <c r="N364" i="2"/>
  <c r="N348" i="2"/>
  <c r="N340" i="2"/>
  <c r="N332" i="2"/>
  <c r="N316" i="2"/>
  <c r="N308" i="2"/>
  <c r="B368" i="10"/>
  <c r="AH311" i="11"/>
  <c r="AH252" i="10"/>
  <c r="AI115" i="10"/>
  <c r="AI3" i="11"/>
  <c r="A31" i="14" s="1"/>
  <c r="AH3" i="11"/>
  <c r="A30" i="14" s="1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I1" i="9" l="1"/>
  <c r="AB3" i="2"/>
  <c r="P3" i="2"/>
  <c r="Q3" i="2"/>
  <c r="R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R1" i="2"/>
  <c r="X1" i="2"/>
  <c r="B1" i="2"/>
  <c r="F30" i="14" s="1"/>
  <c r="AI2" i="21" l="1"/>
  <c r="AH2" i="21"/>
  <c r="D30" i="14" s="1"/>
  <c r="F29" i="14"/>
  <c r="F28" i="14"/>
  <c r="F22" i="14"/>
  <c r="F27" i="14"/>
  <c r="F26" i="14"/>
  <c r="F23" i="14"/>
  <c r="F25" i="14"/>
  <c r="F24" i="14"/>
  <c r="F17" i="14"/>
  <c r="F21" i="14"/>
  <c r="F20" i="14"/>
  <c r="F19" i="14"/>
  <c r="F18" i="14"/>
  <c r="F16" i="14"/>
  <c r="AC2" i="21"/>
  <c r="D25" i="14" s="1"/>
  <c r="U2" i="21"/>
  <c r="D17" i="14" s="1"/>
  <c r="M2" i="21"/>
  <c r="D1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O2" i="21"/>
  <c r="D11" i="14" s="1"/>
  <c r="G2" i="21"/>
  <c r="D3" i="14" s="1"/>
  <c r="AD2" i="21"/>
  <c r="D26" i="14" s="1"/>
  <c r="V2" i="21"/>
  <c r="D18" i="14" s="1"/>
  <c r="N2" i="21"/>
  <c r="D10" i="14" s="1"/>
  <c r="F14" i="14"/>
  <c r="F13" i="14"/>
  <c r="F15" i="14"/>
  <c r="F7" i="14"/>
  <c r="F3" i="14"/>
  <c r="F8" i="14"/>
  <c r="F6" i="14"/>
  <c r="F11" i="14"/>
  <c r="F9" i="14"/>
  <c r="F5" i="14"/>
  <c r="F12" i="14"/>
  <c r="F10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D9" i="14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D6" i="14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B30" i="14" s="1"/>
  <c r="O2" i="11"/>
  <c r="B11" i="14" s="1"/>
  <c r="AG2" i="11"/>
  <c r="R2" i="11"/>
  <c r="B14" i="14" s="1"/>
  <c r="P2" i="11"/>
  <c r="B12" i="14" s="1"/>
  <c r="AB2" i="11"/>
  <c r="B24" i="14" s="1"/>
  <c r="V2" i="11"/>
  <c r="B18" i="14" s="1"/>
  <c r="G2" i="11"/>
  <c r="B3" i="14" s="1"/>
  <c r="Q2" i="11"/>
  <c r="B13" i="14" s="1"/>
  <c r="K2" i="11"/>
  <c r="AA2" i="11"/>
  <c r="B23" i="14" s="1"/>
  <c r="L2" i="11"/>
  <c r="B8" i="14" s="1"/>
  <c r="AC2" i="11"/>
  <c r="B25" i="14" s="1"/>
  <c r="F2" i="1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E30" i="14" l="1"/>
  <c r="G30" i="14" s="1"/>
  <c r="E24" i="14"/>
  <c r="G24" i="14" s="1"/>
  <c r="B27" i="14"/>
  <c r="E27" i="14" s="1"/>
  <c r="G27" i="14" s="1"/>
  <c r="E26" i="14"/>
  <c r="G26" i="14" s="1"/>
  <c r="E25" i="14"/>
  <c r="G25" i="14" s="1"/>
  <c r="E23" i="14"/>
  <c r="G23" i="14" s="1"/>
  <c r="B28" i="14"/>
  <c r="E28" i="14" s="1"/>
  <c r="G28" i="14" s="1"/>
  <c r="B29" i="14"/>
  <c r="E29" i="14" s="1"/>
  <c r="G29" i="14" s="1"/>
  <c r="E22" i="14"/>
  <c r="G22" i="14" s="1"/>
  <c r="B2" i="14"/>
  <c r="E2" i="14" s="1"/>
  <c r="G2" i="14" s="1"/>
  <c r="E18" i="14"/>
  <c r="G18" i="14" s="1"/>
  <c r="E19" i="14"/>
  <c r="G19" i="14" s="1"/>
  <c r="E21" i="14"/>
  <c r="G21" i="14" s="1"/>
  <c r="E20" i="14"/>
  <c r="G20" i="14" s="1"/>
  <c r="E16" i="14"/>
  <c r="G16" i="14" s="1"/>
  <c r="E17" i="14"/>
  <c r="G17" i="14" s="1"/>
  <c r="E14" i="14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<sst xmlns="http://schemas.openxmlformats.org/spreadsheetml/2006/main" count="3359" uniqueCount="1402">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</sst>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5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8.1632653061224483E-2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P197" activePane="bottomRight" state="frozen"/>
      <selection pane="topRight" activeCell="M1" sqref="M1"/>
      <selection pane="bottomLeft" activeCell="A5" sqref="A5"/>
      <selection pane="bottomRight" activeCell="P201" sqref="P20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14.140625" style="22" bestFit="1" customWidth="1"/>
    <col min="45" max="45" width="14.140625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0.10026385224274406</v>
      </c>
      <c r="P1" s="4">
        <f t="shared" si="0"/>
        <v>0.10817941952506596</v>
      </c>
      <c r="Q1" s="4">
        <f t="shared" si="0"/>
        <v>0</v>
      </c>
      <c r="R1" s="4">
        <f t="shared" si="0"/>
        <v>0</v>
      </c>
      <c r="S1" s="4"/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341</v>
      </c>
      <c r="P2" s="10">
        <f t="shared" si="3"/>
        <v>338</v>
      </c>
      <c r="Q2" s="10">
        <f t="shared" si="3"/>
        <v>375</v>
      </c>
      <c r="R2" s="10">
        <f t="shared" si="3"/>
        <v>375</v>
      </c>
      <c r="S2" s="10"/>
      <c r="T2" s="10">
        <f t="shared" si="3"/>
        <v>375</v>
      </c>
      <c r="U2" s="10">
        <f t="shared" si="3"/>
        <v>375</v>
      </c>
      <c r="V2" s="10">
        <f t="shared" si="3"/>
        <v>375</v>
      </c>
      <c r="W2" s="10">
        <f t="shared" si="3"/>
        <v>375</v>
      </c>
      <c r="X2" s="10">
        <f t="shared" si="3"/>
        <v>375</v>
      </c>
      <c r="Y2" s="10">
        <f t="shared" si="3"/>
        <v>375</v>
      </c>
      <c r="Z2" s="10">
        <f t="shared" si="3"/>
        <v>375</v>
      </c>
      <c r="AA2" s="10">
        <f t="shared" si="3"/>
        <v>375</v>
      </c>
      <c r="AB2" s="10">
        <f t="shared" si="3"/>
        <v>375</v>
      </c>
      <c r="AC2" s="10">
        <f t="shared" si="3"/>
        <v>375</v>
      </c>
      <c r="AD2" s="10">
        <f t="shared" si="3"/>
        <v>375</v>
      </c>
      <c r="AE2" s="10">
        <f t="shared" si="3"/>
        <v>375</v>
      </c>
      <c r="AF2" s="10">
        <f t="shared" si="3"/>
        <v>375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38</v>
      </c>
      <c r="P3" s="14">
        <f t="shared" ref="P3:AP3" si="5">COUNTIF(P4:P447, "apagado")</f>
        <v>41</v>
      </c>
      <c r="Q3" s="14">
        <f t="shared" si="5"/>
        <v>0</v>
      </c>
      <c r="R3" s="14">
        <f t="shared" si="5"/>
        <v>0</v>
      </c>
      <c r="S3" s="14"/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44774</v>
      </c>
      <c r="P4" s="15">
        <v>44775</v>
      </c>
      <c r="Q4" s="15">
        <v>44776</v>
      </c>
      <c r="R4" s="15">
        <v>44777</v>
      </c>
      <c r="S4" s="15">
        <v>44778</v>
      </c>
      <c r="T4" s="15">
        <v>44779</v>
      </c>
      <c r="U4" s="15">
        <v>44780</v>
      </c>
      <c r="V4" s="15">
        <v>44781</v>
      </c>
      <c r="W4" s="15">
        <v>44782</v>
      </c>
      <c r="X4" s="15">
        <v>44783</v>
      </c>
      <c r="Y4" s="15">
        <v>44784</v>
      </c>
      <c r="Z4" s="15">
        <v>44785</v>
      </c>
      <c r="AA4" s="15">
        <v>44786</v>
      </c>
      <c r="AB4" s="15">
        <v>44787</v>
      </c>
      <c r="AC4" s="15">
        <v>44788</v>
      </c>
      <c r="AD4" s="15">
        <v>44789</v>
      </c>
      <c r="AE4" s="15">
        <v>44790</v>
      </c>
      <c r="AF4" s="15">
        <v>44791</v>
      </c>
      <c r="AG4" s="15">
        <v>44792</v>
      </c>
      <c r="AH4" s="15">
        <v>44793</v>
      </c>
      <c r="AI4" s="15">
        <v>44794</v>
      </c>
      <c r="AJ4" s="15">
        <v>44795</v>
      </c>
      <c r="AK4" s="15">
        <v>44796</v>
      </c>
      <c r="AL4" s="15">
        <v>44797</v>
      </c>
      <c r="AM4" s="15">
        <v>44798</v>
      </c>
      <c r="AN4" s="15">
        <v>44799</v>
      </c>
      <c r="AO4" s="15">
        <v>44800</v>
      </c>
      <c r="AP4" s="15">
        <v>44801</v>
      </c>
      <c r="AQ4" s="15">
        <v>44802</v>
      </c>
      <c r="AR4" s="15">
        <v>44803</v>
      </c>
      <c r="AS4" s="15">
        <v>44804</v>
      </c>
    </row>
    <row r="5" spans="1:45" ht="16.5" thickTop="1" thickBot="1" x14ac:dyDescent="0.3">
      <c r="A5" s="51" t="s">
        <v>34</v>
      </c>
      <c r="B5" s="51" t="s">
        <v>1214</v>
      </c>
      <c r="C5" s="51" t="s">
        <v>1391</v>
      </c>
      <c r="D5" s="51" t="s">
        <v>44</v>
      </c>
      <c r="E5" s="51" t="s">
        <v>24</v>
      </c>
      <c r="F5" s="51" t="s">
        <v>1383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30</v>
      </c>
      <c r="M5" s="17">
        <f t="shared" ref="M5:M68" si="8">COUNTIF(O5:AP5,"APAGADO")</f>
        <v>0</v>
      </c>
      <c r="N5" s="18">
        <f t="shared" ref="N5:N68" si="9">(L5)/(M5+L5)</f>
        <v>1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1215</v>
      </c>
      <c r="C6" s="51" t="s">
        <v>1391</v>
      </c>
      <c r="D6" s="51" t="s">
        <v>46</v>
      </c>
      <c r="E6" s="51" t="s">
        <v>24</v>
      </c>
      <c r="F6" s="51" t="s">
        <v>1383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1216</v>
      </c>
      <c r="C7" s="51" t="s">
        <v>1391</v>
      </c>
      <c r="D7" s="51" t="s">
        <v>35</v>
      </c>
      <c r="E7" s="51" t="s">
        <v>24</v>
      </c>
      <c r="F7" s="51" t="s">
        <v>1384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30</v>
      </c>
      <c r="M7" s="17">
        <f t="shared" si="8"/>
        <v>0</v>
      </c>
      <c r="N7" s="18">
        <f t="shared" si="9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1217</v>
      </c>
      <c r="C8" s="51" t="s">
        <v>1391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30</v>
      </c>
      <c r="M8" s="17">
        <f t="shared" si="8"/>
        <v>0</v>
      </c>
      <c r="N8" s="18">
        <f t="shared" si="9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1218</v>
      </c>
      <c r="C9" s="51" t="s">
        <v>1391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1219</v>
      </c>
      <c r="C10" s="51" t="s">
        <v>1391</v>
      </c>
      <c r="D10" s="51" t="s">
        <v>1220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30</v>
      </c>
      <c r="M10" s="17">
        <f t="shared" si="8"/>
        <v>0</v>
      </c>
      <c r="N10" s="18">
        <f t="shared" si="9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1391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1391</v>
      </c>
      <c r="D12" s="51" t="s">
        <v>42</v>
      </c>
      <c r="E12" s="51" t="s">
        <v>24</v>
      </c>
      <c r="F12" s="51" t="s">
        <v>1384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1391</v>
      </c>
      <c r="D13" s="51" t="s">
        <v>49</v>
      </c>
      <c r="E13" s="51" t="s">
        <v>24</v>
      </c>
      <c r="F13" s="51" t="s">
        <v>1384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30</v>
      </c>
      <c r="M13" s="17">
        <f t="shared" si="8"/>
        <v>0</v>
      </c>
      <c r="N13" s="18">
        <f t="shared" si="9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1391</v>
      </c>
      <c r="D14" s="51" t="s">
        <v>52</v>
      </c>
      <c r="E14" s="51" t="s">
        <v>19</v>
      </c>
      <c r="F14" s="51" t="s">
        <v>1384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30</v>
      </c>
      <c r="M14" s="17">
        <f t="shared" si="8"/>
        <v>0</v>
      </c>
      <c r="N14" s="18">
        <f t="shared" si="9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1221</v>
      </c>
      <c r="C15" s="51" t="s">
        <v>1392</v>
      </c>
      <c r="D15" s="51" t="s">
        <v>59</v>
      </c>
      <c r="E15" s="51" t="s">
        <v>24</v>
      </c>
      <c r="F15" s="51" t="s">
        <v>1383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29</v>
      </c>
      <c r="M15" s="17">
        <f t="shared" si="8"/>
        <v>1</v>
      </c>
      <c r="N15" s="18">
        <f t="shared" si="9"/>
        <v>0.96666666666666667</v>
      </c>
      <c r="O15" s="27"/>
      <c r="P15" s="8" t="s">
        <v>1209</v>
      </c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1222</v>
      </c>
      <c r="C16" s="51" t="s">
        <v>1391</v>
      </c>
      <c r="D16" s="51" t="s">
        <v>62</v>
      </c>
      <c r="E16" s="51" t="s">
        <v>19</v>
      </c>
      <c r="F16" s="51" t="s">
        <v>1383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29</v>
      </c>
      <c r="M16" s="17">
        <f t="shared" si="8"/>
        <v>1</v>
      </c>
      <c r="N16" s="18">
        <f t="shared" si="9"/>
        <v>0.96666666666666667</v>
      </c>
      <c r="O16" s="27"/>
      <c r="P16" s="8" t="s">
        <v>1209</v>
      </c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1223</v>
      </c>
      <c r="C17" s="51" t="s">
        <v>1391</v>
      </c>
      <c r="D17" s="51" t="s">
        <v>1224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30</v>
      </c>
      <c r="M17" s="17">
        <f t="shared" si="8"/>
        <v>0</v>
      </c>
      <c r="N17" s="18">
        <f t="shared" si="9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1225</v>
      </c>
      <c r="C18" s="51" t="s">
        <v>1391</v>
      </c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30</v>
      </c>
      <c r="M18" s="17">
        <f t="shared" si="8"/>
        <v>0</v>
      </c>
      <c r="N18" s="18">
        <f t="shared" si="9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1226</v>
      </c>
      <c r="C19" s="51" t="s">
        <v>1391</v>
      </c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1227</v>
      </c>
      <c r="C20" s="51" t="s">
        <v>1391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1228</v>
      </c>
      <c r="C21" s="51" t="s">
        <v>1391</v>
      </c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30</v>
      </c>
      <c r="M21" s="17">
        <f t="shared" si="8"/>
        <v>0</v>
      </c>
      <c r="N21" s="18">
        <f t="shared" si="9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1229</v>
      </c>
      <c r="C22" s="51" t="s">
        <v>1391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1230</v>
      </c>
      <c r="C23" s="51" t="s">
        <v>1391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1391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 t="s">
        <v>1391</v>
      </c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 t="s">
        <v>1391</v>
      </c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1391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 t="s">
        <v>1391</v>
      </c>
      <c r="D28" s="51" t="s">
        <v>79</v>
      </c>
      <c r="E28" s="51" t="s">
        <v>19</v>
      </c>
      <c r="F28" s="51" t="s">
        <v>1383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1391</v>
      </c>
      <c r="D29" s="51" t="s">
        <v>84</v>
      </c>
      <c r="E29" s="51" t="s">
        <v>19</v>
      </c>
      <c r="F29" s="51" t="s">
        <v>1384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 t="s">
        <v>1391</v>
      </c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1231</v>
      </c>
      <c r="C31" s="51" t="s">
        <v>1391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1387</v>
      </c>
      <c r="L31" s="53">
        <f t="shared" si="10"/>
        <v>28</v>
      </c>
      <c r="M31" s="17">
        <f t="shared" si="8"/>
        <v>2</v>
      </c>
      <c r="N31" s="18">
        <f t="shared" si="9"/>
        <v>0.93333333333333335</v>
      </c>
      <c r="O31" s="27" t="s">
        <v>1209</v>
      </c>
      <c r="P31" s="8" t="s">
        <v>1209</v>
      </c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 t="s">
        <v>1391</v>
      </c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1391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1391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28</v>
      </c>
      <c r="M34" s="17">
        <f t="shared" si="8"/>
        <v>2</v>
      </c>
      <c r="N34" s="18">
        <f t="shared" si="9"/>
        <v>0.93333333333333335</v>
      </c>
      <c r="O34" s="27" t="s">
        <v>1209</v>
      </c>
      <c r="P34" s="8" t="s">
        <v>1209</v>
      </c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1232</v>
      </c>
      <c r="C35" s="51" t="s">
        <v>1391</v>
      </c>
      <c r="D35" s="51" t="s">
        <v>1233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1234</v>
      </c>
      <c r="C36" s="51" t="s">
        <v>1391</v>
      </c>
      <c r="D36" s="51" t="s">
        <v>1235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30</v>
      </c>
      <c r="M36" s="17">
        <f t="shared" si="8"/>
        <v>0</v>
      </c>
      <c r="N36" s="18">
        <f t="shared" si="9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1391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1391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 t="s">
        <v>1391</v>
      </c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 t="s">
        <v>1391</v>
      </c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 t="s">
        <v>1391</v>
      </c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 t="s">
        <v>1391</v>
      </c>
      <c r="D42" s="51" t="s">
        <v>1236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 t="s">
        <v>1391</v>
      </c>
      <c r="D43" s="51" t="s">
        <v>1237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 t="s">
        <v>1391</v>
      </c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 t="s">
        <v>1391</v>
      </c>
      <c r="D45" s="51" t="s">
        <v>1238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 t="s">
        <v>1391</v>
      </c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 t="s">
        <v>1391</v>
      </c>
      <c r="D47" s="51" t="s">
        <v>1239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1391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1391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 t="s">
        <v>1391</v>
      </c>
      <c r="D50" s="51" t="s">
        <v>145</v>
      </c>
      <c r="E50" s="51" t="s">
        <v>24</v>
      </c>
      <c r="F50" s="51" t="s">
        <v>1384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30</v>
      </c>
      <c r="M50" s="17">
        <f t="shared" si="8"/>
        <v>0</v>
      </c>
      <c r="N50" s="18">
        <f t="shared" si="9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1391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 t="s">
        <v>1391</v>
      </c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1391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 t="s">
        <v>1391</v>
      </c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 t="s">
        <v>1391</v>
      </c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 t="s">
        <v>1391</v>
      </c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 t="s">
        <v>1391</v>
      </c>
      <c r="D57" s="51" t="s">
        <v>1240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1391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 t="s">
        <v>1391</v>
      </c>
      <c r="D59" s="51" t="s">
        <v>1241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 t="s">
        <v>1391</v>
      </c>
      <c r="D60" s="51" t="s">
        <v>1242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 t="s">
        <v>1391</v>
      </c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 t="s">
        <v>1391</v>
      </c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 t="s">
        <v>1391</v>
      </c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 t="s">
        <v>1391</v>
      </c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 t="s">
        <v>1391</v>
      </c>
      <c r="D65" s="51" t="s">
        <v>1243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 t="s">
        <v>1391</v>
      </c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 t="s">
        <v>1391</v>
      </c>
      <c r="D67" s="51" t="s">
        <v>1397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28</v>
      </c>
      <c r="M67" s="17">
        <f t="shared" si="8"/>
        <v>2</v>
      </c>
      <c r="N67" s="18">
        <f t="shared" si="9"/>
        <v>0.93333333333333335</v>
      </c>
      <c r="O67" s="27" t="s">
        <v>1209</v>
      </c>
      <c r="P67" s="8" t="s">
        <v>1209</v>
      </c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1391</v>
      </c>
      <c r="D68" s="51" t="s">
        <v>1398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1391</v>
      </c>
      <c r="D69" s="51" t="s">
        <v>1399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1391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30</v>
      </c>
      <c r="M70" s="17">
        <f t="shared" si="11"/>
        <v>0</v>
      </c>
      <c r="N70" s="18">
        <f t="shared" si="12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 t="s">
        <v>1391</v>
      </c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 t="s">
        <v>1391</v>
      </c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1391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1391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30</v>
      </c>
      <c r="M74" s="17">
        <f t="shared" si="11"/>
        <v>0</v>
      </c>
      <c r="N74" s="18">
        <f t="shared" si="12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 t="s">
        <v>1391</v>
      </c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1391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 t="s">
        <v>1391</v>
      </c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 t="s">
        <v>1391</v>
      </c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1391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 t="s">
        <v>1391</v>
      </c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30</v>
      </c>
      <c r="M80" s="17">
        <f t="shared" si="11"/>
        <v>0</v>
      </c>
      <c r="N80" s="18">
        <f t="shared" si="12"/>
        <v>1</v>
      </c>
      <c r="O80" s="27"/>
      <c r="P80" s="8"/>
      <c r="Q80" s="8"/>
      <c r="R80" s="8"/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 t="s">
        <v>1391</v>
      </c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1391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1244</v>
      </c>
      <c r="C83" s="51" t="s">
        <v>1391</v>
      </c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30</v>
      </c>
      <c r="M83" s="17">
        <f t="shared" si="11"/>
        <v>0</v>
      </c>
      <c r="N83" s="18">
        <f t="shared" si="12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1245</v>
      </c>
      <c r="C84" s="51" t="s">
        <v>1391</v>
      </c>
      <c r="D84" s="51" t="s">
        <v>1246</v>
      </c>
      <c r="E84" s="51" t="s">
        <v>19</v>
      </c>
      <c r="F84" s="51" t="s">
        <v>1384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1247</v>
      </c>
      <c r="C85" s="51" t="s">
        <v>1391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 t="s">
        <v>1391</v>
      </c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1391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28</v>
      </c>
      <c r="M87" s="17">
        <f t="shared" si="11"/>
        <v>2</v>
      </c>
      <c r="N87" s="18">
        <f t="shared" si="12"/>
        <v>0.93333333333333335</v>
      </c>
      <c r="O87" s="27" t="s">
        <v>1209</v>
      </c>
      <c r="P87" s="8" t="s">
        <v>1209</v>
      </c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 t="s">
        <v>1391</v>
      </c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1391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 t="s">
        <v>1391</v>
      </c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1391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 t="s">
        <v>1391</v>
      </c>
      <c r="D92" s="51" t="s">
        <v>239</v>
      </c>
      <c r="E92" s="51" t="s">
        <v>24</v>
      </c>
      <c r="F92" s="51" t="s">
        <v>1383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1391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 t="s">
        <v>1391</v>
      </c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 t="s">
        <v>1391</v>
      </c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1391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1248</v>
      </c>
      <c r="C97" s="51" t="s">
        <v>1392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1392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1392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1249</v>
      </c>
      <c r="C100" s="51" t="s">
        <v>1391</v>
      </c>
      <c r="D100" s="51" t="s">
        <v>265</v>
      </c>
      <c r="E100" s="51" t="s">
        <v>102</v>
      </c>
      <c r="F100" s="51" t="s">
        <v>1384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1250</v>
      </c>
      <c r="C101" s="51" t="s">
        <v>1391</v>
      </c>
      <c r="D101" s="51" t="s">
        <v>265</v>
      </c>
      <c r="E101" s="51" t="s">
        <v>102</v>
      </c>
      <c r="F101" s="51" t="s">
        <v>1384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1251</v>
      </c>
      <c r="C102" s="51" t="s">
        <v>1391</v>
      </c>
      <c r="D102" s="51" t="s">
        <v>1252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30</v>
      </c>
      <c r="M102" s="17">
        <f t="shared" si="11"/>
        <v>0</v>
      </c>
      <c r="N102" s="18">
        <f t="shared" si="12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1253</v>
      </c>
      <c r="C103" s="51" t="s">
        <v>1391</v>
      </c>
      <c r="D103" s="51" t="s">
        <v>1252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 t="s">
        <v>1391</v>
      </c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30</v>
      </c>
      <c r="M104" s="17">
        <f t="shared" si="11"/>
        <v>0</v>
      </c>
      <c r="N104" s="18">
        <f t="shared" si="12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1254</v>
      </c>
      <c r="C105" s="51" t="s">
        <v>1392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30</v>
      </c>
      <c r="M105" s="17">
        <f t="shared" si="11"/>
        <v>0</v>
      </c>
      <c r="N105" s="18">
        <f t="shared" si="12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1255</v>
      </c>
      <c r="C106" s="51" t="s">
        <v>1392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30</v>
      </c>
      <c r="M106" s="17">
        <f t="shared" si="11"/>
        <v>0</v>
      </c>
      <c r="N106" s="18">
        <f t="shared" si="12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1256</v>
      </c>
      <c r="C107" s="51" t="s">
        <v>1392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30</v>
      </c>
      <c r="M107" s="17">
        <f t="shared" si="11"/>
        <v>0</v>
      </c>
      <c r="N107" s="18">
        <f t="shared" si="12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1257</v>
      </c>
      <c r="C108" s="51" t="s">
        <v>1392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30</v>
      </c>
      <c r="M108" s="17">
        <f t="shared" si="11"/>
        <v>0</v>
      </c>
      <c r="N108" s="18">
        <f t="shared" si="12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 t="s">
        <v>1392</v>
      </c>
      <c r="D109" s="51" t="s">
        <v>1258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30</v>
      </c>
      <c r="M109" s="17">
        <f t="shared" si="11"/>
        <v>0</v>
      </c>
      <c r="N109" s="18">
        <f t="shared" si="12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 t="s">
        <v>1392</v>
      </c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 t="s">
        <v>1392</v>
      </c>
      <c r="D111" s="51" t="s">
        <v>285</v>
      </c>
      <c r="E111" s="51" t="s">
        <v>24</v>
      </c>
      <c r="F111" s="51" t="s">
        <v>1384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30</v>
      </c>
      <c r="M111" s="17">
        <f t="shared" si="11"/>
        <v>0</v>
      </c>
      <c r="N111" s="18">
        <f t="shared" si="12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1392</v>
      </c>
      <c r="D112" s="51" t="s">
        <v>288</v>
      </c>
      <c r="E112" s="51" t="s">
        <v>19</v>
      </c>
      <c r="F112" s="51" t="s">
        <v>1384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1392</v>
      </c>
      <c r="D113" s="51" t="s">
        <v>291</v>
      </c>
      <c r="E113" s="51" t="s">
        <v>24</v>
      </c>
      <c r="F113" s="51" t="s">
        <v>1383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30</v>
      </c>
      <c r="M113" s="17">
        <f t="shared" si="11"/>
        <v>0</v>
      </c>
      <c r="N113" s="18">
        <f t="shared" si="12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1392</v>
      </c>
      <c r="D114" s="51" t="s">
        <v>293</v>
      </c>
      <c r="E114" s="51" t="s">
        <v>24</v>
      </c>
      <c r="F114" s="51" t="s">
        <v>1383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 t="s">
        <v>1392</v>
      </c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30</v>
      </c>
      <c r="M115" s="17">
        <f t="shared" si="11"/>
        <v>0</v>
      </c>
      <c r="N115" s="18">
        <f t="shared" si="12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1259</v>
      </c>
      <c r="C116" s="51" t="s">
        <v>1392</v>
      </c>
      <c r="D116" s="51" t="s">
        <v>277</v>
      </c>
      <c r="E116" s="51" t="s">
        <v>19</v>
      </c>
      <c r="F116" s="51" t="s">
        <v>1384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 t="s">
        <v>1392</v>
      </c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 t="s">
        <v>1392</v>
      </c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1392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1392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30</v>
      </c>
      <c r="M120" s="17">
        <f t="shared" si="11"/>
        <v>0</v>
      </c>
      <c r="N120" s="18">
        <f t="shared" si="12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5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1260</v>
      </c>
      <c r="C121" s="51" t="s">
        <v>1392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30</v>
      </c>
      <c r="M121" s="17">
        <f t="shared" si="11"/>
        <v>0</v>
      </c>
      <c r="N121" s="18">
        <f t="shared" si="12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1261</v>
      </c>
      <c r="C122" s="51" t="s">
        <v>1392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30</v>
      </c>
      <c r="M122" s="17">
        <f t="shared" si="11"/>
        <v>0</v>
      </c>
      <c r="N122" s="18">
        <f t="shared" si="12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1262</v>
      </c>
      <c r="C123" s="51" t="s">
        <v>1392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30</v>
      </c>
      <c r="M123" s="17">
        <f t="shared" si="11"/>
        <v>0</v>
      </c>
      <c r="N123" s="18">
        <f t="shared" si="12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1391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1391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 t="s">
        <v>1391</v>
      </c>
      <c r="D126" s="51" t="s">
        <v>324</v>
      </c>
      <c r="E126" s="51" t="s">
        <v>102</v>
      </c>
      <c r="F126" s="51" t="s">
        <v>1384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 t="s">
        <v>1391</v>
      </c>
      <c r="D127" s="51" t="s">
        <v>324</v>
      </c>
      <c r="E127" s="51" t="s">
        <v>102</v>
      </c>
      <c r="F127" s="51" t="s">
        <v>1384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1263</v>
      </c>
      <c r="C128" s="51" t="s">
        <v>1391</v>
      </c>
      <c r="D128" s="51" t="s">
        <v>346</v>
      </c>
      <c r="E128" s="51" t="s">
        <v>102</v>
      </c>
      <c r="F128" s="51" t="s">
        <v>1384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28</v>
      </c>
      <c r="M128" s="17">
        <f t="shared" si="11"/>
        <v>2</v>
      </c>
      <c r="N128" s="18">
        <f t="shared" si="12"/>
        <v>0.93333333333333335</v>
      </c>
      <c r="O128" s="27" t="s">
        <v>1209</v>
      </c>
      <c r="P128" s="8" t="s">
        <v>1209</v>
      </c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1264</v>
      </c>
      <c r="C129" s="51" t="s">
        <v>1391</v>
      </c>
      <c r="D129" s="51" t="s">
        <v>346</v>
      </c>
      <c r="E129" s="51" t="s">
        <v>102</v>
      </c>
      <c r="F129" s="51" t="s">
        <v>1384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28</v>
      </c>
      <c r="M129" s="17">
        <f t="shared" si="11"/>
        <v>2</v>
      </c>
      <c r="N129" s="18">
        <f t="shared" si="12"/>
        <v>0.93333333333333335</v>
      </c>
      <c r="O129" s="27" t="s">
        <v>1209</v>
      </c>
      <c r="P129" s="8" t="s">
        <v>1209</v>
      </c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1265</v>
      </c>
      <c r="C130" s="51" t="s">
        <v>1391</v>
      </c>
      <c r="D130" s="51" t="s">
        <v>349</v>
      </c>
      <c r="E130" s="51" t="s">
        <v>102</v>
      </c>
      <c r="F130" s="51" t="s">
        <v>1384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30</v>
      </c>
      <c r="M130" s="17">
        <f t="shared" si="11"/>
        <v>0</v>
      </c>
      <c r="N130" s="18">
        <f t="shared" si="12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1266</v>
      </c>
      <c r="C131" s="51" t="s">
        <v>1391</v>
      </c>
      <c r="D131" s="51" t="s">
        <v>349</v>
      </c>
      <c r="E131" s="51" t="s">
        <v>102</v>
      </c>
      <c r="F131" s="51" t="s">
        <v>1384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1391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1391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30</v>
      </c>
      <c r="M133" s="17">
        <f t="shared" ref="M133:M196" si="14">COUNTIF(O133:AP133,"APAGADO")</f>
        <v>0</v>
      </c>
      <c r="N133" s="18">
        <f t="shared" ref="N133:N196" si="15">(L133)/(M133+L133)</f>
        <v>1</v>
      </c>
      <c r="O133" s="27"/>
      <c r="P133" s="8"/>
      <c r="Q133" s="8"/>
      <c r="R133" s="8"/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1391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28</v>
      </c>
      <c r="M134" s="17">
        <f t="shared" si="14"/>
        <v>2</v>
      </c>
      <c r="N134" s="18">
        <f t="shared" si="15"/>
        <v>0.93333333333333335</v>
      </c>
      <c r="O134" s="27" t="s">
        <v>1209</v>
      </c>
      <c r="P134" s="8" t="s">
        <v>1209</v>
      </c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 t="s">
        <v>1391</v>
      </c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1391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30</v>
      </c>
      <c r="M136" s="17">
        <f t="shared" si="14"/>
        <v>0</v>
      </c>
      <c r="N136" s="18">
        <f t="shared" si="15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1391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1267</v>
      </c>
      <c r="C138" s="51" t="s">
        <v>1391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30</v>
      </c>
      <c r="M138" s="17">
        <f t="shared" si="14"/>
        <v>0</v>
      </c>
      <c r="N138" s="18">
        <f t="shared" si="15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1268</v>
      </c>
      <c r="C139" s="51" t="s">
        <v>1391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30</v>
      </c>
      <c r="M139" s="17">
        <f t="shared" si="14"/>
        <v>0</v>
      </c>
      <c r="N139" s="18">
        <f t="shared" si="15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1391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30</v>
      </c>
      <c r="M140" s="17">
        <f t="shared" si="14"/>
        <v>0</v>
      </c>
      <c r="N140" s="18">
        <f t="shared" si="15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1391</v>
      </c>
      <c r="D141" s="51" t="s">
        <v>352</v>
      </c>
      <c r="E141" s="51" t="s">
        <v>19</v>
      </c>
      <c r="F141" s="51" t="s">
        <v>1384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30</v>
      </c>
      <c r="M141" s="17">
        <f t="shared" si="14"/>
        <v>0</v>
      </c>
      <c r="N141" s="18">
        <f t="shared" si="15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1391</v>
      </c>
      <c r="D142" s="51" t="s">
        <v>355</v>
      </c>
      <c r="E142" s="51" t="s">
        <v>19</v>
      </c>
      <c r="F142" s="51" t="s">
        <v>1384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1391</v>
      </c>
      <c r="D143" s="51" t="s">
        <v>357</v>
      </c>
      <c r="E143" s="51" t="s">
        <v>19</v>
      </c>
      <c r="F143" s="51" t="s">
        <v>1384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30</v>
      </c>
      <c r="M143" s="17">
        <f t="shared" si="14"/>
        <v>0</v>
      </c>
      <c r="N143" s="18">
        <f t="shared" si="15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1269</v>
      </c>
      <c r="C144" s="51" t="s">
        <v>1391</v>
      </c>
      <c r="D144" s="51" t="s">
        <v>1270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 t="s">
        <v>1391</v>
      </c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30</v>
      </c>
      <c r="M145" s="17">
        <f t="shared" si="14"/>
        <v>0</v>
      </c>
      <c r="N145" s="18">
        <f t="shared" si="15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1391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1391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30</v>
      </c>
      <c r="M147" s="17">
        <f t="shared" si="14"/>
        <v>0</v>
      </c>
      <c r="N147" s="18">
        <f t="shared" si="15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1271</v>
      </c>
      <c r="C148" s="51" t="s">
        <v>1392</v>
      </c>
      <c r="D148" s="51" t="s">
        <v>367</v>
      </c>
      <c r="E148" s="51" t="s">
        <v>19</v>
      </c>
      <c r="F148" s="51" t="s">
        <v>1383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30</v>
      </c>
      <c r="M148" s="17">
        <f t="shared" si="14"/>
        <v>0</v>
      </c>
      <c r="N148" s="18">
        <f t="shared" si="15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 t="s">
        <v>1392</v>
      </c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1392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1272</v>
      </c>
      <c r="C151" s="51" t="s">
        <v>1391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1273</v>
      </c>
      <c r="C152" s="51" t="s">
        <v>1391</v>
      </c>
      <c r="D152" s="51" t="s">
        <v>1274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30</v>
      </c>
      <c r="M152" s="17">
        <f t="shared" si="14"/>
        <v>0</v>
      </c>
      <c r="N152" s="18">
        <f t="shared" si="15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1275</v>
      </c>
      <c r="C153" s="51" t="s">
        <v>1391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1276</v>
      </c>
      <c r="C154" s="51" t="s">
        <v>1391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1277</v>
      </c>
      <c r="C155" s="51" t="s">
        <v>1391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1278</v>
      </c>
      <c r="C156" s="51" t="s">
        <v>1391</v>
      </c>
      <c r="D156" s="51" t="s">
        <v>372</v>
      </c>
      <c r="E156" s="51" t="s">
        <v>65</v>
      </c>
      <c r="F156" s="51" t="s">
        <v>1383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28</v>
      </c>
      <c r="M156" s="17">
        <f t="shared" si="14"/>
        <v>2</v>
      </c>
      <c r="N156" s="18">
        <f t="shared" si="15"/>
        <v>0.93333333333333335</v>
      </c>
      <c r="O156" s="27" t="s">
        <v>1209</v>
      </c>
      <c r="P156" s="8" t="s">
        <v>1209</v>
      </c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1391</v>
      </c>
      <c r="D157" s="51" t="s">
        <v>376</v>
      </c>
      <c r="E157" s="51" t="s">
        <v>24</v>
      </c>
      <c r="F157" s="51" t="s">
        <v>1383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28</v>
      </c>
      <c r="M157" s="17">
        <f t="shared" si="14"/>
        <v>2</v>
      </c>
      <c r="N157" s="18">
        <f t="shared" si="15"/>
        <v>0.93333333333333335</v>
      </c>
      <c r="O157" s="27" t="s">
        <v>1209</v>
      </c>
      <c r="P157" s="8" t="s">
        <v>1209</v>
      </c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1391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28</v>
      </c>
      <c r="M158" s="17">
        <f t="shared" si="14"/>
        <v>2</v>
      </c>
      <c r="N158" s="18">
        <f t="shared" si="15"/>
        <v>0.93333333333333335</v>
      </c>
      <c r="O158" s="27" t="s">
        <v>1209</v>
      </c>
      <c r="P158" s="8" t="s">
        <v>1209</v>
      </c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1391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1391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1391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1391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29</v>
      </c>
      <c r="M162" s="17">
        <f t="shared" si="14"/>
        <v>1</v>
      </c>
      <c r="N162" s="18">
        <f t="shared" si="15"/>
        <v>0.96666666666666667</v>
      </c>
      <c r="O162" s="27" t="s">
        <v>1209</v>
      </c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1391</v>
      </c>
      <c r="D163" s="51" t="s">
        <v>393</v>
      </c>
      <c r="E163" s="51" t="s">
        <v>24</v>
      </c>
      <c r="F163" s="51" t="s">
        <v>1383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28</v>
      </c>
      <c r="M163" s="17">
        <f t="shared" si="14"/>
        <v>2</v>
      </c>
      <c r="N163" s="18">
        <f t="shared" si="15"/>
        <v>0.93333333333333335</v>
      </c>
      <c r="O163" s="27" t="s">
        <v>1209</v>
      </c>
      <c r="P163" s="8" t="s">
        <v>1209</v>
      </c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1391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1279</v>
      </c>
      <c r="C165" s="51" t="s">
        <v>1391</v>
      </c>
      <c r="D165" s="51" t="s">
        <v>1280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1392</v>
      </c>
      <c r="D166" s="51" t="s">
        <v>400</v>
      </c>
      <c r="E166" s="51" t="s">
        <v>19</v>
      </c>
      <c r="F166" s="51" t="s">
        <v>36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1396</v>
      </c>
      <c r="L166" s="53">
        <f t="shared" si="16"/>
        <v>28</v>
      </c>
      <c r="M166" s="17">
        <f t="shared" si="14"/>
        <v>2</v>
      </c>
      <c r="N166" s="18">
        <f t="shared" si="15"/>
        <v>0.93333333333333335</v>
      </c>
      <c r="O166" s="27" t="s">
        <v>1209</v>
      </c>
      <c r="P166" s="8" t="s">
        <v>1209</v>
      </c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1392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984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1392</v>
      </c>
      <c r="D168" s="51" t="s">
        <v>18</v>
      </c>
      <c r="E168" s="51" t="s">
        <v>19</v>
      </c>
      <c r="F168" s="51" t="s">
        <v>1383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985</v>
      </c>
      <c r="L168" s="53">
        <f t="shared" si="16"/>
        <v>30</v>
      </c>
      <c r="M168" s="17">
        <f t="shared" si="14"/>
        <v>0</v>
      </c>
      <c r="N168" s="18">
        <f t="shared" si="15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1281</v>
      </c>
      <c r="C169" s="51" t="s">
        <v>1392</v>
      </c>
      <c r="D169" s="51" t="s">
        <v>1282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30</v>
      </c>
      <c r="M169" s="17">
        <f t="shared" si="14"/>
        <v>0</v>
      </c>
      <c r="N169" s="18">
        <f t="shared" si="15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1283</v>
      </c>
      <c r="B170" s="51" t="s">
        <v>1284</v>
      </c>
      <c r="C170" s="51" t="s">
        <v>1392</v>
      </c>
      <c r="D170" s="51" t="s">
        <v>1282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1392</v>
      </c>
      <c r="D171" s="51" t="s">
        <v>1285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986</v>
      </c>
      <c r="L171" s="53">
        <f t="shared" si="16"/>
        <v>30</v>
      </c>
      <c r="M171" s="17">
        <f t="shared" si="14"/>
        <v>0</v>
      </c>
      <c r="N171" s="18">
        <f t="shared" si="15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1392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1392</v>
      </c>
      <c r="D173" s="51" t="s">
        <v>1286</v>
      </c>
      <c r="E173" s="51" t="s">
        <v>19</v>
      </c>
      <c r="F173" s="51" t="s">
        <v>1384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987</v>
      </c>
      <c r="L173" s="53">
        <f t="shared" si="16"/>
        <v>30</v>
      </c>
      <c r="M173" s="17">
        <f t="shared" si="14"/>
        <v>0</v>
      </c>
      <c r="N173" s="18">
        <f t="shared" si="15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1392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988</v>
      </c>
      <c r="L174" s="53">
        <f t="shared" si="16"/>
        <v>30</v>
      </c>
      <c r="M174" s="17">
        <f t="shared" si="14"/>
        <v>0</v>
      </c>
      <c r="N174" s="18">
        <f t="shared" si="15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1287</v>
      </c>
      <c r="C175" s="51" t="s">
        <v>1391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989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1288</v>
      </c>
      <c r="C176" s="51" t="s">
        <v>1391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990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1289</v>
      </c>
      <c r="C177" s="51" t="s">
        <v>1391</v>
      </c>
      <c r="D177" s="51" t="s">
        <v>417</v>
      </c>
      <c r="E177" s="51" t="s">
        <v>24</v>
      </c>
      <c r="F177" s="51" t="s">
        <v>1383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992</v>
      </c>
      <c r="L177" s="53">
        <f t="shared" si="16"/>
        <v>30</v>
      </c>
      <c r="M177" s="17">
        <f t="shared" si="14"/>
        <v>0</v>
      </c>
      <c r="N177" s="18">
        <f t="shared" si="15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1391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1388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1391</v>
      </c>
      <c r="D179" s="51" t="s">
        <v>415</v>
      </c>
      <c r="E179" s="51" t="s">
        <v>24</v>
      </c>
      <c r="F179" s="51" t="s">
        <v>1383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991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1391</v>
      </c>
      <c r="D180" s="51" t="s">
        <v>420</v>
      </c>
      <c r="E180" s="51" t="s">
        <v>19</v>
      </c>
      <c r="F180" s="51" t="s">
        <v>1383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993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1391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994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1391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995</v>
      </c>
      <c r="L182" s="53">
        <f t="shared" si="16"/>
        <v>30</v>
      </c>
      <c r="M182" s="17">
        <f t="shared" si="14"/>
        <v>0</v>
      </c>
      <c r="N182" s="18">
        <f t="shared" si="15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1391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996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1391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997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1290</v>
      </c>
      <c r="C185" s="51" t="s">
        <v>1391</v>
      </c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998</v>
      </c>
      <c r="L185" s="53">
        <f t="shared" si="16"/>
        <v>30</v>
      </c>
      <c r="M185" s="17">
        <f t="shared" si="14"/>
        <v>0</v>
      </c>
      <c r="N185" s="18">
        <f t="shared" si="15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 t="s">
        <v>1391</v>
      </c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1004</v>
      </c>
      <c r="L186" s="53">
        <f t="shared" si="16"/>
        <v>30</v>
      </c>
      <c r="M186" s="17">
        <f t="shared" si="14"/>
        <v>0</v>
      </c>
      <c r="N186" s="18">
        <f t="shared" si="15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 t="s">
        <v>1391</v>
      </c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999</v>
      </c>
      <c r="L187" s="53">
        <f t="shared" si="16"/>
        <v>30</v>
      </c>
      <c r="M187" s="17">
        <f t="shared" si="14"/>
        <v>0</v>
      </c>
      <c r="N187" s="18">
        <f t="shared" si="15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 t="s">
        <v>1391</v>
      </c>
      <c r="D188" s="51" t="s">
        <v>442</v>
      </c>
      <c r="E188" s="51" t="s">
        <v>24</v>
      </c>
      <c r="F188" s="51" t="s">
        <v>1384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1000</v>
      </c>
      <c r="L188" s="53">
        <f t="shared" si="16"/>
        <v>30</v>
      </c>
      <c r="M188" s="17">
        <f t="shared" si="14"/>
        <v>0</v>
      </c>
      <c r="N188" s="18">
        <f t="shared" si="15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 t="s">
        <v>1391</v>
      </c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1001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 t="s">
        <v>1391</v>
      </c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1389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1391</v>
      </c>
      <c r="D191" s="51" t="s">
        <v>451</v>
      </c>
      <c r="E191" s="51" t="s">
        <v>24</v>
      </c>
      <c r="F191" s="51" t="s">
        <v>1383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1002</v>
      </c>
      <c r="L191" s="53">
        <f t="shared" si="16"/>
        <v>28</v>
      </c>
      <c r="M191" s="17">
        <f t="shared" si="14"/>
        <v>2</v>
      </c>
      <c r="N191" s="18">
        <f t="shared" si="15"/>
        <v>0.93333333333333335</v>
      </c>
      <c r="O191" s="27" t="s">
        <v>1209</v>
      </c>
      <c r="P191" s="8" t="s">
        <v>1209</v>
      </c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 t="s">
        <v>1391</v>
      </c>
      <c r="D192" s="51" t="s">
        <v>453</v>
      </c>
      <c r="E192" s="51" t="s">
        <v>24</v>
      </c>
      <c r="F192" s="51" t="s">
        <v>1383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1003</v>
      </c>
      <c r="L192" s="53">
        <f t="shared" si="16"/>
        <v>30</v>
      </c>
      <c r="M192" s="17">
        <f t="shared" si="14"/>
        <v>0</v>
      </c>
      <c r="N192" s="18">
        <f t="shared" si="15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 t="s">
        <v>1391</v>
      </c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1005</v>
      </c>
      <c r="L193" s="53">
        <f t="shared" si="16"/>
        <v>30</v>
      </c>
      <c r="M193" s="17">
        <f t="shared" si="14"/>
        <v>0</v>
      </c>
      <c r="N193" s="18">
        <f t="shared" si="15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460</v>
      </c>
      <c r="B194" s="51" t="s">
        <v>458</v>
      </c>
      <c r="C194" s="51" t="s">
        <v>1392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1006</v>
      </c>
      <c r="L194" s="53">
        <f t="shared" si="16"/>
        <v>30</v>
      </c>
      <c r="M194" s="17">
        <f t="shared" si="14"/>
        <v>0</v>
      </c>
      <c r="N194" s="18">
        <f t="shared" si="15"/>
        <v>1</v>
      </c>
      <c r="O194" s="27"/>
      <c r="P194" s="8"/>
      <c r="Q194" s="8"/>
      <c r="R194" s="8"/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1392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1007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 t="s">
        <v>1392</v>
      </c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1008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1392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1009</v>
      </c>
      <c r="L197" s="53">
        <f t="shared" si="16"/>
        <v>30</v>
      </c>
      <c r="M197" s="17">
        <f t="shared" ref="M197:M262" si="17">COUNTIF(O197:AP197,"APAGADO")</f>
        <v>0</v>
      </c>
      <c r="N197" s="18">
        <f t="shared" ref="N197:N262" si="18">(L197)/(M197+L197)</f>
        <v>1</v>
      </c>
      <c r="O197" s="27"/>
      <c r="P197" s="8"/>
      <c r="Q197" s="8"/>
      <c r="R197" s="8"/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1392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1010</v>
      </c>
      <c r="L198" s="53">
        <f t="shared" ref="L198:L261" si="19">COUNTIF(O198:AR198,"")</f>
        <v>30</v>
      </c>
      <c r="M198" s="17">
        <f t="shared" si="17"/>
        <v>0</v>
      </c>
      <c r="N198" s="18">
        <f t="shared" si="18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 t="s">
        <v>1392</v>
      </c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1013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 t="s">
        <v>1209</v>
      </c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 t="s">
        <v>1392</v>
      </c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1014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 t="s">
        <v>1209</v>
      </c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 t="s">
        <v>1392</v>
      </c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1015</v>
      </c>
      <c r="L201" s="53">
        <f t="shared" si="19"/>
        <v>30</v>
      </c>
      <c r="M201" s="17">
        <f t="shared" si="17"/>
        <v>0</v>
      </c>
      <c r="N201" s="18">
        <f t="shared" si="18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1392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1016</v>
      </c>
      <c r="L202" s="53">
        <f t="shared" si="19"/>
        <v>30</v>
      </c>
      <c r="M202" s="17">
        <f t="shared" si="17"/>
        <v>0</v>
      </c>
      <c r="N202" s="18">
        <f t="shared" si="18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 t="s">
        <v>1392</v>
      </c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1017</v>
      </c>
      <c r="L203" s="53">
        <f t="shared" si="19"/>
        <v>30</v>
      </c>
      <c r="M203" s="17">
        <f t="shared" si="17"/>
        <v>0</v>
      </c>
      <c r="N203" s="18">
        <f t="shared" si="18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1392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1018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1291</v>
      </c>
      <c r="C205" s="51" t="s">
        <v>1392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1028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1392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1019</v>
      </c>
      <c r="L206" s="53">
        <f t="shared" si="19"/>
        <v>30</v>
      </c>
      <c r="M206" s="17">
        <f t="shared" si="17"/>
        <v>0</v>
      </c>
      <c r="N206" s="18">
        <f t="shared" si="18"/>
        <v>1</v>
      </c>
      <c r="O206" s="27"/>
      <c r="P206" s="8"/>
      <c r="Q206" s="8"/>
      <c r="R206" s="8"/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1391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1020</v>
      </c>
      <c r="L207" s="53">
        <f t="shared" si="19"/>
        <v>30</v>
      </c>
      <c r="M207" s="17">
        <f t="shared" si="17"/>
        <v>0</v>
      </c>
      <c r="N207" s="18">
        <f t="shared" si="18"/>
        <v>1</v>
      </c>
      <c r="O207" s="27"/>
      <c r="P207" s="8"/>
      <c r="Q207" s="8"/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1392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1022</v>
      </c>
      <c r="L208" s="53">
        <f t="shared" si="19"/>
        <v>30</v>
      </c>
      <c r="M208" s="17">
        <f t="shared" si="17"/>
        <v>0</v>
      </c>
      <c r="N208" s="18">
        <f t="shared" si="18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1392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1023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1292</v>
      </c>
      <c r="C210" s="51" t="s">
        <v>1392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1029</v>
      </c>
      <c r="L210" s="53">
        <f t="shared" si="19"/>
        <v>28</v>
      </c>
      <c r="M210" s="17">
        <f t="shared" si="17"/>
        <v>2</v>
      </c>
      <c r="N210" s="18">
        <f t="shared" si="18"/>
        <v>0.93333333333333335</v>
      </c>
      <c r="O210" s="27" t="s">
        <v>1209</v>
      </c>
      <c r="P210" s="8" t="s">
        <v>1209</v>
      </c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1392</v>
      </c>
      <c r="D211" s="51" t="s">
        <v>495</v>
      </c>
      <c r="E211" s="51" t="s">
        <v>19</v>
      </c>
      <c r="F211" s="51" t="s">
        <v>1384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1024</v>
      </c>
      <c r="L211" s="53">
        <f t="shared" si="19"/>
        <v>30</v>
      </c>
      <c r="M211" s="17">
        <f t="shared" si="17"/>
        <v>0</v>
      </c>
      <c r="N211" s="18">
        <f t="shared" si="18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 t="s">
        <v>1392</v>
      </c>
      <c r="D212" s="51" t="s">
        <v>495</v>
      </c>
      <c r="E212" s="51" t="s">
        <v>102</v>
      </c>
      <c r="F212" s="51" t="s">
        <v>1384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1025</v>
      </c>
      <c r="L212" s="53">
        <f t="shared" si="19"/>
        <v>30</v>
      </c>
      <c r="M212" s="17">
        <f t="shared" si="17"/>
        <v>0</v>
      </c>
      <c r="N212" s="18">
        <f t="shared" si="18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1392</v>
      </c>
      <c r="D213" s="51" t="s">
        <v>1293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1030</v>
      </c>
      <c r="L213" s="53">
        <f t="shared" si="19"/>
        <v>30</v>
      </c>
      <c r="M213" s="17">
        <f t="shared" si="17"/>
        <v>0</v>
      </c>
      <c r="N213" s="18">
        <f t="shared" si="18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1392</v>
      </c>
      <c r="D214" s="51" t="s">
        <v>1293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1031</v>
      </c>
      <c r="L214" s="53">
        <f t="shared" si="19"/>
        <v>30</v>
      </c>
      <c r="M214" s="17">
        <f t="shared" si="17"/>
        <v>0</v>
      </c>
      <c r="N214" s="18">
        <f t="shared" si="18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1392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1027</v>
      </c>
      <c r="L215" s="53">
        <f t="shared" si="19"/>
        <v>28</v>
      </c>
      <c r="M215" s="17">
        <f t="shared" si="17"/>
        <v>2</v>
      </c>
      <c r="N215" s="18">
        <f t="shared" si="18"/>
        <v>0.93333333333333335</v>
      </c>
      <c r="O215" s="27" t="s">
        <v>1209</v>
      </c>
      <c r="P215" s="8" t="s">
        <v>1209</v>
      </c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1392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1026</v>
      </c>
      <c r="L216" s="53">
        <f t="shared" si="19"/>
        <v>28</v>
      </c>
      <c r="M216" s="17">
        <f t="shared" si="17"/>
        <v>2</v>
      </c>
      <c r="N216" s="18">
        <f t="shared" si="18"/>
        <v>0.93333333333333335</v>
      </c>
      <c r="O216" s="27" t="s">
        <v>1209</v>
      </c>
      <c r="P216" s="8" t="s">
        <v>1209</v>
      </c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1294</v>
      </c>
      <c r="C217" s="51" t="s">
        <v>1391</v>
      </c>
      <c r="D217" s="51" t="s">
        <v>1295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29</v>
      </c>
      <c r="M217" s="17">
        <f t="shared" si="17"/>
        <v>1</v>
      </c>
      <c r="N217" s="18">
        <f t="shared" si="18"/>
        <v>0.96666666666666667</v>
      </c>
      <c r="O217" s="27"/>
      <c r="P217" s="8" t="s">
        <v>1209</v>
      </c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1296</v>
      </c>
      <c r="C218" s="51" t="s">
        <v>1392</v>
      </c>
      <c r="D218" s="51" t="s">
        <v>1297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30</v>
      </c>
      <c r="M218" s="17">
        <f t="shared" si="17"/>
        <v>0</v>
      </c>
      <c r="N218" s="18">
        <f t="shared" si="18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1298</v>
      </c>
      <c r="C219" s="51" t="s">
        <v>1392</v>
      </c>
      <c r="D219" s="51" t="s">
        <v>1299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30</v>
      </c>
      <c r="M219" s="17">
        <f t="shared" si="17"/>
        <v>0</v>
      </c>
      <c r="N219" s="18">
        <f t="shared" si="18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1392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1021</v>
      </c>
      <c r="L220" s="53">
        <f t="shared" si="19"/>
        <v>30</v>
      </c>
      <c r="M220" s="17">
        <f t="shared" si="17"/>
        <v>0</v>
      </c>
      <c r="N220" s="18">
        <f t="shared" si="18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1300</v>
      </c>
      <c r="C221" s="51" t="s">
        <v>1392</v>
      </c>
      <c r="D221" s="51" t="s">
        <v>1301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30</v>
      </c>
      <c r="M221" s="17">
        <f t="shared" si="17"/>
        <v>0</v>
      </c>
      <c r="N221" s="18">
        <f t="shared" si="18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1302</v>
      </c>
      <c r="C222" s="51" t="s">
        <v>1392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30</v>
      </c>
      <c r="M222" s="17">
        <f t="shared" si="17"/>
        <v>0</v>
      </c>
      <c r="N222" s="18">
        <f t="shared" si="18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1303</v>
      </c>
      <c r="C223" s="51" t="s">
        <v>1392</v>
      </c>
      <c r="D223" s="51" t="s">
        <v>1304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30</v>
      </c>
      <c r="M223" s="17">
        <f t="shared" si="17"/>
        <v>0</v>
      </c>
      <c r="N223" s="18">
        <f t="shared" si="18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1305</v>
      </c>
      <c r="C224" s="51" t="s">
        <v>1392</v>
      </c>
      <c r="D224" s="51" t="s">
        <v>1306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30</v>
      </c>
      <c r="M224" s="17">
        <f t="shared" si="17"/>
        <v>0</v>
      </c>
      <c r="N224" s="18">
        <f t="shared" si="18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1307</v>
      </c>
      <c r="C225" s="51" t="s">
        <v>1392</v>
      </c>
      <c r="D225" s="51" t="s">
        <v>1308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29</v>
      </c>
      <c r="M225" s="17">
        <f t="shared" si="17"/>
        <v>1</v>
      </c>
      <c r="N225" s="18">
        <f t="shared" si="18"/>
        <v>0.96666666666666667</v>
      </c>
      <c r="O225" s="27" t="s">
        <v>1209</v>
      </c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1309</v>
      </c>
      <c r="C226" s="51" t="s">
        <v>1392</v>
      </c>
      <c r="D226" s="51" t="s">
        <v>1310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1392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1032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1311</v>
      </c>
      <c r="C228" s="51" t="s">
        <v>1392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1033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1392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1034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1392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1035</v>
      </c>
      <c r="L230" s="53">
        <f t="shared" si="19"/>
        <v>30</v>
      </c>
      <c r="M230" s="17">
        <f t="shared" si="17"/>
        <v>0</v>
      </c>
      <c r="N230" s="18">
        <f t="shared" si="18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1392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1036</v>
      </c>
      <c r="L231" s="53">
        <f t="shared" si="19"/>
        <v>30</v>
      </c>
      <c r="M231" s="17">
        <f t="shared" si="17"/>
        <v>0</v>
      </c>
      <c r="N231" s="18">
        <f t="shared" si="18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1392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1037</v>
      </c>
      <c r="L232" s="53">
        <f t="shared" si="19"/>
        <v>30</v>
      </c>
      <c r="M232" s="17">
        <f t="shared" si="17"/>
        <v>0</v>
      </c>
      <c r="N232" s="18">
        <f t="shared" si="18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1312</v>
      </c>
      <c r="C233" s="51" t="s">
        <v>1392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1042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1313</v>
      </c>
      <c r="C234" s="51" t="s">
        <v>1392</v>
      </c>
      <c r="D234" s="51" t="s">
        <v>1314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1196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1315</v>
      </c>
      <c r="C235" s="51" t="s">
        <v>1392</v>
      </c>
      <c r="D235" s="51" t="s">
        <v>1316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1197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1317</v>
      </c>
      <c r="C236" s="51" t="s">
        <v>1392</v>
      </c>
      <c r="D236" s="51" t="s">
        <v>1318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1198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1319</v>
      </c>
      <c r="C237" s="51" t="s">
        <v>1392</v>
      </c>
      <c r="D237" s="51" t="s">
        <v>1320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1199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1321</v>
      </c>
      <c r="C238" s="51" t="s">
        <v>1392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1038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1322</v>
      </c>
      <c r="C239" s="51" t="s">
        <v>1392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1041</v>
      </c>
      <c r="L239" s="53">
        <f t="shared" si="19"/>
        <v>30</v>
      </c>
      <c r="M239" s="17">
        <f t="shared" si="17"/>
        <v>0</v>
      </c>
      <c r="N239" s="18">
        <f t="shared" si="18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1392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1039</v>
      </c>
      <c r="L240" s="53">
        <f t="shared" si="19"/>
        <v>30</v>
      </c>
      <c r="M240" s="17">
        <f t="shared" si="17"/>
        <v>0</v>
      </c>
      <c r="N240" s="18">
        <f t="shared" si="18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1392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1040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1187</v>
      </c>
      <c r="B242" s="51" t="s">
        <v>1323</v>
      </c>
      <c r="C242" s="51" t="s">
        <v>1392</v>
      </c>
      <c r="D242" s="51" t="s">
        <v>1324</v>
      </c>
      <c r="E242" s="51" t="s">
        <v>1385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1189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1187</v>
      </c>
      <c r="B243" s="51" t="s">
        <v>1186</v>
      </c>
      <c r="C243" s="51" t="s">
        <v>1392</v>
      </c>
      <c r="D243" s="51" t="s">
        <v>1324</v>
      </c>
      <c r="E243" s="51" t="s">
        <v>1386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1188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1325</v>
      </c>
      <c r="C244" s="51" t="s">
        <v>1391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1011</v>
      </c>
      <c r="L244" s="53">
        <f t="shared" si="19"/>
        <v>28</v>
      </c>
      <c r="M244" s="17">
        <f t="shared" si="17"/>
        <v>2</v>
      </c>
      <c r="N244" s="18">
        <f t="shared" si="18"/>
        <v>0.93333333333333335</v>
      </c>
      <c r="O244" s="27" t="s">
        <v>1209</v>
      </c>
      <c r="P244" s="8" t="s">
        <v>1209</v>
      </c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1326</v>
      </c>
      <c r="C245" s="51" t="s">
        <v>1391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1012</v>
      </c>
      <c r="L245" s="53">
        <f t="shared" si="19"/>
        <v>28</v>
      </c>
      <c r="M245" s="17">
        <f t="shared" si="17"/>
        <v>2</v>
      </c>
      <c r="N245" s="18">
        <f t="shared" si="18"/>
        <v>0.93333333333333335</v>
      </c>
      <c r="O245" s="27" t="s">
        <v>1209</v>
      </c>
      <c r="P245" s="27" t="s">
        <v>1209</v>
      </c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1327</v>
      </c>
      <c r="C246" s="51" t="s">
        <v>1391</v>
      </c>
      <c r="D246" s="51" t="s">
        <v>1328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1329</v>
      </c>
      <c r="C247" s="51" t="s">
        <v>1391</v>
      </c>
      <c r="D247" s="51" t="s">
        <v>1330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30</v>
      </c>
      <c r="M247" s="17">
        <f t="shared" si="17"/>
        <v>0</v>
      </c>
      <c r="N247" s="18">
        <f t="shared" si="18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1391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1043</v>
      </c>
      <c r="L248" s="53">
        <f t="shared" si="19"/>
        <v>30</v>
      </c>
      <c r="M248" s="17">
        <f t="shared" si="17"/>
        <v>0</v>
      </c>
      <c r="N248" s="18">
        <f t="shared" si="18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1391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1044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1391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1045</v>
      </c>
      <c r="L250" s="53">
        <f t="shared" si="19"/>
        <v>30</v>
      </c>
      <c r="M250" s="17">
        <f t="shared" si="17"/>
        <v>0</v>
      </c>
      <c r="N250" s="18">
        <f t="shared" si="18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1391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1046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1331</v>
      </c>
      <c r="C252" s="51" t="s">
        <v>1391</v>
      </c>
      <c r="D252" s="51" t="s">
        <v>543</v>
      </c>
      <c r="E252" s="51" t="s">
        <v>24</v>
      </c>
      <c r="F252" s="51" t="s">
        <v>1383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1050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1391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1049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1391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1047</v>
      </c>
      <c r="L254" s="53">
        <f t="shared" si="19"/>
        <v>28</v>
      </c>
      <c r="M254" s="17">
        <f t="shared" si="17"/>
        <v>2</v>
      </c>
      <c r="N254" s="18">
        <f t="shared" si="18"/>
        <v>0.93333333333333335</v>
      </c>
      <c r="O254" s="27" t="s">
        <v>1209</v>
      </c>
      <c r="P254" s="8" t="s">
        <v>1209</v>
      </c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1391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1048</v>
      </c>
      <c r="L255" s="53">
        <f t="shared" si="19"/>
        <v>28</v>
      </c>
      <c r="M255" s="17">
        <f t="shared" si="17"/>
        <v>2</v>
      </c>
      <c r="N255" s="18">
        <f t="shared" si="18"/>
        <v>0.93333333333333335</v>
      </c>
      <c r="O255" s="27" t="s">
        <v>1209</v>
      </c>
      <c r="P255" s="8" t="s">
        <v>1209</v>
      </c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1391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1052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1391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1053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 t="s">
        <v>1391</v>
      </c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1054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 t="s">
        <v>1391</v>
      </c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1055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1391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1056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1192</v>
      </c>
      <c r="C261" s="51" t="s">
        <v>1391</v>
      </c>
      <c r="D261" s="51" t="s">
        <v>1193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1200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1194</v>
      </c>
      <c r="C262" s="51" t="s">
        <v>1391</v>
      </c>
      <c r="D262" s="51" t="s">
        <v>1195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1201</v>
      </c>
      <c r="L262" s="53">
        <f t="shared" ref="L262:L325" si="20">COUNTIF(O262:AR262,"")</f>
        <v>29</v>
      </c>
      <c r="M262" s="17">
        <f t="shared" si="17"/>
        <v>1</v>
      </c>
      <c r="N262" s="18">
        <f t="shared" si="18"/>
        <v>0.96666666666666667</v>
      </c>
      <c r="O262" s="27"/>
      <c r="P262" s="8" t="s">
        <v>1209</v>
      </c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1332</v>
      </c>
      <c r="C263" s="51" t="s">
        <v>1391</v>
      </c>
      <c r="D263" s="51" t="s">
        <v>1333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1391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1051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1391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1057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1391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1058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1391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1059</v>
      </c>
      <c r="L267" s="53">
        <f t="shared" si="20"/>
        <v>29</v>
      </c>
      <c r="M267" s="17">
        <f t="shared" si="21"/>
        <v>1</v>
      </c>
      <c r="N267" s="18">
        <f t="shared" si="22"/>
        <v>0.96666666666666667</v>
      </c>
      <c r="O267" s="27"/>
      <c r="P267" s="8" t="s">
        <v>1209</v>
      </c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1391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1060</v>
      </c>
      <c r="L268" s="53">
        <f t="shared" si="20"/>
        <v>29</v>
      </c>
      <c r="M268" s="17">
        <f t="shared" si="21"/>
        <v>1</v>
      </c>
      <c r="N268" s="18">
        <f t="shared" si="22"/>
        <v>0.96666666666666667</v>
      </c>
      <c r="O268" s="27"/>
      <c r="P268" s="8" t="s">
        <v>1209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1391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1061</v>
      </c>
      <c r="L269" s="53">
        <f t="shared" si="20"/>
        <v>29</v>
      </c>
      <c r="M269" s="17">
        <f t="shared" si="21"/>
        <v>1</v>
      </c>
      <c r="N269" s="18">
        <f t="shared" si="22"/>
        <v>0.96666666666666667</v>
      </c>
      <c r="O269" s="27"/>
      <c r="P269" s="8" t="s">
        <v>1209</v>
      </c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1391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1062</v>
      </c>
      <c r="L270" s="53">
        <f t="shared" si="20"/>
        <v>29</v>
      </c>
      <c r="M270" s="17">
        <f t="shared" si="21"/>
        <v>1</v>
      </c>
      <c r="N270" s="18">
        <f t="shared" si="22"/>
        <v>0.96666666666666667</v>
      </c>
      <c r="O270" s="27"/>
      <c r="P270" s="8" t="s">
        <v>1209</v>
      </c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1392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1065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 t="s">
        <v>1392</v>
      </c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1067</v>
      </c>
      <c r="L272" s="53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1334</v>
      </c>
      <c r="C273" s="51" t="s">
        <v>1392</v>
      </c>
      <c r="D273" s="51" t="s">
        <v>1335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1336</v>
      </c>
      <c r="C274" s="51" t="s">
        <v>1392</v>
      </c>
      <c r="D274" s="51" t="s">
        <v>1335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 t="s">
        <v>1392</v>
      </c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1063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 t="s">
        <v>1392</v>
      </c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1064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 t="s">
        <v>1392</v>
      </c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1068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 t="s">
        <v>1392</v>
      </c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1069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 t="s">
        <v>1392</v>
      </c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1070</v>
      </c>
      <c r="L279" s="53">
        <f t="shared" si="20"/>
        <v>30</v>
      </c>
      <c r="M279" s="17">
        <f t="shared" si="21"/>
        <v>0</v>
      </c>
      <c r="N279" s="18">
        <f t="shared" si="22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 t="s">
        <v>1392</v>
      </c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1071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 t="s">
        <v>1392</v>
      </c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1072</v>
      </c>
      <c r="L281" s="53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1392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1075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1392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1076</v>
      </c>
      <c r="L283" s="53">
        <f t="shared" si="20"/>
        <v>30</v>
      </c>
      <c r="M283" s="17">
        <f t="shared" si="21"/>
        <v>0</v>
      </c>
      <c r="N283" s="18">
        <f t="shared" si="22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1392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1078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1392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1079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1392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1073</v>
      </c>
      <c r="L286" s="53">
        <f t="shared" si="20"/>
        <v>30</v>
      </c>
      <c r="M286" s="17">
        <f t="shared" si="21"/>
        <v>0</v>
      </c>
      <c r="N286" s="18">
        <f t="shared" si="22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1392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1074</v>
      </c>
      <c r="L287" s="53">
        <f t="shared" si="20"/>
        <v>30</v>
      </c>
      <c r="M287" s="17">
        <f t="shared" si="21"/>
        <v>0</v>
      </c>
      <c r="N287" s="18">
        <f t="shared" si="22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 t="s">
        <v>1392</v>
      </c>
      <c r="D288" s="51" t="s">
        <v>611</v>
      </c>
      <c r="E288" s="51" t="s">
        <v>19</v>
      </c>
      <c r="F288" s="51" t="s">
        <v>1384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1077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1337</v>
      </c>
      <c r="C289" s="51" t="s">
        <v>1391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1082</v>
      </c>
      <c r="L289" s="53">
        <f t="shared" si="20"/>
        <v>28</v>
      </c>
      <c r="M289" s="17">
        <f t="shared" si="21"/>
        <v>2</v>
      </c>
      <c r="N289" s="18">
        <f t="shared" si="22"/>
        <v>0.93333333333333335</v>
      </c>
      <c r="O289" s="27" t="s">
        <v>1209</v>
      </c>
      <c r="P289" s="8" t="s">
        <v>1209</v>
      </c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1338</v>
      </c>
      <c r="C290" s="51" t="s">
        <v>1391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1083</v>
      </c>
      <c r="L290" s="53">
        <f t="shared" si="20"/>
        <v>28</v>
      </c>
      <c r="M290" s="17">
        <f t="shared" si="21"/>
        <v>2</v>
      </c>
      <c r="N290" s="18">
        <f t="shared" si="22"/>
        <v>0.93333333333333335</v>
      </c>
      <c r="O290" s="27" t="s">
        <v>1209</v>
      </c>
      <c r="P290" s="8" t="s">
        <v>1209</v>
      </c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1391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1080</v>
      </c>
      <c r="L291" s="53">
        <f t="shared" si="20"/>
        <v>28</v>
      </c>
      <c r="M291" s="17">
        <f t="shared" si="21"/>
        <v>2</v>
      </c>
      <c r="N291" s="18">
        <f t="shared" si="22"/>
        <v>0.93333333333333335</v>
      </c>
      <c r="O291" s="27" t="s">
        <v>1209</v>
      </c>
      <c r="P291" s="8" t="s">
        <v>1209</v>
      </c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1391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1081</v>
      </c>
      <c r="L292" s="53">
        <f t="shared" si="20"/>
        <v>28</v>
      </c>
      <c r="M292" s="17">
        <f t="shared" si="21"/>
        <v>2</v>
      </c>
      <c r="N292" s="18">
        <f t="shared" si="22"/>
        <v>0.93333333333333335</v>
      </c>
      <c r="O292" s="27" t="s">
        <v>1209</v>
      </c>
      <c r="P292" s="8" t="s">
        <v>1209</v>
      </c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1339</v>
      </c>
      <c r="C293" s="51" t="s">
        <v>1392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1089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1392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1093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1340</v>
      </c>
      <c r="C295" s="51" t="s">
        <v>1392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1084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1341</v>
      </c>
      <c r="C296" s="51" t="s">
        <v>1392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1095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1342</v>
      </c>
      <c r="C297" s="51" t="s">
        <v>1392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1096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1343</v>
      </c>
      <c r="C298" s="51" t="s">
        <v>1392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1100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1344</v>
      </c>
      <c r="C299" s="51" t="s">
        <v>1392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1101</v>
      </c>
      <c r="L299" s="53">
        <f t="shared" si="20"/>
        <v>30</v>
      </c>
      <c r="M299" s="17">
        <f t="shared" si="21"/>
        <v>0</v>
      </c>
      <c r="N299" s="18">
        <f t="shared" si="22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1392</v>
      </c>
      <c r="D300" s="51" t="s">
        <v>1345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1086</v>
      </c>
      <c r="L300" s="53">
        <f t="shared" si="20"/>
        <v>30</v>
      </c>
      <c r="M300" s="17">
        <f t="shared" si="21"/>
        <v>0</v>
      </c>
      <c r="N300" s="18">
        <f t="shared" si="22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1392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1087</v>
      </c>
      <c r="L301" s="53">
        <f t="shared" si="20"/>
        <v>30</v>
      </c>
      <c r="M301" s="17">
        <f t="shared" si="21"/>
        <v>0</v>
      </c>
      <c r="N301" s="18">
        <f t="shared" si="22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1392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1088</v>
      </c>
      <c r="L302" s="53">
        <f t="shared" si="20"/>
        <v>28</v>
      </c>
      <c r="M302" s="17">
        <f t="shared" si="21"/>
        <v>2</v>
      </c>
      <c r="N302" s="18">
        <f t="shared" si="22"/>
        <v>0.93333333333333335</v>
      </c>
      <c r="O302" s="27" t="s">
        <v>1209</v>
      </c>
      <c r="P302" s="8" t="s">
        <v>1209</v>
      </c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1346</v>
      </c>
      <c r="C303" s="51" t="s">
        <v>1392</v>
      </c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1090</v>
      </c>
      <c r="L303" s="53">
        <f t="shared" si="20"/>
        <v>30</v>
      </c>
      <c r="M303" s="17">
        <f t="shared" si="21"/>
        <v>0</v>
      </c>
      <c r="N303" s="18">
        <f t="shared" si="22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1347</v>
      </c>
      <c r="C304" s="51" t="s">
        <v>1392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1091</v>
      </c>
      <c r="L304" s="53">
        <f t="shared" si="20"/>
        <v>30</v>
      </c>
      <c r="M304" s="17">
        <f t="shared" si="21"/>
        <v>0</v>
      </c>
      <c r="N304" s="18">
        <f t="shared" si="22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1348</v>
      </c>
      <c r="C305" s="51" t="s">
        <v>1392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1092</v>
      </c>
      <c r="L305" s="53">
        <f t="shared" si="20"/>
        <v>30</v>
      </c>
      <c r="M305" s="17">
        <f t="shared" si="21"/>
        <v>0</v>
      </c>
      <c r="N305" s="18">
        <f t="shared" si="22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1349</v>
      </c>
      <c r="C306" s="51" t="s">
        <v>1392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1066</v>
      </c>
      <c r="L306" s="53">
        <f t="shared" si="20"/>
        <v>30</v>
      </c>
      <c r="M306" s="17">
        <f t="shared" si="21"/>
        <v>0</v>
      </c>
      <c r="N306" s="18">
        <f t="shared" si="22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1350</v>
      </c>
      <c r="C307" s="51" t="s">
        <v>1392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1094</v>
      </c>
      <c r="L307" s="53">
        <f t="shared" si="20"/>
        <v>30</v>
      </c>
      <c r="M307" s="17">
        <f t="shared" si="21"/>
        <v>0</v>
      </c>
      <c r="N307" s="18">
        <f t="shared" si="22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1392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1085</v>
      </c>
      <c r="L308" s="53">
        <f t="shared" si="20"/>
        <v>30</v>
      </c>
      <c r="M308" s="17">
        <f t="shared" si="21"/>
        <v>0</v>
      </c>
      <c r="N308" s="18">
        <f t="shared" si="22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1392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1097</v>
      </c>
      <c r="L309" s="53">
        <f t="shared" si="20"/>
        <v>30</v>
      </c>
      <c r="M309" s="17">
        <f t="shared" si="21"/>
        <v>0</v>
      </c>
      <c r="N309" s="18">
        <f t="shared" si="22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1351</v>
      </c>
      <c r="C310" s="51" t="s">
        <v>1392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1098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1352</v>
      </c>
      <c r="C311" s="51" t="s">
        <v>1392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1099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 t="s">
        <v>1392</v>
      </c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1102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1392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1103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1353</v>
      </c>
      <c r="C314" s="51" t="s">
        <v>1391</v>
      </c>
      <c r="D314" s="51" t="s">
        <v>674</v>
      </c>
      <c r="E314" s="51" t="s">
        <v>24</v>
      </c>
      <c r="F314" s="51" t="s">
        <v>1384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1112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1391</v>
      </c>
      <c r="D315" s="51" t="s">
        <v>654</v>
      </c>
      <c r="E315" s="51" t="s">
        <v>24</v>
      </c>
      <c r="F315" s="51" t="s">
        <v>1384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1104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 t="s">
        <v>1391</v>
      </c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1105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 t="s">
        <v>1391</v>
      </c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1106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 t="s">
        <v>1391</v>
      </c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1107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 t="s">
        <v>1391</v>
      </c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1108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 t="s">
        <v>1391</v>
      </c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1109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 t="s">
        <v>1391</v>
      </c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1110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 t="s">
        <v>1391</v>
      </c>
      <c r="D322" s="51" t="s">
        <v>673</v>
      </c>
      <c r="E322" s="51" t="s">
        <v>24</v>
      </c>
      <c r="F322" s="51" t="s">
        <v>1384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1111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 t="s">
        <v>1392</v>
      </c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1113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1392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1114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1354</v>
      </c>
      <c r="C325" s="51" t="s">
        <v>1392</v>
      </c>
      <c r="D325" s="51" t="s">
        <v>688</v>
      </c>
      <c r="E325" s="51" t="s">
        <v>102</v>
      </c>
      <c r="F325" s="51" t="s">
        <v>1383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1120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1355</v>
      </c>
      <c r="C326" s="51" t="s">
        <v>1392</v>
      </c>
      <c r="D326" s="51" t="s">
        <v>688</v>
      </c>
      <c r="E326" s="51" t="s">
        <v>102</v>
      </c>
      <c r="F326" s="51" t="s">
        <v>1383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1121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 t="s">
        <v>1392</v>
      </c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1115</v>
      </c>
      <c r="L327" s="53">
        <f t="shared" si="23"/>
        <v>28</v>
      </c>
      <c r="M327" s="17">
        <f t="shared" ref="M327:M372" si="24">COUNTIF(O327:AP327,"APAGADO")</f>
        <v>2</v>
      </c>
      <c r="N327" s="18">
        <f t="shared" ref="N327:N372" si="25">(L327)/(M327+L327)</f>
        <v>0.93333333333333335</v>
      </c>
      <c r="O327" s="27" t="s">
        <v>1209</v>
      </c>
      <c r="P327" s="8" t="s">
        <v>1209</v>
      </c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1392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1116</v>
      </c>
      <c r="L328" s="53">
        <f t="shared" si="23"/>
        <v>28</v>
      </c>
      <c r="M328" s="17">
        <f t="shared" si="24"/>
        <v>2</v>
      </c>
      <c r="N328" s="18">
        <f t="shared" si="25"/>
        <v>0.93333333333333335</v>
      </c>
      <c r="O328" s="27" t="s">
        <v>1209</v>
      </c>
      <c r="P328" s="8" t="s">
        <v>1209</v>
      </c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 t="s">
        <v>1392</v>
      </c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1117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 t="s">
        <v>1392</v>
      </c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1118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1392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1119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 t="s">
        <v>1392</v>
      </c>
      <c r="D332" s="51" t="s">
        <v>691</v>
      </c>
      <c r="E332" s="51" t="s">
        <v>102</v>
      </c>
      <c r="F332" s="51" t="s">
        <v>1383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1122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 t="s">
        <v>1392</v>
      </c>
      <c r="D333" s="51" t="s">
        <v>691</v>
      </c>
      <c r="E333" s="51" t="s">
        <v>102</v>
      </c>
      <c r="F333" s="51" t="s">
        <v>1383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1123</v>
      </c>
      <c r="L333" s="53">
        <f t="shared" si="23"/>
        <v>30</v>
      </c>
      <c r="M333" s="17">
        <f t="shared" si="24"/>
        <v>0</v>
      </c>
      <c r="N333" s="18">
        <f t="shared" si="25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1356</v>
      </c>
      <c r="C334" s="51" t="s">
        <v>1392</v>
      </c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1133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1357</v>
      </c>
      <c r="C335" s="51" t="s">
        <v>1392</v>
      </c>
      <c r="D335" s="51" t="s">
        <v>735</v>
      </c>
      <c r="E335" s="51" t="s">
        <v>19</v>
      </c>
      <c r="F335" s="51" t="s">
        <v>1383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1137</v>
      </c>
      <c r="L335" s="53">
        <f t="shared" si="23"/>
        <v>30</v>
      </c>
      <c r="M335" s="17">
        <f t="shared" si="24"/>
        <v>0</v>
      </c>
      <c r="N335" s="18">
        <f t="shared" si="25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 t="s">
        <v>1392</v>
      </c>
      <c r="D336" s="51" t="s">
        <v>701</v>
      </c>
      <c r="E336" s="51" t="s">
        <v>19</v>
      </c>
      <c r="F336" s="51" t="s">
        <v>1384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1138</v>
      </c>
      <c r="L336" s="53">
        <f t="shared" si="23"/>
        <v>30</v>
      </c>
      <c r="M336" s="17">
        <f t="shared" si="24"/>
        <v>0</v>
      </c>
      <c r="N336" s="18">
        <f t="shared" si="25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1392</v>
      </c>
      <c r="D337" s="51" t="s">
        <v>705</v>
      </c>
      <c r="E337" s="51" t="s">
        <v>19</v>
      </c>
      <c r="F337" s="51" t="s">
        <v>1384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1139</v>
      </c>
      <c r="L337" s="53">
        <f t="shared" si="23"/>
        <v>30</v>
      </c>
      <c r="M337" s="17">
        <f t="shared" si="24"/>
        <v>0</v>
      </c>
      <c r="N337" s="18">
        <f t="shared" si="25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 t="s">
        <v>1392</v>
      </c>
      <c r="D338" s="51" t="s">
        <v>1358</v>
      </c>
      <c r="E338" s="51" t="s">
        <v>19</v>
      </c>
      <c r="F338" s="51" t="s">
        <v>1384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1140</v>
      </c>
      <c r="L338" s="53">
        <f t="shared" si="23"/>
        <v>30</v>
      </c>
      <c r="M338" s="17">
        <f t="shared" si="24"/>
        <v>0</v>
      </c>
      <c r="N338" s="18">
        <f t="shared" si="25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1392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1143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1359</v>
      </c>
      <c r="C340" s="51" t="s">
        <v>1392</v>
      </c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1144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1360</v>
      </c>
      <c r="C341" s="51" t="s">
        <v>1392</v>
      </c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1145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 t="s">
        <v>1392</v>
      </c>
      <c r="D342" s="51" t="s">
        <v>1361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1124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1392</v>
      </c>
      <c r="D343" s="51" t="s">
        <v>1362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1125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 t="s">
        <v>1392</v>
      </c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1126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 t="s">
        <v>1392</v>
      </c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1127</v>
      </c>
      <c r="L345" s="53">
        <f t="shared" si="23"/>
        <v>30</v>
      </c>
      <c r="M345" s="17">
        <f t="shared" si="24"/>
        <v>0</v>
      </c>
      <c r="N345" s="18">
        <f t="shared" si="25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 t="s">
        <v>1392</v>
      </c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1128</v>
      </c>
      <c r="L346" s="53">
        <f t="shared" si="23"/>
        <v>30</v>
      </c>
      <c r="M346" s="17">
        <f t="shared" si="24"/>
        <v>0</v>
      </c>
      <c r="N346" s="18">
        <f t="shared" si="25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 t="s">
        <v>1392</v>
      </c>
      <c r="D347" s="51" t="s">
        <v>1401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1129</v>
      </c>
      <c r="L347" s="53">
        <f t="shared" si="23"/>
        <v>30</v>
      </c>
      <c r="M347" s="17">
        <f t="shared" si="24"/>
        <v>0</v>
      </c>
      <c r="N347" s="18">
        <f t="shared" si="25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1391</v>
      </c>
      <c r="D348" s="51" t="s">
        <v>1400</v>
      </c>
      <c r="E348" s="51"/>
      <c r="F348" s="51" t="s">
        <v>1384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1130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 t="s">
        <v>1209</v>
      </c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 t="s">
        <v>1392</v>
      </c>
      <c r="D349" s="51" t="s">
        <v>728</v>
      </c>
      <c r="E349" s="51" t="s">
        <v>24</v>
      </c>
      <c r="F349" s="51" t="s">
        <v>1383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1131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 t="s">
        <v>1392</v>
      </c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1132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 t="s">
        <v>1392</v>
      </c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1134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1363</v>
      </c>
      <c r="C352" s="51" t="s">
        <v>1392</v>
      </c>
      <c r="D352" s="51" t="s">
        <v>695</v>
      </c>
      <c r="E352" s="51" t="s">
        <v>19</v>
      </c>
      <c r="F352" s="51" t="s">
        <v>1384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1135</v>
      </c>
      <c r="L352" s="53">
        <f t="shared" si="23"/>
        <v>30</v>
      </c>
      <c r="M352" s="17">
        <f t="shared" si="24"/>
        <v>0</v>
      </c>
      <c r="N352" s="18">
        <f t="shared" si="25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1364</v>
      </c>
      <c r="C353" s="51" t="s">
        <v>1392</v>
      </c>
      <c r="D353" s="51" t="s">
        <v>698</v>
      </c>
      <c r="E353" s="51" t="s">
        <v>24</v>
      </c>
      <c r="F353" s="51" t="s">
        <v>1384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1136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1365</v>
      </c>
      <c r="C354" s="51" t="s">
        <v>1392</v>
      </c>
      <c r="D354" s="51" t="s">
        <v>708</v>
      </c>
      <c r="E354" s="51" t="s">
        <v>19</v>
      </c>
      <c r="F354" s="51" t="s">
        <v>1384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1141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1366</v>
      </c>
      <c r="C355" s="51" t="s">
        <v>1392</v>
      </c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1142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1391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29</v>
      </c>
      <c r="M356" s="17">
        <f t="shared" si="24"/>
        <v>1</v>
      </c>
      <c r="N356" s="18">
        <f t="shared" si="25"/>
        <v>0.96666666666666667</v>
      </c>
      <c r="O356" s="27" t="s">
        <v>1209</v>
      </c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1391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1146</v>
      </c>
      <c r="L357" s="53">
        <f t="shared" si="23"/>
        <v>29</v>
      </c>
      <c r="M357" s="17">
        <f t="shared" si="24"/>
        <v>1</v>
      </c>
      <c r="N357" s="18">
        <f t="shared" si="25"/>
        <v>0.96666666666666667</v>
      </c>
      <c r="O357" s="27" t="s">
        <v>1209</v>
      </c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1367</v>
      </c>
      <c r="C358" s="51" t="s">
        <v>1391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1149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1368</v>
      </c>
      <c r="C359" s="51" t="s">
        <v>1391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1150</v>
      </c>
      <c r="L359" s="53">
        <f t="shared" si="23"/>
        <v>30</v>
      </c>
      <c r="M359" s="17">
        <f t="shared" si="24"/>
        <v>0</v>
      </c>
      <c r="N359" s="18">
        <f t="shared" si="25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1391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1153</v>
      </c>
      <c r="L360" s="53">
        <f t="shared" si="23"/>
        <v>30</v>
      </c>
      <c r="M360" s="17">
        <f t="shared" si="24"/>
        <v>0</v>
      </c>
      <c r="N360" s="18">
        <f t="shared" si="25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 t="s">
        <v>1391</v>
      </c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1147</v>
      </c>
      <c r="L361" s="53">
        <f t="shared" si="23"/>
        <v>29</v>
      </c>
      <c r="M361" s="17">
        <f t="shared" si="24"/>
        <v>1</v>
      </c>
      <c r="N361" s="18">
        <f t="shared" si="25"/>
        <v>0.96666666666666667</v>
      </c>
      <c r="O361" s="27" t="s">
        <v>1209</v>
      </c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1391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1148</v>
      </c>
      <c r="L362" s="53">
        <f t="shared" si="23"/>
        <v>29</v>
      </c>
      <c r="M362" s="17">
        <f t="shared" si="24"/>
        <v>1</v>
      </c>
      <c r="N362" s="18">
        <f t="shared" si="25"/>
        <v>0.96666666666666667</v>
      </c>
      <c r="O362" s="27" t="s">
        <v>1209</v>
      </c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 t="s">
        <v>1391</v>
      </c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1151</v>
      </c>
      <c r="L363" s="53">
        <f t="shared" si="23"/>
        <v>30</v>
      </c>
      <c r="M363" s="17">
        <f t="shared" si="24"/>
        <v>0</v>
      </c>
      <c r="N363" s="18">
        <f t="shared" si="25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 t="s">
        <v>1391</v>
      </c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1152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 t="s">
        <v>1391</v>
      </c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1154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 t="s">
        <v>1391</v>
      </c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1155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 t="s">
        <v>1391</v>
      </c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1156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 t="s">
        <v>1391</v>
      </c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1157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 t="s">
        <v>1391</v>
      </c>
      <c r="D369" s="51" t="s">
        <v>766</v>
      </c>
      <c r="E369" s="51" t="s">
        <v>24</v>
      </c>
      <c r="F369" s="51" t="s">
        <v>1384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1158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 t="s">
        <v>1391</v>
      </c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1159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1392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1160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1392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1161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1369</v>
      </c>
      <c r="C373" s="51" t="s">
        <v>1392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1162</v>
      </c>
      <c r="L373" s="53">
        <f t="shared" si="23"/>
        <v>30</v>
      </c>
      <c r="M373" s="53">
        <f t="shared" ref="M373:M379" si="26">COUNTIF(O373:AP373,"APAGADO")</f>
        <v>0</v>
      </c>
      <c r="N373" s="54">
        <f t="shared" ref="N373:N379" si="27">(L373)/(M373+L373)</f>
        <v>1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1370</v>
      </c>
      <c r="C374" s="51" t="s">
        <v>1392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1163</v>
      </c>
      <c r="L374" s="53">
        <f t="shared" si="23"/>
        <v>30</v>
      </c>
      <c r="M374" s="53">
        <f t="shared" si="26"/>
        <v>0</v>
      </c>
      <c r="N374" s="54">
        <f t="shared" si="27"/>
        <v>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1371</v>
      </c>
      <c r="C375" s="51" t="s">
        <v>1392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1164</v>
      </c>
      <c r="L375" s="53">
        <f t="shared" si="23"/>
        <v>30</v>
      </c>
      <c r="M375" s="53">
        <f t="shared" si="26"/>
        <v>0</v>
      </c>
      <c r="N375" s="54">
        <f t="shared" si="27"/>
        <v>1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1372</v>
      </c>
      <c r="C376" s="51" t="s">
        <v>1392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1165</v>
      </c>
      <c r="L376" s="53">
        <f t="shared" si="23"/>
        <v>30</v>
      </c>
      <c r="M376" s="53">
        <f t="shared" si="26"/>
        <v>0</v>
      </c>
      <c r="N376" s="54">
        <f t="shared" si="27"/>
        <v>1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1392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1166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1392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1167</v>
      </c>
      <c r="L378" s="53">
        <f t="shared" si="23"/>
        <v>30</v>
      </c>
      <c r="M378" s="53">
        <f t="shared" si="26"/>
        <v>0</v>
      </c>
      <c r="N378" s="54">
        <f t="shared" si="27"/>
        <v>1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1392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1168</v>
      </c>
      <c r="L379" s="53">
        <f t="shared" si="23"/>
        <v>30</v>
      </c>
      <c r="M379" s="53">
        <f t="shared" si="26"/>
        <v>0</v>
      </c>
      <c r="N379" s="54">
        <f t="shared" si="27"/>
        <v>1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1392</v>
      </c>
      <c r="D380" s="51" t="s">
        <v>1373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1169</v>
      </c>
      <c r="L380" s="53">
        <f t="shared" ref="L380:L396" si="28">COUNTIF(O380:AR380,"")</f>
        <v>30</v>
      </c>
      <c r="M380" s="53">
        <f t="shared" ref="M380:M396" si="29">COUNTIF(O380:AP380,"APAGADO")</f>
        <v>0</v>
      </c>
      <c r="N380" s="54">
        <f t="shared" ref="N380:N396" si="30">(L380)/(M380+L380)</f>
        <v>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1374</v>
      </c>
      <c r="C381" s="51" t="s">
        <v>1392</v>
      </c>
      <c r="D381" s="51" t="s">
        <v>1375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1170</v>
      </c>
      <c r="L381" s="53">
        <f t="shared" si="28"/>
        <v>30</v>
      </c>
      <c r="M381" s="53">
        <f t="shared" si="29"/>
        <v>0</v>
      </c>
      <c r="N381" s="54">
        <f t="shared" si="30"/>
        <v>1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1376</v>
      </c>
      <c r="C382" s="51" t="s">
        <v>1392</v>
      </c>
      <c r="D382" s="51" t="s">
        <v>1375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1171</v>
      </c>
      <c r="L382" s="53">
        <f t="shared" si="28"/>
        <v>30</v>
      </c>
      <c r="M382" s="53">
        <f t="shared" si="29"/>
        <v>0</v>
      </c>
      <c r="N382" s="54">
        <f t="shared" si="30"/>
        <v>1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1377</v>
      </c>
      <c r="C383" s="51" t="s">
        <v>1392</v>
      </c>
      <c r="D383" s="51" t="s">
        <v>1378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1172</v>
      </c>
      <c r="L383" s="53">
        <f t="shared" si="28"/>
        <v>30</v>
      </c>
      <c r="M383" s="53">
        <f t="shared" si="29"/>
        <v>0</v>
      </c>
      <c r="N383" s="54">
        <f t="shared" si="30"/>
        <v>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1392</v>
      </c>
      <c r="D384" s="51" t="s">
        <v>1379</v>
      </c>
      <c r="E384" s="51" t="s">
        <v>19</v>
      </c>
      <c r="F384" s="51" t="s">
        <v>36</v>
      </c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30</v>
      </c>
      <c r="M384" s="53">
        <f t="shared" si="29"/>
        <v>0</v>
      </c>
      <c r="N384" s="54">
        <f t="shared" si="30"/>
        <v>1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1380</v>
      </c>
      <c r="C385" s="51" t="s">
        <v>1392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1174</v>
      </c>
      <c r="L385" s="53">
        <f t="shared" si="28"/>
        <v>28</v>
      </c>
      <c r="M385" s="53">
        <f t="shared" si="29"/>
        <v>2</v>
      </c>
      <c r="N385" s="54">
        <f t="shared" si="30"/>
        <v>0.93333333333333335</v>
      </c>
      <c r="O385" s="27" t="s">
        <v>1209</v>
      </c>
      <c r="P385" s="27" t="s">
        <v>1209</v>
      </c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1381</v>
      </c>
      <c r="C386" s="51" t="s">
        <v>1392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1175</v>
      </c>
      <c r="L386" s="53">
        <f t="shared" si="28"/>
        <v>28</v>
      </c>
      <c r="M386" s="53">
        <f t="shared" si="29"/>
        <v>2</v>
      </c>
      <c r="N386" s="54">
        <f t="shared" si="30"/>
        <v>0.93333333333333335</v>
      </c>
      <c r="O386" s="27" t="s">
        <v>1209</v>
      </c>
      <c r="P386" s="27" t="s">
        <v>1209</v>
      </c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1392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1173</v>
      </c>
      <c r="L387" s="53">
        <f t="shared" si="28"/>
        <v>28</v>
      </c>
      <c r="M387" s="53">
        <f t="shared" si="29"/>
        <v>2</v>
      </c>
      <c r="N387" s="54">
        <f t="shared" si="30"/>
        <v>0.93333333333333335</v>
      </c>
      <c r="O387" s="27" t="s">
        <v>1209</v>
      </c>
      <c r="P387" s="27" t="s">
        <v>1209</v>
      </c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1392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1176</v>
      </c>
      <c r="L388" s="53">
        <f t="shared" si="28"/>
        <v>28</v>
      </c>
      <c r="M388" s="53">
        <f t="shared" si="29"/>
        <v>2</v>
      </c>
      <c r="N388" s="54">
        <f t="shared" si="30"/>
        <v>0.93333333333333335</v>
      </c>
      <c r="O388" s="27" t="s">
        <v>1209</v>
      </c>
      <c r="P388" s="27" t="s">
        <v>1209</v>
      </c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1392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1177</v>
      </c>
      <c r="L389" s="53">
        <f t="shared" si="28"/>
        <v>30</v>
      </c>
      <c r="M389" s="53">
        <f t="shared" si="29"/>
        <v>0</v>
      </c>
      <c r="N389" s="54">
        <f t="shared" si="30"/>
        <v>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 t="s">
        <v>1392</v>
      </c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1179</v>
      </c>
      <c r="L390" s="53">
        <f t="shared" si="28"/>
        <v>30</v>
      </c>
      <c r="M390" s="53">
        <f t="shared" si="29"/>
        <v>0</v>
      </c>
      <c r="N390" s="54">
        <f t="shared" si="30"/>
        <v>1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 t="s">
        <v>1392</v>
      </c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1180</v>
      </c>
      <c r="L391" s="53">
        <f t="shared" si="28"/>
        <v>30</v>
      </c>
      <c r="M391" s="53">
        <f t="shared" si="29"/>
        <v>0</v>
      </c>
      <c r="N391" s="54">
        <f t="shared" si="30"/>
        <v>1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1382</v>
      </c>
      <c r="C392" s="51" t="s">
        <v>1392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1178</v>
      </c>
      <c r="L392" s="53">
        <f t="shared" si="28"/>
        <v>30</v>
      </c>
      <c r="M392" s="53">
        <f t="shared" si="29"/>
        <v>0</v>
      </c>
      <c r="N392" s="54">
        <f t="shared" si="30"/>
        <v>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 t="s">
        <v>1392</v>
      </c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1184</v>
      </c>
      <c r="L393" s="53">
        <f t="shared" si="28"/>
        <v>30</v>
      </c>
      <c r="M393" s="53">
        <f t="shared" si="29"/>
        <v>0</v>
      </c>
      <c r="N393" s="54">
        <f t="shared" si="30"/>
        <v>1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 t="s">
        <v>1392</v>
      </c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1181</v>
      </c>
      <c r="L394" s="53">
        <f t="shared" si="28"/>
        <v>30</v>
      </c>
      <c r="M394" s="53">
        <f t="shared" si="29"/>
        <v>0</v>
      </c>
      <c r="N394" s="54">
        <f t="shared" si="30"/>
        <v>1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 t="s">
        <v>1392</v>
      </c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1182</v>
      </c>
      <c r="L395" s="53">
        <f t="shared" si="28"/>
        <v>30</v>
      </c>
      <c r="M395" s="53">
        <f t="shared" si="29"/>
        <v>0</v>
      </c>
      <c r="N395" s="54">
        <f t="shared" si="30"/>
        <v>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 t="s">
        <v>1392</v>
      </c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1183</v>
      </c>
      <c r="L396" s="53">
        <f t="shared" si="28"/>
        <v>30</v>
      </c>
      <c r="M396" s="53">
        <f t="shared" si="29"/>
        <v>0</v>
      </c>
      <c r="N396" s="54">
        <f t="shared" si="30"/>
        <v>1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autoFilter ref="A4:AS396" xr:uid="{32AE3966-3F3A-4A38-B5F8-35AF221F7220}"/>
  <conditionalFormatting sqref="N4:N244 P236:U244 P247:U281 O95:O244 O247:O369 V96:X244 V247:X372 AK95:AP369 AR95:AR369 N245:X246 N247:N372 AA96:AH372 AJ96:AJ372">
    <cfRule type="cellIs" dxfId="853" priority="2190" operator="lessThan">
      <formula>0.8</formula>
    </cfRule>
    <cfRule type="cellIs" dxfId="852" priority="2191" operator="greaterThan">
      <formula>0.8</formula>
    </cfRule>
  </conditionalFormatting>
  <conditionalFormatting sqref="E1:K3 E284:K334 E236:K236 E5:K32 E36:K91 E94:K230 E337:K364 E369:K372 E243:K281 E391:K1048576">
    <cfRule type="containsText" dxfId="851" priority="2189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H372 AJ96:AJ372">
    <cfRule type="notContainsText" dxfId="850" priority="2185" operator="notContains" text="Caida">
      <formula>ISERROR(SEARCH("Caida",O95))</formula>
    </cfRule>
    <cfRule type="containsText" dxfId="849" priority="2186" operator="containsText" text="Caida">
      <formula>NOT(ISERROR(SEARCH("Caida",O95)))</formula>
    </cfRule>
  </conditionalFormatting>
  <conditionalFormatting sqref="E282:K282">
    <cfRule type="containsText" dxfId="848" priority="2158" operator="containsText" text="Radio">
      <formula>NOT(ISERROR(SEARCH("Radio",E282)))</formula>
    </cfRule>
  </conditionalFormatting>
  <conditionalFormatting sqref="E283:K283">
    <cfRule type="containsText" dxfId="847" priority="2133" operator="containsText" text="Radio">
      <formula>NOT(ISERROR(SEARCH("Radio",E283)))</formula>
    </cfRule>
  </conditionalFormatting>
  <conditionalFormatting sqref="E4:K4">
    <cfRule type="containsText" dxfId="846" priority="2108" operator="containsText" text="Radio">
      <formula>NOT(ISERROR(SEARCH("Radio",E4)))</formula>
    </cfRule>
  </conditionalFormatting>
  <conditionalFormatting sqref="E231:K231">
    <cfRule type="containsText" dxfId="845" priority="2107" operator="containsText" text="Radio">
      <formula>NOT(ISERROR(SEARCH("Radio",E231)))</formula>
    </cfRule>
  </conditionalFormatting>
  <conditionalFormatting sqref="E232:K232">
    <cfRule type="containsText" dxfId="844" priority="2082" operator="containsText" text="Radio">
      <formula>NOT(ISERROR(SEARCH("Radio",E232)))</formula>
    </cfRule>
  </conditionalFormatting>
  <conditionalFormatting sqref="E233:K233">
    <cfRule type="containsText" dxfId="843" priority="2057" operator="containsText" text="Radio">
      <formula>NOT(ISERROR(SEARCH("Radio",E233)))</formula>
    </cfRule>
  </conditionalFormatting>
  <conditionalFormatting sqref="E234:K234">
    <cfRule type="containsText" dxfId="842" priority="2032" operator="containsText" text="Radio">
      <formula>NOT(ISERROR(SEARCH("Radio",E234)))</formula>
    </cfRule>
  </conditionalFormatting>
  <conditionalFormatting sqref="E235:K235">
    <cfRule type="containsText" dxfId="841" priority="2007" operator="containsText" text="Radio">
      <formula>NOT(ISERROR(SEARCH("Radio",E235)))</formula>
    </cfRule>
  </conditionalFormatting>
  <conditionalFormatting sqref="E335:K335">
    <cfRule type="containsText" dxfId="840" priority="1958" operator="containsText" text="Radio">
      <formula>NOT(ISERROR(SEARCH("Radio",E335)))</formula>
    </cfRule>
  </conditionalFormatting>
  <conditionalFormatting sqref="E336:K336">
    <cfRule type="containsText" dxfId="839" priority="1933" operator="containsText" text="Radio">
      <formula>NOT(ISERROR(SEARCH("Radio",E336)))</formula>
    </cfRule>
  </conditionalFormatting>
  <conditionalFormatting sqref="E237:K237">
    <cfRule type="containsText" dxfId="838" priority="1908" operator="containsText" text="Radio">
      <formula>NOT(ISERROR(SEARCH("Radio",E237)))</formula>
    </cfRule>
  </conditionalFormatting>
  <conditionalFormatting sqref="E238:K238">
    <cfRule type="containsText" dxfId="837" priority="1883" operator="containsText" text="Radio">
      <formula>NOT(ISERROR(SEARCH("Radio",E238)))</formula>
    </cfRule>
  </conditionalFormatting>
  <conditionalFormatting sqref="E33:K35">
    <cfRule type="containsText" dxfId="836" priority="1858" operator="containsText" text="Radio">
      <formula>NOT(ISERROR(SEARCH("Radio",E33)))</formula>
    </cfRule>
  </conditionalFormatting>
  <conditionalFormatting sqref="E239:K239">
    <cfRule type="containsText" dxfId="835" priority="1833" operator="containsText" text="Radio">
      <formula>NOT(ISERROR(SEARCH("Radio",E239)))</formula>
    </cfRule>
  </conditionalFormatting>
  <conditionalFormatting sqref="E240:K240">
    <cfRule type="containsText" dxfId="834" priority="1808" operator="containsText" text="Radio">
      <formula>NOT(ISERROR(SEARCH("Radio",E240)))</formula>
    </cfRule>
  </conditionalFormatting>
  <conditionalFormatting sqref="E241:K241">
    <cfRule type="containsText" dxfId="833" priority="1783" operator="containsText" text="Radio">
      <formula>NOT(ISERROR(SEARCH("Radio",E241)))</formula>
    </cfRule>
  </conditionalFormatting>
  <conditionalFormatting sqref="E242:K242">
    <cfRule type="containsText" dxfId="832" priority="1758" operator="containsText" text="Radio">
      <formula>NOT(ISERROR(SEARCH("Radio",E242)))</formula>
    </cfRule>
  </conditionalFormatting>
  <conditionalFormatting sqref="P6:P92 P96:P230">
    <cfRule type="cellIs" dxfId="831" priority="1683" operator="lessThan">
      <formula>0.8</formula>
    </cfRule>
    <cfRule type="cellIs" dxfId="830" priority="1684" operator="greaterThan">
      <formula>0.8</formula>
    </cfRule>
  </conditionalFormatting>
  <conditionalFormatting sqref="P6:P92 P96:P230">
    <cfRule type="notContainsText" dxfId="829" priority="1681" operator="notContains" text="Caida">
      <formula>ISERROR(SEARCH("Caida",P6))</formula>
    </cfRule>
    <cfRule type="containsText" dxfId="828" priority="1682" operator="containsText" text="Caida">
      <formula>NOT(ISERROR(SEARCH("Caida",P6)))</formula>
    </cfRule>
  </conditionalFormatting>
  <conditionalFormatting sqref="P337:P366 P284:P334">
    <cfRule type="cellIs" dxfId="827" priority="1679" operator="lessThan">
      <formula>0.8</formula>
    </cfRule>
    <cfRule type="cellIs" dxfId="826" priority="1680" operator="greaterThan">
      <formula>0.8</formula>
    </cfRule>
  </conditionalFormatting>
  <conditionalFormatting sqref="P337:P366 P284:P334 P397:P1048576">
    <cfRule type="notContainsText" dxfId="825" priority="1677" operator="notContains" text="Caida">
      <formula>ISERROR(SEARCH("Caida",P284))</formula>
    </cfRule>
    <cfRule type="containsText" dxfId="824" priority="1678" operator="containsText" text="Caida">
      <formula>NOT(ISERROR(SEARCH("Caida",P284)))</formula>
    </cfRule>
  </conditionalFormatting>
  <conditionalFormatting sqref="O397:O1048576">
    <cfRule type="notContainsText" dxfId="823" priority="1726" operator="notContains" text="Caida">
      <formula>ISERROR(SEARCH("Caida",O397))</formula>
    </cfRule>
    <cfRule type="containsText" dxfId="822" priority="1727" operator="containsText" text="Caida">
      <formula>NOT(ISERROR(SEARCH("Caida",O397)))</formula>
    </cfRule>
  </conditionalFormatting>
  <conditionalFormatting sqref="P336">
    <cfRule type="cellIs" dxfId="821" priority="1638" operator="lessThan">
      <formula>0.8</formula>
    </cfRule>
    <cfRule type="cellIs" dxfId="820" priority="1639" operator="greaterThan">
      <formula>0.8</formula>
    </cfRule>
  </conditionalFormatting>
  <conditionalFormatting sqref="P336">
    <cfRule type="notContainsText" dxfId="819" priority="1636" operator="notContains" text="Caida">
      <formula>ISERROR(SEARCH("Caida",P336))</formula>
    </cfRule>
    <cfRule type="containsText" dxfId="818" priority="1637" operator="containsText" text="Caida">
      <formula>NOT(ISERROR(SEARCH("Caida",P336)))</formula>
    </cfRule>
  </conditionalFormatting>
  <conditionalFormatting sqref="P22">
    <cfRule type="containsText" dxfId="817" priority="1676" operator="containsText" text="Instaladas en Funcionamiento Caida">
      <formula>NOT(ISERROR(SEARCH("Instaladas en Funcionamiento Caida",P22)))</formula>
    </cfRule>
  </conditionalFormatting>
  <conditionalFormatting sqref="P282">
    <cfRule type="cellIs" dxfId="816" priority="1674" operator="lessThan">
      <formula>0.8</formula>
    </cfRule>
    <cfRule type="cellIs" dxfId="815" priority="1675" operator="greaterThan">
      <formula>0.8</formula>
    </cfRule>
  </conditionalFormatting>
  <conditionalFormatting sqref="P282">
    <cfRule type="notContainsText" dxfId="814" priority="1672" operator="notContains" text="Caida">
      <formula>ISERROR(SEARCH("Caida",P282))</formula>
    </cfRule>
    <cfRule type="containsText" dxfId="813" priority="1673" operator="containsText" text="Caida">
      <formula>NOT(ISERROR(SEARCH("Caida",P282)))</formula>
    </cfRule>
  </conditionalFormatting>
  <conditionalFormatting sqref="P283">
    <cfRule type="cellIs" dxfId="812" priority="1670" operator="lessThan">
      <formula>0.8</formula>
    </cfRule>
    <cfRule type="cellIs" dxfId="811" priority="1671" operator="greaterThan">
      <formula>0.8</formula>
    </cfRule>
  </conditionalFormatting>
  <conditionalFormatting sqref="P283">
    <cfRule type="notContainsText" dxfId="810" priority="1668" operator="notContains" text="Caida">
      <formula>ISERROR(SEARCH("Caida",P283))</formula>
    </cfRule>
    <cfRule type="containsText" dxfId="809" priority="1669" operator="containsText" text="Caida">
      <formula>NOT(ISERROR(SEARCH("Caida",P283)))</formula>
    </cfRule>
  </conditionalFormatting>
  <conditionalFormatting sqref="P5">
    <cfRule type="cellIs" dxfId="808" priority="1666" operator="lessThan">
      <formula>0.8</formula>
    </cfRule>
    <cfRule type="cellIs" dxfId="807" priority="1667" operator="greaterThan">
      <formula>0.8</formula>
    </cfRule>
  </conditionalFormatting>
  <conditionalFormatting sqref="P5">
    <cfRule type="notContainsText" dxfId="806" priority="1664" operator="notContains" text="Caida">
      <formula>ISERROR(SEARCH("Caida",P5))</formula>
    </cfRule>
    <cfRule type="containsText" dxfId="805" priority="1665" operator="containsText" text="Caida">
      <formula>NOT(ISERROR(SEARCH("Caida",P5)))</formula>
    </cfRule>
  </conditionalFormatting>
  <conditionalFormatting sqref="P231">
    <cfRule type="cellIs" dxfId="804" priority="1662" operator="lessThan">
      <formula>0.8</formula>
    </cfRule>
    <cfRule type="cellIs" dxfId="803" priority="1663" operator="greaterThan">
      <formula>0.8</formula>
    </cfRule>
  </conditionalFormatting>
  <conditionalFormatting sqref="P231">
    <cfRule type="notContainsText" dxfId="802" priority="1660" operator="notContains" text="Caida">
      <formula>ISERROR(SEARCH("Caida",P231))</formula>
    </cfRule>
    <cfRule type="containsText" dxfId="801" priority="1661" operator="containsText" text="Caida">
      <formula>NOT(ISERROR(SEARCH("Caida",P231)))</formula>
    </cfRule>
  </conditionalFormatting>
  <conditionalFormatting sqref="P232">
    <cfRule type="cellIs" dxfId="800" priority="1658" operator="lessThan">
      <formula>0.8</formula>
    </cfRule>
    <cfRule type="cellIs" dxfId="799" priority="1659" operator="greaterThan">
      <formula>0.8</formula>
    </cfRule>
  </conditionalFormatting>
  <conditionalFormatting sqref="P232">
    <cfRule type="notContainsText" dxfId="798" priority="1656" operator="notContains" text="Caida">
      <formula>ISERROR(SEARCH("Caida",P232))</formula>
    </cfRule>
    <cfRule type="containsText" dxfId="797" priority="1657" operator="containsText" text="Caida">
      <formula>NOT(ISERROR(SEARCH("Caida",P232)))</formula>
    </cfRule>
  </conditionalFormatting>
  <conditionalFormatting sqref="P233">
    <cfRule type="cellIs" dxfId="796" priority="1654" operator="lessThan">
      <formula>0.8</formula>
    </cfRule>
    <cfRule type="cellIs" dxfId="795" priority="1655" operator="greaterThan">
      <formula>0.8</formula>
    </cfRule>
  </conditionalFormatting>
  <conditionalFormatting sqref="P233">
    <cfRule type="notContainsText" dxfId="794" priority="1652" operator="notContains" text="Caida">
      <formula>ISERROR(SEARCH("Caida",P233))</formula>
    </cfRule>
    <cfRule type="containsText" dxfId="793" priority="1653" operator="containsText" text="Caida">
      <formula>NOT(ISERROR(SEARCH("Caida",P233)))</formula>
    </cfRule>
  </conditionalFormatting>
  <conditionalFormatting sqref="P234">
    <cfRule type="cellIs" dxfId="792" priority="1650" operator="lessThan">
      <formula>0.8</formula>
    </cfRule>
    <cfRule type="cellIs" dxfId="791" priority="1651" operator="greaterThan">
      <formula>0.8</formula>
    </cfRule>
  </conditionalFormatting>
  <conditionalFormatting sqref="P234">
    <cfRule type="notContainsText" dxfId="790" priority="1648" operator="notContains" text="Caida">
      <formula>ISERROR(SEARCH("Caida",P234))</formula>
    </cfRule>
    <cfRule type="containsText" dxfId="789" priority="1649" operator="containsText" text="Caida">
      <formula>NOT(ISERROR(SEARCH("Caida",P234)))</formula>
    </cfRule>
  </conditionalFormatting>
  <conditionalFormatting sqref="P235">
    <cfRule type="cellIs" dxfId="788" priority="1646" operator="lessThan">
      <formula>0.8</formula>
    </cfRule>
    <cfRule type="cellIs" dxfId="787" priority="1647" operator="greaterThan">
      <formula>0.8</formula>
    </cfRule>
  </conditionalFormatting>
  <conditionalFormatting sqref="P235">
    <cfRule type="notContainsText" dxfId="786" priority="1644" operator="notContains" text="Caida">
      <formula>ISERROR(SEARCH("Caida",P235))</formula>
    </cfRule>
    <cfRule type="containsText" dxfId="785" priority="1645" operator="containsText" text="Caida">
      <formula>NOT(ISERROR(SEARCH("Caida",P235)))</formula>
    </cfRule>
  </conditionalFormatting>
  <conditionalFormatting sqref="P335">
    <cfRule type="cellIs" dxfId="784" priority="1642" operator="lessThan">
      <formula>0.8</formula>
    </cfRule>
    <cfRule type="cellIs" dxfId="783" priority="1643" operator="greaterThan">
      <formula>0.8</formula>
    </cfRule>
  </conditionalFormatting>
  <conditionalFormatting sqref="P335">
    <cfRule type="notContainsText" dxfId="782" priority="1640" operator="notContains" text="Caida">
      <formula>ISERROR(SEARCH("Caida",P335))</formula>
    </cfRule>
    <cfRule type="containsText" dxfId="781" priority="1641" operator="containsText" text="Caida">
      <formula>NOT(ISERROR(SEARCH("Caida",P335)))</formula>
    </cfRule>
  </conditionalFormatting>
  <conditionalFormatting sqref="Q6:Q92 Q96:Q230">
    <cfRule type="cellIs" dxfId="780" priority="1634" operator="lessThan">
      <formula>0.8</formula>
    </cfRule>
    <cfRule type="cellIs" dxfId="779" priority="1635" operator="greaterThan">
      <formula>0.8</formula>
    </cfRule>
  </conditionalFormatting>
  <conditionalFormatting sqref="Q6:Q92 Q96:Q230">
    <cfRule type="notContainsText" dxfId="778" priority="1632" operator="notContains" text="Caida">
      <formula>ISERROR(SEARCH("Caida",Q6))</formula>
    </cfRule>
    <cfRule type="containsText" dxfId="777" priority="1633" operator="containsText" text="Caida">
      <formula>NOT(ISERROR(SEARCH("Caida",Q6)))</formula>
    </cfRule>
  </conditionalFormatting>
  <conditionalFormatting sqref="Q336">
    <cfRule type="cellIs" dxfId="776" priority="1589" operator="lessThan">
      <formula>0.8</formula>
    </cfRule>
    <cfRule type="cellIs" dxfId="775" priority="1590" operator="greaterThan">
      <formula>0.8</formula>
    </cfRule>
  </conditionalFormatting>
  <conditionalFormatting sqref="Q336">
    <cfRule type="notContainsText" dxfId="774" priority="1587" operator="notContains" text="Caida">
      <formula>ISERROR(SEARCH("Caida",Q336))</formula>
    </cfRule>
    <cfRule type="containsText" dxfId="773" priority="1588" operator="containsText" text="Caida">
      <formula>NOT(ISERROR(SEARCH("Caida",Q336)))</formula>
    </cfRule>
  </conditionalFormatting>
  <conditionalFormatting sqref="Q337:Q366 Q284:Q334">
    <cfRule type="cellIs" dxfId="772" priority="1630" operator="lessThan">
      <formula>0.8</formula>
    </cfRule>
    <cfRule type="cellIs" dxfId="771" priority="1631" operator="greaterThan">
      <formula>0.8</formula>
    </cfRule>
  </conditionalFormatting>
  <conditionalFormatting sqref="Q337:Q366 Q284:Q334 Q397:Q1048576">
    <cfRule type="notContainsText" dxfId="770" priority="1628" operator="notContains" text="Caida">
      <formula>ISERROR(SEARCH("Caida",Q284))</formula>
    </cfRule>
    <cfRule type="containsText" dxfId="769" priority="1629" operator="containsText" text="Caida">
      <formula>NOT(ISERROR(SEARCH("Caida",Q284)))</formula>
    </cfRule>
  </conditionalFormatting>
  <conditionalFormatting sqref="Q22">
    <cfRule type="containsText" dxfId="768" priority="1627" operator="containsText" text="Instaladas en Funcionamiento Caida">
      <formula>NOT(ISERROR(SEARCH("Instaladas en Funcionamiento Caida",Q22)))</formula>
    </cfRule>
  </conditionalFormatting>
  <conditionalFormatting sqref="Q282">
    <cfRule type="cellIs" dxfId="767" priority="1625" operator="lessThan">
      <formula>0.8</formula>
    </cfRule>
    <cfRule type="cellIs" dxfId="766" priority="1626" operator="greaterThan">
      <formula>0.8</formula>
    </cfRule>
  </conditionalFormatting>
  <conditionalFormatting sqref="Q282">
    <cfRule type="notContainsText" dxfId="765" priority="1623" operator="notContains" text="Caida">
      <formula>ISERROR(SEARCH("Caida",Q282))</formula>
    </cfRule>
    <cfRule type="containsText" dxfId="764" priority="1624" operator="containsText" text="Caida">
      <formula>NOT(ISERROR(SEARCH("Caida",Q282)))</formula>
    </cfRule>
  </conditionalFormatting>
  <conditionalFormatting sqref="Q283">
    <cfRule type="cellIs" dxfId="763" priority="1621" operator="lessThan">
      <formula>0.8</formula>
    </cfRule>
    <cfRule type="cellIs" dxfId="762" priority="1622" operator="greaterThan">
      <formula>0.8</formula>
    </cfRule>
  </conditionalFormatting>
  <conditionalFormatting sqref="Q283">
    <cfRule type="notContainsText" dxfId="761" priority="1619" operator="notContains" text="Caida">
      <formula>ISERROR(SEARCH("Caida",Q283))</formula>
    </cfRule>
    <cfRule type="containsText" dxfId="760" priority="1620" operator="containsText" text="Caida">
      <formula>NOT(ISERROR(SEARCH("Caida",Q283)))</formula>
    </cfRule>
  </conditionalFormatting>
  <conditionalFormatting sqref="Q5">
    <cfRule type="cellIs" dxfId="759" priority="1617" operator="lessThan">
      <formula>0.8</formula>
    </cfRule>
    <cfRule type="cellIs" dxfId="758" priority="1618" operator="greaterThan">
      <formula>0.8</formula>
    </cfRule>
  </conditionalFormatting>
  <conditionalFormatting sqref="Q5">
    <cfRule type="notContainsText" dxfId="757" priority="1615" operator="notContains" text="Caida">
      <formula>ISERROR(SEARCH("Caida",Q5))</formula>
    </cfRule>
    <cfRule type="containsText" dxfId="756" priority="1616" operator="containsText" text="Caida">
      <formula>NOT(ISERROR(SEARCH("Caida",Q5)))</formula>
    </cfRule>
  </conditionalFormatting>
  <conditionalFormatting sqref="Q231">
    <cfRule type="cellIs" dxfId="755" priority="1613" operator="lessThan">
      <formula>0.8</formula>
    </cfRule>
    <cfRule type="cellIs" dxfId="754" priority="1614" operator="greaterThan">
      <formula>0.8</formula>
    </cfRule>
  </conditionalFormatting>
  <conditionalFormatting sqref="Q231">
    <cfRule type="notContainsText" dxfId="753" priority="1611" operator="notContains" text="Caida">
      <formula>ISERROR(SEARCH("Caida",Q231))</formula>
    </cfRule>
    <cfRule type="containsText" dxfId="752" priority="1612" operator="containsText" text="Caida">
      <formula>NOT(ISERROR(SEARCH("Caida",Q231)))</formula>
    </cfRule>
  </conditionalFormatting>
  <conditionalFormatting sqref="Q232">
    <cfRule type="cellIs" dxfId="751" priority="1609" operator="lessThan">
      <formula>0.8</formula>
    </cfRule>
    <cfRule type="cellIs" dxfId="750" priority="1610" operator="greaterThan">
      <formula>0.8</formula>
    </cfRule>
  </conditionalFormatting>
  <conditionalFormatting sqref="Q232">
    <cfRule type="notContainsText" dxfId="749" priority="1607" operator="notContains" text="Caida">
      <formula>ISERROR(SEARCH("Caida",Q232))</formula>
    </cfRule>
    <cfRule type="containsText" dxfId="748" priority="1608" operator="containsText" text="Caida">
      <formula>NOT(ISERROR(SEARCH("Caida",Q232)))</formula>
    </cfRule>
  </conditionalFormatting>
  <conditionalFormatting sqref="Q233">
    <cfRule type="cellIs" dxfId="747" priority="1605" operator="lessThan">
      <formula>0.8</formula>
    </cfRule>
    <cfRule type="cellIs" dxfId="746" priority="1606" operator="greaterThan">
      <formula>0.8</formula>
    </cfRule>
  </conditionalFormatting>
  <conditionalFormatting sqref="Q233">
    <cfRule type="notContainsText" dxfId="745" priority="1603" operator="notContains" text="Caida">
      <formula>ISERROR(SEARCH("Caida",Q233))</formula>
    </cfRule>
    <cfRule type="containsText" dxfId="744" priority="1604" operator="containsText" text="Caida">
      <formula>NOT(ISERROR(SEARCH("Caida",Q233)))</formula>
    </cfRule>
  </conditionalFormatting>
  <conditionalFormatting sqref="Q234">
    <cfRule type="cellIs" dxfId="743" priority="1601" operator="lessThan">
      <formula>0.8</formula>
    </cfRule>
    <cfRule type="cellIs" dxfId="742" priority="1602" operator="greaterThan">
      <formula>0.8</formula>
    </cfRule>
  </conditionalFormatting>
  <conditionalFormatting sqref="Q234">
    <cfRule type="notContainsText" dxfId="741" priority="1599" operator="notContains" text="Caida">
      <formula>ISERROR(SEARCH("Caida",Q234))</formula>
    </cfRule>
    <cfRule type="containsText" dxfId="740" priority="1600" operator="containsText" text="Caida">
      <formula>NOT(ISERROR(SEARCH("Caida",Q234)))</formula>
    </cfRule>
  </conditionalFormatting>
  <conditionalFormatting sqref="Q235">
    <cfRule type="cellIs" dxfId="739" priority="1597" operator="lessThan">
      <formula>0.8</formula>
    </cfRule>
    <cfRule type="cellIs" dxfId="738" priority="1598" operator="greaterThan">
      <formula>0.8</formula>
    </cfRule>
  </conditionalFormatting>
  <conditionalFormatting sqref="Q235">
    <cfRule type="notContainsText" dxfId="737" priority="1595" operator="notContains" text="Caida">
      <formula>ISERROR(SEARCH("Caida",Q235))</formula>
    </cfRule>
    <cfRule type="containsText" dxfId="736" priority="1596" operator="containsText" text="Caida">
      <formula>NOT(ISERROR(SEARCH("Caida",Q235)))</formula>
    </cfRule>
  </conditionalFormatting>
  <conditionalFormatting sqref="Q335">
    <cfRule type="cellIs" dxfId="735" priority="1593" operator="lessThan">
      <formula>0.8</formula>
    </cfRule>
    <cfRule type="cellIs" dxfId="734" priority="1594" operator="greaterThan">
      <formula>0.8</formula>
    </cfRule>
  </conditionalFormatting>
  <conditionalFormatting sqref="Q335">
    <cfRule type="notContainsText" dxfId="733" priority="1591" operator="notContains" text="Caida">
      <formula>ISERROR(SEARCH("Caida",Q335))</formula>
    </cfRule>
    <cfRule type="containsText" dxfId="732" priority="1592" operator="containsText" text="Caida">
      <formula>NOT(ISERROR(SEARCH("Caida",Q335)))</formula>
    </cfRule>
  </conditionalFormatting>
  <conditionalFormatting sqref="R6:R92 R96:R230">
    <cfRule type="cellIs" dxfId="731" priority="1585" operator="lessThan">
      <formula>0.8</formula>
    </cfRule>
    <cfRule type="cellIs" dxfId="730" priority="1586" operator="greaterThan">
      <formula>0.8</formula>
    </cfRule>
  </conditionalFormatting>
  <conditionalFormatting sqref="R6:R92 R96:R230">
    <cfRule type="notContainsText" dxfId="729" priority="1583" operator="notContains" text="Caida">
      <formula>ISERROR(SEARCH("Caida",R6))</formula>
    </cfRule>
    <cfRule type="containsText" dxfId="728" priority="1584" operator="containsText" text="Caida">
      <formula>NOT(ISERROR(SEARCH("Caida",R6)))</formula>
    </cfRule>
  </conditionalFormatting>
  <conditionalFormatting sqref="R336:T336">
    <cfRule type="cellIs" dxfId="727" priority="1540" operator="lessThan">
      <formula>0.8</formula>
    </cfRule>
    <cfRule type="cellIs" dxfId="726" priority="1541" operator="greaterThan">
      <formula>0.8</formula>
    </cfRule>
  </conditionalFormatting>
  <conditionalFormatting sqref="R336:T336">
    <cfRule type="notContainsText" dxfId="725" priority="1538" operator="notContains" text="Caida">
      <formula>ISERROR(SEARCH("Caida",R336))</formula>
    </cfRule>
    <cfRule type="containsText" dxfId="724" priority="1539" operator="containsText" text="Caida">
      <formula>NOT(ISERROR(SEARCH("Caida",R336)))</formula>
    </cfRule>
  </conditionalFormatting>
  <conditionalFormatting sqref="R337:R366 R284:R334">
    <cfRule type="cellIs" dxfId="723" priority="1581" operator="lessThan">
      <formula>0.8</formula>
    </cfRule>
    <cfRule type="cellIs" dxfId="722" priority="1582" operator="greaterThan">
      <formula>0.8</formula>
    </cfRule>
  </conditionalFormatting>
  <conditionalFormatting sqref="R337:R366 R284:R334 R397:R1048576">
    <cfRule type="notContainsText" dxfId="721" priority="1579" operator="notContains" text="Caida">
      <formula>ISERROR(SEARCH("Caida",R284))</formula>
    </cfRule>
    <cfRule type="containsText" dxfId="720" priority="1580" operator="containsText" text="Caida">
      <formula>NOT(ISERROR(SEARCH("Caida",R284)))</formula>
    </cfRule>
  </conditionalFormatting>
  <conditionalFormatting sqref="R22:T22">
    <cfRule type="containsText" dxfId="719" priority="1578" operator="containsText" text="Instaladas en Funcionamiento Caida">
      <formula>NOT(ISERROR(SEARCH("Instaladas en Funcionamiento Caida",R22)))</formula>
    </cfRule>
  </conditionalFormatting>
  <conditionalFormatting sqref="R282:T282">
    <cfRule type="cellIs" dxfId="718" priority="1576" operator="lessThan">
      <formula>0.8</formula>
    </cfRule>
    <cfRule type="cellIs" dxfId="717" priority="1577" operator="greaterThan">
      <formula>0.8</formula>
    </cfRule>
  </conditionalFormatting>
  <conditionalFormatting sqref="R282:T282">
    <cfRule type="notContainsText" dxfId="716" priority="1574" operator="notContains" text="Caida">
      <formula>ISERROR(SEARCH("Caida",R282))</formula>
    </cfRule>
    <cfRule type="containsText" dxfId="715" priority="1575" operator="containsText" text="Caida">
      <formula>NOT(ISERROR(SEARCH("Caida",R282)))</formula>
    </cfRule>
  </conditionalFormatting>
  <conditionalFormatting sqref="R283:T283">
    <cfRule type="cellIs" dxfId="714" priority="1572" operator="lessThan">
      <formula>0.8</formula>
    </cfRule>
    <cfRule type="cellIs" dxfId="713" priority="1573" operator="greaterThan">
      <formula>0.8</formula>
    </cfRule>
  </conditionalFormatting>
  <conditionalFormatting sqref="R283:T283">
    <cfRule type="notContainsText" dxfId="712" priority="1570" operator="notContains" text="Caida">
      <formula>ISERROR(SEARCH("Caida",R283))</formula>
    </cfRule>
    <cfRule type="containsText" dxfId="711" priority="1571" operator="containsText" text="Caida">
      <formula>NOT(ISERROR(SEARCH("Caida",R283)))</formula>
    </cfRule>
  </conditionalFormatting>
  <conditionalFormatting sqref="R5:T5">
    <cfRule type="cellIs" dxfId="710" priority="1568" operator="lessThan">
      <formula>0.8</formula>
    </cfRule>
    <cfRule type="cellIs" dxfId="709" priority="1569" operator="greaterThan">
      <formula>0.8</formula>
    </cfRule>
  </conditionalFormatting>
  <conditionalFormatting sqref="R5:T5">
    <cfRule type="notContainsText" dxfId="708" priority="1566" operator="notContains" text="Caida">
      <formula>ISERROR(SEARCH("Caida",R5))</formula>
    </cfRule>
    <cfRule type="containsText" dxfId="707" priority="1567" operator="containsText" text="Caida">
      <formula>NOT(ISERROR(SEARCH("Caida",R5)))</formula>
    </cfRule>
  </conditionalFormatting>
  <conditionalFormatting sqref="R231:T231">
    <cfRule type="cellIs" dxfId="706" priority="1564" operator="lessThan">
      <formula>0.8</formula>
    </cfRule>
    <cfRule type="cellIs" dxfId="705" priority="1565" operator="greaterThan">
      <formula>0.8</formula>
    </cfRule>
  </conditionalFormatting>
  <conditionalFormatting sqref="R231:T231">
    <cfRule type="notContainsText" dxfId="704" priority="1562" operator="notContains" text="Caida">
      <formula>ISERROR(SEARCH("Caida",R231))</formula>
    </cfRule>
    <cfRule type="containsText" dxfId="703" priority="1563" operator="containsText" text="Caida">
      <formula>NOT(ISERROR(SEARCH("Caida",R231)))</formula>
    </cfRule>
  </conditionalFormatting>
  <conditionalFormatting sqref="R232:T232">
    <cfRule type="cellIs" dxfId="702" priority="1560" operator="lessThan">
      <formula>0.8</formula>
    </cfRule>
    <cfRule type="cellIs" dxfId="701" priority="1561" operator="greaterThan">
      <formula>0.8</formula>
    </cfRule>
  </conditionalFormatting>
  <conditionalFormatting sqref="R232:T232">
    <cfRule type="notContainsText" dxfId="700" priority="1558" operator="notContains" text="Caida">
      <formula>ISERROR(SEARCH("Caida",R232))</formula>
    </cfRule>
    <cfRule type="containsText" dxfId="699" priority="1559" operator="containsText" text="Caida">
      <formula>NOT(ISERROR(SEARCH("Caida",R232)))</formula>
    </cfRule>
  </conditionalFormatting>
  <conditionalFormatting sqref="R233:T233">
    <cfRule type="cellIs" dxfId="698" priority="1556" operator="lessThan">
      <formula>0.8</formula>
    </cfRule>
    <cfRule type="cellIs" dxfId="697" priority="1557" operator="greaterThan">
      <formula>0.8</formula>
    </cfRule>
  </conditionalFormatting>
  <conditionalFormatting sqref="R233:T233">
    <cfRule type="notContainsText" dxfId="696" priority="1554" operator="notContains" text="Caida">
      <formula>ISERROR(SEARCH("Caida",R233))</formula>
    </cfRule>
    <cfRule type="containsText" dxfId="695" priority="1555" operator="containsText" text="Caida">
      <formula>NOT(ISERROR(SEARCH("Caida",R233)))</formula>
    </cfRule>
  </conditionalFormatting>
  <conditionalFormatting sqref="R234:T234">
    <cfRule type="cellIs" dxfId="694" priority="1552" operator="lessThan">
      <formula>0.8</formula>
    </cfRule>
    <cfRule type="cellIs" dxfId="693" priority="1553" operator="greaterThan">
      <formula>0.8</formula>
    </cfRule>
  </conditionalFormatting>
  <conditionalFormatting sqref="R234:T234">
    <cfRule type="notContainsText" dxfId="692" priority="1550" operator="notContains" text="Caida">
      <formula>ISERROR(SEARCH("Caida",R234))</formula>
    </cfRule>
    <cfRule type="containsText" dxfId="691" priority="1551" operator="containsText" text="Caida">
      <formula>NOT(ISERROR(SEARCH("Caida",R234)))</formula>
    </cfRule>
  </conditionalFormatting>
  <conditionalFormatting sqref="R235:T235">
    <cfRule type="cellIs" dxfId="690" priority="1548" operator="lessThan">
      <formula>0.8</formula>
    </cfRule>
    <cfRule type="cellIs" dxfId="689" priority="1549" operator="greaterThan">
      <formula>0.8</formula>
    </cfRule>
  </conditionalFormatting>
  <conditionalFormatting sqref="R235:T235">
    <cfRule type="notContainsText" dxfId="688" priority="1546" operator="notContains" text="Caida">
      <formula>ISERROR(SEARCH("Caida",R235))</formula>
    </cfRule>
    <cfRule type="containsText" dxfId="687" priority="1547" operator="containsText" text="Caida">
      <formula>NOT(ISERROR(SEARCH("Caida",R235)))</formula>
    </cfRule>
  </conditionalFormatting>
  <conditionalFormatting sqref="R335:T335">
    <cfRule type="cellIs" dxfId="686" priority="1544" operator="lessThan">
      <formula>0.8</formula>
    </cfRule>
    <cfRule type="cellIs" dxfId="685" priority="1545" operator="greaterThan">
      <formula>0.8</formula>
    </cfRule>
  </conditionalFormatting>
  <conditionalFormatting sqref="R335:T335">
    <cfRule type="notContainsText" dxfId="684" priority="1542" operator="notContains" text="Caida">
      <formula>ISERROR(SEARCH("Caida",R335))</formula>
    </cfRule>
    <cfRule type="containsText" dxfId="683" priority="1543" operator="containsText" text="Caida">
      <formula>NOT(ISERROR(SEARCH("Caida",R335)))</formula>
    </cfRule>
  </conditionalFormatting>
  <conditionalFormatting sqref="S397:S1048576">
    <cfRule type="notContainsText" dxfId="682" priority="1530" operator="notContains" text="Caida">
      <formula>ISERROR(SEARCH("Caida",S397))</formula>
    </cfRule>
    <cfRule type="containsText" dxfId="681" priority="1531" operator="containsText" text="Caida">
      <formula>NOT(ISERROR(SEARCH("Caida",S397)))</formula>
    </cfRule>
  </conditionalFormatting>
  <conditionalFormatting sqref="T397:T1048576">
    <cfRule type="notContainsText" dxfId="680" priority="1481" operator="notContains" text="Caida">
      <formula>ISERROR(SEARCH("Caida",T397))</formula>
    </cfRule>
    <cfRule type="containsText" dxfId="679" priority="1482" operator="containsText" text="Caida">
      <formula>NOT(ISERROR(SEARCH("Caida",T397)))</formula>
    </cfRule>
  </conditionalFormatting>
  <conditionalFormatting sqref="E92:K93">
    <cfRule type="containsText" dxfId="678" priority="1437" operator="containsText" text="Radio">
      <formula>NOT(ISERROR(SEARCH("Radio",E92)))</formula>
    </cfRule>
  </conditionalFormatting>
  <conditionalFormatting sqref="P93:P95">
    <cfRule type="cellIs" dxfId="677" priority="1407" operator="lessThan">
      <formula>0.8</formula>
    </cfRule>
    <cfRule type="cellIs" dxfId="676" priority="1408" operator="greaterThan">
      <formula>0.8</formula>
    </cfRule>
  </conditionalFormatting>
  <conditionalFormatting sqref="P93:P95">
    <cfRule type="notContainsText" dxfId="675" priority="1405" operator="notContains" text="Caida">
      <formula>ISERROR(SEARCH("Caida",P93))</formula>
    </cfRule>
    <cfRule type="containsText" dxfId="674" priority="1406" operator="containsText" text="Caida">
      <formula>NOT(ISERROR(SEARCH("Caida",P93)))</formula>
    </cfRule>
  </conditionalFormatting>
  <conditionalFormatting sqref="Q93:Q95">
    <cfRule type="cellIs" dxfId="673" priority="1403" operator="lessThan">
      <formula>0.8</formula>
    </cfRule>
    <cfRule type="cellIs" dxfId="672" priority="1404" operator="greaterThan">
      <formula>0.8</formula>
    </cfRule>
  </conditionalFormatting>
  <conditionalFormatting sqref="Q93:Q95">
    <cfRule type="notContainsText" dxfId="671" priority="1401" operator="notContains" text="Caida">
      <formula>ISERROR(SEARCH("Caida",Q93))</formula>
    </cfRule>
    <cfRule type="containsText" dxfId="670" priority="1402" operator="containsText" text="Caida">
      <formula>NOT(ISERROR(SEARCH("Caida",Q93)))</formula>
    </cfRule>
  </conditionalFormatting>
  <conditionalFormatting sqref="R93:R95">
    <cfRule type="cellIs" dxfId="669" priority="1399" operator="lessThan">
      <formula>0.8</formula>
    </cfRule>
    <cfRule type="cellIs" dxfId="668" priority="1400" operator="greaterThan">
      <formula>0.8</formula>
    </cfRule>
  </conditionalFormatting>
  <conditionalFormatting sqref="R93:R95">
    <cfRule type="notContainsText" dxfId="667" priority="1397" operator="notContains" text="Caida">
      <formula>ISERROR(SEARCH("Caida",R93))</formula>
    </cfRule>
    <cfRule type="containsText" dxfId="666" priority="1398" operator="containsText" text="Caida">
      <formula>NOT(ISERROR(SEARCH("Caida",R93)))</formula>
    </cfRule>
  </conditionalFormatting>
  <conditionalFormatting sqref="E365:K365">
    <cfRule type="containsText" dxfId="665" priority="1386" operator="containsText" text="Radio">
      <formula>NOT(ISERROR(SEARCH("Radio",E365)))</formula>
    </cfRule>
  </conditionalFormatting>
  <conditionalFormatting sqref="P367">
    <cfRule type="cellIs" dxfId="664" priority="1368" operator="lessThan">
      <formula>0.8</formula>
    </cfRule>
    <cfRule type="cellIs" dxfId="663" priority="1369" operator="greaterThan">
      <formula>0.8</formula>
    </cfRule>
  </conditionalFormatting>
  <conditionalFormatting sqref="P367">
    <cfRule type="notContainsText" dxfId="662" priority="1366" operator="notContains" text="Caida">
      <formula>ISERROR(SEARCH("Caida",P367))</formula>
    </cfRule>
    <cfRule type="containsText" dxfId="661" priority="1367" operator="containsText" text="Caida">
      <formula>NOT(ISERROR(SEARCH("Caida",P367)))</formula>
    </cfRule>
  </conditionalFormatting>
  <conditionalFormatting sqref="Q367">
    <cfRule type="cellIs" dxfId="660" priority="1364" operator="lessThan">
      <formula>0.8</formula>
    </cfRule>
    <cfRule type="cellIs" dxfId="659" priority="1365" operator="greaterThan">
      <formula>0.8</formula>
    </cfRule>
  </conditionalFormatting>
  <conditionalFormatting sqref="Q367">
    <cfRule type="notContainsText" dxfId="658" priority="1362" operator="notContains" text="Caida">
      <formula>ISERROR(SEARCH("Caida",Q367))</formula>
    </cfRule>
    <cfRule type="containsText" dxfId="657" priority="1363" operator="containsText" text="Caida">
      <formula>NOT(ISERROR(SEARCH("Caida",Q367)))</formula>
    </cfRule>
  </conditionalFormatting>
  <conditionalFormatting sqref="R367:T367">
    <cfRule type="cellIs" dxfId="656" priority="1360" operator="lessThan">
      <formula>0.8</formula>
    </cfRule>
    <cfRule type="cellIs" dxfId="655" priority="1361" operator="greaterThan">
      <formula>0.8</formula>
    </cfRule>
  </conditionalFormatting>
  <conditionalFormatting sqref="R367:T367">
    <cfRule type="notContainsText" dxfId="654" priority="1358" operator="notContains" text="Caida">
      <formula>ISERROR(SEARCH("Caida",R367))</formula>
    </cfRule>
    <cfRule type="containsText" dxfId="653" priority="1359" operator="containsText" text="Caida">
      <formula>NOT(ISERROR(SEARCH("Caida",R367)))</formula>
    </cfRule>
  </conditionalFormatting>
  <conditionalFormatting sqref="E366:K366">
    <cfRule type="containsText" dxfId="652" priority="1347" operator="containsText" text="Radio">
      <formula>NOT(ISERROR(SEARCH("Radio",E366)))</formula>
    </cfRule>
  </conditionalFormatting>
  <conditionalFormatting sqref="P368">
    <cfRule type="cellIs" dxfId="651" priority="1329" operator="lessThan">
      <formula>0.8</formula>
    </cfRule>
    <cfRule type="cellIs" dxfId="650" priority="1330" operator="greaterThan">
      <formula>0.8</formula>
    </cfRule>
  </conditionalFormatting>
  <conditionalFormatting sqref="P368">
    <cfRule type="notContainsText" dxfId="649" priority="1327" operator="notContains" text="Caida">
      <formula>ISERROR(SEARCH("Caida",P368))</formula>
    </cfRule>
    <cfRule type="containsText" dxfId="648" priority="1328" operator="containsText" text="Caida">
      <formula>NOT(ISERROR(SEARCH("Caida",P368)))</formula>
    </cfRule>
  </conditionalFormatting>
  <conditionalFormatting sqref="Q368">
    <cfRule type="cellIs" dxfId="647" priority="1325" operator="lessThan">
      <formula>0.8</formula>
    </cfRule>
    <cfRule type="cellIs" dxfId="646" priority="1326" operator="greaterThan">
      <formula>0.8</formula>
    </cfRule>
  </conditionalFormatting>
  <conditionalFormatting sqref="Q368">
    <cfRule type="notContainsText" dxfId="645" priority="1323" operator="notContains" text="Caida">
      <formula>ISERROR(SEARCH("Caida",Q368))</formula>
    </cfRule>
    <cfRule type="containsText" dxfId="644" priority="1324" operator="containsText" text="Caida">
      <formula>NOT(ISERROR(SEARCH("Caida",Q368)))</formula>
    </cfRule>
  </conditionalFormatting>
  <conditionalFormatting sqref="R368:T368">
    <cfRule type="cellIs" dxfId="643" priority="1321" operator="lessThan">
      <formula>0.8</formula>
    </cfRule>
    <cfRule type="cellIs" dxfId="642" priority="1322" operator="greaterThan">
      <formula>0.8</formula>
    </cfRule>
  </conditionalFormatting>
  <conditionalFormatting sqref="R368:T368">
    <cfRule type="notContainsText" dxfId="641" priority="1319" operator="notContains" text="Caida">
      <formula>ISERROR(SEARCH("Caida",R368))</formula>
    </cfRule>
    <cfRule type="containsText" dxfId="640" priority="1320" operator="containsText" text="Caida">
      <formula>NOT(ISERROR(SEARCH("Caida",R368)))</formula>
    </cfRule>
  </conditionalFormatting>
  <conditionalFormatting sqref="E367:K367">
    <cfRule type="containsText" dxfId="639" priority="1308" operator="containsText" text="Radio">
      <formula>NOT(ISERROR(SEARCH("Radio",E367)))</formula>
    </cfRule>
  </conditionalFormatting>
  <conditionalFormatting sqref="P369">
    <cfRule type="cellIs" dxfId="638" priority="1290" operator="lessThan">
      <formula>0.8</formula>
    </cfRule>
    <cfRule type="cellIs" dxfId="637" priority="1291" operator="greaterThan">
      <formula>0.8</formula>
    </cfRule>
  </conditionalFormatting>
  <conditionalFormatting sqref="P369">
    <cfRule type="notContainsText" dxfId="636" priority="1288" operator="notContains" text="Caida">
      <formula>ISERROR(SEARCH("Caida",P369))</formula>
    </cfRule>
    <cfRule type="containsText" dxfId="635" priority="1289" operator="containsText" text="Caida">
      <formula>NOT(ISERROR(SEARCH("Caida",P369)))</formula>
    </cfRule>
  </conditionalFormatting>
  <conditionalFormatting sqref="Q369">
    <cfRule type="cellIs" dxfId="634" priority="1286" operator="lessThan">
      <formula>0.8</formula>
    </cfRule>
    <cfRule type="cellIs" dxfId="633" priority="1287" operator="greaterThan">
      <formula>0.8</formula>
    </cfRule>
  </conditionalFormatting>
  <conditionalFormatting sqref="Q369">
    <cfRule type="notContainsText" dxfId="632" priority="1284" operator="notContains" text="Caida">
      <formula>ISERROR(SEARCH("Caida",Q369))</formula>
    </cfRule>
    <cfRule type="containsText" dxfId="631" priority="1285" operator="containsText" text="Caida">
      <formula>NOT(ISERROR(SEARCH("Caida",Q369)))</formula>
    </cfRule>
  </conditionalFormatting>
  <conditionalFormatting sqref="R369:T369">
    <cfRule type="cellIs" dxfId="630" priority="1282" operator="lessThan">
      <formula>0.8</formula>
    </cfRule>
    <cfRule type="cellIs" dxfId="629" priority="1283" operator="greaterThan">
      <formula>0.8</formula>
    </cfRule>
  </conditionalFormatting>
  <conditionalFormatting sqref="R369:T369">
    <cfRule type="notContainsText" dxfId="628" priority="1280" operator="notContains" text="Caida">
      <formula>ISERROR(SEARCH("Caida",R369))</formula>
    </cfRule>
    <cfRule type="containsText" dxfId="627" priority="1281" operator="containsText" text="Caida">
      <formula>NOT(ISERROR(SEARCH("Caida",R369)))</formula>
    </cfRule>
  </conditionalFormatting>
  <conditionalFormatting sqref="E368:K368">
    <cfRule type="containsText" dxfId="626" priority="1269" operator="containsText" text="Radio">
      <formula>NOT(ISERROR(SEARCH("Radio",E368)))</formula>
    </cfRule>
  </conditionalFormatting>
  <conditionalFormatting sqref="U231">
    <cfRule type="cellIs" dxfId="625" priority="1210" operator="lessThan">
      <formula>0.8</formula>
    </cfRule>
    <cfRule type="cellIs" dxfId="624" priority="1211" operator="greaterThan">
      <formula>0.8</formula>
    </cfRule>
  </conditionalFormatting>
  <conditionalFormatting sqref="U231">
    <cfRule type="notContainsText" dxfId="623" priority="1208" operator="notContains" text="Caida">
      <formula>ISERROR(SEARCH("Caida",U231))</formula>
    </cfRule>
    <cfRule type="containsText" dxfId="622" priority="1209" operator="containsText" text="Caida">
      <formula>NOT(ISERROR(SEARCH("Caida",U231)))</formula>
    </cfRule>
  </conditionalFormatting>
  <conditionalFormatting sqref="U232">
    <cfRule type="cellIs" dxfId="621" priority="1206" operator="lessThan">
      <formula>0.8</formula>
    </cfRule>
    <cfRule type="cellIs" dxfId="620" priority="1207" operator="greaterThan">
      <formula>0.8</formula>
    </cfRule>
  </conditionalFormatting>
  <conditionalFormatting sqref="U232">
    <cfRule type="notContainsText" dxfId="619" priority="1204" operator="notContains" text="Caida">
      <formula>ISERROR(SEARCH("Caida",U232))</formula>
    </cfRule>
    <cfRule type="containsText" dxfId="618" priority="1205" operator="containsText" text="Caida">
      <formula>NOT(ISERROR(SEARCH("Caida",U232)))</formula>
    </cfRule>
  </conditionalFormatting>
  <conditionalFormatting sqref="P370:P372">
    <cfRule type="cellIs" dxfId="617" priority="1251" operator="lessThan">
      <formula>0.8</formula>
    </cfRule>
    <cfRule type="cellIs" dxfId="616" priority="1252" operator="greaterThan">
      <formula>0.8</formula>
    </cfRule>
  </conditionalFormatting>
  <conditionalFormatting sqref="P370:P372">
    <cfRule type="notContainsText" dxfId="615" priority="1249" operator="notContains" text="Caida">
      <formula>ISERROR(SEARCH("Caida",P370))</formula>
    </cfRule>
    <cfRule type="containsText" dxfId="614" priority="1250" operator="containsText" text="Caida">
      <formula>NOT(ISERROR(SEARCH("Caida",P370)))</formula>
    </cfRule>
  </conditionalFormatting>
  <conditionalFormatting sqref="Q370:Q372">
    <cfRule type="cellIs" dxfId="613" priority="1247" operator="lessThan">
      <formula>0.8</formula>
    </cfRule>
    <cfRule type="cellIs" dxfId="612" priority="1248" operator="greaterThan">
      <formula>0.8</formula>
    </cfRule>
  </conditionalFormatting>
  <conditionalFormatting sqref="Q370:Q372">
    <cfRule type="notContainsText" dxfId="611" priority="1245" operator="notContains" text="Caida">
      <formula>ISERROR(SEARCH("Caida",Q370))</formula>
    </cfRule>
    <cfRule type="containsText" dxfId="610" priority="1246" operator="containsText" text="Caida">
      <formula>NOT(ISERROR(SEARCH("Caida",Q370)))</formula>
    </cfRule>
  </conditionalFormatting>
  <conditionalFormatting sqref="R370:T370">
    <cfRule type="cellIs" dxfId="609" priority="1243" operator="lessThan">
      <formula>0.8</formula>
    </cfRule>
    <cfRule type="cellIs" dxfId="608" priority="1244" operator="greaterThan">
      <formula>0.8</formula>
    </cfRule>
  </conditionalFormatting>
  <conditionalFormatting sqref="R370:T370">
    <cfRule type="notContainsText" dxfId="607" priority="1241" operator="notContains" text="Caida">
      <formula>ISERROR(SEARCH("Caida",R370))</formula>
    </cfRule>
    <cfRule type="containsText" dxfId="606" priority="1242" operator="containsText" text="Caida">
      <formula>NOT(ISERROR(SEARCH("Caida",R370)))</formula>
    </cfRule>
  </conditionalFormatting>
  <conditionalFormatting sqref="U368">
    <cfRule type="cellIs" dxfId="605" priority="1174" operator="lessThan">
      <formula>0.8</formula>
    </cfRule>
    <cfRule type="cellIs" dxfId="604" priority="1175" operator="greaterThan">
      <formula>0.8</formula>
    </cfRule>
  </conditionalFormatting>
  <conditionalFormatting sqref="U368">
    <cfRule type="notContainsText" dxfId="603" priority="1172" operator="notContains" text="Caida">
      <formula>ISERROR(SEARCH("Caida",U368))</formula>
    </cfRule>
    <cfRule type="containsText" dxfId="602" priority="1173" operator="containsText" text="Caida">
      <formula>NOT(ISERROR(SEARCH("Caida",U368)))</formula>
    </cfRule>
  </conditionalFormatting>
  <conditionalFormatting sqref="U369">
    <cfRule type="cellIs" dxfId="601" priority="1170" operator="lessThan">
      <formula>0.8</formula>
    </cfRule>
    <cfRule type="cellIs" dxfId="600" priority="1171" operator="greaterThan">
      <formula>0.8</formula>
    </cfRule>
  </conditionalFormatting>
  <conditionalFormatting sqref="U369">
    <cfRule type="notContainsText" dxfId="599" priority="1168" operator="notContains" text="Caida">
      <formula>ISERROR(SEARCH("Caida",U369))</formula>
    </cfRule>
    <cfRule type="containsText" dxfId="598" priority="1169" operator="containsText" text="Caida">
      <formula>NOT(ISERROR(SEARCH("Caida",U369)))</formula>
    </cfRule>
  </conditionalFormatting>
  <conditionalFormatting sqref="U370:U372">
    <cfRule type="cellIs" dxfId="597" priority="1166" operator="lessThan">
      <formula>0.8</formula>
    </cfRule>
    <cfRule type="cellIs" dxfId="596" priority="1167" operator="greaterThan">
      <formula>0.8</formula>
    </cfRule>
  </conditionalFormatting>
  <conditionalFormatting sqref="U370:U372">
    <cfRule type="notContainsText" dxfId="595" priority="1164" operator="notContains" text="Caida">
      <formula>ISERROR(SEARCH("Caida",U370))</formula>
    </cfRule>
    <cfRule type="containsText" dxfId="594" priority="1165" operator="containsText" text="Caida">
      <formula>NOT(ISERROR(SEARCH("Caida",U370)))</formula>
    </cfRule>
  </conditionalFormatting>
  <conditionalFormatting sqref="U6:U92 U96:U230">
    <cfRule type="cellIs" dxfId="593" priority="1231" operator="lessThan">
      <formula>0.8</formula>
    </cfRule>
    <cfRule type="cellIs" dxfId="592" priority="1232" operator="greaterThan">
      <formula>0.8</formula>
    </cfRule>
  </conditionalFormatting>
  <conditionalFormatting sqref="U6:U92 U96:U230">
    <cfRule type="notContainsText" dxfId="591" priority="1229" operator="notContains" text="Caida">
      <formula>ISERROR(SEARCH("Caida",U6))</formula>
    </cfRule>
    <cfRule type="containsText" dxfId="590" priority="1230" operator="containsText" text="Caida">
      <formula>NOT(ISERROR(SEARCH("Caida",U6)))</formula>
    </cfRule>
  </conditionalFormatting>
  <conditionalFormatting sqref="U336">
    <cfRule type="cellIs" dxfId="589" priority="1186" operator="lessThan">
      <formula>0.8</formula>
    </cfRule>
    <cfRule type="cellIs" dxfId="588" priority="1187" operator="greaterThan">
      <formula>0.8</formula>
    </cfRule>
  </conditionalFormatting>
  <conditionalFormatting sqref="U336">
    <cfRule type="notContainsText" dxfId="587" priority="1184" operator="notContains" text="Caida">
      <formula>ISERROR(SEARCH("Caida",U336))</formula>
    </cfRule>
    <cfRule type="containsText" dxfId="586" priority="1185" operator="containsText" text="Caida">
      <formula>NOT(ISERROR(SEARCH("Caida",U336)))</formula>
    </cfRule>
  </conditionalFormatting>
  <conditionalFormatting sqref="U337:U366 U284:U334">
    <cfRule type="cellIs" dxfId="585" priority="1227" operator="lessThan">
      <formula>0.8</formula>
    </cfRule>
    <cfRule type="cellIs" dxfId="584" priority="1228" operator="greaterThan">
      <formula>0.8</formula>
    </cfRule>
  </conditionalFormatting>
  <conditionalFormatting sqref="U337:U366 U284:U334 U397:U1048576">
    <cfRule type="notContainsText" dxfId="583" priority="1225" operator="notContains" text="Caida">
      <formula>ISERROR(SEARCH("Caida",U284))</formula>
    </cfRule>
    <cfRule type="containsText" dxfId="582" priority="1226" operator="containsText" text="Caida">
      <formula>NOT(ISERROR(SEARCH("Caida",U284)))</formula>
    </cfRule>
  </conditionalFormatting>
  <conditionalFormatting sqref="U22">
    <cfRule type="containsText" dxfId="581" priority="1224" operator="containsText" text="Instaladas en Funcionamiento Caida">
      <formula>NOT(ISERROR(SEARCH("Instaladas en Funcionamiento Caida",U22)))</formula>
    </cfRule>
  </conditionalFormatting>
  <conditionalFormatting sqref="U282">
    <cfRule type="cellIs" dxfId="580" priority="1222" operator="lessThan">
      <formula>0.8</formula>
    </cfRule>
    <cfRule type="cellIs" dxfId="579" priority="1223" operator="greaterThan">
      <formula>0.8</formula>
    </cfRule>
  </conditionalFormatting>
  <conditionalFormatting sqref="U282">
    <cfRule type="notContainsText" dxfId="578" priority="1220" operator="notContains" text="Caida">
      <formula>ISERROR(SEARCH("Caida",U282))</formula>
    </cfRule>
    <cfRule type="containsText" dxfId="577" priority="1221" operator="containsText" text="Caida">
      <formula>NOT(ISERROR(SEARCH("Caida",U282)))</formula>
    </cfRule>
  </conditionalFormatting>
  <conditionalFormatting sqref="U283">
    <cfRule type="cellIs" dxfId="576" priority="1218" operator="lessThan">
      <formula>0.8</formula>
    </cfRule>
    <cfRule type="cellIs" dxfId="575" priority="1219" operator="greaterThan">
      <formula>0.8</formula>
    </cfRule>
  </conditionalFormatting>
  <conditionalFormatting sqref="U283">
    <cfRule type="notContainsText" dxfId="574" priority="1216" operator="notContains" text="Caida">
      <formula>ISERROR(SEARCH("Caida",U283))</formula>
    </cfRule>
    <cfRule type="containsText" dxfId="573" priority="1217" operator="containsText" text="Caida">
      <formula>NOT(ISERROR(SEARCH("Caida",U283)))</formula>
    </cfRule>
  </conditionalFormatting>
  <conditionalFormatting sqref="U5">
    <cfRule type="cellIs" dxfId="572" priority="1214" operator="lessThan">
      <formula>0.8</formula>
    </cfRule>
    <cfRule type="cellIs" dxfId="571" priority="1215" operator="greaterThan">
      <formula>0.8</formula>
    </cfRule>
  </conditionalFormatting>
  <conditionalFormatting sqref="U5">
    <cfRule type="notContainsText" dxfId="570" priority="1212" operator="notContains" text="Caida">
      <formula>ISERROR(SEARCH("Caida",U5))</formula>
    </cfRule>
    <cfRule type="containsText" dxfId="569" priority="1213" operator="containsText" text="Caida">
      <formula>NOT(ISERROR(SEARCH("Caida",U5)))</formula>
    </cfRule>
  </conditionalFormatting>
  <conditionalFormatting sqref="U233">
    <cfRule type="cellIs" dxfId="568" priority="1202" operator="lessThan">
      <formula>0.8</formula>
    </cfRule>
    <cfRule type="cellIs" dxfId="567" priority="1203" operator="greaterThan">
      <formula>0.8</formula>
    </cfRule>
  </conditionalFormatting>
  <conditionalFormatting sqref="U233">
    <cfRule type="notContainsText" dxfId="566" priority="1200" operator="notContains" text="Caida">
      <formula>ISERROR(SEARCH("Caida",U233))</formula>
    </cfRule>
    <cfRule type="containsText" dxfId="565" priority="1201" operator="containsText" text="Caida">
      <formula>NOT(ISERROR(SEARCH("Caida",U233)))</formula>
    </cfRule>
  </conditionalFormatting>
  <conditionalFormatting sqref="U234">
    <cfRule type="cellIs" dxfId="564" priority="1198" operator="lessThan">
      <formula>0.8</formula>
    </cfRule>
    <cfRule type="cellIs" dxfId="563" priority="1199" operator="greaterThan">
      <formula>0.8</formula>
    </cfRule>
  </conditionalFormatting>
  <conditionalFormatting sqref="U234">
    <cfRule type="notContainsText" dxfId="562" priority="1196" operator="notContains" text="Caida">
      <formula>ISERROR(SEARCH("Caida",U234))</formula>
    </cfRule>
    <cfRule type="containsText" dxfId="561" priority="1197" operator="containsText" text="Caida">
      <formula>NOT(ISERROR(SEARCH("Caida",U234)))</formula>
    </cfRule>
  </conditionalFormatting>
  <conditionalFormatting sqref="U235">
    <cfRule type="cellIs" dxfId="560" priority="1194" operator="lessThan">
      <formula>0.8</formula>
    </cfRule>
    <cfRule type="cellIs" dxfId="559" priority="1195" operator="greaterThan">
      <formula>0.8</formula>
    </cfRule>
  </conditionalFormatting>
  <conditionalFormatting sqref="U235">
    <cfRule type="notContainsText" dxfId="558" priority="1192" operator="notContains" text="Caida">
      <formula>ISERROR(SEARCH("Caida",U235))</formula>
    </cfRule>
    <cfRule type="containsText" dxfId="557" priority="1193" operator="containsText" text="Caida">
      <formula>NOT(ISERROR(SEARCH("Caida",U235)))</formula>
    </cfRule>
  </conditionalFormatting>
  <conditionalFormatting sqref="U335">
    <cfRule type="cellIs" dxfId="556" priority="1190" operator="lessThan">
      <formula>0.8</formula>
    </cfRule>
    <cfRule type="cellIs" dxfId="555" priority="1191" operator="greaterThan">
      <formula>0.8</formula>
    </cfRule>
  </conditionalFormatting>
  <conditionalFormatting sqref="U335">
    <cfRule type="notContainsText" dxfId="554" priority="1188" operator="notContains" text="Caida">
      <formula>ISERROR(SEARCH("Caida",U335))</formula>
    </cfRule>
    <cfRule type="containsText" dxfId="553" priority="1189" operator="containsText" text="Caida">
      <formula>NOT(ISERROR(SEARCH("Caida",U335)))</formula>
    </cfRule>
  </conditionalFormatting>
  <conditionalFormatting sqref="U93:U95">
    <cfRule type="cellIs" dxfId="552" priority="1182" operator="lessThan">
      <formula>0.8</formula>
    </cfRule>
    <cfRule type="cellIs" dxfId="551" priority="1183" operator="greaterThan">
      <formula>0.8</formula>
    </cfRule>
  </conditionalFormatting>
  <conditionalFormatting sqref="U93:U95">
    <cfRule type="notContainsText" dxfId="550" priority="1180" operator="notContains" text="Caida">
      <formula>ISERROR(SEARCH("Caida",U93))</formula>
    </cfRule>
    <cfRule type="containsText" dxfId="549" priority="1181" operator="containsText" text="Caida">
      <formula>NOT(ISERROR(SEARCH("Caida",U93)))</formula>
    </cfRule>
  </conditionalFormatting>
  <conditionalFormatting sqref="U367">
    <cfRule type="cellIs" dxfId="548" priority="1178" operator="lessThan">
      <formula>0.8</formula>
    </cfRule>
    <cfRule type="cellIs" dxfId="547" priority="1179" operator="greaterThan">
      <formula>0.8</formula>
    </cfRule>
  </conditionalFormatting>
  <conditionalFormatting sqref="U367">
    <cfRule type="notContainsText" dxfId="546" priority="1176" operator="notContains" text="Caida">
      <formula>ISERROR(SEARCH("Caida",U367))</formula>
    </cfRule>
    <cfRule type="containsText" dxfId="545" priority="1177" operator="containsText" text="Caida">
      <formula>NOT(ISERROR(SEARCH("Caida",U367)))</formula>
    </cfRule>
  </conditionalFormatting>
  <conditionalFormatting sqref="V6:X92">
    <cfRule type="cellIs" dxfId="544" priority="1162" operator="lessThan">
      <formula>0.8</formula>
    </cfRule>
    <cfRule type="cellIs" dxfId="543" priority="1163" operator="greaterThan">
      <formula>0.8</formula>
    </cfRule>
  </conditionalFormatting>
  <conditionalFormatting sqref="V6:X92">
    <cfRule type="notContainsText" dxfId="542" priority="1160" operator="notContains" text="Caida">
      <formula>ISERROR(SEARCH("Caida",V6))</formula>
    </cfRule>
    <cfRule type="containsText" dxfId="541" priority="1161" operator="containsText" text="Caida">
      <formula>NOT(ISERROR(SEARCH("Caida",V6)))</formula>
    </cfRule>
  </conditionalFormatting>
  <conditionalFormatting sqref="V22:X22 AA22:AH22 AJ22">
    <cfRule type="containsText" dxfId="540" priority="1159" operator="containsText" text="Instaladas en Funcionamiento Caida">
      <formula>NOT(ISERROR(SEARCH("Instaladas en Funcionamiento Caida",V22)))</formula>
    </cfRule>
  </conditionalFormatting>
  <conditionalFormatting sqref="V5:X5 AA5:AH5 AJ5">
    <cfRule type="cellIs" dxfId="539" priority="1157" operator="lessThan">
      <formula>0.8</formula>
    </cfRule>
    <cfRule type="cellIs" dxfId="538" priority="1158" operator="greaterThan">
      <formula>0.8</formula>
    </cfRule>
  </conditionalFormatting>
  <conditionalFormatting sqref="V5:X5 AA5:AH5 AJ5">
    <cfRule type="notContainsText" dxfId="537" priority="1155" operator="notContains" text="Caida">
      <formula>ISERROR(SEARCH("Caida",V5))</formula>
    </cfRule>
    <cfRule type="containsText" dxfId="536" priority="1156" operator="containsText" text="Caida">
      <formula>NOT(ISERROR(SEARCH("Caida",V5)))</formula>
    </cfRule>
  </conditionalFormatting>
  <conditionalFormatting sqref="V93:X95">
    <cfRule type="cellIs" dxfId="535" priority="1153" operator="lessThan">
      <formula>0.8</formula>
    </cfRule>
    <cfRule type="cellIs" dxfId="534" priority="1154" operator="greaterThan">
      <formula>0.8</formula>
    </cfRule>
  </conditionalFormatting>
  <conditionalFormatting sqref="V93:X95">
    <cfRule type="notContainsText" dxfId="533" priority="1151" operator="notContains" text="Caida">
      <formula>ISERROR(SEARCH("Caida",V93))</formula>
    </cfRule>
    <cfRule type="containsText" dxfId="532" priority="1152" operator="containsText" text="Caida">
      <formula>NOT(ISERROR(SEARCH("Caida",V93)))</formula>
    </cfRule>
  </conditionalFormatting>
  <conditionalFormatting sqref="E1:E372 E391:E1048576">
    <cfRule type="containsText" dxfId="531" priority="1011" operator="containsText" text="fija">
      <formula>NOT(ISERROR(SEARCH("fija",E1)))</formula>
    </cfRule>
    <cfRule type="containsText" dxfId="530" priority="1012" operator="containsText" text="domo">
      <formula>NOT(ISERROR(SEARCH("domo",E1)))</formula>
    </cfRule>
  </conditionalFormatting>
  <conditionalFormatting sqref="AK6:AP92">
    <cfRule type="cellIs" dxfId="529" priority="987" operator="lessThan">
      <formula>0.8</formula>
    </cfRule>
    <cfRule type="cellIs" dxfId="528" priority="988" operator="greaterThan">
      <formula>0.8</formula>
    </cfRule>
  </conditionalFormatting>
  <conditionalFormatting sqref="AK6:AP92">
    <cfRule type="notContainsText" dxfId="527" priority="985" operator="notContains" text="Caida">
      <formula>ISERROR(SEARCH("Caida",AK6))</formula>
    </cfRule>
    <cfRule type="containsText" dxfId="526" priority="986" operator="containsText" text="Caida">
      <formula>NOT(ISERROR(SEARCH("Caida",AK6)))</formula>
    </cfRule>
  </conditionalFormatting>
  <conditionalFormatting sqref="AK22:AR22">
    <cfRule type="containsText" dxfId="525" priority="984" operator="containsText" text="Instaladas en Funcionamiento Caida">
      <formula>NOT(ISERROR(SEARCH("Instaladas en Funcionamiento Caida",AK22)))</formula>
    </cfRule>
  </conditionalFormatting>
  <conditionalFormatting sqref="AK5:AR5">
    <cfRule type="cellIs" dxfId="524" priority="982" operator="lessThan">
      <formula>0.8</formula>
    </cfRule>
    <cfRule type="cellIs" dxfId="523" priority="983" operator="greaterThan">
      <formula>0.8</formula>
    </cfRule>
  </conditionalFormatting>
  <conditionalFormatting sqref="AK5:AR5">
    <cfRule type="notContainsText" dxfId="522" priority="980" operator="notContains" text="Caida">
      <formula>ISERROR(SEARCH("Caida",AK5))</formula>
    </cfRule>
    <cfRule type="containsText" dxfId="521" priority="981" operator="containsText" text="Caida">
      <formula>NOT(ISERROR(SEARCH("Caida",AK5)))</formula>
    </cfRule>
  </conditionalFormatting>
  <conditionalFormatting sqref="AK93:AP94">
    <cfRule type="cellIs" dxfId="520" priority="978" operator="lessThan">
      <formula>0.8</formula>
    </cfRule>
    <cfRule type="cellIs" dxfId="519" priority="979" operator="greaterThan">
      <formula>0.8</formula>
    </cfRule>
  </conditionalFormatting>
  <conditionalFormatting sqref="AK93:AP94">
    <cfRule type="notContainsText" dxfId="518" priority="976" operator="notContains" text="Caida">
      <formula>ISERROR(SEARCH("Caida",AK93))</formula>
    </cfRule>
    <cfRule type="containsText" dxfId="517" priority="977" operator="containsText" text="Caida">
      <formula>NOT(ISERROR(SEARCH("Caida",AK93)))</formula>
    </cfRule>
  </conditionalFormatting>
  <conditionalFormatting sqref="O247:O372 O5:X369 AK1:AR1 AK397:AR1048576 AK5:AR372 AA5:AH369 AJ5:AJ369">
    <cfRule type="cellIs" dxfId="516" priority="975" operator="equal">
      <formula>"APAGADO"</formula>
    </cfRule>
  </conditionalFormatting>
  <conditionalFormatting sqref="S6:S92 S96:S230">
    <cfRule type="cellIs" dxfId="515" priority="959" operator="lessThan">
      <formula>0.8</formula>
    </cfRule>
    <cfRule type="cellIs" dxfId="514" priority="960" operator="greaterThan">
      <formula>0.8</formula>
    </cfRule>
  </conditionalFormatting>
  <conditionalFormatting sqref="S6:S92 S96:S230">
    <cfRule type="notContainsText" dxfId="513" priority="957" operator="notContains" text="Caida">
      <formula>ISERROR(SEARCH("Caida",S6))</formula>
    </cfRule>
    <cfRule type="containsText" dxfId="512" priority="958" operator="containsText" text="Caida">
      <formula>NOT(ISERROR(SEARCH("Caida",S6)))</formula>
    </cfRule>
  </conditionalFormatting>
  <conditionalFormatting sqref="S337:S366 S284:S334">
    <cfRule type="cellIs" dxfId="511" priority="955" operator="lessThan">
      <formula>0.8</formula>
    </cfRule>
    <cfRule type="cellIs" dxfId="510" priority="956" operator="greaterThan">
      <formula>0.8</formula>
    </cfRule>
  </conditionalFormatting>
  <conditionalFormatting sqref="S337:S366 S284:S334">
    <cfRule type="notContainsText" dxfId="509" priority="953" operator="notContains" text="Caida">
      <formula>ISERROR(SEARCH("Caida",S284))</formula>
    </cfRule>
    <cfRule type="containsText" dxfId="508" priority="954" operator="containsText" text="Caida">
      <formula>NOT(ISERROR(SEARCH("Caida",S284)))</formula>
    </cfRule>
  </conditionalFormatting>
  <conditionalFormatting sqref="S93:S95">
    <cfRule type="cellIs" dxfId="507" priority="951" operator="lessThan">
      <formula>0.8</formula>
    </cfRule>
    <cfRule type="cellIs" dxfId="506" priority="952" operator="greaterThan">
      <formula>0.8</formula>
    </cfRule>
  </conditionalFormatting>
  <conditionalFormatting sqref="S93:S95">
    <cfRule type="notContainsText" dxfId="505" priority="949" operator="notContains" text="Caida">
      <formula>ISERROR(SEARCH("Caida",S93))</formula>
    </cfRule>
    <cfRule type="containsText" dxfId="504" priority="950" operator="containsText" text="Caida">
      <formula>NOT(ISERROR(SEARCH("Caida",S93)))</formula>
    </cfRule>
  </conditionalFormatting>
  <conditionalFormatting sqref="T6:T92 T96:T230">
    <cfRule type="cellIs" dxfId="503" priority="947" operator="lessThan">
      <formula>0.8</formula>
    </cfRule>
    <cfRule type="cellIs" dxfId="502" priority="948" operator="greaterThan">
      <formula>0.8</formula>
    </cfRule>
  </conditionalFormatting>
  <conditionalFormatting sqref="T6:T92 T96:T230">
    <cfRule type="notContainsText" dxfId="501" priority="945" operator="notContains" text="Caida">
      <formula>ISERROR(SEARCH("Caida",T6))</formula>
    </cfRule>
    <cfRule type="containsText" dxfId="500" priority="946" operator="containsText" text="Caida">
      <formula>NOT(ISERROR(SEARCH("Caida",T6)))</formula>
    </cfRule>
  </conditionalFormatting>
  <conditionalFormatting sqref="T337:T366 T284:T334">
    <cfRule type="cellIs" dxfId="499" priority="943" operator="lessThan">
      <formula>0.8</formula>
    </cfRule>
    <cfRule type="cellIs" dxfId="498" priority="944" operator="greaterThan">
      <formula>0.8</formula>
    </cfRule>
  </conditionalFormatting>
  <conditionalFormatting sqref="T337:T366 T284:T334">
    <cfRule type="notContainsText" dxfId="497" priority="941" operator="notContains" text="Caida">
      <formula>ISERROR(SEARCH("Caida",T284))</formula>
    </cfRule>
    <cfRule type="containsText" dxfId="496" priority="942" operator="containsText" text="Caida">
      <formula>NOT(ISERROR(SEARCH("Caida",T284)))</formula>
    </cfRule>
  </conditionalFormatting>
  <conditionalFormatting sqref="T93:T95">
    <cfRule type="cellIs" dxfId="495" priority="939" operator="lessThan">
      <formula>0.8</formula>
    </cfRule>
    <cfRule type="cellIs" dxfId="494" priority="940" operator="greaterThan">
      <formula>0.8</formula>
    </cfRule>
  </conditionalFormatting>
  <conditionalFormatting sqref="T93:T95">
    <cfRule type="notContainsText" dxfId="493" priority="937" operator="notContains" text="Caida">
      <formula>ISERROR(SEARCH("Caida",T93))</formula>
    </cfRule>
    <cfRule type="containsText" dxfId="492" priority="938" operator="containsText" text="Caida">
      <formula>NOT(ISERROR(SEARCH("Caida",T93)))</formula>
    </cfRule>
  </conditionalFormatting>
  <conditionalFormatting sqref="F1:F372 F391:F1048576">
    <cfRule type="cellIs" dxfId="491" priority="866" operator="equal">
      <formula>"PTP A FO"</formula>
    </cfRule>
  </conditionalFormatting>
  <conditionalFormatting sqref="R371:T372">
    <cfRule type="cellIs" dxfId="490" priority="495" operator="lessThan">
      <formula>0.8</formula>
    </cfRule>
    <cfRule type="cellIs" dxfId="489" priority="496" operator="greaterThan">
      <formula>0.8</formula>
    </cfRule>
  </conditionalFormatting>
  <conditionalFormatting sqref="R371:T372">
    <cfRule type="notContainsText" dxfId="488" priority="493" operator="notContains" text="Caida">
      <formula>ISERROR(SEARCH("Caida",R371))</formula>
    </cfRule>
    <cfRule type="containsText" dxfId="487" priority="494" operator="containsText" text="Caida">
      <formula>NOT(ISERROR(SEARCH("Caida",R371)))</formula>
    </cfRule>
  </conditionalFormatting>
  <conditionalFormatting sqref="O6:O92">
    <cfRule type="cellIs" dxfId="486" priority="483" operator="lessThan">
      <formula>0.8</formula>
    </cfRule>
    <cfRule type="cellIs" dxfId="485" priority="484" operator="greaterThan">
      <formula>0.8</formula>
    </cfRule>
  </conditionalFormatting>
  <conditionalFormatting sqref="O6:O92">
    <cfRule type="notContainsText" dxfId="484" priority="481" operator="notContains" text="Caida">
      <formula>ISERROR(SEARCH("Caida",O6))</formula>
    </cfRule>
    <cfRule type="containsText" dxfId="483" priority="482" operator="containsText" text="Caida">
      <formula>NOT(ISERROR(SEARCH("Caida",O6)))</formula>
    </cfRule>
  </conditionalFormatting>
  <conditionalFormatting sqref="O22">
    <cfRule type="containsText" dxfId="482" priority="480" operator="containsText" text="Instaladas en Funcionamiento Caida">
      <formula>NOT(ISERROR(SEARCH("Instaladas en Funcionamiento Caida",O22)))</formula>
    </cfRule>
  </conditionalFormatting>
  <conditionalFormatting sqref="O5">
    <cfRule type="cellIs" dxfId="481" priority="478" operator="lessThan">
      <formula>0.8</formula>
    </cfRule>
    <cfRule type="cellIs" dxfId="480" priority="479" operator="greaterThan">
      <formula>0.8</formula>
    </cfRule>
  </conditionalFormatting>
  <conditionalFormatting sqref="O5">
    <cfRule type="notContainsText" dxfId="479" priority="476" operator="notContains" text="Caida">
      <formula>ISERROR(SEARCH("Caida",O5))</formula>
    </cfRule>
    <cfRule type="containsText" dxfId="478" priority="477" operator="containsText" text="Caida">
      <formula>NOT(ISERROR(SEARCH("Caida",O5)))</formula>
    </cfRule>
  </conditionalFormatting>
  <conditionalFormatting sqref="O93:O94">
    <cfRule type="cellIs" dxfId="477" priority="474" operator="lessThan">
      <formula>0.8</formula>
    </cfRule>
    <cfRule type="cellIs" dxfId="476" priority="475" operator="greaterThan">
      <formula>0.8</formula>
    </cfRule>
  </conditionalFormatting>
  <conditionalFormatting sqref="O93:O94">
    <cfRule type="notContainsText" dxfId="475" priority="472" operator="notContains" text="Caida">
      <formula>ISERROR(SEARCH("Caida",O93))</formula>
    </cfRule>
    <cfRule type="containsText" dxfId="474" priority="473" operator="containsText" text="Caida">
      <formula>NOT(ISERROR(SEARCH("Caida",O93)))</formula>
    </cfRule>
  </conditionalFormatting>
  <conditionalFormatting sqref="AR6:AR92">
    <cfRule type="cellIs" dxfId="473" priority="465" operator="lessThan">
      <formula>0.8</formula>
    </cfRule>
    <cfRule type="cellIs" dxfId="472" priority="466" operator="greaterThan">
      <formula>0.8</formula>
    </cfRule>
  </conditionalFormatting>
  <conditionalFormatting sqref="AR6:AR92">
    <cfRule type="notContainsText" dxfId="471" priority="463" operator="notContains" text="Caida">
      <formula>ISERROR(SEARCH("Caida",AR6))</formula>
    </cfRule>
    <cfRule type="containsText" dxfId="470" priority="464" operator="containsText" text="Caida">
      <formula>NOT(ISERROR(SEARCH("Caida",AR6)))</formula>
    </cfRule>
  </conditionalFormatting>
  <conditionalFormatting sqref="AR93:AR94">
    <cfRule type="cellIs" dxfId="469" priority="461" operator="lessThan">
      <formula>0.8</formula>
    </cfRule>
    <cfRule type="cellIs" dxfId="468" priority="462" operator="greaterThan">
      <formula>0.8</formula>
    </cfRule>
  </conditionalFormatting>
  <conditionalFormatting sqref="AR93:AR94">
    <cfRule type="notContainsText" dxfId="467" priority="459" operator="notContains" text="Caida">
      <formula>ISERROR(SEARCH("Caida",AR93))</formula>
    </cfRule>
    <cfRule type="containsText" dxfId="466" priority="460" operator="containsText" text="Caida">
      <formula>NOT(ISERROR(SEARCH("Caida",AR93)))</formula>
    </cfRule>
  </conditionalFormatting>
  <conditionalFormatting sqref="AA6:AF92">
    <cfRule type="cellIs" dxfId="465" priority="400" operator="lessThan">
      <formula>0.8</formula>
    </cfRule>
    <cfRule type="cellIs" dxfId="464" priority="401" operator="greaterThan">
      <formula>0.8</formula>
    </cfRule>
  </conditionalFormatting>
  <conditionalFormatting sqref="AA6:AF92">
    <cfRule type="notContainsText" dxfId="463" priority="398" operator="notContains" text="Caida">
      <formula>ISERROR(SEARCH("Caida",AA6))</formula>
    </cfRule>
    <cfRule type="containsText" dxfId="462" priority="399" operator="containsText" text="Caida">
      <formula>NOT(ISERROR(SEARCH("Caida",AA6)))</formula>
    </cfRule>
  </conditionalFormatting>
  <conditionalFormatting sqref="AA93:AF95">
    <cfRule type="cellIs" dxfId="461" priority="396" operator="lessThan">
      <formula>0.8</formula>
    </cfRule>
    <cfRule type="cellIs" dxfId="460" priority="397" operator="greaterThan">
      <formula>0.8</formula>
    </cfRule>
  </conditionalFormatting>
  <conditionalFormatting sqref="AA93:AF95">
    <cfRule type="notContainsText" dxfId="459" priority="394" operator="notContains" text="Caida">
      <formula>ISERROR(SEARCH("Caida",AA93))</formula>
    </cfRule>
    <cfRule type="containsText" dxfId="458" priority="395" operator="containsText" text="Caida">
      <formula>NOT(ISERROR(SEARCH("Caida",AA93)))</formula>
    </cfRule>
  </conditionalFormatting>
  <conditionalFormatting sqref="AF1 AF5:AF372 AF397:AF1048576 AF3">
    <cfRule type="cellIs" dxfId="457" priority="393" operator="equal">
      <formula>"apagado"</formula>
    </cfRule>
  </conditionalFormatting>
  <conditionalFormatting sqref="AE1 AE5:AE372 AE397:AE1048576 AE3">
    <cfRule type="cellIs" dxfId="456" priority="392" operator="equal">
      <formula>"apagado"</formula>
    </cfRule>
  </conditionalFormatting>
  <conditionalFormatting sqref="AD1 AD5:AD372 AD397:AD1048576 AD3">
    <cfRule type="cellIs" dxfId="455" priority="391" operator="equal">
      <formula>"apagado"</formula>
    </cfRule>
  </conditionalFormatting>
  <conditionalFormatting sqref="AC1 AC5:AC372 AC397:AC1048576 AC3">
    <cfRule type="cellIs" dxfId="454" priority="390" operator="equal">
      <formula>"apagado"</formula>
    </cfRule>
  </conditionalFormatting>
  <conditionalFormatting sqref="AB1 AB5:AB372 AB397:AB1048576 AB3">
    <cfRule type="cellIs" dxfId="453" priority="389" operator="equal">
      <formula>"apagado"</formula>
    </cfRule>
  </conditionalFormatting>
  <conditionalFormatting sqref="AA1 AA5:AA372 AA397:AA1048576 AA3">
    <cfRule type="cellIs" dxfId="452" priority="388" operator="equal">
      <formula>"apagado"</formula>
    </cfRule>
  </conditionalFormatting>
  <conditionalFormatting sqref="Z1 Z397:Z1048576 Z3">
    <cfRule type="cellIs" dxfId="451" priority="387" operator="equal">
      <formula>"apagado"</formula>
    </cfRule>
  </conditionalFormatting>
  <conditionalFormatting sqref="Y1 Y397:Y1048576 Y3">
    <cfRule type="cellIs" dxfId="450" priority="386" operator="equal">
      <formula>"apagado"</formula>
    </cfRule>
  </conditionalFormatting>
  <conditionalFormatting sqref="AG6:AG92">
    <cfRule type="cellIs" dxfId="449" priority="384" operator="lessThan">
      <formula>0.8</formula>
    </cfRule>
    <cfRule type="cellIs" dxfId="448" priority="385" operator="greaterThan">
      <formula>0.8</formula>
    </cfRule>
  </conditionalFormatting>
  <conditionalFormatting sqref="AG6:AG92">
    <cfRule type="notContainsText" dxfId="447" priority="382" operator="notContains" text="Caida">
      <formula>ISERROR(SEARCH("Caida",AG6))</formula>
    </cfRule>
    <cfRule type="containsText" dxfId="446" priority="383" operator="containsText" text="Caida">
      <formula>NOT(ISERROR(SEARCH("Caida",AG6)))</formula>
    </cfRule>
  </conditionalFormatting>
  <conditionalFormatting sqref="AG93:AG95">
    <cfRule type="cellIs" dxfId="445" priority="380" operator="lessThan">
      <formula>0.8</formula>
    </cfRule>
    <cfRule type="cellIs" dxfId="444" priority="381" operator="greaterThan">
      <formula>0.8</formula>
    </cfRule>
  </conditionalFormatting>
  <conditionalFormatting sqref="AG93:AG95">
    <cfRule type="notContainsText" dxfId="443" priority="378" operator="notContains" text="Caida">
      <formula>ISERROR(SEARCH("Caida",AG93))</formula>
    </cfRule>
    <cfRule type="containsText" dxfId="442" priority="379" operator="containsText" text="Caida">
      <formula>NOT(ISERROR(SEARCH("Caida",AG93)))</formula>
    </cfRule>
  </conditionalFormatting>
  <conditionalFormatting sqref="AG1 AG5:AG372 AG397:AG1048576 AG3">
    <cfRule type="cellIs" dxfId="441" priority="377" operator="equal">
      <formula>"apagado"</formula>
    </cfRule>
  </conditionalFormatting>
  <conditionalFormatting sqref="AH6:AH92">
    <cfRule type="cellIs" dxfId="440" priority="375" operator="lessThan">
      <formula>0.8</formula>
    </cfRule>
    <cfRule type="cellIs" dxfId="439" priority="376" operator="greaterThan">
      <formula>0.8</formula>
    </cfRule>
  </conditionalFormatting>
  <conditionalFormatting sqref="AH6:AH92">
    <cfRule type="notContainsText" dxfId="438" priority="373" operator="notContains" text="Caida">
      <formula>ISERROR(SEARCH("Caida",AH6))</formula>
    </cfRule>
    <cfRule type="containsText" dxfId="437" priority="374" operator="containsText" text="Caida">
      <formula>NOT(ISERROR(SEARCH("Caida",AH6)))</formula>
    </cfRule>
  </conditionalFormatting>
  <conditionalFormatting sqref="AH93:AH95">
    <cfRule type="cellIs" dxfId="436" priority="371" operator="lessThan">
      <formula>0.8</formula>
    </cfRule>
    <cfRule type="cellIs" dxfId="435" priority="372" operator="greaterThan">
      <formula>0.8</formula>
    </cfRule>
  </conditionalFormatting>
  <conditionalFormatting sqref="AH93:AH95">
    <cfRule type="notContainsText" dxfId="434" priority="369" operator="notContains" text="Caida">
      <formula>ISERROR(SEARCH("Caida",AH93))</formula>
    </cfRule>
    <cfRule type="containsText" dxfId="433" priority="370" operator="containsText" text="Caida">
      <formula>NOT(ISERROR(SEARCH("Caida",AH93)))</formula>
    </cfRule>
  </conditionalFormatting>
  <conditionalFormatting sqref="AH1 AH397:AH1048576 AH3 AH5:AH372">
    <cfRule type="cellIs" dxfId="432" priority="368" operator="equal">
      <formula>"apagado"</formula>
    </cfRule>
  </conditionalFormatting>
  <conditionalFormatting sqref="AI1 AI397:AI1048576 AI3">
    <cfRule type="cellIs" dxfId="431" priority="359" operator="equal">
      <formula>"apagado"</formula>
    </cfRule>
  </conditionalFormatting>
  <conditionalFormatting sqref="AJ6:AJ92">
    <cfRule type="cellIs" dxfId="430" priority="357" operator="lessThan">
      <formula>0.8</formula>
    </cfRule>
    <cfRule type="cellIs" dxfId="429" priority="358" operator="greaterThan">
      <formula>0.8</formula>
    </cfRule>
  </conditionalFormatting>
  <conditionalFormatting sqref="AJ6:AJ92">
    <cfRule type="notContainsText" dxfId="428" priority="355" operator="notContains" text="Caida">
      <formula>ISERROR(SEARCH("Caida",AJ6))</formula>
    </cfRule>
    <cfRule type="containsText" dxfId="427" priority="356" operator="containsText" text="Caida">
      <formula>NOT(ISERROR(SEARCH("Caida",AJ6)))</formula>
    </cfRule>
  </conditionalFormatting>
  <conditionalFormatting sqref="AJ93:AJ95">
    <cfRule type="cellIs" dxfId="426" priority="353" operator="lessThan">
      <formula>0.8</formula>
    </cfRule>
    <cfRule type="cellIs" dxfId="425" priority="354" operator="greaterThan">
      <formula>0.8</formula>
    </cfRule>
  </conditionalFormatting>
  <conditionalFormatting sqref="AJ93:AJ95">
    <cfRule type="notContainsText" dxfId="424" priority="351" operator="notContains" text="Caida">
      <formula>ISERROR(SEARCH("Caida",AJ93))</formula>
    </cfRule>
    <cfRule type="containsText" dxfId="423" priority="352" operator="containsText" text="Caida">
      <formula>NOT(ISERROR(SEARCH("Caida",AJ93)))</formula>
    </cfRule>
  </conditionalFormatting>
  <conditionalFormatting sqref="AJ1 AJ5:AJ372 AJ397:AJ1048576 AJ3">
    <cfRule type="cellIs" dxfId="422" priority="350" operator="equal">
      <formula>"apagado"</formula>
    </cfRule>
  </conditionalFormatting>
  <conditionalFormatting sqref="AQ95:AQ369">
    <cfRule type="cellIs" dxfId="421" priority="331" operator="lessThan">
      <formula>0.8</formula>
    </cfRule>
    <cfRule type="cellIs" dxfId="420" priority="332" operator="greaterThan">
      <formula>0.8</formula>
    </cfRule>
  </conditionalFormatting>
  <conditionalFormatting sqref="AQ95:AQ372 AQ397:AQ1048576">
    <cfRule type="notContainsText" dxfId="419" priority="329" operator="notContains" text="Caida">
      <formula>ISERROR(SEARCH("Caida",AQ95))</formula>
    </cfRule>
    <cfRule type="containsText" dxfId="418" priority="330" operator="containsText" text="Caida">
      <formula>NOT(ISERROR(SEARCH("Caida",AQ95)))</formula>
    </cfRule>
  </conditionalFormatting>
  <conditionalFormatting sqref="AQ6:AQ92">
    <cfRule type="cellIs" dxfId="417" priority="327" operator="lessThan">
      <formula>0.8</formula>
    </cfRule>
    <cfRule type="cellIs" dxfId="416" priority="328" operator="greaterThan">
      <formula>0.8</formula>
    </cfRule>
  </conditionalFormatting>
  <conditionalFormatting sqref="AQ6:AQ92">
    <cfRule type="notContainsText" dxfId="415" priority="325" operator="notContains" text="Caida">
      <formula>ISERROR(SEARCH("Caida",AQ6))</formula>
    </cfRule>
    <cfRule type="containsText" dxfId="414" priority="326" operator="containsText" text="Caida">
      <formula>NOT(ISERROR(SEARCH("Caida",AQ6)))</formula>
    </cfRule>
  </conditionalFormatting>
  <conditionalFormatting sqref="AQ93:AQ94">
    <cfRule type="cellIs" dxfId="413" priority="323" operator="lessThan">
      <formula>0.8</formula>
    </cfRule>
    <cfRule type="cellIs" dxfId="412" priority="324" operator="greaterThan">
      <formula>0.8</formula>
    </cfRule>
  </conditionalFormatting>
  <conditionalFormatting sqref="AQ93:AQ94">
    <cfRule type="notContainsText" dxfId="411" priority="321" operator="notContains" text="Caida">
      <formula>ISERROR(SEARCH("Caida",AQ93))</formula>
    </cfRule>
    <cfRule type="containsText" dxfId="410" priority="322" operator="containsText" text="Caida">
      <formula>NOT(ISERROR(SEARCH("Caida",AQ93)))</formula>
    </cfRule>
  </conditionalFormatting>
  <conditionalFormatting sqref="AQ10">
    <cfRule type="cellIs" dxfId="409" priority="316" operator="equal">
      <formula>"apagado"</formula>
    </cfRule>
    <cfRule type="cellIs" dxfId="408" priority="319" operator="lessThan">
      <formula>0.8</formula>
    </cfRule>
    <cfRule type="cellIs" dxfId="407" priority="320" operator="greaterThan">
      <formula>0.8</formula>
    </cfRule>
  </conditionalFormatting>
  <conditionalFormatting sqref="AQ10">
    <cfRule type="notContainsText" dxfId="406" priority="317" operator="notContains" text="Caida">
      <formula>ISERROR(SEARCH("Caida",AQ10))</formula>
    </cfRule>
    <cfRule type="containsText" dxfId="405" priority="318" operator="containsText" text="Caida">
      <formula>NOT(ISERROR(SEARCH("Caida",AQ10)))</formula>
    </cfRule>
  </conditionalFormatting>
  <conditionalFormatting sqref="AQ1 AQ5:AQ372 AQ397:AQ1048576 AQ3">
    <cfRule type="cellIs" dxfId="404" priority="315" operator="equal">
      <formula>"apagado"</formula>
    </cfRule>
  </conditionalFormatting>
  <conditionalFormatting sqref="O5:X372 AA5:AH372 AJ5:AR372">
    <cfRule type="cellIs" dxfId="403" priority="314" operator="equal">
      <formula>"APAGADO"</formula>
    </cfRule>
  </conditionalFormatting>
  <conditionalFormatting sqref="Y96:Y372">
    <cfRule type="cellIs" dxfId="402" priority="276" operator="lessThan">
      <formula>0.8</formula>
    </cfRule>
    <cfRule type="cellIs" dxfId="401" priority="277" operator="greaterThan">
      <formula>0.8</formula>
    </cfRule>
  </conditionalFormatting>
  <conditionalFormatting sqref="Y96:Y372">
    <cfRule type="notContainsText" dxfId="400" priority="274" operator="notContains" text="Caida">
      <formula>ISERROR(SEARCH("Caida",Y96))</formula>
    </cfRule>
    <cfRule type="containsText" dxfId="399" priority="275" operator="containsText" text="Caida">
      <formula>NOT(ISERROR(SEARCH("Caida",Y96)))</formula>
    </cfRule>
  </conditionalFormatting>
  <conditionalFormatting sqref="Y22">
    <cfRule type="containsText" dxfId="398" priority="273" operator="containsText" text="Instaladas en Funcionamiento Caida">
      <formula>NOT(ISERROR(SEARCH("Instaladas en Funcionamiento Caida",Y22)))</formula>
    </cfRule>
  </conditionalFormatting>
  <conditionalFormatting sqref="Y5">
    <cfRule type="cellIs" dxfId="397" priority="271" operator="lessThan">
      <formula>0.8</formula>
    </cfRule>
    <cfRule type="cellIs" dxfId="396" priority="272" operator="greaterThan">
      <formula>0.8</formula>
    </cfRule>
  </conditionalFormatting>
  <conditionalFormatting sqref="Y5">
    <cfRule type="notContainsText" dxfId="395" priority="269" operator="notContains" text="Caida">
      <formula>ISERROR(SEARCH("Caida",Y5))</formula>
    </cfRule>
    <cfRule type="containsText" dxfId="394" priority="270" operator="containsText" text="Caida">
      <formula>NOT(ISERROR(SEARCH("Caida",Y5)))</formula>
    </cfRule>
  </conditionalFormatting>
  <conditionalFormatting sqref="Y5:Y372">
    <cfRule type="cellIs" dxfId="393" priority="268" operator="equal">
      <formula>"APAGADO"</formula>
    </cfRule>
  </conditionalFormatting>
  <conditionalFormatting sqref="Y6:Y92">
    <cfRule type="cellIs" dxfId="392" priority="266" operator="lessThan">
      <formula>0.8</formula>
    </cfRule>
    <cfRule type="cellIs" dxfId="391" priority="267" operator="greaterThan">
      <formula>0.8</formula>
    </cfRule>
  </conditionalFormatting>
  <conditionalFormatting sqref="Y6:Y92">
    <cfRule type="notContainsText" dxfId="390" priority="264" operator="notContains" text="Caida">
      <formula>ISERROR(SEARCH("Caida",Y6))</formula>
    </cfRule>
    <cfRule type="containsText" dxfId="389" priority="265" operator="containsText" text="Caida">
      <formula>NOT(ISERROR(SEARCH("Caida",Y6)))</formula>
    </cfRule>
  </conditionalFormatting>
  <conditionalFormatting sqref="Y93:Y95">
    <cfRule type="cellIs" dxfId="388" priority="262" operator="lessThan">
      <formula>0.8</formula>
    </cfRule>
    <cfRule type="cellIs" dxfId="387" priority="263" operator="greaterThan">
      <formula>0.8</formula>
    </cfRule>
  </conditionalFormatting>
  <conditionalFormatting sqref="Y93:Y95">
    <cfRule type="notContainsText" dxfId="386" priority="260" operator="notContains" text="Caida">
      <formula>ISERROR(SEARCH("Caida",Y93))</formula>
    </cfRule>
    <cfRule type="containsText" dxfId="385" priority="261" operator="containsText" text="Caida">
      <formula>NOT(ISERROR(SEARCH("Caida",Y93)))</formula>
    </cfRule>
  </conditionalFormatting>
  <conditionalFormatting sqref="Y5:Y372">
    <cfRule type="cellIs" dxfId="384" priority="259" operator="equal">
      <formula>"apagado"</formula>
    </cfRule>
  </conditionalFormatting>
  <conditionalFormatting sqref="Z96:Z372">
    <cfRule type="cellIs" dxfId="383" priority="256" operator="lessThan">
      <formula>0.8</formula>
    </cfRule>
    <cfRule type="cellIs" dxfId="382" priority="257" operator="greaterThan">
      <formula>0.8</formula>
    </cfRule>
  </conditionalFormatting>
  <conditionalFormatting sqref="Z96:Z372">
    <cfRule type="notContainsText" dxfId="381" priority="254" operator="notContains" text="Caida">
      <formula>ISERROR(SEARCH("Caida",Z96))</formula>
    </cfRule>
    <cfRule type="containsText" dxfId="380" priority="255" operator="containsText" text="Caida">
      <formula>NOT(ISERROR(SEARCH("Caida",Z96)))</formula>
    </cfRule>
  </conditionalFormatting>
  <conditionalFormatting sqref="Z22">
    <cfRule type="containsText" dxfId="379" priority="253" operator="containsText" text="Instaladas en Funcionamiento Caida">
      <formula>NOT(ISERROR(SEARCH("Instaladas en Funcionamiento Caida",Z22)))</formula>
    </cfRule>
  </conditionalFormatting>
  <conditionalFormatting sqref="Z5">
    <cfRule type="cellIs" dxfId="378" priority="251" operator="lessThan">
      <formula>0.8</formula>
    </cfRule>
    <cfRule type="cellIs" dxfId="377" priority="252" operator="greaterThan">
      <formula>0.8</formula>
    </cfRule>
  </conditionalFormatting>
  <conditionalFormatting sqref="Z5">
    <cfRule type="notContainsText" dxfId="376" priority="249" operator="notContains" text="Caida">
      <formula>ISERROR(SEARCH("Caida",Z5))</formula>
    </cfRule>
    <cfRule type="containsText" dxfId="375" priority="250" operator="containsText" text="Caida">
      <formula>NOT(ISERROR(SEARCH("Caida",Z5)))</formula>
    </cfRule>
  </conditionalFormatting>
  <conditionalFormatting sqref="Z5:Z372">
    <cfRule type="cellIs" dxfId="374" priority="248" operator="equal">
      <formula>"APAGADO"</formula>
    </cfRule>
  </conditionalFormatting>
  <conditionalFormatting sqref="Z6:Z92">
    <cfRule type="cellIs" dxfId="373" priority="246" operator="lessThan">
      <formula>0.8</formula>
    </cfRule>
    <cfRule type="cellIs" dxfId="372" priority="247" operator="greaterThan">
      <formula>0.8</formula>
    </cfRule>
  </conditionalFormatting>
  <conditionalFormatting sqref="Z6:Z92">
    <cfRule type="notContainsText" dxfId="371" priority="244" operator="notContains" text="Caida">
      <formula>ISERROR(SEARCH("Caida",Z6))</formula>
    </cfRule>
    <cfRule type="containsText" dxfId="370" priority="245" operator="containsText" text="Caida">
      <formula>NOT(ISERROR(SEARCH("Caida",Z6)))</formula>
    </cfRule>
  </conditionalFormatting>
  <conditionalFormatting sqref="Z93:Z95">
    <cfRule type="cellIs" dxfId="369" priority="242" operator="lessThan">
      <formula>0.8</formula>
    </cfRule>
    <cfRule type="cellIs" dxfId="368" priority="243" operator="greaterThan">
      <formula>0.8</formula>
    </cfRule>
  </conditionalFormatting>
  <conditionalFormatting sqref="Z93:Z95">
    <cfRule type="notContainsText" dxfId="367" priority="240" operator="notContains" text="Caida">
      <formula>ISERROR(SEARCH("Caida",Z93))</formula>
    </cfRule>
    <cfRule type="containsText" dxfId="366" priority="241" operator="containsText" text="Caida">
      <formula>NOT(ISERROR(SEARCH("Caida",Z93)))</formula>
    </cfRule>
  </conditionalFormatting>
  <conditionalFormatting sqref="Z5:Z372">
    <cfRule type="cellIs" dxfId="365" priority="239" operator="equal">
      <formula>"apagado"</formula>
    </cfRule>
  </conditionalFormatting>
  <conditionalFormatting sqref="AH94">
    <cfRule type="cellIs" dxfId="364" priority="236" operator="lessThan">
      <formula>0.8</formula>
    </cfRule>
    <cfRule type="cellIs" dxfId="363" priority="237" operator="greaterThan">
      <formula>0.8</formula>
    </cfRule>
  </conditionalFormatting>
  <conditionalFormatting sqref="AH94">
    <cfRule type="notContainsText" dxfId="362" priority="234" operator="notContains" text="Caida">
      <formula>ISERROR(SEARCH("Caida",AH94))</formula>
    </cfRule>
    <cfRule type="containsText" dxfId="361" priority="235" operator="containsText" text="Caida">
      <formula>NOT(ISERROR(SEARCH("Caida",AH94)))</formula>
    </cfRule>
  </conditionalFormatting>
  <conditionalFormatting sqref="AH96">
    <cfRule type="cellIs" dxfId="360" priority="232" operator="lessThan">
      <formula>0.8</formula>
    </cfRule>
    <cfRule type="cellIs" dxfId="359" priority="233" operator="greaterThan">
      <formula>0.8</formula>
    </cfRule>
  </conditionalFormatting>
  <conditionalFormatting sqref="AH96">
    <cfRule type="notContainsText" dxfId="358" priority="230" operator="notContains" text="Caida">
      <formula>ISERROR(SEARCH("Caida",AH96))</formula>
    </cfRule>
    <cfRule type="containsText" dxfId="357" priority="231" operator="containsText" text="Caida">
      <formula>NOT(ISERROR(SEARCH("Caida",AH96)))</formula>
    </cfRule>
  </conditionalFormatting>
  <conditionalFormatting sqref="AH99">
    <cfRule type="cellIs" dxfId="356" priority="228" operator="lessThan">
      <formula>0.8</formula>
    </cfRule>
    <cfRule type="cellIs" dxfId="355" priority="229" operator="greaterThan">
      <formula>0.8</formula>
    </cfRule>
  </conditionalFormatting>
  <conditionalFormatting sqref="AH99">
    <cfRule type="notContainsText" dxfId="354" priority="226" operator="notContains" text="Caida">
      <formula>ISERROR(SEARCH("Caida",AH99))</formula>
    </cfRule>
    <cfRule type="containsText" dxfId="353" priority="227" operator="containsText" text="Caida">
      <formula>NOT(ISERROR(SEARCH("Caida",AH99)))</formula>
    </cfRule>
  </conditionalFormatting>
  <conditionalFormatting sqref="AH115">
    <cfRule type="cellIs" dxfId="352" priority="224" operator="lessThan">
      <formula>0.8</formula>
    </cfRule>
    <cfRule type="cellIs" dxfId="351" priority="225" operator="greaterThan">
      <formula>0.8</formula>
    </cfRule>
  </conditionalFormatting>
  <conditionalFormatting sqref="AH115">
    <cfRule type="notContainsText" dxfId="350" priority="222" operator="notContains" text="Caida">
      <formula>ISERROR(SEARCH("Caida",AH115))</formula>
    </cfRule>
    <cfRule type="containsText" dxfId="349" priority="223" operator="containsText" text="Caida">
      <formula>NOT(ISERROR(SEARCH("Caida",AH115)))</formula>
    </cfRule>
  </conditionalFormatting>
  <conditionalFormatting sqref="AH116">
    <cfRule type="cellIs" dxfId="348" priority="220" operator="lessThan">
      <formula>0.8</formula>
    </cfRule>
    <cfRule type="cellIs" dxfId="347" priority="221" operator="greaterThan">
      <formula>0.8</formula>
    </cfRule>
  </conditionalFormatting>
  <conditionalFormatting sqref="AH116">
    <cfRule type="notContainsText" dxfId="346" priority="218" operator="notContains" text="Caida">
      <formula>ISERROR(SEARCH("Caida",AH116))</formula>
    </cfRule>
    <cfRule type="containsText" dxfId="345" priority="219" operator="containsText" text="Caida">
      <formula>NOT(ISERROR(SEARCH("Caida",AH116)))</formula>
    </cfRule>
  </conditionalFormatting>
  <conditionalFormatting sqref="AH120">
    <cfRule type="cellIs" dxfId="344" priority="216" operator="lessThan">
      <formula>0.8</formula>
    </cfRule>
    <cfRule type="cellIs" dxfId="343" priority="217" operator="greaterThan">
      <formula>0.8</formula>
    </cfRule>
  </conditionalFormatting>
  <conditionalFormatting sqref="AH120">
    <cfRule type="notContainsText" dxfId="342" priority="214" operator="notContains" text="Caida">
      <formula>ISERROR(SEARCH("Caida",AH120))</formula>
    </cfRule>
    <cfRule type="containsText" dxfId="341" priority="215" operator="containsText" text="Caida">
      <formula>NOT(ISERROR(SEARCH("Caida",AH120)))</formula>
    </cfRule>
  </conditionalFormatting>
  <conditionalFormatting sqref="AH121">
    <cfRule type="cellIs" dxfId="340" priority="212" operator="lessThan">
      <formula>0.8</formula>
    </cfRule>
    <cfRule type="cellIs" dxfId="339" priority="213" operator="greaterThan">
      <formula>0.8</formula>
    </cfRule>
  </conditionalFormatting>
  <conditionalFormatting sqref="AH121">
    <cfRule type="notContainsText" dxfId="338" priority="210" operator="notContains" text="Caida">
      <formula>ISERROR(SEARCH("Caida",AH121))</formula>
    </cfRule>
    <cfRule type="containsText" dxfId="337" priority="211" operator="containsText" text="Caida">
      <formula>NOT(ISERROR(SEARCH("Caida",AH121)))</formula>
    </cfRule>
  </conditionalFormatting>
  <conditionalFormatting sqref="AH133">
    <cfRule type="cellIs" dxfId="336" priority="208" operator="lessThan">
      <formula>0.8</formula>
    </cfRule>
    <cfRule type="cellIs" dxfId="335" priority="209" operator="greaterThan">
      <formula>0.8</formula>
    </cfRule>
  </conditionalFormatting>
  <conditionalFormatting sqref="AH133">
    <cfRule type="notContainsText" dxfId="334" priority="206" operator="notContains" text="Caida">
      <formula>ISERROR(SEARCH("Caida",AH133))</formula>
    </cfRule>
    <cfRule type="containsText" dxfId="333" priority="207" operator="containsText" text="Caida">
      <formula>NOT(ISERROR(SEARCH("Caida",AH133)))</formula>
    </cfRule>
  </conditionalFormatting>
  <conditionalFormatting sqref="AH135">
    <cfRule type="cellIs" dxfId="332" priority="204" operator="lessThan">
      <formula>0.8</formula>
    </cfRule>
    <cfRule type="cellIs" dxfId="331" priority="205" operator="greaterThan">
      <formula>0.8</formula>
    </cfRule>
  </conditionalFormatting>
  <conditionalFormatting sqref="AH135">
    <cfRule type="notContainsText" dxfId="330" priority="202" operator="notContains" text="Caida">
      <formula>ISERROR(SEARCH("Caida",AH135))</formula>
    </cfRule>
    <cfRule type="containsText" dxfId="329" priority="203" operator="containsText" text="Caida">
      <formula>NOT(ISERROR(SEARCH("Caida",AH135)))</formula>
    </cfRule>
  </conditionalFormatting>
  <conditionalFormatting sqref="AH142">
    <cfRule type="cellIs" dxfId="328" priority="200" operator="lessThan">
      <formula>0.8</formula>
    </cfRule>
    <cfRule type="cellIs" dxfId="327" priority="201" operator="greaterThan">
      <formula>0.8</formula>
    </cfRule>
  </conditionalFormatting>
  <conditionalFormatting sqref="AH142">
    <cfRule type="notContainsText" dxfId="326" priority="198" operator="notContains" text="Caida">
      <formula>ISERROR(SEARCH("Caida",AH142))</formula>
    </cfRule>
    <cfRule type="containsText" dxfId="325" priority="199" operator="containsText" text="Caida">
      <formula>NOT(ISERROR(SEARCH("Caida",AH142)))</formula>
    </cfRule>
  </conditionalFormatting>
  <conditionalFormatting sqref="AH143">
    <cfRule type="cellIs" dxfId="324" priority="196" operator="lessThan">
      <formula>0.8</formula>
    </cfRule>
    <cfRule type="cellIs" dxfId="323" priority="197" operator="greaterThan">
      <formula>0.8</formula>
    </cfRule>
  </conditionalFormatting>
  <conditionalFormatting sqref="AH143">
    <cfRule type="notContainsText" dxfId="322" priority="194" operator="notContains" text="Caida">
      <formula>ISERROR(SEARCH("Caida",AH143))</formula>
    </cfRule>
    <cfRule type="containsText" dxfId="321" priority="195" operator="containsText" text="Caida">
      <formula>NOT(ISERROR(SEARCH("Caida",AH143)))</formula>
    </cfRule>
  </conditionalFormatting>
  <conditionalFormatting sqref="AH144">
    <cfRule type="cellIs" dxfId="320" priority="192" operator="lessThan">
      <formula>0.8</formula>
    </cfRule>
    <cfRule type="cellIs" dxfId="319" priority="193" operator="greaterThan">
      <formula>0.8</formula>
    </cfRule>
  </conditionalFormatting>
  <conditionalFormatting sqref="AH144">
    <cfRule type="notContainsText" dxfId="318" priority="190" operator="notContains" text="Caida">
      <formula>ISERROR(SEARCH("Caida",AH144))</formula>
    </cfRule>
    <cfRule type="containsText" dxfId="317" priority="191" operator="containsText" text="Caida">
      <formula>NOT(ISERROR(SEARCH("Caida",AH144)))</formula>
    </cfRule>
  </conditionalFormatting>
  <conditionalFormatting sqref="AH163">
    <cfRule type="cellIs" dxfId="316" priority="188" operator="lessThan">
      <formula>0.8</formula>
    </cfRule>
    <cfRule type="cellIs" dxfId="315" priority="189" operator="greaterThan">
      <formula>0.8</formula>
    </cfRule>
  </conditionalFormatting>
  <conditionalFormatting sqref="AH163">
    <cfRule type="notContainsText" dxfId="314" priority="186" operator="notContains" text="Caida">
      <formula>ISERROR(SEARCH("Caida",AH163))</formula>
    </cfRule>
    <cfRule type="containsText" dxfId="313" priority="187" operator="containsText" text="Caida">
      <formula>NOT(ISERROR(SEARCH("Caida",AH163)))</formula>
    </cfRule>
  </conditionalFormatting>
  <conditionalFormatting sqref="AH164">
    <cfRule type="cellIs" dxfId="312" priority="184" operator="lessThan">
      <formula>0.8</formula>
    </cfRule>
    <cfRule type="cellIs" dxfId="311" priority="185" operator="greaterThan">
      <formula>0.8</formula>
    </cfRule>
  </conditionalFormatting>
  <conditionalFormatting sqref="AH164">
    <cfRule type="notContainsText" dxfId="310" priority="182" operator="notContains" text="Caida">
      <formula>ISERROR(SEARCH("Caida",AH164))</formula>
    </cfRule>
    <cfRule type="containsText" dxfId="309" priority="183" operator="containsText" text="Caida">
      <formula>NOT(ISERROR(SEARCH("Caida",AH164)))</formula>
    </cfRule>
  </conditionalFormatting>
  <conditionalFormatting sqref="AH166">
    <cfRule type="cellIs" dxfId="308" priority="180" operator="lessThan">
      <formula>0.8</formula>
    </cfRule>
    <cfRule type="cellIs" dxfId="307" priority="181" operator="greaterThan">
      <formula>0.8</formula>
    </cfRule>
  </conditionalFormatting>
  <conditionalFormatting sqref="AH166">
    <cfRule type="notContainsText" dxfId="306" priority="178" operator="notContains" text="Caida">
      <formula>ISERROR(SEARCH("Caida",AH166))</formula>
    </cfRule>
    <cfRule type="containsText" dxfId="305" priority="179" operator="containsText" text="Caida">
      <formula>NOT(ISERROR(SEARCH("Caida",AH166)))</formula>
    </cfRule>
  </conditionalFormatting>
  <conditionalFormatting sqref="AH177">
    <cfRule type="cellIs" dxfId="304" priority="176" operator="lessThan">
      <formula>0.8</formula>
    </cfRule>
    <cfRule type="cellIs" dxfId="303" priority="177" operator="greaterThan">
      <formula>0.8</formula>
    </cfRule>
  </conditionalFormatting>
  <conditionalFormatting sqref="AH177">
    <cfRule type="notContainsText" dxfId="302" priority="174" operator="notContains" text="Caida">
      <formula>ISERROR(SEARCH("Caida",AH177))</formula>
    </cfRule>
    <cfRule type="containsText" dxfId="301" priority="175" operator="containsText" text="Caida">
      <formula>NOT(ISERROR(SEARCH("Caida",AH177)))</formula>
    </cfRule>
  </conditionalFormatting>
  <conditionalFormatting sqref="AH191">
    <cfRule type="cellIs" dxfId="300" priority="172" operator="lessThan">
      <formula>0.8</formula>
    </cfRule>
    <cfRule type="cellIs" dxfId="299" priority="173" operator="greaterThan">
      <formula>0.8</formula>
    </cfRule>
  </conditionalFormatting>
  <conditionalFormatting sqref="AH191">
    <cfRule type="notContainsText" dxfId="298" priority="170" operator="notContains" text="Caida">
      <formula>ISERROR(SEARCH("Caida",AH191))</formula>
    </cfRule>
    <cfRule type="containsText" dxfId="297" priority="171" operator="containsText" text="Caida">
      <formula>NOT(ISERROR(SEARCH("Caida",AH191)))</formula>
    </cfRule>
  </conditionalFormatting>
  <conditionalFormatting sqref="AH192">
    <cfRule type="cellIs" dxfId="296" priority="168" operator="lessThan">
      <formula>0.8</formula>
    </cfRule>
    <cfRule type="cellIs" dxfId="295" priority="169" operator="greaterThan">
      <formula>0.8</formula>
    </cfRule>
  </conditionalFormatting>
  <conditionalFormatting sqref="AH192">
    <cfRule type="notContainsText" dxfId="294" priority="166" operator="notContains" text="Caida">
      <formula>ISERROR(SEARCH("Caida",AH192))</formula>
    </cfRule>
    <cfRule type="containsText" dxfId="293" priority="167" operator="containsText" text="Caida">
      <formula>NOT(ISERROR(SEARCH("Caida",AH192)))</formula>
    </cfRule>
  </conditionalFormatting>
  <conditionalFormatting sqref="AH198">
    <cfRule type="cellIs" dxfId="292" priority="164" operator="lessThan">
      <formula>0.8</formula>
    </cfRule>
    <cfRule type="cellIs" dxfId="291" priority="165" operator="greaterThan">
      <formula>0.8</formula>
    </cfRule>
  </conditionalFormatting>
  <conditionalFormatting sqref="AH198">
    <cfRule type="notContainsText" dxfId="290" priority="162" operator="notContains" text="Caida">
      <formula>ISERROR(SEARCH("Caida",AH198))</formula>
    </cfRule>
    <cfRule type="containsText" dxfId="289" priority="163" operator="containsText" text="Caida">
      <formula>NOT(ISERROR(SEARCH("Caida",AH198)))</formula>
    </cfRule>
  </conditionalFormatting>
  <conditionalFormatting sqref="AH206">
    <cfRule type="cellIs" dxfId="288" priority="160" operator="lessThan">
      <formula>0.8</formula>
    </cfRule>
    <cfRule type="cellIs" dxfId="287" priority="161" operator="greaterThan">
      <formula>0.8</formula>
    </cfRule>
  </conditionalFormatting>
  <conditionalFormatting sqref="AH206">
    <cfRule type="notContainsText" dxfId="286" priority="158" operator="notContains" text="Caida">
      <formula>ISERROR(SEARCH("Caida",AH206))</formula>
    </cfRule>
    <cfRule type="containsText" dxfId="285" priority="159" operator="containsText" text="Caida">
      <formula>NOT(ISERROR(SEARCH("Caida",AH206)))</formula>
    </cfRule>
  </conditionalFormatting>
  <conditionalFormatting sqref="AH211">
    <cfRule type="cellIs" dxfId="284" priority="156" operator="lessThan">
      <formula>0.8</formula>
    </cfRule>
    <cfRule type="cellIs" dxfId="283" priority="157" operator="greaterThan">
      <formula>0.8</formula>
    </cfRule>
  </conditionalFormatting>
  <conditionalFormatting sqref="AH211">
    <cfRule type="notContainsText" dxfId="282" priority="154" operator="notContains" text="Caida">
      <formula>ISERROR(SEARCH("Caida",AH211))</formula>
    </cfRule>
    <cfRule type="containsText" dxfId="281" priority="155" operator="containsText" text="Caida">
      <formula>NOT(ISERROR(SEARCH("Caida",AH211)))</formula>
    </cfRule>
  </conditionalFormatting>
  <conditionalFormatting sqref="AH212">
    <cfRule type="cellIs" dxfId="280" priority="152" operator="lessThan">
      <formula>0.8</formula>
    </cfRule>
    <cfRule type="cellIs" dxfId="279" priority="153" operator="greaterThan">
      <formula>0.8</formula>
    </cfRule>
  </conditionalFormatting>
  <conditionalFormatting sqref="AH212">
    <cfRule type="notContainsText" dxfId="278" priority="150" operator="notContains" text="Caida">
      <formula>ISERROR(SEARCH("Caida",AH212))</formula>
    </cfRule>
    <cfRule type="containsText" dxfId="277" priority="151" operator="containsText" text="Caida">
      <formula>NOT(ISERROR(SEARCH("Caida",AH212)))</formula>
    </cfRule>
  </conditionalFormatting>
  <conditionalFormatting sqref="AH359">
    <cfRule type="cellIs" dxfId="276" priority="149" operator="equal">
      <formula>"apagado"</formula>
    </cfRule>
  </conditionalFormatting>
  <conditionalFormatting sqref="AH360">
    <cfRule type="cellIs" dxfId="275" priority="148" operator="equal">
      <formula>"apagado"</formula>
    </cfRule>
  </conditionalFormatting>
  <conditionalFormatting sqref="AH361">
    <cfRule type="cellIs" dxfId="274" priority="147" operator="equal">
      <formula>"apagado"</formula>
    </cfRule>
  </conditionalFormatting>
  <conditionalFormatting sqref="AH362">
    <cfRule type="cellIs" dxfId="273" priority="146" operator="equal">
      <formula>"apagado"</formula>
    </cfRule>
  </conditionalFormatting>
  <conditionalFormatting sqref="AH206">
    <cfRule type="cellIs" dxfId="272" priority="145" operator="equal">
      <formula>"apagado"</formula>
    </cfRule>
  </conditionalFormatting>
  <conditionalFormatting sqref="AH211">
    <cfRule type="cellIs" dxfId="271" priority="144" operator="equal">
      <formula>"apagado"</formula>
    </cfRule>
  </conditionalFormatting>
  <conditionalFormatting sqref="AH212">
    <cfRule type="cellIs" dxfId="270" priority="143" operator="equal">
      <formula>"apagado"</formula>
    </cfRule>
  </conditionalFormatting>
  <conditionalFormatting sqref="AH198">
    <cfRule type="cellIs" dxfId="269" priority="142" operator="equal">
      <formula>"apagado"</formula>
    </cfRule>
  </conditionalFormatting>
  <conditionalFormatting sqref="AH192">
    <cfRule type="cellIs" dxfId="268" priority="141" operator="equal">
      <formula>"apagado"</formula>
    </cfRule>
  </conditionalFormatting>
  <conditionalFormatting sqref="AH191">
    <cfRule type="cellIs" dxfId="267" priority="140" operator="equal">
      <formula>"apagado"</formula>
    </cfRule>
  </conditionalFormatting>
  <conditionalFormatting sqref="AH177">
    <cfRule type="cellIs" dxfId="266" priority="139" operator="equal">
      <formula>"apagado"</formula>
    </cfRule>
  </conditionalFormatting>
  <conditionalFormatting sqref="AH166">
    <cfRule type="cellIs" dxfId="265" priority="138" operator="equal">
      <formula>"apagado"</formula>
    </cfRule>
  </conditionalFormatting>
  <conditionalFormatting sqref="AH163">
    <cfRule type="cellIs" dxfId="264" priority="137" operator="equal">
      <formula>"apagado"</formula>
    </cfRule>
  </conditionalFormatting>
  <conditionalFormatting sqref="AH164">
    <cfRule type="cellIs" dxfId="263" priority="136" operator="equal">
      <formula>"apagado"</formula>
    </cfRule>
  </conditionalFormatting>
  <conditionalFormatting sqref="AH142">
    <cfRule type="cellIs" dxfId="262" priority="135" operator="equal">
      <formula>"apagado"</formula>
    </cfRule>
  </conditionalFormatting>
  <conditionalFormatting sqref="AH143">
    <cfRule type="cellIs" dxfId="261" priority="134" operator="equal">
      <formula>"apagado"</formula>
    </cfRule>
  </conditionalFormatting>
  <conditionalFormatting sqref="AH144">
    <cfRule type="cellIs" dxfId="260" priority="133" operator="equal">
      <formula>"apagado"</formula>
    </cfRule>
  </conditionalFormatting>
  <conditionalFormatting sqref="AH133">
    <cfRule type="cellIs" dxfId="259" priority="132" operator="equal">
      <formula>"apagado"</formula>
    </cfRule>
  </conditionalFormatting>
  <conditionalFormatting sqref="AH135">
    <cfRule type="cellIs" dxfId="258" priority="131" operator="equal">
      <formula>"apagado"</formula>
    </cfRule>
  </conditionalFormatting>
  <conditionalFormatting sqref="AH115">
    <cfRule type="cellIs" dxfId="257" priority="130" operator="equal">
      <formula>"apagado"</formula>
    </cfRule>
  </conditionalFormatting>
  <conditionalFormatting sqref="AH116">
    <cfRule type="cellIs" dxfId="256" priority="129" operator="equal">
      <formula>"apagado"</formula>
    </cfRule>
  </conditionalFormatting>
  <conditionalFormatting sqref="AH120">
    <cfRule type="cellIs" dxfId="255" priority="128" operator="equal">
      <formula>"apagado"</formula>
    </cfRule>
  </conditionalFormatting>
  <conditionalFormatting sqref="AH121">
    <cfRule type="cellIs" dxfId="254" priority="127" operator="equal">
      <formula>"apagado"</formula>
    </cfRule>
  </conditionalFormatting>
  <conditionalFormatting sqref="AH99">
    <cfRule type="cellIs" dxfId="253" priority="126" operator="equal">
      <formula>"apagado"</formula>
    </cfRule>
  </conditionalFormatting>
  <conditionalFormatting sqref="AH94">
    <cfRule type="cellIs" dxfId="252" priority="124" operator="lessThan">
      <formula>0.8</formula>
    </cfRule>
    <cfRule type="cellIs" dxfId="251" priority="125" operator="greaterThan">
      <formula>0.8</formula>
    </cfRule>
  </conditionalFormatting>
  <conditionalFormatting sqref="AH94">
    <cfRule type="notContainsText" dxfId="250" priority="122" operator="notContains" text="Caida">
      <formula>ISERROR(SEARCH("Caida",AH94))</formula>
    </cfRule>
    <cfRule type="containsText" dxfId="249" priority="123" operator="containsText" text="Caida">
      <formula>NOT(ISERROR(SEARCH("Caida",AH94)))</formula>
    </cfRule>
  </conditionalFormatting>
  <conditionalFormatting sqref="AH94">
    <cfRule type="cellIs" dxfId="248" priority="121" operator="equal">
      <formula>"apagado"</formula>
    </cfRule>
  </conditionalFormatting>
  <conditionalFormatting sqref="AH96">
    <cfRule type="cellIs" dxfId="247" priority="120" operator="equal">
      <formula>"apagado"</formula>
    </cfRule>
  </conditionalFormatting>
  <conditionalFormatting sqref="V373:X396 AA373:AH396 N373:N396 AJ373:AJ396">
    <cfRule type="cellIs" dxfId="246" priority="104" operator="lessThan">
      <formula>0.8</formula>
    </cfRule>
    <cfRule type="cellIs" dxfId="245" priority="105" operator="greaterThan">
      <formula>0.8</formula>
    </cfRule>
  </conditionalFormatting>
  <conditionalFormatting sqref="E373:K379">
    <cfRule type="containsText" dxfId="244" priority="103" operator="containsText" text="Radio">
      <formula>NOT(ISERROR(SEARCH("Radio",E373)))</formula>
    </cfRule>
  </conditionalFormatting>
  <conditionalFormatting sqref="O373:O396 V373:X396 AA373:AH396 AR373:AR396 AJ373:AP396">
    <cfRule type="notContainsText" dxfId="243" priority="101" operator="notContains" text="Caida">
      <formula>ISERROR(SEARCH("Caida",O373))</formula>
    </cfRule>
    <cfRule type="containsText" dxfId="242" priority="102" operator="containsText" text="Caida">
      <formula>NOT(ISERROR(SEARCH("Caida",O373)))</formula>
    </cfRule>
  </conditionalFormatting>
  <conditionalFormatting sqref="P373:P396">
    <cfRule type="cellIs" dxfId="241" priority="99" operator="lessThan">
      <formula>0.8</formula>
    </cfRule>
    <cfRule type="cellIs" dxfId="240" priority="100" operator="greaterThan">
      <formula>0.8</formula>
    </cfRule>
  </conditionalFormatting>
  <conditionalFormatting sqref="P373:P396">
    <cfRule type="notContainsText" dxfId="239" priority="97" operator="notContains" text="Caida">
      <formula>ISERROR(SEARCH("Caida",P373))</formula>
    </cfRule>
    <cfRule type="containsText" dxfId="238" priority="98" operator="containsText" text="Caida">
      <formula>NOT(ISERROR(SEARCH("Caida",P373)))</formula>
    </cfRule>
  </conditionalFormatting>
  <conditionalFormatting sqref="Q373:Q396">
    <cfRule type="cellIs" dxfId="237" priority="95" operator="lessThan">
      <formula>0.8</formula>
    </cfRule>
    <cfRule type="cellIs" dxfId="236" priority="96" operator="greaterThan">
      <formula>0.8</formula>
    </cfRule>
  </conditionalFormatting>
  <conditionalFormatting sqref="Q373:Q396">
    <cfRule type="notContainsText" dxfId="235" priority="93" operator="notContains" text="Caida">
      <formula>ISERROR(SEARCH("Caida",Q373))</formula>
    </cfRule>
    <cfRule type="containsText" dxfId="234" priority="94" operator="containsText" text="Caida">
      <formula>NOT(ISERROR(SEARCH("Caida",Q373)))</formula>
    </cfRule>
  </conditionalFormatting>
  <conditionalFormatting sqref="U373:U396">
    <cfRule type="cellIs" dxfId="233" priority="91" operator="lessThan">
      <formula>0.8</formula>
    </cfRule>
    <cfRule type="cellIs" dxfId="232" priority="92" operator="greaterThan">
      <formula>0.8</formula>
    </cfRule>
  </conditionalFormatting>
  <conditionalFormatting sqref="U373:U396">
    <cfRule type="notContainsText" dxfId="231" priority="89" operator="notContains" text="Caida">
      <formula>ISERROR(SEARCH("Caida",U373))</formula>
    </cfRule>
    <cfRule type="containsText" dxfId="230" priority="90" operator="containsText" text="Caida">
      <formula>NOT(ISERROR(SEARCH("Caida",U373)))</formula>
    </cfRule>
  </conditionalFormatting>
  <conditionalFormatting sqref="E373:E379">
    <cfRule type="containsText" dxfId="229" priority="87" operator="containsText" text="fija">
      <formula>NOT(ISERROR(SEARCH("fija",E373)))</formula>
    </cfRule>
    <cfRule type="containsText" dxfId="228" priority="88" operator="containsText" text="domo">
      <formula>NOT(ISERROR(SEARCH("domo",E373)))</formula>
    </cfRule>
  </conditionalFormatting>
  <conditionalFormatting sqref="O373:O396 AK373:AR396">
    <cfRule type="cellIs" dxfId="227" priority="86" operator="equal">
      <formula>"APAGADO"</formula>
    </cfRule>
  </conditionalFormatting>
  <conditionalFormatting sqref="F373:F379">
    <cfRule type="cellIs" dxfId="226" priority="85" operator="equal">
      <formula>"PTP A FO"</formula>
    </cfRule>
  </conditionalFormatting>
  <conditionalFormatting sqref="R373:T396">
    <cfRule type="cellIs" dxfId="225" priority="83" operator="lessThan">
      <formula>0.8</formula>
    </cfRule>
    <cfRule type="cellIs" dxfId="224" priority="84" operator="greaterThan">
      <formula>0.8</formula>
    </cfRule>
  </conditionalFormatting>
  <conditionalFormatting sqref="R373:T396">
    <cfRule type="notContainsText" dxfId="223" priority="81" operator="notContains" text="Caida">
      <formula>ISERROR(SEARCH("Caida",R373))</formula>
    </cfRule>
    <cfRule type="containsText" dxfId="222" priority="82" operator="containsText" text="Caida">
      <formula>NOT(ISERROR(SEARCH("Caida",R373)))</formula>
    </cfRule>
  </conditionalFormatting>
  <conditionalFormatting sqref="AF373:AF396">
    <cfRule type="cellIs" dxfId="221" priority="80" operator="equal">
      <formula>"apagado"</formula>
    </cfRule>
  </conditionalFormatting>
  <conditionalFormatting sqref="AE373:AE396">
    <cfRule type="cellIs" dxfId="220" priority="79" operator="equal">
      <formula>"apagado"</formula>
    </cfRule>
  </conditionalFormatting>
  <conditionalFormatting sqref="AD373:AD396">
    <cfRule type="cellIs" dxfId="219" priority="78" operator="equal">
      <formula>"apagado"</formula>
    </cfRule>
  </conditionalFormatting>
  <conditionalFormatting sqref="AC373:AC396">
    <cfRule type="cellIs" dxfId="218" priority="77" operator="equal">
      <formula>"apagado"</formula>
    </cfRule>
  </conditionalFormatting>
  <conditionalFormatting sqref="AB373:AB396">
    <cfRule type="cellIs" dxfId="217" priority="76" operator="equal">
      <formula>"apagado"</formula>
    </cfRule>
  </conditionalFormatting>
  <conditionalFormatting sqref="AA373:AA396">
    <cfRule type="cellIs" dxfId="216" priority="75" operator="equal">
      <formula>"apagado"</formula>
    </cfRule>
  </conditionalFormatting>
  <conditionalFormatting sqref="AG373:AG396">
    <cfRule type="cellIs" dxfId="215" priority="74" operator="equal">
      <formula>"apagado"</formula>
    </cfRule>
  </conditionalFormatting>
  <conditionalFormatting sqref="AH373:AH396">
    <cfRule type="cellIs" dxfId="214" priority="73" operator="equal">
      <formula>"apagado"</formula>
    </cfRule>
  </conditionalFormatting>
  <conditionalFormatting sqref="AJ373:AJ396">
    <cfRule type="cellIs" dxfId="213" priority="71" operator="equal">
      <formula>"apagado"</formula>
    </cfRule>
  </conditionalFormatting>
  <conditionalFormatting sqref="AQ373:AQ396">
    <cfRule type="notContainsText" dxfId="212" priority="69" operator="notContains" text="Caida">
      <formula>ISERROR(SEARCH("Caida",AQ373))</formula>
    </cfRule>
    <cfRule type="containsText" dxfId="211" priority="70" operator="containsText" text="Caida">
      <formula>NOT(ISERROR(SEARCH("Caida",AQ373)))</formula>
    </cfRule>
  </conditionalFormatting>
  <conditionalFormatting sqref="AQ373:AQ396">
    <cfRule type="cellIs" dxfId="210" priority="68" operator="equal">
      <formula>"apagado"</formula>
    </cfRule>
  </conditionalFormatting>
  <conditionalFormatting sqref="O373:X396 AA373:AH396 AJ373:AR396">
    <cfRule type="cellIs" dxfId="209" priority="67" operator="equal">
      <formula>"APAGADO"</formula>
    </cfRule>
  </conditionalFormatting>
  <conditionalFormatting sqref="Y373:Y396">
    <cfRule type="cellIs" dxfId="208" priority="65" operator="lessThan">
      <formula>0.8</formula>
    </cfRule>
    <cfRule type="cellIs" dxfId="207" priority="66" operator="greaterThan">
      <formula>0.8</formula>
    </cfRule>
  </conditionalFormatting>
  <conditionalFormatting sqref="Y373:Y396">
    <cfRule type="notContainsText" dxfId="206" priority="63" operator="notContains" text="Caida">
      <formula>ISERROR(SEARCH("Caida",Y373))</formula>
    </cfRule>
    <cfRule type="containsText" dxfId="205" priority="64" operator="containsText" text="Caida">
      <formula>NOT(ISERROR(SEARCH("Caida",Y373)))</formula>
    </cfRule>
  </conditionalFormatting>
  <conditionalFormatting sqref="Y373:Y396">
    <cfRule type="cellIs" dxfId="204" priority="62" operator="equal">
      <formula>"APAGADO"</formula>
    </cfRule>
  </conditionalFormatting>
  <conditionalFormatting sqref="Y373:Y396">
    <cfRule type="cellIs" dxfId="203" priority="61" operator="equal">
      <formula>"apagado"</formula>
    </cfRule>
  </conditionalFormatting>
  <conditionalFormatting sqref="Z373:Z396">
    <cfRule type="cellIs" dxfId="202" priority="59" operator="lessThan">
      <formula>0.8</formula>
    </cfRule>
    <cfRule type="cellIs" dxfId="201" priority="60" operator="greaterThan">
      <formula>0.8</formula>
    </cfRule>
  </conditionalFormatting>
  <conditionalFormatting sqref="Z373:Z396">
    <cfRule type="notContainsText" dxfId="200" priority="57" operator="notContains" text="Caida">
      <formula>ISERROR(SEARCH("Caida",Z373))</formula>
    </cfRule>
    <cfRule type="containsText" dxfId="199" priority="58" operator="containsText" text="Caida">
      <formula>NOT(ISERROR(SEARCH("Caida",Z373)))</formula>
    </cfRule>
  </conditionalFormatting>
  <conditionalFormatting sqref="Z373:Z396">
    <cfRule type="cellIs" dxfId="198" priority="56" operator="equal">
      <formula>"APAGADO"</formula>
    </cfRule>
  </conditionalFormatting>
  <conditionalFormatting sqref="Z373:Z396">
    <cfRule type="cellIs" dxfId="197" priority="55" operator="equal">
      <formula>"apagado"</formula>
    </cfRule>
  </conditionalFormatting>
  <conditionalFormatting sqref="AS95:AS369">
    <cfRule type="cellIs" dxfId="196" priority="53" operator="lessThan">
      <formula>0.8</formula>
    </cfRule>
    <cfRule type="cellIs" dxfId="195" priority="54" operator="greaterThan">
      <formula>0.8</formula>
    </cfRule>
  </conditionalFormatting>
  <conditionalFormatting sqref="AS95:AS372">
    <cfRule type="notContainsText" dxfId="194" priority="51" operator="notContains" text="Caida">
      <formula>ISERROR(SEARCH("Caida",AS95))</formula>
    </cfRule>
    <cfRule type="containsText" dxfId="193" priority="52" operator="containsText" text="Caida">
      <formula>NOT(ISERROR(SEARCH("Caida",AS95)))</formula>
    </cfRule>
  </conditionalFormatting>
  <conditionalFormatting sqref="AS22">
    <cfRule type="containsText" dxfId="192" priority="50" operator="containsText" text="Instaladas en Funcionamiento Caida">
      <formula>NOT(ISERROR(SEARCH("Instaladas en Funcionamiento Caida",AS22)))</formula>
    </cfRule>
  </conditionalFormatting>
  <conditionalFormatting sqref="AS5">
    <cfRule type="cellIs" dxfId="191" priority="48" operator="lessThan">
      <formula>0.8</formula>
    </cfRule>
    <cfRule type="cellIs" dxfId="190" priority="49" operator="greaterThan">
      <formula>0.8</formula>
    </cfRule>
  </conditionalFormatting>
  <conditionalFormatting sqref="AS5">
    <cfRule type="notContainsText" dxfId="189" priority="46" operator="notContains" text="Caida">
      <formula>ISERROR(SEARCH("Caida",AS5))</formula>
    </cfRule>
    <cfRule type="containsText" dxfId="188" priority="47" operator="containsText" text="Caida">
      <formula>NOT(ISERROR(SEARCH("Caida",AS5)))</formula>
    </cfRule>
  </conditionalFormatting>
  <conditionalFormatting sqref="AS1 AS5:AS372">
    <cfRule type="cellIs" dxfId="187" priority="45" operator="equal">
      <formula>"APAGADO"</formula>
    </cfRule>
  </conditionalFormatting>
  <conditionalFormatting sqref="AS6:AS92">
    <cfRule type="cellIs" dxfId="186" priority="43" operator="lessThan">
      <formula>0.8</formula>
    </cfRule>
    <cfRule type="cellIs" dxfId="185" priority="44" operator="greaterThan">
      <formula>0.8</formula>
    </cfRule>
  </conditionalFormatting>
  <conditionalFormatting sqref="AS6:AS92">
    <cfRule type="notContainsText" dxfId="184" priority="41" operator="notContains" text="Caida">
      <formula>ISERROR(SEARCH("Caida",AS6))</formula>
    </cfRule>
    <cfRule type="containsText" dxfId="183" priority="42" operator="containsText" text="Caida">
      <formula>NOT(ISERROR(SEARCH("Caida",AS6)))</formula>
    </cfRule>
  </conditionalFormatting>
  <conditionalFormatting sqref="AS93:AS94">
    <cfRule type="cellIs" dxfId="182" priority="39" operator="lessThan">
      <formula>0.8</formula>
    </cfRule>
    <cfRule type="cellIs" dxfId="181" priority="40" operator="greaterThan">
      <formula>0.8</formula>
    </cfRule>
  </conditionalFormatting>
  <conditionalFormatting sqref="AS93:AS94">
    <cfRule type="notContainsText" dxfId="180" priority="37" operator="notContains" text="Caida">
      <formula>ISERROR(SEARCH("Caida",AS93))</formula>
    </cfRule>
    <cfRule type="containsText" dxfId="179" priority="38" operator="containsText" text="Caida">
      <formula>NOT(ISERROR(SEARCH("Caida",AS93)))</formula>
    </cfRule>
  </conditionalFormatting>
  <conditionalFormatting sqref="AS5:AS372">
    <cfRule type="cellIs" dxfId="178" priority="36" operator="equal">
      <formula>"APAGADO"</formula>
    </cfRule>
  </conditionalFormatting>
  <conditionalFormatting sqref="AS373:AS396">
    <cfRule type="notContainsText" dxfId="177" priority="34" operator="notContains" text="Caida">
      <formula>ISERROR(SEARCH("Caida",AS373))</formula>
    </cfRule>
    <cfRule type="containsText" dxfId="176" priority="35" operator="containsText" text="Caida">
      <formula>NOT(ISERROR(SEARCH("Caida",AS373)))</formula>
    </cfRule>
  </conditionalFormatting>
  <conditionalFormatting sqref="AS373:AS396">
    <cfRule type="cellIs" dxfId="175" priority="33" operator="equal">
      <formula>"APAGADO"</formula>
    </cfRule>
  </conditionalFormatting>
  <conditionalFormatting sqref="AS373:AS396">
    <cfRule type="cellIs" dxfId="174" priority="32" operator="equal">
      <formula>"APAGADO"</formula>
    </cfRule>
  </conditionalFormatting>
  <conditionalFormatting sqref="F1:F1048576">
    <cfRule type="cellIs" dxfId="173" priority="31" operator="equal">
      <formula>"PTP A FO"</formula>
    </cfRule>
    <cfRule type="cellIs" dxfId="172" priority="30" operator="equal">
      <formula>$F$7</formula>
    </cfRule>
  </conditionalFormatting>
  <conditionalFormatting sqref="E1:E1048576">
    <cfRule type="cellIs" dxfId="171" priority="29" operator="equal">
      <formula>$E$5</formula>
    </cfRule>
  </conditionalFormatting>
  <conditionalFormatting sqref="C1:C1048576">
    <cfRule type="cellIs" dxfId="170" priority="28" operator="equal">
      <formula>$C$182</formula>
    </cfRule>
    <cfRule type="cellIs" dxfId="169" priority="27" operator="equal">
      <formula>$C$194</formula>
    </cfRule>
  </conditionalFormatting>
  <conditionalFormatting sqref="AI96:AI372">
    <cfRule type="cellIs" dxfId="168" priority="25" operator="lessThan">
      <formula>0.8</formula>
    </cfRule>
    <cfRule type="cellIs" dxfId="167" priority="26" operator="greaterThan">
      <formula>0.8</formula>
    </cfRule>
  </conditionalFormatting>
  <conditionalFormatting sqref="AI96:AI372">
    <cfRule type="notContainsText" dxfId="166" priority="23" operator="notContains" text="Caida">
      <formula>ISERROR(SEARCH("Caida",AI96))</formula>
    </cfRule>
    <cfRule type="containsText" dxfId="165" priority="24" operator="containsText" text="Caida">
      <formula>NOT(ISERROR(SEARCH("Caida",AI96)))</formula>
    </cfRule>
  </conditionalFormatting>
  <conditionalFormatting sqref="AI22">
    <cfRule type="containsText" dxfId="164" priority="22" operator="containsText" text="Instaladas en Funcionamiento Caida">
      <formula>NOT(ISERROR(SEARCH("Instaladas en Funcionamiento Caida",AI22)))</formula>
    </cfRule>
  </conditionalFormatting>
  <conditionalFormatting sqref="AI5">
    <cfRule type="cellIs" dxfId="163" priority="20" operator="lessThan">
      <formula>0.8</formula>
    </cfRule>
    <cfRule type="cellIs" dxfId="162" priority="21" operator="greaterThan">
      <formula>0.8</formula>
    </cfRule>
  </conditionalFormatting>
  <conditionalFormatting sqref="AI5">
    <cfRule type="notContainsText" dxfId="161" priority="18" operator="notContains" text="Caida">
      <formula>ISERROR(SEARCH("Caida",AI5))</formula>
    </cfRule>
    <cfRule type="containsText" dxfId="160" priority="19" operator="containsText" text="Caida">
      <formula>NOT(ISERROR(SEARCH("Caida",AI5)))</formula>
    </cfRule>
  </conditionalFormatting>
  <conditionalFormatting sqref="AI5:AI369">
    <cfRule type="cellIs" dxfId="159" priority="17" operator="equal">
      <formula>"APAGADO"</formula>
    </cfRule>
  </conditionalFormatting>
  <conditionalFormatting sqref="AI6:AI92">
    <cfRule type="cellIs" dxfId="158" priority="15" operator="lessThan">
      <formula>0.8</formula>
    </cfRule>
    <cfRule type="cellIs" dxfId="157" priority="16" operator="greaterThan">
      <formula>0.8</formula>
    </cfRule>
  </conditionalFormatting>
  <conditionalFormatting sqref="AI6:AI92">
    <cfRule type="notContainsText" dxfId="156" priority="13" operator="notContains" text="Caida">
      <formula>ISERROR(SEARCH("Caida",AI6))</formula>
    </cfRule>
    <cfRule type="containsText" dxfId="155" priority="14" operator="containsText" text="Caida">
      <formula>NOT(ISERROR(SEARCH("Caida",AI6)))</formula>
    </cfRule>
  </conditionalFormatting>
  <conditionalFormatting sqref="AI93:AI95">
    <cfRule type="cellIs" dxfId="154" priority="11" operator="lessThan">
      <formula>0.8</formula>
    </cfRule>
    <cfRule type="cellIs" dxfId="153" priority="12" operator="greaterThan">
      <formula>0.8</formula>
    </cfRule>
  </conditionalFormatting>
  <conditionalFormatting sqref="AI93:AI95">
    <cfRule type="notContainsText" dxfId="152" priority="9" operator="notContains" text="Caida">
      <formula>ISERROR(SEARCH("Caida",AI93))</formula>
    </cfRule>
    <cfRule type="containsText" dxfId="151" priority="10" operator="containsText" text="Caida">
      <formula>NOT(ISERROR(SEARCH("Caida",AI93)))</formula>
    </cfRule>
  </conditionalFormatting>
  <conditionalFormatting sqref="AI5:AI372">
    <cfRule type="cellIs" dxfId="150" priority="8" operator="equal">
      <formula>"apagado"</formula>
    </cfRule>
  </conditionalFormatting>
  <conditionalFormatting sqref="AI5:AI372">
    <cfRule type="cellIs" dxfId="149" priority="7" operator="equal">
      <formula>"APAGADO"</formula>
    </cfRule>
  </conditionalFormatting>
  <conditionalFormatting sqref="AI373:AI396">
    <cfRule type="cellIs" dxfId="148" priority="5" operator="lessThan">
      <formula>0.8</formula>
    </cfRule>
    <cfRule type="cellIs" dxfId="147" priority="6" operator="greaterThan">
      <formula>0.8</formula>
    </cfRule>
  </conditionalFormatting>
  <conditionalFormatting sqref="AI373:AI396">
    <cfRule type="notContainsText" dxfId="146" priority="3" operator="notContains" text="Caida">
      <formula>ISERROR(SEARCH("Caida",AI373))</formula>
    </cfRule>
    <cfRule type="containsText" dxfId="145" priority="4" operator="containsText" text="Caida">
      <formula>NOT(ISERROR(SEARCH("Caida",AI373)))</formula>
    </cfRule>
  </conditionalFormatting>
  <conditionalFormatting sqref="AI373:AI396">
    <cfRule type="cellIs" dxfId="144" priority="2" operator="equal">
      <formula>"apagado"</formula>
    </cfRule>
  </conditionalFormatting>
  <conditionalFormatting sqref="AI373:AI396">
    <cfRule type="cellIs" dxfId="143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3" workbookViewId="0">
      <selection activeCell="A374" sqref="A374:S399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44774</v>
      </c>
      <c r="G1" s="25">
        <f>'RESUMEN TOTAL'!P4</f>
        <v>44775</v>
      </c>
      <c r="H1" s="25">
        <f>'RESUMEN TOTAL'!Q4</f>
        <v>44776</v>
      </c>
      <c r="I1" s="25">
        <f>'RESUMEN TOTAL'!R4</f>
        <v>44777</v>
      </c>
      <c r="J1" s="25">
        <f>'RESUMEN TOTAL'!S4</f>
        <v>44778</v>
      </c>
      <c r="K1" s="25">
        <f>'RESUMEN TOTAL'!T4</f>
        <v>44779</v>
      </c>
      <c r="L1" s="25">
        <f>'RESUMEN TOTAL'!U4</f>
        <v>44780</v>
      </c>
      <c r="M1" s="25">
        <f>'RESUMEN TOTAL'!V4</f>
        <v>44781</v>
      </c>
      <c r="N1" s="25">
        <f>'RESUMEN TOTAL'!W4</f>
        <v>44782</v>
      </c>
      <c r="O1" s="25">
        <f>'RESUMEN TOTAL'!X4</f>
        <v>44783</v>
      </c>
      <c r="P1" s="25">
        <f>'RESUMEN TOTAL'!Y4</f>
        <v>44784</v>
      </c>
      <c r="Q1" s="25">
        <f>'RESUMEN TOTAL'!Z4</f>
        <v>44785</v>
      </c>
      <c r="R1" s="25">
        <f>'RESUMEN TOTAL'!AA4</f>
        <v>44786</v>
      </c>
      <c r="S1" s="25">
        <f>'RESUMEN TOTAL'!AB4</f>
        <v>44787</v>
      </c>
      <c r="T1" s="25">
        <f>'RESUMEN TOTAL'!AC4</f>
        <v>44788</v>
      </c>
      <c r="U1" s="25">
        <f>'RESUMEN TOTAL'!AD4</f>
        <v>44789</v>
      </c>
      <c r="V1" s="25">
        <f>'RESUMEN TOTAL'!AE4</f>
        <v>44790</v>
      </c>
      <c r="W1" s="25">
        <f>'RESUMEN TOTAL'!AF4</f>
        <v>44791</v>
      </c>
      <c r="X1" s="25">
        <f>'RESUMEN TOTAL'!AG4</f>
        <v>44792</v>
      </c>
      <c r="Y1" s="25">
        <f>'RESUMEN TOTAL'!AH4</f>
        <v>44793</v>
      </c>
      <c r="Z1" s="25">
        <f>'RESUMEN TOTAL'!AI4</f>
        <v>44794</v>
      </c>
      <c r="AA1" s="25">
        <f>'RESUMEN TOTAL'!AJ4</f>
        <v>44795</v>
      </c>
      <c r="AB1" s="25">
        <f>'RESUMEN TOTAL'!AK4</f>
        <v>44796</v>
      </c>
      <c r="AC1" s="25">
        <f>'RESUMEN TOTAL'!AL4</f>
        <v>44797</v>
      </c>
      <c r="AD1" s="25">
        <f>'RESUMEN TOTAL'!AM4</f>
        <v>44798</v>
      </c>
      <c r="AE1" s="25">
        <f>'RESUMEN TOTAL'!AN4</f>
        <v>44799</v>
      </c>
      <c r="AF1" s="25">
        <f>'RESUMEN TOTAL'!AO4</f>
        <v>44800</v>
      </c>
      <c r="AG1" s="25">
        <f>'RESUMEN TOTAL'!AP4</f>
        <v>44801</v>
      </c>
      <c r="AH1" s="25">
        <f>'RESUMEN TOTAL'!AQ4</f>
        <v>44802</v>
      </c>
      <c r="AI1" s="25">
        <f>'RESUMEN TOTAL'!AR4</f>
        <v>44803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 t="str">
        <f>'RESUMEN TOTAL'!P15</f>
        <v>APAGADO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 t="str">
        <f>'RESUMEN TOTAL'!P16</f>
        <v>APAGADO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TOTAL'!O31</f>
        <v>APAGADO</v>
      </c>
      <c r="G28" t="str">
        <f>'RESUMEN TOTAL'!P31</f>
        <v>APAGADO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TOTAL'!O34</f>
        <v>APAGADO</v>
      </c>
      <c r="G31" t="str">
        <f>'RESUMEN TOTAL'!P34</f>
        <v>APAGADO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TOTAL'!O67</f>
        <v>APAGADO</v>
      </c>
      <c r="G64" t="str">
        <f>'RESUMEN TOTAL'!P67</f>
        <v>APAGADO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>
        <f>'RESUMEN TOTAL'!Q80</f>
        <v>0</v>
      </c>
      <c r="I77">
        <f>'RESUMEN TOTAL'!R80</f>
        <v>0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TOTAL'!O87</f>
        <v>APAGADO</v>
      </c>
      <c r="G84" t="str">
        <f>'RESUMEN TOTAL'!P87</f>
        <v>APAGADO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TOTAL'!O128</f>
        <v>APAGADO</v>
      </c>
      <c r="G125" t="str">
        <f>'RESUMEN TOTAL'!P128</f>
        <v>APAGADO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TOTAL'!O129</f>
        <v>APAGADO</v>
      </c>
      <c r="G126" t="str">
        <f>'RESUMEN TOTAL'!P129</f>
        <v>APAGADO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TOTAL'!O133</f>
        <v>0</v>
      </c>
      <c r="G130">
        <f>'RESUMEN TOTAL'!P133</f>
        <v>0</v>
      </c>
      <c r="H130">
        <f>'RESUMEN TOTAL'!Q133</f>
        <v>0</v>
      </c>
      <c r="I130">
        <f>'RESUMEN TOTAL'!R133</f>
        <v>0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TOTAL'!O134</f>
        <v>APAGADO</v>
      </c>
      <c r="G131" t="str">
        <f>'RESUMEN TOTAL'!P134</f>
        <v>APAGADO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TOTAL'!O157</f>
        <v>APAGADO</v>
      </c>
      <c r="G154" t="str">
        <f>'RESUMEN TOTAL'!P157</f>
        <v>APAGADO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TOTAL'!O158</f>
        <v>APAGADO</v>
      </c>
      <c r="G155" t="str">
        <f>'RESUMEN TOTAL'!P158</f>
        <v>APAGADO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TOTAL'!O162</f>
        <v>APAGADO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TOTAL'!O163</f>
        <v>APAGADO</v>
      </c>
      <c r="G160" t="str">
        <f>'RESUMEN TOTAL'!P163</f>
        <v>APAGADO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TOTAL'!O166</f>
        <v>APAGADO</v>
      </c>
      <c r="G163" t="str">
        <f>'RESUMEN TOTAL'!P166</f>
        <v>APAGADO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 t="str">
        <f>'RESUMEN TOTAL'!P199</f>
        <v>APAGADO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 t="str">
        <f>'RESUMEN TOTAL'!P200</f>
        <v>APAGADO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TOTAL'!O206</f>
        <v>0</v>
      </c>
      <c r="G203">
        <f>'RESUMEN TOTAL'!P206</f>
        <v>0</v>
      </c>
      <c r="H203">
        <f>'RESUMEN TOTAL'!Q206</f>
        <v>0</v>
      </c>
      <c r="I203">
        <f>'RESUMEN TOTAL'!R206</f>
        <v>0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TOTAL'!O210</f>
        <v>APAGADO</v>
      </c>
      <c r="G207" t="str">
        <f>'RESUMEN TOTAL'!P210</f>
        <v>APAGADO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TOTAL'!O215</f>
        <v>APAGADO</v>
      </c>
      <c r="G212" t="str">
        <f>'RESUMEN TOTAL'!P215</f>
        <v>APAGADO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TOTAL'!O216</f>
        <v>APAGADO</v>
      </c>
      <c r="G213" t="str">
        <f>'RESUMEN TOTAL'!P216</f>
        <v>APAGADO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TOTAL'!O225</f>
        <v>APAGADO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TOTAL'!O244</f>
        <v>APAGADO</v>
      </c>
      <c r="G241" t="str">
        <f>'RESUMEN TOTAL'!P244</f>
        <v>APAGADO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 t="str">
        <f>'RESUMEN TOTAL'!P245</f>
        <v>APAGADO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TOTAL'!O255</f>
        <v>APAGADO</v>
      </c>
      <c r="G252" t="str">
        <f>'RESUMEN TOTAL'!P255</f>
        <v>APAGADO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 t="str">
        <f>'RESUMEN TOTAL'!P262</f>
        <v>APAGADO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 t="str">
        <f>'RESUMEN TOTAL'!P267</f>
        <v>APAGADO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 t="str">
        <f>'RESUMEN TOTAL'!P269</f>
        <v>APAGADO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 t="str">
        <f>'RESUMEN TOTAL'!P270</f>
        <v>APAGADO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TOTAL'!O290</f>
        <v>APAGADO</v>
      </c>
      <c r="G287" t="str">
        <f>'RESUMEN TOTAL'!P290</f>
        <v>APAGADO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TOTAL'!O291</f>
        <v>APAGADO</v>
      </c>
      <c r="G288" t="str">
        <f>'RESUMEN TOTAL'!P291</f>
        <v>APAGADO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TOTAL'!O292</f>
        <v>APAGADO</v>
      </c>
      <c r="G289" t="str">
        <f>'RESUMEN TOTAL'!P292</f>
        <v>APAGADO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TOTAL'!O302</f>
        <v>APAGADO</v>
      </c>
      <c r="G299" t="str">
        <f>'RESUMEN TOTAL'!P302</f>
        <v>APAGADO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TOTAL'!O327</f>
        <v>APAGADO</v>
      </c>
      <c r="G324" t="str">
        <f>'RESUMEN TOTAL'!P327</f>
        <v>APAGADO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TOTAL'!O328</f>
        <v>APAGADO</v>
      </c>
      <c r="G325" t="str">
        <f>'RESUMEN TOTAL'!P328</f>
        <v>APAGADO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TOTAL'!O348</f>
        <v>APAGADO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TOTAL'!O356</f>
        <v>APAGADO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TOTAL'!O357</f>
        <v>APAGADO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  <row r="375" spans="1:35" x14ac:dyDescent="0.25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TOTAL'!O378</f>
        <v>0</v>
      </c>
      <c r="G375" s="51">
        <f>'RESUMEN TOTAL'!P378</f>
        <v>0</v>
      </c>
      <c r="H375" s="51">
        <f>'RESUMEN TOTAL'!Q378</f>
        <v>0</v>
      </c>
      <c r="I375" s="51">
        <f>'RESUMEN TOTAL'!R378</f>
        <v>0</v>
      </c>
      <c r="J375" s="51">
        <f>'RESUMEN TOTAL'!S378</f>
        <v>0</v>
      </c>
      <c r="K375" s="51">
        <f>'RESUMEN TOTAL'!T378</f>
        <v>0</v>
      </c>
      <c r="L375" s="51">
        <f>'RESUMEN TOTAL'!U378</f>
        <v>0</v>
      </c>
      <c r="M375" s="51">
        <f>'RESUMEN TOTAL'!V378</f>
        <v>0</v>
      </c>
      <c r="N375" s="51">
        <f>'RESUMEN TOTAL'!W378</f>
        <v>0</v>
      </c>
      <c r="O375" s="51">
        <f>'RESUMEN TOTAL'!X378</f>
        <v>0</v>
      </c>
      <c r="P375" s="51">
        <f>'RESUMEN TOTAL'!Y378</f>
        <v>0</v>
      </c>
      <c r="Q375" s="51">
        <f>'RESUMEN TOTAL'!Z378</f>
        <v>0</v>
      </c>
      <c r="R375" s="51">
        <f>'RESUMEN TOTAL'!AA378</f>
        <v>0</v>
      </c>
      <c r="S375" s="51">
        <f>'RESUMEN TOTAL'!AB378</f>
        <v>0</v>
      </c>
      <c r="T375" s="51">
        <f>'RESUMEN TOTAL'!AC378</f>
        <v>0</v>
      </c>
      <c r="U375" s="51">
        <f>'RESUMEN TOTAL'!AD378</f>
        <v>0</v>
      </c>
      <c r="V375" s="51">
        <f>'RESUMEN TOTAL'!AE378</f>
        <v>0</v>
      </c>
      <c r="W375" s="51">
        <f>'RESUMEN TOTAL'!AF378</f>
        <v>0</v>
      </c>
      <c r="X375" s="51">
        <f>'RESUMEN TOTAL'!AG378</f>
        <v>0</v>
      </c>
      <c r="Y375" s="51">
        <f>'RESUMEN TOTAL'!AH378</f>
        <v>0</v>
      </c>
      <c r="Z375" s="51">
        <f>'RESUMEN TOTAL'!AI378</f>
        <v>0</v>
      </c>
      <c r="AA375" s="51">
        <f>'RESUMEN TOTAL'!AJ378</f>
        <v>0</v>
      </c>
      <c r="AB375" s="51">
        <f>'RESUMEN TOTAL'!AK378</f>
        <v>0</v>
      </c>
      <c r="AC375" s="51">
        <f>'RESUMEN TOTAL'!AL378</f>
        <v>0</v>
      </c>
      <c r="AD375" s="51">
        <f>'RESUMEN TOTAL'!AM378</f>
        <v>0</v>
      </c>
      <c r="AE375" s="51">
        <f>'RESUMEN TOTAL'!AN378</f>
        <v>0</v>
      </c>
      <c r="AF375" s="51">
        <f>'RESUMEN TOTAL'!AO378</f>
        <v>0</v>
      </c>
      <c r="AG375" s="51">
        <f>'RESUMEN TOTAL'!AP378</f>
        <v>0</v>
      </c>
      <c r="AH375" s="51">
        <f>'RESUMEN TOTAL'!AQ378</f>
        <v>0</v>
      </c>
      <c r="AI375" s="51">
        <f>'RESUMEN TOTAL'!AR378</f>
        <v>0</v>
      </c>
    </row>
    <row r="376" spans="1:35" x14ac:dyDescent="0.25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TOTAL'!O379</f>
        <v>0</v>
      </c>
      <c r="G376" s="51">
        <f>'RESUMEN TOTAL'!P379</f>
        <v>0</v>
      </c>
      <c r="H376" s="51">
        <f>'RESUMEN TOTAL'!Q379</f>
        <v>0</v>
      </c>
      <c r="I376" s="51">
        <f>'RESUMEN TOTAL'!R379</f>
        <v>0</v>
      </c>
      <c r="J376" s="51">
        <f>'RESUMEN TOTAL'!S379</f>
        <v>0</v>
      </c>
      <c r="K376" s="51">
        <f>'RESUMEN TOTAL'!T379</f>
        <v>0</v>
      </c>
      <c r="L376" s="51">
        <f>'RESUMEN TOTAL'!U379</f>
        <v>0</v>
      </c>
      <c r="M376" s="51">
        <f>'RESUMEN TOTAL'!V379</f>
        <v>0</v>
      </c>
      <c r="N376" s="51">
        <f>'RESUMEN TOTAL'!W379</f>
        <v>0</v>
      </c>
      <c r="O376" s="51">
        <f>'RESUMEN TOTAL'!X379</f>
        <v>0</v>
      </c>
      <c r="P376" s="51">
        <f>'RESUMEN TOTAL'!Y379</f>
        <v>0</v>
      </c>
      <c r="Q376" s="51">
        <f>'RESUMEN TOTAL'!Z379</f>
        <v>0</v>
      </c>
      <c r="R376" s="51">
        <f>'RESUMEN TOTAL'!AA379</f>
        <v>0</v>
      </c>
      <c r="S376" s="51">
        <f>'RESUMEN TOTAL'!AB379</f>
        <v>0</v>
      </c>
      <c r="T376" s="51">
        <f>'RESUMEN TOTAL'!AC379</f>
        <v>0</v>
      </c>
      <c r="U376" s="51">
        <f>'RESUMEN TOTAL'!AD379</f>
        <v>0</v>
      </c>
      <c r="V376" s="51">
        <f>'RESUMEN TOTAL'!AE379</f>
        <v>0</v>
      </c>
      <c r="W376" s="51">
        <f>'RESUMEN TOTAL'!AF379</f>
        <v>0</v>
      </c>
      <c r="X376" s="51">
        <f>'RESUMEN TOTAL'!AG379</f>
        <v>0</v>
      </c>
      <c r="Y376" s="51">
        <f>'RESUMEN TOTAL'!AH379</f>
        <v>0</v>
      </c>
      <c r="Z376" s="51">
        <f>'RESUMEN TOTAL'!AI379</f>
        <v>0</v>
      </c>
      <c r="AA376" s="51">
        <f>'RESUMEN TOTAL'!AJ379</f>
        <v>0</v>
      </c>
      <c r="AB376" s="51">
        <f>'RESUMEN TOTAL'!AK379</f>
        <v>0</v>
      </c>
      <c r="AC376" s="51">
        <f>'RESUMEN TOTAL'!AL379</f>
        <v>0</v>
      </c>
      <c r="AD376" s="51">
        <f>'RESUMEN TOTAL'!AM379</f>
        <v>0</v>
      </c>
      <c r="AE376" s="51">
        <f>'RESUMEN TOTAL'!AN379</f>
        <v>0</v>
      </c>
      <c r="AF376" s="51">
        <f>'RESUMEN TOTAL'!AO379</f>
        <v>0</v>
      </c>
      <c r="AG376" s="51">
        <f>'RESUMEN TOTAL'!AP379</f>
        <v>0</v>
      </c>
      <c r="AH376" s="51">
        <f>'RESUMEN TOTAL'!AQ379</f>
        <v>0</v>
      </c>
      <c r="AI376" s="51">
        <f>'RESUMEN TOTAL'!AR379</f>
        <v>0</v>
      </c>
    </row>
    <row r="377" spans="1:35" x14ac:dyDescent="0.25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TOTAL'!O380</f>
        <v>0</v>
      </c>
      <c r="G377" s="51">
        <f>'RESUMEN TOTAL'!P380</f>
        <v>0</v>
      </c>
      <c r="H377" s="51">
        <f>'RESUMEN TOTAL'!Q380</f>
        <v>0</v>
      </c>
      <c r="I377" s="51">
        <f>'RESUMEN TOTAL'!R380</f>
        <v>0</v>
      </c>
      <c r="J377" s="51">
        <f>'RESUMEN TOTAL'!S380</f>
        <v>0</v>
      </c>
      <c r="K377" s="51">
        <f>'RESUMEN TOTAL'!T380</f>
        <v>0</v>
      </c>
      <c r="L377" s="51">
        <f>'RESUMEN TOTAL'!U380</f>
        <v>0</v>
      </c>
      <c r="M377" s="51">
        <f>'RESUMEN TOTAL'!V380</f>
        <v>0</v>
      </c>
      <c r="N377" s="51">
        <f>'RESUMEN TOTAL'!W380</f>
        <v>0</v>
      </c>
      <c r="O377" s="51">
        <f>'RESUMEN TOTAL'!X380</f>
        <v>0</v>
      </c>
      <c r="P377" s="51">
        <f>'RESUMEN TOTAL'!Y380</f>
        <v>0</v>
      </c>
      <c r="Q377" s="51">
        <f>'RESUMEN TOTAL'!Z380</f>
        <v>0</v>
      </c>
      <c r="R377" s="51">
        <f>'RESUMEN TOTAL'!AA380</f>
        <v>0</v>
      </c>
      <c r="S377" s="51">
        <f>'RESUMEN TOTAL'!AB380</f>
        <v>0</v>
      </c>
      <c r="T377" s="51">
        <f>'RESUMEN TOTAL'!AC380</f>
        <v>0</v>
      </c>
      <c r="U377" s="51">
        <f>'RESUMEN TOTAL'!AD380</f>
        <v>0</v>
      </c>
      <c r="V377" s="51">
        <f>'RESUMEN TOTAL'!AE380</f>
        <v>0</v>
      </c>
      <c r="W377" s="51">
        <f>'RESUMEN TOTAL'!AF380</f>
        <v>0</v>
      </c>
      <c r="X377" s="51">
        <f>'RESUMEN TOTAL'!AG380</f>
        <v>0</v>
      </c>
      <c r="Y377" s="51">
        <f>'RESUMEN TOTAL'!AH380</f>
        <v>0</v>
      </c>
      <c r="Z377" s="51">
        <f>'RESUMEN TOTAL'!AI380</f>
        <v>0</v>
      </c>
      <c r="AA377" s="51">
        <f>'RESUMEN TOTAL'!AJ380</f>
        <v>0</v>
      </c>
      <c r="AB377" s="51">
        <f>'RESUMEN TOTAL'!AK380</f>
        <v>0</v>
      </c>
      <c r="AC377" s="51">
        <f>'RESUMEN TOTAL'!AL380</f>
        <v>0</v>
      </c>
      <c r="AD377" s="51">
        <f>'RESUMEN TOTAL'!AM380</f>
        <v>0</v>
      </c>
      <c r="AE377" s="51">
        <f>'RESUMEN TOTAL'!AN380</f>
        <v>0</v>
      </c>
      <c r="AF377" s="51">
        <f>'RESUMEN TOTAL'!AO380</f>
        <v>0</v>
      </c>
      <c r="AG377" s="51">
        <f>'RESUMEN TOTAL'!AP380</f>
        <v>0</v>
      </c>
      <c r="AH377" s="51">
        <f>'RESUMEN TOTAL'!AQ380</f>
        <v>0</v>
      </c>
      <c r="AI377" s="51">
        <f>'RESUMEN TOTAL'!AR380</f>
        <v>0</v>
      </c>
    </row>
    <row r="378" spans="1:35" x14ac:dyDescent="0.25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TOTAL'!O381</f>
        <v>0</v>
      </c>
      <c r="G378" s="51">
        <f>'RESUMEN TOTAL'!P381</f>
        <v>0</v>
      </c>
      <c r="H378" s="51">
        <f>'RESUMEN TOTAL'!Q381</f>
        <v>0</v>
      </c>
      <c r="I378" s="51">
        <f>'RESUMEN TOTAL'!R381</f>
        <v>0</v>
      </c>
      <c r="J378" s="51">
        <f>'RESUMEN TOTAL'!S381</f>
        <v>0</v>
      </c>
      <c r="K378" s="51">
        <f>'RESUMEN TOTAL'!T381</f>
        <v>0</v>
      </c>
      <c r="L378" s="51">
        <f>'RESUMEN TOTAL'!U381</f>
        <v>0</v>
      </c>
      <c r="M378" s="51">
        <f>'RESUMEN TOTAL'!V381</f>
        <v>0</v>
      </c>
      <c r="N378" s="51">
        <f>'RESUMEN TOTAL'!W381</f>
        <v>0</v>
      </c>
      <c r="O378" s="51">
        <f>'RESUMEN TOTAL'!X381</f>
        <v>0</v>
      </c>
      <c r="P378" s="51">
        <f>'RESUMEN TOTAL'!Y381</f>
        <v>0</v>
      </c>
      <c r="Q378" s="51">
        <f>'RESUMEN TOTAL'!Z381</f>
        <v>0</v>
      </c>
      <c r="R378" s="51">
        <f>'RESUMEN TOTAL'!AA381</f>
        <v>0</v>
      </c>
      <c r="S378" s="51">
        <f>'RESUMEN TOTAL'!AB381</f>
        <v>0</v>
      </c>
      <c r="T378" s="51">
        <f>'RESUMEN TOTAL'!AC381</f>
        <v>0</v>
      </c>
      <c r="U378" s="51">
        <f>'RESUMEN TOTAL'!AD381</f>
        <v>0</v>
      </c>
      <c r="V378" s="51">
        <f>'RESUMEN TOTAL'!AE381</f>
        <v>0</v>
      </c>
      <c r="W378" s="51">
        <f>'RESUMEN TOTAL'!AF381</f>
        <v>0</v>
      </c>
      <c r="X378" s="51">
        <f>'RESUMEN TOTAL'!AG381</f>
        <v>0</v>
      </c>
      <c r="Y378" s="51">
        <f>'RESUMEN TOTAL'!AH381</f>
        <v>0</v>
      </c>
      <c r="Z378" s="51">
        <f>'RESUMEN TOTAL'!AI381</f>
        <v>0</v>
      </c>
      <c r="AA378" s="51">
        <f>'RESUMEN TOTAL'!AJ381</f>
        <v>0</v>
      </c>
      <c r="AB378" s="51">
        <f>'RESUMEN TOTAL'!AK381</f>
        <v>0</v>
      </c>
      <c r="AC378" s="51">
        <f>'RESUMEN TOTAL'!AL381</f>
        <v>0</v>
      </c>
      <c r="AD378" s="51">
        <f>'RESUMEN TOTAL'!AM381</f>
        <v>0</v>
      </c>
      <c r="AE378" s="51">
        <f>'RESUMEN TOTAL'!AN381</f>
        <v>0</v>
      </c>
      <c r="AF378" s="51">
        <f>'RESUMEN TOTAL'!AO381</f>
        <v>0</v>
      </c>
      <c r="AG378" s="51">
        <f>'RESUMEN TOTAL'!AP381</f>
        <v>0</v>
      </c>
      <c r="AH378" s="51">
        <f>'RESUMEN TOTAL'!AQ381</f>
        <v>0</v>
      </c>
      <c r="AI378" s="51">
        <f>'RESUMEN TOTAL'!AR381</f>
        <v>0</v>
      </c>
    </row>
    <row r="379" spans="1:35" x14ac:dyDescent="0.25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TOTAL'!O382</f>
        <v>0</v>
      </c>
      <c r="G379" s="51">
        <f>'RESUMEN TOTAL'!P382</f>
        <v>0</v>
      </c>
      <c r="H379" s="51">
        <f>'RESUMEN TOTAL'!Q382</f>
        <v>0</v>
      </c>
      <c r="I379" s="51">
        <f>'RESUMEN TOTAL'!R382</f>
        <v>0</v>
      </c>
      <c r="J379" s="51">
        <f>'RESUMEN TOTAL'!S382</f>
        <v>0</v>
      </c>
      <c r="K379" s="51">
        <f>'RESUMEN TOTAL'!T382</f>
        <v>0</v>
      </c>
      <c r="L379" s="51">
        <f>'RESUMEN TOTAL'!U382</f>
        <v>0</v>
      </c>
      <c r="M379" s="51">
        <f>'RESUMEN TOTAL'!V382</f>
        <v>0</v>
      </c>
      <c r="N379" s="51">
        <f>'RESUMEN TOTAL'!W382</f>
        <v>0</v>
      </c>
      <c r="O379" s="51">
        <f>'RESUMEN TOTAL'!X382</f>
        <v>0</v>
      </c>
      <c r="P379" s="51">
        <f>'RESUMEN TOTAL'!Y382</f>
        <v>0</v>
      </c>
      <c r="Q379" s="51">
        <f>'RESUMEN TOTAL'!Z382</f>
        <v>0</v>
      </c>
      <c r="R379" s="51">
        <f>'RESUMEN TOTAL'!AA382</f>
        <v>0</v>
      </c>
      <c r="S379" s="51">
        <f>'RESUMEN TOTAL'!AB382</f>
        <v>0</v>
      </c>
      <c r="T379" s="51">
        <f>'RESUMEN TOTAL'!AC382</f>
        <v>0</v>
      </c>
      <c r="U379" s="51">
        <f>'RESUMEN TOTAL'!AD382</f>
        <v>0</v>
      </c>
      <c r="V379" s="51">
        <f>'RESUMEN TOTAL'!AE382</f>
        <v>0</v>
      </c>
      <c r="W379" s="51">
        <f>'RESUMEN TOTAL'!AF382</f>
        <v>0</v>
      </c>
      <c r="X379" s="51">
        <f>'RESUMEN TOTAL'!AG382</f>
        <v>0</v>
      </c>
      <c r="Y379" s="51">
        <f>'RESUMEN TOTAL'!AH382</f>
        <v>0</v>
      </c>
      <c r="Z379" s="51">
        <f>'RESUMEN TOTAL'!AI382</f>
        <v>0</v>
      </c>
      <c r="AA379" s="51">
        <f>'RESUMEN TOTAL'!AJ382</f>
        <v>0</v>
      </c>
      <c r="AB379" s="51">
        <f>'RESUMEN TOTAL'!AK382</f>
        <v>0</v>
      </c>
      <c r="AC379" s="51">
        <f>'RESUMEN TOTAL'!AL382</f>
        <v>0</v>
      </c>
      <c r="AD379" s="51">
        <f>'RESUMEN TOTAL'!AM382</f>
        <v>0</v>
      </c>
      <c r="AE379" s="51">
        <f>'RESUMEN TOTAL'!AN382</f>
        <v>0</v>
      </c>
      <c r="AF379" s="51">
        <f>'RESUMEN TOTAL'!AO382</f>
        <v>0</v>
      </c>
      <c r="AG379" s="51">
        <f>'RESUMEN TOTAL'!AP382</f>
        <v>0</v>
      </c>
      <c r="AH379" s="51">
        <f>'RESUMEN TOTAL'!AQ382</f>
        <v>0</v>
      </c>
      <c r="AI379" s="51">
        <f>'RESUMEN TOTAL'!AR382</f>
        <v>0</v>
      </c>
    </row>
    <row r="380" spans="1:35" x14ac:dyDescent="0.25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TOTAL'!O383</f>
        <v>0</v>
      </c>
      <c r="G380" s="51">
        <f>'RESUMEN TOTAL'!P383</f>
        <v>0</v>
      </c>
      <c r="H380" s="51">
        <f>'RESUMEN TOTAL'!Q383</f>
        <v>0</v>
      </c>
      <c r="I380" s="51">
        <f>'RESUMEN TOTAL'!R383</f>
        <v>0</v>
      </c>
      <c r="J380" s="51">
        <f>'RESUMEN TOTAL'!S383</f>
        <v>0</v>
      </c>
      <c r="K380" s="51">
        <f>'RESUMEN TOTAL'!T383</f>
        <v>0</v>
      </c>
      <c r="L380" s="51">
        <f>'RESUMEN TOTAL'!U383</f>
        <v>0</v>
      </c>
      <c r="M380" s="51">
        <f>'RESUMEN TOTAL'!V383</f>
        <v>0</v>
      </c>
      <c r="N380" s="51">
        <f>'RESUMEN TOTAL'!W383</f>
        <v>0</v>
      </c>
      <c r="O380" s="51">
        <f>'RESUMEN TOTAL'!X383</f>
        <v>0</v>
      </c>
      <c r="P380" s="51">
        <f>'RESUMEN TOTAL'!Y383</f>
        <v>0</v>
      </c>
      <c r="Q380" s="51">
        <f>'RESUMEN TOTAL'!Z383</f>
        <v>0</v>
      </c>
      <c r="R380" s="51">
        <f>'RESUMEN TOTAL'!AA383</f>
        <v>0</v>
      </c>
      <c r="S380" s="51">
        <f>'RESUMEN TOTAL'!AB383</f>
        <v>0</v>
      </c>
      <c r="T380" s="51">
        <f>'RESUMEN TOTAL'!AC383</f>
        <v>0</v>
      </c>
      <c r="U380" s="51">
        <f>'RESUMEN TOTAL'!AD383</f>
        <v>0</v>
      </c>
      <c r="V380" s="51">
        <f>'RESUMEN TOTAL'!AE383</f>
        <v>0</v>
      </c>
      <c r="W380" s="51">
        <f>'RESUMEN TOTAL'!AF383</f>
        <v>0</v>
      </c>
      <c r="X380" s="51">
        <f>'RESUMEN TOTAL'!AG383</f>
        <v>0</v>
      </c>
      <c r="Y380" s="51">
        <f>'RESUMEN TOTAL'!AH383</f>
        <v>0</v>
      </c>
      <c r="Z380" s="51">
        <f>'RESUMEN TOTAL'!AI383</f>
        <v>0</v>
      </c>
      <c r="AA380" s="51">
        <f>'RESUMEN TOTAL'!AJ383</f>
        <v>0</v>
      </c>
      <c r="AB380" s="51">
        <f>'RESUMEN TOTAL'!AK383</f>
        <v>0</v>
      </c>
      <c r="AC380" s="51">
        <f>'RESUMEN TOTAL'!AL383</f>
        <v>0</v>
      </c>
      <c r="AD380" s="51">
        <f>'RESUMEN TOTAL'!AM383</f>
        <v>0</v>
      </c>
      <c r="AE380" s="51">
        <f>'RESUMEN TOTAL'!AN383</f>
        <v>0</v>
      </c>
      <c r="AF380" s="51">
        <f>'RESUMEN TOTAL'!AO383</f>
        <v>0</v>
      </c>
      <c r="AG380" s="51">
        <f>'RESUMEN TOTAL'!AP383</f>
        <v>0</v>
      </c>
      <c r="AH380" s="51">
        <f>'RESUMEN TOTAL'!AQ383</f>
        <v>0</v>
      </c>
      <c r="AI380" s="51">
        <f>'RESUMEN TOTAL'!AR383</f>
        <v>0</v>
      </c>
    </row>
    <row r="381" spans="1:35" x14ac:dyDescent="0.25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TOTAL'!O384</f>
        <v>0</v>
      </c>
      <c r="G381" s="51">
        <f>'RESUMEN TOTAL'!P384</f>
        <v>0</v>
      </c>
      <c r="H381" s="51">
        <f>'RESUMEN TOTAL'!Q384</f>
        <v>0</v>
      </c>
      <c r="I381" s="51">
        <f>'RESUMEN TOTAL'!R384</f>
        <v>0</v>
      </c>
      <c r="J381" s="51">
        <f>'RESUMEN TOTAL'!S384</f>
        <v>0</v>
      </c>
      <c r="K381" s="51">
        <f>'RESUMEN TOTAL'!T384</f>
        <v>0</v>
      </c>
      <c r="L381" s="51">
        <f>'RESUMEN TOTAL'!U384</f>
        <v>0</v>
      </c>
      <c r="M381" s="51">
        <f>'RESUMEN TOTAL'!V384</f>
        <v>0</v>
      </c>
      <c r="N381" s="51">
        <f>'RESUMEN TOTAL'!W384</f>
        <v>0</v>
      </c>
      <c r="O381" s="51">
        <f>'RESUMEN TOTAL'!X384</f>
        <v>0</v>
      </c>
      <c r="P381" s="51">
        <f>'RESUMEN TOTAL'!Y384</f>
        <v>0</v>
      </c>
      <c r="Q381" s="51">
        <f>'RESUMEN TOTAL'!Z384</f>
        <v>0</v>
      </c>
      <c r="R381" s="51">
        <f>'RESUMEN TOTAL'!AA384</f>
        <v>0</v>
      </c>
      <c r="S381" s="51">
        <f>'RESUMEN TOTAL'!AB384</f>
        <v>0</v>
      </c>
      <c r="T381" s="51">
        <f>'RESUMEN TOTAL'!AC384</f>
        <v>0</v>
      </c>
      <c r="U381" s="51">
        <f>'RESUMEN TOTAL'!AD384</f>
        <v>0</v>
      </c>
      <c r="V381" s="51">
        <f>'RESUMEN TOTAL'!AE384</f>
        <v>0</v>
      </c>
      <c r="W381" s="51">
        <f>'RESUMEN TOTAL'!AF384</f>
        <v>0</v>
      </c>
      <c r="X381" s="51">
        <f>'RESUMEN TOTAL'!AG384</f>
        <v>0</v>
      </c>
      <c r="Y381" s="51">
        <f>'RESUMEN TOTAL'!AH384</f>
        <v>0</v>
      </c>
      <c r="Z381" s="51">
        <f>'RESUMEN TOTAL'!AI384</f>
        <v>0</v>
      </c>
      <c r="AA381" s="51">
        <f>'RESUMEN TOTAL'!AJ384</f>
        <v>0</v>
      </c>
      <c r="AB381" s="51">
        <f>'RESUMEN TOTAL'!AK384</f>
        <v>0</v>
      </c>
      <c r="AC381" s="51">
        <f>'RESUMEN TOTAL'!AL384</f>
        <v>0</v>
      </c>
      <c r="AD381" s="51">
        <f>'RESUMEN TOTAL'!AM384</f>
        <v>0</v>
      </c>
      <c r="AE381" s="51">
        <f>'RESUMEN TOTAL'!AN384</f>
        <v>0</v>
      </c>
      <c r="AF381" s="51">
        <f>'RESUMEN TOTAL'!AO384</f>
        <v>0</v>
      </c>
      <c r="AG381" s="51">
        <f>'RESUMEN TOTAL'!AP384</f>
        <v>0</v>
      </c>
      <c r="AH381" s="51">
        <f>'RESUMEN TOTAL'!AQ384</f>
        <v>0</v>
      </c>
      <c r="AI381" s="51">
        <f>'RESUMEN TOTAL'!AR384</f>
        <v>0</v>
      </c>
    </row>
    <row r="382" spans="1:35" x14ac:dyDescent="0.25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TOTAL'!O385</f>
        <v>APAGADO</v>
      </c>
      <c r="G382" s="51" t="str">
        <f>'RESUMEN TOTAL'!P385</f>
        <v>APAGADO</v>
      </c>
      <c r="H382" s="51">
        <f>'RESUMEN TOTAL'!Q385</f>
        <v>0</v>
      </c>
      <c r="I382" s="51">
        <f>'RESUMEN TOTAL'!R385</f>
        <v>0</v>
      </c>
      <c r="J382" s="51">
        <f>'RESUMEN TOTAL'!S385</f>
        <v>0</v>
      </c>
      <c r="K382" s="51">
        <f>'RESUMEN TOTAL'!T385</f>
        <v>0</v>
      </c>
      <c r="L382" s="51">
        <f>'RESUMEN TOTAL'!U385</f>
        <v>0</v>
      </c>
      <c r="M382" s="51">
        <f>'RESUMEN TOTAL'!V385</f>
        <v>0</v>
      </c>
      <c r="N382" s="51">
        <f>'RESUMEN TOTAL'!W385</f>
        <v>0</v>
      </c>
      <c r="O382" s="51">
        <f>'RESUMEN TOTAL'!X385</f>
        <v>0</v>
      </c>
      <c r="P382" s="51">
        <f>'RESUMEN TOTAL'!Y385</f>
        <v>0</v>
      </c>
      <c r="Q382" s="51">
        <f>'RESUMEN TOTAL'!Z385</f>
        <v>0</v>
      </c>
      <c r="R382" s="51">
        <f>'RESUMEN TOTAL'!AA385</f>
        <v>0</v>
      </c>
      <c r="S382" s="51">
        <f>'RESUMEN TOTAL'!AB385</f>
        <v>0</v>
      </c>
      <c r="T382" s="51">
        <f>'RESUMEN TOTAL'!AC385</f>
        <v>0</v>
      </c>
      <c r="U382" s="51">
        <f>'RESUMEN TOTAL'!AD385</f>
        <v>0</v>
      </c>
      <c r="V382" s="51">
        <f>'RESUMEN TOTAL'!AE385</f>
        <v>0</v>
      </c>
      <c r="W382" s="51">
        <f>'RESUMEN TOTAL'!AF385</f>
        <v>0</v>
      </c>
      <c r="X382" s="51">
        <f>'RESUMEN TOTAL'!AG385</f>
        <v>0</v>
      </c>
      <c r="Y382" s="51">
        <f>'RESUMEN TOTAL'!AH385</f>
        <v>0</v>
      </c>
      <c r="Z382" s="51">
        <f>'RESUMEN TOTAL'!AI385</f>
        <v>0</v>
      </c>
      <c r="AA382" s="51">
        <f>'RESUMEN TOTAL'!AJ385</f>
        <v>0</v>
      </c>
      <c r="AB382" s="51">
        <f>'RESUMEN TOTAL'!AK385</f>
        <v>0</v>
      </c>
      <c r="AC382" s="51">
        <f>'RESUMEN TOTAL'!AL385</f>
        <v>0</v>
      </c>
      <c r="AD382" s="51">
        <f>'RESUMEN TOTAL'!AM385</f>
        <v>0</v>
      </c>
      <c r="AE382" s="51">
        <f>'RESUMEN TOTAL'!AN385</f>
        <v>0</v>
      </c>
      <c r="AF382" s="51">
        <f>'RESUMEN TOTAL'!AO385</f>
        <v>0</v>
      </c>
      <c r="AG382" s="51">
        <f>'RESUMEN TOTAL'!AP385</f>
        <v>0</v>
      </c>
      <c r="AH382" s="51">
        <f>'RESUMEN TOTAL'!AQ385</f>
        <v>0</v>
      </c>
      <c r="AI382" s="51">
        <f>'RESUMEN TOTAL'!AR385</f>
        <v>0</v>
      </c>
    </row>
    <row r="383" spans="1:35" x14ac:dyDescent="0.25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TOTAL'!O386</f>
        <v>APAGADO</v>
      </c>
      <c r="G383" s="51" t="str">
        <f>'RESUMEN TOTAL'!P386</f>
        <v>APAGADO</v>
      </c>
      <c r="H383" s="51">
        <f>'RESUMEN TOTAL'!Q386</f>
        <v>0</v>
      </c>
      <c r="I383" s="51">
        <f>'RESUMEN TOTAL'!R386</f>
        <v>0</v>
      </c>
      <c r="J383" s="51">
        <f>'RESUMEN TOTAL'!S386</f>
        <v>0</v>
      </c>
      <c r="K383" s="51">
        <f>'RESUMEN TOTAL'!T386</f>
        <v>0</v>
      </c>
      <c r="L383" s="51">
        <f>'RESUMEN TOTAL'!U386</f>
        <v>0</v>
      </c>
      <c r="M383" s="51">
        <f>'RESUMEN TOTAL'!V386</f>
        <v>0</v>
      </c>
      <c r="N383" s="51">
        <f>'RESUMEN TOTAL'!W386</f>
        <v>0</v>
      </c>
      <c r="O383" s="51">
        <f>'RESUMEN TOTAL'!X386</f>
        <v>0</v>
      </c>
      <c r="P383" s="51">
        <f>'RESUMEN TOTAL'!Y386</f>
        <v>0</v>
      </c>
      <c r="Q383" s="51">
        <f>'RESUMEN TOTAL'!Z386</f>
        <v>0</v>
      </c>
      <c r="R383" s="51">
        <f>'RESUMEN TOTAL'!AA386</f>
        <v>0</v>
      </c>
      <c r="S383" s="51">
        <f>'RESUMEN TOTAL'!AB386</f>
        <v>0</v>
      </c>
      <c r="T383" s="51">
        <f>'RESUMEN TOTAL'!AC386</f>
        <v>0</v>
      </c>
      <c r="U383" s="51">
        <f>'RESUMEN TOTAL'!AD386</f>
        <v>0</v>
      </c>
      <c r="V383" s="51">
        <f>'RESUMEN TOTAL'!AE386</f>
        <v>0</v>
      </c>
      <c r="W383" s="51">
        <f>'RESUMEN TOTAL'!AF386</f>
        <v>0</v>
      </c>
      <c r="X383" s="51">
        <f>'RESUMEN TOTAL'!AG386</f>
        <v>0</v>
      </c>
      <c r="Y383" s="51">
        <f>'RESUMEN TOTAL'!AH386</f>
        <v>0</v>
      </c>
      <c r="Z383" s="51">
        <f>'RESUMEN TOTAL'!AI386</f>
        <v>0</v>
      </c>
      <c r="AA383" s="51">
        <f>'RESUMEN TOTAL'!AJ386</f>
        <v>0</v>
      </c>
      <c r="AB383" s="51">
        <f>'RESUMEN TOTAL'!AK386</f>
        <v>0</v>
      </c>
      <c r="AC383" s="51">
        <f>'RESUMEN TOTAL'!AL386</f>
        <v>0</v>
      </c>
      <c r="AD383" s="51">
        <f>'RESUMEN TOTAL'!AM386</f>
        <v>0</v>
      </c>
      <c r="AE383" s="51">
        <f>'RESUMEN TOTAL'!AN386</f>
        <v>0</v>
      </c>
      <c r="AF383" s="51">
        <f>'RESUMEN TOTAL'!AO386</f>
        <v>0</v>
      </c>
      <c r="AG383" s="51">
        <f>'RESUMEN TOTAL'!AP386</f>
        <v>0</v>
      </c>
      <c r="AH383" s="51">
        <f>'RESUMEN TOTAL'!AQ386</f>
        <v>0</v>
      </c>
      <c r="AI383" s="51">
        <f>'RESUMEN TOTAL'!AR386</f>
        <v>0</v>
      </c>
    </row>
    <row r="384" spans="1:35" x14ac:dyDescent="0.25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TOTAL'!O387</f>
        <v>APAGADO</v>
      </c>
      <c r="G384" s="51" t="str">
        <f>'RESUMEN TOTAL'!P387</f>
        <v>APAGADO</v>
      </c>
      <c r="H384" s="51">
        <f>'RESUMEN TOTAL'!Q387</f>
        <v>0</v>
      </c>
      <c r="I384" s="51">
        <f>'RESUMEN TOTAL'!R387</f>
        <v>0</v>
      </c>
      <c r="J384" s="51">
        <f>'RESUMEN TOTAL'!S387</f>
        <v>0</v>
      </c>
      <c r="K384" s="51">
        <f>'RESUMEN TOTAL'!T387</f>
        <v>0</v>
      </c>
      <c r="L384" s="51">
        <f>'RESUMEN TOTAL'!U387</f>
        <v>0</v>
      </c>
      <c r="M384" s="51">
        <f>'RESUMEN TOTAL'!V387</f>
        <v>0</v>
      </c>
      <c r="N384" s="51">
        <f>'RESUMEN TOTAL'!W387</f>
        <v>0</v>
      </c>
      <c r="O384" s="51">
        <f>'RESUMEN TOTAL'!X387</f>
        <v>0</v>
      </c>
      <c r="P384" s="51">
        <f>'RESUMEN TOTAL'!Y387</f>
        <v>0</v>
      </c>
      <c r="Q384" s="51">
        <f>'RESUMEN TOTAL'!Z387</f>
        <v>0</v>
      </c>
      <c r="R384" s="51">
        <f>'RESUMEN TOTAL'!AA387</f>
        <v>0</v>
      </c>
      <c r="S384" s="51">
        <f>'RESUMEN TOTAL'!AB387</f>
        <v>0</v>
      </c>
      <c r="T384" s="51">
        <f>'RESUMEN TOTAL'!AC387</f>
        <v>0</v>
      </c>
      <c r="U384" s="51">
        <f>'RESUMEN TOTAL'!AD387</f>
        <v>0</v>
      </c>
      <c r="V384" s="51">
        <f>'RESUMEN TOTAL'!AE387</f>
        <v>0</v>
      </c>
      <c r="W384" s="51">
        <f>'RESUMEN TOTAL'!AF387</f>
        <v>0</v>
      </c>
      <c r="X384" s="51">
        <f>'RESUMEN TOTAL'!AG387</f>
        <v>0</v>
      </c>
      <c r="Y384" s="51">
        <f>'RESUMEN TOTAL'!AH387</f>
        <v>0</v>
      </c>
      <c r="Z384" s="51">
        <f>'RESUMEN TOTAL'!AI387</f>
        <v>0</v>
      </c>
      <c r="AA384" s="51">
        <f>'RESUMEN TOTAL'!AJ387</f>
        <v>0</v>
      </c>
      <c r="AB384" s="51">
        <f>'RESUMEN TOTAL'!AK387</f>
        <v>0</v>
      </c>
      <c r="AC384" s="51">
        <f>'RESUMEN TOTAL'!AL387</f>
        <v>0</v>
      </c>
      <c r="AD384" s="51">
        <f>'RESUMEN TOTAL'!AM387</f>
        <v>0</v>
      </c>
      <c r="AE384" s="51">
        <f>'RESUMEN TOTAL'!AN387</f>
        <v>0</v>
      </c>
      <c r="AF384" s="51">
        <f>'RESUMEN TOTAL'!AO387</f>
        <v>0</v>
      </c>
      <c r="AG384" s="51">
        <f>'RESUMEN TOTAL'!AP387</f>
        <v>0</v>
      </c>
      <c r="AH384" s="51">
        <f>'RESUMEN TOTAL'!AQ387</f>
        <v>0</v>
      </c>
      <c r="AI384" s="51">
        <f>'RESUMEN TOTAL'!AR387</f>
        <v>0</v>
      </c>
    </row>
    <row r="385" spans="1:35" x14ac:dyDescent="0.25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TOTAL'!O388</f>
        <v>APAGADO</v>
      </c>
      <c r="G385" s="51" t="str">
        <f>'RESUMEN TOTAL'!P388</f>
        <v>APAGADO</v>
      </c>
      <c r="H385" s="51">
        <f>'RESUMEN TOTAL'!Q388</f>
        <v>0</v>
      </c>
      <c r="I385" s="51">
        <f>'RESUMEN TOTAL'!R388</f>
        <v>0</v>
      </c>
      <c r="J385" s="51">
        <f>'RESUMEN TOTAL'!S388</f>
        <v>0</v>
      </c>
      <c r="K385" s="51">
        <f>'RESUMEN TOTAL'!T388</f>
        <v>0</v>
      </c>
      <c r="L385" s="51">
        <f>'RESUMEN TOTAL'!U388</f>
        <v>0</v>
      </c>
      <c r="M385" s="51">
        <f>'RESUMEN TOTAL'!V388</f>
        <v>0</v>
      </c>
      <c r="N385" s="51">
        <f>'RESUMEN TOTAL'!W388</f>
        <v>0</v>
      </c>
      <c r="O385" s="51">
        <f>'RESUMEN TOTAL'!X388</f>
        <v>0</v>
      </c>
      <c r="P385" s="51">
        <f>'RESUMEN TOTAL'!Y388</f>
        <v>0</v>
      </c>
      <c r="Q385" s="51">
        <f>'RESUMEN TOTAL'!Z388</f>
        <v>0</v>
      </c>
      <c r="R385" s="51">
        <f>'RESUMEN TOTAL'!AA388</f>
        <v>0</v>
      </c>
      <c r="S385" s="51">
        <f>'RESUMEN TOTAL'!AB388</f>
        <v>0</v>
      </c>
      <c r="T385" s="51">
        <f>'RESUMEN TOTAL'!AC388</f>
        <v>0</v>
      </c>
      <c r="U385" s="51">
        <f>'RESUMEN TOTAL'!AD388</f>
        <v>0</v>
      </c>
      <c r="V385" s="51">
        <f>'RESUMEN TOTAL'!AE388</f>
        <v>0</v>
      </c>
      <c r="W385" s="51">
        <f>'RESUMEN TOTAL'!AF388</f>
        <v>0</v>
      </c>
      <c r="X385" s="51">
        <f>'RESUMEN TOTAL'!AG388</f>
        <v>0</v>
      </c>
      <c r="Y385" s="51">
        <f>'RESUMEN TOTAL'!AH388</f>
        <v>0</v>
      </c>
      <c r="Z385" s="51">
        <f>'RESUMEN TOTAL'!AI388</f>
        <v>0</v>
      </c>
      <c r="AA385" s="51">
        <f>'RESUMEN TOTAL'!AJ388</f>
        <v>0</v>
      </c>
      <c r="AB385" s="51">
        <f>'RESUMEN TOTAL'!AK388</f>
        <v>0</v>
      </c>
      <c r="AC385" s="51">
        <f>'RESUMEN TOTAL'!AL388</f>
        <v>0</v>
      </c>
      <c r="AD385" s="51">
        <f>'RESUMEN TOTAL'!AM388</f>
        <v>0</v>
      </c>
      <c r="AE385" s="51">
        <f>'RESUMEN TOTAL'!AN388</f>
        <v>0</v>
      </c>
      <c r="AF385" s="51">
        <f>'RESUMEN TOTAL'!AO388</f>
        <v>0</v>
      </c>
      <c r="AG385" s="51">
        <f>'RESUMEN TOTAL'!AP388</f>
        <v>0</v>
      </c>
      <c r="AH385" s="51">
        <f>'RESUMEN TOTAL'!AQ388</f>
        <v>0</v>
      </c>
      <c r="AI385" s="51">
        <f>'RESUMEN TOTAL'!AR388</f>
        <v>0</v>
      </c>
    </row>
    <row r="386" spans="1:35" x14ac:dyDescent="0.25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TOTAL'!O389</f>
        <v>0</v>
      </c>
      <c r="G386" s="51">
        <f>'RESUMEN TOTAL'!P389</f>
        <v>0</v>
      </c>
      <c r="H386" s="51">
        <f>'RESUMEN TOTAL'!Q389</f>
        <v>0</v>
      </c>
      <c r="I386" s="51">
        <f>'RESUMEN TOTAL'!R389</f>
        <v>0</v>
      </c>
      <c r="J386" s="51">
        <f>'RESUMEN TOTAL'!S389</f>
        <v>0</v>
      </c>
      <c r="K386" s="51">
        <f>'RESUMEN TOTAL'!T389</f>
        <v>0</v>
      </c>
      <c r="L386" s="51">
        <f>'RESUMEN TOTAL'!U389</f>
        <v>0</v>
      </c>
      <c r="M386" s="51">
        <f>'RESUMEN TOTAL'!V389</f>
        <v>0</v>
      </c>
      <c r="N386" s="51">
        <f>'RESUMEN TOTAL'!W389</f>
        <v>0</v>
      </c>
      <c r="O386" s="51">
        <f>'RESUMEN TOTAL'!X389</f>
        <v>0</v>
      </c>
      <c r="P386" s="51">
        <f>'RESUMEN TOTAL'!Y389</f>
        <v>0</v>
      </c>
      <c r="Q386" s="51">
        <f>'RESUMEN TOTAL'!Z389</f>
        <v>0</v>
      </c>
      <c r="R386" s="51">
        <f>'RESUMEN TOTAL'!AA389</f>
        <v>0</v>
      </c>
      <c r="S386" s="51">
        <f>'RESUMEN TOTAL'!AB389</f>
        <v>0</v>
      </c>
      <c r="T386" s="51">
        <f>'RESUMEN TOTAL'!AC389</f>
        <v>0</v>
      </c>
      <c r="U386" s="51">
        <f>'RESUMEN TOTAL'!AD389</f>
        <v>0</v>
      </c>
      <c r="V386" s="51">
        <f>'RESUMEN TOTAL'!AE389</f>
        <v>0</v>
      </c>
      <c r="W386" s="51">
        <f>'RESUMEN TOTAL'!AF389</f>
        <v>0</v>
      </c>
      <c r="X386" s="51">
        <f>'RESUMEN TOTAL'!AG389</f>
        <v>0</v>
      </c>
      <c r="Y386" s="51">
        <f>'RESUMEN TOTAL'!AH389</f>
        <v>0</v>
      </c>
      <c r="Z386" s="51">
        <f>'RESUMEN TOTAL'!AI389</f>
        <v>0</v>
      </c>
      <c r="AA386" s="51">
        <f>'RESUMEN TOTAL'!AJ389</f>
        <v>0</v>
      </c>
      <c r="AB386" s="51">
        <f>'RESUMEN TOTAL'!AK389</f>
        <v>0</v>
      </c>
      <c r="AC386" s="51">
        <f>'RESUMEN TOTAL'!AL389</f>
        <v>0</v>
      </c>
      <c r="AD386" s="51">
        <f>'RESUMEN TOTAL'!AM389</f>
        <v>0</v>
      </c>
      <c r="AE386" s="51">
        <f>'RESUMEN TOTAL'!AN389</f>
        <v>0</v>
      </c>
      <c r="AF386" s="51">
        <f>'RESUMEN TOTAL'!AO389</f>
        <v>0</v>
      </c>
      <c r="AG386" s="51">
        <f>'RESUMEN TOTAL'!AP389</f>
        <v>0</v>
      </c>
      <c r="AH386" s="51">
        <f>'RESUMEN TOTAL'!AQ389</f>
        <v>0</v>
      </c>
      <c r="AI386" s="51">
        <f>'RESUMEN TOTAL'!AR389</f>
        <v>0</v>
      </c>
    </row>
    <row r="387" spans="1:35" x14ac:dyDescent="0.25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TOTAL'!O390</f>
        <v>0</v>
      </c>
      <c r="G387" s="51">
        <f>'RESUMEN TOTAL'!P390</f>
        <v>0</v>
      </c>
      <c r="H387" s="51">
        <f>'RESUMEN TOTAL'!Q390</f>
        <v>0</v>
      </c>
      <c r="I387" s="51">
        <f>'RESUMEN TOTAL'!R390</f>
        <v>0</v>
      </c>
      <c r="J387" s="51">
        <f>'RESUMEN TOTAL'!S390</f>
        <v>0</v>
      </c>
      <c r="K387" s="51">
        <f>'RESUMEN TOTAL'!T390</f>
        <v>0</v>
      </c>
      <c r="L387" s="51">
        <f>'RESUMEN TOTAL'!U390</f>
        <v>0</v>
      </c>
      <c r="M387" s="51">
        <f>'RESUMEN TOTAL'!V390</f>
        <v>0</v>
      </c>
      <c r="N387" s="51">
        <f>'RESUMEN TOTAL'!W390</f>
        <v>0</v>
      </c>
      <c r="O387" s="51">
        <f>'RESUMEN TOTAL'!X390</f>
        <v>0</v>
      </c>
      <c r="P387" s="51">
        <f>'RESUMEN TOTAL'!Y390</f>
        <v>0</v>
      </c>
      <c r="Q387" s="51">
        <f>'RESUMEN TOTAL'!Z390</f>
        <v>0</v>
      </c>
      <c r="R387" s="51">
        <f>'RESUMEN TOTAL'!AA390</f>
        <v>0</v>
      </c>
      <c r="S387" s="51">
        <f>'RESUMEN TOTAL'!AB390</f>
        <v>0</v>
      </c>
      <c r="T387" s="51">
        <f>'RESUMEN TOTAL'!AC390</f>
        <v>0</v>
      </c>
      <c r="U387" s="51">
        <f>'RESUMEN TOTAL'!AD390</f>
        <v>0</v>
      </c>
      <c r="V387" s="51">
        <f>'RESUMEN TOTAL'!AE390</f>
        <v>0</v>
      </c>
      <c r="W387" s="51">
        <f>'RESUMEN TOTAL'!AF390</f>
        <v>0</v>
      </c>
      <c r="X387" s="51">
        <f>'RESUMEN TOTAL'!AG390</f>
        <v>0</v>
      </c>
      <c r="Y387" s="51">
        <f>'RESUMEN TOTAL'!AH390</f>
        <v>0</v>
      </c>
      <c r="Z387" s="51">
        <f>'RESUMEN TOTAL'!AI390</f>
        <v>0</v>
      </c>
      <c r="AA387" s="51">
        <f>'RESUMEN TOTAL'!AJ390</f>
        <v>0</v>
      </c>
      <c r="AB387" s="51">
        <f>'RESUMEN TOTAL'!AK390</f>
        <v>0</v>
      </c>
      <c r="AC387" s="51">
        <f>'RESUMEN TOTAL'!AL390</f>
        <v>0</v>
      </c>
      <c r="AD387" s="51">
        <f>'RESUMEN TOTAL'!AM390</f>
        <v>0</v>
      </c>
      <c r="AE387" s="51">
        <f>'RESUMEN TOTAL'!AN390</f>
        <v>0</v>
      </c>
      <c r="AF387" s="51">
        <f>'RESUMEN TOTAL'!AO390</f>
        <v>0</v>
      </c>
      <c r="AG387" s="51">
        <f>'RESUMEN TOTAL'!AP390</f>
        <v>0</v>
      </c>
      <c r="AH387" s="51">
        <f>'RESUMEN TOTAL'!AQ390</f>
        <v>0</v>
      </c>
      <c r="AI387" s="51">
        <f>'RESUMEN TOTAL'!AR390</f>
        <v>0</v>
      </c>
    </row>
    <row r="388" spans="1:35" x14ac:dyDescent="0.25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TOTAL'!O391</f>
        <v>0</v>
      </c>
      <c r="G388" s="51">
        <f>'RESUMEN TOTAL'!P391</f>
        <v>0</v>
      </c>
      <c r="H388" s="51">
        <f>'RESUMEN TOTAL'!Q391</f>
        <v>0</v>
      </c>
      <c r="I388" s="51">
        <f>'RESUMEN TOTAL'!R391</f>
        <v>0</v>
      </c>
      <c r="J388" s="51">
        <f>'RESUMEN TOTAL'!S391</f>
        <v>0</v>
      </c>
      <c r="K388" s="51">
        <f>'RESUMEN TOTAL'!T391</f>
        <v>0</v>
      </c>
      <c r="L388" s="51">
        <f>'RESUMEN TOTAL'!U391</f>
        <v>0</v>
      </c>
      <c r="M388" s="51">
        <f>'RESUMEN TOTAL'!V391</f>
        <v>0</v>
      </c>
      <c r="N388" s="51">
        <f>'RESUMEN TOTAL'!W391</f>
        <v>0</v>
      </c>
      <c r="O388" s="51">
        <f>'RESUMEN TOTAL'!X391</f>
        <v>0</v>
      </c>
      <c r="P388" s="51">
        <f>'RESUMEN TOTAL'!Y391</f>
        <v>0</v>
      </c>
      <c r="Q388" s="51">
        <f>'RESUMEN TOTAL'!Z391</f>
        <v>0</v>
      </c>
      <c r="R388" s="51">
        <f>'RESUMEN TOTAL'!AA391</f>
        <v>0</v>
      </c>
      <c r="S388" s="51">
        <f>'RESUMEN TOTAL'!AB391</f>
        <v>0</v>
      </c>
      <c r="T388" s="51">
        <f>'RESUMEN TOTAL'!AC391</f>
        <v>0</v>
      </c>
      <c r="U388" s="51">
        <f>'RESUMEN TOTAL'!AD391</f>
        <v>0</v>
      </c>
      <c r="V388" s="51">
        <f>'RESUMEN TOTAL'!AE391</f>
        <v>0</v>
      </c>
      <c r="W388" s="51">
        <f>'RESUMEN TOTAL'!AF391</f>
        <v>0</v>
      </c>
      <c r="X388" s="51">
        <f>'RESUMEN TOTAL'!AG391</f>
        <v>0</v>
      </c>
      <c r="Y388" s="51">
        <f>'RESUMEN TOTAL'!AH391</f>
        <v>0</v>
      </c>
      <c r="Z388" s="51">
        <f>'RESUMEN TOTAL'!AI391</f>
        <v>0</v>
      </c>
      <c r="AA388" s="51">
        <f>'RESUMEN TOTAL'!AJ391</f>
        <v>0</v>
      </c>
      <c r="AB388" s="51">
        <f>'RESUMEN TOTAL'!AK391</f>
        <v>0</v>
      </c>
      <c r="AC388" s="51">
        <f>'RESUMEN TOTAL'!AL391</f>
        <v>0</v>
      </c>
      <c r="AD388" s="51">
        <f>'RESUMEN TOTAL'!AM391</f>
        <v>0</v>
      </c>
      <c r="AE388" s="51">
        <f>'RESUMEN TOTAL'!AN391</f>
        <v>0</v>
      </c>
      <c r="AF388" s="51">
        <f>'RESUMEN TOTAL'!AO391</f>
        <v>0</v>
      </c>
      <c r="AG388" s="51">
        <f>'RESUMEN TOTAL'!AP391</f>
        <v>0</v>
      </c>
      <c r="AH388" s="51">
        <f>'RESUMEN TOTAL'!AQ391</f>
        <v>0</v>
      </c>
      <c r="AI388" s="51">
        <f>'RESUMEN TOTAL'!AR391</f>
        <v>0</v>
      </c>
    </row>
    <row r="389" spans="1:35" x14ac:dyDescent="0.25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TOTAL'!O392</f>
        <v>0</v>
      </c>
      <c r="G389" s="51">
        <f>'RESUMEN TOTAL'!P392</f>
        <v>0</v>
      </c>
      <c r="H389" s="51">
        <f>'RESUMEN TOTAL'!Q392</f>
        <v>0</v>
      </c>
      <c r="I389" s="51">
        <f>'RESUMEN TOTAL'!R392</f>
        <v>0</v>
      </c>
      <c r="J389" s="51">
        <f>'RESUMEN TOTAL'!S392</f>
        <v>0</v>
      </c>
      <c r="K389" s="51">
        <f>'RESUMEN TOTAL'!T392</f>
        <v>0</v>
      </c>
      <c r="L389" s="51">
        <f>'RESUMEN TOTAL'!U392</f>
        <v>0</v>
      </c>
      <c r="M389" s="51">
        <f>'RESUMEN TOTAL'!V392</f>
        <v>0</v>
      </c>
      <c r="N389" s="51">
        <f>'RESUMEN TOTAL'!W392</f>
        <v>0</v>
      </c>
      <c r="O389" s="51">
        <f>'RESUMEN TOTAL'!X392</f>
        <v>0</v>
      </c>
      <c r="P389" s="51">
        <f>'RESUMEN TOTAL'!Y392</f>
        <v>0</v>
      </c>
      <c r="Q389" s="51">
        <f>'RESUMEN TOTAL'!Z392</f>
        <v>0</v>
      </c>
      <c r="R389" s="51">
        <f>'RESUMEN TOTAL'!AA392</f>
        <v>0</v>
      </c>
      <c r="S389" s="51">
        <f>'RESUMEN TOTAL'!AB392</f>
        <v>0</v>
      </c>
      <c r="T389" s="51">
        <f>'RESUMEN TOTAL'!AC392</f>
        <v>0</v>
      </c>
      <c r="U389" s="51">
        <f>'RESUMEN TOTAL'!AD392</f>
        <v>0</v>
      </c>
      <c r="V389" s="51">
        <f>'RESUMEN TOTAL'!AE392</f>
        <v>0</v>
      </c>
      <c r="W389" s="51">
        <f>'RESUMEN TOTAL'!AF392</f>
        <v>0</v>
      </c>
      <c r="X389" s="51">
        <f>'RESUMEN TOTAL'!AG392</f>
        <v>0</v>
      </c>
      <c r="Y389" s="51">
        <f>'RESUMEN TOTAL'!AH392</f>
        <v>0</v>
      </c>
      <c r="Z389" s="51">
        <f>'RESUMEN TOTAL'!AI392</f>
        <v>0</v>
      </c>
      <c r="AA389" s="51">
        <f>'RESUMEN TOTAL'!AJ392</f>
        <v>0</v>
      </c>
      <c r="AB389" s="51">
        <f>'RESUMEN TOTAL'!AK392</f>
        <v>0</v>
      </c>
      <c r="AC389" s="51">
        <f>'RESUMEN TOTAL'!AL392</f>
        <v>0</v>
      </c>
      <c r="AD389" s="51">
        <f>'RESUMEN TOTAL'!AM392</f>
        <v>0</v>
      </c>
      <c r="AE389" s="51">
        <f>'RESUMEN TOTAL'!AN392</f>
        <v>0</v>
      </c>
      <c r="AF389" s="51">
        <f>'RESUMEN TOTAL'!AO392</f>
        <v>0</v>
      </c>
      <c r="AG389" s="51">
        <f>'RESUMEN TOTAL'!AP392</f>
        <v>0</v>
      </c>
      <c r="AH389" s="51">
        <f>'RESUMEN TOTAL'!AQ392</f>
        <v>0</v>
      </c>
      <c r="AI389" s="51">
        <f>'RESUMEN TOTAL'!AR392</f>
        <v>0</v>
      </c>
    </row>
    <row r="390" spans="1:35" x14ac:dyDescent="0.25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TOTAL'!O393</f>
        <v>0</v>
      </c>
      <c r="G390" s="51">
        <f>'RESUMEN TOTAL'!P393</f>
        <v>0</v>
      </c>
      <c r="H390" s="51">
        <f>'RESUMEN TOTAL'!Q393</f>
        <v>0</v>
      </c>
      <c r="I390" s="51">
        <f>'RESUMEN TOTAL'!R393</f>
        <v>0</v>
      </c>
      <c r="J390" s="51">
        <f>'RESUMEN TOTAL'!S393</f>
        <v>0</v>
      </c>
      <c r="K390" s="51">
        <f>'RESUMEN TOTAL'!T393</f>
        <v>0</v>
      </c>
      <c r="L390" s="51">
        <f>'RESUMEN TOTAL'!U393</f>
        <v>0</v>
      </c>
      <c r="M390" s="51">
        <f>'RESUMEN TOTAL'!V393</f>
        <v>0</v>
      </c>
      <c r="N390" s="51">
        <f>'RESUMEN TOTAL'!W393</f>
        <v>0</v>
      </c>
      <c r="O390" s="51">
        <f>'RESUMEN TOTAL'!X393</f>
        <v>0</v>
      </c>
      <c r="P390" s="51">
        <f>'RESUMEN TOTAL'!Y393</f>
        <v>0</v>
      </c>
      <c r="Q390" s="51">
        <f>'RESUMEN TOTAL'!Z393</f>
        <v>0</v>
      </c>
      <c r="R390" s="51">
        <f>'RESUMEN TOTAL'!AA393</f>
        <v>0</v>
      </c>
      <c r="S390" s="51">
        <f>'RESUMEN TOTAL'!AB393</f>
        <v>0</v>
      </c>
      <c r="T390" s="51">
        <f>'RESUMEN TOTAL'!AC393</f>
        <v>0</v>
      </c>
      <c r="U390" s="51">
        <f>'RESUMEN TOTAL'!AD393</f>
        <v>0</v>
      </c>
      <c r="V390" s="51">
        <f>'RESUMEN TOTAL'!AE393</f>
        <v>0</v>
      </c>
      <c r="W390" s="51">
        <f>'RESUMEN TOTAL'!AF393</f>
        <v>0</v>
      </c>
      <c r="X390" s="51">
        <f>'RESUMEN TOTAL'!AG393</f>
        <v>0</v>
      </c>
      <c r="Y390" s="51">
        <f>'RESUMEN TOTAL'!AH393</f>
        <v>0</v>
      </c>
      <c r="Z390" s="51">
        <f>'RESUMEN TOTAL'!AI393</f>
        <v>0</v>
      </c>
      <c r="AA390" s="51">
        <f>'RESUMEN TOTAL'!AJ393</f>
        <v>0</v>
      </c>
      <c r="AB390" s="51">
        <f>'RESUMEN TOTAL'!AK393</f>
        <v>0</v>
      </c>
      <c r="AC390" s="51">
        <f>'RESUMEN TOTAL'!AL393</f>
        <v>0</v>
      </c>
      <c r="AD390" s="51">
        <f>'RESUMEN TOTAL'!AM393</f>
        <v>0</v>
      </c>
      <c r="AE390" s="51">
        <f>'RESUMEN TOTAL'!AN393</f>
        <v>0</v>
      </c>
      <c r="AF390" s="51">
        <f>'RESUMEN TOTAL'!AO393</f>
        <v>0</v>
      </c>
      <c r="AG390" s="51">
        <f>'RESUMEN TOTAL'!AP393</f>
        <v>0</v>
      </c>
      <c r="AH390" s="51">
        <f>'RESUMEN TOTAL'!AQ393</f>
        <v>0</v>
      </c>
      <c r="AI390" s="51">
        <f>'RESUMEN TOTAL'!AR393</f>
        <v>0</v>
      </c>
    </row>
    <row r="391" spans="1:35" x14ac:dyDescent="0.25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TOTAL'!O394</f>
        <v>0</v>
      </c>
      <c r="G391" s="51">
        <f>'RESUMEN TOTAL'!P394</f>
        <v>0</v>
      </c>
      <c r="H391" s="51">
        <f>'RESUMEN TOTAL'!Q394</f>
        <v>0</v>
      </c>
      <c r="I391" s="51">
        <f>'RESUMEN TOTAL'!R394</f>
        <v>0</v>
      </c>
      <c r="J391" s="51">
        <f>'RESUMEN TOTAL'!S394</f>
        <v>0</v>
      </c>
      <c r="K391" s="51">
        <f>'RESUMEN TOTAL'!T394</f>
        <v>0</v>
      </c>
      <c r="L391" s="51">
        <f>'RESUMEN TOTAL'!U394</f>
        <v>0</v>
      </c>
      <c r="M391" s="51">
        <f>'RESUMEN TOTAL'!V394</f>
        <v>0</v>
      </c>
      <c r="N391" s="51">
        <f>'RESUMEN TOTAL'!W394</f>
        <v>0</v>
      </c>
      <c r="O391" s="51">
        <f>'RESUMEN TOTAL'!X394</f>
        <v>0</v>
      </c>
      <c r="P391" s="51">
        <f>'RESUMEN TOTAL'!Y394</f>
        <v>0</v>
      </c>
      <c r="Q391" s="51">
        <f>'RESUMEN TOTAL'!Z394</f>
        <v>0</v>
      </c>
      <c r="R391" s="51">
        <f>'RESUMEN TOTAL'!AA394</f>
        <v>0</v>
      </c>
      <c r="S391" s="51">
        <f>'RESUMEN TOTAL'!AB394</f>
        <v>0</v>
      </c>
      <c r="T391" s="51">
        <f>'RESUMEN TOTAL'!AC394</f>
        <v>0</v>
      </c>
      <c r="U391" s="51">
        <f>'RESUMEN TOTAL'!AD394</f>
        <v>0</v>
      </c>
      <c r="V391" s="51">
        <f>'RESUMEN TOTAL'!AE394</f>
        <v>0</v>
      </c>
      <c r="W391" s="51">
        <f>'RESUMEN TOTAL'!AF394</f>
        <v>0</v>
      </c>
      <c r="X391" s="51">
        <f>'RESUMEN TOTAL'!AG394</f>
        <v>0</v>
      </c>
      <c r="Y391" s="51">
        <f>'RESUMEN TOTAL'!AH394</f>
        <v>0</v>
      </c>
      <c r="Z391" s="51">
        <f>'RESUMEN TOTAL'!AI394</f>
        <v>0</v>
      </c>
      <c r="AA391" s="51">
        <f>'RESUMEN TOTAL'!AJ394</f>
        <v>0</v>
      </c>
      <c r="AB391" s="51">
        <f>'RESUMEN TOTAL'!AK394</f>
        <v>0</v>
      </c>
      <c r="AC391" s="51">
        <f>'RESUMEN TOTAL'!AL394</f>
        <v>0</v>
      </c>
      <c r="AD391" s="51">
        <f>'RESUMEN TOTAL'!AM394</f>
        <v>0</v>
      </c>
      <c r="AE391" s="51">
        <f>'RESUMEN TOTAL'!AN394</f>
        <v>0</v>
      </c>
      <c r="AF391" s="51">
        <f>'RESUMEN TOTAL'!AO394</f>
        <v>0</v>
      </c>
      <c r="AG391" s="51">
        <f>'RESUMEN TOTAL'!AP394</f>
        <v>0</v>
      </c>
      <c r="AH391" s="51">
        <f>'RESUMEN TOTAL'!AQ394</f>
        <v>0</v>
      </c>
      <c r="AI391" s="51">
        <f>'RESUMEN TOTAL'!AR394</f>
        <v>0</v>
      </c>
    </row>
    <row r="392" spans="1:35" x14ac:dyDescent="0.25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TOTAL'!O395</f>
        <v>0</v>
      </c>
      <c r="G392" s="51">
        <f>'RESUMEN TOTAL'!P395</f>
        <v>0</v>
      </c>
      <c r="H392" s="51">
        <f>'RESUMEN TOTAL'!Q395</f>
        <v>0</v>
      </c>
      <c r="I392" s="51">
        <f>'RESUMEN TOTAL'!R395</f>
        <v>0</v>
      </c>
      <c r="J392" s="51">
        <f>'RESUMEN TOTAL'!S395</f>
        <v>0</v>
      </c>
      <c r="K392" s="51">
        <f>'RESUMEN TOTAL'!T395</f>
        <v>0</v>
      </c>
      <c r="L392" s="51">
        <f>'RESUMEN TOTAL'!U395</f>
        <v>0</v>
      </c>
      <c r="M392" s="51">
        <f>'RESUMEN TOTAL'!V395</f>
        <v>0</v>
      </c>
      <c r="N392" s="51">
        <f>'RESUMEN TOTAL'!W395</f>
        <v>0</v>
      </c>
      <c r="O392" s="51">
        <f>'RESUMEN TOTAL'!X395</f>
        <v>0</v>
      </c>
      <c r="P392" s="51">
        <f>'RESUMEN TOTAL'!Y395</f>
        <v>0</v>
      </c>
      <c r="Q392" s="51">
        <f>'RESUMEN TOTAL'!Z395</f>
        <v>0</v>
      </c>
      <c r="R392" s="51">
        <f>'RESUMEN TOTAL'!AA395</f>
        <v>0</v>
      </c>
      <c r="S392" s="51">
        <f>'RESUMEN TOTAL'!AB395</f>
        <v>0</v>
      </c>
      <c r="T392" s="51">
        <f>'RESUMEN TOTAL'!AC395</f>
        <v>0</v>
      </c>
      <c r="U392" s="51">
        <f>'RESUMEN TOTAL'!AD395</f>
        <v>0</v>
      </c>
      <c r="V392" s="51">
        <f>'RESUMEN TOTAL'!AE395</f>
        <v>0</v>
      </c>
      <c r="W392" s="51">
        <f>'RESUMEN TOTAL'!AF395</f>
        <v>0</v>
      </c>
      <c r="X392" s="51">
        <f>'RESUMEN TOTAL'!AG395</f>
        <v>0</v>
      </c>
      <c r="Y392" s="51">
        <f>'RESUMEN TOTAL'!AH395</f>
        <v>0</v>
      </c>
      <c r="Z392" s="51">
        <f>'RESUMEN TOTAL'!AI395</f>
        <v>0</v>
      </c>
      <c r="AA392" s="51">
        <f>'RESUMEN TOTAL'!AJ395</f>
        <v>0</v>
      </c>
      <c r="AB392" s="51">
        <f>'RESUMEN TOTAL'!AK395</f>
        <v>0</v>
      </c>
      <c r="AC392" s="51">
        <f>'RESUMEN TOTAL'!AL395</f>
        <v>0</v>
      </c>
      <c r="AD392" s="51">
        <f>'RESUMEN TOTAL'!AM395</f>
        <v>0</v>
      </c>
      <c r="AE392" s="51">
        <f>'RESUMEN TOTAL'!AN395</f>
        <v>0</v>
      </c>
      <c r="AF392" s="51">
        <f>'RESUMEN TOTAL'!AO395</f>
        <v>0</v>
      </c>
      <c r="AG392" s="51">
        <f>'RESUMEN TOTAL'!AP395</f>
        <v>0</v>
      </c>
      <c r="AH392" s="51">
        <f>'RESUMEN TOTAL'!AQ395</f>
        <v>0</v>
      </c>
      <c r="AI392" s="51">
        <f>'RESUMEN TOTAL'!AR395</f>
        <v>0</v>
      </c>
    </row>
    <row r="393" spans="1:35" x14ac:dyDescent="0.25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TOTAL'!O396</f>
        <v>0</v>
      </c>
      <c r="G393" s="51">
        <f>'RESUMEN TOTAL'!P396</f>
        <v>0</v>
      </c>
      <c r="H393" s="51">
        <f>'RESUMEN TOTAL'!Q396</f>
        <v>0</v>
      </c>
      <c r="I393" s="51">
        <f>'RESUMEN TOTAL'!R396</f>
        <v>0</v>
      </c>
      <c r="J393" s="51">
        <f>'RESUMEN TOTAL'!S396</f>
        <v>0</v>
      </c>
      <c r="K393" s="51">
        <f>'RESUMEN TOTAL'!T396</f>
        <v>0</v>
      </c>
      <c r="L393" s="51">
        <f>'RESUMEN TOTAL'!U396</f>
        <v>0</v>
      </c>
      <c r="M393" s="51">
        <f>'RESUMEN TOTAL'!V396</f>
        <v>0</v>
      </c>
      <c r="N393" s="51">
        <f>'RESUMEN TOTAL'!W396</f>
        <v>0</v>
      </c>
      <c r="O393" s="51">
        <f>'RESUMEN TOTAL'!X396</f>
        <v>0</v>
      </c>
      <c r="P393" s="51">
        <f>'RESUMEN TOTAL'!Y396</f>
        <v>0</v>
      </c>
      <c r="Q393" s="51">
        <f>'RESUMEN TOTAL'!Z396</f>
        <v>0</v>
      </c>
      <c r="R393" s="51">
        <f>'RESUMEN TOTAL'!AA396</f>
        <v>0</v>
      </c>
      <c r="S393" s="51">
        <f>'RESUMEN TOTAL'!AB396</f>
        <v>0</v>
      </c>
      <c r="T393" s="51">
        <f>'RESUMEN TOTAL'!AC396</f>
        <v>0</v>
      </c>
      <c r="U393" s="51">
        <f>'RESUMEN TOTAL'!AD396</f>
        <v>0</v>
      </c>
      <c r="V393" s="51">
        <f>'RESUMEN TOTAL'!AE396</f>
        <v>0</v>
      </c>
      <c r="W393" s="51">
        <f>'RESUMEN TOTAL'!AF396</f>
        <v>0</v>
      </c>
      <c r="X393" s="51">
        <f>'RESUMEN TOTAL'!AG396</f>
        <v>0</v>
      </c>
      <c r="Y393" s="51">
        <f>'RESUMEN TOTAL'!AH396</f>
        <v>0</v>
      </c>
      <c r="Z393" s="51">
        <f>'RESUMEN TOTAL'!AI396</f>
        <v>0</v>
      </c>
      <c r="AA393" s="51">
        <f>'RESUMEN TOTAL'!AJ396</f>
        <v>0</v>
      </c>
      <c r="AB393" s="51">
        <f>'RESUMEN TOTAL'!AK396</f>
        <v>0</v>
      </c>
      <c r="AC393" s="51">
        <f>'RESUMEN TOTAL'!AL396</f>
        <v>0</v>
      </c>
      <c r="AD393" s="51">
        <f>'RESUMEN TOTAL'!AM396</f>
        <v>0</v>
      </c>
      <c r="AE393" s="51">
        <f>'RESUMEN TOTAL'!AN396</f>
        <v>0</v>
      </c>
      <c r="AF393" s="51">
        <f>'RESUMEN TOTAL'!AO396</f>
        <v>0</v>
      </c>
      <c r="AG393" s="51">
        <f>'RESUMEN TOTAL'!AP396</f>
        <v>0</v>
      </c>
      <c r="AH393" s="51">
        <f>'RESUMEN TOTAL'!AQ396</f>
        <v>0</v>
      </c>
      <c r="AI393" s="51">
        <f>'RESUMEN TOTAL'!AR396</f>
        <v>0</v>
      </c>
    </row>
    <row r="394" spans="1:35" x14ac:dyDescent="0.25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TOTAL'!O397</f>
        <v>0</v>
      </c>
      <c r="G394" s="51">
        <f>'RESUMEN TOTAL'!P397</f>
        <v>0</v>
      </c>
      <c r="H394" s="51">
        <f>'RESUMEN TOTAL'!Q397</f>
        <v>0</v>
      </c>
      <c r="I394" s="51">
        <f>'RESUMEN TOTAL'!R397</f>
        <v>0</v>
      </c>
      <c r="J394" s="51">
        <f>'RESUMEN TOTAL'!S397</f>
        <v>0</v>
      </c>
      <c r="K394" s="51">
        <f>'RESUMEN TOTAL'!T397</f>
        <v>0</v>
      </c>
      <c r="L394" s="51">
        <f>'RESUMEN TOTAL'!U397</f>
        <v>0</v>
      </c>
      <c r="M394" s="51">
        <f>'RESUMEN TOTAL'!V397</f>
        <v>0</v>
      </c>
      <c r="N394" s="51">
        <f>'RESUMEN TOTAL'!W397</f>
        <v>0</v>
      </c>
      <c r="O394" s="51">
        <f>'RESUMEN TOTAL'!X397</f>
        <v>0</v>
      </c>
      <c r="P394" s="51">
        <f>'RESUMEN TOTAL'!Y397</f>
        <v>0</v>
      </c>
      <c r="Q394" s="51">
        <f>'RESUMEN TOTAL'!Z397</f>
        <v>0</v>
      </c>
      <c r="R394" s="51">
        <f>'RESUMEN TOTAL'!AA397</f>
        <v>0</v>
      </c>
      <c r="S394" s="51">
        <f>'RESUMEN TOTAL'!AB397</f>
        <v>0</v>
      </c>
      <c r="T394" s="51">
        <f>'RESUMEN TOTAL'!AC397</f>
        <v>0</v>
      </c>
      <c r="U394" s="51">
        <f>'RESUMEN TOTAL'!AD397</f>
        <v>0</v>
      </c>
      <c r="V394" s="51">
        <f>'RESUMEN TOTAL'!AE397</f>
        <v>0</v>
      </c>
      <c r="W394" s="51">
        <f>'RESUMEN TOTAL'!AF397</f>
        <v>0</v>
      </c>
      <c r="X394" s="51">
        <f>'RESUMEN TOTAL'!AG397</f>
        <v>0</v>
      </c>
      <c r="Y394" s="51">
        <f>'RESUMEN TOTAL'!AH397</f>
        <v>0</v>
      </c>
      <c r="Z394" s="51">
        <f>'RESUMEN TOTAL'!AI397</f>
        <v>0</v>
      </c>
      <c r="AA394" s="51">
        <f>'RESUMEN TOTAL'!AJ397</f>
        <v>0</v>
      </c>
      <c r="AB394" s="51">
        <f>'RESUMEN TOTAL'!AK397</f>
        <v>0</v>
      </c>
      <c r="AC394" s="51">
        <f>'RESUMEN TOTAL'!AL397</f>
        <v>0</v>
      </c>
      <c r="AD394" s="51">
        <f>'RESUMEN TOTAL'!AM397</f>
        <v>0</v>
      </c>
      <c r="AE394" s="51">
        <f>'RESUMEN TOTAL'!AN397</f>
        <v>0</v>
      </c>
      <c r="AF394" s="51">
        <f>'RESUMEN TOTAL'!AO397</f>
        <v>0</v>
      </c>
      <c r="AG394" s="51">
        <f>'RESUMEN TOTAL'!AP397</f>
        <v>0</v>
      </c>
      <c r="AH394" s="51">
        <f>'RESUMEN TOTAL'!AQ397</f>
        <v>0</v>
      </c>
      <c r="AI394" s="51">
        <f>'RESUMEN TOTAL'!AR397</f>
        <v>0</v>
      </c>
    </row>
    <row r="395" spans="1:35" x14ac:dyDescent="0.25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TOTAL'!O398</f>
        <v>0</v>
      </c>
      <c r="G395" s="51">
        <f>'RESUMEN TOTAL'!P398</f>
        <v>0</v>
      </c>
      <c r="H395" s="51">
        <f>'RESUMEN TOTAL'!Q398</f>
        <v>0</v>
      </c>
      <c r="I395" s="51">
        <f>'RESUMEN TOTAL'!R398</f>
        <v>0</v>
      </c>
      <c r="J395" s="51">
        <f>'RESUMEN TOTAL'!S398</f>
        <v>0</v>
      </c>
      <c r="K395" s="51">
        <f>'RESUMEN TOTAL'!T398</f>
        <v>0</v>
      </c>
      <c r="L395" s="51">
        <f>'RESUMEN TOTAL'!U398</f>
        <v>0</v>
      </c>
      <c r="M395" s="51">
        <f>'RESUMEN TOTAL'!V398</f>
        <v>0</v>
      </c>
      <c r="N395" s="51">
        <f>'RESUMEN TOTAL'!W398</f>
        <v>0</v>
      </c>
      <c r="O395" s="51">
        <f>'RESUMEN TOTAL'!X398</f>
        <v>0</v>
      </c>
      <c r="P395" s="51">
        <f>'RESUMEN TOTAL'!Y398</f>
        <v>0</v>
      </c>
      <c r="Q395" s="51">
        <f>'RESUMEN TOTAL'!Z398</f>
        <v>0</v>
      </c>
      <c r="R395" s="51">
        <f>'RESUMEN TOTAL'!AA398</f>
        <v>0</v>
      </c>
      <c r="S395" s="51">
        <f>'RESUMEN TOTAL'!AB398</f>
        <v>0</v>
      </c>
      <c r="T395" s="51">
        <f>'RESUMEN TOTAL'!AC398</f>
        <v>0</v>
      </c>
      <c r="U395" s="51">
        <f>'RESUMEN TOTAL'!AD398</f>
        <v>0</v>
      </c>
      <c r="V395" s="51">
        <f>'RESUMEN TOTAL'!AE398</f>
        <v>0</v>
      </c>
      <c r="W395" s="51">
        <f>'RESUMEN TOTAL'!AF398</f>
        <v>0</v>
      </c>
      <c r="X395" s="51">
        <f>'RESUMEN TOTAL'!AG398</f>
        <v>0</v>
      </c>
      <c r="Y395" s="51">
        <f>'RESUMEN TOTAL'!AH398</f>
        <v>0</v>
      </c>
      <c r="Z395" s="51">
        <f>'RESUMEN TOTAL'!AI398</f>
        <v>0</v>
      </c>
      <c r="AA395" s="51">
        <f>'RESUMEN TOTAL'!AJ398</f>
        <v>0</v>
      </c>
      <c r="AB395" s="51">
        <f>'RESUMEN TOTAL'!AK398</f>
        <v>0</v>
      </c>
      <c r="AC395" s="51">
        <f>'RESUMEN TOTAL'!AL398</f>
        <v>0</v>
      </c>
      <c r="AD395" s="51">
        <f>'RESUMEN TOTAL'!AM398</f>
        <v>0</v>
      </c>
      <c r="AE395" s="51">
        <f>'RESUMEN TOTAL'!AN398</f>
        <v>0</v>
      </c>
      <c r="AF395" s="51">
        <f>'RESUMEN TOTAL'!AO398</f>
        <v>0</v>
      </c>
      <c r="AG395" s="51">
        <f>'RESUMEN TOTAL'!AP398</f>
        <v>0</v>
      </c>
      <c r="AH395" s="51">
        <f>'RESUMEN TOTAL'!AQ398</f>
        <v>0</v>
      </c>
      <c r="AI395" s="51">
        <f>'RESUMEN TOTAL'!AR398</f>
        <v>0</v>
      </c>
    </row>
    <row r="396" spans="1:35" x14ac:dyDescent="0.25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TOTAL'!O399</f>
        <v>0</v>
      </c>
      <c r="G396" s="51">
        <f>'RESUMEN TOTAL'!P399</f>
        <v>0</v>
      </c>
      <c r="H396" s="51">
        <f>'RESUMEN TOTAL'!Q399</f>
        <v>0</v>
      </c>
      <c r="I396" s="51">
        <f>'RESUMEN TOTAL'!R399</f>
        <v>0</v>
      </c>
      <c r="J396" s="51">
        <f>'RESUMEN TOTAL'!S399</f>
        <v>0</v>
      </c>
      <c r="K396" s="51">
        <f>'RESUMEN TOTAL'!T399</f>
        <v>0</v>
      </c>
      <c r="L396" s="51">
        <f>'RESUMEN TOTAL'!U399</f>
        <v>0</v>
      </c>
      <c r="M396" s="51">
        <f>'RESUMEN TOTAL'!V399</f>
        <v>0</v>
      </c>
      <c r="N396" s="51">
        <f>'RESUMEN TOTAL'!W399</f>
        <v>0</v>
      </c>
      <c r="O396" s="51">
        <f>'RESUMEN TOTAL'!X399</f>
        <v>0</v>
      </c>
      <c r="P396" s="51">
        <f>'RESUMEN TOTAL'!Y399</f>
        <v>0</v>
      </c>
      <c r="Q396" s="51">
        <f>'RESUMEN TOTAL'!Z399</f>
        <v>0</v>
      </c>
      <c r="R396" s="51">
        <f>'RESUMEN TOTAL'!AA399</f>
        <v>0</v>
      </c>
      <c r="S396" s="51">
        <f>'RESUMEN TOTAL'!AB399</f>
        <v>0</v>
      </c>
      <c r="T396" s="51">
        <f>'RESUMEN TOTAL'!AC399</f>
        <v>0</v>
      </c>
      <c r="U396" s="51">
        <f>'RESUMEN TOTAL'!AD399</f>
        <v>0</v>
      </c>
      <c r="V396" s="51">
        <f>'RESUMEN TOTAL'!AE399</f>
        <v>0</v>
      </c>
      <c r="W396" s="51">
        <f>'RESUMEN TOTAL'!AF399</f>
        <v>0</v>
      </c>
      <c r="X396" s="51">
        <f>'RESUMEN TOTAL'!AG399</f>
        <v>0</v>
      </c>
      <c r="Y396" s="51">
        <f>'RESUMEN TOTAL'!AH399</f>
        <v>0</v>
      </c>
      <c r="Z396" s="51">
        <f>'RESUMEN TOTAL'!AI399</f>
        <v>0</v>
      </c>
      <c r="AA396" s="51">
        <f>'RESUMEN TOTAL'!AJ399</f>
        <v>0</v>
      </c>
      <c r="AB396" s="51">
        <f>'RESUMEN TOTAL'!AK399</f>
        <v>0</v>
      </c>
      <c r="AC396" s="51">
        <f>'RESUMEN TOTAL'!AL399</f>
        <v>0</v>
      </c>
      <c r="AD396" s="51">
        <f>'RESUMEN TOTAL'!AM399</f>
        <v>0</v>
      </c>
      <c r="AE396" s="51">
        <f>'RESUMEN TOTAL'!AN399</f>
        <v>0</v>
      </c>
      <c r="AF396" s="51">
        <f>'RESUMEN TOTAL'!AO399</f>
        <v>0</v>
      </c>
      <c r="AG396" s="51">
        <f>'RESUMEN TOTAL'!AP399</f>
        <v>0</v>
      </c>
      <c r="AH396" s="51">
        <f>'RESUMEN TOTAL'!AQ399</f>
        <v>0</v>
      </c>
      <c r="AI396" s="51">
        <f>'RESUMEN TOTAL'!AR399</f>
        <v>0</v>
      </c>
    </row>
    <row r="397" spans="1:35" x14ac:dyDescent="0.25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TOTAL'!O400</f>
        <v>0</v>
      </c>
      <c r="G397" s="51">
        <f>'RESUMEN TOTAL'!P400</f>
        <v>0</v>
      </c>
      <c r="H397" s="51">
        <f>'RESUMEN TOTAL'!Q400</f>
        <v>0</v>
      </c>
      <c r="I397" s="51">
        <f>'RESUMEN TOTAL'!R400</f>
        <v>0</v>
      </c>
      <c r="J397" s="51">
        <f>'RESUMEN TOTAL'!S400</f>
        <v>0</v>
      </c>
      <c r="K397" s="51">
        <f>'RESUMEN TOTAL'!T400</f>
        <v>0</v>
      </c>
      <c r="L397" s="51">
        <f>'RESUMEN TOTAL'!U400</f>
        <v>0</v>
      </c>
      <c r="M397" s="51">
        <f>'RESUMEN TOTAL'!V400</f>
        <v>0</v>
      </c>
      <c r="N397" s="51">
        <f>'RESUMEN TOTAL'!W400</f>
        <v>0</v>
      </c>
      <c r="O397" s="51">
        <f>'RESUMEN TOTAL'!X400</f>
        <v>0</v>
      </c>
      <c r="P397" s="51">
        <f>'RESUMEN TOTAL'!Y400</f>
        <v>0</v>
      </c>
      <c r="Q397" s="51">
        <f>'RESUMEN TOTAL'!Z400</f>
        <v>0</v>
      </c>
      <c r="R397" s="51">
        <f>'RESUMEN TOTAL'!AA400</f>
        <v>0</v>
      </c>
      <c r="S397" s="51">
        <f>'RESUMEN TOTAL'!AB400</f>
        <v>0</v>
      </c>
      <c r="T397" s="51">
        <f>'RESUMEN TOTAL'!AC400</f>
        <v>0</v>
      </c>
      <c r="U397" s="51">
        <f>'RESUMEN TOTAL'!AD400</f>
        <v>0</v>
      </c>
      <c r="V397" s="51">
        <f>'RESUMEN TOTAL'!AE400</f>
        <v>0</v>
      </c>
      <c r="W397" s="51">
        <f>'RESUMEN TOTAL'!AF400</f>
        <v>0</v>
      </c>
      <c r="X397" s="51">
        <f>'RESUMEN TOTAL'!AG400</f>
        <v>0</v>
      </c>
      <c r="Y397" s="51">
        <f>'RESUMEN TOTAL'!AH400</f>
        <v>0</v>
      </c>
      <c r="Z397" s="51">
        <f>'RESUMEN TOTAL'!AI400</f>
        <v>0</v>
      </c>
      <c r="AA397" s="51">
        <f>'RESUMEN TOTAL'!AJ400</f>
        <v>0</v>
      </c>
      <c r="AB397" s="51">
        <f>'RESUMEN TOTAL'!AK400</f>
        <v>0</v>
      </c>
      <c r="AC397" s="51">
        <f>'RESUMEN TOTAL'!AL400</f>
        <v>0</v>
      </c>
      <c r="AD397" s="51">
        <f>'RESUMEN TOTAL'!AM400</f>
        <v>0</v>
      </c>
      <c r="AE397" s="51">
        <f>'RESUMEN TOTAL'!AN400</f>
        <v>0</v>
      </c>
      <c r="AF397" s="51">
        <f>'RESUMEN TOTAL'!AO400</f>
        <v>0</v>
      </c>
      <c r="AG397" s="51">
        <f>'RESUMEN TOTAL'!AP400</f>
        <v>0</v>
      </c>
      <c r="AH397" s="51">
        <f>'RESUMEN TOTAL'!AQ400</f>
        <v>0</v>
      </c>
      <c r="AI397" s="51">
        <f>'RESUMEN TOTAL'!AR400</f>
        <v>0</v>
      </c>
    </row>
    <row r="398" spans="1:35" x14ac:dyDescent="0.25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TOTAL'!O401</f>
        <v>0</v>
      </c>
      <c r="G398" s="51">
        <f>'RESUMEN TOTAL'!P401</f>
        <v>0</v>
      </c>
      <c r="H398" s="51">
        <f>'RESUMEN TOTAL'!Q401</f>
        <v>0</v>
      </c>
      <c r="I398" s="51">
        <f>'RESUMEN TOTAL'!R401</f>
        <v>0</v>
      </c>
      <c r="J398" s="51">
        <f>'RESUMEN TOTAL'!S401</f>
        <v>0</v>
      </c>
      <c r="K398" s="51">
        <f>'RESUMEN TOTAL'!T401</f>
        <v>0</v>
      </c>
      <c r="L398" s="51">
        <f>'RESUMEN TOTAL'!U401</f>
        <v>0</v>
      </c>
      <c r="M398" s="51">
        <f>'RESUMEN TOTAL'!V401</f>
        <v>0</v>
      </c>
      <c r="N398" s="51">
        <f>'RESUMEN TOTAL'!W401</f>
        <v>0</v>
      </c>
      <c r="O398" s="51">
        <f>'RESUMEN TOTAL'!X401</f>
        <v>0</v>
      </c>
      <c r="P398" s="51">
        <f>'RESUMEN TOTAL'!Y401</f>
        <v>0</v>
      </c>
      <c r="Q398" s="51">
        <f>'RESUMEN TOTAL'!Z401</f>
        <v>0</v>
      </c>
      <c r="R398" s="51">
        <f>'RESUMEN TOTAL'!AA401</f>
        <v>0</v>
      </c>
      <c r="S398" s="51">
        <f>'RESUMEN TOTAL'!AB401</f>
        <v>0</v>
      </c>
      <c r="T398" s="51">
        <f>'RESUMEN TOTAL'!AC401</f>
        <v>0</v>
      </c>
      <c r="U398" s="51">
        <f>'RESUMEN TOTAL'!AD401</f>
        <v>0</v>
      </c>
      <c r="V398" s="51">
        <f>'RESUMEN TOTAL'!AE401</f>
        <v>0</v>
      </c>
      <c r="W398" s="51">
        <f>'RESUMEN TOTAL'!AF401</f>
        <v>0</v>
      </c>
      <c r="X398" s="51">
        <f>'RESUMEN TOTAL'!AG401</f>
        <v>0</v>
      </c>
      <c r="Y398" s="51">
        <f>'RESUMEN TOTAL'!AH401</f>
        <v>0</v>
      </c>
      <c r="Z398" s="51">
        <f>'RESUMEN TOTAL'!AI401</f>
        <v>0</v>
      </c>
      <c r="AA398" s="51">
        <f>'RESUMEN TOTAL'!AJ401</f>
        <v>0</v>
      </c>
      <c r="AB398" s="51">
        <f>'RESUMEN TOTAL'!AK401</f>
        <v>0</v>
      </c>
      <c r="AC398" s="51">
        <f>'RESUMEN TOTAL'!AL401</f>
        <v>0</v>
      </c>
      <c r="AD398" s="51">
        <f>'RESUMEN TOTAL'!AM401</f>
        <v>0</v>
      </c>
      <c r="AE398" s="51">
        <f>'RESUMEN TOTAL'!AN401</f>
        <v>0</v>
      </c>
      <c r="AF398" s="51">
        <f>'RESUMEN TOTAL'!AO401</f>
        <v>0</v>
      </c>
      <c r="AG398" s="51">
        <f>'RESUMEN TOTAL'!AP401</f>
        <v>0</v>
      </c>
      <c r="AH398" s="51">
        <f>'RESUMEN TOTAL'!AQ401</f>
        <v>0</v>
      </c>
      <c r="AI398" s="51">
        <f>'RESUMEN TOTAL'!AR401</f>
        <v>0</v>
      </c>
    </row>
    <row r="399" spans="1:35" x14ac:dyDescent="0.25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TOTAL'!O402</f>
        <v>0</v>
      </c>
      <c r="G399" s="51">
        <f>'RESUMEN TOTAL'!P402</f>
        <v>0</v>
      </c>
      <c r="H399" s="51">
        <f>'RESUMEN TOTAL'!Q402</f>
        <v>0</v>
      </c>
      <c r="I399" s="51">
        <f>'RESUMEN TOTAL'!R402</f>
        <v>0</v>
      </c>
      <c r="J399" s="51">
        <f>'RESUMEN TOTAL'!S402</f>
        <v>0</v>
      </c>
      <c r="K399" s="51">
        <f>'RESUMEN TOTAL'!T402</f>
        <v>0</v>
      </c>
      <c r="L399" s="51">
        <f>'RESUMEN TOTAL'!U402</f>
        <v>0</v>
      </c>
      <c r="M399" s="51">
        <f>'RESUMEN TOTAL'!V402</f>
        <v>0</v>
      </c>
      <c r="N399" s="51">
        <f>'RESUMEN TOTAL'!W402</f>
        <v>0</v>
      </c>
      <c r="O399" s="51">
        <f>'RESUMEN TOTAL'!X402</f>
        <v>0</v>
      </c>
      <c r="P399" s="51">
        <f>'RESUMEN TOTAL'!Y402</f>
        <v>0</v>
      </c>
      <c r="Q399" s="51">
        <f>'RESUMEN TOTAL'!Z402</f>
        <v>0</v>
      </c>
      <c r="R399" s="51">
        <f>'RESUMEN TOTAL'!AA402</f>
        <v>0</v>
      </c>
      <c r="S399" s="51">
        <f>'RESUMEN TOTAL'!AB402</f>
        <v>0</v>
      </c>
      <c r="T399" s="51">
        <f>'RESUMEN TOTAL'!AC402</f>
        <v>0</v>
      </c>
      <c r="U399" s="51">
        <f>'RESUMEN TOTAL'!AD402</f>
        <v>0</v>
      </c>
      <c r="V399" s="51">
        <f>'RESUMEN TOTAL'!AE402</f>
        <v>0</v>
      </c>
      <c r="W399" s="51">
        <f>'RESUMEN TOTAL'!AF402</f>
        <v>0</v>
      </c>
      <c r="X399" s="51">
        <f>'RESUMEN TOTAL'!AG402</f>
        <v>0</v>
      </c>
      <c r="Y399" s="51">
        <f>'RESUMEN TOTAL'!AH402</f>
        <v>0</v>
      </c>
      <c r="Z399" s="51">
        <f>'RESUMEN TOTAL'!AI402</f>
        <v>0</v>
      </c>
      <c r="AA399" s="51">
        <f>'RESUMEN TOTAL'!AJ402</f>
        <v>0</v>
      </c>
      <c r="AB399" s="51">
        <f>'RESUMEN TOTAL'!AK402</f>
        <v>0</v>
      </c>
      <c r="AC399" s="51">
        <f>'RESUMEN TOTAL'!AL402</f>
        <v>0</v>
      </c>
      <c r="AD399" s="51">
        <f>'RESUMEN TOTAL'!AM402</f>
        <v>0</v>
      </c>
      <c r="AE399" s="51">
        <f>'RESUMEN TOTAL'!AN402</f>
        <v>0</v>
      </c>
      <c r="AF399" s="51">
        <f>'RESUMEN TOTAL'!AO402</f>
        <v>0</v>
      </c>
      <c r="AG399" s="51">
        <f>'RESUMEN TOTAL'!AP402</f>
        <v>0</v>
      </c>
      <c r="AH399" s="51">
        <f>'RESUMEN TOTAL'!AQ402</f>
        <v>0</v>
      </c>
      <c r="AI399" s="51">
        <f>'RESUMEN TOTAL'!AR402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K8" sqref="AK8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0</v>
      </c>
      <c r="I1" s="26">
        <f t="shared" si="0"/>
        <v>0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 t="shared" si="0"/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25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25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25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25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>
        <f>ESTADISTICA!H382</f>
        <v>0</v>
      </c>
      <c r="I383" s="51">
        <f>ESTADISTICA!I382</f>
        <v>0</v>
      </c>
      <c r="J383" s="51">
        <f>ESTADISTICA!J382</f>
        <v>0</v>
      </c>
      <c r="K383" s="51">
        <f>ESTADISTICA!K382</f>
        <v>0</v>
      </c>
      <c r="L383" s="51">
        <f>ESTADISTICA!L382</f>
        <v>0</v>
      </c>
      <c r="M383" s="51">
        <f>ESTADISTICA!M382</f>
        <v>0</v>
      </c>
      <c r="N383" s="51">
        <f>ESTADISTICA!N382</f>
        <v>0</v>
      </c>
      <c r="O383" s="51">
        <f>ESTADISTICA!O382</f>
        <v>0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25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>
        <f>ESTADISTICA!H383</f>
        <v>0</v>
      </c>
      <c r="I384" s="51">
        <f>ESTADISTICA!I383</f>
        <v>0</v>
      </c>
      <c r="J384" s="51">
        <f>ESTADISTICA!J383</f>
        <v>0</v>
      </c>
      <c r="K384" s="51">
        <f>ESTADISTICA!K383</f>
        <v>0</v>
      </c>
      <c r="L384" s="51">
        <f>ESTADISTICA!L383</f>
        <v>0</v>
      </c>
      <c r="M384" s="51">
        <f>ESTADISTICA!M383</f>
        <v>0</v>
      </c>
      <c r="N384" s="51">
        <f>ESTADISTICA!N383</f>
        <v>0</v>
      </c>
      <c r="O384" s="51">
        <f>ESTADISTICA!O383</f>
        <v>0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25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>
        <f>ESTADISTICA!H384</f>
        <v>0</v>
      </c>
      <c r="I385" s="51">
        <f>ESTADISTICA!I384</f>
        <v>0</v>
      </c>
      <c r="J385" s="51">
        <f>ESTADISTICA!J384</f>
        <v>0</v>
      </c>
      <c r="K385" s="51">
        <f>ESTADISTICA!K384</f>
        <v>0</v>
      </c>
      <c r="L385" s="51">
        <f>ESTADISTICA!L384</f>
        <v>0</v>
      </c>
      <c r="M385" s="51">
        <f>ESTADISTICA!M384</f>
        <v>0</v>
      </c>
      <c r="N385" s="51">
        <f>ESTADISTICA!N384</f>
        <v>0</v>
      </c>
      <c r="O385" s="51">
        <f>ESTADISTICA!O384</f>
        <v>0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25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>
        <f>ESTADISTICA!H385</f>
        <v>0</v>
      </c>
      <c r="I386" s="51">
        <f>ESTADISTICA!I385</f>
        <v>0</v>
      </c>
      <c r="J386" s="51">
        <f>ESTADISTICA!J385</f>
        <v>0</v>
      </c>
      <c r="K386" s="51">
        <f>ESTADISTICA!K385</f>
        <v>0</v>
      </c>
      <c r="L386" s="51">
        <f>ESTADISTICA!L385</f>
        <v>0</v>
      </c>
      <c r="M386" s="51">
        <f>ESTADISTICA!M385</f>
        <v>0</v>
      </c>
      <c r="N386" s="51">
        <f>ESTADISTICA!N385</f>
        <v>0</v>
      </c>
      <c r="O386" s="51">
        <f>ESTADISTICA!O385</f>
        <v>0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x14ac:dyDescent="0.25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25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25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25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25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25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25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25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25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25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25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25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25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25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25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379" xr:uid="{2CD2C71F-307D-4E12-901F-A6B69A40CA8C}"/>
  <conditionalFormatting sqref="F3:AI401">
    <cfRule type="cellIs" dxfId="142" priority="1" operator="equal">
      <formula>0</formula>
    </cfRule>
    <cfRule type="cellIs" dxfId="14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E377" sqref="E377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8" t="s">
        <v>1190</v>
      </c>
      <c r="D1" s="49">
        <f>COUNTIFS(E4:E400,"=Fibra Optica")</f>
        <v>261</v>
      </c>
    </row>
    <row r="2" spans="1:35" ht="21" x14ac:dyDescent="0.35">
      <c r="E2" s="26" t="s">
        <v>821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0</v>
      </c>
      <c r="I2" s="26">
        <f>COUNTIFS(I4:I400, "=APAGADO",E4:E400,"=Fibra Optica")</f>
        <v>0</v>
      </c>
      <c r="J2" s="26">
        <f>COUNTIFS(J4:J400, "=APAGADO",E4:E400,"=Fibra Optica")</f>
        <v>0</v>
      </c>
      <c r="K2" s="26">
        <f>COUNTIFS(K4:K400, "=APAGADO",E4:E400,"=Fibra Optica")</f>
        <v>0</v>
      </c>
      <c r="L2" s="26">
        <f>COUNTIFS(L4:L400, "=APAGADO",E4:E400,"=Fibra Optica")</f>
        <v>0</v>
      </c>
      <c r="M2" s="26">
        <f>COUNTIFS(M4:M400, "=APAGADO",E4:E400,"=Fibra Optica")</f>
        <v>0</v>
      </c>
      <c r="N2" s="26">
        <f>COUNTIFS(N4:N400, "=APAGADO",E4:E400,"=Fibra Optica")</f>
        <v>0</v>
      </c>
      <c r="O2" s="26">
        <f>COUNTIFS(O4:O400, "=APAGADO",E4:E400,"=Fibra Optica")</f>
        <v>0</v>
      </c>
      <c r="P2" s="26">
        <f>COUNTIFS(P4:P400, "=APAGADO",E4:E400,"=Fibra Optica")</f>
        <v>0</v>
      </c>
      <c r="Q2" s="26">
        <f>COUNTIFS(Q4:Q400, "=APAGADO",E4:E400,"=Fibra Optica")</f>
        <v>0</v>
      </c>
      <c r="R2" s="26">
        <f>COUNTIFS(R4:R400, "=APAGADO",E4:E400,"=Fibra Optica")</f>
        <v>0</v>
      </c>
      <c r="S2" s="26">
        <f>COUNTIFS(S4:S400, "=APAGADO",E4:E400,"=Fibra Optica")</f>
        <v>0</v>
      </c>
      <c r="T2" s="26">
        <f>COUNTIFS(T4:T400, "=APAGADO",E4:E400,"=Fibra Optica")</f>
        <v>0</v>
      </c>
      <c r="U2" s="26">
        <f>COUNTIFS(U4:U400, "=APAGADO",E4:E400,"=Fibra Optica")</f>
        <v>0</v>
      </c>
      <c r="V2" s="26">
        <f>COUNTIFS(V4:V400, "=APAGADO",E4:E400,"=Fibra Optica")</f>
        <v>0</v>
      </c>
      <c r="W2" s="26">
        <f>COUNTIFS(W4:W400, "=APAGADO",E4:E400,"=Fibra Optica")</f>
        <v>0</v>
      </c>
      <c r="X2" s="26">
        <f>COUNTIFS(X4:X400, "=APAGADO",E4:E400,"=Fibra Optica")</f>
        <v>0</v>
      </c>
      <c r="Y2" s="26">
        <f>COUNTIFS(Y4:Y400, "=APAGADO",E4:E400,"=Fibra Optica")</f>
        <v>0</v>
      </c>
      <c r="Z2" s="26">
        <f>COUNTIFS(Z4:Z400, "=APAGADO",E4:E400,"=Fibra Optica")</f>
        <v>0</v>
      </c>
      <c r="AA2" s="26">
        <f>COUNTIFS(AA4:AA400, "=APAGADO",E4:E400,"=Fibra Optica")</f>
        <v>0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33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0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H142" sqref="AH14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50" t="s">
        <v>1393</v>
      </c>
      <c r="D1" s="50">
        <f>COUNTIFS(E4:E400,"=PTo A FO")</f>
        <v>37</v>
      </c>
    </row>
    <row r="2" spans="1:35" ht="21" x14ac:dyDescent="0.35">
      <c r="E2" s="26" t="s">
        <v>821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0</v>
      </c>
      <c r="I2" s="26">
        <f>COUNTIFS(I4:I400, "=APAGADO",E4:E400,"=PTO A FO")</f>
        <v>0</v>
      </c>
      <c r="J2" s="26">
        <f>COUNTIFS(J4:J400, "=APAGADO",E4:E400,"=PTO A FO")</f>
        <v>0</v>
      </c>
      <c r="K2" s="26">
        <f>COUNTIFS(K4:K400, "=APAGADO",E4:E400,"=PTO A FO")</f>
        <v>0</v>
      </c>
      <c r="L2" s="26">
        <f>COUNTIFS(L4:L400, "=APAGADO",E4:E400,"=PTO A FO")</f>
        <v>0</v>
      </c>
      <c r="M2" s="26">
        <f>COUNTIFS(M4:M400, "=APAGADO",E4:E400,"=PTO A FO")</f>
        <v>0</v>
      </c>
      <c r="N2" s="26">
        <f>COUNTIFS(N4:N400, "=APAGADO",E4:E400,"=PTO A FO")</f>
        <v>0</v>
      </c>
      <c r="O2" s="26">
        <f>COUNTIFS(O4:O400, "=APAGADO",E4:E400,"=PTO A FO")</f>
        <v>0</v>
      </c>
      <c r="P2" s="26">
        <f>COUNTIFS(P4:P400, "=APAGADO",E4:E400,"=PTO A FO")</f>
        <v>0</v>
      </c>
      <c r="Q2" s="26">
        <f>COUNTIFS(Q4:Q400, "=APAGADO",E4:E400,"=PTO A FO")</f>
        <v>0</v>
      </c>
      <c r="R2" s="26">
        <f>COUNTIFS(R4:R400, "=APAGADO",E4:E400,"=PTO A FO")</f>
        <v>0</v>
      </c>
      <c r="S2" s="26">
        <f>COUNTIFS(S4:S400, "=APAGADO",E4:E400,"=PTO A FO")</f>
        <v>0</v>
      </c>
      <c r="T2" s="26">
        <f>COUNTIFS(T4:T400, "=APAGADO",E4:E400,"=PTO A FO")</f>
        <v>0</v>
      </c>
      <c r="U2" s="26">
        <f>COUNTIFS(U4:U400, "=APAGADO",E4:E400,"=PTO A FO")</f>
        <v>0</v>
      </c>
      <c r="V2" s="26">
        <f>COUNTIFS(V4:V400, "=APAGADO",E4:E400,"=PTO A FO")</f>
        <v>0</v>
      </c>
      <c r="W2" s="26">
        <f>COUNTIFS(W4:W400, "=APAGADO",E4:E400,"=PTO A FO")</f>
        <v>0</v>
      </c>
      <c r="X2" s="26">
        <f>COUNTIFS(X4:X400, "=APAGADO",E4:E400,"=PTO A FO")</f>
        <v>0</v>
      </c>
      <c r="Y2" s="26">
        <f>COUNTIFS(Y4:Y400, "=APAGADO",E4:E400,"=PTO A FO")</f>
        <v>0</v>
      </c>
      <c r="Z2" s="26">
        <f>COUNTIFS(Z4:Z400, "=APAGADO",E4:E400,"=PTO A FO")</f>
        <v>0</v>
      </c>
      <c r="AA2" s="26">
        <f>COUNTIFS(AA4:AA400, "=APAGADO",E4:E400,"=PTO A FO")</f>
        <v>0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25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25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25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25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25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25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25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25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25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25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25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25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25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25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25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25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25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25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25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25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25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25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25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25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25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25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25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25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25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25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25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25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25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25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25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25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25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25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25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25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25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25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25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25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25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25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25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25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25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25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25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25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25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25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33">
      <filters>
        <filter val="APAGADO"/>
      </filters>
    </filterColumn>
  </autoFilter>
  <conditionalFormatting sqref="AE3:AE1048576">
    <cfRule type="containsText" dxfId="139" priority="2" operator="containsText" text="APAGADO">
      <formula>NOT(ISERROR(SEARCH("APAGADO",AE3)))</formula>
    </cfRule>
  </conditionalFormatting>
  <conditionalFormatting sqref="F4:AI454">
    <cfRule type="containsText" dxfId="13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280" sqref="A280:XFD280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1191</v>
      </c>
      <c r="D1" s="50">
        <f>COUNTIFS(E4:E400,"=radio")</f>
        <v>94</v>
      </c>
    </row>
    <row r="2" spans="1:35" ht="21" x14ac:dyDescent="0.35">
      <c r="E2" s="26" t="s">
        <v>821</v>
      </c>
      <c r="F2" s="26">
        <f>COUNTIFS(F4:F367, "=APAGADO",E4:E367,"=radio")</f>
        <v>4</v>
      </c>
      <c r="G2" s="26">
        <f>COUNTIFS(G4:G367, "=APAGADO",E4:E367,"=radio")</f>
        <v>4</v>
      </c>
      <c r="H2" s="26">
        <f>COUNTIFS(H4:H367, "=APAGADO",E4:E367,"=radio")</f>
        <v>0</v>
      </c>
      <c r="I2" s="26">
        <f>COUNTIFS(I4:I367, "=APAGADO",E4:E367,"=radio")</f>
        <v>0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>
        <f>ESTADISTICA!L368</f>
        <v>0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25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>
        <f>ESTADISTICA!L369</f>
        <v>0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25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>
        <f>ESTADISTICA!L370</f>
        <v>0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25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>
        <f>ESTADISTICA!L371</f>
        <v>0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25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25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25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25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25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25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25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25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25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25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25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>
        <f>ESTADISTICA!H382</f>
        <v>0</v>
      </c>
      <c r="I384" s="51">
        <f>ESTADISTICA!I382</f>
        <v>0</v>
      </c>
      <c r="J384" s="51">
        <f>ESTADISTICA!J382</f>
        <v>0</v>
      </c>
      <c r="K384" s="51">
        <f>ESTADISTICA!K382</f>
        <v>0</v>
      </c>
      <c r="L384" s="51">
        <f>ESTADISTICA!L382</f>
        <v>0</v>
      </c>
      <c r="M384" s="51">
        <f>ESTADISTICA!M382</f>
        <v>0</v>
      </c>
      <c r="N384" s="51">
        <f>ESTADISTICA!N382</f>
        <v>0</v>
      </c>
      <c r="O384" s="51">
        <f>ESTADISTICA!O382</f>
        <v>0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25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>
        <f>ESTADISTICA!H383</f>
        <v>0</v>
      </c>
      <c r="I385" s="51">
        <f>ESTADISTICA!I383</f>
        <v>0</v>
      </c>
      <c r="J385" s="51">
        <f>ESTADISTICA!J383</f>
        <v>0</v>
      </c>
      <c r="K385" s="51">
        <f>ESTADISTICA!K383</f>
        <v>0</v>
      </c>
      <c r="L385" s="51">
        <f>ESTADISTICA!L383</f>
        <v>0</v>
      </c>
      <c r="M385" s="51">
        <f>ESTADISTICA!M383</f>
        <v>0</v>
      </c>
      <c r="N385" s="51">
        <f>ESTADISTICA!N383</f>
        <v>0</v>
      </c>
      <c r="O385" s="51">
        <f>ESTADISTICA!O383</f>
        <v>0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25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>
        <f>ESTADISTICA!H384</f>
        <v>0</v>
      </c>
      <c r="I386" s="51">
        <f>ESTADISTICA!I384</f>
        <v>0</v>
      </c>
      <c r="J386" s="51">
        <f>ESTADISTICA!J384</f>
        <v>0</v>
      </c>
      <c r="K386" s="51">
        <f>ESTADISTICA!K384</f>
        <v>0</v>
      </c>
      <c r="L386" s="51">
        <f>ESTADISTICA!L384</f>
        <v>0</v>
      </c>
      <c r="M386" s="51">
        <f>ESTADISTICA!M384</f>
        <v>0</v>
      </c>
      <c r="N386" s="51">
        <f>ESTADISTICA!N384</f>
        <v>0</v>
      </c>
      <c r="O386" s="51">
        <f>ESTADISTICA!O384</f>
        <v>0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25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>
        <f>ESTADISTICA!H385</f>
        <v>0</v>
      </c>
      <c r="I387" s="51">
        <f>ESTADISTICA!I385</f>
        <v>0</v>
      </c>
      <c r="J387" s="51">
        <f>ESTADISTICA!J385</f>
        <v>0</v>
      </c>
      <c r="K387" s="51">
        <f>ESTADISTICA!K385</f>
        <v>0</v>
      </c>
      <c r="L387" s="51">
        <f>ESTADISTICA!L385</f>
        <v>0</v>
      </c>
      <c r="M387" s="51">
        <f>ESTADISTICA!M385</f>
        <v>0</v>
      </c>
      <c r="N387" s="51">
        <f>ESTADISTICA!N385</f>
        <v>0</v>
      </c>
      <c r="O387" s="51">
        <f>ESTADISTICA!O385</f>
        <v>0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25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25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25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25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25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25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25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25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25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25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25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25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25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33">
      <filters>
        <filter val="APAGADO"/>
      </filters>
    </filterColumn>
  </autoFilter>
  <conditionalFormatting sqref="AE3:AE1048576">
    <cfRule type="containsText" dxfId="137" priority="2" operator="containsText" text="APAGADO">
      <formula>NOT(ISERROR(SEARCH("APAGADO",AE3)))</formula>
    </cfRule>
  </conditionalFormatting>
  <conditionalFormatting sqref="F4:AI400">
    <cfRule type="containsText" dxfId="13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4" sqref="R1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1185</v>
      </c>
      <c r="E1" t="s">
        <v>825</v>
      </c>
      <c r="F1" t="s">
        <v>824</v>
      </c>
      <c r="G1" s="55" t="s">
        <v>1202</v>
      </c>
    </row>
    <row r="2" spans="1:7" x14ac:dyDescent="0.25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25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25">
      <c r="A4" s="25">
        <f>'APAGADOS RADIO'!H3</f>
        <v>44776</v>
      </c>
      <c r="B4" s="51">
        <f>'APAGADOS RADIO'!H2+D4</f>
        <v>0</v>
      </c>
      <c r="C4" s="51">
        <f>'APAGADOS FIBRA'!H2</f>
        <v>0</v>
      </c>
      <c r="D4" s="51">
        <f>'APAGADOS ANTENA'!H2</f>
        <v>0</v>
      </c>
      <c r="E4" s="51">
        <f t="shared" ref="E4" si="3">B4+C4</f>
        <v>0</v>
      </c>
      <c r="F4" s="51">
        <f>'RESUMEN TOTAL'!B1</f>
        <v>392</v>
      </c>
      <c r="G4" s="55">
        <f t="shared" ref="G4" si="4">E4/F4</f>
        <v>0</v>
      </c>
    </row>
    <row r="5" spans="1:7" x14ac:dyDescent="0.25">
      <c r="A5" s="25">
        <f>'APAGADOS RADIO'!I3</f>
        <v>44777</v>
      </c>
      <c r="B5" s="51">
        <f>'APAGADOS RADIO'!I2+D5</f>
        <v>0</v>
      </c>
      <c r="C5" s="51">
        <f>'APAGADOS FIBRA'!I2</f>
        <v>0</v>
      </c>
      <c r="D5" s="51">
        <f>'APAGADOS ANTENA'!I2</f>
        <v>0</v>
      </c>
      <c r="E5" s="51">
        <f t="shared" ref="E5:E6" si="5">B5+C5</f>
        <v>0</v>
      </c>
      <c r="F5" s="51">
        <f>'RESUMEN TOTAL'!B1</f>
        <v>392</v>
      </c>
      <c r="G5" s="55">
        <f t="shared" ref="G5:G7" si="6">E5/F5</f>
        <v>0</v>
      </c>
    </row>
    <row r="6" spans="1:7" x14ac:dyDescent="0.25">
      <c r="A6" s="25">
        <f>'APAGADOS RADIO'!J3</f>
        <v>44778</v>
      </c>
      <c r="B6" s="51">
        <f>'APAGADOS RADIO'!J2+D6</f>
        <v>0</v>
      </c>
      <c r="C6" s="51">
        <f>'APAGADOS FIBRA'!J2</f>
        <v>0</v>
      </c>
      <c r="D6" s="51">
        <f>'APAGADOS ANTENA'!J2</f>
        <v>0</v>
      </c>
      <c r="E6" s="51">
        <f t="shared" si="5"/>
        <v>0</v>
      </c>
      <c r="F6" s="51">
        <f>'RESUMEN TOTAL'!B1</f>
        <v>392</v>
      </c>
      <c r="G6" s="55">
        <f t="shared" si="6"/>
        <v>0</v>
      </c>
    </row>
    <row r="7" spans="1:7" x14ac:dyDescent="0.25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44780</v>
      </c>
      <c r="B8" s="51">
        <f>'APAGADOS RADIO'!L2+D8</f>
        <v>0</v>
      </c>
      <c r="C8" s="51">
        <f>'APAGADOS FIBRA'!L2</f>
        <v>0</v>
      </c>
      <c r="D8" s="51">
        <f>'APAGADOS ANTENA'!L2</f>
        <v>0</v>
      </c>
      <c r="E8" s="51">
        <f t="shared" ref="E8" si="7">B8+C8</f>
        <v>0</v>
      </c>
      <c r="F8" s="51">
        <f>'RESUMEN TOTAL'!B1</f>
        <v>392</v>
      </c>
      <c r="G8" s="55">
        <f t="shared" ref="G8" si="8">E8/F8</f>
        <v>0</v>
      </c>
    </row>
    <row r="9" spans="1:7" x14ac:dyDescent="0.25">
      <c r="A9" s="25">
        <f>'APAGADOS RADIO'!M3</f>
        <v>44781</v>
      </c>
      <c r="B9" s="51">
        <f>'APAGADOS RADIO'!M2+D9</f>
        <v>0</v>
      </c>
      <c r="C9" s="51">
        <f>'APAGADOS FIBRA'!M2</f>
        <v>0</v>
      </c>
      <c r="D9" s="51">
        <f>'APAGADOS ANTENA'!M2</f>
        <v>0</v>
      </c>
      <c r="E9" s="51">
        <f t="shared" ref="E9" si="9">B9+C9</f>
        <v>0</v>
      </c>
      <c r="F9" s="51">
        <f>'RESUMEN TOTAL'!B1</f>
        <v>392</v>
      </c>
      <c r="G9" s="55">
        <f t="shared" ref="G9" si="10">E9/F9</f>
        <v>0</v>
      </c>
    </row>
    <row r="10" spans="1:7" x14ac:dyDescent="0.25">
      <c r="A10" s="25">
        <f>'APAGADOS RADIO'!N3</f>
        <v>44782</v>
      </c>
      <c r="B10" s="51">
        <f>'APAGADOS RADIO'!N2+D10</f>
        <v>0</v>
      </c>
      <c r="C10" s="51">
        <f>'APAGADOS FIBRA'!N2</f>
        <v>0</v>
      </c>
      <c r="D10" s="51">
        <f>'APAGADOS ANTENA'!N2</f>
        <v>0</v>
      </c>
      <c r="E10" s="51">
        <f t="shared" ref="E10" si="11">B10+C10</f>
        <v>0</v>
      </c>
      <c r="F10" s="51">
        <f>'RESUMEN TOTAL'!B1</f>
        <v>392</v>
      </c>
      <c r="G10" s="55">
        <f t="shared" ref="G10" si="12">E10/F10</f>
        <v>0</v>
      </c>
    </row>
    <row r="11" spans="1:7" x14ac:dyDescent="0.25">
      <c r="A11" s="25">
        <f>'APAGADOS RADIO'!O3</f>
        <v>44783</v>
      </c>
      <c r="B11" s="51">
        <f>'APAGADOS RADIO'!O2+D11</f>
        <v>0</v>
      </c>
      <c r="C11" s="51">
        <f>'APAGADOS FIBRA'!O2</f>
        <v>0</v>
      </c>
      <c r="D11" s="51">
        <f>'APAGADOS ANTENA'!O2</f>
        <v>0</v>
      </c>
      <c r="E11" s="51">
        <f t="shared" ref="E11" si="13">B11+C11</f>
        <v>0</v>
      </c>
      <c r="F11" s="51">
        <f>'RESUMEN TOTAL'!B1</f>
        <v>392</v>
      </c>
      <c r="G11" s="55">
        <f t="shared" ref="G11" si="14">E11/F11</f>
        <v>0</v>
      </c>
    </row>
    <row r="12" spans="1:7" x14ac:dyDescent="0.25">
      <c r="A12" s="25">
        <f>'APAGADOS RADIO'!P3</f>
        <v>44784</v>
      </c>
      <c r="B12" s="51">
        <f>'APAGADOS RADIO'!P2+D12</f>
        <v>0</v>
      </c>
      <c r="C12" s="51">
        <f>'APAGADOS FIBRA'!P2</f>
        <v>0</v>
      </c>
      <c r="D12" s="51">
        <f>'APAGADOS ANTENA'!P2</f>
        <v>0</v>
      </c>
      <c r="E12" s="51">
        <f t="shared" ref="E12" si="15">B12+C12</f>
        <v>0</v>
      </c>
      <c r="F12" s="51">
        <f>'RESUMEN TOTAL'!B1</f>
        <v>392</v>
      </c>
      <c r="G12" s="55">
        <f t="shared" ref="G12" si="16">E12/F12</f>
        <v>0</v>
      </c>
    </row>
    <row r="13" spans="1:7" x14ac:dyDescent="0.25">
      <c r="A13" s="25">
        <f>'APAGADOS RADIO'!Q3</f>
        <v>44785</v>
      </c>
      <c r="B13" s="51">
        <f>'APAGADOS RADIO'!Q2+D13</f>
        <v>0</v>
      </c>
      <c r="C13" s="51">
        <f>'APAGADOS FIBRA'!Q2</f>
        <v>0</v>
      </c>
      <c r="D13" s="51">
        <f>'APAGADOS ANTENA'!Q2</f>
        <v>0</v>
      </c>
      <c r="E13" s="51">
        <f t="shared" ref="E13:E14" si="17">B13+C13</f>
        <v>0</v>
      </c>
      <c r="F13" s="51">
        <f>'RESUMEN TOTAL'!B1</f>
        <v>392</v>
      </c>
      <c r="G13" s="55">
        <f t="shared" ref="G13:G14" si="18">E13/F13</f>
        <v>0</v>
      </c>
    </row>
    <row r="14" spans="1:7" x14ac:dyDescent="0.25">
      <c r="A14" s="25">
        <f>'APAGADOS RADIO'!R3</f>
        <v>44786</v>
      </c>
      <c r="B14" s="51">
        <f>'APAGADOS RADIO'!R2+D14</f>
        <v>0</v>
      </c>
      <c r="C14" s="51">
        <f>'APAGADOS FIBRA'!R2</f>
        <v>0</v>
      </c>
      <c r="D14" s="51">
        <f>'APAGADOS ANTENA'!R2</f>
        <v>0</v>
      </c>
      <c r="E14" s="51">
        <f t="shared" si="17"/>
        <v>0</v>
      </c>
      <c r="F14" s="51">
        <f>'RESUMEN TOTAL'!B1</f>
        <v>392</v>
      </c>
      <c r="G14" s="55">
        <f t="shared" si="18"/>
        <v>0</v>
      </c>
    </row>
    <row r="15" spans="1:7" x14ac:dyDescent="0.25">
      <c r="A15" s="25">
        <f>'APAGADOS RADIO'!S3</f>
        <v>44787</v>
      </c>
      <c r="B15" s="51">
        <f>'APAGADOS RADIO'!S2+D15</f>
        <v>0</v>
      </c>
      <c r="C15" s="51">
        <f>'APAGADOS FIBRA'!S2</f>
        <v>0</v>
      </c>
      <c r="D15" s="51">
        <f>'APAGADOS ANTENA'!S2</f>
        <v>0</v>
      </c>
      <c r="E15" s="51">
        <f t="shared" ref="E15" si="19">B15+C15</f>
        <v>0</v>
      </c>
      <c r="F15" s="51">
        <f>'RESUMEN TOTAL'!B1</f>
        <v>392</v>
      </c>
      <c r="G15" s="55">
        <f t="shared" ref="G15" si="20">E15/F15</f>
        <v>0</v>
      </c>
    </row>
    <row r="16" spans="1:7" x14ac:dyDescent="0.25">
      <c r="A16" s="25">
        <f>'APAGADOS RADIO'!T3</f>
        <v>44788</v>
      </c>
      <c r="B16" s="51">
        <f>'APAGADOS RADIO'!T2+D16</f>
        <v>0</v>
      </c>
      <c r="C16" s="51">
        <f>'APAGADOS FIBRA'!T2</f>
        <v>0</v>
      </c>
      <c r="D16" s="51">
        <f>'APAGADOS ANTENA'!T2</f>
        <v>0</v>
      </c>
      <c r="E16" s="51">
        <f t="shared" ref="E16:E21" si="21">B16+C16</f>
        <v>0</v>
      </c>
      <c r="F16" s="51">
        <f>'RESUMEN TOTAL'!B1</f>
        <v>392</v>
      </c>
      <c r="G16" s="55">
        <f t="shared" ref="G16:G21" si="22">E16/F16</f>
        <v>0</v>
      </c>
    </row>
    <row r="17" spans="1:7" x14ac:dyDescent="0.25">
      <c r="A17" s="25">
        <f>'APAGADOS RADIO'!U3</f>
        <v>44789</v>
      </c>
      <c r="B17" s="51">
        <f>'APAGADOS RADIO'!U2+D17</f>
        <v>0</v>
      </c>
      <c r="C17" s="51">
        <f>'APAGADOS FIBRA'!U2</f>
        <v>0</v>
      </c>
      <c r="D17" s="51">
        <f>'APAGADOS ANTENA'!U2</f>
        <v>0</v>
      </c>
      <c r="E17" s="51">
        <f t="shared" si="21"/>
        <v>0</v>
      </c>
      <c r="F17" s="51">
        <f>'RESUMEN TOTAL'!B1</f>
        <v>392</v>
      </c>
      <c r="G17" s="55">
        <f t="shared" si="22"/>
        <v>0</v>
      </c>
    </row>
    <row r="18" spans="1:7" x14ac:dyDescent="0.25">
      <c r="A18" s="25">
        <f>'APAGADOS RADIO'!V3</f>
        <v>44790</v>
      </c>
      <c r="B18" s="51">
        <f>'APAGADOS RADIO'!V2+D18</f>
        <v>0</v>
      </c>
      <c r="C18" s="51">
        <f>'APAGADOS FIBRA'!V2</f>
        <v>0</v>
      </c>
      <c r="D18" s="51">
        <f>'APAGADOS ANTENA'!V2</f>
        <v>0</v>
      </c>
      <c r="E18" s="51">
        <f t="shared" si="21"/>
        <v>0</v>
      </c>
      <c r="F18" s="51">
        <f>'RESUMEN TOTAL'!B1</f>
        <v>392</v>
      </c>
      <c r="G18" s="55">
        <f t="shared" si="22"/>
        <v>0</v>
      </c>
    </row>
    <row r="19" spans="1:7" x14ac:dyDescent="0.25">
      <c r="A19" s="25">
        <f>'APAGADOS RADIO'!W3</f>
        <v>44791</v>
      </c>
      <c r="B19" s="51">
        <f>'APAGADOS RADIO'!W2+D19</f>
        <v>0</v>
      </c>
      <c r="C19" s="51">
        <f>'APAGADOS FIBRA'!W2</f>
        <v>0</v>
      </c>
      <c r="D19" s="51">
        <f>'APAGADOS ANTENA'!W2</f>
        <v>0</v>
      </c>
      <c r="E19" s="51">
        <f t="shared" si="21"/>
        <v>0</v>
      </c>
      <c r="F19" s="51">
        <f>'RESUMEN TOTAL'!B1</f>
        <v>392</v>
      </c>
      <c r="G19" s="55">
        <f t="shared" si="22"/>
        <v>0</v>
      </c>
    </row>
    <row r="20" spans="1:7" x14ac:dyDescent="0.25">
      <c r="A20" s="25">
        <f>'APAGADOS RADIO'!X3</f>
        <v>44792</v>
      </c>
      <c r="B20" s="51">
        <f>'APAGADOS RADIO'!X2+D20</f>
        <v>0</v>
      </c>
      <c r="C20" s="51">
        <f>'APAGADOS FIBRA'!X2</f>
        <v>0</v>
      </c>
      <c r="D20" s="51">
        <f>'APAGADOS ANTENA'!X2</f>
        <v>0</v>
      </c>
      <c r="E20" s="51">
        <f t="shared" si="21"/>
        <v>0</v>
      </c>
      <c r="F20" s="51">
        <f>'RESUMEN TOTAL'!B1</f>
        <v>392</v>
      </c>
      <c r="G20" s="55">
        <f t="shared" si="22"/>
        <v>0</v>
      </c>
    </row>
    <row r="21" spans="1:7" x14ac:dyDescent="0.25">
      <c r="A21" s="25">
        <f>'APAGADOS RADIO'!Y3</f>
        <v>44793</v>
      </c>
      <c r="B21" s="51">
        <f>'APAGADOS RADIO'!Y2+D21</f>
        <v>0</v>
      </c>
      <c r="C21" s="51">
        <f>'APAGADOS FIBRA'!Y2</f>
        <v>0</v>
      </c>
      <c r="D21" s="51">
        <f>'APAGADOS ANTENA'!Y2</f>
        <v>0</v>
      </c>
      <c r="E21" s="51">
        <f t="shared" si="21"/>
        <v>0</v>
      </c>
      <c r="F21" s="51">
        <f>'RESUMEN TOTAL'!B1</f>
        <v>392</v>
      </c>
      <c r="G21" s="55">
        <f t="shared" si="22"/>
        <v>0</v>
      </c>
    </row>
    <row r="22" spans="1:7" x14ac:dyDescent="0.25">
      <c r="A22" s="25">
        <f>'APAGADOS RADIO'!Z3</f>
        <v>44794</v>
      </c>
      <c r="B22" s="51">
        <f>'APAGADOS RADIO'!Z2+D22</f>
        <v>0</v>
      </c>
      <c r="C22" s="51">
        <f>'APAGADOS FIBRA'!Z2</f>
        <v>0</v>
      </c>
      <c r="D22" s="51">
        <f>'APAGADOS ANTENA'!Z2</f>
        <v>0</v>
      </c>
      <c r="E22" s="51">
        <f t="shared" ref="E22" si="23">B22+C22</f>
        <v>0</v>
      </c>
      <c r="F22" s="51">
        <f>'RESUMEN TOTAL'!B1</f>
        <v>392</v>
      </c>
      <c r="G22" s="55">
        <f t="shared" ref="G22" si="24">E22/F22</f>
        <v>0</v>
      </c>
    </row>
    <row r="23" spans="1:7" x14ac:dyDescent="0.25">
      <c r="A23" s="25">
        <f>'APAGADOS RADIO'!AA3</f>
        <v>44795</v>
      </c>
      <c r="B23" s="51">
        <f>'APAGADOS RADIO'!AA2+D23</f>
        <v>0</v>
      </c>
      <c r="C23" s="51">
        <f>'APAGADOS FIBRA'!AA2</f>
        <v>0</v>
      </c>
      <c r="D23" s="51">
        <f>'APAGADOS ANTENA'!AA2</f>
        <v>0</v>
      </c>
      <c r="E23" s="51">
        <f t="shared" ref="E23" si="25">B23+C23</f>
        <v>0</v>
      </c>
      <c r="F23" s="51">
        <f>'RESUMEN TOTAL'!B1</f>
        <v>392</v>
      </c>
      <c r="G23" s="55">
        <f t="shared" ref="G23" si="26">E23/F23</f>
        <v>0</v>
      </c>
    </row>
    <row r="24" spans="1:7" x14ac:dyDescent="0.25">
      <c r="A24" s="25">
        <f>'APAGADOS RADIO'!AB3</f>
        <v>44796</v>
      </c>
      <c r="B24" s="51">
        <f>'APAGADOS RADIO'!AB2+D24</f>
        <v>0</v>
      </c>
      <c r="C24" s="51">
        <f>'APAGADOS FIBRA'!AB2</f>
        <v>0</v>
      </c>
      <c r="D24" s="51">
        <f>'APAGADOS ANTENA'!AB2</f>
        <v>0</v>
      </c>
      <c r="E24" s="51">
        <f t="shared" ref="E24:E26" si="27">B24+C24</f>
        <v>0</v>
      </c>
      <c r="F24" s="51">
        <f>'RESUMEN TOTAL'!B1</f>
        <v>392</v>
      </c>
      <c r="G24" s="55">
        <f t="shared" ref="G24:G26" si="28">E24/F24</f>
        <v>0</v>
      </c>
    </row>
    <row r="25" spans="1:7" x14ac:dyDescent="0.25">
      <c r="A25" s="25">
        <f>'APAGADOS RADIO'!AC3</f>
        <v>44797</v>
      </c>
      <c r="B25" s="51">
        <f>'APAGADOS RADIO'!AC2+D25</f>
        <v>0</v>
      </c>
      <c r="C25" s="51">
        <f>'APAGADOS FIBRA'!AC2</f>
        <v>0</v>
      </c>
      <c r="D25" s="51">
        <f>'APAGADOS ANTENA'!AC2</f>
        <v>0</v>
      </c>
      <c r="E25" s="51">
        <f t="shared" si="27"/>
        <v>0</v>
      </c>
      <c r="F25" s="51">
        <f>'RESUMEN TOTAL'!B1</f>
        <v>392</v>
      </c>
      <c r="G25" s="55">
        <f t="shared" si="28"/>
        <v>0</v>
      </c>
    </row>
    <row r="26" spans="1:7" x14ac:dyDescent="0.25">
      <c r="A26" s="25">
        <f>'APAGADOS RADIO'!AD3</f>
        <v>44798</v>
      </c>
      <c r="B26" s="51">
        <f>'APAGADOS RADIO'!AD2+D26</f>
        <v>0</v>
      </c>
      <c r="C26" s="51">
        <f>'APAGADOS FIBRA'!AD2</f>
        <v>0</v>
      </c>
      <c r="D26" s="51">
        <f>'APAGADOS ANTENA'!AD2</f>
        <v>0</v>
      </c>
      <c r="E26" s="51">
        <f t="shared" si="27"/>
        <v>0</v>
      </c>
      <c r="F26" s="51">
        <f>'RESUMEN TOTAL'!B1</f>
        <v>392</v>
      </c>
      <c r="G26" s="55">
        <f t="shared" si="28"/>
        <v>0</v>
      </c>
    </row>
    <row r="27" spans="1:7" x14ac:dyDescent="0.25">
      <c r="A27" s="25">
        <f>'APAGADOS RADIO'!AE3</f>
        <v>44799</v>
      </c>
      <c r="B27" s="51">
        <f>'APAGADOS RADIO'!AE2+D27</f>
        <v>0</v>
      </c>
      <c r="C27" s="51">
        <f>'APAGADOS FIBRA'!AE2</f>
        <v>0</v>
      </c>
      <c r="D27" s="51">
        <f>'APAGADOS ANTENA'!AE2</f>
        <v>0</v>
      </c>
      <c r="E27" s="51">
        <f t="shared" ref="E27" si="29">B27+C27</f>
        <v>0</v>
      </c>
      <c r="F27" s="51">
        <f>'RESUMEN TOTAL'!B1</f>
        <v>392</v>
      </c>
      <c r="G27" s="55">
        <f t="shared" ref="G27" si="30">E27/F27</f>
        <v>0</v>
      </c>
    </row>
    <row r="28" spans="1:7" x14ac:dyDescent="0.25">
      <c r="A28" s="25">
        <f>'APAGADOS RADIO'!AF3</f>
        <v>44800</v>
      </c>
      <c r="B28" s="51">
        <f>'APAGADOS RADIO'!AF2+D28</f>
        <v>0</v>
      </c>
      <c r="C28" s="51">
        <f>'APAGADOS FIBRA'!AF2</f>
        <v>0</v>
      </c>
      <c r="D28" s="51">
        <f>'APAGADOS ANTENA'!AF2</f>
        <v>0</v>
      </c>
      <c r="E28" s="51">
        <f t="shared" ref="E28:E29" si="31">B28+C28</f>
        <v>0</v>
      </c>
      <c r="F28" s="51">
        <f>'RESUMEN TOTAL'!B1</f>
        <v>392</v>
      </c>
      <c r="G28" s="55">
        <f t="shared" ref="G28:G29" si="32">E28/F28</f>
        <v>0</v>
      </c>
    </row>
    <row r="29" spans="1:7" x14ac:dyDescent="0.25">
      <c r="A29" s="25">
        <f>'APAGADOS RADIO'!AG3</f>
        <v>44801</v>
      </c>
      <c r="B29" s="51">
        <f>'APAGADOS RADIO'!AG2+D29</f>
        <v>0</v>
      </c>
      <c r="C29" s="51">
        <f>'APAGADOS FIBRA'!AG2</f>
        <v>0</v>
      </c>
      <c r="D29" s="51">
        <f>'APAGADOS ANTENA'!AG2</f>
        <v>0</v>
      </c>
      <c r="E29" s="51">
        <f t="shared" si="31"/>
        <v>0</v>
      </c>
      <c r="F29" s="51">
        <f>'RESUMEN TOTAL'!B1</f>
        <v>392</v>
      </c>
      <c r="G29" s="55">
        <f t="shared" si="32"/>
        <v>0</v>
      </c>
    </row>
    <row r="30" spans="1:7" x14ac:dyDescent="0.25">
      <c r="A30" s="25">
        <f>'APAGADOS RADIO'!AH3</f>
        <v>44802</v>
      </c>
      <c r="B30" s="51">
        <f>'APAGADOS RADIO'!AH2+D30</f>
        <v>0</v>
      </c>
      <c r="C30" s="51">
        <f>'APAGADOS FIBRA'!AH2</f>
        <v>0</v>
      </c>
      <c r="D30" s="51">
        <f>'APAGADOS ANTENA'!AH2</f>
        <v>0</v>
      </c>
      <c r="E30" s="51">
        <f t="shared" ref="E30" si="33">B30+C30</f>
        <v>0</v>
      </c>
      <c r="F30" s="51">
        <f>'RESUMEN TOTAL'!B1</f>
        <v>392</v>
      </c>
      <c r="G30" s="55">
        <f t="shared" ref="G30" si="34">E30/F30</f>
        <v>0</v>
      </c>
    </row>
    <row r="31" spans="1:7" x14ac:dyDescent="0.25">
      <c r="A31" s="25">
        <f>'APAGADOS RADIO'!AI3</f>
        <v>44803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25" workbookViewId="0">
      <selection activeCell="A42" sqref="A42:E4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1206</v>
      </c>
      <c r="D1" s="61" t="s">
        <v>1207</v>
      </c>
    </row>
    <row r="2" spans="1:13" ht="16.5" thickTop="1" thickBot="1" x14ac:dyDescent="0.3">
      <c r="A2" s="58" t="s">
        <v>1203</v>
      </c>
      <c r="B2" s="69">
        <v>375</v>
      </c>
      <c r="C2" s="65"/>
      <c r="D2" s="62"/>
      <c r="E2" s="113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14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987</v>
      </c>
      <c r="L3" s="88" t="s">
        <v>1210</v>
      </c>
      <c r="M3" s="110">
        <v>44753</v>
      </c>
    </row>
    <row r="4" spans="1:13" x14ac:dyDescent="0.25">
      <c r="A4" s="59" t="s">
        <v>1205</v>
      </c>
      <c r="B4" s="70">
        <v>6</v>
      </c>
      <c r="C4" s="66">
        <f>B3-B4</f>
        <v>23</v>
      </c>
      <c r="D4" s="63">
        <f>C4/B2</f>
        <v>6.133333333333333E-2</v>
      </c>
      <c r="E4" s="114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1000</v>
      </c>
      <c r="L4" s="92" t="s">
        <v>1210</v>
      </c>
      <c r="M4" s="111"/>
    </row>
    <row r="5" spans="1:13" x14ac:dyDescent="0.25">
      <c r="A5" s="59" t="s">
        <v>1204</v>
      </c>
      <c r="B5" s="70">
        <v>3</v>
      </c>
      <c r="C5" s="66">
        <f>C4-B5</f>
        <v>20</v>
      </c>
      <c r="D5" s="63">
        <f>C5/B2</f>
        <v>5.3333333333333337E-2</v>
      </c>
      <c r="E5" s="114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1135</v>
      </c>
      <c r="L5" s="92" t="s">
        <v>1211</v>
      </c>
      <c r="M5" s="111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15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1024</v>
      </c>
      <c r="L6" s="92" t="s">
        <v>1208</v>
      </c>
      <c r="M6" s="111"/>
    </row>
    <row r="7" spans="1:13" ht="15" customHeight="1" thickTop="1" x14ac:dyDescent="0.25">
      <c r="A7" s="58" t="s">
        <v>1203</v>
      </c>
      <c r="B7" s="69">
        <v>375</v>
      </c>
      <c r="C7" s="65"/>
      <c r="D7" s="62"/>
      <c r="E7" s="113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1027</v>
      </c>
      <c r="L7" s="92" t="s">
        <v>1208</v>
      </c>
      <c r="M7" s="111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14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1026</v>
      </c>
      <c r="L8" s="96" t="s">
        <v>1208</v>
      </c>
      <c r="M8" s="116"/>
    </row>
    <row r="9" spans="1:13" ht="16.5" thickTop="1" thickBot="1" x14ac:dyDescent="0.3">
      <c r="A9" s="59" t="s">
        <v>1205</v>
      </c>
      <c r="B9" s="70">
        <v>6</v>
      </c>
      <c r="C9" s="66">
        <f>B8-B9</f>
        <v>30</v>
      </c>
      <c r="D9" s="63">
        <f>C9/B7</f>
        <v>0.08</v>
      </c>
      <c r="E9" s="114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1204</v>
      </c>
      <c r="B10" s="70">
        <v>3</v>
      </c>
      <c r="C10" s="66">
        <f>C9-B10</f>
        <v>27</v>
      </c>
      <c r="D10" s="63">
        <f>C10/B7</f>
        <v>7.1999999999999995E-2</v>
      </c>
      <c r="E10" s="114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1210</v>
      </c>
      <c r="M10" s="110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15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1212</v>
      </c>
      <c r="M11" s="111"/>
    </row>
    <row r="12" spans="1:13" ht="15.75" thickTop="1" x14ac:dyDescent="0.25">
      <c r="A12" s="58" t="s">
        <v>1203</v>
      </c>
      <c r="B12" s="69">
        <v>375</v>
      </c>
      <c r="C12" s="65"/>
      <c r="D12" s="62"/>
      <c r="E12" s="113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1212</v>
      </c>
      <c r="M12" s="111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14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1149</v>
      </c>
      <c r="L13" s="79" t="s">
        <v>1213</v>
      </c>
      <c r="M13" s="111"/>
    </row>
    <row r="14" spans="1:13" x14ac:dyDescent="0.25">
      <c r="A14" s="59" t="s">
        <v>1205</v>
      </c>
      <c r="B14" s="70">
        <v>6</v>
      </c>
      <c r="C14" s="66">
        <f>B13-B14</f>
        <v>28</v>
      </c>
      <c r="D14" s="63">
        <f>C14/B12</f>
        <v>7.4666666666666673E-2</v>
      </c>
      <c r="E14" s="114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1024</v>
      </c>
      <c r="L14" s="79" t="s">
        <v>1208</v>
      </c>
      <c r="M14" s="111"/>
    </row>
    <row r="15" spans="1:13" ht="15" customHeight="1" thickBot="1" x14ac:dyDescent="0.3">
      <c r="A15" s="59" t="s">
        <v>1204</v>
      </c>
      <c r="B15" s="70">
        <v>3</v>
      </c>
      <c r="C15" s="66">
        <f>C14-B15</f>
        <v>25</v>
      </c>
      <c r="D15" s="63">
        <f>C15/B12</f>
        <v>6.6666666666666666E-2</v>
      </c>
      <c r="E15" s="114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1026</v>
      </c>
      <c r="L15" s="82" t="s">
        <v>1208</v>
      </c>
      <c r="M15" s="112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15"/>
      <c r="G16" s="103" t="s">
        <v>833</v>
      </c>
      <c r="H16" s="104" t="s">
        <v>35</v>
      </c>
      <c r="I16" s="104" t="s">
        <v>24</v>
      </c>
      <c r="J16" s="104" t="s">
        <v>828</v>
      </c>
      <c r="K16" s="105" t="s">
        <v>834</v>
      </c>
      <c r="L16" s="106" t="s">
        <v>1394</v>
      </c>
      <c r="M16" s="110">
        <v>44763</v>
      </c>
    </row>
    <row r="17" spans="1:13" ht="15.75" thickTop="1" x14ac:dyDescent="0.25">
      <c r="A17" s="58" t="s">
        <v>1203</v>
      </c>
      <c r="B17" s="69">
        <v>392</v>
      </c>
      <c r="C17" s="65"/>
      <c r="D17" s="62"/>
      <c r="E17" s="113">
        <v>44762</v>
      </c>
      <c r="G17" s="107" t="s">
        <v>290</v>
      </c>
      <c r="H17" s="77" t="s">
        <v>291</v>
      </c>
      <c r="I17" s="77" t="s">
        <v>24</v>
      </c>
      <c r="J17" s="77" t="s">
        <v>36</v>
      </c>
      <c r="K17" s="78" t="s">
        <v>933</v>
      </c>
      <c r="L17" s="108" t="s">
        <v>1212</v>
      </c>
      <c r="M17" s="111"/>
    </row>
    <row r="18" spans="1:13" x14ac:dyDescent="0.25">
      <c r="A18" s="59" t="s">
        <v>6</v>
      </c>
      <c r="B18" s="70">
        <v>24</v>
      </c>
      <c r="C18" s="66">
        <v>24</v>
      </c>
      <c r="D18" s="63">
        <f>C18/B17</f>
        <v>6.1224489795918366E-2</v>
      </c>
      <c r="E18" s="114"/>
      <c r="G18" s="107" t="s">
        <v>783</v>
      </c>
      <c r="H18" s="77" t="s">
        <v>784</v>
      </c>
      <c r="I18" s="77" t="s">
        <v>19</v>
      </c>
      <c r="J18" s="77" t="s">
        <v>36</v>
      </c>
      <c r="K18" s="78" t="s">
        <v>1167</v>
      </c>
      <c r="L18" s="108" t="s">
        <v>1395</v>
      </c>
      <c r="M18" s="111"/>
    </row>
    <row r="19" spans="1:13" x14ac:dyDescent="0.25">
      <c r="A19" s="59" t="s">
        <v>1205</v>
      </c>
      <c r="B19" s="70">
        <v>3</v>
      </c>
      <c r="C19" s="66">
        <f>B18-B19</f>
        <v>21</v>
      </c>
      <c r="D19" s="63">
        <f>C19/B17</f>
        <v>5.3571428571428568E-2</v>
      </c>
      <c r="E19" s="114"/>
      <c r="G19" s="107" t="s">
        <v>503</v>
      </c>
      <c r="H19" s="77" t="s">
        <v>502</v>
      </c>
      <c r="I19" s="77" t="s">
        <v>102</v>
      </c>
      <c r="J19" s="77" t="s">
        <v>36</v>
      </c>
      <c r="K19" s="78" t="s">
        <v>1026</v>
      </c>
      <c r="L19" s="108" t="s">
        <v>1208</v>
      </c>
      <c r="M19" s="111"/>
    </row>
    <row r="20" spans="1:13" x14ac:dyDescent="0.25">
      <c r="A20" s="59" t="s">
        <v>1204</v>
      </c>
      <c r="B20" s="70">
        <v>0</v>
      </c>
      <c r="C20" s="66">
        <f>C19-B20</f>
        <v>21</v>
      </c>
      <c r="D20" s="63">
        <f>C20/B17</f>
        <v>5.3571428571428568E-2</v>
      </c>
      <c r="E20" s="114"/>
      <c r="G20" s="107"/>
      <c r="H20" s="77"/>
      <c r="I20" s="77"/>
      <c r="J20" s="77"/>
      <c r="K20" s="78"/>
      <c r="L20" s="109"/>
      <c r="M20" s="111"/>
    </row>
    <row r="21" spans="1:13" ht="15.75" thickBot="1" x14ac:dyDescent="0.3">
      <c r="A21" s="60" t="s">
        <v>20</v>
      </c>
      <c r="B21" s="71">
        <v>5</v>
      </c>
      <c r="C21" s="67">
        <f>C20-B21</f>
        <v>16</v>
      </c>
      <c r="D21" s="64">
        <f>C21/B17</f>
        <v>4.0816326530612242E-2</v>
      </c>
      <c r="E21" s="115"/>
      <c r="G21" s="80"/>
      <c r="H21" s="81"/>
      <c r="I21" s="81"/>
      <c r="J21" s="81"/>
      <c r="K21" s="81"/>
      <c r="L21" s="82"/>
      <c r="M21" s="112"/>
    </row>
    <row r="22" spans="1:13" ht="15.75" thickTop="1" x14ac:dyDescent="0.25">
      <c r="A22" s="58" t="s">
        <v>1203</v>
      </c>
      <c r="B22" s="69">
        <v>392</v>
      </c>
      <c r="C22" s="65"/>
      <c r="D22" s="62"/>
      <c r="E22" s="113">
        <v>44763</v>
      </c>
    </row>
    <row r="23" spans="1:13" ht="15.75" thickBot="1" x14ac:dyDescent="0.3">
      <c r="A23" s="59" t="s">
        <v>6</v>
      </c>
      <c r="B23" s="70">
        <v>23</v>
      </c>
      <c r="C23" s="66">
        <v>23</v>
      </c>
      <c r="D23" s="63">
        <f>C23/B22</f>
        <v>5.8673469387755105E-2</v>
      </c>
      <c r="E23" s="114"/>
    </row>
    <row r="24" spans="1:13" ht="15.75" thickTop="1" x14ac:dyDescent="0.25">
      <c r="A24" s="59" t="s">
        <v>1205</v>
      </c>
      <c r="B24" s="70">
        <v>4</v>
      </c>
      <c r="C24" s="66">
        <f>B23-B24</f>
        <v>19</v>
      </c>
      <c r="D24" s="63">
        <f>C24/B22</f>
        <v>4.8469387755102039E-2</v>
      </c>
      <c r="E24" s="114"/>
      <c r="G24" s="72"/>
      <c r="H24" s="73"/>
      <c r="I24" s="73"/>
      <c r="J24" s="73"/>
      <c r="K24" s="74"/>
      <c r="L24" s="75"/>
      <c r="M24" s="110"/>
    </row>
    <row r="25" spans="1:13" x14ac:dyDescent="0.25">
      <c r="A25" s="59" t="s">
        <v>1204</v>
      </c>
      <c r="B25" s="70">
        <v>2</v>
      </c>
      <c r="C25" s="66">
        <f>C24-B25</f>
        <v>17</v>
      </c>
      <c r="D25" s="63">
        <f>C25/B22</f>
        <v>4.336734693877551E-2</v>
      </c>
      <c r="E25" s="114"/>
      <c r="G25" s="76"/>
      <c r="H25" s="77"/>
      <c r="I25" s="77"/>
      <c r="J25" s="77"/>
      <c r="K25" s="78"/>
      <c r="L25" s="79"/>
      <c r="M25" s="111"/>
    </row>
    <row r="26" spans="1:13" ht="15.75" thickBot="1" x14ac:dyDescent="0.3">
      <c r="A26" s="60" t="s">
        <v>20</v>
      </c>
      <c r="B26" s="71">
        <v>6</v>
      </c>
      <c r="C26" s="67">
        <f>C25-B26</f>
        <v>11</v>
      </c>
      <c r="D26" s="64">
        <f>C26/B22</f>
        <v>2.8061224489795918E-2</v>
      </c>
      <c r="E26" s="115"/>
      <c r="G26" s="76"/>
      <c r="H26" s="77"/>
      <c r="I26" s="77"/>
      <c r="J26" s="77"/>
      <c r="K26" s="78"/>
      <c r="L26" s="79"/>
      <c r="M26" s="111"/>
    </row>
    <row r="27" spans="1:13" ht="15.75" thickTop="1" x14ac:dyDescent="0.25">
      <c r="A27" s="58" t="s">
        <v>1203</v>
      </c>
      <c r="B27" s="69">
        <v>392</v>
      </c>
      <c r="C27" s="65"/>
      <c r="D27" s="62"/>
      <c r="E27" s="113">
        <v>44764</v>
      </c>
      <c r="G27" s="76"/>
      <c r="H27" s="77"/>
      <c r="I27" s="77"/>
      <c r="J27" s="77"/>
      <c r="K27" s="78"/>
      <c r="L27" s="79"/>
      <c r="M27" s="111"/>
    </row>
    <row r="28" spans="1:13" x14ac:dyDescent="0.25">
      <c r="A28" s="59" t="s">
        <v>6</v>
      </c>
      <c r="B28" s="70">
        <v>25</v>
      </c>
      <c r="C28" s="66">
        <v>25</v>
      </c>
      <c r="D28" s="63">
        <f>C28/B27</f>
        <v>6.3775510204081634E-2</v>
      </c>
      <c r="E28" s="114"/>
      <c r="G28" s="76"/>
      <c r="H28" s="77"/>
      <c r="I28" s="77"/>
      <c r="J28" s="77"/>
      <c r="K28" s="78"/>
      <c r="L28" s="79"/>
      <c r="M28" s="111"/>
    </row>
    <row r="29" spans="1:13" ht="15.75" thickBot="1" x14ac:dyDescent="0.3">
      <c r="A29" s="59" t="s">
        <v>1205</v>
      </c>
      <c r="B29" s="70">
        <v>3</v>
      </c>
      <c r="C29" s="66">
        <f>B28-B29</f>
        <v>22</v>
      </c>
      <c r="D29" s="63">
        <f>C29/B27</f>
        <v>5.6122448979591837E-2</v>
      </c>
      <c r="E29" s="114"/>
      <c r="G29" s="80"/>
      <c r="H29" s="81"/>
      <c r="I29" s="81"/>
      <c r="J29" s="81"/>
      <c r="K29" s="81"/>
      <c r="L29" s="82"/>
      <c r="M29" s="112"/>
    </row>
    <row r="30" spans="1:13" ht="15.75" thickTop="1" x14ac:dyDescent="0.25">
      <c r="A30" s="59" t="s">
        <v>1204</v>
      </c>
      <c r="B30" s="70">
        <v>2</v>
      </c>
      <c r="C30" s="66">
        <f>C29-B30</f>
        <v>20</v>
      </c>
      <c r="D30" s="63">
        <f>C30/B27</f>
        <v>5.1020408163265307E-2</v>
      </c>
      <c r="E30" s="114"/>
    </row>
    <row r="31" spans="1:13" ht="15.75" thickBot="1" x14ac:dyDescent="0.3">
      <c r="A31" s="60" t="s">
        <v>20</v>
      </c>
      <c r="B31" s="71">
        <v>8</v>
      </c>
      <c r="C31" s="67">
        <f>C30-B31</f>
        <v>12</v>
      </c>
      <c r="D31" s="64">
        <f>C31/B27</f>
        <v>3.0612244897959183E-2</v>
      </c>
      <c r="E31" s="115"/>
    </row>
    <row r="32" spans="1:13" ht="15.75" thickTop="1" x14ac:dyDescent="0.25">
      <c r="A32" s="58" t="s">
        <v>1203</v>
      </c>
      <c r="B32" s="69">
        <v>392</v>
      </c>
      <c r="C32" s="65"/>
      <c r="D32" s="62"/>
      <c r="E32" s="113">
        <v>44768</v>
      </c>
      <c r="G32" s="52"/>
      <c r="H32" s="51"/>
      <c r="I32" s="51"/>
      <c r="J32" s="51"/>
      <c r="K32" s="16"/>
      <c r="L32" s="83"/>
    </row>
    <row r="33" spans="1:13" x14ac:dyDescent="0.25">
      <c r="A33" s="59" t="s">
        <v>6</v>
      </c>
      <c r="B33" s="70">
        <v>40</v>
      </c>
      <c r="C33" s="66">
        <v>40</v>
      </c>
      <c r="D33" s="63">
        <f>C33/B32</f>
        <v>0.10204081632653061</v>
      </c>
      <c r="E33" s="114"/>
      <c r="G33" s="52"/>
      <c r="H33" s="51"/>
      <c r="I33" s="51"/>
      <c r="J33" s="51"/>
      <c r="K33" s="16"/>
      <c r="L33" s="83"/>
    </row>
    <row r="34" spans="1:13" x14ac:dyDescent="0.25">
      <c r="A34" s="59" t="s">
        <v>1205</v>
      </c>
      <c r="B34" s="70">
        <v>2</v>
      </c>
      <c r="C34" s="66">
        <f>B33-B34</f>
        <v>38</v>
      </c>
      <c r="D34" s="63">
        <f>C34/B32</f>
        <v>9.6938775510204078E-2</v>
      </c>
      <c r="E34" s="114"/>
      <c r="G34" s="52"/>
      <c r="H34" s="51"/>
      <c r="I34" s="51"/>
      <c r="J34" s="51"/>
      <c r="K34" s="16"/>
      <c r="L34" s="83"/>
    </row>
    <row r="35" spans="1:13" x14ac:dyDescent="0.25">
      <c r="A35" s="59" t="s">
        <v>1204</v>
      </c>
      <c r="B35" s="70">
        <v>2</v>
      </c>
      <c r="C35" s="66">
        <f>C34-B35</f>
        <v>36</v>
      </c>
      <c r="D35" s="63">
        <f>C35/B32</f>
        <v>9.1836734693877556E-2</v>
      </c>
      <c r="E35" s="114"/>
      <c r="G35" s="52"/>
      <c r="H35" s="51"/>
      <c r="I35" s="51"/>
      <c r="J35" s="51"/>
      <c r="K35" s="16"/>
      <c r="L35" s="83"/>
    </row>
    <row r="36" spans="1:13" ht="15.75" thickBot="1" x14ac:dyDescent="0.3">
      <c r="A36" s="60" t="s">
        <v>20</v>
      </c>
      <c r="B36" s="71">
        <v>6</v>
      </c>
      <c r="C36" s="67">
        <f>C35-B36</f>
        <v>30</v>
      </c>
      <c r="D36" s="64">
        <f>C36/B32</f>
        <v>7.6530612244897961E-2</v>
      </c>
      <c r="E36" s="115"/>
      <c r="G36" s="52"/>
      <c r="H36" s="51"/>
      <c r="I36" s="51"/>
      <c r="J36" s="51"/>
      <c r="K36" s="16"/>
      <c r="L36" s="83"/>
    </row>
    <row r="37" spans="1:13" ht="15.75" thickTop="1" x14ac:dyDescent="0.25">
      <c r="A37" s="58" t="s">
        <v>1203</v>
      </c>
      <c r="B37" s="69">
        <v>392</v>
      </c>
      <c r="C37" s="65"/>
      <c r="D37" s="62"/>
      <c r="E37" s="113">
        <v>44770</v>
      </c>
      <c r="G37" s="52"/>
      <c r="H37" s="51"/>
      <c r="I37" s="51"/>
      <c r="J37" s="51"/>
      <c r="K37" s="16"/>
      <c r="L37" s="83"/>
    </row>
    <row r="38" spans="1:13" x14ac:dyDescent="0.25">
      <c r="A38" s="59" t="s">
        <v>6</v>
      </c>
      <c r="B38" s="70">
        <v>50</v>
      </c>
      <c r="C38" s="66">
        <v>50</v>
      </c>
      <c r="D38" s="63">
        <f>C38/B37</f>
        <v>0.12755102040816327</v>
      </c>
      <c r="E38" s="114"/>
      <c r="G38" s="52"/>
      <c r="H38" s="51"/>
      <c r="I38" s="51"/>
      <c r="J38" s="51"/>
      <c r="K38" s="16"/>
      <c r="L38" s="84"/>
    </row>
    <row r="39" spans="1:13" ht="15.75" thickBot="1" x14ac:dyDescent="0.3">
      <c r="A39" s="59" t="s">
        <v>1205</v>
      </c>
      <c r="B39" s="70">
        <v>2</v>
      </c>
      <c r="C39" s="66">
        <f>B38-B39</f>
        <v>48</v>
      </c>
      <c r="D39" s="63">
        <f>C39/B37</f>
        <v>0.12244897959183673</v>
      </c>
      <c r="E39" s="114"/>
    </row>
    <row r="40" spans="1:13" ht="15.75" thickTop="1" x14ac:dyDescent="0.25">
      <c r="A40" s="59" t="s">
        <v>1204</v>
      </c>
      <c r="B40" s="70">
        <v>2</v>
      </c>
      <c r="C40" s="66">
        <f>C39-B40</f>
        <v>46</v>
      </c>
      <c r="D40" s="63">
        <f>C40/B37</f>
        <v>0.11734693877551021</v>
      </c>
      <c r="E40" s="114"/>
      <c r="G40" s="72"/>
      <c r="H40" s="73"/>
      <c r="I40" s="73"/>
      <c r="J40" s="73"/>
      <c r="K40" s="74"/>
      <c r="L40" s="75"/>
      <c r="M40" s="110"/>
    </row>
    <row r="41" spans="1:13" ht="15.75" thickBot="1" x14ac:dyDescent="0.3">
      <c r="A41" s="60" t="s">
        <v>20</v>
      </c>
      <c r="B41" s="71">
        <v>9</v>
      </c>
      <c r="C41" s="67">
        <f>C40-B41</f>
        <v>37</v>
      </c>
      <c r="D41" s="64">
        <f>C41/B37</f>
        <v>9.438775510204081E-2</v>
      </c>
      <c r="E41" s="115"/>
      <c r="G41" s="76"/>
      <c r="H41" s="77"/>
      <c r="I41" s="77"/>
      <c r="J41" s="77"/>
      <c r="K41" s="78"/>
      <c r="L41" s="79"/>
      <c r="M41" s="111"/>
    </row>
    <row r="42" spans="1:13" ht="15" customHeight="1" thickTop="1" x14ac:dyDescent="0.25">
      <c r="A42" s="58" t="s">
        <v>1203</v>
      </c>
      <c r="B42" s="69">
        <v>392</v>
      </c>
      <c r="C42" s="65"/>
      <c r="D42" s="62"/>
      <c r="E42" s="113">
        <v>44771</v>
      </c>
      <c r="G42" s="76"/>
      <c r="H42" s="77"/>
      <c r="I42" s="77"/>
      <c r="J42" s="77"/>
      <c r="K42" s="78"/>
      <c r="L42" s="79"/>
      <c r="M42" s="111"/>
    </row>
    <row r="43" spans="1:13" x14ac:dyDescent="0.25">
      <c r="A43" s="59" t="s">
        <v>6</v>
      </c>
      <c r="B43" s="70">
        <v>45</v>
      </c>
      <c r="C43" s="66">
        <v>45</v>
      </c>
      <c r="D43" s="63">
        <f>C43/B42</f>
        <v>0.11479591836734694</v>
      </c>
      <c r="E43" s="114"/>
      <c r="G43" s="76"/>
      <c r="H43" s="77"/>
      <c r="I43" s="77"/>
      <c r="J43" s="77"/>
      <c r="K43" s="78"/>
      <c r="L43" s="79"/>
      <c r="M43" s="111"/>
    </row>
    <row r="44" spans="1:13" x14ac:dyDescent="0.25">
      <c r="A44" s="59" t="s">
        <v>1205</v>
      </c>
      <c r="B44" s="70">
        <v>2</v>
      </c>
      <c r="C44" s="66">
        <f>B43-B44</f>
        <v>43</v>
      </c>
      <c r="D44" s="63">
        <f>C44/B42</f>
        <v>0.10969387755102041</v>
      </c>
      <c r="E44" s="114"/>
      <c r="G44" s="76"/>
      <c r="H44" s="77"/>
      <c r="I44" s="77"/>
      <c r="J44" s="77"/>
      <c r="K44" s="78"/>
      <c r="L44" s="79"/>
      <c r="M44" s="111"/>
    </row>
    <row r="45" spans="1:13" ht="15.75" thickBot="1" x14ac:dyDescent="0.3">
      <c r="A45" s="59" t="s">
        <v>1204</v>
      </c>
      <c r="B45" s="70">
        <v>2</v>
      </c>
      <c r="C45" s="66">
        <f>C44-B45</f>
        <v>41</v>
      </c>
      <c r="D45" s="63">
        <f>C45/B42</f>
        <v>0.10459183673469388</v>
      </c>
      <c r="E45" s="114"/>
      <c r="G45" s="80"/>
      <c r="H45" s="81"/>
      <c r="I45" s="81"/>
      <c r="J45" s="81"/>
      <c r="K45" s="81"/>
      <c r="L45" s="82"/>
      <c r="M45" s="112"/>
    </row>
    <row r="46" spans="1:13" ht="16.5" thickTop="1" thickBot="1" x14ac:dyDescent="0.3">
      <c r="A46" s="60" t="s">
        <v>20</v>
      </c>
      <c r="B46" s="71">
        <v>7</v>
      </c>
      <c r="C46" s="67">
        <f>C45-B46</f>
        <v>34</v>
      </c>
      <c r="D46" s="64">
        <f>C46/B42</f>
        <v>8.673469387755102E-2</v>
      </c>
      <c r="E46" s="115"/>
    </row>
    <row r="47" spans="1:13" ht="15.75" thickTop="1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4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5" priority="259" operator="containsText" text="Radio">
      <formula>NOT(ISERROR(SEARCH("Radio",I9)))</formula>
    </cfRule>
  </conditionalFormatting>
  <conditionalFormatting sqref="I9">
    <cfRule type="containsText" dxfId="134" priority="251" operator="containsText" text="fija">
      <formula>NOT(ISERROR(SEARCH("fija",I9)))</formula>
    </cfRule>
    <cfRule type="containsText" dxfId="133" priority="252" operator="containsText" text="domo">
      <formula>NOT(ISERROR(SEARCH("domo",I9)))</formula>
    </cfRule>
  </conditionalFormatting>
  <conditionalFormatting sqref="J9">
    <cfRule type="cellIs" dxfId="132" priority="250" operator="equal">
      <formula>"PTP A FO"</formula>
    </cfRule>
  </conditionalFormatting>
  <conditionalFormatting sqref="L20">
    <cfRule type="containsText" dxfId="131" priority="217" operator="containsText" text="Radio">
      <formula>NOT(ISERROR(SEARCH("Radio",L20)))</formula>
    </cfRule>
  </conditionalFormatting>
  <conditionalFormatting sqref="I20:K20">
    <cfRule type="containsText" dxfId="130" priority="207" operator="containsText" text="Radio">
      <formula>NOT(ISERROR(SEARCH("Radio",I20)))</formula>
    </cfRule>
  </conditionalFormatting>
  <conditionalFormatting sqref="I20">
    <cfRule type="containsText" dxfId="129" priority="205" operator="containsText" text="fija">
      <formula>NOT(ISERROR(SEARCH("fija",I20)))</formula>
    </cfRule>
    <cfRule type="containsText" dxfId="128" priority="206" operator="containsText" text="domo">
      <formula>NOT(ISERROR(SEARCH("domo",I20)))</formula>
    </cfRule>
  </conditionalFormatting>
  <conditionalFormatting sqref="J20">
    <cfRule type="cellIs" dxfId="127" priority="204" operator="equal">
      <formula>"PTP A FO"</formula>
    </cfRule>
  </conditionalFormatting>
  <conditionalFormatting sqref="I24:L27 L28">
    <cfRule type="containsText" dxfId="126" priority="179" operator="containsText" text="Radio">
      <formula>NOT(ISERROR(SEARCH("Radio",I24)))</formula>
    </cfRule>
  </conditionalFormatting>
  <conditionalFormatting sqref="I27">
    <cfRule type="containsText" dxfId="125" priority="177" operator="containsText" text="fija">
      <formula>NOT(ISERROR(SEARCH("fija",I27)))</formula>
    </cfRule>
    <cfRule type="containsText" dxfId="124" priority="178" operator="containsText" text="domo">
      <formula>NOT(ISERROR(SEARCH("domo",I27)))</formula>
    </cfRule>
  </conditionalFormatting>
  <conditionalFormatting sqref="J27">
    <cfRule type="cellIs" dxfId="123" priority="176" operator="equal">
      <formula>"PTP A FO"</formula>
    </cfRule>
  </conditionalFormatting>
  <conditionalFormatting sqref="I24">
    <cfRule type="containsText" dxfId="122" priority="174" operator="containsText" text="fija">
      <formula>NOT(ISERROR(SEARCH("fija",I24)))</formula>
    </cfRule>
    <cfRule type="containsText" dxfId="121" priority="175" operator="containsText" text="domo">
      <formula>NOT(ISERROR(SEARCH("domo",I24)))</formula>
    </cfRule>
  </conditionalFormatting>
  <conditionalFormatting sqref="J24">
    <cfRule type="cellIs" dxfId="120" priority="173" operator="equal">
      <formula>"PTP A FO"</formula>
    </cfRule>
  </conditionalFormatting>
  <conditionalFormatting sqref="I25:I26">
    <cfRule type="containsText" dxfId="119" priority="171" operator="containsText" text="fija">
      <formula>NOT(ISERROR(SEARCH("fija",I25)))</formula>
    </cfRule>
    <cfRule type="containsText" dxfId="118" priority="172" operator="containsText" text="domo">
      <formula>NOT(ISERROR(SEARCH("domo",I25)))</formula>
    </cfRule>
  </conditionalFormatting>
  <conditionalFormatting sqref="J25:J26">
    <cfRule type="cellIs" dxfId="117" priority="170" operator="equal">
      <formula>"PTP A FO"</formula>
    </cfRule>
  </conditionalFormatting>
  <conditionalFormatting sqref="I28:K28">
    <cfRule type="containsText" dxfId="116" priority="169" operator="containsText" text="Radio">
      <formula>NOT(ISERROR(SEARCH("Radio",I28)))</formula>
    </cfRule>
  </conditionalFormatting>
  <conditionalFormatting sqref="I28">
    <cfRule type="containsText" dxfId="115" priority="167" operator="containsText" text="fija">
      <formula>NOT(ISERROR(SEARCH("fija",I28)))</formula>
    </cfRule>
    <cfRule type="containsText" dxfId="114" priority="168" operator="containsText" text="domo">
      <formula>NOT(ISERROR(SEARCH("domo",I28)))</formula>
    </cfRule>
  </conditionalFormatting>
  <conditionalFormatting sqref="J28">
    <cfRule type="cellIs" dxfId="113" priority="166" operator="equal">
      <formula>"PTP A FO"</formula>
    </cfRule>
  </conditionalFormatting>
  <conditionalFormatting sqref="I32:L32 I34:L34">
    <cfRule type="containsText" dxfId="112" priority="165" operator="containsText" text="Radio">
      <formula>NOT(ISERROR(SEARCH("Radio",I32)))</formula>
    </cfRule>
  </conditionalFormatting>
  <conditionalFormatting sqref="I32 I34">
    <cfRule type="containsText" dxfId="111" priority="163" operator="containsText" text="fija">
      <formula>NOT(ISERROR(SEARCH("fija",I32)))</formula>
    </cfRule>
    <cfRule type="containsText" dxfId="110" priority="164" operator="containsText" text="domo">
      <formula>NOT(ISERROR(SEARCH("domo",I32)))</formula>
    </cfRule>
  </conditionalFormatting>
  <conditionalFormatting sqref="J32 L34 J34">
    <cfRule type="cellIs" dxfId="109" priority="162" operator="equal">
      <formula>"PTP A FO"</formula>
    </cfRule>
  </conditionalFormatting>
  <conditionalFormatting sqref="I33:L33">
    <cfRule type="containsText" dxfId="108" priority="161" operator="containsText" text="Radio">
      <formula>NOT(ISERROR(SEARCH("Radio",I33)))</formula>
    </cfRule>
  </conditionalFormatting>
  <conditionalFormatting sqref="I33">
    <cfRule type="containsText" dxfId="107" priority="159" operator="containsText" text="fija">
      <formula>NOT(ISERROR(SEARCH("fija",I33)))</formula>
    </cfRule>
    <cfRule type="containsText" dxfId="106" priority="160" operator="containsText" text="domo">
      <formula>NOT(ISERROR(SEARCH("domo",I33)))</formula>
    </cfRule>
  </conditionalFormatting>
  <conditionalFormatting sqref="J33">
    <cfRule type="cellIs" dxfId="105" priority="158" operator="equal">
      <formula>"PTP A FO"</formula>
    </cfRule>
  </conditionalFormatting>
  <conditionalFormatting sqref="L35">
    <cfRule type="containsText" dxfId="104" priority="157" operator="containsText" text="Radio">
      <formula>NOT(ISERROR(SEARCH("Radio",L35)))</formula>
    </cfRule>
  </conditionalFormatting>
  <conditionalFormatting sqref="L35">
    <cfRule type="cellIs" dxfId="103" priority="156" operator="equal">
      <formula>"PTP A FO"</formula>
    </cfRule>
  </conditionalFormatting>
  <conditionalFormatting sqref="I35:K35">
    <cfRule type="containsText" dxfId="102" priority="155" operator="containsText" text="Radio">
      <formula>NOT(ISERROR(SEARCH("Radio",I35)))</formula>
    </cfRule>
  </conditionalFormatting>
  <conditionalFormatting sqref="I35">
    <cfRule type="containsText" dxfId="101" priority="153" operator="containsText" text="fija">
      <formula>NOT(ISERROR(SEARCH("fija",I35)))</formula>
    </cfRule>
    <cfRule type="containsText" dxfId="100" priority="154" operator="containsText" text="domo">
      <formula>NOT(ISERROR(SEARCH("domo",I35)))</formula>
    </cfRule>
  </conditionalFormatting>
  <conditionalFormatting sqref="J35">
    <cfRule type="cellIs" dxfId="99" priority="152" operator="equal">
      <formula>"PTP A FO"</formula>
    </cfRule>
  </conditionalFormatting>
  <conditionalFormatting sqref="I36:L37">
    <cfRule type="containsText" dxfId="98" priority="151" operator="containsText" text="Radio">
      <formula>NOT(ISERROR(SEARCH("Radio",I36)))</formula>
    </cfRule>
  </conditionalFormatting>
  <conditionalFormatting sqref="I36:I37">
    <cfRule type="containsText" dxfId="97" priority="149" operator="containsText" text="fija">
      <formula>NOT(ISERROR(SEARCH("fija",I36)))</formula>
    </cfRule>
    <cfRule type="containsText" dxfId="96" priority="150" operator="containsText" text="domo">
      <formula>NOT(ISERROR(SEARCH("domo",I36)))</formula>
    </cfRule>
  </conditionalFormatting>
  <conditionalFormatting sqref="J36:J37">
    <cfRule type="cellIs" dxfId="95" priority="148" operator="equal">
      <formula>"PTP A FO"</formula>
    </cfRule>
  </conditionalFormatting>
  <conditionalFormatting sqref="I38:L38">
    <cfRule type="containsText" dxfId="94" priority="147" operator="containsText" text="Radio">
      <formula>NOT(ISERROR(SEARCH("Radio",I38)))</formula>
    </cfRule>
  </conditionalFormatting>
  <conditionalFormatting sqref="I38">
    <cfRule type="containsText" dxfId="93" priority="145" operator="containsText" text="fija">
      <formula>NOT(ISERROR(SEARCH("fija",I38)))</formula>
    </cfRule>
    <cfRule type="containsText" dxfId="92" priority="146" operator="containsText" text="domo">
      <formula>NOT(ISERROR(SEARCH("domo",I38)))</formula>
    </cfRule>
  </conditionalFormatting>
  <conditionalFormatting sqref="J38">
    <cfRule type="cellIs" dxfId="91" priority="144" operator="equal">
      <formula>"PTP A FO"</formula>
    </cfRule>
  </conditionalFormatting>
  <conditionalFormatting sqref="I40:L43 L44">
    <cfRule type="containsText" dxfId="90" priority="113" operator="containsText" text="Radio">
      <formula>NOT(ISERROR(SEARCH("Radio",I40)))</formula>
    </cfRule>
  </conditionalFormatting>
  <conditionalFormatting sqref="I43">
    <cfRule type="containsText" dxfId="89" priority="111" operator="containsText" text="fija">
      <formula>NOT(ISERROR(SEARCH("fija",I43)))</formula>
    </cfRule>
    <cfRule type="containsText" dxfId="88" priority="112" operator="containsText" text="domo">
      <formula>NOT(ISERROR(SEARCH("domo",I43)))</formula>
    </cfRule>
  </conditionalFormatting>
  <conditionalFormatting sqref="J43">
    <cfRule type="cellIs" dxfId="87" priority="110" operator="equal">
      <formula>"PTP A FO"</formula>
    </cfRule>
  </conditionalFormatting>
  <conditionalFormatting sqref="I40">
    <cfRule type="containsText" dxfId="86" priority="108" operator="containsText" text="fija">
      <formula>NOT(ISERROR(SEARCH("fija",I40)))</formula>
    </cfRule>
    <cfRule type="containsText" dxfId="85" priority="109" operator="containsText" text="domo">
      <formula>NOT(ISERROR(SEARCH("domo",I40)))</formula>
    </cfRule>
  </conditionalFormatting>
  <conditionalFormatting sqref="J40">
    <cfRule type="cellIs" dxfId="84" priority="107" operator="equal">
      <formula>"PTP A FO"</formula>
    </cfRule>
  </conditionalFormatting>
  <conditionalFormatting sqref="I41:I42">
    <cfRule type="containsText" dxfId="83" priority="105" operator="containsText" text="fija">
      <formula>NOT(ISERROR(SEARCH("fija",I41)))</formula>
    </cfRule>
    <cfRule type="containsText" dxfId="82" priority="106" operator="containsText" text="domo">
      <formula>NOT(ISERROR(SEARCH("domo",I41)))</formula>
    </cfRule>
  </conditionalFormatting>
  <conditionalFormatting sqref="J41:J42">
    <cfRule type="cellIs" dxfId="81" priority="104" operator="equal">
      <formula>"PTP A FO"</formula>
    </cfRule>
  </conditionalFormatting>
  <conditionalFormatting sqref="I44:K44">
    <cfRule type="containsText" dxfId="80" priority="103" operator="containsText" text="Radio">
      <formula>NOT(ISERROR(SEARCH("Radio",I44)))</formula>
    </cfRule>
  </conditionalFormatting>
  <conditionalFormatting sqref="I44">
    <cfRule type="containsText" dxfId="79" priority="101" operator="containsText" text="fija">
      <formula>NOT(ISERROR(SEARCH("fija",I44)))</formula>
    </cfRule>
    <cfRule type="containsText" dxfId="78" priority="102" operator="containsText" text="domo">
      <formula>NOT(ISERROR(SEARCH("domo",I44)))</formula>
    </cfRule>
  </conditionalFormatting>
  <conditionalFormatting sqref="J44">
    <cfRule type="cellIs" dxfId="77" priority="100" operator="equal">
      <formula>"PTP A FO"</formula>
    </cfRule>
  </conditionalFormatting>
  <conditionalFormatting sqref="I47:L49">
    <cfRule type="containsText" dxfId="76" priority="99" operator="containsText" text="Radio">
      <formula>NOT(ISERROR(SEARCH("Radio",I47)))</formula>
    </cfRule>
  </conditionalFormatting>
  <conditionalFormatting sqref="I47">
    <cfRule type="containsText" dxfId="75" priority="97" operator="containsText" text="fija">
      <formula>NOT(ISERROR(SEARCH("fija",I47)))</formula>
    </cfRule>
    <cfRule type="containsText" dxfId="74" priority="98" operator="containsText" text="domo">
      <formula>NOT(ISERROR(SEARCH("domo",I47)))</formula>
    </cfRule>
  </conditionalFormatting>
  <conditionalFormatting sqref="J47">
    <cfRule type="cellIs" dxfId="73" priority="96" operator="equal">
      <formula>"PTP A FO"</formula>
    </cfRule>
  </conditionalFormatting>
  <conditionalFormatting sqref="I48">
    <cfRule type="containsText" dxfId="72" priority="94" operator="containsText" text="fija">
      <formula>NOT(ISERROR(SEARCH("fija",I48)))</formula>
    </cfRule>
    <cfRule type="containsText" dxfId="71" priority="95" operator="containsText" text="domo">
      <formula>NOT(ISERROR(SEARCH("domo",I48)))</formula>
    </cfRule>
  </conditionalFormatting>
  <conditionalFormatting sqref="J48">
    <cfRule type="cellIs" dxfId="70" priority="93" operator="equal">
      <formula>"PTP A FO"</formula>
    </cfRule>
  </conditionalFormatting>
  <conditionalFormatting sqref="I49">
    <cfRule type="containsText" dxfId="69" priority="91" operator="containsText" text="fija">
      <formula>NOT(ISERROR(SEARCH("fija",I49)))</formula>
    </cfRule>
    <cfRule type="containsText" dxfId="68" priority="92" operator="containsText" text="domo">
      <formula>NOT(ISERROR(SEARCH("domo",I49)))</formula>
    </cfRule>
  </conditionalFormatting>
  <conditionalFormatting sqref="J49">
    <cfRule type="cellIs" dxfId="67" priority="90" operator="equal">
      <formula>"PTP A FO"</formula>
    </cfRule>
  </conditionalFormatting>
  <conditionalFormatting sqref="I50:L50">
    <cfRule type="containsText" dxfId="66" priority="89" operator="containsText" text="Radio">
      <formula>NOT(ISERROR(SEARCH("Radio",I50)))</formula>
    </cfRule>
  </conditionalFormatting>
  <conditionalFormatting sqref="I50">
    <cfRule type="containsText" dxfId="65" priority="87" operator="containsText" text="fija">
      <formula>NOT(ISERROR(SEARCH("fija",I50)))</formula>
    </cfRule>
    <cfRule type="containsText" dxfId="64" priority="88" operator="containsText" text="domo">
      <formula>NOT(ISERROR(SEARCH("domo",I50)))</formula>
    </cfRule>
  </conditionalFormatting>
  <conditionalFormatting sqref="J50">
    <cfRule type="cellIs" dxfId="63" priority="86" operator="equal">
      <formula>"PTP A FO"</formula>
    </cfRule>
  </conditionalFormatting>
  <conditionalFormatting sqref="L51">
    <cfRule type="containsText" dxfId="62" priority="85" operator="containsText" text="Radio">
      <formula>NOT(ISERROR(SEARCH("Radio",L51)))</formula>
    </cfRule>
  </conditionalFormatting>
  <conditionalFormatting sqref="L51">
    <cfRule type="cellIs" dxfId="61" priority="84" operator="equal">
      <formula>"PTP A FO"</formula>
    </cfRule>
  </conditionalFormatting>
  <conditionalFormatting sqref="I51:K51">
    <cfRule type="containsText" dxfId="60" priority="83" operator="containsText" text="Radio">
      <formula>NOT(ISERROR(SEARCH("Radio",I51)))</formula>
    </cfRule>
  </conditionalFormatting>
  <conditionalFormatting sqref="I51">
    <cfRule type="containsText" dxfId="59" priority="81" operator="containsText" text="fija">
      <formula>NOT(ISERROR(SEARCH("fija",I51)))</formula>
    </cfRule>
    <cfRule type="containsText" dxfId="58" priority="82" operator="containsText" text="domo">
      <formula>NOT(ISERROR(SEARCH("domo",I51)))</formula>
    </cfRule>
  </conditionalFormatting>
  <conditionalFormatting sqref="J51">
    <cfRule type="cellIs" dxfId="57" priority="80" operator="equal">
      <formula>"PTP A FO"</formula>
    </cfRule>
  </conditionalFormatting>
  <conditionalFormatting sqref="I52:L53">
    <cfRule type="containsText" dxfId="56" priority="79" operator="containsText" text="Radio">
      <formula>NOT(ISERROR(SEARCH("Radio",I52)))</formula>
    </cfRule>
  </conditionalFormatting>
  <conditionalFormatting sqref="I52:I53">
    <cfRule type="containsText" dxfId="55" priority="77" operator="containsText" text="fija">
      <formula>NOT(ISERROR(SEARCH("fija",I52)))</formula>
    </cfRule>
    <cfRule type="containsText" dxfId="54" priority="78" operator="containsText" text="domo">
      <formula>NOT(ISERROR(SEARCH("domo",I52)))</formula>
    </cfRule>
  </conditionalFormatting>
  <conditionalFormatting sqref="J52:J53">
    <cfRule type="cellIs" dxfId="53" priority="76" operator="equal">
      <formula>"PTP A FO"</formula>
    </cfRule>
  </conditionalFormatting>
  <conditionalFormatting sqref="I3:L3">
    <cfRule type="containsText" dxfId="52" priority="75" operator="containsText" text="Radio">
      <formula>NOT(ISERROR(SEARCH("Radio",I3)))</formula>
    </cfRule>
  </conditionalFormatting>
  <conditionalFormatting sqref="I3">
    <cfRule type="containsText" dxfId="51" priority="73" operator="containsText" text="fija">
      <formula>NOT(ISERROR(SEARCH("fija",I3)))</formula>
    </cfRule>
    <cfRule type="containsText" dxfId="50" priority="74" operator="containsText" text="domo">
      <formula>NOT(ISERROR(SEARCH("domo",I3)))</formula>
    </cfRule>
  </conditionalFormatting>
  <conditionalFormatting sqref="J3">
    <cfRule type="cellIs" dxfId="49" priority="72" operator="equal">
      <formula>"PTP A FO"</formula>
    </cfRule>
  </conditionalFormatting>
  <conditionalFormatting sqref="I4:L4">
    <cfRule type="containsText" dxfId="48" priority="71" operator="containsText" text="Radio">
      <formula>NOT(ISERROR(SEARCH("Radio",I4)))</formula>
    </cfRule>
  </conditionalFormatting>
  <conditionalFormatting sqref="I4">
    <cfRule type="containsText" dxfId="47" priority="69" operator="containsText" text="fija">
      <formula>NOT(ISERROR(SEARCH("fija",I4)))</formula>
    </cfRule>
    <cfRule type="containsText" dxfId="46" priority="70" operator="containsText" text="domo">
      <formula>NOT(ISERROR(SEARCH("domo",I4)))</formula>
    </cfRule>
  </conditionalFormatting>
  <conditionalFormatting sqref="J4">
    <cfRule type="cellIs" dxfId="45" priority="68" operator="equal">
      <formula>"PTP A FO"</formula>
    </cfRule>
  </conditionalFormatting>
  <conditionalFormatting sqref="I5:L5">
    <cfRule type="containsText" dxfId="44" priority="67" operator="containsText" text="Radio">
      <formula>NOT(ISERROR(SEARCH("Radio",I5)))</formula>
    </cfRule>
  </conditionalFormatting>
  <conditionalFormatting sqref="I5">
    <cfRule type="containsText" dxfId="43" priority="65" operator="containsText" text="fija">
      <formula>NOT(ISERROR(SEARCH("fija",I5)))</formula>
    </cfRule>
    <cfRule type="containsText" dxfId="42" priority="66" operator="containsText" text="domo">
      <formula>NOT(ISERROR(SEARCH("domo",I5)))</formula>
    </cfRule>
  </conditionalFormatting>
  <conditionalFormatting sqref="J5">
    <cfRule type="cellIs" dxfId="41" priority="64" operator="equal">
      <formula>"PTP A FO"</formula>
    </cfRule>
  </conditionalFormatting>
  <conditionalFormatting sqref="L6">
    <cfRule type="containsText" dxfId="40" priority="63" operator="containsText" text="Radio">
      <formula>NOT(ISERROR(SEARCH("Radio",L6)))</formula>
    </cfRule>
  </conditionalFormatting>
  <conditionalFormatting sqref="L6">
    <cfRule type="cellIs" dxfId="39" priority="62" operator="equal">
      <formula>"PTP A FO"</formula>
    </cfRule>
  </conditionalFormatting>
  <conditionalFormatting sqref="I6:K6">
    <cfRule type="containsText" dxfId="38" priority="61" operator="containsText" text="Radio">
      <formula>NOT(ISERROR(SEARCH("Radio",I6)))</formula>
    </cfRule>
  </conditionalFormatting>
  <conditionalFormatting sqref="I6">
    <cfRule type="containsText" dxfId="37" priority="59" operator="containsText" text="fija">
      <formula>NOT(ISERROR(SEARCH("fija",I6)))</formula>
    </cfRule>
    <cfRule type="containsText" dxfId="36" priority="60" operator="containsText" text="domo">
      <formula>NOT(ISERROR(SEARCH("domo",I6)))</formula>
    </cfRule>
  </conditionalFormatting>
  <conditionalFormatting sqref="J6">
    <cfRule type="cellIs" dxfId="35" priority="58" operator="equal">
      <formula>"PTP A FO"</formula>
    </cfRule>
  </conditionalFormatting>
  <conditionalFormatting sqref="I7:L8">
    <cfRule type="containsText" dxfId="34" priority="57" operator="containsText" text="Radio">
      <formula>NOT(ISERROR(SEARCH("Radio",I7)))</formula>
    </cfRule>
  </conditionalFormatting>
  <conditionalFormatting sqref="I7:I8">
    <cfRule type="containsText" dxfId="33" priority="55" operator="containsText" text="fija">
      <formula>NOT(ISERROR(SEARCH("fija",I7)))</formula>
    </cfRule>
    <cfRule type="containsText" dxfId="32" priority="56" operator="containsText" text="domo">
      <formula>NOT(ISERROR(SEARCH("domo",I7)))</formula>
    </cfRule>
  </conditionalFormatting>
  <conditionalFormatting sqref="J7:J8">
    <cfRule type="cellIs" dxfId="31" priority="54" operator="equal">
      <formula>"PTP A FO"</formula>
    </cfRule>
  </conditionalFormatting>
  <conditionalFormatting sqref="I10:L13 L14">
    <cfRule type="containsText" dxfId="30" priority="31" operator="containsText" text="Radio">
      <formula>NOT(ISERROR(SEARCH("Radio",I10)))</formula>
    </cfRule>
  </conditionalFormatting>
  <conditionalFormatting sqref="I13">
    <cfRule type="containsText" dxfId="29" priority="29" operator="containsText" text="fija">
      <formula>NOT(ISERROR(SEARCH("fija",I13)))</formula>
    </cfRule>
    <cfRule type="containsText" dxfId="28" priority="30" operator="containsText" text="domo">
      <formula>NOT(ISERROR(SEARCH("domo",I13)))</formula>
    </cfRule>
  </conditionalFormatting>
  <conditionalFormatting sqref="J13">
    <cfRule type="cellIs" dxfId="27" priority="28" operator="equal">
      <formula>"PTP A FO"</formula>
    </cfRule>
  </conditionalFormatting>
  <conditionalFormatting sqref="I10">
    <cfRule type="containsText" dxfId="26" priority="26" operator="containsText" text="fija">
      <formula>NOT(ISERROR(SEARCH("fija",I10)))</formula>
    </cfRule>
    <cfRule type="containsText" dxfId="25" priority="27" operator="containsText" text="domo">
      <formula>NOT(ISERROR(SEARCH("domo",I10)))</formula>
    </cfRule>
  </conditionalFormatting>
  <conditionalFormatting sqref="J10">
    <cfRule type="cellIs" dxfId="24" priority="25" operator="equal">
      <formula>"PTP A FO"</formula>
    </cfRule>
  </conditionalFormatting>
  <conditionalFormatting sqref="I11:I12">
    <cfRule type="containsText" dxfId="23" priority="23" operator="containsText" text="fija">
      <formula>NOT(ISERROR(SEARCH("fija",I11)))</formula>
    </cfRule>
    <cfRule type="containsText" dxfId="22" priority="24" operator="containsText" text="domo">
      <formula>NOT(ISERROR(SEARCH("domo",I11)))</formula>
    </cfRule>
  </conditionalFormatting>
  <conditionalFormatting sqref="J11:J12">
    <cfRule type="cellIs" dxfId="21" priority="22" operator="equal">
      <formula>"PTP A FO"</formula>
    </cfRule>
  </conditionalFormatting>
  <conditionalFormatting sqref="I14:K14">
    <cfRule type="containsText" dxfId="20" priority="21" operator="containsText" text="Radio">
      <formula>NOT(ISERROR(SEARCH("Radio",I14)))</formula>
    </cfRule>
  </conditionalFormatting>
  <conditionalFormatting sqref="I14">
    <cfRule type="containsText" dxfId="19" priority="19" operator="containsText" text="fija">
      <formula>NOT(ISERROR(SEARCH("fija",I14)))</formula>
    </cfRule>
    <cfRule type="containsText" dxfId="18" priority="20" operator="containsText" text="domo">
      <formula>NOT(ISERROR(SEARCH("domo",I14)))</formula>
    </cfRule>
  </conditionalFormatting>
  <conditionalFormatting sqref="J14">
    <cfRule type="cellIs" dxfId="17" priority="18" operator="equal">
      <formula>"PTP A FO"</formula>
    </cfRule>
  </conditionalFormatting>
  <conditionalFormatting sqref="I16:L16">
    <cfRule type="containsText" dxfId="16" priority="17" operator="containsText" text="Radio">
      <formula>NOT(ISERROR(SEARCH("Radio",I16)))</formula>
    </cfRule>
  </conditionalFormatting>
  <conditionalFormatting sqref="I16">
    <cfRule type="containsText" dxfId="15" priority="15" operator="containsText" text="fija">
      <formula>NOT(ISERROR(SEARCH("fija",I16)))</formula>
    </cfRule>
    <cfRule type="containsText" dxfId="14" priority="16" operator="containsText" text="domo">
      <formula>NOT(ISERROR(SEARCH("domo",I16)))</formula>
    </cfRule>
  </conditionalFormatting>
  <conditionalFormatting sqref="J16">
    <cfRule type="cellIs" dxfId="13" priority="14" operator="equal">
      <formula>"PTP A FO"</formula>
    </cfRule>
  </conditionalFormatting>
  <conditionalFormatting sqref="I17:L17">
    <cfRule type="containsText" dxfId="12" priority="13" operator="containsText" text="Radio">
      <formula>NOT(ISERROR(SEARCH("Radio",I17)))</formula>
    </cfRule>
  </conditionalFormatting>
  <conditionalFormatting sqref="I17">
    <cfRule type="containsText" dxfId="11" priority="11" operator="containsText" text="fija">
      <formula>NOT(ISERROR(SEARCH("fija",I17)))</formula>
    </cfRule>
    <cfRule type="containsText" dxfId="10" priority="12" operator="containsText" text="domo">
      <formula>NOT(ISERROR(SEARCH("domo",I17)))</formula>
    </cfRule>
  </conditionalFormatting>
  <conditionalFormatting sqref="J17">
    <cfRule type="cellIs" dxfId="9" priority="10" operator="equal">
      <formula>"PTP A FO"</formula>
    </cfRule>
  </conditionalFormatting>
  <conditionalFormatting sqref="L18">
    <cfRule type="containsText" dxfId="8" priority="9" operator="containsText" text="Radio">
      <formula>NOT(ISERROR(SEARCH("Radio",L18)))</formula>
    </cfRule>
  </conditionalFormatting>
  <conditionalFormatting sqref="I18:K18">
    <cfRule type="containsText" dxfId="7" priority="8" operator="containsText" text="Radio">
      <formula>NOT(ISERROR(SEARCH("Radio",I18)))</formula>
    </cfRule>
  </conditionalFormatting>
  <conditionalFormatting sqref="I18">
    <cfRule type="containsText" dxfId="6" priority="6" operator="containsText" text="fija">
      <formula>NOT(ISERROR(SEARCH("fija",I18)))</formula>
    </cfRule>
    <cfRule type="containsText" dxfId="5" priority="7" operator="containsText" text="domo">
      <formula>NOT(ISERROR(SEARCH("domo",I18)))</formula>
    </cfRule>
  </conditionalFormatting>
  <conditionalFormatting sqref="J18">
    <cfRule type="cellIs" dxfId="4" priority="5" operator="equal">
      <formula>"PTP A FO"</formula>
    </cfRule>
  </conditionalFormatting>
  <conditionalFormatting sqref="I19:L19">
    <cfRule type="containsText" dxfId="3" priority="4" operator="containsText" text="Radio">
      <formula>NOT(ISERROR(SEARCH("Radio",I19)))</formula>
    </cfRule>
  </conditionalFormatting>
  <conditionalFormatting sqref="I19">
    <cfRule type="containsText" dxfId="2" priority="2" operator="containsText" text="fija">
      <formula>NOT(ISERROR(SEARCH("fija",I19)))</formula>
    </cfRule>
    <cfRule type="containsText" dxfId="1" priority="3" operator="containsText" text="domo">
      <formula>NOT(ISERROR(SEARCH("domo",I19)))</formula>
    </cfRule>
  </conditionalFormatting>
  <conditionalFormatting sqref="J19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2022-08-02T11:59:24Z</dcterms:modified>
</cp:coreProperties>
</file>