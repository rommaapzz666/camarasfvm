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86179D4D-C568-45C4-809C-BEF09771A910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APAGADOS!$A$2:$AG$401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AD3" i="25"/>
  <c r="AD5" i="25"/>
  <c r="D38" i="24"/>
  <c r="C39" i="24"/>
  <c r="D39" i="24" s="1"/>
  <c r="D33" i="24"/>
  <c r="C34" i="24"/>
  <c r="C35" i="24" s="1"/>
  <c r="D28" i="24"/>
  <c r="C29" i="24"/>
  <c r="D29" i="24" s="1"/>
  <c r="X3" i="25"/>
  <c r="X5" i="25"/>
  <c r="D23" i="24"/>
  <c r="C24" i="24"/>
  <c r="D24" i="24" s="1"/>
  <c r="D18" i="24"/>
  <c r="C19" i="24"/>
  <c r="D19" i="24" s="1"/>
  <c r="V3" i="25"/>
  <c r="V5" i="25"/>
  <c r="Q5" i="25"/>
  <c r="Q3" i="25"/>
  <c r="D13" i="24"/>
  <c r="C14" i="24"/>
  <c r="D14" i="24" s="1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C396" i="11" s="1"/>
  <c r="D394" i="8"/>
  <c r="E394" i="8"/>
  <c r="F394" i="8"/>
  <c r="F396" i="21" s="1"/>
  <c r="G394" i="8"/>
  <c r="G395" i="9" s="1"/>
  <c r="H394" i="8"/>
  <c r="H395" i="9" s="1"/>
  <c r="I394" i="8"/>
  <c r="I396" i="11" s="1"/>
  <c r="J394" i="8"/>
  <c r="K394" i="8"/>
  <c r="K395" i="9" s="1"/>
  <c r="L394" i="8"/>
  <c r="M394" i="8"/>
  <c r="N394" i="8"/>
  <c r="N396" i="21" s="1"/>
  <c r="O394" i="8"/>
  <c r="O395" i="9" s="1"/>
  <c r="P394" i="8"/>
  <c r="P396" i="21" s="1"/>
  <c r="Q394" i="8"/>
  <c r="Q396" i="11" s="1"/>
  <c r="R394" i="8"/>
  <c r="S394" i="8"/>
  <c r="S396" i="21" s="1"/>
  <c r="A395" i="8"/>
  <c r="B395" i="8"/>
  <c r="C395" i="8"/>
  <c r="D395" i="8"/>
  <c r="E395" i="8"/>
  <c r="E396" i="9" s="1"/>
  <c r="F395" i="8"/>
  <c r="F397" i="10" s="1"/>
  <c r="G395" i="8"/>
  <c r="H395" i="8"/>
  <c r="H396" i="9" s="1"/>
  <c r="I395" i="8"/>
  <c r="J395" i="8"/>
  <c r="K395" i="8"/>
  <c r="L395" i="8"/>
  <c r="L397" i="21" s="1"/>
  <c r="M395" i="8"/>
  <c r="M397" i="21" s="1"/>
  <c r="N395" i="8"/>
  <c r="N397" i="11" s="1"/>
  <c r="O395" i="8"/>
  <c r="P395" i="8"/>
  <c r="P397" i="21" s="1"/>
  <c r="Q395" i="8"/>
  <c r="R395" i="8"/>
  <c r="S395" i="8"/>
  <c r="A396" i="8"/>
  <c r="A398" i="10" s="1"/>
  <c r="B396" i="8"/>
  <c r="B398" i="10" s="1"/>
  <c r="C396" i="8"/>
  <c r="C398" i="11" s="1"/>
  <c r="D396" i="8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M396" i="8"/>
  <c r="M397" i="9" s="1"/>
  <c r="N396" i="8"/>
  <c r="O396" i="8"/>
  <c r="P396" i="8"/>
  <c r="Q396" i="8"/>
  <c r="Q398" i="10" s="1"/>
  <c r="R396" i="8"/>
  <c r="R398" i="21" s="1"/>
  <c r="S396" i="8"/>
  <c r="S398" i="11" s="1"/>
  <c r="A397" i="8"/>
  <c r="B397" i="8"/>
  <c r="B399" i="10" s="1"/>
  <c r="C397" i="8"/>
  <c r="D397" i="8"/>
  <c r="E397" i="8"/>
  <c r="F397" i="8"/>
  <c r="F398" i="9" s="1"/>
  <c r="G397" i="8"/>
  <c r="G398" i="9" s="1"/>
  <c r="H397" i="8"/>
  <c r="H398" i="9" s="1"/>
  <c r="I397" i="8"/>
  <c r="J397" i="8"/>
  <c r="J399" i="21" s="1"/>
  <c r="K397" i="8"/>
  <c r="L397" i="8"/>
  <c r="M397" i="8"/>
  <c r="N397" i="8"/>
  <c r="N398" i="9" s="1"/>
  <c r="O397" i="8"/>
  <c r="O399" i="10" s="1"/>
  <c r="P397" i="8"/>
  <c r="P399" i="11" s="1"/>
  <c r="Q397" i="8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O398" i="8"/>
  <c r="O399" i="9" s="1"/>
  <c r="P398" i="8"/>
  <c r="Q398" i="8"/>
  <c r="R398" i="8"/>
  <c r="R400" i="21" s="1"/>
  <c r="S398" i="8"/>
  <c r="S399" i="9" s="1"/>
  <c r="A399" i="8"/>
  <c r="A400" i="9" s="1"/>
  <c r="B399" i="8"/>
  <c r="C399" i="8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O399" i="8"/>
  <c r="O401" i="21" s="1"/>
  <c r="P399" i="8"/>
  <c r="P400" i="9" s="1"/>
  <c r="Q399" i="8"/>
  <c r="Q400" i="9" s="1"/>
  <c r="R399" i="8"/>
  <c r="S399" i="8"/>
  <c r="A396" i="10"/>
  <c r="B396" i="10"/>
  <c r="D396" i="10"/>
  <c r="E396" i="10"/>
  <c r="H396" i="10"/>
  <c r="I396" i="10"/>
  <c r="J396" i="10"/>
  <c r="K396" i="10"/>
  <c r="L396" i="10"/>
  <c r="M396" i="10"/>
  <c r="Q396" i="10"/>
  <c r="R396" i="10"/>
  <c r="AA396" i="10"/>
  <c r="AD396" i="10"/>
  <c r="A397" i="10"/>
  <c r="B397" i="10"/>
  <c r="G397" i="10"/>
  <c r="H397" i="10"/>
  <c r="I397" i="10"/>
  <c r="J397" i="10"/>
  <c r="N397" i="10"/>
  <c r="O397" i="10"/>
  <c r="Q397" i="10"/>
  <c r="R397" i="10"/>
  <c r="X397" i="10"/>
  <c r="AA397" i="10"/>
  <c r="AF397" i="10"/>
  <c r="D398" i="10"/>
  <c r="F398" i="10"/>
  <c r="G398" i="10"/>
  <c r="L398" i="10"/>
  <c r="N398" i="10"/>
  <c r="O398" i="10"/>
  <c r="W398" i="10"/>
  <c r="Z398" i="10"/>
  <c r="AE398" i="10"/>
  <c r="A399" i="10"/>
  <c r="C399" i="10"/>
  <c r="D399" i="10"/>
  <c r="I399" i="10"/>
  <c r="K399" i="10"/>
  <c r="L399" i="10"/>
  <c r="N399" i="10"/>
  <c r="Q399" i="10"/>
  <c r="S399" i="10"/>
  <c r="V399" i="10"/>
  <c r="AA399" i="10"/>
  <c r="AD399" i="10"/>
  <c r="A400" i="10"/>
  <c r="D400" i="10"/>
  <c r="F400" i="10"/>
  <c r="H400" i="10"/>
  <c r="I400" i="10"/>
  <c r="N400" i="10"/>
  <c r="P400" i="10"/>
  <c r="Q400" i="10"/>
  <c r="Z400" i="10"/>
  <c r="B395" i="9"/>
  <c r="D395" i="9"/>
  <c r="E395" i="9"/>
  <c r="J395" i="9"/>
  <c r="L395" i="9"/>
  <c r="M395" i="9"/>
  <c r="R395" i="9"/>
  <c r="S395" i="9"/>
  <c r="Y395" i="9"/>
  <c r="AB395" i="9"/>
  <c r="AG395" i="9"/>
  <c r="A396" i="9"/>
  <c r="B396" i="9"/>
  <c r="C396" i="9"/>
  <c r="G396" i="9"/>
  <c r="I396" i="9"/>
  <c r="J396" i="9"/>
  <c r="O396" i="9"/>
  <c r="P396" i="9"/>
  <c r="Q396" i="9"/>
  <c r="R396" i="9"/>
  <c r="V396" i="9"/>
  <c r="Y396" i="9"/>
  <c r="AD396" i="9"/>
  <c r="AG396" i="9"/>
  <c r="D397" i="9"/>
  <c r="F397" i="9"/>
  <c r="G397" i="9"/>
  <c r="I397" i="9"/>
  <c r="L397" i="9"/>
  <c r="N397" i="9"/>
  <c r="O397" i="9"/>
  <c r="T397" i="9"/>
  <c r="W397" i="9"/>
  <c r="AB397" i="9"/>
  <c r="AE397" i="9"/>
  <c r="A398" i="9"/>
  <c r="C398" i="9"/>
  <c r="D398" i="9"/>
  <c r="I398" i="9"/>
  <c r="K398" i="9"/>
  <c r="L398" i="9"/>
  <c r="Q398" i="9"/>
  <c r="S398" i="9"/>
  <c r="T398" i="9"/>
  <c r="Y398" i="9"/>
  <c r="AB398" i="9"/>
  <c r="AG398" i="9"/>
  <c r="A399" i="9"/>
  <c r="F399" i="9"/>
  <c r="H399" i="9"/>
  <c r="I399" i="9"/>
  <c r="J399" i="9"/>
  <c r="L399" i="9"/>
  <c r="N399" i="9"/>
  <c r="P399" i="9"/>
  <c r="Q399" i="9"/>
  <c r="R399" i="9"/>
  <c r="V399" i="9"/>
  <c r="Y399" i="9"/>
  <c r="AD399" i="9"/>
  <c r="AG399" i="9"/>
  <c r="C400" i="9"/>
  <c r="E400" i="9"/>
  <c r="F400" i="9"/>
  <c r="K400" i="9"/>
  <c r="L400" i="9"/>
  <c r="M400" i="9"/>
  <c r="N400" i="9"/>
  <c r="O400" i="9"/>
  <c r="S400" i="9"/>
  <c r="V400" i="9"/>
  <c r="AA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D396" i="21"/>
  <c r="E396" i="21"/>
  <c r="J396" i="21"/>
  <c r="L396" i="21"/>
  <c r="M396" i="21"/>
  <c r="O396" i="21"/>
  <c r="R396" i="21"/>
  <c r="X396" i="21"/>
  <c r="AA396" i="21"/>
  <c r="AF396" i="21"/>
  <c r="AI396" i="21"/>
  <c r="A397" i="21"/>
  <c r="B397" i="21"/>
  <c r="G397" i="21"/>
  <c r="H397" i="21"/>
  <c r="I397" i="21"/>
  <c r="J397" i="21"/>
  <c r="O397" i="21"/>
  <c r="Q397" i="21"/>
  <c r="R397" i="21"/>
  <c r="T397" i="21"/>
  <c r="W397" i="21"/>
  <c r="AB397" i="21"/>
  <c r="AE397" i="21"/>
  <c r="B398" i="21"/>
  <c r="D398" i="21"/>
  <c r="F398" i="21"/>
  <c r="G398" i="21"/>
  <c r="I398" i="21"/>
  <c r="L398" i="21"/>
  <c r="M398" i="21"/>
  <c r="N398" i="21"/>
  <c r="O398" i="21"/>
  <c r="X398" i="21"/>
  <c r="AA398" i="21"/>
  <c r="AF398" i="21"/>
  <c r="AI398" i="21"/>
  <c r="A399" i="21"/>
  <c r="C399" i="21"/>
  <c r="D399" i="21"/>
  <c r="G399" i="21"/>
  <c r="I399" i="21"/>
  <c r="K399" i="21"/>
  <c r="L399" i="21"/>
  <c r="Q399" i="21"/>
  <c r="S399" i="21"/>
  <c r="V399" i="21"/>
  <c r="AA399" i="21"/>
  <c r="AD399" i="21"/>
  <c r="AI399" i="21"/>
  <c r="A400" i="21"/>
  <c r="C400" i="21"/>
  <c r="F400" i="21"/>
  <c r="H400" i="21"/>
  <c r="I400" i="21"/>
  <c r="L400" i="21"/>
  <c r="N400" i="21"/>
  <c r="P400" i="21"/>
  <c r="Q400" i="21"/>
  <c r="W400" i="21"/>
  <c r="Z400" i="21"/>
  <c r="AE400" i="21"/>
  <c r="AH400" i="21"/>
  <c r="C401" i="21"/>
  <c r="E401" i="21"/>
  <c r="F401" i="21"/>
  <c r="K401" i="21"/>
  <c r="M401" i="21"/>
  <c r="N401" i="21"/>
  <c r="P401" i="21"/>
  <c r="Q401" i="21"/>
  <c r="S401" i="21"/>
  <c r="Z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D396" i="11"/>
  <c r="E396" i="11"/>
  <c r="F396" i="11"/>
  <c r="J396" i="11"/>
  <c r="K396" i="11"/>
  <c r="L396" i="11"/>
  <c r="M396" i="11"/>
  <c r="N396" i="11"/>
  <c r="R396" i="11"/>
  <c r="Y396" i="11"/>
  <c r="AD396" i="11"/>
  <c r="AG396" i="11"/>
  <c r="A397" i="11"/>
  <c r="B397" i="11"/>
  <c r="C397" i="11"/>
  <c r="G397" i="11"/>
  <c r="H397" i="11"/>
  <c r="I397" i="11"/>
  <c r="J397" i="11"/>
  <c r="K397" i="11"/>
  <c r="O397" i="11"/>
  <c r="Q397" i="11"/>
  <c r="R397" i="11"/>
  <c r="S397" i="11"/>
  <c r="W397" i="11"/>
  <c r="Z397" i="11"/>
  <c r="AE397" i="11"/>
  <c r="AH397" i="11"/>
  <c r="D398" i="11"/>
  <c r="F398" i="11"/>
  <c r="G398" i="11"/>
  <c r="H398" i="11"/>
  <c r="L398" i="11"/>
  <c r="N398" i="11"/>
  <c r="O398" i="11"/>
  <c r="P398" i="11"/>
  <c r="Z398" i="11"/>
  <c r="AH398" i="11"/>
  <c r="A399" i="11"/>
  <c r="B399" i="11"/>
  <c r="C399" i="11"/>
  <c r="D399" i="11"/>
  <c r="E399" i="11"/>
  <c r="I399" i="11"/>
  <c r="K399" i="11"/>
  <c r="L399" i="11"/>
  <c r="M399" i="11"/>
  <c r="Q399" i="11"/>
  <c r="S399" i="11"/>
  <c r="V399" i="11"/>
  <c r="AA399" i="11"/>
  <c r="AD399" i="11"/>
  <c r="AI399" i="11"/>
  <c r="A400" i="11"/>
  <c r="B400" i="11"/>
  <c r="F400" i="11"/>
  <c r="H400" i="11"/>
  <c r="I400" i="11"/>
  <c r="J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AO3" i="2"/>
  <c r="AO2" i="2"/>
  <c r="I378" i="2"/>
  <c r="I379" i="2"/>
  <c r="H378" i="2"/>
  <c r="H379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5" i="2"/>
  <c r="D3" i="24"/>
  <c r="C4" i="24"/>
  <c r="D4" i="24" s="1"/>
  <c r="C45" i="24" l="1"/>
  <c r="AD6" i="25"/>
  <c r="AD4" i="25"/>
  <c r="C40" i="24"/>
  <c r="D34" i="24"/>
  <c r="D35" i="24"/>
  <c r="C36" i="24"/>
  <c r="D36" i="24" s="1"/>
  <c r="X4" i="25"/>
  <c r="X6" i="25"/>
  <c r="C30" i="24"/>
  <c r="C25" i="24"/>
  <c r="V6" i="25"/>
  <c r="V4" i="25"/>
  <c r="C20" i="24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3" i="2"/>
  <c r="J389" i="2"/>
  <c r="J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5" i="2"/>
  <c r="J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4" i="2"/>
  <c r="J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6" i="2"/>
  <c r="J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1" i="2"/>
  <c r="J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7" i="2"/>
  <c r="J386" i="2"/>
  <c r="AO1" i="2"/>
  <c r="C5" i="24"/>
  <c r="J379" i="2"/>
  <c r="J378" i="2"/>
  <c r="I377" i="2"/>
  <c r="I376" i="2"/>
  <c r="I375" i="2"/>
  <c r="I374" i="2"/>
  <c r="I373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4" i="2"/>
  <c r="I335" i="2"/>
  <c r="I336" i="2"/>
  <c r="I337" i="2"/>
  <c r="I338" i="2"/>
  <c r="I339" i="2"/>
  <c r="J339" i="2" s="1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J371" i="2" s="1"/>
  <c r="I372" i="2"/>
  <c r="I245" i="2"/>
  <c r="I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45" i="24" l="1"/>
  <c r="C46" i="24"/>
  <c r="D46" i="24" s="1"/>
  <c r="D40" i="24"/>
  <c r="C41" i="24"/>
  <c r="D41" i="24" s="1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J370" i="2"/>
  <c r="J346" i="2"/>
  <c r="J338" i="2"/>
  <c r="J314" i="2"/>
  <c r="J298" i="2"/>
  <c r="J290" i="2"/>
  <c r="J274" i="2"/>
  <c r="J258" i="2"/>
  <c r="J250" i="2"/>
  <c r="A368" i="9"/>
  <c r="AI283" i="10"/>
  <c r="AH191" i="10"/>
  <c r="AH128" i="21"/>
  <c r="AI88" i="10"/>
  <c r="J369" i="2"/>
  <c r="J353" i="2"/>
  <c r="H369" i="11"/>
  <c r="Y368" i="10"/>
  <c r="AH305" i="21"/>
  <c r="AH90" i="10"/>
  <c r="C367" i="9"/>
  <c r="AI304" i="10"/>
  <c r="AI91" i="10"/>
  <c r="J368" i="10"/>
  <c r="AG368" i="11"/>
  <c r="AH263" i="11"/>
  <c r="J372" i="2"/>
  <c r="J364" i="2"/>
  <c r="J348" i="2"/>
  <c r="J340" i="2"/>
  <c r="J332" i="2"/>
  <c r="J316" i="2"/>
  <c r="J308" i="2"/>
  <c r="B368" i="10"/>
  <c r="AH311" i="11"/>
  <c r="AH252" i="10"/>
  <c r="AI115" i="10"/>
  <c r="AI3" i="11"/>
  <c r="A31" i="14" s="1"/>
  <c r="AH3" i="11"/>
  <c r="A30" i="14" s="1"/>
  <c r="J257" i="2"/>
  <c r="J356" i="2"/>
  <c r="J354" i="2"/>
  <c r="J330" i="2"/>
  <c r="J322" i="2"/>
  <c r="J361" i="2"/>
  <c r="J265" i="2"/>
  <c r="J362" i="2"/>
  <c r="J266" i="2"/>
  <c r="J264" i="2"/>
  <c r="J300" i="2"/>
  <c r="J276" i="2"/>
  <c r="J268" i="2"/>
  <c r="J260" i="2"/>
  <c r="P369" i="11"/>
  <c r="J360" i="2"/>
  <c r="J336" i="2"/>
  <c r="J312" i="2"/>
  <c r="J321" i="2"/>
  <c r="J368" i="2"/>
  <c r="J275" i="2"/>
  <c r="J347" i="2"/>
  <c r="J345" i="2"/>
  <c r="J323" i="2"/>
  <c r="J320" i="2"/>
  <c r="J305" i="2"/>
  <c r="J288" i="2"/>
  <c r="J273" i="2"/>
  <c r="J280" i="2"/>
  <c r="J251" i="2"/>
  <c r="J344" i="2"/>
  <c r="J337" i="2"/>
  <c r="J329" i="2"/>
  <c r="J252" i="2"/>
  <c r="J365" i="2"/>
  <c r="J357" i="2"/>
  <c r="J349" i="2"/>
  <c r="J341" i="2"/>
  <c r="J333" i="2"/>
  <c r="J317" i="2"/>
  <c r="J301" i="2"/>
  <c r="J277" i="2"/>
  <c r="J269" i="2"/>
  <c r="J261" i="2"/>
  <c r="J253" i="2"/>
  <c r="J374" i="2"/>
  <c r="M368" i="11"/>
  <c r="U368" i="11"/>
  <c r="AB369" i="11"/>
  <c r="AC367" i="9"/>
  <c r="J376" i="2"/>
  <c r="T368" i="9"/>
  <c r="J367" i="2"/>
  <c r="J359" i="2"/>
  <c r="J351" i="2"/>
  <c r="J335" i="2"/>
  <c r="J311" i="2"/>
  <c r="J295" i="2"/>
  <c r="J271" i="2"/>
  <c r="J263" i="2"/>
  <c r="J255" i="2"/>
  <c r="J366" i="2"/>
  <c r="J358" i="2"/>
  <c r="J350" i="2"/>
  <c r="J342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5" i="2"/>
  <c r="J373" i="2"/>
  <c r="J377" i="2"/>
  <c r="J307" i="2"/>
  <c r="J306" i="2"/>
  <c r="J304" i="2"/>
  <c r="J297" i="2"/>
  <c r="J363" i="2"/>
  <c r="J309" i="2"/>
  <c r="J325" i="2"/>
  <c r="J334" i="2"/>
  <c r="J310" i="2"/>
  <c r="J327" i="2"/>
  <c r="J247" i="2"/>
  <c r="J343" i="2"/>
  <c r="J355" i="2"/>
  <c r="J289" i="2"/>
  <c r="J352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26" i="14" s="1"/>
  <c r="F24" i="14" l="1"/>
  <c r="F25" i="14"/>
  <c r="F23" i="14"/>
  <c r="F22" i="14"/>
  <c r="F21" i="14"/>
  <c r="F20" i="14"/>
  <c r="F18" i="14"/>
  <c r="F19" i="14"/>
  <c r="F12" i="14"/>
  <c r="F17" i="14"/>
  <c r="F13" i="14"/>
  <c r="F16" i="14"/>
  <c r="F15" i="14"/>
  <c r="F14" i="14"/>
  <c r="F10" i="14"/>
  <c r="F11" i="14"/>
  <c r="O2" i="21"/>
  <c r="D11" i="14" s="1"/>
  <c r="AI2" i="21"/>
  <c r="AH2" i="21"/>
  <c r="AC2" i="21"/>
  <c r="D25" i="14" s="1"/>
  <c r="U2" i="21"/>
  <c r="D17" i="14" s="1"/>
  <c r="M2" i="21"/>
  <c r="D9" i="14" s="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AA2" i="21"/>
  <c r="D23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G2" i="21"/>
  <c r="D3" i="14" s="1"/>
  <c r="AD2" i="21"/>
  <c r="D26" i="14" s="1"/>
  <c r="V2" i="21"/>
  <c r="D18" i="14" s="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P2" i="11" l="1"/>
  <c r="B12" i="14" s="1"/>
  <c r="O2" i="11"/>
  <c r="B11" i="14" s="1"/>
  <c r="K2" i="11"/>
  <c r="G2" i="1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E12" i="14" s="1"/>
  <c r="G12" i="14" s="1"/>
  <c r="AA2" i="10"/>
  <c r="C23" i="14" s="1"/>
  <c r="AB2" i="10"/>
  <c r="C24" i="14" s="1"/>
  <c r="U1" i="9"/>
  <c r="V1" i="9"/>
  <c r="G1" i="9"/>
  <c r="R1" i="9"/>
  <c r="K1" i="9"/>
  <c r="AG2" i="2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AG2" i="11"/>
  <c r="R2" i="11"/>
  <c r="B14" i="14" s="1"/>
  <c r="E14" i="14" s="1"/>
  <c r="G14" i="14" s="1"/>
  <c r="AB2" i="11"/>
  <c r="B24" i="14" s="1"/>
  <c r="E24" i="14" s="1"/>
  <c r="G24" i="14" s="1"/>
  <c r="V2" i="11"/>
  <c r="B18" i="14" s="1"/>
  <c r="B3" i="14"/>
  <c r="Q2" i="11"/>
  <c r="B13" i="14" s="1"/>
  <c r="E13" i="14" s="1"/>
  <c r="G13" i="14" s="1"/>
  <c r="AA2" i="11"/>
  <c r="B23" i="14" s="1"/>
  <c r="E23" i="14" s="1"/>
  <c r="G23" i="14" s="1"/>
  <c r="AC2" i="11"/>
  <c r="B25" i="14" s="1"/>
  <c r="E25" i="14" s="1"/>
  <c r="G25" i="14" s="1"/>
  <c r="U2" i="11"/>
  <c r="B17" i="14" s="1"/>
  <c r="E17" i="14" s="1"/>
  <c r="G17" i="14" s="1"/>
  <c r="AE2" i="11"/>
  <c r="AF2" i="11"/>
  <c r="X2" i="11"/>
  <c r="B20" i="14" s="1"/>
  <c r="E20" i="14" s="1"/>
  <c r="G20" i="14" s="1"/>
  <c r="AD2" i="11"/>
  <c r="B26" i="14" s="1"/>
  <c r="Y2" i="11"/>
  <c r="B21" i="14" s="1"/>
  <c r="E21" i="14" s="1"/>
  <c r="G21" i="14" s="1"/>
  <c r="Z2" i="11"/>
  <c r="B22" i="14" s="1"/>
  <c r="E22" i="14" s="1"/>
  <c r="G22" i="14" s="1"/>
  <c r="S2" i="11"/>
  <c r="B15" i="14" s="1"/>
  <c r="T2" i="11"/>
  <c r="B16" i="14" s="1"/>
  <c r="W2" i="11"/>
  <c r="B19" i="14" s="1"/>
  <c r="E19" i="14" s="1"/>
  <c r="G19" i="14" s="1"/>
  <c r="E26" i="14" l="1"/>
  <c r="G26" i="14" s="1"/>
  <c r="E18" i="14"/>
  <c r="G18" i="14" s="1"/>
  <c r="E15" i="14"/>
  <c r="G15" i="14" s="1"/>
  <c r="E16" i="14"/>
  <c r="G16" i="14" s="1"/>
  <c r="E11" i="14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<sst xmlns="http://schemas.openxmlformats.org/spreadsheetml/2006/main" count="4010" uniqueCount="1208">
  <si>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</si>
  <si>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</si>
  <si>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</si>
  <si>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</si>
  <si>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</si>
  <si>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</si>
  <si>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</si>
  <si>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</si>
  <si>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</si>
  <si>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</si>
  <si>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</si>
  <si>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</si>
  <si>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</si>
  <si>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</si>
  <si>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</si>
  <si>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</si>
  <si>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</si>
  <si>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</si>
  <si>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</si>
  <si>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</si>
  <si>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</si>
  <si>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</si>
  <si>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</si>
  <si>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</si>
  <si>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</si>
  <si>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</si>
  <si>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</si>
  <si>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</si>
  <si>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</si>
  <si>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</si>
  <si>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</si>
  <si>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</si>
  <si>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</si>
  <si>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</si>
  <si>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</si>
  <si>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</si>
  <si>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</si>
  <si>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</si>
  <si>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</si>
  <si>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</si>
  <si>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</si>
  <si>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</si>
  <si>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</si>
  <si>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</si>
  <si>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</si>
  <si>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</si>
  <si>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</si>
  <si>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</si>
  <si>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</si>
  <si>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</si>
  <si>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</si>
  <si>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</si>
  <si>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</si>
  <si>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</si>
  <si>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</si>
  <si>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</si>
  <si>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</si>
  <si>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</si>
  <si>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</si>
  <si>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</si>
  <si>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</si>
  <si>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</si>
  <si>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</si>
  <si>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</si>
  <si>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</si>
  <si>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</si>
  <si>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</si>
  <si>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</si>
  <si>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</si>
  <si>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</si>
  <si>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</si>
  <si>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</si>
  <si>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</si>
  <si>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</si>
  <si>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</si>
  <si>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</si>
  <si>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</si>
  <si>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</si>
  <si>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</si>
  <si>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</si>
  <si>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</si>
  <si>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</si>
  <si>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</si>
  <si>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</si>
  <si>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</si>
  <si>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</si>
  <si>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</si>
  <si>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</si>
  <si>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</si>
  <si>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</si>
  <si>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</si>
  <si>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</si>
  <si>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</si>
  <si>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</si>
  <si>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</si>
  <si>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</si>
  <si>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</si>
  <si>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</si>
  <si>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</si>
  <si>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</si>
  <si>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</si>
  <si>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</si>
  <si>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</si>
  <si>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</si>
  <si>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</si>
  <si>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</si>
  <si>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</si>
  <si>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</si>
  <si>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</si>
  <si>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</si>
  <si>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</si>
  <si>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</si>
  <si>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</si>
  <si>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</si>
  <si>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</si>
  <si>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</si>
  <si>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</si>
  <si>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</si>
  <si>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</si>
  <si>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</si>
  <si>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</si>
  <si>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</si>
  <si>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</si>
  <si>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</si>
  <si>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</si>
  <si>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</si>
  <si>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</si>
  <si>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</si>
  <si>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</si>
  <si>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</si>
  <si>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</si>
  <si>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</si>
  <si>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</si>
  <si>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</si>
  <si>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</si>
  <si>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</si>
  <si>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</si>
  <si>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</si>
  <si>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</si>
  <si>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</si>
  <si>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</si>
  <si>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</si>
  <si>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</si>
  <si>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</si>
  <si>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</si>
  <si>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</si>
  <si>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</si>
  <si>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</si>
  <si>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</si>
  <si>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</si>
  <si>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</si>
  <si>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</si>
  <si>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</si>
  <si>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</si>
  <si>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</si>
  <si>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</si>
  <si>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</si>
  <si>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</si>
  <si>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</si>
  <si>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</si>
  <si>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</si>
  <si>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</si>
  <si>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</si>
  <si>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</si>
  <si>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</si>
  <si>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</si>
  <si>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</si>
  <si>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</si>
  <si>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</si>
  <si>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</si>
  <si>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</si>
  <si>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</si>
  <si>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</si>
  <si>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</si>
  <si>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</si>
  <si>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</si>
  <si>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</si>
  <si>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</si>
  <si>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</si>
  <si>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</si>
  <si>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</si>
  <si>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</si>
  <si>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</si>
  <si>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</si>
  <si>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</si>
  <si>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</si>
  <si>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</si>
  <si>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</si>
  <si>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</si>
  <si>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</si>
  <si>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</si>
  <si>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</si>
  <si>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</si>
  <si>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</si>
  <si>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</si>
  <si>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</si>
  <si>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</si>
  <si>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</si>
  <si>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</si>
  <si>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</si>
  <si>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</si>
  <si>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</si>
  <si>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</si>
  <si>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</si>
  <si>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</si>
  <si>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</si>
  <si>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</si>
  <si>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</si>
  <si>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</si>
  <si>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</si>
  <si>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</si>
  <si>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</si>
  <si>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</si>
  <si>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</si>
  <si>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</si>
  <si>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</si>
  <si>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</si>
  <si>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</si>
  <si>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</si>
  <si>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</si>
  <si>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</si>
  <si>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</si>
  <si>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</si>
  <si>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</si>
  <si>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</si>
  <si>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</si>
  <si>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</si>
  <si>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</si>
  <si>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</si>
  <si>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</si>
  <si>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</si>
  <si>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</si>
  <si>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</si>
  <si>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</si>
  <si>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</si>
  <si>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</si>
  <si>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</si>
  <si>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</si>
  <si>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</si>
  <si>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</si>
  <si>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</si>
  <si>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</si>
  <si>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</si>
  <si>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</si>
  <si>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</si>
  <si>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</si>
  <si>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</si>
  <si>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</si>
  <si>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</si>
  <si>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</si>
  <si>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</si>
  <si>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</si>
  <si>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</si>
  <si>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</si>
  <si>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</si>
  <si>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</si>
  <si>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</si>
  <si>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</si>
  <si>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</si>
  <si>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</si>
  <si>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</si>
  <si>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</si>
  <si>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</si>
  <si>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</si>
  <si>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</si>
  <si>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</si>
  <si>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</si>
  <si>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</si>
  <si>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</si>
  <si>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</si>
  <si>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</si>
  <si>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</si>
  <si>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</si>
  <si>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</si>
  <si>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</si>
  <si>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</si>
  <si>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</si>
  <si>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</si>
  <si>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</si>
  <si>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</si>
  <si>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</si>
  <si>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</si>
  <si>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</si>
  <si>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</si>
  <si>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</si>
  <si>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</si>
  <si>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</si>
  <si>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</si>
  <si>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</si>
  <si>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</si>
  <si>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</si>
  <si>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</si>
  <si>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</si>
  <si>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</si>
  <si>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</si>
  <si>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</si>
  <si>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</si>
  <si>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</si>
  <si>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</si>
  <si>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</si>
  <si>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</si>
  <si>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</si>
  <si>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</si>
  <si>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</si>
  <si>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</si>
  <si>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</si>
  <si>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</si>
  <si>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</si>
  <si>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</si>
  <si>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</si>
  <si>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</si>
  <si>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</si>
  <si>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</si>
  <si>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</si>
  <si>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</si>
  <si>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</si>
  <si>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</si>
  <si>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</si>
  <si>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</si>
  <si>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</si>
  <si>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</si>
  <si>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</si>
  <si>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</si>
  <si>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</si>
  <si>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</si>
  <si>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</si>
  <si>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</si>
  <si>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</si>
  <si>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</si>
  <si>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</si>
  <si>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</si>
  <si>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</si>
  <si>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</si>
  <si>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</si>
  <si>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</si>
  <si>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</si>
  <si>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</si>
  <si>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</si>
  <si>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</si>
  <si>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</si>
  <si>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</si>
  <si>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</si>
  <si>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</si>
  <si>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</si>
  <si>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</si>
  <si>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</si>
  <si>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</si>
  <si>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</si>
  <si>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</si>
  <si>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</si>
  <si>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</si>
  <si>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</si>
  <si>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</si>
  <si>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</si>
  <si>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</si>
  <si>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</si>
  <si>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</si>
  <si>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</si>
  <si>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</si>
  <si>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</si>
  <si>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</si>
  <si>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</si>
  <si>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</si>
  <si>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</si>
  <si>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</si>
  <si>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</si>
  <si>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</si>
  <si>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</si>
  <si>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</si>
  <si>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</si>
  <si>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</si>
  <si>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</si>
  <si>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</si>
  <si>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</si>
  <si>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</si>
  <si>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</si>
  <si>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</si>
  <si>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</si>
  <si>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</si>
  <si>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</si>
  <si>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</si>
  <si>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</si>
  <si>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</si>
  <si>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</si>
  <si>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</si>
  <si>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</si>
  <si>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</si>
  <si>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</si>
  <si>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</si>
  <si>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</si>
  <si>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</si>
  <si>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</si>
  <si>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</si>
  <si>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</si>
  <si>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</si>
  <si>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</si>
  <si>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</si>
  <si>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</si>
  <si>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</si>
  <si>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</si>
  <si>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</si>
  <si>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</si>
  <si>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</si>
  <si>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</si>
  <si>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</si>
  <si>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</si>
  <si>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</si>
  <si>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</si>
  <si>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</si>
  <si>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</si>
  <si>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</si>
  <si>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</si>
  <si>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</si>
  <si>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</si>
  <si>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</si>
  <si>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</si>
  <si>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</si>
  <si>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</si>
  <si>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</si>
  <si>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</si>
  <si>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</si>
  <si>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</si>
  <si>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</si>
  <si>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</si>
  <si>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</si>
  <si>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</si>
  <si>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</si>
  <si>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</si>
  <si>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</si>
  <si>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</si>
  <si>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</si>
  <si>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</si>
  <si>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</si>
  <si>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</si>
  <si>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</si>
  <si>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</si>
  <si>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</si>
  <si>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</si>
  <si>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</si>
  <si>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</si>
  <si>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</si>
  <si>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</si>
  <si>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</si>
  <si>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</si>
  <si>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</si>
  <si>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</si>
  <si>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</si>
  <si>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</si>
  <si>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</si>
  <si>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</si>
  <si>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</si>
  <si>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</si>
  <si>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</si>
  <si>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</si>
  <si>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</si>
  <si>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</si>
  <si>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</si>
  <si>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</si>
  <si>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</si>
  <si>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</si>
  <si>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</si>
  <si>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</si>
  <si>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</si>
  <si>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</si>
  <si>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</si>
  <si>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</si>
  <si>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</si>
  <si>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</si>
  <si>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</si>
  <si>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</si>
  <si>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</si>
  <si>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</si>
  <si>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</si>
  <si>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</si>
  <si>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</si>
  <si>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</si>
  <si>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</si>
  <si>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</si>
  <si>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</si>
  <si>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</si>
  <si>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</si>
  <si>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</si>
  <si>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</si>
  <si>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</si>
  <si>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</si>
  <si>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</si>
  <si>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</si>
  <si>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</si>
  <si>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</si>
  <si>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</si>
  <si>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</si>
  <si>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</si>
  <si>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</si>
  <si>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</si>
  <si>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</si>
  <si>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</si>
  <si>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</si>
  <si>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</si>
  <si>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</si>
  <si>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</si>
  <si>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</si>
  <si>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</si>
  <si>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</si>
  <si>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</si>
  <si>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</si>
  <si>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</si>
  <si>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</si>
  <si>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</si>
  <si>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</si>
  <si>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</si>
  <si>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</si>
  <si>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</si>
  <si>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</si>
  <si>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</si>
  <si>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</si>
  <si>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</si>
  <si>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</si>
  <si>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</si>
  <si>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</si>
  <si>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</si>
  <si>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</si>
  <si>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</si>
  <si>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</si>
  <si>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</si>
  <si>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</si>
  <si>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</si>
  <si>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</si>
  <si>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</si>
  <si>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</si>
  <si>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</si>
  <si>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</si>
  <si>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</si>
  <si>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</si>
  <si>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</si>
  <si>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</si>
  <si>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</si>
  <si>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</si>
  <si>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</si>
  <si>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</si>
  <si>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</si>
  <si>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</si>
  <si>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</si>
  <si>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</si>
  <si>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</si>
  <si>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</si>
  <si>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</si>
  <si>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</si>
  <si>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</si>
  <si>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</si>
  <si>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</si>
  <si>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</si>
  <si>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</si>
  <si>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</si>
  <si>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</si>
  <si>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</si>
  <si>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</si>
  <si>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</si>
  <si>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</si>
  <si>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</si>
  <si>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</si>
  <si>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</si>
  <si>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</si>
  <si>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</si>
  <si>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</si>
  <si>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</si>
  <si>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</si>
  <si>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</si>
  <si>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</si>
  <si>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</si>
  <si>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</si>
  <si>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</si>
  <si>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</si>
  <si>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</si>
  <si>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</si>
  <si>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</si>
  <si>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</si>
  <si>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</si>
  <si>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</si>
  <si>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</si>
  <si>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</si>
  <si>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</si>
  <si>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</si>
  <si>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</si>
  <si>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</si>
  <si>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</si>
  <si>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</si>
  <si>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</si>
  <si>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</si>
  <si>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</si>
  <si>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</si>
  <si>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</si>
  <si>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</si>
  <si>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</si>
  <si>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</si>
  <si>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</si>
  <si>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</si>
  <si>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</si>
  <si>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</si>
  <si>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</si>
  <si>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</si>
  <si>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</si>
  <si>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</si>
  <si>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</si>
  <si>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</si>
  <si>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</si>
  <si>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</si>
  <si>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</si>
  <si>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</si>
  <si>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</si>
  <si>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</si>
  <si>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</si>
  <si>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</si>
  <si>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</si>
  <si>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</si>
  <si>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</si>
  <si>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</si>
  <si>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</si>
  <si>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</si>
  <si>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</si>
  <si>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</si>
  <si>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</si>
  <si>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</si>
  <si>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</si>
  <si>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</si>
  <si>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</si>
  <si>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</si>
  <si>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</si>
  <si>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</si>
  <si>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</si>
  <si>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</si>
  <si>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</si>
  <si>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</si>
  <si>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</si>
  <si>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</si>
  <si>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</si>
  <si>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</si>
  <si>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</si>
  <si>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</si>
  <si>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</si>
  <si>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</si>
  <si>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</si>
  <si>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</si>
  <si>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</si>
  <si>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</si>
  <si>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</si>
  <si>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</si>
  <si>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</si>
  <si>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</si>
  <si>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</si>
  <si>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</si>
  <si>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</si>
  <si>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</si>
  <si>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</si>
  <si>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</si>
  <si>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</si>
  <si>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</si>
  <si>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</si>
  <si>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</si>
  <si>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</si>
  <si>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</si>
  <si>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</si>
  <si>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</si>
  <si>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</si>
  <si>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</si>
  <si>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</si>
  <si>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</si>
  <si>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</si>
  <si>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</si>
  <si>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</si>
  <si>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</si>
  <si>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</si>
  <si>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</si>
  <si>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</si>
  <si>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</si>
  <si>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</si>
  <si>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</si>
  <si>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</si>
  <si>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</si>
  <si>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</si>
  <si>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</si>
  <si>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</si>
  <si>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</si>
  <si>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</si>
  <si>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</si>
  <si>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</si>
  <si>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</si>
  <si>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</si>
  <si>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</si>
  <si>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</si>
  <si>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</si>
  <si>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</si>
  <si>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</si>
  <si>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</si>
  <si>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</si>
  <si>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</si>
  <si>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</si>
  <si>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</si>
  <si>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</si>
  <si>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</si>
  <si>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</si>
  <si>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</si>
  <si>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</si>
  <si>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</si>
  <si>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</si>
  <si>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</si>
  <si>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</si>
  <si>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</si>
  <si>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</si>
  <si>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</si>
  <si>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</si>
  <si>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</si>
  <si>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</si>
  <si>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</si>
  <si>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</si>
  <si>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</si>
  <si>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</si>
  <si>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</si>
  <si>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</si>
  <si>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</si>
  <si>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</si>
  <si>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</si>
  <si>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</si>
  <si>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</si>
  <si>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</si>
  <si>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</si>
  <si>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</si>
  <si>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</si>
  <si>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</si>
  <si>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</si>
  <si>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</si>
  <si>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</si>
  <si>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</si>
  <si>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</si>
  <si>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</si>
  <si>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</si>
  <si>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</si>
  <si>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</si>
  <si>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</si>
  <si>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</si>
  <si>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</si>
  <si>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</si>
  <si>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</si>
  <si>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</si>
  <si>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</si>
  <si>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</si>
  <si>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</si>
  <si>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</si>
  <si>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</si>
  <si>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</si>
  <si>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</si>
  <si>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</si>
  <si>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</si>
  <si>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</si>
  <si>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</si>
  <si>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</si>
  <si>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</si>
  <si>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</si>
  <si>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</si>
  <si>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</si>
  <si>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</si>
  <si>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</si>
  <si>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</si>
  <si>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</si>
  <si>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</si>
  <si>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</si>
  <si>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</si>
  <si>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</si>
  <si>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</si>
  <si>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</si>
  <si>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</si>
  <si>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</si>
  <si>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</si>
  <si>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</si>
  <si>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</si>
  <si>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</si>
  <si>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</si>
  <si>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</si>
  <si>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</si>
  <si>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</si>
  <si>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</si>
  <si>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</si>
  <si>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</si>
  <si>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</si>
  <si>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</si>
  <si>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</si>
  <si>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</si>
  <si>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</si>
  <si>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</si>
  <si>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</si>
  <si>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</si>
  <si>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</si>
  <si>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</si>
  <si>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</si>
  <si>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</si>
  <si>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</si>
  <si>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</si>
  <si>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</si>
  <si>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</si>
  <si>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</si>
  <si>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</si>
  <si>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</si>
  <si>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</si>
  <si>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</si>
  <si>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</si>
  <si>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</si>
  <si>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</si>
  <si>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</si>
  <si>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</si>
  <si>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</si>
  <si>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</si>
  <si>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</si>
  <si>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</si>
  <si>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</si>
  <si>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</si>
  <si>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</si>
  <si>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</si>
  <si>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</si>
  <si>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</si>
  <si>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</si>
  <si>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</si>
  <si>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</si>
  <si>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</si>
  <si>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</si>
  <si>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</si>
  <si>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</si>
  <si>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</si>
  <si>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</si>
  <si>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</si>
  <si>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</si>
  <si>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</si>
  <si>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</si>
  <si>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</si>
  <si>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</si>
  <si>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</si>
  <si>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</si>
  <si>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</si>
  <si>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</si>
  <si>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</si>
  <si>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</si>
  <si>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</si>
  <si>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</si>
  <si>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</si>
  <si>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</si>
  <si>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</si>
  <si>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</si>
  <si>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</si>
  <si>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</si>
  <si>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</si>
  <si>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</si>
  <si>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</si>
  <si>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</si>
  <si>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</si>
  <si>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</si>
  <si>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</si>
  <si>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</si>
  <si>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</si>
  <si>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</si>
  <si>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</si>
  <si>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</si>
  <si>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</si>
  <si>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</si>
  <si>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</si>
  <si>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</si>
  <si>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</si>
  <si>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</si>
  <si>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</si>
  <si>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</si>
  <si>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</si>
  <si>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</si>
  <si>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</si>
  <si>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</si>
  <si>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</si>
  <si>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</si>
  <si>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</si>
  <si>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</si>
  <si>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</si>
  <si>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</si>
  <si>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</si>
  <si>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</si>
  <si>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</si>
  <si>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</si>
  <si>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</si>
  <si>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</si>
  <si>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</si>
  <si>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</si>
  <si>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</si>
  <si>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</si>
  <si>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</si>
  <si>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</si>
  <si>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</si>
  <si>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</si>
  <si>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</si>
  <si>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</si>
  <si>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</si>
  <si>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</si>
  <si>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</si>
  <si>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</si>
  <si>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</si>
  <si>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</si>
  <si>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</si>
  <si>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</si>
  <si>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</si>
  <si>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</si>
  <si>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</si>
  <si>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</si>
  <si>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</si>
  <si>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</si>
  <si>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</si>
  <si>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</si>
  <si>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</si>
  <si>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</si>
  <si>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</si>
  <si>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</si>
  <si>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</si>
  <si>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</si>
  <si>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</si>
  <si>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</si>
  <si>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</si>
  <si>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</si>
  <si>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</si>
  <si>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</si>
  <si>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</si>
  <si>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</si>
  <si>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</si>
  <si>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</si>
  <si>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</si>
  <si>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</si>
  <si>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</si>
  <si>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</si>
  <si>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</si>
  <si>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</si>
  <si>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</si>
  <si>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</si>
  <si>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</si>
  <si>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</si>
  <si>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</si>
  <si>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</si>
  <si>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</si>
  <si>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</si>
  <si>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</si>
  <si>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</si>
  <si>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</si>
  <si>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</si>
  <si>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</si>
  <si>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</si>
  <si>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</si>
  <si>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</si>
  <si>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</si>
  <si>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</si>
  <si>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</si>
  <si>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</si>
  <si>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</si>
  <si>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</si>
  <si>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</si>
  <si>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</si>
  <si>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</si>
  <si>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</si>
  <si>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</si>
  <si>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</si>
  <si>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</si>
  <si>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</si>
  <si>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</si>
  <si>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</si>
  <si>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</si>
  <si>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</si>
  <si>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</si>
  <si>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</si>
  <si>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</si>
  <si>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</si>
  <si>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</si>
  <si>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</si>
  <si>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</si>
  <si>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</si>
  <si>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</si>
  <si>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</si>
  <si>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</si>
  <si>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</si>
  <si>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</si>
  <si>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</si>
  <si>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</si>
  <si>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</si>
  <si>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</si>
  <si>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</si>
  <si>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</si>
  <si>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</si>
  <si>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</si>
  <si>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</si>
  <si>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</si>
  <si>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</si>
  <si>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</si>
  <si>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</si>
  <si>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</si>
  <si>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</si>
  <si>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</si>
  <si>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</si>
  <si>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</si>
  <si>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</si>
  <si>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</si>
  <si>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</si>
  <si>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</si>
  <si>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</si>
  <si>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</si>
  <si>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</si>
  <si>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</si>
  <si>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</si>
  <si>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</si>
  <si>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</si>
  <si>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</si>
  <si>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</si>
  <si>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</si>
  <si>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</si>
  <si>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</si>
  <si>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</si>
  <si>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</si>
  <si>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</si>
  <si>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</si>
  <si>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</si>
  <si>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</si>
  <si>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</si>
  <si>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</si>
  <si>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</si>
  <si>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</si>
  <si>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</si>
  <si>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</si>
  <si>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</si>
  <si>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</si>
  <si>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</si>
  <si>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</si>
  <si>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</si>
  <si>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</si>
  <si>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</si>
  <si>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</si>
  <si>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</si>
  <si>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</si>
  <si>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</si>
  <si>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</si>
  <si>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</si>
  <si>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</si>
  <si>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</si>
  <si>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</si>
  <si>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</si>
  <si>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</si>
  <si>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</si>
  <si>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</si>
  <si>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</si>
  <si>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</si>
  <si>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</si>
  <si>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</si>
  <si>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</si>
  <si>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</si>
  <si>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</si>
  <si>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</si>
  <si>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</si>
  <si>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</si>
  <si>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</si>
  <si>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</si>
  <si>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</si>
  <si>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</si>
  <si>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</si>
  <si>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</si>
  <si>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</si>
  <si>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</si>
  <si>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</si>
  <si>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</si>
  <si>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</si>
  <si>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</si>
  <si>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</si>
  <si>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</si>
  <si>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</si>
  <si>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</si>
  <si>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</si>
  <si>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</si>
  <si>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</si>
  <si>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</si>
  <si>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</si>
  <si>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</si>
  <si>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</si>
  <si>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</si>
  <si>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</si>
  <si>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</si>
  <si>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</si>
  <si>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</si>
  <si>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</si>
  <si>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</si>
  <si>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</si>
  <si>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</si>
  <si>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</si>
  <si>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</si>
  <si>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</si>
  <si>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</si>
  <si>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</si>
  <si>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</si>
  <si>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</si>
  <si>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</si>
  <si>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</si>
  <si>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</si>
  <si>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</si>
  <si>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</si>
  <si>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</si>
  <si>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</si>
  <si>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</si>
  <si>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</si>
  <si>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</si>
  <si>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</si>
  <si>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</si>
  <si>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</si>
  <si>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</si>
  <si>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</si>
  <si>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</si>
  <si>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</si>
  <si>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</si>
  <si>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</si>
  <si>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</si>
  <si>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</si>
  <si>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</si>
  <si>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</si>
  <si>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</si>
  <si>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</si>
  <si>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</si>
  <si>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</si>
  <si>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</si>
  <si>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</si>
  <si>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</si>
  <si>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</si>
  <si>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</si>
  <si>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</si>
  <si>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</si>
  <si>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</si>
  <si>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</si>
  <si>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</si>
  <si>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</si>
  <si>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</si>
  <si>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</si>
  <si>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</si>
  <si>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</si>
  <si>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</si>
  <si>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</si>
  <si>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</si>
  <si>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</si>
  <si>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</si>
  <si>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</si>
  <si>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</si>
  <si>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</si>
  <si>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</si>
  <si>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</si>
  <si>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</si>
  <si>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</si>
  <si>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</si>
  <si>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</si>
  <si>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</si>
  <si>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</si>
  <si>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</si>
  <si>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</si>
  <si>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</si>
  <si>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</si>
  <si>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</si>
  <si>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</si>
  <si>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</si>
  <si>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</si>
  <si>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OROÃ‘O Y EVA PERON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</si>
  <si>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</si>
  <si>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</si>
  <si>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</si>
  <si>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</si>
  <si>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</si>
  <si>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</si>
  <si>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</si>
  <si>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</si>
  <si>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</si>
  <si>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</si>
  <si>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</si>
  <si>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</si>
  <si>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</si>
  <si>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</si>
  <si>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</si>
  <si>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</si>
  <si>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</si>
  <si>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</si>
  <si>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</si>
  <si>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</si>
  <si>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</si>
  <si>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</si>
  <si>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</si>
  <si>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</si>
  <si>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</si>
  <si>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</si>
  <si>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</si>
  <si>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Se llega por ping y se visualiza por web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</si>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</sst>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4" borderId="7" xfId="0" applyFill="1" applyBorder="1"/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  <c:pt idx="19">
                  <c:v>8.9285714285714288E-2</c:v>
                </c:pt>
                <c:pt idx="20">
                  <c:v>8.9285714285714288E-2</c:v>
                </c:pt>
                <c:pt idx="21">
                  <c:v>8.4183673469387751E-2</c:v>
                </c:pt>
                <c:pt idx="22">
                  <c:v>9.1836734693877556E-2</c:v>
                </c:pt>
                <c:pt idx="23">
                  <c:v>7.6530612244897961E-2</c:v>
                </c:pt>
                <c:pt idx="24">
                  <c:v>7.6530612244897961E-2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  <c:pt idx="19">
                  <c:v>8.9285714285714288E-2</c:v>
                </c:pt>
                <c:pt idx="20">
                  <c:v>8.9285714285714288E-2</c:v>
                </c:pt>
                <c:pt idx="21">
                  <c:v>8.4183673469387751E-2</c:v>
                </c:pt>
                <c:pt idx="22">
                  <c:v>9.1836734693877556E-2</c:v>
                </c:pt>
                <c:pt idx="23">
                  <c:v>7.6530612244897961E-2</c:v>
                </c:pt>
                <c:pt idx="24">
                  <c:v>7.6530612244897961E-2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1">
                  <c:v>34</c:v>
                </c:pt>
                <c:pt idx="12">
                  <c:v>17</c:v>
                </c:pt>
                <c:pt idx="13">
                  <c:v>20</c:v>
                </c:pt>
                <c:pt idx="14">
                  <c:v>20</c:v>
                </c:pt>
                <c:pt idx="15">
                  <c:v>23</c:v>
                </c:pt>
                <c:pt idx="16">
                  <c:v>21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24</c:v>
                </c:pt>
                <c:pt idx="22">
                  <c:v>27</c:v>
                </c:pt>
                <c:pt idx="23">
                  <c:v>22</c:v>
                </c:pt>
                <c:pt idx="24">
                  <c:v>23</c:v>
                </c:pt>
                <c:pt idx="25">
                  <c:v>25</c:v>
                </c:pt>
                <c:pt idx="26">
                  <c:v>25</c:v>
                </c:pt>
                <c:pt idx="27">
                  <c:v>24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14</c:v>
                </c:pt>
                <c:pt idx="15">
                  <c:v>13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8</c:v>
                </c:pt>
                <c:pt idx="24">
                  <c:v>7</c:v>
                </c:pt>
                <c:pt idx="25">
                  <c:v>8</c:v>
                </c:pt>
                <c:pt idx="26">
                  <c:v>17</c:v>
                </c:pt>
                <c:pt idx="27">
                  <c:v>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1">
                        <c:v>0.16037735849056603</c:v>
                      </c:pt>
                      <c:pt idx="12">
                        <c:v>8.0188679245283015E-2</c:v>
                      </c:pt>
                      <c:pt idx="13">
                        <c:v>9.4339622641509441E-2</c:v>
                      </c:pt>
                      <c:pt idx="14">
                        <c:v>9.4339622641509441E-2</c:v>
                      </c:pt>
                      <c:pt idx="15">
                        <c:v>0.10849056603773585</c:v>
                      </c:pt>
                      <c:pt idx="16">
                        <c:v>9.9056603773584911E-2</c:v>
                      </c:pt>
                      <c:pt idx="17">
                        <c:v>0.12264150943396226</c:v>
                      </c:pt>
                      <c:pt idx="18">
                        <c:v>0.12264150943396226</c:v>
                      </c:pt>
                      <c:pt idx="19">
                        <c:v>0.12264150943396226</c:v>
                      </c:pt>
                      <c:pt idx="20">
                        <c:v>0.12264150943396226</c:v>
                      </c:pt>
                      <c:pt idx="21">
                        <c:v>0.11320754716981132</c:v>
                      </c:pt>
                      <c:pt idx="22">
                        <c:v>0.12735849056603774</c:v>
                      </c:pt>
                      <c:pt idx="23">
                        <c:v>0.10377358490566038</c:v>
                      </c:pt>
                      <c:pt idx="24">
                        <c:v>0.10849056603773585</c:v>
                      </c:pt>
                      <c:pt idx="25">
                        <c:v>0.11792452830188679</c:v>
                      </c:pt>
                      <c:pt idx="26">
                        <c:v>0.11792452830188679</c:v>
                      </c:pt>
                      <c:pt idx="27">
                        <c:v>0.11320754716981132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6.6666666666666666E-2</c:v>
                      </c:pt>
                      <c:pt idx="1">
                        <c:v>7.7777777777777779E-2</c:v>
                      </c:pt>
                      <c:pt idx="2">
                        <c:v>6.1111111111111109E-2</c:v>
                      </c:pt>
                      <c:pt idx="3">
                        <c:v>7.2222222222222215E-2</c:v>
                      </c:pt>
                      <c:pt idx="4">
                        <c:v>7.7777777777777779E-2</c:v>
                      </c:pt>
                      <c:pt idx="5">
                        <c:v>0.1</c:v>
                      </c:pt>
                      <c:pt idx="6">
                        <c:v>0.23333333333333334</c:v>
                      </c:pt>
                      <c:pt idx="7">
                        <c:v>0.10555555555555556</c:v>
                      </c:pt>
                      <c:pt idx="8">
                        <c:v>8.8888888888888892E-2</c:v>
                      </c:pt>
                      <c:pt idx="9">
                        <c:v>0.10555555555555556</c:v>
                      </c:pt>
                      <c:pt idx="10">
                        <c:v>5.5555555555555552E-2</c:v>
                      </c:pt>
                      <c:pt idx="11">
                        <c:v>6.1111111111111109E-2</c:v>
                      </c:pt>
                      <c:pt idx="12">
                        <c:v>6.1111111111111109E-2</c:v>
                      </c:pt>
                      <c:pt idx="13">
                        <c:v>6.1111111111111109E-2</c:v>
                      </c:pt>
                      <c:pt idx="14">
                        <c:v>7.7777777777777779E-2</c:v>
                      </c:pt>
                      <c:pt idx="15">
                        <c:v>7.2222222222222215E-2</c:v>
                      </c:pt>
                      <c:pt idx="16">
                        <c:v>0.05</c:v>
                      </c:pt>
                      <c:pt idx="17">
                        <c:v>0.05</c:v>
                      </c:pt>
                      <c:pt idx="18">
                        <c:v>0.05</c:v>
                      </c:pt>
                      <c:pt idx="19">
                        <c:v>0.05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0.05</c:v>
                      </c:pt>
                      <c:pt idx="23">
                        <c:v>4.4444444444444446E-2</c:v>
                      </c:pt>
                      <c:pt idx="24">
                        <c:v>3.888888888888889E-2</c:v>
                      </c:pt>
                      <c:pt idx="25">
                        <c:v>4.4444444444444446E-2</c:v>
                      </c:pt>
                      <c:pt idx="26" formatCode="0.00%">
                        <c:v>9.4444444444444442E-2</c:v>
                      </c:pt>
                      <c:pt idx="27" formatCode="0.00%">
                        <c:v>7.7777777777777779E-2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1">
                  <c:v>0.16037735849056603</c:v>
                </c:pt>
                <c:pt idx="12">
                  <c:v>8.0188679245283015E-2</c:v>
                </c:pt>
                <c:pt idx="13">
                  <c:v>9.4339622641509441E-2</c:v>
                </c:pt>
                <c:pt idx="14">
                  <c:v>9.4339622641509441E-2</c:v>
                </c:pt>
                <c:pt idx="15">
                  <c:v>0.10849056603773585</c:v>
                </c:pt>
                <c:pt idx="16">
                  <c:v>9.9056603773584911E-2</c:v>
                </c:pt>
                <c:pt idx="17">
                  <c:v>0.12264150943396226</c:v>
                </c:pt>
                <c:pt idx="18">
                  <c:v>0.12264150943396226</c:v>
                </c:pt>
                <c:pt idx="19">
                  <c:v>0.12264150943396226</c:v>
                </c:pt>
                <c:pt idx="20">
                  <c:v>0.12264150943396226</c:v>
                </c:pt>
                <c:pt idx="21">
                  <c:v>0.11320754716981132</c:v>
                </c:pt>
                <c:pt idx="22">
                  <c:v>0.12735849056603774</c:v>
                </c:pt>
                <c:pt idx="23">
                  <c:v>0.10377358490566038</c:v>
                </c:pt>
                <c:pt idx="24">
                  <c:v>0.10849056603773585</c:v>
                </c:pt>
                <c:pt idx="25">
                  <c:v>0.11792452830188679</c:v>
                </c:pt>
                <c:pt idx="26">
                  <c:v>0.11792452830188679</c:v>
                </c:pt>
                <c:pt idx="27">
                  <c:v>0.11320754716981132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6.6666666666666666E-2</c:v>
                </c:pt>
                <c:pt idx="1">
                  <c:v>7.7777777777777779E-2</c:v>
                </c:pt>
                <c:pt idx="2">
                  <c:v>6.1111111111111109E-2</c:v>
                </c:pt>
                <c:pt idx="3">
                  <c:v>7.2222222222222215E-2</c:v>
                </c:pt>
                <c:pt idx="4">
                  <c:v>7.7777777777777779E-2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0.10555555555555556</c:v>
                </c:pt>
                <c:pt idx="8">
                  <c:v>8.8888888888888892E-2</c:v>
                </c:pt>
                <c:pt idx="9">
                  <c:v>0.10555555555555556</c:v>
                </c:pt>
                <c:pt idx="10">
                  <c:v>5.5555555555555552E-2</c:v>
                </c:pt>
                <c:pt idx="11">
                  <c:v>6.1111111111111109E-2</c:v>
                </c:pt>
                <c:pt idx="12">
                  <c:v>6.1111111111111109E-2</c:v>
                </c:pt>
                <c:pt idx="13">
                  <c:v>6.1111111111111109E-2</c:v>
                </c:pt>
                <c:pt idx="14">
                  <c:v>7.7777777777777779E-2</c:v>
                </c:pt>
                <c:pt idx="15">
                  <c:v>7.2222222222222215E-2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4.4444444444444446E-2</c:v>
                </c:pt>
                <c:pt idx="24">
                  <c:v>3.888888888888889E-2</c:v>
                </c:pt>
                <c:pt idx="25">
                  <c:v>4.4444444444444446E-2</c:v>
                </c:pt>
                <c:pt idx="26" formatCode="0.00%">
                  <c:v>9.4444444444444442E-2</c:v>
                </c:pt>
                <c:pt idx="27" formatCode="0.00%">
                  <c:v>7.7777777777777779E-2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1">
                        <c:v>34</c:v>
                      </c:pt>
                      <c:pt idx="12">
                        <c:v>17</c:v>
                      </c:pt>
                      <c:pt idx="13">
                        <c:v>20</c:v>
                      </c:pt>
                      <c:pt idx="14">
                        <c:v>20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26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26</c:v>
                      </c:pt>
                      <c:pt idx="21">
                        <c:v>24</c:v>
                      </c:pt>
                      <c:pt idx="22">
                        <c:v>27</c:v>
                      </c:pt>
                      <c:pt idx="23">
                        <c:v>22</c:v>
                      </c:pt>
                      <c:pt idx="24">
                        <c:v>23</c:v>
                      </c:pt>
                      <c:pt idx="25">
                        <c:v>25</c:v>
                      </c:pt>
                      <c:pt idx="26">
                        <c:v>25</c:v>
                      </c:pt>
                      <c:pt idx="27">
                        <c:v>24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14</c:v>
                      </c:pt>
                      <c:pt idx="15">
                        <c:v>13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9</c:v>
                      </c:pt>
                      <c:pt idx="22">
                        <c:v>9</c:v>
                      </c:pt>
                      <c:pt idx="23">
                        <c:v>8</c:v>
                      </c:pt>
                      <c:pt idx="24">
                        <c:v>7</c:v>
                      </c:pt>
                      <c:pt idx="25">
                        <c:v>8</c:v>
                      </c:pt>
                      <c:pt idx="26">
                        <c:v>17</c:v>
                      </c:pt>
                      <c:pt idx="27">
                        <c:v>14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6"/>
  <sheetViews>
    <sheetView tabSelected="1" zoomScale="84" zoomScaleNormal="84" workbookViewId="0">
      <pane xSplit="10" ySplit="4" topLeftCell="AL210" activePane="bottomRight" state="frozen"/>
      <selection pane="topRight" activeCell="M1" sqref="M1"/>
      <selection pane="bottomLeft" activeCell="A5" sqref="A5"/>
      <selection pane="bottomRight" activeCell="AL224" sqref="AL224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7" width="13.7109375" style="24" customWidth="1"/>
    <col min="8" max="8" width="14.7109375" customWidth="1"/>
    <col min="9" max="9" width="6.7109375" customWidth="1"/>
    <col min="10" max="10" width="11.5703125" style="5" customWidth="1"/>
    <col min="11" max="19" width="8.7109375" style="22" customWidth="1"/>
    <col min="20" max="40" width="14.140625" style="22" bestFit="1" customWidth="1"/>
    <col min="41" max="41" width="14.140625" bestFit="1" customWidth="1"/>
  </cols>
  <sheetData>
    <row r="1" spans="1:41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0.10026385224274406</v>
      </c>
      <c r="L1" s="4">
        <f t="shared" si="0"/>
        <v>0.10817941952506596</v>
      </c>
      <c r="M1" s="4">
        <f t="shared" si="0"/>
        <v>8.1794195250659632E-2</v>
      </c>
      <c r="N1" s="4">
        <f t="shared" si="0"/>
        <v>8.9709762532981532E-2</v>
      </c>
      <c r="O1" s="4"/>
      <c r="P1" s="4">
        <f>(P3)/(P2+P3)</f>
        <v>0.13720316622691292</v>
      </c>
      <c r="Q1" s="4">
        <f t="shared" si="0"/>
        <v>0.19261213720316622</v>
      </c>
      <c r="R1" s="4">
        <f t="shared" si="0"/>
        <v>0.13192612137203166</v>
      </c>
      <c r="S1" s="4">
        <f t="shared" si="0"/>
        <v>0.13456464379947231</v>
      </c>
      <c r="T1" s="4">
        <f t="shared" si="0"/>
        <v>0.16886543535620052</v>
      </c>
      <c r="U1" s="4">
        <f t="shared" si="0"/>
        <v>0.10133333333333333</v>
      </c>
      <c r="V1" s="4">
        <f t="shared" si="0"/>
        <v>0.12</v>
      </c>
      <c r="W1" s="4">
        <f t="shared" si="0"/>
        <v>7.4666666666666673E-2</v>
      </c>
      <c r="X1" s="4">
        <f t="shared" si="0"/>
        <v>8.2666666666666666E-2</v>
      </c>
      <c r="Y1" s="4">
        <f>(Y3)/(Y2+Y3)</f>
        <v>9.0666666666666673E-2</v>
      </c>
      <c r="Z1" s="4">
        <f t="shared" si="0"/>
        <v>9.6000000000000002E-2</v>
      </c>
      <c r="AA1" s="4">
        <f t="shared" si="0"/>
        <v>0.08</v>
      </c>
      <c r="AB1" s="4">
        <f t="shared" si="0"/>
        <v>9.3333333333333338E-2</v>
      </c>
      <c r="AC1" s="4">
        <f t="shared" si="0"/>
        <v>9.3333333333333338E-2</v>
      </c>
      <c r="AD1" s="4">
        <f t="shared" si="0"/>
        <v>9.3333333333333338E-2</v>
      </c>
      <c r="AE1" s="4">
        <f t="shared" si="0"/>
        <v>9.3333333333333338E-2</v>
      </c>
      <c r="AF1" s="4">
        <f t="shared" si="0"/>
        <v>8.7999999999999995E-2</v>
      </c>
      <c r="AG1" s="4">
        <f t="shared" si="0"/>
        <v>9.6000000000000002E-2</v>
      </c>
      <c r="AH1" s="4">
        <f t="shared" si="0"/>
        <v>0.08</v>
      </c>
      <c r="AI1" s="4">
        <f t="shared" si="0"/>
        <v>0.08</v>
      </c>
      <c r="AJ1" s="4">
        <f t="shared" si="0"/>
        <v>8.7999999999999995E-2</v>
      </c>
      <c r="AK1" s="4">
        <f t="shared" si="0"/>
        <v>0.11081794195250659</v>
      </c>
      <c r="AL1" s="4">
        <f t="shared" si="0"/>
        <v>0.10026385224274406</v>
      </c>
      <c r="AM1" s="4">
        <f t="shared" ref="AM1:AN1" si="1">(AM3)/(AM2+AM3)</f>
        <v>0</v>
      </c>
      <c r="AN1" s="4">
        <f t="shared" si="1"/>
        <v>0</v>
      </c>
      <c r="AO1" s="4">
        <f t="shared" ref="AO1" si="2">(AO3)/(AO2+AO3)</f>
        <v>0</v>
      </c>
    </row>
    <row r="2" spans="1:41" s="11" customFormat="1" x14ac:dyDescent="0.25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COUNTIF(K5:K379, "")</f>
        <v>341</v>
      </c>
      <c r="L2" s="10">
        <f t="shared" si="3"/>
        <v>338</v>
      </c>
      <c r="M2" s="10">
        <f t="shared" si="3"/>
        <v>348</v>
      </c>
      <c r="N2" s="10">
        <f t="shared" si="3"/>
        <v>345</v>
      </c>
      <c r="O2" s="10"/>
      <c r="P2" s="10">
        <f t="shared" si="3"/>
        <v>327</v>
      </c>
      <c r="Q2" s="10">
        <f t="shared" si="3"/>
        <v>306</v>
      </c>
      <c r="R2" s="10">
        <f t="shared" si="3"/>
        <v>329</v>
      </c>
      <c r="S2" s="10">
        <f t="shared" si="3"/>
        <v>328</v>
      </c>
      <c r="T2" s="10">
        <f t="shared" si="3"/>
        <v>315</v>
      </c>
      <c r="U2" s="10">
        <f t="shared" si="3"/>
        <v>337</v>
      </c>
      <c r="V2" s="10">
        <f t="shared" si="3"/>
        <v>330</v>
      </c>
      <c r="W2" s="10">
        <f t="shared" si="3"/>
        <v>347</v>
      </c>
      <c r="X2" s="10">
        <f t="shared" si="3"/>
        <v>344</v>
      </c>
      <c r="Y2" s="10">
        <f t="shared" si="3"/>
        <v>341</v>
      </c>
      <c r="Z2" s="10">
        <f t="shared" si="3"/>
        <v>339</v>
      </c>
      <c r="AA2" s="10">
        <f t="shared" si="3"/>
        <v>345</v>
      </c>
      <c r="AB2" s="10">
        <f t="shared" si="3"/>
        <v>340</v>
      </c>
      <c r="AC2" s="10">
        <f t="shared" si="3"/>
        <v>340</v>
      </c>
      <c r="AD2" s="10">
        <f t="shared" si="3"/>
        <v>340</v>
      </c>
      <c r="AE2" s="10">
        <f>COUNTIF(AE5:AE379, "")</f>
        <v>340</v>
      </c>
      <c r="AF2" s="10">
        <f>COUNTIF(AF5:AF379, "")</f>
        <v>342</v>
      </c>
      <c r="AG2" s="10">
        <f>COUNTIF(AG5:AG379, "")</f>
        <v>339</v>
      </c>
      <c r="AH2" s="10">
        <f>COUNTIF(AH5:AH379, "")</f>
        <v>345</v>
      </c>
      <c r="AI2" s="10">
        <f t="shared" ref="AI2:AM2" si="4">COUNTIF(AI5:AI379, "")</f>
        <v>345</v>
      </c>
      <c r="AJ2" s="10">
        <f t="shared" si="4"/>
        <v>342</v>
      </c>
      <c r="AK2" s="10">
        <f t="shared" si="4"/>
        <v>337</v>
      </c>
      <c r="AL2" s="10">
        <f t="shared" si="4"/>
        <v>341</v>
      </c>
      <c r="AM2" s="10">
        <f t="shared" si="4"/>
        <v>375</v>
      </c>
      <c r="AN2" s="10">
        <f>COUNTIF(AN5:AN379, "")</f>
        <v>375</v>
      </c>
      <c r="AO2" s="10">
        <f>COUNTIF(AO5:AO379, "")</f>
        <v>375</v>
      </c>
    </row>
    <row r="3" spans="1:41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 t="shared" ref="L3:AL3" si="5">COUNTIF(L4:L447, "apagado")</f>
        <v>41</v>
      </c>
      <c r="M3" s="14">
        <f t="shared" si="5"/>
        <v>31</v>
      </c>
      <c r="N3" s="14">
        <f t="shared" si="5"/>
        <v>34</v>
      </c>
      <c r="O3" s="14"/>
      <c r="P3" s="14">
        <f t="shared" si="5"/>
        <v>52</v>
      </c>
      <c r="Q3" s="14">
        <f t="shared" si="5"/>
        <v>73</v>
      </c>
      <c r="R3" s="14">
        <f t="shared" si="5"/>
        <v>50</v>
      </c>
      <c r="S3" s="14">
        <f t="shared" si="5"/>
        <v>51</v>
      </c>
      <c r="T3" s="14">
        <f t="shared" si="5"/>
        <v>64</v>
      </c>
      <c r="U3" s="14">
        <f t="shared" si="5"/>
        <v>38</v>
      </c>
      <c r="V3" s="14">
        <f t="shared" si="5"/>
        <v>45</v>
      </c>
      <c r="W3" s="14">
        <f t="shared" si="5"/>
        <v>28</v>
      </c>
      <c r="X3" s="14">
        <f t="shared" si="5"/>
        <v>31</v>
      </c>
      <c r="Y3" s="14">
        <f t="shared" si="5"/>
        <v>34</v>
      </c>
      <c r="Z3" s="14">
        <f t="shared" si="5"/>
        <v>36</v>
      </c>
      <c r="AA3" s="14">
        <f t="shared" si="5"/>
        <v>30</v>
      </c>
      <c r="AB3" s="14">
        <f t="shared" si="5"/>
        <v>35</v>
      </c>
      <c r="AC3" s="14">
        <f t="shared" si="5"/>
        <v>35</v>
      </c>
      <c r="AD3" s="14">
        <f t="shared" si="5"/>
        <v>35</v>
      </c>
      <c r="AE3" s="14">
        <f t="shared" si="5"/>
        <v>35</v>
      </c>
      <c r="AF3" s="14">
        <f t="shared" si="5"/>
        <v>33</v>
      </c>
      <c r="AG3" s="14">
        <f t="shared" si="5"/>
        <v>36</v>
      </c>
      <c r="AH3" s="14">
        <f t="shared" si="5"/>
        <v>30</v>
      </c>
      <c r="AI3" s="14">
        <f t="shared" si="5"/>
        <v>30</v>
      </c>
      <c r="AJ3" s="14">
        <f t="shared" si="5"/>
        <v>33</v>
      </c>
      <c r="AK3" s="14">
        <f t="shared" si="5"/>
        <v>42</v>
      </c>
      <c r="AL3" s="14">
        <f t="shared" si="5"/>
        <v>38</v>
      </c>
      <c r="AM3" s="14">
        <f t="shared" ref="AM3:AN3" si="6">COUNTIF(AM4:AM447, "apagado")</f>
        <v>0</v>
      </c>
      <c r="AN3" s="14">
        <f t="shared" si="6"/>
        <v>0</v>
      </c>
      <c r="AO3" s="14">
        <f t="shared" ref="AO3" si="7">COUNTIF(AO4:AO447, "apagado")</f>
        <v>0</v>
      </c>
    </row>
    <row r="4" spans="1:41" s="11" customFormat="1" ht="32.25" thickTop="1" thickBot="1" x14ac:dyDescent="0.35">
      <c r="A4" t="s">
        <v>7</v>
      </c>
      <c r="B4" s="45" t="s">
        <v>8</v>
      </c>
      <c r="C4" s="102" t="s">
        <v>1170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6.5" thickTop="1" thickBot="1" x14ac:dyDescent="0.3">
      <c r="A5" s="51" t="s">
        <v>26</v>
      </c>
      <c r="B5" s="51" t="s">
        <v>1015</v>
      </c>
      <c r="C5" s="51" t="s">
        <v>1171</v>
      </c>
      <c r="D5" s="51" t="s">
        <v>33</v>
      </c>
      <c r="E5" s="51" t="s">
        <v>19</v>
      </c>
      <c r="F5" s="51" t="s">
        <v>1163</v>
      </c>
      <c r="G5" s="51" t="s">
        <v>631</v>
      </c>
      <c r="H5" s="17">
        <f>COUNTIF(K5:AN5,"")</f>
        <v>23</v>
      </c>
      <c r="I5" s="17">
        <f t="shared" ref="I5:I68" si="8">COUNTIF(K5:AL5,"APAGADO")</f>
        <v>7</v>
      </c>
      <c r="J5" s="18">
        <f t="shared" ref="J5:J68" si="9">(H5)/(I5+H5)</f>
        <v>0.76666666666666672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 t="s">
        <v>1010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.75" thickBot="1" x14ac:dyDescent="0.3">
      <c r="A6" s="51" t="s">
        <v>26</v>
      </c>
      <c r="B6" s="51" t="s">
        <v>1016</v>
      </c>
      <c r="C6" s="51" t="s">
        <v>1171</v>
      </c>
      <c r="D6" s="51" t="s">
        <v>34</v>
      </c>
      <c r="E6" s="51" t="s">
        <v>19</v>
      </c>
      <c r="F6" s="51" t="s">
        <v>1163</v>
      </c>
      <c r="G6" s="51" t="s">
        <v>632</v>
      </c>
      <c r="H6" s="53">
        <f t="shared" ref="H6:H69" si="10">COUNTIF(K6:AN6,"")</f>
        <v>23</v>
      </c>
      <c r="I6" s="17">
        <f t="shared" si="8"/>
        <v>7</v>
      </c>
      <c r="J6" s="18">
        <f t="shared" si="9"/>
        <v>0.76666666666666672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 t="s">
        <v>1010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.75" thickBot="1" x14ac:dyDescent="0.3">
      <c r="A7" s="51" t="s">
        <v>26</v>
      </c>
      <c r="B7" s="51" t="s">
        <v>1017</v>
      </c>
      <c r="C7" s="51" t="s">
        <v>1171</v>
      </c>
      <c r="D7" s="51" t="s">
        <v>27</v>
      </c>
      <c r="E7" s="51" t="s">
        <v>19</v>
      </c>
      <c r="F7" s="51" t="s">
        <v>1164</v>
      </c>
      <c r="G7" s="51" t="s">
        <v>635</v>
      </c>
      <c r="H7" s="53">
        <f t="shared" si="10"/>
        <v>19</v>
      </c>
      <c r="I7" s="17">
        <f t="shared" si="8"/>
        <v>11</v>
      </c>
      <c r="J7" s="18">
        <f t="shared" si="9"/>
        <v>0.6333333333333333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 t="s">
        <v>1010</v>
      </c>
      <c r="W7" s="27"/>
      <c r="X7" s="27"/>
      <c r="Y7" s="27" t="s">
        <v>1010</v>
      </c>
      <c r="Z7" s="27"/>
      <c r="AA7" s="27"/>
      <c r="AB7" s="27"/>
      <c r="AC7" s="27"/>
      <c r="AD7" s="27"/>
      <c r="AE7" s="27"/>
      <c r="AF7" s="27"/>
      <c r="AG7" s="8"/>
      <c r="AH7" s="8"/>
      <c r="AI7" s="8" t="s">
        <v>1010</v>
      </c>
      <c r="AJ7" s="27" t="s">
        <v>1010</v>
      </c>
      <c r="AK7" s="8" t="s">
        <v>1010</v>
      </c>
      <c r="AL7" s="8"/>
      <c r="AM7" s="27"/>
      <c r="AN7" s="27"/>
      <c r="AO7" s="27"/>
    </row>
    <row r="8" spans="1:41" ht="15.75" thickBot="1" x14ac:dyDescent="0.3">
      <c r="A8" s="51" t="s">
        <v>26</v>
      </c>
      <c r="B8" s="51" t="s">
        <v>1018</v>
      </c>
      <c r="C8" s="51" t="s">
        <v>1171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10"/>
        <v>23</v>
      </c>
      <c r="I8" s="17">
        <f t="shared" si="8"/>
        <v>7</v>
      </c>
      <c r="J8" s="18">
        <f t="shared" si="9"/>
        <v>0.76666666666666672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 t="s">
        <v>1010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.75" thickBot="1" x14ac:dyDescent="0.3">
      <c r="A9" s="51" t="s">
        <v>26</v>
      </c>
      <c r="B9" s="51" t="s">
        <v>1019</v>
      </c>
      <c r="C9" s="51" t="s">
        <v>1171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10"/>
        <v>23</v>
      </c>
      <c r="I9" s="17">
        <f t="shared" si="8"/>
        <v>7</v>
      </c>
      <c r="J9" s="18">
        <f t="shared" si="9"/>
        <v>0.76666666666666672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 t="s">
        <v>1010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.75" thickBot="1" x14ac:dyDescent="0.3">
      <c r="A10" s="51" t="s">
        <v>26</v>
      </c>
      <c r="B10" s="51" t="s">
        <v>1020</v>
      </c>
      <c r="C10" s="51" t="s">
        <v>1171</v>
      </c>
      <c r="D10" s="51" t="s">
        <v>1021</v>
      </c>
      <c r="E10" s="51" t="s">
        <v>19</v>
      </c>
      <c r="F10" s="51" t="s">
        <v>20</v>
      </c>
      <c r="G10" s="51"/>
      <c r="H10" s="53">
        <f t="shared" si="10"/>
        <v>21</v>
      </c>
      <c r="I10" s="17">
        <f t="shared" si="8"/>
        <v>9</v>
      </c>
      <c r="J10" s="18">
        <f t="shared" si="9"/>
        <v>0.7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 t="s">
        <v>1010</v>
      </c>
      <c r="AE10" s="27" t="s">
        <v>1010</v>
      </c>
      <c r="AF10" s="27" t="s">
        <v>1010</v>
      </c>
      <c r="AG10" s="8" t="s">
        <v>1010</v>
      </c>
      <c r="AH10" s="8" t="s">
        <v>1010</v>
      </c>
      <c r="AI10" s="8" t="s">
        <v>1010</v>
      </c>
      <c r="AJ10" s="27" t="s">
        <v>1010</v>
      </c>
      <c r="AK10" s="8" t="s">
        <v>1010</v>
      </c>
      <c r="AL10" s="8" t="s">
        <v>1010</v>
      </c>
      <c r="AM10" s="27"/>
      <c r="AN10" s="27"/>
      <c r="AO10" s="27"/>
    </row>
    <row r="11" spans="1:41" ht="15.75" thickBot="1" x14ac:dyDescent="0.3">
      <c r="A11" s="51" t="s">
        <v>26</v>
      </c>
      <c r="B11" s="51" t="s">
        <v>29</v>
      </c>
      <c r="C11" s="51" t="s">
        <v>1171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10"/>
        <v>30</v>
      </c>
      <c r="I11" s="17">
        <f t="shared" si="8"/>
        <v>0</v>
      </c>
      <c r="J11" s="18">
        <f t="shared" si="9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.75" thickBot="1" x14ac:dyDescent="0.3">
      <c r="A12" s="51" t="s">
        <v>26</v>
      </c>
      <c r="B12" s="51" t="s">
        <v>31</v>
      </c>
      <c r="C12" s="51" t="s">
        <v>1171</v>
      </c>
      <c r="D12" s="51" t="s">
        <v>32</v>
      </c>
      <c r="E12" s="51" t="s">
        <v>19</v>
      </c>
      <c r="F12" s="51" t="s">
        <v>1164</v>
      </c>
      <c r="G12" s="51" t="s">
        <v>630</v>
      </c>
      <c r="H12" s="53">
        <f t="shared" si="10"/>
        <v>30</v>
      </c>
      <c r="I12" s="17">
        <f t="shared" si="8"/>
        <v>0</v>
      </c>
      <c r="J12" s="18">
        <f t="shared" si="9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.75" thickBot="1" x14ac:dyDescent="0.3">
      <c r="A13" s="51" t="s">
        <v>26</v>
      </c>
      <c r="B13" s="51" t="s">
        <v>35</v>
      </c>
      <c r="C13" s="51" t="s">
        <v>1171</v>
      </c>
      <c r="D13" s="51" t="s">
        <v>36</v>
      </c>
      <c r="E13" s="51" t="s">
        <v>19</v>
      </c>
      <c r="F13" s="51" t="s">
        <v>1164</v>
      </c>
      <c r="G13" s="51" t="s">
        <v>633</v>
      </c>
      <c r="H13" s="53">
        <f t="shared" si="10"/>
        <v>21</v>
      </c>
      <c r="I13" s="17">
        <f t="shared" si="8"/>
        <v>9</v>
      </c>
      <c r="J13" s="18">
        <f t="shared" si="9"/>
        <v>0.7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 t="s">
        <v>1010</v>
      </c>
      <c r="AE13" s="27" t="s">
        <v>1010</v>
      </c>
      <c r="AF13" s="27" t="s">
        <v>1010</v>
      </c>
      <c r="AG13" s="8" t="s">
        <v>1010</v>
      </c>
      <c r="AH13" s="8" t="s">
        <v>1010</v>
      </c>
      <c r="AI13" s="8" t="s">
        <v>1010</v>
      </c>
      <c r="AJ13" s="27" t="s">
        <v>1010</v>
      </c>
      <c r="AK13" s="8" t="s">
        <v>1010</v>
      </c>
      <c r="AL13" s="8" t="s">
        <v>1010</v>
      </c>
      <c r="AM13" s="27"/>
      <c r="AN13" s="27"/>
      <c r="AO13" s="27"/>
    </row>
    <row r="14" spans="1:41" ht="15.75" thickBot="1" x14ac:dyDescent="0.3">
      <c r="A14" s="51" t="s">
        <v>26</v>
      </c>
      <c r="B14" s="51" t="s">
        <v>37</v>
      </c>
      <c r="C14" s="51" t="s">
        <v>1171</v>
      </c>
      <c r="D14" s="51" t="s">
        <v>38</v>
      </c>
      <c r="E14" s="51" t="s">
        <v>15</v>
      </c>
      <c r="F14" s="51" t="s">
        <v>1164</v>
      </c>
      <c r="G14" s="51" t="s">
        <v>637</v>
      </c>
      <c r="H14" s="53">
        <f t="shared" si="10"/>
        <v>30</v>
      </c>
      <c r="I14" s="17">
        <f t="shared" si="8"/>
        <v>0</v>
      </c>
      <c r="J14" s="18">
        <f t="shared" si="9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.75" thickBot="1" x14ac:dyDescent="0.3">
      <c r="A15" s="51" t="s">
        <v>41</v>
      </c>
      <c r="B15" s="51" t="s">
        <v>1022</v>
      </c>
      <c r="C15" s="51" t="s">
        <v>1172</v>
      </c>
      <c r="D15" s="51" t="s">
        <v>42</v>
      </c>
      <c r="E15" s="51" t="s">
        <v>19</v>
      </c>
      <c r="F15" s="51" t="s">
        <v>1163</v>
      </c>
      <c r="G15" s="51" t="s">
        <v>640</v>
      </c>
      <c r="H15" s="53">
        <f t="shared" si="10"/>
        <v>28</v>
      </c>
      <c r="I15" s="17">
        <f t="shared" si="8"/>
        <v>2</v>
      </c>
      <c r="J15" s="18">
        <f t="shared" si="9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.75" thickBot="1" x14ac:dyDescent="0.3">
      <c r="A16" s="51" t="s">
        <v>43</v>
      </c>
      <c r="B16" s="51" t="s">
        <v>1023</v>
      </c>
      <c r="C16" s="51" t="s">
        <v>1171</v>
      </c>
      <c r="D16" s="51" t="s">
        <v>44</v>
      </c>
      <c r="E16" s="51" t="s">
        <v>15</v>
      </c>
      <c r="F16" s="51" t="s">
        <v>1163</v>
      </c>
      <c r="G16" s="51" t="s">
        <v>641</v>
      </c>
      <c r="H16" s="53">
        <f t="shared" si="10"/>
        <v>24</v>
      </c>
      <c r="I16" s="17">
        <f t="shared" si="8"/>
        <v>6</v>
      </c>
      <c r="J16" s="18">
        <f t="shared" si="9"/>
        <v>0.8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 t="s">
        <v>1010</v>
      </c>
      <c r="X16" s="27" t="s">
        <v>1010</v>
      </c>
      <c r="Y16" s="27" t="s">
        <v>1010</v>
      </c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 t="s">
        <v>1010</v>
      </c>
      <c r="AK16" s="8" t="s">
        <v>1010</v>
      </c>
      <c r="AL16" s="8"/>
      <c r="AM16" s="27"/>
      <c r="AN16" s="27"/>
      <c r="AO16" s="27"/>
    </row>
    <row r="17" spans="1:41" ht="15.75" thickBot="1" x14ac:dyDescent="0.3">
      <c r="A17" s="51" t="s">
        <v>52</v>
      </c>
      <c r="B17" s="51" t="s">
        <v>1024</v>
      </c>
      <c r="C17" s="51" t="s">
        <v>1171</v>
      </c>
      <c r="D17" s="51" t="s">
        <v>1194</v>
      </c>
      <c r="E17" s="51" t="s">
        <v>15</v>
      </c>
      <c r="F17" s="51" t="s">
        <v>28</v>
      </c>
      <c r="G17" s="51" t="s">
        <v>645</v>
      </c>
      <c r="H17" s="53">
        <f t="shared" si="10"/>
        <v>30</v>
      </c>
      <c r="I17" s="17">
        <f t="shared" si="8"/>
        <v>0</v>
      </c>
      <c r="J17" s="18">
        <f t="shared" si="9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.75" thickBot="1" x14ac:dyDescent="0.3">
      <c r="A18" s="51" t="s">
        <v>52</v>
      </c>
      <c r="B18" s="51" t="s">
        <v>1025</v>
      </c>
      <c r="C18" s="51" t="s">
        <v>1171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10"/>
        <v>30</v>
      </c>
      <c r="I18" s="17">
        <f t="shared" si="8"/>
        <v>0</v>
      </c>
      <c r="J18" s="18">
        <f t="shared" si="9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.75" thickBot="1" x14ac:dyDescent="0.3">
      <c r="A19" s="51" t="s">
        <v>52</v>
      </c>
      <c r="B19" s="51" t="s">
        <v>1026</v>
      </c>
      <c r="C19" s="51" t="s">
        <v>1171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10"/>
        <v>30</v>
      </c>
      <c r="I19" s="17">
        <f t="shared" si="8"/>
        <v>0</v>
      </c>
      <c r="J19" s="18">
        <f t="shared" si="9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.75" thickBot="1" x14ac:dyDescent="0.3">
      <c r="A20" s="51" t="s">
        <v>52</v>
      </c>
      <c r="B20" s="51" t="s">
        <v>1027</v>
      </c>
      <c r="C20" s="51" t="s">
        <v>1171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10"/>
        <v>30</v>
      </c>
      <c r="I20" s="17">
        <f t="shared" si="8"/>
        <v>0</v>
      </c>
      <c r="J20" s="18">
        <f t="shared" si="9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.75" thickBot="1" x14ac:dyDescent="0.3">
      <c r="A21" s="51" t="s">
        <v>52</v>
      </c>
      <c r="B21" s="51" t="s">
        <v>1028</v>
      </c>
      <c r="C21" s="51" t="s">
        <v>1171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10"/>
        <v>30</v>
      </c>
      <c r="I21" s="17">
        <f t="shared" si="8"/>
        <v>0</v>
      </c>
      <c r="J21" s="18">
        <f t="shared" si="9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.75" thickBot="1" x14ac:dyDescent="0.3">
      <c r="A22" s="51" t="s">
        <v>52</v>
      </c>
      <c r="B22" s="51" t="s">
        <v>1029</v>
      </c>
      <c r="C22" s="51" t="s">
        <v>1171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10"/>
        <v>30</v>
      </c>
      <c r="I22" s="17">
        <f t="shared" si="8"/>
        <v>0</v>
      </c>
      <c r="J22" s="18">
        <f t="shared" si="9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.75" thickBot="1" x14ac:dyDescent="0.3">
      <c r="A23" s="51" t="s">
        <v>52</v>
      </c>
      <c r="B23" s="51" t="s">
        <v>1030</v>
      </c>
      <c r="C23" s="51" t="s">
        <v>1171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10"/>
        <v>30</v>
      </c>
      <c r="I23" s="17">
        <f t="shared" si="8"/>
        <v>0</v>
      </c>
      <c r="J23" s="18">
        <f t="shared" si="9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.75" thickBot="1" x14ac:dyDescent="0.3">
      <c r="A24" s="51" t="s">
        <v>52</v>
      </c>
      <c r="B24" s="51" t="s">
        <v>48</v>
      </c>
      <c r="C24" s="51" t="s">
        <v>1171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10"/>
        <v>30</v>
      </c>
      <c r="I24" s="17">
        <f t="shared" si="8"/>
        <v>0</v>
      </c>
      <c r="J24" s="18">
        <f t="shared" si="9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.75" thickBot="1" x14ac:dyDescent="0.3">
      <c r="A25" s="51" t="s">
        <v>52</v>
      </c>
      <c r="B25" s="51" t="s">
        <v>50</v>
      </c>
      <c r="C25" s="51" t="s">
        <v>1171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10"/>
        <v>30</v>
      </c>
      <c r="I25" s="17">
        <f t="shared" si="8"/>
        <v>0</v>
      </c>
      <c r="J25" s="18">
        <f t="shared" si="9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.75" thickBot="1" x14ac:dyDescent="0.3">
      <c r="A26" s="51" t="s">
        <v>52</v>
      </c>
      <c r="B26" s="51" t="s">
        <v>53</v>
      </c>
      <c r="C26" s="51" t="s">
        <v>1171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10"/>
        <v>29</v>
      </c>
      <c r="I26" s="17">
        <f t="shared" si="8"/>
        <v>1</v>
      </c>
      <c r="J26" s="18">
        <f t="shared" si="9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.75" thickBot="1" x14ac:dyDescent="0.3">
      <c r="A27" s="51" t="s">
        <v>52</v>
      </c>
      <c r="B27" s="51" t="s">
        <v>55</v>
      </c>
      <c r="C27" s="51" t="s">
        <v>1171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10"/>
        <v>30</v>
      </c>
      <c r="I27" s="17">
        <f t="shared" si="8"/>
        <v>0</v>
      </c>
      <c r="J27" s="18">
        <f t="shared" si="9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.75" thickBot="1" x14ac:dyDescent="0.3">
      <c r="A28" s="51" t="s">
        <v>52</v>
      </c>
      <c r="B28" s="51" t="s">
        <v>57</v>
      </c>
      <c r="C28" s="51" t="s">
        <v>1171</v>
      </c>
      <c r="D28" s="51" t="s">
        <v>58</v>
      </c>
      <c r="E28" s="51" t="s">
        <v>15</v>
      </c>
      <c r="F28" s="51" t="s">
        <v>1163</v>
      </c>
      <c r="G28" s="51" t="s">
        <v>698</v>
      </c>
      <c r="H28" s="53">
        <f t="shared" si="10"/>
        <v>30</v>
      </c>
      <c r="I28" s="17">
        <f t="shared" si="8"/>
        <v>0</v>
      </c>
      <c r="J28" s="18">
        <f t="shared" si="9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.75" thickBot="1" x14ac:dyDescent="0.3">
      <c r="A29" s="51" t="s">
        <v>52</v>
      </c>
      <c r="B29" s="51" t="s">
        <v>60</v>
      </c>
      <c r="C29" s="51" t="s">
        <v>1171</v>
      </c>
      <c r="D29" s="51" t="s">
        <v>61</v>
      </c>
      <c r="E29" s="51" t="s">
        <v>15</v>
      </c>
      <c r="F29" s="51" t="s">
        <v>1164</v>
      </c>
      <c r="G29" s="51" t="s">
        <v>700</v>
      </c>
      <c r="H29" s="53">
        <f t="shared" si="10"/>
        <v>30</v>
      </c>
      <c r="I29" s="17">
        <f t="shared" si="8"/>
        <v>0</v>
      </c>
      <c r="J29" s="18">
        <f t="shared" si="9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.75" thickBot="1" x14ac:dyDescent="0.3">
      <c r="A30" s="51" t="s">
        <v>52</v>
      </c>
      <c r="B30" s="51" t="s">
        <v>62</v>
      </c>
      <c r="C30" s="51" t="s">
        <v>1171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10"/>
        <v>30</v>
      </c>
      <c r="I30" s="17">
        <f t="shared" si="8"/>
        <v>0</v>
      </c>
      <c r="J30" s="18">
        <f t="shared" si="9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.75" thickBot="1" x14ac:dyDescent="0.3">
      <c r="A31" s="51" t="s">
        <v>52</v>
      </c>
      <c r="B31" s="51" t="s">
        <v>1031</v>
      </c>
      <c r="C31" s="51" t="s">
        <v>1171</v>
      </c>
      <c r="D31" s="51" t="s">
        <v>157</v>
      </c>
      <c r="E31" s="51" t="s">
        <v>46</v>
      </c>
      <c r="F31" s="51" t="s">
        <v>28</v>
      </c>
      <c r="G31" s="51" t="s">
        <v>1167</v>
      </c>
      <c r="H31" s="53">
        <f t="shared" si="10"/>
        <v>14</v>
      </c>
      <c r="I31" s="17">
        <f t="shared" si="8"/>
        <v>16</v>
      </c>
      <c r="J31" s="18">
        <f t="shared" si="9"/>
        <v>0.46666666666666667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 t="s">
        <v>1010</v>
      </c>
      <c r="W31" s="27"/>
      <c r="X31" s="27"/>
      <c r="Y31" s="27"/>
      <c r="Z31" s="27" t="s">
        <v>1010</v>
      </c>
      <c r="AA31" s="27"/>
      <c r="AB31" s="27" t="s">
        <v>1010</v>
      </c>
      <c r="AC31" s="27" t="s">
        <v>1010</v>
      </c>
      <c r="AD31" s="27" t="s">
        <v>1010</v>
      </c>
      <c r="AE31" s="27" t="s">
        <v>1010</v>
      </c>
      <c r="AF31" s="27"/>
      <c r="AG31" s="8" t="s">
        <v>1010</v>
      </c>
      <c r="AH31" s="8"/>
      <c r="AI31" s="8"/>
      <c r="AJ31" s="27"/>
      <c r="AK31" s="8"/>
      <c r="AL31" s="8"/>
      <c r="AM31" s="27"/>
      <c r="AN31" s="27"/>
      <c r="AO31" s="27"/>
    </row>
    <row r="32" spans="1:41" ht="15.75" thickBot="1" x14ac:dyDescent="0.3">
      <c r="A32" s="51" t="s">
        <v>52</v>
      </c>
      <c r="B32" s="51" t="s">
        <v>65</v>
      </c>
      <c r="C32" s="51" t="s">
        <v>1171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10"/>
        <v>30</v>
      </c>
      <c r="I32" s="17">
        <f t="shared" si="8"/>
        <v>0</v>
      </c>
      <c r="J32" s="18">
        <f t="shared" si="9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.75" thickBot="1" x14ac:dyDescent="0.3">
      <c r="A33" s="51" t="s">
        <v>52</v>
      </c>
      <c r="B33" s="51" t="s">
        <v>67</v>
      </c>
      <c r="C33" s="51" t="s">
        <v>1171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10"/>
        <v>30</v>
      </c>
      <c r="I33" s="17">
        <f t="shared" si="8"/>
        <v>0</v>
      </c>
      <c r="J33" s="18">
        <f t="shared" si="9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.75" thickBot="1" x14ac:dyDescent="0.3">
      <c r="A34" s="51" t="s">
        <v>52</v>
      </c>
      <c r="B34" s="51" t="s">
        <v>69</v>
      </c>
      <c r="C34" s="51" t="s">
        <v>1171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10"/>
        <v>2</v>
      </c>
      <c r="I34" s="17">
        <f t="shared" si="8"/>
        <v>28</v>
      </c>
      <c r="J34" s="18">
        <f t="shared" si="9"/>
        <v>6.6666666666666666E-2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 t="s">
        <v>1010</v>
      </c>
      <c r="W34" s="27" t="s">
        <v>1010</v>
      </c>
      <c r="X34" s="27" t="s">
        <v>1010</v>
      </c>
      <c r="Y34" s="27" t="s">
        <v>1010</v>
      </c>
      <c r="Z34" s="27" t="s">
        <v>1010</v>
      </c>
      <c r="AA34" s="27" t="s">
        <v>1010</v>
      </c>
      <c r="AB34" s="27" t="s">
        <v>1010</v>
      </c>
      <c r="AC34" s="27" t="s">
        <v>1010</v>
      </c>
      <c r="AD34" s="27" t="s">
        <v>1010</v>
      </c>
      <c r="AE34" s="27" t="s">
        <v>1010</v>
      </c>
      <c r="AF34" s="27" t="s">
        <v>1010</v>
      </c>
      <c r="AG34" s="8" t="s">
        <v>1010</v>
      </c>
      <c r="AH34" s="8" t="s">
        <v>1010</v>
      </c>
      <c r="AI34" s="8" t="s">
        <v>1010</v>
      </c>
      <c r="AJ34" s="27" t="s">
        <v>1010</v>
      </c>
      <c r="AK34" s="8" t="s">
        <v>1010</v>
      </c>
      <c r="AL34" s="8" t="s">
        <v>1010</v>
      </c>
      <c r="AM34" s="27"/>
      <c r="AN34" s="27"/>
      <c r="AO34" s="27"/>
    </row>
    <row r="35" spans="1:41" ht="15.75" thickBot="1" x14ac:dyDescent="0.3">
      <c r="A35" s="51" t="s">
        <v>52</v>
      </c>
      <c r="B35" s="51" t="s">
        <v>1032</v>
      </c>
      <c r="C35" s="51" t="s">
        <v>1171</v>
      </c>
      <c r="D35" s="51" t="s">
        <v>1033</v>
      </c>
      <c r="E35" s="51" t="s">
        <v>19</v>
      </c>
      <c r="F35" s="51" t="s">
        <v>28</v>
      </c>
      <c r="G35" s="51"/>
      <c r="H35" s="53">
        <f t="shared" si="10"/>
        <v>30</v>
      </c>
      <c r="I35" s="17">
        <f t="shared" si="8"/>
        <v>0</v>
      </c>
      <c r="J35" s="18">
        <f t="shared" si="9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.75" thickBot="1" x14ac:dyDescent="0.3">
      <c r="A36" s="51" t="s">
        <v>52</v>
      </c>
      <c r="B36" s="51" t="s">
        <v>1034</v>
      </c>
      <c r="C36" s="51" t="s">
        <v>1171</v>
      </c>
      <c r="D36" s="51" t="s">
        <v>1191</v>
      </c>
      <c r="E36" s="51" t="s">
        <v>73</v>
      </c>
      <c r="F36" s="51" t="s">
        <v>28</v>
      </c>
      <c r="G36" s="51"/>
      <c r="H36" s="53">
        <f t="shared" si="10"/>
        <v>30</v>
      </c>
      <c r="I36" s="17">
        <f t="shared" si="8"/>
        <v>0</v>
      </c>
      <c r="J36" s="18">
        <f t="shared" si="9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.75" thickBot="1" x14ac:dyDescent="0.3">
      <c r="A37" s="51" t="s">
        <v>52</v>
      </c>
      <c r="B37" s="51" t="s">
        <v>71</v>
      </c>
      <c r="C37" s="51" t="s">
        <v>1171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10"/>
        <v>30</v>
      </c>
      <c r="I37" s="17">
        <f t="shared" si="8"/>
        <v>0</v>
      </c>
      <c r="J37" s="18">
        <f t="shared" si="9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.75" thickBot="1" x14ac:dyDescent="0.3">
      <c r="A38" s="51" t="s">
        <v>52</v>
      </c>
      <c r="B38" s="51" t="s">
        <v>74</v>
      </c>
      <c r="C38" s="51" t="s">
        <v>1171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10"/>
        <v>30</v>
      </c>
      <c r="I38" s="17">
        <f t="shared" si="8"/>
        <v>0</v>
      </c>
      <c r="J38" s="18">
        <f t="shared" si="9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.75" thickBot="1" x14ac:dyDescent="0.3">
      <c r="A39" s="51" t="s">
        <v>52</v>
      </c>
      <c r="B39" s="51" t="s">
        <v>76</v>
      </c>
      <c r="C39" s="51" t="s">
        <v>1171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10"/>
        <v>30</v>
      </c>
      <c r="I39" s="17">
        <f t="shared" si="8"/>
        <v>0</v>
      </c>
      <c r="J39" s="18">
        <f t="shared" si="9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.75" thickBot="1" x14ac:dyDescent="0.3">
      <c r="A40" s="51" t="s">
        <v>52</v>
      </c>
      <c r="B40" s="51" t="s">
        <v>78</v>
      </c>
      <c r="C40" s="51" t="s">
        <v>1171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10"/>
        <v>30</v>
      </c>
      <c r="I40" s="17">
        <f t="shared" si="8"/>
        <v>0</v>
      </c>
      <c r="J40" s="18">
        <f t="shared" si="9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.75" thickBot="1" x14ac:dyDescent="0.3">
      <c r="A41" s="51" t="s">
        <v>52</v>
      </c>
      <c r="B41" s="51" t="s">
        <v>80</v>
      </c>
      <c r="C41" s="51" t="s">
        <v>1171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10"/>
        <v>30</v>
      </c>
      <c r="I41" s="17">
        <f t="shared" si="8"/>
        <v>0</v>
      </c>
      <c r="J41" s="18">
        <f t="shared" si="9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.75" thickBot="1" x14ac:dyDescent="0.3">
      <c r="A42" s="51" t="s">
        <v>52</v>
      </c>
      <c r="B42" s="51" t="s">
        <v>82</v>
      </c>
      <c r="C42" s="51" t="s">
        <v>1171</v>
      </c>
      <c r="D42" s="51" t="s">
        <v>1190</v>
      </c>
      <c r="E42" s="51" t="s">
        <v>15</v>
      </c>
      <c r="F42" s="51" t="s">
        <v>28</v>
      </c>
      <c r="G42" s="51" t="s">
        <v>647</v>
      </c>
      <c r="H42" s="53">
        <f t="shared" si="10"/>
        <v>30</v>
      </c>
      <c r="I42" s="17">
        <f t="shared" si="8"/>
        <v>0</v>
      </c>
      <c r="J42" s="18">
        <f t="shared" si="9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.75" thickBot="1" x14ac:dyDescent="0.3">
      <c r="A43" s="51" t="s">
        <v>52</v>
      </c>
      <c r="B43" s="51" t="s">
        <v>83</v>
      </c>
      <c r="C43" s="51" t="s">
        <v>1171</v>
      </c>
      <c r="D43" s="51" t="s">
        <v>1189</v>
      </c>
      <c r="E43" s="51" t="s">
        <v>19</v>
      </c>
      <c r="F43" s="51" t="s">
        <v>28</v>
      </c>
      <c r="G43" s="51" t="s">
        <v>648</v>
      </c>
      <c r="H43" s="53">
        <f t="shared" si="10"/>
        <v>30</v>
      </c>
      <c r="I43" s="17">
        <f t="shared" si="8"/>
        <v>0</v>
      </c>
      <c r="J43" s="18">
        <f t="shared" si="9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.75" thickBot="1" x14ac:dyDescent="0.3">
      <c r="A44" s="51" t="s">
        <v>52</v>
      </c>
      <c r="B44" s="51" t="s">
        <v>84</v>
      </c>
      <c r="C44" s="51" t="s">
        <v>1171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10"/>
        <v>30</v>
      </c>
      <c r="I44" s="17">
        <f t="shared" si="8"/>
        <v>0</v>
      </c>
      <c r="J44" s="18">
        <f t="shared" si="9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.75" thickBot="1" x14ac:dyDescent="0.3">
      <c r="A45" s="51" t="s">
        <v>52</v>
      </c>
      <c r="B45" s="51" t="s">
        <v>86</v>
      </c>
      <c r="C45" s="51" t="s">
        <v>1171</v>
      </c>
      <c r="D45" s="51" t="s">
        <v>1188</v>
      </c>
      <c r="E45" s="51" t="s">
        <v>19</v>
      </c>
      <c r="F45" s="51" t="s">
        <v>28</v>
      </c>
      <c r="G45" s="51" t="s">
        <v>650</v>
      </c>
      <c r="H45" s="53">
        <f t="shared" si="10"/>
        <v>30</v>
      </c>
      <c r="I45" s="17">
        <f t="shared" si="8"/>
        <v>0</v>
      </c>
      <c r="J45" s="18">
        <f t="shared" si="9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.75" thickBot="1" x14ac:dyDescent="0.3">
      <c r="A46" s="51" t="s">
        <v>52</v>
      </c>
      <c r="B46" s="51" t="s">
        <v>87</v>
      </c>
      <c r="C46" s="51" t="s">
        <v>1171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10"/>
        <v>30</v>
      </c>
      <c r="I46" s="17">
        <f t="shared" si="8"/>
        <v>0</v>
      </c>
      <c r="J46" s="18">
        <f t="shared" si="9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.75" thickBot="1" x14ac:dyDescent="0.3">
      <c r="A47" s="51" t="s">
        <v>52</v>
      </c>
      <c r="B47" s="51" t="s">
        <v>91</v>
      </c>
      <c r="C47" s="51" t="s">
        <v>1171</v>
      </c>
      <c r="D47" s="51" t="s">
        <v>1192</v>
      </c>
      <c r="E47" s="51" t="s">
        <v>19</v>
      </c>
      <c r="F47" s="51" t="s">
        <v>28</v>
      </c>
      <c r="G47" s="51" t="s">
        <v>654</v>
      </c>
      <c r="H47" s="53">
        <f t="shared" si="10"/>
        <v>30</v>
      </c>
      <c r="I47" s="17">
        <f t="shared" si="8"/>
        <v>0</v>
      </c>
      <c r="J47" s="18">
        <f t="shared" si="9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.75" thickBot="1" x14ac:dyDescent="0.3">
      <c r="A48" s="51" t="s">
        <v>52</v>
      </c>
      <c r="B48" s="51" t="s">
        <v>92</v>
      </c>
      <c r="C48" s="51" t="s">
        <v>1171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10"/>
        <v>30</v>
      </c>
      <c r="I48" s="17">
        <f t="shared" si="8"/>
        <v>0</v>
      </c>
      <c r="J48" s="18">
        <f t="shared" si="9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.75" thickBot="1" x14ac:dyDescent="0.3">
      <c r="A49" s="51" t="s">
        <v>52</v>
      </c>
      <c r="B49" s="51" t="s">
        <v>94</v>
      </c>
      <c r="C49" s="51" t="s">
        <v>1171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10"/>
        <v>30</v>
      </c>
      <c r="I49" s="17">
        <f t="shared" si="8"/>
        <v>0</v>
      </c>
      <c r="J49" s="18">
        <f t="shared" si="9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.75" thickBot="1" x14ac:dyDescent="0.3">
      <c r="A50" s="51"/>
      <c r="B50" s="51" t="s">
        <v>96</v>
      </c>
      <c r="C50" s="51" t="s">
        <v>1171</v>
      </c>
      <c r="D50" s="51" t="s">
        <v>97</v>
      </c>
      <c r="E50" s="51" t="s">
        <v>19</v>
      </c>
      <c r="F50" s="51" t="s">
        <v>1164</v>
      </c>
      <c r="G50" s="51" t="s">
        <v>657</v>
      </c>
      <c r="H50" s="53">
        <f t="shared" si="10"/>
        <v>30</v>
      </c>
      <c r="I50" s="17">
        <f t="shared" si="8"/>
        <v>0</v>
      </c>
      <c r="J50" s="18">
        <f t="shared" si="9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.75" thickBot="1" x14ac:dyDescent="0.3">
      <c r="A51" s="51" t="s">
        <v>52</v>
      </c>
      <c r="B51" s="51" t="s">
        <v>98</v>
      </c>
      <c r="C51" s="51" t="s">
        <v>1171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10"/>
        <v>30</v>
      </c>
      <c r="I51" s="17">
        <f t="shared" si="8"/>
        <v>0</v>
      </c>
      <c r="J51" s="18">
        <f t="shared" si="9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.75" thickBot="1" x14ac:dyDescent="0.3">
      <c r="A52" s="51" t="s">
        <v>52</v>
      </c>
      <c r="B52" s="51" t="s">
        <v>100</v>
      </c>
      <c r="C52" s="51" t="s">
        <v>1171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10"/>
        <v>30</v>
      </c>
      <c r="I52" s="17">
        <f t="shared" si="8"/>
        <v>0</v>
      </c>
      <c r="J52" s="18">
        <f t="shared" si="9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.75" thickBot="1" x14ac:dyDescent="0.3">
      <c r="A53" s="51" t="s">
        <v>101</v>
      </c>
      <c r="B53" s="51" t="s">
        <v>102</v>
      </c>
      <c r="C53" s="51" t="s">
        <v>1171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10"/>
        <v>30</v>
      </c>
      <c r="I53" s="17">
        <f t="shared" si="8"/>
        <v>0</v>
      </c>
      <c r="J53" s="18">
        <f t="shared" si="9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.75" thickBot="1" x14ac:dyDescent="0.3">
      <c r="A54" s="51" t="s">
        <v>52</v>
      </c>
      <c r="B54" s="51" t="s">
        <v>104</v>
      </c>
      <c r="C54" s="51" t="s">
        <v>1171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10"/>
        <v>30</v>
      </c>
      <c r="I54" s="17">
        <f t="shared" si="8"/>
        <v>0</v>
      </c>
      <c r="J54" s="18">
        <f t="shared" si="9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.75" thickBot="1" x14ac:dyDescent="0.3">
      <c r="A55" s="51" t="s">
        <v>52</v>
      </c>
      <c r="B55" s="51" t="s">
        <v>106</v>
      </c>
      <c r="C55" s="51" t="s">
        <v>1171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10"/>
        <v>30</v>
      </c>
      <c r="I55" s="17">
        <f t="shared" si="8"/>
        <v>0</v>
      </c>
      <c r="J55" s="18">
        <f t="shared" si="9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.75" thickBot="1" x14ac:dyDescent="0.3">
      <c r="A56" s="51" t="s">
        <v>52</v>
      </c>
      <c r="B56" s="51" t="s">
        <v>108</v>
      </c>
      <c r="C56" s="51" t="s">
        <v>1171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10"/>
        <v>30</v>
      </c>
      <c r="I56" s="17">
        <f t="shared" si="8"/>
        <v>0</v>
      </c>
      <c r="J56" s="18">
        <f t="shared" si="9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.75" thickBot="1" x14ac:dyDescent="0.3">
      <c r="A57" s="51" t="s">
        <v>52</v>
      </c>
      <c r="B57" s="51" t="s">
        <v>110</v>
      </c>
      <c r="C57" s="51" t="s">
        <v>1171</v>
      </c>
      <c r="D57" s="51" t="s">
        <v>1193</v>
      </c>
      <c r="E57" s="51" t="s">
        <v>19</v>
      </c>
      <c r="F57" s="51" t="s">
        <v>28</v>
      </c>
      <c r="G57" s="51" t="s">
        <v>664</v>
      </c>
      <c r="H57" s="53">
        <f t="shared" si="10"/>
        <v>30</v>
      </c>
      <c r="I57" s="17">
        <f t="shared" si="8"/>
        <v>0</v>
      </c>
      <c r="J57" s="18">
        <f t="shared" si="9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.75" thickBot="1" x14ac:dyDescent="0.3">
      <c r="A58" s="51" t="s">
        <v>52</v>
      </c>
      <c r="B58" s="51" t="s">
        <v>111</v>
      </c>
      <c r="C58" s="51" t="s">
        <v>1171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10"/>
        <v>30</v>
      </c>
      <c r="I58" s="17">
        <f t="shared" si="8"/>
        <v>0</v>
      </c>
      <c r="J58" s="18">
        <f t="shared" si="9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.75" thickBot="1" x14ac:dyDescent="0.3">
      <c r="A59" s="51" t="s">
        <v>52</v>
      </c>
      <c r="B59" s="51" t="s">
        <v>113</v>
      </c>
      <c r="C59" s="51" t="s">
        <v>1171</v>
      </c>
      <c r="D59" s="51" t="s">
        <v>1195</v>
      </c>
      <c r="E59" s="51" t="s">
        <v>19</v>
      </c>
      <c r="F59" s="51" t="s">
        <v>28</v>
      </c>
      <c r="G59" s="51" t="s">
        <v>666</v>
      </c>
      <c r="H59" s="53">
        <f t="shared" si="10"/>
        <v>30</v>
      </c>
      <c r="I59" s="17">
        <f t="shared" si="8"/>
        <v>0</v>
      </c>
      <c r="J59" s="18">
        <f t="shared" si="9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/>
    </row>
    <row r="60" spans="1:41" ht="15.75" thickBot="1" x14ac:dyDescent="0.3">
      <c r="A60" s="51" t="s">
        <v>52</v>
      </c>
      <c r="B60" s="51" t="s">
        <v>114</v>
      </c>
      <c r="C60" s="51" t="s">
        <v>1171</v>
      </c>
      <c r="D60" s="51" t="s">
        <v>1196</v>
      </c>
      <c r="E60" s="51" t="s">
        <v>19</v>
      </c>
      <c r="F60" s="51" t="s">
        <v>28</v>
      </c>
      <c r="G60" s="51" t="s">
        <v>667</v>
      </c>
      <c r="H60" s="53">
        <f t="shared" si="10"/>
        <v>30</v>
      </c>
      <c r="I60" s="17">
        <f t="shared" si="8"/>
        <v>0</v>
      </c>
      <c r="J60" s="18">
        <f t="shared" si="9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.75" thickBot="1" x14ac:dyDescent="0.3">
      <c r="A61" s="51" t="s">
        <v>52</v>
      </c>
      <c r="B61" s="51" t="s">
        <v>115</v>
      </c>
      <c r="C61" s="51" t="s">
        <v>1171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10"/>
        <v>30</v>
      </c>
      <c r="I61" s="17">
        <f t="shared" si="8"/>
        <v>0</v>
      </c>
      <c r="J61" s="18">
        <f t="shared" si="9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.75" thickBot="1" x14ac:dyDescent="0.3">
      <c r="A62" s="51" t="s">
        <v>52</v>
      </c>
      <c r="B62" s="51" t="s">
        <v>117</v>
      </c>
      <c r="C62" s="51" t="s">
        <v>1171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10"/>
        <v>30</v>
      </c>
      <c r="I62" s="17">
        <f t="shared" si="8"/>
        <v>0</v>
      </c>
      <c r="J62" s="18">
        <f t="shared" si="9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.75" thickBot="1" x14ac:dyDescent="0.3">
      <c r="A63" s="51" t="s">
        <v>52</v>
      </c>
      <c r="B63" s="51" t="s">
        <v>119</v>
      </c>
      <c r="C63" s="51" t="s">
        <v>1171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10"/>
        <v>30</v>
      </c>
      <c r="I63" s="17">
        <f t="shared" si="8"/>
        <v>0</v>
      </c>
      <c r="J63" s="18">
        <f t="shared" si="9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.75" thickBot="1" x14ac:dyDescent="0.3">
      <c r="A64" s="51" t="s">
        <v>52</v>
      </c>
      <c r="B64" s="51" t="s">
        <v>121</v>
      </c>
      <c r="C64" s="51" t="s">
        <v>1171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10"/>
        <v>30</v>
      </c>
      <c r="I64" s="17">
        <f t="shared" si="8"/>
        <v>0</v>
      </c>
      <c r="J64" s="18">
        <f t="shared" si="9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.75" thickBot="1" x14ac:dyDescent="0.3">
      <c r="A65" s="51" t="s">
        <v>52</v>
      </c>
      <c r="B65" s="51" t="s">
        <v>123</v>
      </c>
      <c r="C65" s="51" t="s">
        <v>1171</v>
      </c>
      <c r="D65" s="51" t="s">
        <v>1197</v>
      </c>
      <c r="E65" s="51" t="s">
        <v>19</v>
      </c>
      <c r="F65" s="51" t="s">
        <v>28</v>
      </c>
      <c r="G65" s="51" t="s">
        <v>672</v>
      </c>
      <c r="H65" s="53">
        <f t="shared" si="10"/>
        <v>30</v>
      </c>
      <c r="I65" s="17">
        <f t="shared" si="8"/>
        <v>0</v>
      </c>
      <c r="J65" s="18">
        <f t="shared" si="9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.75" thickBot="1" x14ac:dyDescent="0.3">
      <c r="A66" s="51" t="s">
        <v>52</v>
      </c>
      <c r="B66" s="51" t="s">
        <v>124</v>
      </c>
      <c r="C66" s="51" t="s">
        <v>1171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10"/>
        <v>30</v>
      </c>
      <c r="I66" s="17">
        <f t="shared" si="8"/>
        <v>0</v>
      </c>
      <c r="J66" s="18">
        <f t="shared" si="9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.75" thickBot="1" x14ac:dyDescent="0.3">
      <c r="A67" s="51" t="s">
        <v>52</v>
      </c>
      <c r="B67" s="51" t="s">
        <v>126</v>
      </c>
      <c r="C67" s="51" t="s">
        <v>1171</v>
      </c>
      <c r="D67" s="51" t="s">
        <v>1177</v>
      </c>
      <c r="E67" s="51" t="s">
        <v>19</v>
      </c>
      <c r="F67" s="51" t="s">
        <v>28</v>
      </c>
      <c r="G67" s="51" t="s">
        <v>674</v>
      </c>
      <c r="H67" s="53">
        <f t="shared" si="10"/>
        <v>2</v>
      </c>
      <c r="I67" s="17">
        <f t="shared" si="8"/>
        <v>28</v>
      </c>
      <c r="J67" s="18">
        <f t="shared" si="9"/>
        <v>6.6666666666666666E-2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 t="s">
        <v>1010</v>
      </c>
      <c r="W67" s="27" t="s">
        <v>1010</v>
      </c>
      <c r="X67" s="27" t="s">
        <v>1010</v>
      </c>
      <c r="Y67" s="27" t="s">
        <v>1010</v>
      </c>
      <c r="Z67" s="27" t="s">
        <v>1010</v>
      </c>
      <c r="AA67" s="27" t="s">
        <v>1010</v>
      </c>
      <c r="AB67" s="27" t="s">
        <v>1010</v>
      </c>
      <c r="AC67" s="27" t="s">
        <v>1010</v>
      </c>
      <c r="AD67" s="27" t="s">
        <v>1010</v>
      </c>
      <c r="AE67" s="27" t="s">
        <v>1010</v>
      </c>
      <c r="AF67" s="27" t="s">
        <v>1010</v>
      </c>
      <c r="AG67" s="8" t="s">
        <v>1010</v>
      </c>
      <c r="AH67" s="8" t="s">
        <v>1010</v>
      </c>
      <c r="AI67" s="8" t="s">
        <v>1010</v>
      </c>
      <c r="AJ67" s="27" t="s">
        <v>1010</v>
      </c>
      <c r="AK67" s="8" t="s">
        <v>1010</v>
      </c>
      <c r="AL67" s="8" t="s">
        <v>1010</v>
      </c>
      <c r="AM67" s="27"/>
      <c r="AN67" s="27"/>
      <c r="AO67" s="27"/>
    </row>
    <row r="68" spans="1:41" ht="15.75" thickBot="1" x14ac:dyDescent="0.3">
      <c r="A68" s="51" t="s">
        <v>52</v>
      </c>
      <c r="B68" s="51" t="s">
        <v>127</v>
      </c>
      <c r="C68" s="51" t="s">
        <v>1171</v>
      </c>
      <c r="D68" s="51" t="s">
        <v>1178</v>
      </c>
      <c r="E68" s="51" t="s">
        <v>19</v>
      </c>
      <c r="F68" s="51" t="s">
        <v>28</v>
      </c>
      <c r="G68" s="51" t="s">
        <v>675</v>
      </c>
      <c r="H68" s="53">
        <f t="shared" si="10"/>
        <v>30</v>
      </c>
      <c r="I68" s="17">
        <f t="shared" si="8"/>
        <v>0</v>
      </c>
      <c r="J68" s="18">
        <f t="shared" si="9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.75" thickBot="1" x14ac:dyDescent="0.3">
      <c r="A69" s="51" t="s">
        <v>52</v>
      </c>
      <c r="B69" s="51" t="s">
        <v>128</v>
      </c>
      <c r="C69" s="51" t="s">
        <v>1171</v>
      </c>
      <c r="D69" s="51" t="s">
        <v>1179</v>
      </c>
      <c r="E69" s="51" t="s">
        <v>19</v>
      </c>
      <c r="F69" s="51" t="s">
        <v>28</v>
      </c>
      <c r="G69" s="51" t="s">
        <v>676</v>
      </c>
      <c r="H69" s="53">
        <f t="shared" si="10"/>
        <v>30</v>
      </c>
      <c r="I69" s="17">
        <f t="shared" ref="I69:I132" si="11">COUNTIF(K69:AL69,"APAGADO")</f>
        <v>0</v>
      </c>
      <c r="J69" s="18">
        <f t="shared" ref="J69:J132" si="12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.75" thickBot="1" x14ac:dyDescent="0.3">
      <c r="A70" s="51" t="s">
        <v>52</v>
      </c>
      <c r="B70" s="51" t="s">
        <v>130</v>
      </c>
      <c r="C70" s="51" t="s">
        <v>1171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3">COUNTIF(K70:AN70,"")</f>
        <v>30</v>
      </c>
      <c r="I70" s="17">
        <f t="shared" si="11"/>
        <v>0</v>
      </c>
      <c r="J70" s="18">
        <f t="shared" si="12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.75" thickBot="1" x14ac:dyDescent="0.3">
      <c r="A71" s="51" t="s">
        <v>52</v>
      </c>
      <c r="B71" s="51" t="s">
        <v>132</v>
      </c>
      <c r="C71" s="51" t="s">
        <v>1171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3"/>
        <v>30</v>
      </c>
      <c r="I71" s="17">
        <f t="shared" si="11"/>
        <v>0</v>
      </c>
      <c r="J71" s="18">
        <f t="shared" si="12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.75" thickBot="1" x14ac:dyDescent="0.3">
      <c r="A72" s="51" t="s">
        <v>52</v>
      </c>
      <c r="B72" s="51" t="s">
        <v>134</v>
      </c>
      <c r="C72" s="51" t="s">
        <v>1171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3"/>
        <v>30</v>
      </c>
      <c r="I72" s="17">
        <f t="shared" si="11"/>
        <v>0</v>
      </c>
      <c r="J72" s="18">
        <f t="shared" si="12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.75" thickBot="1" x14ac:dyDescent="0.3">
      <c r="A73" s="51" t="s">
        <v>52</v>
      </c>
      <c r="B73" s="51" t="s">
        <v>136</v>
      </c>
      <c r="C73" s="51" t="s">
        <v>1171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3"/>
        <v>30</v>
      </c>
      <c r="I73" s="17">
        <f t="shared" si="11"/>
        <v>0</v>
      </c>
      <c r="J73" s="18">
        <f t="shared" si="12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.75" thickBot="1" x14ac:dyDescent="0.3">
      <c r="A74" s="51" t="s">
        <v>52</v>
      </c>
      <c r="B74" s="51" t="s">
        <v>138</v>
      </c>
      <c r="C74" s="51" t="s">
        <v>1171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3"/>
        <v>30</v>
      </c>
      <c r="I74" s="17">
        <f t="shared" si="11"/>
        <v>0</v>
      </c>
      <c r="J74" s="18">
        <f t="shared" si="12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.75" thickBot="1" x14ac:dyDescent="0.3">
      <c r="A75" s="51" t="s">
        <v>52</v>
      </c>
      <c r="B75" s="51" t="s">
        <v>140</v>
      </c>
      <c r="C75" s="51" t="s">
        <v>1171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3"/>
        <v>30</v>
      </c>
      <c r="I75" s="17">
        <f t="shared" si="11"/>
        <v>0</v>
      </c>
      <c r="J75" s="18">
        <f t="shared" si="12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.75" thickBot="1" x14ac:dyDescent="0.3">
      <c r="A76" s="51" t="s">
        <v>52</v>
      </c>
      <c r="B76" s="51" t="s">
        <v>142</v>
      </c>
      <c r="C76" s="51" t="s">
        <v>1171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3"/>
        <v>27</v>
      </c>
      <c r="I76" s="17">
        <f t="shared" si="11"/>
        <v>3</v>
      </c>
      <c r="J76" s="18">
        <f t="shared" si="12"/>
        <v>0.9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 t="s">
        <v>1010</v>
      </c>
      <c r="AC76" s="27" t="s">
        <v>1010</v>
      </c>
      <c r="AD76" s="27"/>
      <c r="AE76" s="27"/>
      <c r="AF76" s="27"/>
      <c r="AG76" s="8"/>
      <c r="AH76" s="8"/>
      <c r="AI76" s="8"/>
      <c r="AJ76" s="27"/>
      <c r="AK76" s="8"/>
      <c r="AL76" s="8" t="s">
        <v>1010</v>
      </c>
      <c r="AM76" s="27"/>
      <c r="AN76" s="27"/>
      <c r="AO76" s="27"/>
    </row>
    <row r="77" spans="1:41" ht="15.75" thickBot="1" x14ac:dyDescent="0.3">
      <c r="A77" s="51" t="s">
        <v>52</v>
      </c>
      <c r="B77" s="51" t="s">
        <v>144</v>
      </c>
      <c r="C77" s="51" t="s">
        <v>1171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3"/>
        <v>30</v>
      </c>
      <c r="I77" s="17">
        <f t="shared" si="11"/>
        <v>0</v>
      </c>
      <c r="J77" s="18">
        <f t="shared" si="12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.75" thickBot="1" x14ac:dyDescent="0.3">
      <c r="A78" s="51" t="s">
        <v>52</v>
      </c>
      <c r="B78" s="51" t="s">
        <v>145</v>
      </c>
      <c r="C78" s="51" t="s">
        <v>1171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3"/>
        <v>30</v>
      </c>
      <c r="I78" s="17">
        <f t="shared" si="11"/>
        <v>0</v>
      </c>
      <c r="J78" s="18">
        <f t="shared" si="12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.75" thickBot="1" x14ac:dyDescent="0.3">
      <c r="A79" s="51" t="s">
        <v>52</v>
      </c>
      <c r="B79" s="51" t="s">
        <v>146</v>
      </c>
      <c r="C79" s="51" t="s">
        <v>1171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3"/>
        <v>22</v>
      </c>
      <c r="I79" s="17">
        <f t="shared" si="11"/>
        <v>8</v>
      </c>
      <c r="J79" s="18">
        <f t="shared" si="12"/>
        <v>0.73333333333333328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 t="s">
        <v>1010</v>
      </c>
      <c r="AC79" s="27" t="s">
        <v>1010</v>
      </c>
      <c r="AD79" s="27" t="s">
        <v>1010</v>
      </c>
      <c r="AE79" s="27" t="s">
        <v>1010</v>
      </c>
      <c r="AF79" s="27" t="s">
        <v>1010</v>
      </c>
      <c r="AG79" s="8" t="s">
        <v>1010</v>
      </c>
      <c r="AH79" s="8" t="s">
        <v>1010</v>
      </c>
      <c r="AI79" s="8"/>
      <c r="AJ79" s="27"/>
      <c r="AK79" s="8"/>
      <c r="AL79" s="8" t="s">
        <v>1010</v>
      </c>
      <c r="AM79" s="27"/>
      <c r="AN79" s="27"/>
      <c r="AO79" s="27"/>
    </row>
    <row r="80" spans="1:41" ht="15.75" thickBot="1" x14ac:dyDescent="0.3">
      <c r="A80" s="51" t="s">
        <v>52</v>
      </c>
      <c r="B80" s="51" t="s">
        <v>148</v>
      </c>
      <c r="C80" s="51" t="s">
        <v>1171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3"/>
        <v>29</v>
      </c>
      <c r="I80" s="17">
        <f t="shared" si="11"/>
        <v>1</v>
      </c>
      <c r="J80" s="18">
        <f t="shared" si="12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.75" thickBot="1" x14ac:dyDescent="0.3">
      <c r="A81" s="51" t="s">
        <v>52</v>
      </c>
      <c r="B81" s="51" t="s">
        <v>150</v>
      </c>
      <c r="C81" s="51" t="s">
        <v>1171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3"/>
        <v>30</v>
      </c>
      <c r="I81" s="17">
        <f t="shared" si="11"/>
        <v>0</v>
      </c>
      <c r="J81" s="18">
        <f t="shared" si="12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.75" thickBot="1" x14ac:dyDescent="0.3">
      <c r="A82" s="51" t="s">
        <v>52</v>
      </c>
      <c r="B82" s="51" t="s">
        <v>153</v>
      </c>
      <c r="C82" s="51" t="s">
        <v>1171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3"/>
        <v>30</v>
      </c>
      <c r="I82" s="17">
        <f t="shared" si="11"/>
        <v>0</v>
      </c>
      <c r="J82" s="18">
        <f t="shared" si="12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.75" thickBot="1" x14ac:dyDescent="0.3">
      <c r="A83" s="51" t="s">
        <v>52</v>
      </c>
      <c r="B83" s="51" t="s">
        <v>1035</v>
      </c>
      <c r="C83" s="51" t="s">
        <v>1171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3"/>
        <v>30</v>
      </c>
      <c r="I83" s="17">
        <f t="shared" si="11"/>
        <v>0</v>
      </c>
      <c r="J83" s="18">
        <f t="shared" si="12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.75" thickBot="1" x14ac:dyDescent="0.3">
      <c r="A84" s="51" t="s">
        <v>52</v>
      </c>
      <c r="B84" s="51" t="s">
        <v>1036</v>
      </c>
      <c r="C84" s="51" t="s">
        <v>1171</v>
      </c>
      <c r="D84" s="51" t="s">
        <v>1198</v>
      </c>
      <c r="E84" s="51" t="s">
        <v>15</v>
      </c>
      <c r="F84" s="51" t="s">
        <v>1164</v>
      </c>
      <c r="G84" s="51" t="s">
        <v>702</v>
      </c>
      <c r="H84" s="53">
        <f t="shared" si="13"/>
        <v>30</v>
      </c>
      <c r="I84" s="17">
        <f t="shared" si="11"/>
        <v>0</v>
      </c>
      <c r="J84" s="18">
        <f t="shared" si="12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.75" thickBot="1" x14ac:dyDescent="0.3">
      <c r="A85" s="51" t="s">
        <v>52</v>
      </c>
      <c r="B85" s="51" t="s">
        <v>1037</v>
      </c>
      <c r="C85" s="51" t="s">
        <v>1171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3"/>
        <v>30</v>
      </c>
      <c r="I85" s="17">
        <f t="shared" si="11"/>
        <v>0</v>
      </c>
      <c r="J85" s="18">
        <f t="shared" si="12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.75" thickBot="1" x14ac:dyDescent="0.3">
      <c r="A86" s="51" t="s">
        <v>52</v>
      </c>
      <c r="B86" s="51" t="s">
        <v>155</v>
      </c>
      <c r="C86" s="51" t="s">
        <v>1171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3"/>
        <v>30</v>
      </c>
      <c r="I86" s="17">
        <f t="shared" si="11"/>
        <v>0</v>
      </c>
      <c r="J86" s="18">
        <f t="shared" si="12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.75" thickBot="1" x14ac:dyDescent="0.3">
      <c r="A87" s="51" t="s">
        <v>52</v>
      </c>
      <c r="B87" s="51" t="s">
        <v>158</v>
      </c>
      <c r="C87" s="51" t="s">
        <v>1171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3"/>
        <v>14</v>
      </c>
      <c r="I87" s="17">
        <f t="shared" si="11"/>
        <v>16</v>
      </c>
      <c r="J87" s="18">
        <f t="shared" si="12"/>
        <v>0.46666666666666667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 t="s">
        <v>1010</v>
      </c>
      <c r="W87" s="27"/>
      <c r="X87" s="27"/>
      <c r="Y87" s="27"/>
      <c r="Z87" s="27" t="s">
        <v>1010</v>
      </c>
      <c r="AA87" s="27"/>
      <c r="AB87" s="27" t="s">
        <v>1010</v>
      </c>
      <c r="AC87" s="27" t="s">
        <v>1010</v>
      </c>
      <c r="AD87" s="27" t="s">
        <v>1010</v>
      </c>
      <c r="AE87" s="27" t="s">
        <v>1010</v>
      </c>
      <c r="AF87" s="27"/>
      <c r="AG87" s="8" t="s">
        <v>1010</v>
      </c>
      <c r="AH87" s="8"/>
      <c r="AI87" s="8"/>
      <c r="AJ87" s="27"/>
      <c r="AK87" s="8"/>
      <c r="AL87" s="8"/>
      <c r="AM87" s="27"/>
      <c r="AN87" s="27"/>
      <c r="AO87" s="27"/>
    </row>
    <row r="88" spans="1:41" ht="15.75" thickBot="1" x14ac:dyDescent="0.3">
      <c r="A88" s="51" t="s">
        <v>52</v>
      </c>
      <c r="B88" s="51" t="s">
        <v>159</v>
      </c>
      <c r="C88" s="51" t="s">
        <v>1171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3"/>
        <v>30</v>
      </c>
      <c r="I88" s="17">
        <f t="shared" si="11"/>
        <v>0</v>
      </c>
      <c r="J88" s="18">
        <f t="shared" si="12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.75" thickBot="1" x14ac:dyDescent="0.3">
      <c r="A89" s="51" t="s">
        <v>52</v>
      </c>
      <c r="B89" s="51" t="s">
        <v>161</v>
      </c>
      <c r="C89" s="51" t="s">
        <v>1171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3"/>
        <v>30</v>
      </c>
      <c r="I89" s="17">
        <f t="shared" si="11"/>
        <v>0</v>
      </c>
      <c r="J89" s="18">
        <f t="shared" si="12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.75" thickBot="1" x14ac:dyDescent="0.3">
      <c r="A90" s="51" t="s">
        <v>52</v>
      </c>
      <c r="B90" s="51" t="s">
        <v>162</v>
      </c>
      <c r="C90" s="51" t="s">
        <v>1171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3"/>
        <v>30</v>
      </c>
      <c r="I90" s="17">
        <f t="shared" si="11"/>
        <v>0</v>
      </c>
      <c r="J90" s="18">
        <f t="shared" si="12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" customHeight="1" thickBot="1" x14ac:dyDescent="0.3">
      <c r="A91" s="51" t="s">
        <v>52</v>
      </c>
      <c r="B91" s="51" t="s">
        <v>164</v>
      </c>
      <c r="C91" s="51" t="s">
        <v>1171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3"/>
        <v>30</v>
      </c>
      <c r="I91" s="17">
        <f t="shared" si="11"/>
        <v>0</v>
      </c>
      <c r="J91" s="18">
        <f t="shared" si="12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.75" thickBot="1" x14ac:dyDescent="0.3">
      <c r="A92" s="51" t="s">
        <v>52</v>
      </c>
      <c r="B92" s="51" t="s">
        <v>166</v>
      </c>
      <c r="C92" s="51" t="s">
        <v>1171</v>
      </c>
      <c r="D92" s="51" t="s">
        <v>167</v>
      </c>
      <c r="E92" s="51" t="s">
        <v>19</v>
      </c>
      <c r="F92" s="51" t="s">
        <v>1163</v>
      </c>
      <c r="G92" s="51" t="s">
        <v>716</v>
      </c>
      <c r="H92" s="53">
        <f t="shared" si="13"/>
        <v>30</v>
      </c>
      <c r="I92" s="17">
        <f t="shared" si="11"/>
        <v>0</v>
      </c>
      <c r="J92" s="18">
        <f t="shared" si="12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.75" thickBot="1" x14ac:dyDescent="0.3">
      <c r="A93" s="51" t="s">
        <v>168</v>
      </c>
      <c r="B93" s="51" t="s">
        <v>169</v>
      </c>
      <c r="C93" s="51" t="s">
        <v>1171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3"/>
        <v>30</v>
      </c>
      <c r="I93" s="17">
        <f t="shared" si="11"/>
        <v>0</v>
      </c>
      <c r="J93" s="18">
        <f t="shared" si="12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.75" thickBot="1" x14ac:dyDescent="0.3">
      <c r="A94" s="51" t="s">
        <v>171</v>
      </c>
      <c r="B94" s="51" t="s">
        <v>172</v>
      </c>
      <c r="C94" s="51" t="s">
        <v>1171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3"/>
        <v>30</v>
      </c>
      <c r="I94" s="17">
        <f t="shared" si="11"/>
        <v>0</v>
      </c>
      <c r="J94" s="18">
        <f t="shared" si="12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.75" thickBot="1" x14ac:dyDescent="0.3">
      <c r="A95" s="51" t="s">
        <v>171</v>
      </c>
      <c r="B95" s="51" t="s">
        <v>174</v>
      </c>
      <c r="C95" s="51" t="s">
        <v>1171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3"/>
        <v>30</v>
      </c>
      <c r="I95" s="17">
        <f t="shared" si="11"/>
        <v>0</v>
      </c>
      <c r="J95" s="18">
        <f t="shared" si="12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.75" thickBot="1" x14ac:dyDescent="0.3">
      <c r="A96" s="51" t="s">
        <v>171</v>
      </c>
      <c r="B96" s="51" t="s">
        <v>176</v>
      </c>
      <c r="C96" s="51" t="s">
        <v>1171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3"/>
        <v>10</v>
      </c>
      <c r="I96" s="17">
        <f t="shared" si="11"/>
        <v>20</v>
      </c>
      <c r="J96" s="18">
        <f t="shared" si="12"/>
        <v>0.33333333333333331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 t="s">
        <v>1010</v>
      </c>
      <c r="W96" s="27" t="s">
        <v>1010</v>
      </c>
      <c r="X96" s="27" t="s">
        <v>1010</v>
      </c>
      <c r="Y96" s="27" t="s">
        <v>1010</v>
      </c>
      <c r="Z96" s="27" t="s">
        <v>1010</v>
      </c>
      <c r="AA96" s="27" t="s">
        <v>1010</v>
      </c>
      <c r="AB96" s="27" t="s">
        <v>1010</v>
      </c>
      <c r="AC96" s="27" t="s">
        <v>1010</v>
      </c>
      <c r="AD96" s="27" t="s">
        <v>1010</v>
      </c>
      <c r="AE96" s="27" t="s">
        <v>1010</v>
      </c>
      <c r="AF96" s="27" t="s">
        <v>1010</v>
      </c>
      <c r="AG96" s="8" t="s">
        <v>1010</v>
      </c>
      <c r="AH96" s="8" t="s">
        <v>1010</v>
      </c>
      <c r="AI96" s="8" t="s">
        <v>1010</v>
      </c>
      <c r="AJ96" s="27" t="s">
        <v>1010</v>
      </c>
      <c r="AK96" s="8" t="s">
        <v>1010</v>
      </c>
      <c r="AL96" s="8" t="s">
        <v>1010</v>
      </c>
      <c r="AM96" s="27"/>
      <c r="AN96" s="27"/>
      <c r="AO96" s="27"/>
    </row>
    <row r="97" spans="1:41" ht="15.75" thickBot="1" x14ac:dyDescent="0.3">
      <c r="A97" s="51" t="s">
        <v>181</v>
      </c>
      <c r="B97" s="51" t="s">
        <v>1038</v>
      </c>
      <c r="C97" s="51" t="s">
        <v>1172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3"/>
        <v>28</v>
      </c>
      <c r="I97" s="17">
        <f t="shared" si="11"/>
        <v>2</v>
      </c>
      <c r="J97" s="18">
        <f t="shared" si="12"/>
        <v>0.93333333333333335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 t="s">
        <v>1010</v>
      </c>
      <c r="AM97" s="27"/>
      <c r="AN97" s="27"/>
      <c r="AO97" s="27"/>
    </row>
    <row r="98" spans="1:41" ht="15.75" thickBot="1" x14ac:dyDescent="0.3">
      <c r="A98" s="51" t="s">
        <v>178</v>
      </c>
      <c r="B98" s="51" t="s">
        <v>179</v>
      </c>
      <c r="C98" s="51" t="s">
        <v>1172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3"/>
        <v>30</v>
      </c>
      <c r="I98" s="17">
        <f t="shared" si="11"/>
        <v>0</v>
      </c>
      <c r="J98" s="18">
        <f t="shared" si="12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.75" thickBot="1" x14ac:dyDescent="0.3">
      <c r="A99" s="51" t="s">
        <v>181</v>
      </c>
      <c r="B99" s="51" t="s">
        <v>182</v>
      </c>
      <c r="C99" s="51" t="s">
        <v>1172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3"/>
        <v>30</v>
      </c>
      <c r="I99" s="17">
        <f t="shared" si="11"/>
        <v>0</v>
      </c>
      <c r="J99" s="18">
        <f t="shared" si="12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.75" thickBot="1" x14ac:dyDescent="0.3">
      <c r="A100" s="51" t="s">
        <v>187</v>
      </c>
      <c r="B100" s="51" t="s">
        <v>1039</v>
      </c>
      <c r="C100" s="51" t="s">
        <v>1171</v>
      </c>
      <c r="D100" s="51" t="s">
        <v>188</v>
      </c>
      <c r="E100" s="51" t="s">
        <v>73</v>
      </c>
      <c r="F100" s="51" t="s">
        <v>1164</v>
      </c>
      <c r="G100" s="51" t="s">
        <v>725</v>
      </c>
      <c r="H100" s="53">
        <f t="shared" si="13"/>
        <v>28</v>
      </c>
      <c r="I100" s="17">
        <f t="shared" si="11"/>
        <v>1</v>
      </c>
      <c r="J100" s="18">
        <f t="shared" si="12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.75" thickBot="1" x14ac:dyDescent="0.3">
      <c r="A101" s="51" t="s">
        <v>187</v>
      </c>
      <c r="B101" s="51" t="s">
        <v>1040</v>
      </c>
      <c r="C101" s="51" t="s">
        <v>1171</v>
      </c>
      <c r="D101" s="51" t="s">
        <v>188</v>
      </c>
      <c r="E101" s="51" t="s">
        <v>73</v>
      </c>
      <c r="F101" s="51" t="s">
        <v>1164</v>
      </c>
      <c r="G101" s="51" t="s">
        <v>726</v>
      </c>
      <c r="H101" s="53">
        <f t="shared" si="13"/>
        <v>29</v>
      </c>
      <c r="I101" s="17">
        <f t="shared" si="11"/>
        <v>1</v>
      </c>
      <c r="J101" s="18">
        <f t="shared" si="12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.75" thickBot="1" x14ac:dyDescent="0.3">
      <c r="A102" s="51" t="s">
        <v>187</v>
      </c>
      <c r="B102" s="51" t="s">
        <v>1041</v>
      </c>
      <c r="C102" s="51" t="s">
        <v>1171</v>
      </c>
      <c r="D102" s="51" t="s">
        <v>1042</v>
      </c>
      <c r="E102" s="51" t="s">
        <v>73</v>
      </c>
      <c r="F102" s="51" t="s">
        <v>20</v>
      </c>
      <c r="G102" s="51"/>
      <c r="H102" s="53">
        <f t="shared" si="13"/>
        <v>29</v>
      </c>
      <c r="I102" s="17">
        <f t="shared" si="11"/>
        <v>1</v>
      </c>
      <c r="J102" s="18">
        <f t="shared" si="12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.75" thickBot="1" x14ac:dyDescent="0.3">
      <c r="A103" s="51" t="s">
        <v>187</v>
      </c>
      <c r="B103" s="51" t="s">
        <v>1043</v>
      </c>
      <c r="C103" s="51" t="s">
        <v>1171</v>
      </c>
      <c r="D103" s="51" t="s">
        <v>1042</v>
      </c>
      <c r="E103" s="51" t="s">
        <v>73</v>
      </c>
      <c r="F103" s="51" t="s">
        <v>20</v>
      </c>
      <c r="G103" s="51"/>
      <c r="H103" s="53">
        <f t="shared" si="13"/>
        <v>29</v>
      </c>
      <c r="I103" s="17">
        <f t="shared" si="11"/>
        <v>1</v>
      </c>
      <c r="J103" s="18">
        <f t="shared" si="12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.75" thickBot="1" x14ac:dyDescent="0.3">
      <c r="A104" s="51" t="s">
        <v>187</v>
      </c>
      <c r="B104" s="51" t="s">
        <v>185</v>
      </c>
      <c r="C104" s="51" t="s">
        <v>1171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3"/>
        <v>30</v>
      </c>
      <c r="I104" s="17">
        <f t="shared" si="11"/>
        <v>0</v>
      </c>
      <c r="J104" s="18">
        <f t="shared" si="12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149999999999999" customHeight="1" thickBot="1" x14ac:dyDescent="0.3">
      <c r="A105" s="51" t="s">
        <v>189</v>
      </c>
      <c r="B105" s="51" t="s">
        <v>1044</v>
      </c>
      <c r="C105" s="51" t="s">
        <v>1172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3"/>
        <v>30</v>
      </c>
      <c r="I105" s="17">
        <f t="shared" si="11"/>
        <v>0</v>
      </c>
      <c r="J105" s="18">
        <f t="shared" si="12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.75" thickBot="1" x14ac:dyDescent="0.3">
      <c r="A106" s="51" t="s">
        <v>189</v>
      </c>
      <c r="B106" s="51" t="s">
        <v>1045</v>
      </c>
      <c r="C106" s="51" t="s">
        <v>1172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3"/>
        <v>30</v>
      </c>
      <c r="I106" s="17">
        <f t="shared" si="11"/>
        <v>0</v>
      </c>
      <c r="J106" s="18">
        <f t="shared" si="12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.75" thickBot="1" x14ac:dyDescent="0.3">
      <c r="A107" s="51" t="s">
        <v>189</v>
      </c>
      <c r="B107" s="51" t="s">
        <v>1046</v>
      </c>
      <c r="C107" s="51" t="s">
        <v>1172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3"/>
        <v>27</v>
      </c>
      <c r="I107" s="17">
        <f t="shared" si="11"/>
        <v>3</v>
      </c>
      <c r="J107" s="18">
        <f t="shared" si="12"/>
        <v>0.9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 t="s">
        <v>1010</v>
      </c>
      <c r="AK107" s="8" t="s">
        <v>1010</v>
      </c>
      <c r="AL107" s="8" t="s">
        <v>1010</v>
      </c>
      <c r="AM107" s="27"/>
      <c r="AN107" s="27"/>
      <c r="AO107" s="27"/>
    </row>
    <row r="108" spans="1:41" ht="15.75" thickBot="1" x14ac:dyDescent="0.3">
      <c r="A108" s="51" t="s">
        <v>189</v>
      </c>
      <c r="B108" s="51" t="s">
        <v>1047</v>
      </c>
      <c r="C108" s="51" t="s">
        <v>1172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3"/>
        <v>30</v>
      </c>
      <c r="I108" s="17">
        <f t="shared" si="11"/>
        <v>0</v>
      </c>
      <c r="J108" s="18">
        <f t="shared" si="12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.75" thickBot="1" x14ac:dyDescent="0.3">
      <c r="A109" s="51" t="s">
        <v>194</v>
      </c>
      <c r="B109" s="51" t="s">
        <v>196</v>
      </c>
      <c r="C109" s="51" t="s">
        <v>1172</v>
      </c>
      <c r="D109" s="51" t="s">
        <v>1048</v>
      </c>
      <c r="E109" s="51" t="s">
        <v>46</v>
      </c>
      <c r="F109" s="51" t="s">
        <v>20</v>
      </c>
      <c r="G109" s="51" t="s">
        <v>738</v>
      </c>
      <c r="H109" s="53">
        <f t="shared" si="13"/>
        <v>30</v>
      </c>
      <c r="I109" s="17">
        <f t="shared" si="11"/>
        <v>0</v>
      </c>
      <c r="J109" s="18">
        <f t="shared" si="12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.75" thickBot="1" x14ac:dyDescent="0.3">
      <c r="A110" s="51" t="s">
        <v>194</v>
      </c>
      <c r="B110" s="51" t="s">
        <v>197</v>
      </c>
      <c r="C110" s="51" t="s">
        <v>1172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3"/>
        <v>30</v>
      </c>
      <c r="I110" s="17">
        <f t="shared" si="11"/>
        <v>0</v>
      </c>
      <c r="J110" s="18">
        <f t="shared" si="12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.75" thickBot="1" x14ac:dyDescent="0.3">
      <c r="A111" s="51" t="s">
        <v>199</v>
      </c>
      <c r="B111" s="51" t="s">
        <v>200</v>
      </c>
      <c r="C111" s="51" t="s">
        <v>1172</v>
      </c>
      <c r="D111" s="51" t="s">
        <v>201</v>
      </c>
      <c r="E111" s="51" t="s">
        <v>19</v>
      </c>
      <c r="F111" s="51" t="s">
        <v>1164</v>
      </c>
      <c r="G111" s="51" t="s">
        <v>732</v>
      </c>
      <c r="H111" s="53">
        <f t="shared" si="13"/>
        <v>30</v>
      </c>
      <c r="I111" s="17">
        <f t="shared" si="11"/>
        <v>0</v>
      </c>
      <c r="J111" s="18">
        <f t="shared" si="12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.75" thickBot="1" x14ac:dyDescent="0.3">
      <c r="A112" s="51" t="s">
        <v>202</v>
      </c>
      <c r="B112" s="51" t="s">
        <v>203</v>
      </c>
      <c r="C112" s="51" t="s">
        <v>1172</v>
      </c>
      <c r="D112" s="51" t="s">
        <v>204</v>
      </c>
      <c r="E112" s="51" t="s">
        <v>15</v>
      </c>
      <c r="F112" s="51" t="s">
        <v>1164</v>
      </c>
      <c r="G112" s="51" t="s">
        <v>733</v>
      </c>
      <c r="H112" s="53">
        <f t="shared" si="13"/>
        <v>30</v>
      </c>
      <c r="I112" s="17">
        <f t="shared" si="11"/>
        <v>0</v>
      </c>
      <c r="J112" s="18">
        <f t="shared" si="12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.75" thickBot="1" x14ac:dyDescent="0.3">
      <c r="A113" s="51" t="s">
        <v>194</v>
      </c>
      <c r="B113" s="51" t="s">
        <v>205</v>
      </c>
      <c r="C113" s="51" t="s">
        <v>1172</v>
      </c>
      <c r="D113" s="51" t="s">
        <v>206</v>
      </c>
      <c r="E113" s="51" t="s">
        <v>19</v>
      </c>
      <c r="F113" s="51" t="s">
        <v>1163</v>
      </c>
      <c r="G113" s="51" t="s">
        <v>734</v>
      </c>
      <c r="H113" s="53">
        <f t="shared" si="13"/>
        <v>25</v>
      </c>
      <c r="I113" s="17">
        <f t="shared" si="11"/>
        <v>5</v>
      </c>
      <c r="J113" s="18">
        <f t="shared" si="12"/>
        <v>0.83333333333333337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 t="s">
        <v>1010</v>
      </c>
      <c r="Z113" s="27"/>
      <c r="AA113" s="27"/>
      <c r="AB113" s="27"/>
      <c r="AC113" s="27"/>
      <c r="AD113" s="27"/>
      <c r="AE113" s="27"/>
      <c r="AF113" s="27"/>
      <c r="AG113" s="8"/>
      <c r="AH113" s="8"/>
      <c r="AI113" s="8" t="s">
        <v>1010</v>
      </c>
      <c r="AJ113" s="27" t="s">
        <v>1010</v>
      </c>
      <c r="AK113" s="8" t="s">
        <v>1010</v>
      </c>
      <c r="AL113" s="8" t="s">
        <v>1010</v>
      </c>
      <c r="AM113" s="27"/>
      <c r="AN113" s="27"/>
      <c r="AO113" s="27"/>
    </row>
    <row r="114" spans="1:41" ht="15.75" thickBot="1" x14ac:dyDescent="0.3">
      <c r="A114" s="51" t="s">
        <v>194</v>
      </c>
      <c r="B114" s="51" t="s">
        <v>207</v>
      </c>
      <c r="C114" s="51" t="s">
        <v>1172</v>
      </c>
      <c r="D114" s="51" t="s">
        <v>208</v>
      </c>
      <c r="E114" s="51" t="s">
        <v>19</v>
      </c>
      <c r="F114" s="51" t="s">
        <v>1163</v>
      </c>
      <c r="G114" s="51" t="s">
        <v>735</v>
      </c>
      <c r="H114" s="53">
        <f t="shared" si="13"/>
        <v>30</v>
      </c>
      <c r="I114" s="17">
        <f t="shared" si="11"/>
        <v>0</v>
      </c>
      <c r="J114" s="18">
        <f t="shared" si="12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.75" thickBot="1" x14ac:dyDescent="0.3">
      <c r="A115" s="51" t="s">
        <v>194</v>
      </c>
      <c r="B115" s="51" t="s">
        <v>209</v>
      </c>
      <c r="C115" s="51" t="s">
        <v>1172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3"/>
        <v>30</v>
      </c>
      <c r="I115" s="17">
        <f t="shared" si="11"/>
        <v>0</v>
      </c>
      <c r="J115" s="18">
        <f t="shared" si="12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.75" thickBot="1" x14ac:dyDescent="0.3">
      <c r="A116" s="51" t="s">
        <v>194</v>
      </c>
      <c r="B116" s="51" t="s">
        <v>1049</v>
      </c>
      <c r="C116" s="51" t="s">
        <v>1172</v>
      </c>
      <c r="D116" s="51" t="s">
        <v>195</v>
      </c>
      <c r="E116" s="51" t="s">
        <v>15</v>
      </c>
      <c r="F116" s="51" t="s">
        <v>1164</v>
      </c>
      <c r="G116" s="51" t="s">
        <v>737</v>
      </c>
      <c r="H116" s="53">
        <f t="shared" si="13"/>
        <v>30</v>
      </c>
      <c r="I116" s="17">
        <f t="shared" si="11"/>
        <v>0</v>
      </c>
      <c r="J116" s="18">
        <f t="shared" si="12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.75" thickBot="1" x14ac:dyDescent="0.3">
      <c r="A117" s="51" t="s">
        <v>194</v>
      </c>
      <c r="B117" s="51" t="s">
        <v>211</v>
      </c>
      <c r="C117" s="51" t="s">
        <v>1172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3"/>
        <v>30</v>
      </c>
      <c r="I117" s="17">
        <f t="shared" si="11"/>
        <v>0</v>
      </c>
      <c r="J117" s="18">
        <f t="shared" si="12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.75" thickBot="1" x14ac:dyDescent="0.3">
      <c r="A118" s="51" t="s">
        <v>194</v>
      </c>
      <c r="B118" s="51" t="s">
        <v>213</v>
      </c>
      <c r="C118" s="51" t="s">
        <v>1172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3"/>
        <v>30</v>
      </c>
      <c r="I118" s="17">
        <f t="shared" si="11"/>
        <v>0</v>
      </c>
      <c r="J118" s="18">
        <f t="shared" si="12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.75" thickBot="1" x14ac:dyDescent="0.3">
      <c r="A119" s="51" t="s">
        <v>194</v>
      </c>
      <c r="B119" s="51" t="s">
        <v>214</v>
      </c>
      <c r="C119" s="51" t="s">
        <v>1172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3"/>
        <v>30</v>
      </c>
      <c r="I119" s="17">
        <f t="shared" si="11"/>
        <v>0</v>
      </c>
      <c r="J119" s="18">
        <f t="shared" si="12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.75" thickBot="1" x14ac:dyDescent="0.3">
      <c r="A120" s="51" t="s">
        <v>194</v>
      </c>
      <c r="B120" s="51" t="s">
        <v>216</v>
      </c>
      <c r="C120" s="51" t="s">
        <v>1172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3"/>
        <v>30</v>
      </c>
      <c r="I120" s="17">
        <f t="shared" si="11"/>
        <v>0</v>
      </c>
      <c r="J120" s="18">
        <f t="shared" si="12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.75" thickBot="1" x14ac:dyDescent="0.3">
      <c r="A121" s="51" t="s">
        <v>217</v>
      </c>
      <c r="B121" s="51" t="s">
        <v>1050</v>
      </c>
      <c r="C121" s="51" t="s">
        <v>1172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3"/>
        <v>30</v>
      </c>
      <c r="I121" s="17">
        <f t="shared" si="11"/>
        <v>0</v>
      </c>
      <c r="J121" s="18">
        <f t="shared" si="12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.75" thickBot="1" x14ac:dyDescent="0.3">
      <c r="A122" s="51" t="s">
        <v>217</v>
      </c>
      <c r="B122" s="51" t="s">
        <v>1051</v>
      </c>
      <c r="C122" s="51" t="s">
        <v>1172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3"/>
        <v>30</v>
      </c>
      <c r="I122" s="17">
        <f t="shared" si="11"/>
        <v>0</v>
      </c>
      <c r="J122" s="18">
        <f t="shared" si="12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.75" thickBot="1" x14ac:dyDescent="0.3">
      <c r="A123" s="51" t="s">
        <v>220</v>
      </c>
      <c r="B123" s="51" t="s">
        <v>1052</v>
      </c>
      <c r="C123" s="51" t="s">
        <v>1172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3"/>
        <v>30</v>
      </c>
      <c r="I123" s="17">
        <f t="shared" si="11"/>
        <v>0</v>
      </c>
      <c r="J123" s="18">
        <f t="shared" si="12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.75" thickBot="1" x14ac:dyDescent="0.3">
      <c r="A124" s="51" t="s">
        <v>222</v>
      </c>
      <c r="B124" s="51" t="s">
        <v>223</v>
      </c>
      <c r="C124" s="51" t="s">
        <v>1171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3"/>
        <v>30</v>
      </c>
      <c r="I124" s="17">
        <f t="shared" si="11"/>
        <v>0</v>
      </c>
      <c r="J124" s="18">
        <f t="shared" si="12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.75" thickBot="1" x14ac:dyDescent="0.3">
      <c r="A125" s="51" t="s">
        <v>222</v>
      </c>
      <c r="B125" s="51" t="s">
        <v>227</v>
      </c>
      <c r="C125" s="51" t="s">
        <v>1171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3"/>
        <v>30</v>
      </c>
      <c r="I125" s="17">
        <f t="shared" si="11"/>
        <v>0</v>
      </c>
      <c r="J125" s="18">
        <f t="shared" si="12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.75" thickBot="1" x14ac:dyDescent="0.3">
      <c r="A126" s="51" t="s">
        <v>222</v>
      </c>
      <c r="B126" s="51" t="s">
        <v>229</v>
      </c>
      <c r="C126" s="51" t="s">
        <v>1171</v>
      </c>
      <c r="D126" s="51" t="s">
        <v>230</v>
      </c>
      <c r="E126" s="51" t="s">
        <v>73</v>
      </c>
      <c r="F126" s="51" t="s">
        <v>1164</v>
      </c>
      <c r="G126" s="51" t="s">
        <v>755</v>
      </c>
      <c r="H126" s="53">
        <f t="shared" si="13"/>
        <v>29</v>
      </c>
      <c r="I126" s="17">
        <f t="shared" si="11"/>
        <v>1</v>
      </c>
      <c r="J126" s="18">
        <f t="shared" si="12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.75" thickBot="1" x14ac:dyDescent="0.3">
      <c r="A127" s="51" t="s">
        <v>222</v>
      </c>
      <c r="B127" s="51" t="s">
        <v>231</v>
      </c>
      <c r="C127" s="51" t="s">
        <v>1171</v>
      </c>
      <c r="D127" s="51" t="s">
        <v>230</v>
      </c>
      <c r="E127" s="51" t="s">
        <v>73</v>
      </c>
      <c r="F127" s="51" t="s">
        <v>1164</v>
      </c>
      <c r="G127" s="51" t="s">
        <v>756</v>
      </c>
      <c r="H127" s="53">
        <f t="shared" si="13"/>
        <v>29</v>
      </c>
      <c r="I127" s="17">
        <f t="shared" si="11"/>
        <v>1</v>
      </c>
      <c r="J127" s="18">
        <f t="shared" si="12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.75" thickBot="1" x14ac:dyDescent="0.3">
      <c r="A128" s="51" t="s">
        <v>222</v>
      </c>
      <c r="B128" s="51" t="s">
        <v>1053</v>
      </c>
      <c r="C128" s="51" t="s">
        <v>1171</v>
      </c>
      <c r="D128" s="51" t="s">
        <v>247</v>
      </c>
      <c r="E128" s="51" t="s">
        <v>73</v>
      </c>
      <c r="F128" s="51" t="s">
        <v>1164</v>
      </c>
      <c r="G128" s="51" t="s">
        <v>757</v>
      </c>
      <c r="H128" s="53">
        <f t="shared" si="13"/>
        <v>23</v>
      </c>
      <c r="I128" s="17">
        <f t="shared" si="11"/>
        <v>7</v>
      </c>
      <c r="J128" s="18">
        <f t="shared" si="12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.75" thickBot="1" x14ac:dyDescent="0.3">
      <c r="A129" s="51" t="s">
        <v>222</v>
      </c>
      <c r="B129" s="51" t="s">
        <v>1054</v>
      </c>
      <c r="C129" s="51" t="s">
        <v>1171</v>
      </c>
      <c r="D129" s="51" t="s">
        <v>247</v>
      </c>
      <c r="E129" s="51" t="s">
        <v>73</v>
      </c>
      <c r="F129" s="51" t="s">
        <v>1164</v>
      </c>
      <c r="G129" s="51" t="s">
        <v>758</v>
      </c>
      <c r="H129" s="53">
        <f t="shared" si="13"/>
        <v>24</v>
      </c>
      <c r="I129" s="17">
        <f t="shared" si="11"/>
        <v>6</v>
      </c>
      <c r="J129" s="18">
        <f t="shared" si="12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.75" thickBot="1" x14ac:dyDescent="0.3">
      <c r="A130" s="51" t="s">
        <v>222</v>
      </c>
      <c r="B130" s="51" t="s">
        <v>1055</v>
      </c>
      <c r="C130" s="51" t="s">
        <v>1171</v>
      </c>
      <c r="D130" s="51" t="s">
        <v>248</v>
      </c>
      <c r="E130" s="51" t="s">
        <v>73</v>
      </c>
      <c r="F130" s="51" t="s">
        <v>1164</v>
      </c>
      <c r="G130" s="51" t="s">
        <v>759</v>
      </c>
      <c r="H130" s="53">
        <f t="shared" si="13"/>
        <v>29</v>
      </c>
      <c r="I130" s="17">
        <f t="shared" si="11"/>
        <v>1</v>
      </c>
      <c r="J130" s="18">
        <f t="shared" si="12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.75" thickBot="1" x14ac:dyDescent="0.3">
      <c r="A131" s="51" t="s">
        <v>222</v>
      </c>
      <c r="B131" s="51" t="s">
        <v>1056</v>
      </c>
      <c r="C131" s="51" t="s">
        <v>1171</v>
      </c>
      <c r="D131" s="51" t="s">
        <v>248</v>
      </c>
      <c r="E131" s="51" t="s">
        <v>73</v>
      </c>
      <c r="F131" s="51" t="s">
        <v>1164</v>
      </c>
      <c r="G131" s="51" t="s">
        <v>760</v>
      </c>
      <c r="H131" s="53">
        <f t="shared" si="13"/>
        <v>29</v>
      </c>
      <c r="I131" s="17">
        <f t="shared" si="11"/>
        <v>1</v>
      </c>
      <c r="J131" s="18">
        <f t="shared" si="12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.75" thickBot="1" x14ac:dyDescent="0.3">
      <c r="A132" s="51" t="s">
        <v>232</v>
      </c>
      <c r="B132" s="51" t="s">
        <v>233</v>
      </c>
      <c r="C132" s="51" t="s">
        <v>1171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3"/>
        <v>30</v>
      </c>
      <c r="I132" s="17">
        <f t="shared" si="11"/>
        <v>0</v>
      </c>
      <c r="J132" s="18">
        <f t="shared" si="12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.75" thickBot="1" x14ac:dyDescent="0.3">
      <c r="A133" s="51" t="s">
        <v>171</v>
      </c>
      <c r="B133" s="51" t="s">
        <v>235</v>
      </c>
      <c r="C133" s="51" t="s">
        <v>1171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3"/>
        <v>30</v>
      </c>
      <c r="I133" s="17">
        <f t="shared" ref="I133:I196" si="14">COUNTIF(K133:AL133,"APAGADO")</f>
        <v>0</v>
      </c>
      <c r="J133" s="18">
        <f t="shared" ref="J133:J196" si="15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.75" thickBot="1" x14ac:dyDescent="0.3">
      <c r="A134" s="51" t="s">
        <v>222</v>
      </c>
      <c r="B134" s="51" t="s">
        <v>237</v>
      </c>
      <c r="C134" s="51" t="s">
        <v>1171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6">COUNTIF(K134:AN134,"")</f>
        <v>2</v>
      </c>
      <c r="I134" s="17">
        <f t="shared" si="14"/>
        <v>28</v>
      </c>
      <c r="J134" s="18">
        <f t="shared" si="15"/>
        <v>6.6666666666666666E-2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 t="s">
        <v>1010</v>
      </c>
      <c r="W134" s="27" t="s">
        <v>1010</v>
      </c>
      <c r="X134" s="27" t="s">
        <v>1010</v>
      </c>
      <c r="Y134" s="27" t="s">
        <v>1010</v>
      </c>
      <c r="Z134" s="27" t="s">
        <v>1010</v>
      </c>
      <c r="AA134" s="27" t="s">
        <v>1010</v>
      </c>
      <c r="AB134" s="27" t="s">
        <v>1010</v>
      </c>
      <c r="AC134" s="27" t="s">
        <v>1010</v>
      </c>
      <c r="AD134" s="27" t="s">
        <v>1010</v>
      </c>
      <c r="AE134" s="27" t="s">
        <v>1010</v>
      </c>
      <c r="AF134" s="27" t="s">
        <v>1010</v>
      </c>
      <c r="AG134" s="8" t="s">
        <v>1010</v>
      </c>
      <c r="AH134" s="8" t="s">
        <v>1010</v>
      </c>
      <c r="AI134" s="8" t="s">
        <v>1010</v>
      </c>
      <c r="AJ134" s="27" t="s">
        <v>1010</v>
      </c>
      <c r="AK134" s="8" t="s">
        <v>1010</v>
      </c>
      <c r="AL134" s="8" t="s">
        <v>1010</v>
      </c>
      <c r="AM134" s="27"/>
      <c r="AN134" s="27"/>
      <c r="AO134" s="27"/>
    </row>
    <row r="135" spans="1:41" ht="15.75" thickBot="1" x14ac:dyDescent="0.3">
      <c r="A135" s="51" t="s">
        <v>222</v>
      </c>
      <c r="B135" s="51" t="s">
        <v>239</v>
      </c>
      <c r="C135" s="51" t="s">
        <v>1171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6"/>
        <v>29</v>
      </c>
      <c r="I135" s="17">
        <f t="shared" si="14"/>
        <v>1</v>
      </c>
      <c r="J135" s="18">
        <f t="shared" si="15"/>
        <v>0.96666666666666667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 t="s">
        <v>1010</v>
      </c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.75" thickBot="1" x14ac:dyDescent="0.3">
      <c r="A136" s="51" t="s">
        <v>222</v>
      </c>
      <c r="B136" s="51" t="s">
        <v>241</v>
      </c>
      <c r="C136" s="51" t="s">
        <v>1171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6"/>
        <v>30</v>
      </c>
      <c r="I136" s="17">
        <f t="shared" si="14"/>
        <v>0</v>
      </c>
      <c r="J136" s="18">
        <f t="shared" si="15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.75" thickBot="1" x14ac:dyDescent="0.3">
      <c r="A137" s="51" t="s">
        <v>222</v>
      </c>
      <c r="B137" s="51" t="s">
        <v>243</v>
      </c>
      <c r="C137" s="51" t="s">
        <v>1171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6"/>
        <v>27</v>
      </c>
      <c r="I137" s="17">
        <f t="shared" si="14"/>
        <v>3</v>
      </c>
      <c r="J137" s="18">
        <f t="shared" si="15"/>
        <v>0.9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 t="s">
        <v>1010</v>
      </c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 t="s">
        <v>1010</v>
      </c>
      <c r="AL137" s="8" t="s">
        <v>1010</v>
      </c>
      <c r="AM137" s="27"/>
      <c r="AN137" s="27"/>
      <c r="AO137" s="27"/>
    </row>
    <row r="138" spans="1:41" ht="15.75" thickBot="1" x14ac:dyDescent="0.3">
      <c r="A138" s="51" t="s">
        <v>222</v>
      </c>
      <c r="B138" s="51" t="s">
        <v>1057</v>
      </c>
      <c r="C138" s="51" t="s">
        <v>1171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6"/>
        <v>30</v>
      </c>
      <c r="I138" s="17">
        <f t="shared" si="14"/>
        <v>0</v>
      </c>
      <c r="J138" s="18">
        <f t="shared" si="15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.75" thickBot="1" x14ac:dyDescent="0.3">
      <c r="A139" s="51" t="s">
        <v>222</v>
      </c>
      <c r="B139" s="51" t="s">
        <v>1058</v>
      </c>
      <c r="C139" s="51" t="s">
        <v>1171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6"/>
        <v>30</v>
      </c>
      <c r="I139" s="17">
        <f t="shared" si="14"/>
        <v>0</v>
      </c>
      <c r="J139" s="18">
        <f t="shared" si="15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.75" thickBot="1" x14ac:dyDescent="0.3">
      <c r="A140" s="51" t="s">
        <v>222</v>
      </c>
      <c r="B140" s="51" t="s">
        <v>245</v>
      </c>
      <c r="C140" s="51" t="s">
        <v>1171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6"/>
        <v>30</v>
      </c>
      <c r="I140" s="17">
        <f t="shared" si="14"/>
        <v>0</v>
      </c>
      <c r="J140" s="18">
        <f t="shared" si="15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.75" thickBot="1" x14ac:dyDescent="0.3">
      <c r="A141" s="51" t="s">
        <v>101</v>
      </c>
      <c r="B141" s="51" t="s">
        <v>249</v>
      </c>
      <c r="C141" s="51" t="s">
        <v>1171</v>
      </c>
      <c r="D141" s="51" t="s">
        <v>250</v>
      </c>
      <c r="E141" s="51" t="s">
        <v>15</v>
      </c>
      <c r="F141" s="51" t="s">
        <v>1164</v>
      </c>
      <c r="G141" s="51" t="s">
        <v>761</v>
      </c>
      <c r="H141" s="53">
        <f t="shared" si="16"/>
        <v>30</v>
      </c>
      <c r="I141" s="17">
        <f t="shared" si="14"/>
        <v>0</v>
      </c>
      <c r="J141" s="18">
        <f t="shared" si="15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.75" thickBot="1" x14ac:dyDescent="0.3">
      <c r="A142" s="51" t="s">
        <v>101</v>
      </c>
      <c r="B142" s="51" t="s">
        <v>251</v>
      </c>
      <c r="C142" s="51" t="s">
        <v>1171</v>
      </c>
      <c r="D142" s="51" t="s">
        <v>252</v>
      </c>
      <c r="E142" s="51" t="s">
        <v>15</v>
      </c>
      <c r="F142" s="51" t="s">
        <v>1164</v>
      </c>
      <c r="G142" s="51" t="s">
        <v>762</v>
      </c>
      <c r="H142" s="53">
        <f t="shared" si="16"/>
        <v>30</v>
      </c>
      <c r="I142" s="17">
        <f t="shared" si="14"/>
        <v>0</v>
      </c>
      <c r="J142" s="18">
        <f t="shared" si="15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.75" thickBot="1" x14ac:dyDescent="0.3">
      <c r="A143" s="51" t="s">
        <v>101</v>
      </c>
      <c r="B143" s="51" t="s">
        <v>253</v>
      </c>
      <c r="C143" s="51" t="s">
        <v>1171</v>
      </c>
      <c r="D143" s="51" t="s">
        <v>254</v>
      </c>
      <c r="E143" s="51" t="s">
        <v>15</v>
      </c>
      <c r="F143" s="51" t="s">
        <v>1164</v>
      </c>
      <c r="G143" s="51" t="s">
        <v>763</v>
      </c>
      <c r="H143" s="53">
        <f t="shared" si="16"/>
        <v>30</v>
      </c>
      <c r="I143" s="17">
        <f t="shared" si="14"/>
        <v>0</v>
      </c>
      <c r="J143" s="18">
        <f t="shared" si="15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.75" thickBot="1" x14ac:dyDescent="0.3">
      <c r="A144" s="51" t="s">
        <v>171</v>
      </c>
      <c r="B144" s="51" t="s">
        <v>1059</v>
      </c>
      <c r="C144" s="51" t="s">
        <v>1171</v>
      </c>
      <c r="D144" s="51" t="s">
        <v>1199</v>
      </c>
      <c r="E144" s="51" t="s">
        <v>19</v>
      </c>
      <c r="F144" s="51" t="s">
        <v>20</v>
      </c>
      <c r="G144" s="51" t="s">
        <v>764</v>
      </c>
      <c r="H144" s="53">
        <f t="shared" si="16"/>
        <v>30</v>
      </c>
      <c r="I144" s="17">
        <f t="shared" si="14"/>
        <v>0</v>
      </c>
      <c r="J144" s="18">
        <f t="shared" si="15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.75" thickBot="1" x14ac:dyDescent="0.3">
      <c r="A145" s="51" t="s">
        <v>171</v>
      </c>
      <c r="B145" s="51" t="s">
        <v>255</v>
      </c>
      <c r="C145" s="51" t="s">
        <v>1171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6"/>
        <v>30</v>
      </c>
      <c r="I145" s="17">
        <f t="shared" si="14"/>
        <v>0</v>
      </c>
      <c r="J145" s="18">
        <f t="shared" si="15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.75" thickBot="1" x14ac:dyDescent="0.3">
      <c r="A146" s="51" t="s">
        <v>257</v>
      </c>
      <c r="B146" s="51" t="s">
        <v>258</v>
      </c>
      <c r="C146" s="51" t="s">
        <v>1171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6"/>
        <v>30</v>
      </c>
      <c r="I146" s="17">
        <f t="shared" si="14"/>
        <v>0</v>
      </c>
      <c r="J146" s="18">
        <f t="shared" si="15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.75" thickBot="1" x14ac:dyDescent="0.3">
      <c r="A147" s="51" t="s">
        <v>257</v>
      </c>
      <c r="B147" s="51" t="s">
        <v>260</v>
      </c>
      <c r="C147" s="51" t="s">
        <v>1171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6"/>
        <v>30</v>
      </c>
      <c r="I147" s="17">
        <f t="shared" si="14"/>
        <v>0</v>
      </c>
      <c r="J147" s="18">
        <f t="shared" si="15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.75" thickBot="1" x14ac:dyDescent="0.3">
      <c r="A148" s="51" t="s">
        <v>261</v>
      </c>
      <c r="B148" s="51" t="s">
        <v>1060</v>
      </c>
      <c r="C148" s="51" t="s">
        <v>1172</v>
      </c>
      <c r="D148" s="51" t="s">
        <v>262</v>
      </c>
      <c r="E148" s="51" t="s">
        <v>15</v>
      </c>
      <c r="F148" s="51" t="s">
        <v>1163</v>
      </c>
      <c r="G148" s="51" t="s">
        <v>767</v>
      </c>
      <c r="H148" s="53">
        <f t="shared" si="16"/>
        <v>30</v>
      </c>
      <c r="I148" s="17">
        <f t="shared" si="14"/>
        <v>0</v>
      </c>
      <c r="J148" s="18">
        <f t="shared" si="15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.75" thickBot="1" x14ac:dyDescent="0.3">
      <c r="A149" s="51" t="s">
        <v>261</v>
      </c>
      <c r="B149" s="51" t="s">
        <v>263</v>
      </c>
      <c r="C149" s="51" t="s">
        <v>1172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6"/>
        <v>30</v>
      </c>
      <c r="I149" s="17">
        <f t="shared" si="14"/>
        <v>0</v>
      </c>
      <c r="J149" s="18">
        <f t="shared" si="15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.75" thickBot="1" x14ac:dyDescent="0.3">
      <c r="A150" s="51" t="s">
        <v>261</v>
      </c>
      <c r="B150" s="51" t="s">
        <v>265</v>
      </c>
      <c r="C150" s="51" t="s">
        <v>1172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6"/>
        <v>30</v>
      </c>
      <c r="I150" s="17">
        <f t="shared" si="14"/>
        <v>0</v>
      </c>
      <c r="J150" s="18">
        <f t="shared" si="15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.75" thickBot="1" x14ac:dyDescent="0.3">
      <c r="A151" s="51" t="s">
        <v>271</v>
      </c>
      <c r="B151" s="51" t="s">
        <v>1061</v>
      </c>
      <c r="C151" s="51" t="s">
        <v>1171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6"/>
        <v>30</v>
      </c>
      <c r="I151" s="17">
        <f t="shared" si="14"/>
        <v>0</v>
      </c>
      <c r="J151" s="18">
        <f t="shared" si="15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.75" thickBot="1" x14ac:dyDescent="0.3">
      <c r="A152" s="51" t="s">
        <v>271</v>
      </c>
      <c r="B152" s="51" t="s">
        <v>1062</v>
      </c>
      <c r="C152" s="51" t="s">
        <v>1171</v>
      </c>
      <c r="D152" s="51" t="s">
        <v>1200</v>
      </c>
      <c r="E152" s="51" t="s">
        <v>19</v>
      </c>
      <c r="F152" s="51" t="s">
        <v>28</v>
      </c>
      <c r="G152" s="51" t="s">
        <v>778</v>
      </c>
      <c r="H152" s="53">
        <f t="shared" si="16"/>
        <v>30</v>
      </c>
      <c r="I152" s="17">
        <f t="shared" si="14"/>
        <v>0</v>
      </c>
      <c r="J152" s="18">
        <f t="shared" si="15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.75" thickBot="1" x14ac:dyDescent="0.3">
      <c r="A153" s="51" t="s">
        <v>271</v>
      </c>
      <c r="B153" s="51" t="s">
        <v>1063</v>
      </c>
      <c r="C153" s="51" t="s">
        <v>1171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6"/>
        <v>30</v>
      </c>
      <c r="I153" s="17">
        <f t="shared" si="14"/>
        <v>0</v>
      </c>
      <c r="J153" s="18">
        <f t="shared" si="15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.75" thickBot="1" x14ac:dyDescent="0.3">
      <c r="A154" s="51" t="s">
        <v>271</v>
      </c>
      <c r="B154" s="51" t="s">
        <v>1064</v>
      </c>
      <c r="C154" s="51" t="s">
        <v>1171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6"/>
        <v>30</v>
      </c>
      <c r="I154" s="17">
        <f t="shared" si="14"/>
        <v>0</v>
      </c>
      <c r="J154" s="18">
        <f t="shared" si="15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.75" thickBot="1" x14ac:dyDescent="0.3">
      <c r="A155" s="51" t="s">
        <v>271</v>
      </c>
      <c r="B155" s="51" t="s">
        <v>1065</v>
      </c>
      <c r="C155" s="51" t="s">
        <v>1171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6"/>
        <v>30</v>
      </c>
      <c r="I155" s="17">
        <f t="shared" si="14"/>
        <v>0</v>
      </c>
      <c r="J155" s="18">
        <f t="shared" si="15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.75" thickBot="1" x14ac:dyDescent="0.3">
      <c r="A156" s="51" t="s">
        <v>271</v>
      </c>
      <c r="B156" s="51" t="s">
        <v>1066</v>
      </c>
      <c r="C156" s="51" t="s">
        <v>1171</v>
      </c>
      <c r="D156" s="51" t="s">
        <v>267</v>
      </c>
      <c r="E156" s="51" t="s">
        <v>46</v>
      </c>
      <c r="F156" s="51" t="s">
        <v>1163</v>
      </c>
      <c r="G156" s="51" t="s">
        <v>770</v>
      </c>
      <c r="H156" s="53">
        <f t="shared" si="16"/>
        <v>2</v>
      </c>
      <c r="I156" s="17">
        <f t="shared" si="14"/>
        <v>28</v>
      </c>
      <c r="J156" s="18">
        <f t="shared" si="15"/>
        <v>6.6666666666666666E-2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 t="s">
        <v>1010</v>
      </c>
      <c r="W156" s="27" t="s">
        <v>1010</v>
      </c>
      <c r="X156" s="27" t="s">
        <v>1010</v>
      </c>
      <c r="Y156" s="27" t="s">
        <v>1010</v>
      </c>
      <c r="Z156" s="27" t="s">
        <v>1010</v>
      </c>
      <c r="AA156" s="27" t="s">
        <v>1010</v>
      </c>
      <c r="AB156" s="27" t="s">
        <v>1010</v>
      </c>
      <c r="AC156" s="27" t="s">
        <v>1010</v>
      </c>
      <c r="AD156" s="27" t="s">
        <v>1010</v>
      </c>
      <c r="AE156" s="27" t="s">
        <v>1010</v>
      </c>
      <c r="AF156" s="27" t="s">
        <v>1010</v>
      </c>
      <c r="AG156" s="8" t="s">
        <v>1010</v>
      </c>
      <c r="AH156" s="8" t="s">
        <v>1010</v>
      </c>
      <c r="AI156" s="8" t="s">
        <v>1010</v>
      </c>
      <c r="AJ156" s="27" t="s">
        <v>1010</v>
      </c>
      <c r="AK156" s="8" t="s">
        <v>1010</v>
      </c>
      <c r="AL156" s="8" t="s">
        <v>1010</v>
      </c>
      <c r="AM156" s="27"/>
      <c r="AN156" s="27"/>
      <c r="AO156" s="27"/>
    </row>
    <row r="157" spans="1:41" ht="15.75" thickBot="1" x14ac:dyDescent="0.3">
      <c r="A157" s="51" t="s">
        <v>268</v>
      </c>
      <c r="B157" s="51" t="s">
        <v>269</v>
      </c>
      <c r="C157" s="51" t="s">
        <v>1171</v>
      </c>
      <c r="D157" s="51" t="s">
        <v>270</v>
      </c>
      <c r="E157" s="51" t="s">
        <v>19</v>
      </c>
      <c r="F157" s="51" t="s">
        <v>1163</v>
      </c>
      <c r="G157" s="51" t="s">
        <v>771</v>
      </c>
      <c r="H157" s="53">
        <f t="shared" si="16"/>
        <v>11</v>
      </c>
      <c r="I157" s="17">
        <f t="shared" si="14"/>
        <v>19</v>
      </c>
      <c r="J157" s="18">
        <f t="shared" si="15"/>
        <v>0.36666666666666664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 t="s">
        <v>1010</v>
      </c>
      <c r="W157" s="27"/>
      <c r="X157" s="27"/>
      <c r="Y157" s="27"/>
      <c r="Z157" s="27"/>
      <c r="AA157" s="27"/>
      <c r="AB157" s="27"/>
      <c r="AC157" s="27"/>
      <c r="AD157" s="27"/>
      <c r="AE157" s="27"/>
      <c r="AF157" s="27" t="s">
        <v>1010</v>
      </c>
      <c r="AG157" s="8" t="s">
        <v>1010</v>
      </c>
      <c r="AH157" s="8" t="s">
        <v>1010</v>
      </c>
      <c r="AI157" s="8" t="s">
        <v>1010</v>
      </c>
      <c r="AJ157" s="27" t="s">
        <v>1010</v>
      </c>
      <c r="AK157" s="8" t="s">
        <v>1010</v>
      </c>
      <c r="AL157" s="8" t="s">
        <v>1010</v>
      </c>
      <c r="AM157" s="27"/>
      <c r="AN157" s="27"/>
      <c r="AO157" s="27"/>
    </row>
    <row r="158" spans="1:41" ht="15.75" thickBot="1" x14ac:dyDescent="0.3">
      <c r="A158" s="51" t="s">
        <v>271</v>
      </c>
      <c r="B158" s="51" t="s">
        <v>272</v>
      </c>
      <c r="C158" s="51" t="s">
        <v>1171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6"/>
        <v>3</v>
      </c>
      <c r="I158" s="17">
        <f t="shared" si="14"/>
        <v>27</v>
      </c>
      <c r="J158" s="18">
        <f t="shared" si="15"/>
        <v>0.1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 t="s">
        <v>1010</v>
      </c>
      <c r="W158" s="27" t="s">
        <v>1010</v>
      </c>
      <c r="X158" s="27" t="s">
        <v>1010</v>
      </c>
      <c r="Y158" s="27" t="s">
        <v>1010</v>
      </c>
      <c r="Z158" s="27" t="s">
        <v>1010</v>
      </c>
      <c r="AA158" s="27"/>
      <c r="AB158" s="27" t="s">
        <v>1010</v>
      </c>
      <c r="AC158" s="27" t="s">
        <v>1010</v>
      </c>
      <c r="AD158" s="27" t="s">
        <v>1010</v>
      </c>
      <c r="AE158" s="27" t="s">
        <v>1010</v>
      </c>
      <c r="AF158" s="27" t="s">
        <v>1010</v>
      </c>
      <c r="AG158" s="8" t="s">
        <v>1010</v>
      </c>
      <c r="AH158" s="8" t="s">
        <v>1010</v>
      </c>
      <c r="AI158" s="8" t="s">
        <v>1010</v>
      </c>
      <c r="AJ158" s="27" t="s">
        <v>1010</v>
      </c>
      <c r="AK158" s="8" t="s">
        <v>1010</v>
      </c>
      <c r="AL158" s="8" t="s">
        <v>1010</v>
      </c>
      <c r="AM158" s="27"/>
      <c r="AN158" s="27"/>
      <c r="AO158" s="27"/>
    </row>
    <row r="159" spans="1:41" ht="15.75" thickBot="1" x14ac:dyDescent="0.3">
      <c r="A159" s="51" t="s">
        <v>271</v>
      </c>
      <c r="B159" s="51" t="s">
        <v>274</v>
      </c>
      <c r="C159" s="51" t="s">
        <v>1171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6"/>
        <v>29</v>
      </c>
      <c r="I159" s="17">
        <f t="shared" si="14"/>
        <v>1</v>
      </c>
      <c r="J159" s="18">
        <f t="shared" si="15"/>
        <v>0.96666666666666667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 t="s">
        <v>1010</v>
      </c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.75" thickBot="1" x14ac:dyDescent="0.3">
      <c r="A160" s="51" t="s">
        <v>268</v>
      </c>
      <c r="B160" s="51" t="s">
        <v>277</v>
      </c>
      <c r="C160" s="51" t="s">
        <v>1171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6"/>
        <v>28</v>
      </c>
      <c r="I160" s="17">
        <f t="shared" si="14"/>
        <v>2</v>
      </c>
      <c r="J160" s="18">
        <f t="shared" si="15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.75" thickBot="1" x14ac:dyDescent="0.3">
      <c r="A161" s="51" t="s">
        <v>271</v>
      </c>
      <c r="B161" s="51" t="s">
        <v>279</v>
      </c>
      <c r="C161" s="51" t="s">
        <v>1171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6"/>
        <v>30</v>
      </c>
      <c r="I161" s="17">
        <f t="shared" si="14"/>
        <v>0</v>
      </c>
      <c r="J161" s="18">
        <f t="shared" si="15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.75" thickBot="1" x14ac:dyDescent="0.3">
      <c r="A162" s="51" t="s">
        <v>271</v>
      </c>
      <c r="B162" s="51" t="s">
        <v>281</v>
      </c>
      <c r="C162" s="51" t="s">
        <v>1171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6"/>
        <v>25</v>
      </c>
      <c r="I162" s="17">
        <f t="shared" si="14"/>
        <v>5</v>
      </c>
      <c r="J162" s="18">
        <f t="shared" si="15"/>
        <v>0.83333333333333337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 t="s">
        <v>1010</v>
      </c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 t="s">
        <v>1010</v>
      </c>
      <c r="AK162" s="8" t="s">
        <v>1010</v>
      </c>
      <c r="AL162" s="8"/>
      <c r="AM162" s="27"/>
      <c r="AN162" s="27"/>
      <c r="AO162" s="27"/>
    </row>
    <row r="163" spans="1:41" ht="15.75" thickBot="1" x14ac:dyDescent="0.3">
      <c r="A163" s="51" t="s">
        <v>271</v>
      </c>
      <c r="B163" s="51" t="s">
        <v>284</v>
      </c>
      <c r="C163" s="51" t="s">
        <v>1171</v>
      </c>
      <c r="D163" s="51" t="s">
        <v>285</v>
      </c>
      <c r="E163" s="51" t="s">
        <v>19</v>
      </c>
      <c r="F163" s="51" t="s">
        <v>1163</v>
      </c>
      <c r="G163" s="51" t="s">
        <v>780</v>
      </c>
      <c r="H163" s="53">
        <f t="shared" si="16"/>
        <v>3</v>
      </c>
      <c r="I163" s="17">
        <f t="shared" si="14"/>
        <v>27</v>
      </c>
      <c r="J163" s="18">
        <f t="shared" si="15"/>
        <v>0.1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 t="s">
        <v>1010</v>
      </c>
      <c r="W163" s="27" t="s">
        <v>1010</v>
      </c>
      <c r="X163" s="27" t="s">
        <v>1010</v>
      </c>
      <c r="Y163" s="27"/>
      <c r="Z163" s="27" t="s">
        <v>1010</v>
      </c>
      <c r="AA163" s="27" t="s">
        <v>1010</v>
      </c>
      <c r="AB163" s="27" t="s">
        <v>1010</v>
      </c>
      <c r="AC163" s="27" t="s">
        <v>1010</v>
      </c>
      <c r="AD163" s="27" t="s">
        <v>1010</v>
      </c>
      <c r="AE163" s="27" t="s">
        <v>1010</v>
      </c>
      <c r="AF163" s="27" t="s">
        <v>1010</v>
      </c>
      <c r="AG163" s="8" t="s">
        <v>1010</v>
      </c>
      <c r="AH163" s="8" t="s">
        <v>1010</v>
      </c>
      <c r="AI163" s="8" t="s">
        <v>1010</v>
      </c>
      <c r="AJ163" s="27" t="s">
        <v>1010</v>
      </c>
      <c r="AK163" s="8" t="s">
        <v>1010</v>
      </c>
      <c r="AL163" s="8" t="s">
        <v>1010</v>
      </c>
      <c r="AM163" s="27"/>
      <c r="AN163" s="27"/>
      <c r="AO163" s="27"/>
    </row>
    <row r="164" spans="1:41" ht="15.75" thickBot="1" x14ac:dyDescent="0.3">
      <c r="A164" s="51" t="s">
        <v>271</v>
      </c>
      <c r="B164" s="51" t="s">
        <v>287</v>
      </c>
      <c r="C164" s="51" t="s">
        <v>1171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6"/>
        <v>30</v>
      </c>
      <c r="I164" s="17">
        <f t="shared" si="14"/>
        <v>0</v>
      </c>
      <c r="J164" s="18">
        <f t="shared" si="15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.75" thickBot="1" x14ac:dyDescent="0.3">
      <c r="A165" s="51" t="s">
        <v>291</v>
      </c>
      <c r="B165" s="51" t="s">
        <v>1067</v>
      </c>
      <c r="C165" s="51" t="s">
        <v>1171</v>
      </c>
      <c r="D165" s="51" t="s">
        <v>1201</v>
      </c>
      <c r="E165" s="51" t="s">
        <v>19</v>
      </c>
      <c r="F165" s="51" t="s">
        <v>20</v>
      </c>
      <c r="G165" s="51" t="s">
        <v>784</v>
      </c>
      <c r="H165" s="53">
        <f t="shared" si="16"/>
        <v>30</v>
      </c>
      <c r="I165" s="17">
        <f t="shared" si="14"/>
        <v>0</v>
      </c>
      <c r="J165" s="18">
        <f t="shared" si="15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.75" thickBot="1" x14ac:dyDescent="0.3">
      <c r="A166" s="51" t="s">
        <v>232</v>
      </c>
      <c r="B166" s="51" t="s">
        <v>289</v>
      </c>
      <c r="C166" s="51" t="s">
        <v>1172</v>
      </c>
      <c r="D166" s="51" t="s">
        <v>290</v>
      </c>
      <c r="E166" s="51" t="s">
        <v>15</v>
      </c>
      <c r="F166" s="51" t="s">
        <v>28</v>
      </c>
      <c r="G166" s="51" t="s">
        <v>1176</v>
      </c>
      <c r="H166" s="53">
        <f t="shared" si="16"/>
        <v>4</v>
      </c>
      <c r="I166" s="17">
        <f t="shared" si="14"/>
        <v>26</v>
      </c>
      <c r="J166" s="18">
        <f t="shared" si="15"/>
        <v>0.13333333333333333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 t="s">
        <v>1010</v>
      </c>
      <c r="W166" s="27" t="s">
        <v>1010</v>
      </c>
      <c r="X166" s="27" t="s">
        <v>1010</v>
      </c>
      <c r="Y166" s="27" t="s">
        <v>1010</v>
      </c>
      <c r="Z166" s="27" t="s">
        <v>1010</v>
      </c>
      <c r="AA166" s="27" t="s">
        <v>1010</v>
      </c>
      <c r="AB166" s="27" t="s">
        <v>1010</v>
      </c>
      <c r="AC166" s="27" t="s">
        <v>1010</v>
      </c>
      <c r="AD166" s="27" t="s">
        <v>1010</v>
      </c>
      <c r="AE166" s="27" t="s">
        <v>1010</v>
      </c>
      <c r="AF166" s="27" t="s">
        <v>1010</v>
      </c>
      <c r="AG166" s="8" t="s">
        <v>1010</v>
      </c>
      <c r="AH166" s="8"/>
      <c r="AI166" s="8" t="s">
        <v>1010</v>
      </c>
      <c r="AJ166" s="27"/>
      <c r="AK166" s="8" t="s">
        <v>1010</v>
      </c>
      <c r="AL166" s="8" t="s">
        <v>1010</v>
      </c>
      <c r="AM166" s="27"/>
      <c r="AN166" s="27"/>
      <c r="AO166" s="27"/>
    </row>
    <row r="167" spans="1:41" ht="15.75" thickBot="1" x14ac:dyDescent="0.3">
      <c r="A167" s="51" t="s">
        <v>291</v>
      </c>
      <c r="B167" s="51" t="s">
        <v>292</v>
      </c>
      <c r="C167" s="51" t="s">
        <v>1172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6"/>
        <v>30</v>
      </c>
      <c r="I167" s="17">
        <f t="shared" si="14"/>
        <v>0</v>
      </c>
      <c r="J167" s="18">
        <f t="shared" si="15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.75" thickBot="1" x14ac:dyDescent="0.3">
      <c r="A168" s="51" t="s">
        <v>12</v>
      </c>
      <c r="B168" s="99" t="s">
        <v>13</v>
      </c>
      <c r="C168" s="51" t="s">
        <v>1172</v>
      </c>
      <c r="D168" s="51" t="s">
        <v>14</v>
      </c>
      <c r="E168" s="51" t="s">
        <v>15</v>
      </c>
      <c r="F168" s="51" t="s">
        <v>1163</v>
      </c>
      <c r="G168" s="51" t="s">
        <v>786</v>
      </c>
      <c r="H168" s="53">
        <f t="shared" si="16"/>
        <v>29</v>
      </c>
      <c r="I168" s="17">
        <f t="shared" si="14"/>
        <v>1</v>
      </c>
      <c r="J168" s="18">
        <f t="shared" si="15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.75" thickBot="1" x14ac:dyDescent="0.3">
      <c r="A169" s="51" t="s">
        <v>382</v>
      </c>
      <c r="B169" s="51" t="s">
        <v>1068</v>
      </c>
      <c r="C169" s="51" t="s">
        <v>1172</v>
      </c>
      <c r="D169" s="51" t="s">
        <v>1069</v>
      </c>
      <c r="E169" s="51" t="s">
        <v>73</v>
      </c>
      <c r="F169" s="51" t="s">
        <v>28</v>
      </c>
      <c r="G169" s="51"/>
      <c r="H169" s="53">
        <f t="shared" si="16"/>
        <v>29</v>
      </c>
      <c r="I169" s="17">
        <f t="shared" si="14"/>
        <v>1</v>
      </c>
      <c r="J169" s="18">
        <f t="shared" si="15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.75" thickBot="1" x14ac:dyDescent="0.3">
      <c r="A170" s="51" t="s">
        <v>1070</v>
      </c>
      <c r="B170" s="51" t="s">
        <v>1071</v>
      </c>
      <c r="C170" s="51" t="s">
        <v>1172</v>
      </c>
      <c r="D170" s="51" t="s">
        <v>1069</v>
      </c>
      <c r="E170" s="51" t="s">
        <v>73</v>
      </c>
      <c r="F170" s="51" t="s">
        <v>28</v>
      </c>
      <c r="G170" s="51"/>
      <c r="H170" s="53">
        <f t="shared" si="16"/>
        <v>29</v>
      </c>
      <c r="I170" s="17">
        <f t="shared" si="14"/>
        <v>1</v>
      </c>
      <c r="J170" s="18">
        <f t="shared" si="15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.75" thickBot="1" x14ac:dyDescent="0.3">
      <c r="A171" s="51" t="s">
        <v>17</v>
      </c>
      <c r="B171" s="99" t="s">
        <v>18</v>
      </c>
      <c r="C171" s="51" t="s">
        <v>1172</v>
      </c>
      <c r="D171" s="51" t="s">
        <v>1202</v>
      </c>
      <c r="E171" s="51" t="s">
        <v>19</v>
      </c>
      <c r="F171" s="51" t="s">
        <v>20</v>
      </c>
      <c r="G171" s="51" t="s">
        <v>787</v>
      </c>
      <c r="H171" s="53">
        <f t="shared" si="16"/>
        <v>30</v>
      </c>
      <c r="I171" s="17">
        <f t="shared" si="14"/>
        <v>0</v>
      </c>
      <c r="J171" s="18">
        <f t="shared" si="15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.75" thickBot="1" x14ac:dyDescent="0.3">
      <c r="A172" s="51" t="s">
        <v>17</v>
      </c>
      <c r="B172" s="99" t="s">
        <v>21</v>
      </c>
      <c r="C172" s="51" t="s">
        <v>1172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6"/>
        <v>30</v>
      </c>
      <c r="I172" s="17">
        <f t="shared" si="14"/>
        <v>0</v>
      </c>
      <c r="J172" s="18">
        <f t="shared" si="15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.75" thickBot="1" x14ac:dyDescent="0.3">
      <c r="A173" s="51" t="s">
        <v>17</v>
      </c>
      <c r="B173" s="99" t="s">
        <v>23</v>
      </c>
      <c r="C173" s="51" t="s">
        <v>1172</v>
      </c>
      <c r="D173" s="51" t="s">
        <v>621</v>
      </c>
      <c r="E173" s="51" t="s">
        <v>15</v>
      </c>
      <c r="F173" s="51" t="s">
        <v>1164</v>
      </c>
      <c r="G173" s="51" t="s">
        <v>788</v>
      </c>
      <c r="H173" s="53">
        <f t="shared" si="16"/>
        <v>30</v>
      </c>
      <c r="I173" s="17">
        <f t="shared" si="14"/>
        <v>0</v>
      </c>
      <c r="J173" s="18">
        <f t="shared" si="15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.75" thickBot="1" x14ac:dyDescent="0.3">
      <c r="A174" s="51" t="s">
        <v>17</v>
      </c>
      <c r="B174" s="99" t="s">
        <v>24</v>
      </c>
      <c r="C174" s="51" t="s">
        <v>1172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6"/>
        <v>30</v>
      </c>
      <c r="I174" s="17">
        <f t="shared" si="14"/>
        <v>0</v>
      </c>
      <c r="J174" s="18">
        <f t="shared" si="15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.75" thickBot="1" x14ac:dyDescent="0.3">
      <c r="A175" s="51" t="s">
        <v>294</v>
      </c>
      <c r="B175" s="51" t="s">
        <v>1072</v>
      </c>
      <c r="C175" s="51" t="s">
        <v>1171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6"/>
        <v>23</v>
      </c>
      <c r="I175" s="17">
        <f t="shared" si="14"/>
        <v>7</v>
      </c>
      <c r="J175" s="18">
        <f t="shared" si="15"/>
        <v>0.76666666666666672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 t="s">
        <v>1010</v>
      </c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.75" thickBot="1" x14ac:dyDescent="0.3">
      <c r="A176" s="51" t="s">
        <v>298</v>
      </c>
      <c r="B176" s="51" t="s">
        <v>1073</v>
      </c>
      <c r="C176" s="51" t="s">
        <v>1171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6"/>
        <v>23</v>
      </c>
      <c r="I176" s="17">
        <f t="shared" si="14"/>
        <v>7</v>
      </c>
      <c r="J176" s="18">
        <f t="shared" si="15"/>
        <v>0.76666666666666672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 t="s">
        <v>1010</v>
      </c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.75" thickBot="1" x14ac:dyDescent="0.3">
      <c r="A177" s="51" t="s">
        <v>298</v>
      </c>
      <c r="B177" s="51" t="s">
        <v>1074</v>
      </c>
      <c r="C177" s="51" t="s">
        <v>1171</v>
      </c>
      <c r="D177" s="51" t="s">
        <v>302</v>
      </c>
      <c r="E177" s="51" t="s">
        <v>19</v>
      </c>
      <c r="F177" s="51" t="s">
        <v>1163</v>
      </c>
      <c r="G177" s="51" t="s">
        <v>793</v>
      </c>
      <c r="H177" s="53">
        <f t="shared" si="16"/>
        <v>23</v>
      </c>
      <c r="I177" s="17">
        <f t="shared" si="14"/>
        <v>7</v>
      </c>
      <c r="J177" s="18">
        <f t="shared" si="15"/>
        <v>0.76666666666666672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 t="s">
        <v>1010</v>
      </c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.75" thickBot="1" x14ac:dyDescent="0.3">
      <c r="A178" s="51" t="s">
        <v>271</v>
      </c>
      <c r="B178" s="51" t="s">
        <v>296</v>
      </c>
      <c r="C178" s="51" t="s">
        <v>1171</v>
      </c>
      <c r="D178" s="51" t="s">
        <v>297</v>
      </c>
      <c r="E178" s="51" t="s">
        <v>73</v>
      </c>
      <c r="F178" s="51" t="s">
        <v>28</v>
      </c>
      <c r="G178" s="51" t="s">
        <v>1168</v>
      </c>
      <c r="H178" s="53">
        <f t="shared" si="16"/>
        <v>30</v>
      </c>
      <c r="I178" s="17">
        <f t="shared" si="14"/>
        <v>0</v>
      </c>
      <c r="J178" s="18">
        <f t="shared" si="15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.75" thickBot="1" x14ac:dyDescent="0.3">
      <c r="A179" s="51" t="s">
        <v>294</v>
      </c>
      <c r="B179" s="51" t="s">
        <v>300</v>
      </c>
      <c r="C179" s="51" t="s">
        <v>1171</v>
      </c>
      <c r="D179" s="51" t="s">
        <v>301</v>
      </c>
      <c r="E179" s="51" t="s">
        <v>19</v>
      </c>
      <c r="F179" s="51" t="s">
        <v>1163</v>
      </c>
      <c r="G179" s="51" t="s">
        <v>792</v>
      </c>
      <c r="H179" s="53">
        <f t="shared" si="16"/>
        <v>30</v>
      </c>
      <c r="I179" s="17">
        <f t="shared" si="14"/>
        <v>0</v>
      </c>
      <c r="J179" s="18">
        <f t="shared" si="15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.75" thickBot="1" x14ac:dyDescent="0.3">
      <c r="A180" s="51" t="s">
        <v>298</v>
      </c>
      <c r="B180" s="51" t="s">
        <v>303</v>
      </c>
      <c r="C180" s="51" t="s">
        <v>1171</v>
      </c>
      <c r="D180" s="51" t="s">
        <v>304</v>
      </c>
      <c r="E180" s="51" t="s">
        <v>15</v>
      </c>
      <c r="F180" s="51" t="s">
        <v>1163</v>
      </c>
      <c r="G180" s="51" t="s">
        <v>794</v>
      </c>
      <c r="H180" s="53">
        <f t="shared" si="16"/>
        <v>23</v>
      </c>
      <c r="I180" s="17">
        <f t="shared" si="14"/>
        <v>7</v>
      </c>
      <c r="J180" s="18">
        <f t="shared" si="15"/>
        <v>0.76666666666666672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 t="s">
        <v>1010</v>
      </c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.75" thickBot="1" x14ac:dyDescent="0.3">
      <c r="A181" s="51" t="s">
        <v>305</v>
      </c>
      <c r="B181" s="51" t="s">
        <v>306</v>
      </c>
      <c r="C181" s="51" t="s">
        <v>1171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6"/>
        <v>30</v>
      </c>
      <c r="I181" s="17">
        <f t="shared" si="14"/>
        <v>0</v>
      </c>
      <c r="J181" s="18">
        <f t="shared" si="15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.75" thickBot="1" x14ac:dyDescent="0.3">
      <c r="A182" s="51" t="s">
        <v>305</v>
      </c>
      <c r="B182" s="51" t="s">
        <v>308</v>
      </c>
      <c r="C182" s="51" t="s">
        <v>1171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6"/>
        <v>30</v>
      </c>
      <c r="I182" s="17">
        <f t="shared" si="14"/>
        <v>0</v>
      </c>
      <c r="J182" s="18">
        <f t="shared" si="15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.75" thickBot="1" x14ac:dyDescent="0.3">
      <c r="A183" s="51" t="s">
        <v>305</v>
      </c>
      <c r="B183" s="51" t="s">
        <v>310</v>
      </c>
      <c r="C183" s="51" t="s">
        <v>1171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6"/>
        <v>30</v>
      </c>
      <c r="I183" s="17">
        <f t="shared" si="14"/>
        <v>0</v>
      </c>
      <c r="J183" s="18">
        <f t="shared" si="15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.75" thickBot="1" x14ac:dyDescent="0.3">
      <c r="A184" s="51" t="s">
        <v>305</v>
      </c>
      <c r="B184" s="51" t="s">
        <v>312</v>
      </c>
      <c r="C184" s="51" t="s">
        <v>1171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6"/>
        <v>30</v>
      </c>
      <c r="I184" s="17">
        <f t="shared" si="14"/>
        <v>0</v>
      </c>
      <c r="J184" s="18">
        <f t="shared" si="15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.75" thickBot="1" x14ac:dyDescent="0.3">
      <c r="A185" s="51" t="s">
        <v>314</v>
      </c>
      <c r="B185" s="51" t="s">
        <v>1075</v>
      </c>
      <c r="C185" s="51" t="s">
        <v>1171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6"/>
        <v>30</v>
      </c>
      <c r="I185" s="17">
        <f t="shared" si="14"/>
        <v>0</v>
      </c>
      <c r="J185" s="18">
        <f t="shared" si="15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.75" thickBot="1" x14ac:dyDescent="0.3">
      <c r="A186" s="51" t="s">
        <v>314</v>
      </c>
      <c r="B186" s="51" t="s">
        <v>315</v>
      </c>
      <c r="C186" s="51" t="s">
        <v>1171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6"/>
        <v>30</v>
      </c>
      <c r="I186" s="17">
        <f t="shared" si="14"/>
        <v>0</v>
      </c>
      <c r="J186" s="18">
        <f t="shared" si="15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.75" thickBot="1" x14ac:dyDescent="0.3">
      <c r="A187" s="51" t="s">
        <v>314</v>
      </c>
      <c r="B187" s="51" t="s">
        <v>318</v>
      </c>
      <c r="C187" s="51" t="s">
        <v>1171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6"/>
        <v>30</v>
      </c>
      <c r="I187" s="17">
        <f t="shared" si="14"/>
        <v>0</v>
      </c>
      <c r="J187" s="18">
        <f t="shared" si="15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.75" thickBot="1" x14ac:dyDescent="0.3">
      <c r="A188" s="51" t="s">
        <v>314</v>
      </c>
      <c r="B188" s="51" t="s">
        <v>320</v>
      </c>
      <c r="C188" s="51" t="s">
        <v>1171</v>
      </c>
      <c r="D188" s="51" t="s">
        <v>321</v>
      </c>
      <c r="E188" s="51" t="s">
        <v>19</v>
      </c>
      <c r="F188" s="51" t="s">
        <v>1164</v>
      </c>
      <c r="G188" s="51" t="s">
        <v>801</v>
      </c>
      <c r="H188" s="53">
        <f t="shared" si="16"/>
        <v>30</v>
      </c>
      <c r="I188" s="17">
        <f t="shared" si="14"/>
        <v>0</v>
      </c>
      <c r="J188" s="18">
        <f t="shared" si="15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.75" thickBot="1" x14ac:dyDescent="0.3">
      <c r="A189" s="51" t="s">
        <v>314</v>
      </c>
      <c r="B189" s="51" t="s">
        <v>322</v>
      </c>
      <c r="C189" s="51" t="s">
        <v>1171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6"/>
        <v>30</v>
      </c>
      <c r="I189" s="17">
        <f t="shared" si="14"/>
        <v>0</v>
      </c>
      <c r="J189" s="18">
        <f t="shared" si="15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.75" thickBot="1" x14ac:dyDescent="0.3">
      <c r="A190" s="51" t="s">
        <v>324</v>
      </c>
      <c r="B190" s="51" t="s">
        <v>325</v>
      </c>
      <c r="C190" s="51" t="s">
        <v>1171</v>
      </c>
      <c r="D190" s="51" t="s">
        <v>326</v>
      </c>
      <c r="E190" s="51" t="s">
        <v>19</v>
      </c>
      <c r="F190" s="51" t="s">
        <v>20</v>
      </c>
      <c r="G190" s="51" t="s">
        <v>1169</v>
      </c>
      <c r="H190" s="53">
        <f t="shared" si="16"/>
        <v>30</v>
      </c>
      <c r="I190" s="17">
        <f t="shared" si="14"/>
        <v>0</v>
      </c>
      <c r="J190" s="18">
        <f t="shared" si="15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.75" thickBot="1" x14ac:dyDescent="0.3">
      <c r="A191" s="51" t="s">
        <v>52</v>
      </c>
      <c r="B191" s="51" t="s">
        <v>327</v>
      </c>
      <c r="C191" s="51" t="s">
        <v>1171</v>
      </c>
      <c r="D191" s="51" t="s">
        <v>328</v>
      </c>
      <c r="E191" s="51" t="s">
        <v>19</v>
      </c>
      <c r="F191" s="51" t="s">
        <v>1163</v>
      </c>
      <c r="G191" s="51" t="s">
        <v>803</v>
      </c>
      <c r="H191" s="53">
        <f t="shared" si="16"/>
        <v>25</v>
      </c>
      <c r="I191" s="17">
        <f t="shared" si="14"/>
        <v>5</v>
      </c>
      <c r="J191" s="18">
        <f t="shared" si="15"/>
        <v>0.83333333333333337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 t="s">
        <v>1010</v>
      </c>
      <c r="AC191" s="27" t="s">
        <v>1010</v>
      </c>
      <c r="AD191" s="27"/>
      <c r="AE191" s="27"/>
      <c r="AF191" s="27"/>
      <c r="AG191" s="8"/>
      <c r="AH191" s="8"/>
      <c r="AI191" s="8"/>
      <c r="AJ191" s="27"/>
      <c r="AK191" s="8"/>
      <c r="AL191" s="8" t="s">
        <v>1010</v>
      </c>
      <c r="AM191" s="27"/>
      <c r="AN191" s="27"/>
      <c r="AO191" s="27"/>
    </row>
    <row r="192" spans="1:41" ht="15.75" thickBot="1" x14ac:dyDescent="0.3">
      <c r="A192" s="51" t="s">
        <v>314</v>
      </c>
      <c r="B192" s="51" t="s">
        <v>329</v>
      </c>
      <c r="C192" s="51" t="s">
        <v>1171</v>
      </c>
      <c r="D192" s="51" t="s">
        <v>330</v>
      </c>
      <c r="E192" s="51" t="s">
        <v>19</v>
      </c>
      <c r="F192" s="51" t="s">
        <v>1163</v>
      </c>
      <c r="G192" s="51" t="s">
        <v>804</v>
      </c>
      <c r="H192" s="53">
        <f t="shared" si="16"/>
        <v>30</v>
      </c>
      <c r="I192" s="17">
        <f t="shared" si="14"/>
        <v>0</v>
      </c>
      <c r="J192" s="18">
        <f t="shared" si="15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.75" thickBot="1" x14ac:dyDescent="0.3">
      <c r="A193" s="51" t="s">
        <v>314</v>
      </c>
      <c r="B193" s="51" t="s">
        <v>331</v>
      </c>
      <c r="C193" s="51" t="s">
        <v>1171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6"/>
        <v>30</v>
      </c>
      <c r="I193" s="17">
        <f t="shared" si="14"/>
        <v>0</v>
      </c>
      <c r="J193" s="18">
        <f t="shared" si="15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.75" thickBot="1" x14ac:dyDescent="0.3">
      <c r="A194" s="51" t="s">
        <v>335</v>
      </c>
      <c r="B194" s="51" t="s">
        <v>333</v>
      </c>
      <c r="C194" s="51" t="s">
        <v>1172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6"/>
        <v>30</v>
      </c>
      <c r="I194" s="17">
        <f t="shared" si="14"/>
        <v>0</v>
      </c>
      <c r="J194" s="18">
        <f t="shared" si="15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.75" thickBot="1" x14ac:dyDescent="0.3">
      <c r="A195" s="51" t="s">
        <v>335</v>
      </c>
      <c r="B195" s="51" t="s">
        <v>336</v>
      </c>
      <c r="C195" s="51" t="s">
        <v>1172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6"/>
        <v>30</v>
      </c>
      <c r="I195" s="17">
        <f t="shared" si="14"/>
        <v>0</v>
      </c>
      <c r="J195" s="18">
        <f t="shared" si="15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.75" thickBot="1" x14ac:dyDescent="0.3">
      <c r="A196" s="51" t="s">
        <v>335</v>
      </c>
      <c r="B196" s="51" t="s">
        <v>338</v>
      </c>
      <c r="C196" s="51" t="s">
        <v>1172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6"/>
        <v>30</v>
      </c>
      <c r="I196" s="17">
        <f t="shared" si="14"/>
        <v>0</v>
      </c>
      <c r="J196" s="18">
        <f t="shared" si="15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.75" thickBot="1" x14ac:dyDescent="0.3">
      <c r="A197" s="51" t="s">
        <v>335</v>
      </c>
      <c r="B197" s="51" t="s">
        <v>339</v>
      </c>
      <c r="C197" s="51" t="s">
        <v>1172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6"/>
        <v>30</v>
      </c>
      <c r="I197" s="17">
        <f t="shared" ref="I197:I262" si="17">COUNTIF(K197:AL197,"APAGADO")</f>
        <v>0</v>
      </c>
      <c r="J197" s="18">
        <f t="shared" ref="J197:J262" si="18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.75" thickBot="1" x14ac:dyDescent="0.3">
      <c r="A198" s="51" t="s">
        <v>335</v>
      </c>
      <c r="B198" s="51" t="s">
        <v>341</v>
      </c>
      <c r="C198" s="51" t="s">
        <v>1172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9">COUNTIF(K198:AN198,"")</f>
        <v>30</v>
      </c>
      <c r="I198" s="17">
        <f t="shared" si="17"/>
        <v>0</v>
      </c>
      <c r="J198" s="18">
        <f t="shared" si="18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.75" thickBot="1" x14ac:dyDescent="0.3">
      <c r="A199" s="51" t="s">
        <v>41</v>
      </c>
      <c r="B199" s="51" t="s">
        <v>343</v>
      </c>
      <c r="C199" s="51" t="s">
        <v>1172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9"/>
        <v>28</v>
      </c>
      <c r="I199" s="17">
        <f t="shared" si="17"/>
        <v>2</v>
      </c>
      <c r="J199" s="18">
        <f t="shared" si="18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.75" thickBot="1" x14ac:dyDescent="0.3">
      <c r="A200" s="51" t="s">
        <v>41</v>
      </c>
      <c r="B200" s="51" t="s">
        <v>345</v>
      </c>
      <c r="C200" s="51" t="s">
        <v>1172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9"/>
        <v>28</v>
      </c>
      <c r="I200" s="17">
        <f t="shared" si="17"/>
        <v>2</v>
      </c>
      <c r="J200" s="18">
        <f t="shared" si="18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.75" thickBot="1" x14ac:dyDescent="0.3">
      <c r="A201" s="51" t="s">
        <v>189</v>
      </c>
      <c r="B201" s="51" t="s">
        <v>346</v>
      </c>
      <c r="C201" s="51" t="s">
        <v>1172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9"/>
        <v>30</v>
      </c>
      <c r="I201" s="17">
        <f t="shared" si="17"/>
        <v>0</v>
      </c>
      <c r="J201" s="18">
        <f t="shared" si="18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.75" thickBot="1" x14ac:dyDescent="0.3">
      <c r="A202" s="51" t="s">
        <v>189</v>
      </c>
      <c r="B202" s="51" t="s">
        <v>348</v>
      </c>
      <c r="C202" s="51" t="s">
        <v>1172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9"/>
        <v>30</v>
      </c>
      <c r="I202" s="17">
        <f t="shared" si="17"/>
        <v>0</v>
      </c>
      <c r="J202" s="18">
        <f t="shared" si="18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.75" thickBot="1" x14ac:dyDescent="0.3">
      <c r="A203" s="51" t="s">
        <v>217</v>
      </c>
      <c r="B203" s="51" t="s">
        <v>349</v>
      </c>
      <c r="C203" s="51" t="s">
        <v>1172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9"/>
        <v>30</v>
      </c>
      <c r="I203" s="17">
        <f t="shared" si="17"/>
        <v>0</v>
      </c>
      <c r="J203" s="18">
        <f t="shared" si="18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.75" thickBot="1" x14ac:dyDescent="0.3">
      <c r="A204" s="51" t="s">
        <v>217</v>
      </c>
      <c r="B204" s="51" t="s">
        <v>351</v>
      </c>
      <c r="C204" s="51" t="s">
        <v>1172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9"/>
        <v>30</v>
      </c>
      <c r="I204" s="17">
        <f t="shared" si="17"/>
        <v>0</v>
      </c>
      <c r="J204" s="18">
        <f t="shared" si="18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.75" thickBot="1" x14ac:dyDescent="0.3">
      <c r="A205" s="51" t="s">
        <v>232</v>
      </c>
      <c r="B205" s="51" t="s">
        <v>1076</v>
      </c>
      <c r="C205" s="51" t="s">
        <v>1172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9"/>
        <v>28</v>
      </c>
      <c r="I205" s="17">
        <f t="shared" si="17"/>
        <v>2</v>
      </c>
      <c r="J205" s="18">
        <f t="shared" si="18"/>
        <v>0.93333333333333335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 t="s">
        <v>1010</v>
      </c>
      <c r="Z205" s="27" t="s">
        <v>1010</v>
      </c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.75" thickBot="1" x14ac:dyDescent="0.3">
      <c r="A206" s="51" t="s">
        <v>232</v>
      </c>
      <c r="B206" s="51" t="s">
        <v>353</v>
      </c>
      <c r="C206" s="51" t="s">
        <v>1172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9"/>
        <v>28</v>
      </c>
      <c r="I206" s="17">
        <f t="shared" si="17"/>
        <v>2</v>
      </c>
      <c r="J206" s="18">
        <f t="shared" si="18"/>
        <v>0.93333333333333335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 t="s">
        <v>1010</v>
      </c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.75" thickBot="1" x14ac:dyDescent="0.3">
      <c r="A207" s="51" t="s">
        <v>291</v>
      </c>
      <c r="B207" s="51" t="s">
        <v>354</v>
      </c>
      <c r="C207" s="51" t="s">
        <v>1171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9"/>
        <v>30</v>
      </c>
      <c r="I207" s="17">
        <f t="shared" si="17"/>
        <v>0</v>
      </c>
      <c r="J207" s="18">
        <f t="shared" si="18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.75" thickBot="1" x14ac:dyDescent="0.3">
      <c r="A208" s="51" t="s">
        <v>356</v>
      </c>
      <c r="B208" s="51" t="s">
        <v>357</v>
      </c>
      <c r="C208" s="51" t="s">
        <v>1172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9"/>
        <v>29</v>
      </c>
      <c r="I208" s="17">
        <f t="shared" si="17"/>
        <v>1</v>
      </c>
      <c r="J208" s="18">
        <f t="shared" si="18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.75" thickBot="1" x14ac:dyDescent="0.3">
      <c r="A209" s="51" t="s">
        <v>356</v>
      </c>
      <c r="B209" s="51" t="s">
        <v>359</v>
      </c>
      <c r="C209" s="51" t="s">
        <v>1172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9"/>
        <v>29</v>
      </c>
      <c r="I209" s="17">
        <f t="shared" si="17"/>
        <v>1</v>
      </c>
      <c r="J209" s="18">
        <f t="shared" si="18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.75" thickBot="1" x14ac:dyDescent="0.3">
      <c r="A210" s="51" t="s">
        <v>360</v>
      </c>
      <c r="B210" s="51" t="s">
        <v>1077</v>
      </c>
      <c r="C210" s="51" t="s">
        <v>1172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9"/>
        <v>2</v>
      </c>
      <c r="I210" s="17">
        <f t="shared" si="17"/>
        <v>28</v>
      </c>
      <c r="J210" s="18">
        <f t="shared" si="18"/>
        <v>6.6666666666666666E-2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 t="s">
        <v>1010</v>
      </c>
      <c r="W210" s="27" t="s">
        <v>1010</v>
      </c>
      <c r="X210" s="27" t="s">
        <v>1010</v>
      </c>
      <c r="Y210" s="27" t="s">
        <v>1010</v>
      </c>
      <c r="Z210" s="27" t="s">
        <v>1010</v>
      </c>
      <c r="AA210" s="27" t="s">
        <v>1010</v>
      </c>
      <c r="AB210" s="27" t="s">
        <v>1010</v>
      </c>
      <c r="AC210" s="27" t="s">
        <v>1010</v>
      </c>
      <c r="AD210" s="27" t="s">
        <v>1010</v>
      </c>
      <c r="AE210" s="27" t="s">
        <v>1010</v>
      </c>
      <c r="AF210" s="27" t="s">
        <v>1010</v>
      </c>
      <c r="AG210" s="8" t="s">
        <v>1010</v>
      </c>
      <c r="AH210" s="8" t="s">
        <v>1010</v>
      </c>
      <c r="AI210" s="8" t="s">
        <v>1010</v>
      </c>
      <c r="AJ210" s="27" t="s">
        <v>1010</v>
      </c>
      <c r="AK210" s="8" t="s">
        <v>1010</v>
      </c>
      <c r="AL210" s="8" t="s">
        <v>1010</v>
      </c>
      <c r="AM210" s="27"/>
      <c r="AN210" s="27"/>
      <c r="AO210" s="27"/>
    </row>
    <row r="211" spans="1:41" ht="15.75" thickBot="1" x14ac:dyDescent="0.3">
      <c r="A211" s="51" t="s">
        <v>199</v>
      </c>
      <c r="B211" s="51" t="s">
        <v>362</v>
      </c>
      <c r="C211" s="51" t="s">
        <v>1172</v>
      </c>
      <c r="D211" s="51" t="s">
        <v>363</v>
      </c>
      <c r="E211" s="51" t="s">
        <v>15</v>
      </c>
      <c r="F211" s="51" t="s">
        <v>1164</v>
      </c>
      <c r="G211" s="51" t="s">
        <v>825</v>
      </c>
      <c r="H211" s="53">
        <f t="shared" si="19"/>
        <v>28</v>
      </c>
      <c r="I211" s="17">
        <f t="shared" si="17"/>
        <v>2</v>
      </c>
      <c r="J211" s="18">
        <f t="shared" si="18"/>
        <v>0.93333333333333335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 t="s">
        <v>1010</v>
      </c>
      <c r="AL211" s="8" t="s">
        <v>1010</v>
      </c>
      <c r="AM211" s="27"/>
      <c r="AN211" s="27"/>
      <c r="AO211" s="27"/>
    </row>
    <row r="212" spans="1:41" ht="15.75" thickBot="1" x14ac:dyDescent="0.3">
      <c r="A212" s="51" t="s">
        <v>199</v>
      </c>
      <c r="B212" s="51" t="s">
        <v>364</v>
      </c>
      <c r="C212" s="51" t="s">
        <v>1172</v>
      </c>
      <c r="D212" s="51" t="s">
        <v>363</v>
      </c>
      <c r="E212" s="51" t="s">
        <v>73</v>
      </c>
      <c r="F212" s="51" t="s">
        <v>1164</v>
      </c>
      <c r="G212" s="51" t="s">
        <v>826</v>
      </c>
      <c r="H212" s="53">
        <f t="shared" si="19"/>
        <v>28</v>
      </c>
      <c r="I212" s="17">
        <f t="shared" si="17"/>
        <v>2</v>
      </c>
      <c r="J212" s="18">
        <f t="shared" si="18"/>
        <v>0.93333333333333335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 t="s">
        <v>1010</v>
      </c>
      <c r="AL212" s="8" t="s">
        <v>1010</v>
      </c>
      <c r="AM212" s="27"/>
      <c r="AN212" s="27"/>
      <c r="AO212" s="27"/>
    </row>
    <row r="213" spans="1:41" ht="15.75" thickBot="1" x14ac:dyDescent="0.3">
      <c r="A213" s="51" t="s">
        <v>365</v>
      </c>
      <c r="B213" s="51" t="s">
        <v>366</v>
      </c>
      <c r="C213" s="51" t="s">
        <v>1172</v>
      </c>
      <c r="D213" s="51" t="s">
        <v>1078</v>
      </c>
      <c r="E213" s="51" t="s">
        <v>15</v>
      </c>
      <c r="F213" s="51" t="s">
        <v>28</v>
      </c>
      <c r="G213" s="51" t="s">
        <v>831</v>
      </c>
      <c r="H213" s="53">
        <f t="shared" si="19"/>
        <v>9</v>
      </c>
      <c r="I213" s="17">
        <f t="shared" si="17"/>
        <v>21</v>
      </c>
      <c r="J213" s="18">
        <f t="shared" si="18"/>
        <v>0.3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 t="s">
        <v>1010</v>
      </c>
      <c r="W213" s="27" t="s">
        <v>1010</v>
      </c>
      <c r="X213" s="27" t="s">
        <v>1010</v>
      </c>
      <c r="Y213" s="27" t="s">
        <v>1010</v>
      </c>
      <c r="Z213" s="27" t="s">
        <v>1010</v>
      </c>
      <c r="AA213" s="27" t="s">
        <v>1010</v>
      </c>
      <c r="AB213" s="27" t="s">
        <v>1010</v>
      </c>
      <c r="AC213" s="27" t="s">
        <v>1010</v>
      </c>
      <c r="AD213" s="27" t="s">
        <v>1010</v>
      </c>
      <c r="AE213" s="27" t="s">
        <v>1010</v>
      </c>
      <c r="AF213" s="27" t="s">
        <v>1010</v>
      </c>
      <c r="AG213" s="8" t="s">
        <v>1010</v>
      </c>
      <c r="AH213" s="8" t="s">
        <v>1010</v>
      </c>
      <c r="AI213" s="8"/>
      <c r="AJ213" s="27"/>
      <c r="AK213" s="8"/>
      <c r="AL213" s="8"/>
      <c r="AM213" s="27"/>
      <c r="AN213" s="27"/>
      <c r="AO213" s="27"/>
    </row>
    <row r="214" spans="1:41" ht="15.75" thickBot="1" x14ac:dyDescent="0.3">
      <c r="A214" s="51" t="s">
        <v>365</v>
      </c>
      <c r="B214" s="51" t="s">
        <v>367</v>
      </c>
      <c r="C214" s="51" t="s">
        <v>1172</v>
      </c>
      <c r="D214" s="51" t="s">
        <v>1078</v>
      </c>
      <c r="E214" s="51" t="s">
        <v>73</v>
      </c>
      <c r="F214" s="51" t="s">
        <v>28</v>
      </c>
      <c r="G214" s="51" t="s">
        <v>832</v>
      </c>
      <c r="H214" s="53">
        <f t="shared" si="19"/>
        <v>9</v>
      </c>
      <c r="I214" s="17">
        <f t="shared" si="17"/>
        <v>21</v>
      </c>
      <c r="J214" s="18">
        <f t="shared" si="18"/>
        <v>0.3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 t="s">
        <v>1010</v>
      </c>
      <c r="W214" s="27" t="s">
        <v>1010</v>
      </c>
      <c r="X214" s="27" t="s">
        <v>1010</v>
      </c>
      <c r="Y214" s="27" t="s">
        <v>1010</v>
      </c>
      <c r="Z214" s="27" t="s">
        <v>1010</v>
      </c>
      <c r="AA214" s="27" t="s">
        <v>1010</v>
      </c>
      <c r="AB214" s="27" t="s">
        <v>1010</v>
      </c>
      <c r="AC214" s="27" t="s">
        <v>1010</v>
      </c>
      <c r="AD214" s="27" t="s">
        <v>1010</v>
      </c>
      <c r="AE214" s="27" t="s">
        <v>1010</v>
      </c>
      <c r="AF214" s="27" t="s">
        <v>1010</v>
      </c>
      <c r="AG214" s="8" t="s">
        <v>1010</v>
      </c>
      <c r="AH214" s="8" t="s">
        <v>1010</v>
      </c>
      <c r="AI214" s="8"/>
      <c r="AJ214" s="27"/>
      <c r="AK214" s="8"/>
      <c r="AL214" s="8"/>
      <c r="AM214" s="27"/>
      <c r="AN214" s="27"/>
      <c r="AO214" s="27"/>
    </row>
    <row r="215" spans="1:41" ht="15.75" thickBot="1" x14ac:dyDescent="0.3">
      <c r="A215" s="51" t="s">
        <v>356</v>
      </c>
      <c r="B215" s="51" t="s">
        <v>368</v>
      </c>
      <c r="C215" s="51" t="s">
        <v>1172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9"/>
        <v>5</v>
      </c>
      <c r="I215" s="17">
        <f t="shared" si="17"/>
        <v>25</v>
      </c>
      <c r="J215" s="18">
        <f t="shared" si="18"/>
        <v>0.16666666666666666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 t="s">
        <v>1010</v>
      </c>
      <c r="W215" s="27" t="s">
        <v>1010</v>
      </c>
      <c r="X215" s="27" t="s">
        <v>1010</v>
      </c>
      <c r="Y215" s="27" t="s">
        <v>1010</v>
      </c>
      <c r="Z215" s="27" t="s">
        <v>1010</v>
      </c>
      <c r="AA215" s="27" t="s">
        <v>1010</v>
      </c>
      <c r="AB215" s="27" t="s">
        <v>1010</v>
      </c>
      <c r="AC215" s="27" t="s">
        <v>1010</v>
      </c>
      <c r="AD215" s="27" t="s">
        <v>1010</v>
      </c>
      <c r="AE215" s="27" t="s">
        <v>1010</v>
      </c>
      <c r="AF215" s="27" t="s">
        <v>1010</v>
      </c>
      <c r="AG215" s="8" t="s">
        <v>1010</v>
      </c>
      <c r="AH215" s="8" t="s">
        <v>1010</v>
      </c>
      <c r="AI215" s="8" t="s">
        <v>1010</v>
      </c>
      <c r="AJ215" s="27"/>
      <c r="AK215" s="8"/>
      <c r="AL215" s="8"/>
      <c r="AM215" s="27"/>
      <c r="AN215" s="27"/>
      <c r="AO215" s="27"/>
    </row>
    <row r="216" spans="1:41" ht="15.75" thickBot="1" x14ac:dyDescent="0.3">
      <c r="A216" s="51" t="s">
        <v>356</v>
      </c>
      <c r="B216" s="51" t="s">
        <v>370</v>
      </c>
      <c r="C216" s="51" t="s">
        <v>1172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9"/>
        <v>2</v>
      </c>
      <c r="I216" s="17">
        <f t="shared" si="17"/>
        <v>28</v>
      </c>
      <c r="J216" s="18">
        <f t="shared" si="18"/>
        <v>6.6666666666666666E-2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 t="s">
        <v>1010</v>
      </c>
      <c r="W216" s="27" t="s">
        <v>1010</v>
      </c>
      <c r="X216" s="27" t="s">
        <v>1010</v>
      </c>
      <c r="Y216" s="27" t="s">
        <v>1010</v>
      </c>
      <c r="Z216" s="27" t="s">
        <v>1010</v>
      </c>
      <c r="AA216" s="27" t="s">
        <v>1010</v>
      </c>
      <c r="AB216" s="27" t="s">
        <v>1010</v>
      </c>
      <c r="AC216" s="27" t="s">
        <v>1010</v>
      </c>
      <c r="AD216" s="27" t="s">
        <v>1010</v>
      </c>
      <c r="AE216" s="27" t="s">
        <v>1010</v>
      </c>
      <c r="AF216" s="27" t="s">
        <v>1010</v>
      </c>
      <c r="AG216" s="8" t="s">
        <v>1010</v>
      </c>
      <c r="AH216" s="8" t="s">
        <v>1010</v>
      </c>
      <c r="AI216" s="8" t="s">
        <v>1010</v>
      </c>
      <c r="AJ216" s="27" t="s">
        <v>1010</v>
      </c>
      <c r="AK216" s="8" t="s">
        <v>1010</v>
      </c>
      <c r="AL216" s="8" t="s">
        <v>1010</v>
      </c>
      <c r="AM216" s="27"/>
      <c r="AN216" s="27"/>
      <c r="AO216" s="27"/>
    </row>
    <row r="217" spans="1:41" ht="15.75" thickBot="1" x14ac:dyDescent="0.3">
      <c r="A217" s="51" t="s">
        <v>187</v>
      </c>
      <c r="B217" s="51" t="s">
        <v>1079</v>
      </c>
      <c r="C217" s="51" t="s">
        <v>1171</v>
      </c>
      <c r="D217" s="51" t="s">
        <v>1080</v>
      </c>
      <c r="E217" s="51" t="s">
        <v>73</v>
      </c>
      <c r="F217" s="51" t="s">
        <v>28</v>
      </c>
      <c r="G217" s="51"/>
      <c r="H217" s="53">
        <f t="shared" si="19"/>
        <v>5</v>
      </c>
      <c r="I217" s="17">
        <f t="shared" si="17"/>
        <v>25</v>
      </c>
      <c r="J217" s="18">
        <f t="shared" si="18"/>
        <v>0.16666666666666666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 t="s">
        <v>1010</v>
      </c>
      <c r="W217" s="27"/>
      <c r="X217" s="27" t="s">
        <v>1010</v>
      </c>
      <c r="Y217" s="27" t="s">
        <v>1010</v>
      </c>
      <c r="Z217" s="27" t="s">
        <v>1010</v>
      </c>
      <c r="AA217" s="27" t="s">
        <v>1010</v>
      </c>
      <c r="AB217" s="27" t="s">
        <v>1010</v>
      </c>
      <c r="AC217" s="27" t="s">
        <v>1010</v>
      </c>
      <c r="AD217" s="27" t="s">
        <v>1010</v>
      </c>
      <c r="AE217" s="27" t="s">
        <v>1010</v>
      </c>
      <c r="AF217" s="27" t="s">
        <v>1010</v>
      </c>
      <c r="AG217" s="8" t="s">
        <v>1010</v>
      </c>
      <c r="AH217" s="8" t="s">
        <v>1010</v>
      </c>
      <c r="AI217" s="8" t="s">
        <v>1010</v>
      </c>
      <c r="AJ217" s="27" t="s">
        <v>1010</v>
      </c>
      <c r="AK217" s="8" t="s">
        <v>1010</v>
      </c>
      <c r="AL217" s="8" t="s">
        <v>1010</v>
      </c>
      <c r="AM217" s="27"/>
      <c r="AN217" s="27"/>
      <c r="AO217" s="27"/>
    </row>
    <row r="218" spans="1:41" ht="15.75" thickBot="1" x14ac:dyDescent="0.3">
      <c r="A218" s="51" t="s">
        <v>189</v>
      </c>
      <c r="B218" s="51" t="s">
        <v>1081</v>
      </c>
      <c r="C218" s="51" t="s">
        <v>1172</v>
      </c>
      <c r="D218" s="51" t="s">
        <v>1082</v>
      </c>
      <c r="E218" s="51" t="s">
        <v>73</v>
      </c>
      <c r="F218" s="51" t="s">
        <v>28</v>
      </c>
      <c r="G218" s="51"/>
      <c r="H218" s="53">
        <f t="shared" si="19"/>
        <v>30</v>
      </c>
      <c r="I218" s="17">
        <f t="shared" si="17"/>
        <v>0</v>
      </c>
      <c r="J218" s="18">
        <f t="shared" si="18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.75" thickBot="1" x14ac:dyDescent="0.3">
      <c r="A219" s="51" t="s">
        <v>217</v>
      </c>
      <c r="B219" s="51" t="s">
        <v>1083</v>
      </c>
      <c r="C219" s="51" t="s">
        <v>1172</v>
      </c>
      <c r="D219" s="51" t="s">
        <v>1084</v>
      </c>
      <c r="E219" s="51" t="s">
        <v>19</v>
      </c>
      <c r="F219" s="51" t="s">
        <v>28</v>
      </c>
      <c r="G219" s="51"/>
      <c r="H219" s="53">
        <f t="shared" si="19"/>
        <v>30</v>
      </c>
      <c r="I219" s="17">
        <f t="shared" si="17"/>
        <v>0</v>
      </c>
      <c r="J219" s="18">
        <f t="shared" si="18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.75" thickBot="1" x14ac:dyDescent="0.3">
      <c r="A220" s="51" t="s">
        <v>291</v>
      </c>
      <c r="B220" s="51" t="s">
        <v>371</v>
      </c>
      <c r="C220" s="51" t="s">
        <v>1172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9"/>
        <v>30</v>
      </c>
      <c r="I220" s="17">
        <f t="shared" si="17"/>
        <v>0</v>
      </c>
      <c r="J220" s="18">
        <f t="shared" si="18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.75" thickBot="1" x14ac:dyDescent="0.3">
      <c r="A221" s="51" t="s">
        <v>291</v>
      </c>
      <c r="B221" s="51" t="s">
        <v>1085</v>
      </c>
      <c r="C221" s="51" t="s">
        <v>1172</v>
      </c>
      <c r="D221" s="51" t="s">
        <v>1086</v>
      </c>
      <c r="E221" s="51" t="s">
        <v>73</v>
      </c>
      <c r="F221" s="51" t="s">
        <v>28</v>
      </c>
      <c r="G221" s="51"/>
      <c r="H221" s="53">
        <f t="shared" si="19"/>
        <v>30</v>
      </c>
      <c r="I221" s="17">
        <f t="shared" si="17"/>
        <v>0</v>
      </c>
      <c r="J221" s="18">
        <f t="shared" si="18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.75" thickBot="1" x14ac:dyDescent="0.3">
      <c r="A222" s="51" t="s">
        <v>356</v>
      </c>
      <c r="B222" s="51" t="s">
        <v>1087</v>
      </c>
      <c r="C222" s="51" t="s">
        <v>1172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9"/>
        <v>29</v>
      </c>
      <c r="I222" s="17">
        <f t="shared" si="17"/>
        <v>1</v>
      </c>
      <c r="J222" s="18">
        <f t="shared" si="18"/>
        <v>0.96666666666666667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/>
      <c r="AN222" s="27"/>
      <c r="AO222" s="27"/>
    </row>
    <row r="223" spans="1:41" ht="15.75" thickBot="1" x14ac:dyDescent="0.3">
      <c r="A223" s="51" t="s">
        <v>199</v>
      </c>
      <c r="B223" s="51" t="s">
        <v>1088</v>
      </c>
      <c r="C223" s="51" t="s">
        <v>1172</v>
      </c>
      <c r="D223" s="51" t="s">
        <v>1089</v>
      </c>
      <c r="E223" s="51" t="s">
        <v>73</v>
      </c>
      <c r="F223" s="51" t="s">
        <v>28</v>
      </c>
      <c r="G223" s="51"/>
      <c r="H223" s="53">
        <f t="shared" si="19"/>
        <v>28</v>
      </c>
      <c r="I223" s="17">
        <f t="shared" si="17"/>
        <v>2</v>
      </c>
      <c r="J223" s="18">
        <f t="shared" si="18"/>
        <v>0.93333333333333335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 t="s">
        <v>1010</v>
      </c>
      <c r="AL223" s="8" t="s">
        <v>1010</v>
      </c>
      <c r="AM223" s="27"/>
      <c r="AN223" s="27"/>
      <c r="AO223" s="27"/>
    </row>
    <row r="224" spans="1:41" ht="15.75" thickBot="1" x14ac:dyDescent="0.3">
      <c r="A224" s="51" t="s">
        <v>365</v>
      </c>
      <c r="B224" s="51" t="s">
        <v>1090</v>
      </c>
      <c r="C224" s="51" t="s">
        <v>1172</v>
      </c>
      <c r="D224" s="51" t="s">
        <v>1091</v>
      </c>
      <c r="E224" s="51" t="s">
        <v>19</v>
      </c>
      <c r="F224" s="51" t="s">
        <v>28</v>
      </c>
      <c r="G224" s="51"/>
      <c r="H224" s="53">
        <f t="shared" si="19"/>
        <v>11</v>
      </c>
      <c r="I224" s="17">
        <f t="shared" si="17"/>
        <v>19</v>
      </c>
      <c r="J224" s="18">
        <f t="shared" si="18"/>
        <v>0.36666666666666664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 t="s">
        <v>1010</v>
      </c>
      <c r="W224" s="27" t="s">
        <v>1010</v>
      </c>
      <c r="X224" s="27" t="s">
        <v>1010</v>
      </c>
      <c r="Y224" s="27" t="s">
        <v>1010</v>
      </c>
      <c r="Z224" s="27" t="s">
        <v>1010</v>
      </c>
      <c r="AA224" s="27" t="s">
        <v>1010</v>
      </c>
      <c r="AB224" s="27" t="s">
        <v>1010</v>
      </c>
      <c r="AC224" s="27" t="s">
        <v>1010</v>
      </c>
      <c r="AD224" s="27" t="s">
        <v>1010</v>
      </c>
      <c r="AE224" s="27" t="s">
        <v>1010</v>
      </c>
      <c r="AF224" s="27" t="s">
        <v>1010</v>
      </c>
      <c r="AG224" s="8" t="s">
        <v>1010</v>
      </c>
      <c r="AH224" s="8" t="s">
        <v>1010</v>
      </c>
      <c r="AI224" s="8"/>
      <c r="AJ224" s="27"/>
      <c r="AK224" s="8"/>
      <c r="AL224" s="8"/>
      <c r="AM224" s="27"/>
      <c r="AN224" s="27"/>
      <c r="AO224" s="27"/>
    </row>
    <row r="225" spans="1:41" ht="15.75" thickBot="1" x14ac:dyDescent="0.3">
      <c r="A225" s="51" t="s">
        <v>356</v>
      </c>
      <c r="B225" s="51" t="s">
        <v>1092</v>
      </c>
      <c r="C225" s="51" t="s">
        <v>1172</v>
      </c>
      <c r="D225" s="51" t="s">
        <v>1093</v>
      </c>
      <c r="E225" s="51" t="s">
        <v>73</v>
      </c>
      <c r="F225" s="51" t="s">
        <v>28</v>
      </c>
      <c r="G225" s="51"/>
      <c r="H225" s="53">
        <f t="shared" si="19"/>
        <v>28</v>
      </c>
      <c r="I225" s="17">
        <f t="shared" si="17"/>
        <v>2</v>
      </c>
      <c r="J225" s="18">
        <f t="shared" si="18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.75" thickBot="1" x14ac:dyDescent="0.3">
      <c r="A226" s="51" t="s">
        <v>232</v>
      </c>
      <c r="B226" s="51" t="s">
        <v>1094</v>
      </c>
      <c r="C226" s="51" t="s">
        <v>1172</v>
      </c>
      <c r="D226" s="51" t="s">
        <v>1095</v>
      </c>
      <c r="E226" s="51" t="s">
        <v>73</v>
      </c>
      <c r="F226" s="51" t="s">
        <v>28</v>
      </c>
      <c r="G226" s="51"/>
      <c r="H226" s="53">
        <f t="shared" si="19"/>
        <v>30</v>
      </c>
      <c r="I226" s="17">
        <f t="shared" si="17"/>
        <v>0</v>
      </c>
      <c r="J226" s="18">
        <f t="shared" si="18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.75" thickBot="1" x14ac:dyDescent="0.3">
      <c r="A227" s="51" t="s">
        <v>372</v>
      </c>
      <c r="B227" s="51" t="s">
        <v>373</v>
      </c>
      <c r="C227" s="51" t="s">
        <v>1172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9"/>
        <v>29</v>
      </c>
      <c r="I227" s="17">
        <f t="shared" si="17"/>
        <v>1</v>
      </c>
      <c r="J227" s="18">
        <f t="shared" si="18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.75" thickBot="1" x14ac:dyDescent="0.3">
      <c r="A228" s="51" t="s">
        <v>372</v>
      </c>
      <c r="B228" s="51" t="s">
        <v>1096</v>
      </c>
      <c r="C228" s="51" t="s">
        <v>1172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9"/>
        <v>29</v>
      </c>
      <c r="I228" s="17">
        <f t="shared" si="17"/>
        <v>1</v>
      </c>
      <c r="J228" s="18">
        <f t="shared" si="18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.75" thickBot="1" x14ac:dyDescent="0.3">
      <c r="A229" s="51" t="s">
        <v>372</v>
      </c>
      <c r="B229" s="51" t="s">
        <v>376</v>
      </c>
      <c r="C229" s="51" t="s">
        <v>1172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9"/>
        <v>29</v>
      </c>
      <c r="I229" s="17">
        <f t="shared" si="17"/>
        <v>1</v>
      </c>
      <c r="J229" s="18">
        <f t="shared" si="18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.75" thickBot="1" x14ac:dyDescent="0.3">
      <c r="A230" s="51" t="s">
        <v>372</v>
      </c>
      <c r="B230" s="51" t="s">
        <v>378</v>
      </c>
      <c r="C230" s="51" t="s">
        <v>1172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9"/>
        <v>29</v>
      </c>
      <c r="I230" s="17">
        <f t="shared" si="17"/>
        <v>1</v>
      </c>
      <c r="J230" s="18">
        <f t="shared" si="18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.75" thickBot="1" x14ac:dyDescent="0.3">
      <c r="A231" s="51" t="s">
        <v>372</v>
      </c>
      <c r="B231" s="51" t="s">
        <v>379</v>
      </c>
      <c r="C231" s="51" t="s">
        <v>1172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9"/>
        <v>29</v>
      </c>
      <c r="I231" s="17">
        <f t="shared" si="17"/>
        <v>1</v>
      </c>
      <c r="J231" s="18">
        <f t="shared" si="18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.75" thickBot="1" x14ac:dyDescent="0.3">
      <c r="A232" s="51" t="s">
        <v>372</v>
      </c>
      <c r="B232" s="51" t="s">
        <v>381</v>
      </c>
      <c r="C232" s="51" t="s">
        <v>1172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9"/>
        <v>29</v>
      </c>
      <c r="I232" s="17">
        <f t="shared" si="17"/>
        <v>1</v>
      </c>
      <c r="J232" s="18">
        <f t="shared" si="18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.75" thickBot="1" x14ac:dyDescent="0.3">
      <c r="A233" s="51" t="s">
        <v>382</v>
      </c>
      <c r="B233" s="51" t="s">
        <v>1097</v>
      </c>
      <c r="C233" s="51" t="s">
        <v>1172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9"/>
        <v>29</v>
      </c>
      <c r="I233" s="17">
        <f t="shared" si="17"/>
        <v>1</v>
      </c>
      <c r="J233" s="18">
        <f t="shared" si="18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.75" thickBot="1" x14ac:dyDescent="0.3">
      <c r="A234" s="51" t="s">
        <v>382</v>
      </c>
      <c r="B234" s="51" t="s">
        <v>1098</v>
      </c>
      <c r="C234" s="51" t="s">
        <v>1172</v>
      </c>
      <c r="D234" s="51" t="s">
        <v>1099</v>
      </c>
      <c r="E234" s="51" t="s">
        <v>19</v>
      </c>
      <c r="F234" s="51" t="s">
        <v>28</v>
      </c>
      <c r="G234" s="51" t="s">
        <v>997</v>
      </c>
      <c r="H234" s="53">
        <f t="shared" si="19"/>
        <v>29</v>
      </c>
      <c r="I234" s="17">
        <f t="shared" si="17"/>
        <v>1</v>
      </c>
      <c r="J234" s="18">
        <f t="shared" si="18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.75" thickBot="1" x14ac:dyDescent="0.3">
      <c r="A235" s="51" t="s">
        <v>382</v>
      </c>
      <c r="B235" s="51" t="s">
        <v>1100</v>
      </c>
      <c r="C235" s="51" t="s">
        <v>1172</v>
      </c>
      <c r="D235" s="51" t="s">
        <v>1101</v>
      </c>
      <c r="E235" s="51" t="s">
        <v>19</v>
      </c>
      <c r="F235" s="51" t="s">
        <v>28</v>
      </c>
      <c r="G235" s="51" t="s">
        <v>998</v>
      </c>
      <c r="H235" s="53">
        <f t="shared" si="19"/>
        <v>29</v>
      </c>
      <c r="I235" s="17">
        <f t="shared" si="17"/>
        <v>1</v>
      </c>
      <c r="J235" s="18">
        <f t="shared" si="18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.75" thickBot="1" x14ac:dyDescent="0.3">
      <c r="A236" s="51" t="s">
        <v>382</v>
      </c>
      <c r="B236" s="51" t="s">
        <v>1102</v>
      </c>
      <c r="C236" s="51" t="s">
        <v>1172</v>
      </c>
      <c r="D236" s="51" t="s">
        <v>1103</v>
      </c>
      <c r="E236" s="51" t="s">
        <v>19</v>
      </c>
      <c r="F236" s="51" t="s">
        <v>28</v>
      </c>
      <c r="G236" s="51" t="s">
        <v>999</v>
      </c>
      <c r="H236" s="53">
        <f t="shared" si="19"/>
        <v>29</v>
      </c>
      <c r="I236" s="17">
        <f t="shared" si="17"/>
        <v>1</v>
      </c>
      <c r="J236" s="18">
        <f t="shared" si="18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.75" thickBot="1" x14ac:dyDescent="0.3">
      <c r="A237" s="51" t="s">
        <v>382</v>
      </c>
      <c r="B237" s="51" t="s">
        <v>1104</v>
      </c>
      <c r="C237" s="51" t="s">
        <v>1172</v>
      </c>
      <c r="D237" s="51" t="s">
        <v>1105</v>
      </c>
      <c r="E237" s="51" t="s">
        <v>19</v>
      </c>
      <c r="F237" s="51" t="s">
        <v>28</v>
      </c>
      <c r="G237" s="51" t="s">
        <v>1000</v>
      </c>
      <c r="H237" s="53">
        <f t="shared" si="19"/>
        <v>29</v>
      </c>
      <c r="I237" s="17">
        <f t="shared" si="17"/>
        <v>1</v>
      </c>
      <c r="J237" s="18">
        <f t="shared" si="18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.75" thickBot="1" x14ac:dyDescent="0.3">
      <c r="A238" s="51" t="s">
        <v>382</v>
      </c>
      <c r="B238" s="51" t="s">
        <v>1106</v>
      </c>
      <c r="C238" s="51" t="s">
        <v>1172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9"/>
        <v>29</v>
      </c>
      <c r="I238" s="17">
        <f t="shared" si="17"/>
        <v>1</v>
      </c>
      <c r="J238" s="18">
        <f t="shared" si="18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.75" thickBot="1" x14ac:dyDescent="0.3">
      <c r="A239" s="51" t="s">
        <v>382</v>
      </c>
      <c r="B239" s="51" t="s">
        <v>1107</v>
      </c>
      <c r="C239" s="51" t="s">
        <v>1172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9"/>
        <v>29</v>
      </c>
      <c r="I239" s="17">
        <f t="shared" si="17"/>
        <v>1</v>
      </c>
      <c r="J239" s="18">
        <f t="shared" si="18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.75" thickBot="1" x14ac:dyDescent="0.3">
      <c r="A240" s="51" t="s">
        <v>382</v>
      </c>
      <c r="B240" s="51" t="s">
        <v>385</v>
      </c>
      <c r="C240" s="51" t="s">
        <v>1172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9"/>
        <v>29</v>
      </c>
      <c r="I240" s="17">
        <f t="shared" si="17"/>
        <v>1</v>
      </c>
      <c r="J240" s="18">
        <f t="shared" si="18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.75" thickBot="1" x14ac:dyDescent="0.3">
      <c r="A241" s="51" t="s">
        <v>382</v>
      </c>
      <c r="B241" s="51" t="s">
        <v>387</v>
      </c>
      <c r="C241" s="51" t="s">
        <v>1172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9"/>
        <v>29</v>
      </c>
      <c r="I241" s="17">
        <f t="shared" si="17"/>
        <v>1</v>
      </c>
      <c r="J241" s="18">
        <f t="shared" si="18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.75" thickBot="1" x14ac:dyDescent="0.3">
      <c r="A242" s="51" t="s">
        <v>988</v>
      </c>
      <c r="B242" s="51" t="s">
        <v>1108</v>
      </c>
      <c r="C242" s="51" t="s">
        <v>1172</v>
      </c>
      <c r="D242" s="51" t="s">
        <v>1109</v>
      </c>
      <c r="E242" s="51" t="s">
        <v>1165</v>
      </c>
      <c r="F242" s="51" t="s">
        <v>28</v>
      </c>
      <c r="G242" s="51" t="s">
        <v>990</v>
      </c>
      <c r="H242" s="53">
        <f t="shared" si="19"/>
        <v>20</v>
      </c>
      <c r="I242" s="17">
        <f t="shared" si="17"/>
        <v>10</v>
      </c>
      <c r="J242" s="18">
        <f t="shared" si="18"/>
        <v>0.66666666666666663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 t="s">
        <v>1010</v>
      </c>
      <c r="W242" s="27" t="s">
        <v>1010</v>
      </c>
      <c r="X242" s="27" t="s">
        <v>1010</v>
      </c>
      <c r="Y242" s="27" t="s">
        <v>1010</v>
      </c>
      <c r="Z242" s="27" t="s">
        <v>1010</v>
      </c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.75" thickBot="1" x14ac:dyDescent="0.3">
      <c r="A243" s="51" t="s">
        <v>988</v>
      </c>
      <c r="B243" s="51" t="s">
        <v>987</v>
      </c>
      <c r="C243" s="51" t="s">
        <v>1172</v>
      </c>
      <c r="D243" s="51" t="s">
        <v>1109</v>
      </c>
      <c r="E243" s="51" t="s">
        <v>1166</v>
      </c>
      <c r="F243" s="51" t="s">
        <v>28</v>
      </c>
      <c r="G243" s="51" t="s">
        <v>989</v>
      </c>
      <c r="H243" s="53">
        <f t="shared" si="19"/>
        <v>19</v>
      </c>
      <c r="I243" s="17">
        <f t="shared" si="17"/>
        <v>11</v>
      </c>
      <c r="J243" s="18">
        <f t="shared" si="18"/>
        <v>0.6333333333333333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 t="s">
        <v>1010</v>
      </c>
      <c r="W243" s="27" t="s">
        <v>1010</v>
      </c>
      <c r="X243" s="27" t="s">
        <v>1010</v>
      </c>
      <c r="Y243" s="27" t="s">
        <v>1010</v>
      </c>
      <c r="Z243" s="27" t="s">
        <v>1010</v>
      </c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.75" thickBot="1" x14ac:dyDescent="0.3">
      <c r="A244" s="51" t="s">
        <v>268</v>
      </c>
      <c r="B244" s="51" t="s">
        <v>1110</v>
      </c>
      <c r="C244" s="51" t="s">
        <v>1171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9"/>
        <v>13</v>
      </c>
      <c r="I244" s="17">
        <f t="shared" si="17"/>
        <v>17</v>
      </c>
      <c r="J244" s="18">
        <f t="shared" si="18"/>
        <v>0.43333333333333335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 t="s">
        <v>1010</v>
      </c>
      <c r="AG244" s="8" t="s">
        <v>1010</v>
      </c>
      <c r="AH244" s="8" t="s">
        <v>1010</v>
      </c>
      <c r="AI244" s="8" t="s">
        <v>1010</v>
      </c>
      <c r="AJ244" s="27" t="s">
        <v>1010</v>
      </c>
      <c r="AK244" s="8" t="s">
        <v>1010</v>
      </c>
      <c r="AL244" s="8" t="s">
        <v>1010</v>
      </c>
      <c r="AM244" s="27"/>
      <c r="AN244" s="27"/>
      <c r="AO244" s="27"/>
    </row>
    <row r="245" spans="1:41" ht="15.75" thickBot="1" x14ac:dyDescent="0.3">
      <c r="A245" s="51" t="s">
        <v>268</v>
      </c>
      <c r="B245" s="51" t="s">
        <v>1111</v>
      </c>
      <c r="C245" s="51" t="s">
        <v>1171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9"/>
        <v>13</v>
      </c>
      <c r="I245" s="17">
        <f t="shared" si="17"/>
        <v>17</v>
      </c>
      <c r="J245" s="18">
        <f t="shared" si="18"/>
        <v>0.43333333333333335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 t="s">
        <v>1010</v>
      </c>
      <c r="AG245" s="27" t="s">
        <v>1010</v>
      </c>
      <c r="AH245" s="27" t="s">
        <v>1010</v>
      </c>
      <c r="AI245" s="27" t="s">
        <v>1010</v>
      </c>
      <c r="AJ245" s="27" t="s">
        <v>1010</v>
      </c>
      <c r="AK245" s="27" t="s">
        <v>1010</v>
      </c>
      <c r="AL245" s="27" t="s">
        <v>1010</v>
      </c>
      <c r="AM245" s="27"/>
      <c r="AN245" s="27"/>
      <c r="AO245" s="27"/>
    </row>
    <row r="246" spans="1:41" ht="15.75" thickBot="1" x14ac:dyDescent="0.3">
      <c r="A246" s="51" t="s">
        <v>268</v>
      </c>
      <c r="B246" s="51" t="s">
        <v>1112</v>
      </c>
      <c r="C246" s="51" t="s">
        <v>1171</v>
      </c>
      <c r="D246" s="51" t="s">
        <v>1113</v>
      </c>
      <c r="E246" s="51" t="s">
        <v>19</v>
      </c>
      <c r="F246" s="51" t="s">
        <v>28</v>
      </c>
      <c r="G246" s="51"/>
      <c r="H246" s="53">
        <f t="shared" si="19"/>
        <v>30</v>
      </c>
      <c r="I246" s="17">
        <f t="shared" si="17"/>
        <v>0</v>
      </c>
      <c r="J246" s="18">
        <f t="shared" si="18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.75" thickBot="1" x14ac:dyDescent="0.3">
      <c r="A247" s="51" t="s">
        <v>268</v>
      </c>
      <c r="B247" s="51" t="s">
        <v>1114</v>
      </c>
      <c r="C247" s="51" t="s">
        <v>1171</v>
      </c>
      <c r="D247" s="51" t="s">
        <v>1115</v>
      </c>
      <c r="E247" s="51" t="s">
        <v>19</v>
      </c>
      <c r="F247" s="51" t="s">
        <v>28</v>
      </c>
      <c r="G247" s="51"/>
      <c r="H247" s="53">
        <f t="shared" si="19"/>
        <v>30</v>
      </c>
      <c r="I247" s="17">
        <f t="shared" si="17"/>
        <v>0</v>
      </c>
      <c r="J247" s="18">
        <f t="shared" si="18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.75" thickBot="1" x14ac:dyDescent="0.3">
      <c r="A248" s="51" t="s">
        <v>268</v>
      </c>
      <c r="B248" s="51" t="s">
        <v>389</v>
      </c>
      <c r="C248" s="51" t="s">
        <v>1171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9"/>
        <v>30</v>
      </c>
      <c r="I248" s="17">
        <f t="shared" si="17"/>
        <v>0</v>
      </c>
      <c r="J248" s="18">
        <f t="shared" si="18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.75" thickBot="1" x14ac:dyDescent="0.3">
      <c r="A249" s="51" t="s">
        <v>391</v>
      </c>
      <c r="B249" s="51" t="s">
        <v>392</v>
      </c>
      <c r="C249" s="51" t="s">
        <v>1171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9"/>
        <v>30</v>
      </c>
      <c r="I249" s="17">
        <f t="shared" si="17"/>
        <v>0</v>
      </c>
      <c r="J249" s="18">
        <f t="shared" si="18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.75" thickBot="1" x14ac:dyDescent="0.3">
      <c r="A250" s="51" t="s">
        <v>391</v>
      </c>
      <c r="B250" s="51" t="s">
        <v>394</v>
      </c>
      <c r="C250" s="51" t="s">
        <v>1171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9"/>
        <v>30</v>
      </c>
      <c r="I250" s="17">
        <f t="shared" si="17"/>
        <v>0</v>
      </c>
      <c r="J250" s="18">
        <f t="shared" si="18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.75" thickBot="1" x14ac:dyDescent="0.3">
      <c r="A251" s="51" t="s">
        <v>396</v>
      </c>
      <c r="B251" s="51" t="s">
        <v>397</v>
      </c>
      <c r="C251" s="51" t="s">
        <v>1171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9"/>
        <v>30</v>
      </c>
      <c r="I251" s="17">
        <f t="shared" si="17"/>
        <v>0</v>
      </c>
      <c r="J251" s="18">
        <f t="shared" si="18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.75" thickBot="1" x14ac:dyDescent="0.3">
      <c r="A252" s="51" t="s">
        <v>298</v>
      </c>
      <c r="B252" s="51" t="s">
        <v>1116</v>
      </c>
      <c r="C252" s="51" t="s">
        <v>1171</v>
      </c>
      <c r="D252" s="51" t="s">
        <v>401</v>
      </c>
      <c r="E252" s="51" t="s">
        <v>19</v>
      </c>
      <c r="F252" s="51" t="s">
        <v>1163</v>
      </c>
      <c r="G252" s="51" t="s">
        <v>851</v>
      </c>
      <c r="H252" s="53">
        <f t="shared" si="19"/>
        <v>23</v>
      </c>
      <c r="I252" s="17">
        <f t="shared" si="17"/>
        <v>7</v>
      </c>
      <c r="J252" s="18">
        <f t="shared" si="18"/>
        <v>0.76666666666666672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 t="s">
        <v>1010</v>
      </c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.75" thickBot="1" x14ac:dyDescent="0.3">
      <c r="A253" s="51" t="s">
        <v>298</v>
      </c>
      <c r="B253" s="51" t="s">
        <v>399</v>
      </c>
      <c r="C253" s="51" t="s">
        <v>1171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9"/>
        <v>30</v>
      </c>
      <c r="I253" s="17">
        <f t="shared" si="17"/>
        <v>0</v>
      </c>
      <c r="J253" s="18">
        <f t="shared" si="18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.75" thickBot="1" x14ac:dyDescent="0.3">
      <c r="A254" s="51" t="s">
        <v>298</v>
      </c>
      <c r="B254" s="51" t="s">
        <v>402</v>
      </c>
      <c r="C254" s="51" t="s">
        <v>1171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9"/>
        <v>2</v>
      </c>
      <c r="I254" s="17">
        <f t="shared" si="17"/>
        <v>28</v>
      </c>
      <c r="J254" s="18">
        <f t="shared" si="18"/>
        <v>6.6666666666666666E-2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 t="s">
        <v>1010</v>
      </c>
      <c r="W254" s="27" t="s">
        <v>1010</v>
      </c>
      <c r="X254" s="27" t="s">
        <v>1010</v>
      </c>
      <c r="Y254" s="27" t="s">
        <v>1010</v>
      </c>
      <c r="Z254" s="27" t="s">
        <v>1010</v>
      </c>
      <c r="AA254" s="27" t="s">
        <v>1010</v>
      </c>
      <c r="AB254" s="27" t="s">
        <v>1010</v>
      </c>
      <c r="AC254" s="27" t="s">
        <v>1010</v>
      </c>
      <c r="AD254" s="27" t="s">
        <v>1010</v>
      </c>
      <c r="AE254" s="27" t="s">
        <v>1010</v>
      </c>
      <c r="AF254" s="27" t="s">
        <v>1010</v>
      </c>
      <c r="AG254" s="8" t="s">
        <v>1010</v>
      </c>
      <c r="AH254" s="8" t="s">
        <v>1010</v>
      </c>
      <c r="AI254" s="8" t="s">
        <v>1010</v>
      </c>
      <c r="AJ254" s="27" t="s">
        <v>1010</v>
      </c>
      <c r="AK254" s="8" t="s">
        <v>1010</v>
      </c>
      <c r="AL254" s="8" t="s">
        <v>1010</v>
      </c>
      <c r="AM254" s="27"/>
      <c r="AN254" s="27"/>
      <c r="AO254" s="27"/>
    </row>
    <row r="255" spans="1:41" ht="15.75" thickBot="1" x14ac:dyDescent="0.3">
      <c r="A255" s="51" t="s">
        <v>298</v>
      </c>
      <c r="B255" s="51" t="s">
        <v>404</v>
      </c>
      <c r="C255" s="51" t="s">
        <v>1171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9"/>
        <v>3</v>
      </c>
      <c r="I255" s="17">
        <f t="shared" si="17"/>
        <v>27</v>
      </c>
      <c r="J255" s="18">
        <f t="shared" si="18"/>
        <v>0.1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 t="s">
        <v>1010</v>
      </c>
      <c r="W255" s="27" t="s">
        <v>1010</v>
      </c>
      <c r="X255" s="27" t="s">
        <v>1010</v>
      </c>
      <c r="Y255" s="27" t="s">
        <v>1010</v>
      </c>
      <c r="Z255" s="27" t="s">
        <v>1010</v>
      </c>
      <c r="AA255" s="27" t="s">
        <v>1010</v>
      </c>
      <c r="AB255" s="27" t="s">
        <v>1010</v>
      </c>
      <c r="AC255" s="27" t="s">
        <v>1010</v>
      </c>
      <c r="AD255" s="27" t="s">
        <v>1010</v>
      </c>
      <c r="AE255" s="27" t="s">
        <v>1010</v>
      </c>
      <c r="AF255" s="27" t="s">
        <v>1010</v>
      </c>
      <c r="AG255" s="8" t="s">
        <v>1010</v>
      </c>
      <c r="AH255" s="8" t="s">
        <v>1010</v>
      </c>
      <c r="AI255" s="8" t="s">
        <v>1010</v>
      </c>
      <c r="AJ255" s="27" t="s">
        <v>1010</v>
      </c>
      <c r="AK255" s="8" t="s">
        <v>1010</v>
      </c>
      <c r="AL255" s="8"/>
      <c r="AM255" s="27"/>
      <c r="AN255" s="27"/>
      <c r="AO255" s="27"/>
    </row>
    <row r="256" spans="1:41" ht="15.75" thickBot="1" x14ac:dyDescent="0.3">
      <c r="A256" s="51" t="s">
        <v>391</v>
      </c>
      <c r="B256" s="51" t="s">
        <v>405</v>
      </c>
      <c r="C256" s="51" t="s">
        <v>1171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9"/>
        <v>29</v>
      </c>
      <c r="I256" s="17">
        <f t="shared" si="17"/>
        <v>1</v>
      </c>
      <c r="J256" s="18">
        <f t="shared" si="18"/>
        <v>0.96666666666666667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 t="s">
        <v>1010</v>
      </c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.75" thickBot="1" x14ac:dyDescent="0.3">
      <c r="A257" s="51" t="s">
        <v>391</v>
      </c>
      <c r="B257" s="51" t="s">
        <v>407</v>
      </c>
      <c r="C257" s="51" t="s">
        <v>1171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9"/>
        <v>30</v>
      </c>
      <c r="I257" s="17">
        <f t="shared" si="17"/>
        <v>0</v>
      </c>
      <c r="J257" s="18">
        <f t="shared" si="18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.75" thickBot="1" x14ac:dyDescent="0.3">
      <c r="A258" s="51" t="s">
        <v>409</v>
      </c>
      <c r="B258" s="51" t="s">
        <v>410</v>
      </c>
      <c r="C258" s="51" t="s">
        <v>1171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9"/>
        <v>30</v>
      </c>
      <c r="I258" s="17">
        <f t="shared" si="17"/>
        <v>0</v>
      </c>
      <c r="J258" s="18">
        <f t="shared" si="18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.75" thickBot="1" x14ac:dyDescent="0.3">
      <c r="A259" s="51" t="s">
        <v>409</v>
      </c>
      <c r="B259" s="51" t="s">
        <v>412</v>
      </c>
      <c r="C259" s="51" t="s">
        <v>1171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9"/>
        <v>30</v>
      </c>
      <c r="I259" s="17">
        <f t="shared" si="17"/>
        <v>0</v>
      </c>
      <c r="J259" s="18">
        <f t="shared" si="18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.75" thickBot="1" x14ac:dyDescent="0.3">
      <c r="A260" s="51" t="s">
        <v>409</v>
      </c>
      <c r="B260" s="51" t="s">
        <v>413</v>
      </c>
      <c r="C260" s="51" t="s">
        <v>1171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9"/>
        <v>30</v>
      </c>
      <c r="I260" s="17">
        <f t="shared" si="17"/>
        <v>0</v>
      </c>
      <c r="J260" s="18">
        <f t="shared" si="18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.75" thickBot="1" x14ac:dyDescent="0.3">
      <c r="A261" s="51" t="s">
        <v>416</v>
      </c>
      <c r="B261" s="51" t="s">
        <v>993</v>
      </c>
      <c r="C261" s="51" t="s">
        <v>1171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9"/>
        <v>30</v>
      </c>
      <c r="I261" s="17">
        <f t="shared" si="17"/>
        <v>0</v>
      </c>
      <c r="J261" s="18">
        <f t="shared" si="18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.75" thickBot="1" x14ac:dyDescent="0.3">
      <c r="A262" s="51" t="s">
        <v>409</v>
      </c>
      <c r="B262" s="51" t="s">
        <v>995</v>
      </c>
      <c r="C262" s="51" t="s">
        <v>1171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20">COUNTIF(K262:AN262,"")</f>
        <v>29</v>
      </c>
      <c r="I262" s="17">
        <f t="shared" si="17"/>
        <v>1</v>
      </c>
      <c r="J262" s="18">
        <f t="shared" si="18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.75" thickBot="1" x14ac:dyDescent="0.3">
      <c r="A263" s="51" t="s">
        <v>409</v>
      </c>
      <c r="B263" s="51" t="s">
        <v>1117</v>
      </c>
      <c r="C263" s="51" t="s">
        <v>1171</v>
      </c>
      <c r="D263" s="51" t="s">
        <v>1118</v>
      </c>
      <c r="E263" s="51" t="s">
        <v>19</v>
      </c>
      <c r="F263" s="51" t="s">
        <v>28</v>
      </c>
      <c r="G263" s="51"/>
      <c r="H263" s="53">
        <f t="shared" si="20"/>
        <v>30</v>
      </c>
      <c r="I263" s="17">
        <f t="shared" ref="I263:I326" si="21">COUNTIF(K263:AL263,"APAGADO")</f>
        <v>0</v>
      </c>
      <c r="J263" s="18">
        <f t="shared" ref="J263:J326" si="22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.75" thickBot="1" x14ac:dyDescent="0.3">
      <c r="A264" s="51" t="s">
        <v>409</v>
      </c>
      <c r="B264" s="51" t="s">
        <v>414</v>
      </c>
      <c r="C264" s="51" t="s">
        <v>1171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20"/>
        <v>30</v>
      </c>
      <c r="I264" s="17">
        <f t="shared" si="21"/>
        <v>0</v>
      </c>
      <c r="J264" s="18">
        <f t="shared" si="22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.75" thickBot="1" x14ac:dyDescent="0.3">
      <c r="A265" s="51" t="s">
        <v>416</v>
      </c>
      <c r="B265" s="51" t="s">
        <v>417</v>
      </c>
      <c r="C265" s="51" t="s">
        <v>1171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20"/>
        <v>30</v>
      </c>
      <c r="I265" s="17">
        <f t="shared" si="21"/>
        <v>0</v>
      </c>
      <c r="J265" s="18">
        <f t="shared" si="22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.75" thickBot="1" x14ac:dyDescent="0.3">
      <c r="A266" s="51" t="s">
        <v>416</v>
      </c>
      <c r="B266" s="51" t="s">
        <v>419</v>
      </c>
      <c r="C266" s="51" t="s">
        <v>1171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20"/>
        <v>30</v>
      </c>
      <c r="I266" s="17">
        <f t="shared" si="21"/>
        <v>0</v>
      </c>
      <c r="J266" s="18">
        <f t="shared" si="22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.75" thickBot="1" x14ac:dyDescent="0.3">
      <c r="A267" s="51" t="s">
        <v>409</v>
      </c>
      <c r="B267" s="51" t="s">
        <v>420</v>
      </c>
      <c r="C267" s="51" t="s">
        <v>1171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20"/>
        <v>29</v>
      </c>
      <c r="I267" s="17">
        <f t="shared" si="21"/>
        <v>1</v>
      </c>
      <c r="J267" s="18">
        <f t="shared" si="22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.75" thickBot="1" x14ac:dyDescent="0.3">
      <c r="A268" s="51" t="s">
        <v>409</v>
      </c>
      <c r="B268" s="51" t="s">
        <v>422</v>
      </c>
      <c r="C268" s="51" t="s">
        <v>1171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20"/>
        <v>29</v>
      </c>
      <c r="I268" s="17">
        <f t="shared" si="21"/>
        <v>1</v>
      </c>
      <c r="J268" s="18">
        <f t="shared" si="22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.75" thickBot="1" x14ac:dyDescent="0.3">
      <c r="A269" s="51" t="s">
        <v>409</v>
      </c>
      <c r="B269" s="51" t="s">
        <v>423</v>
      </c>
      <c r="C269" s="51" t="s">
        <v>1171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20"/>
        <v>29</v>
      </c>
      <c r="I269" s="17">
        <f t="shared" si="21"/>
        <v>1</v>
      </c>
      <c r="J269" s="18">
        <f t="shared" si="22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.75" thickBot="1" x14ac:dyDescent="0.3">
      <c r="A270" s="51" t="s">
        <v>409</v>
      </c>
      <c r="B270" s="51" t="s">
        <v>425</v>
      </c>
      <c r="C270" s="51" t="s">
        <v>1171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20"/>
        <v>29</v>
      </c>
      <c r="I270" s="17">
        <f t="shared" si="21"/>
        <v>1</v>
      </c>
      <c r="J270" s="18">
        <f t="shared" si="22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.75" thickBot="1" x14ac:dyDescent="0.3">
      <c r="A271" s="51" t="s">
        <v>199</v>
      </c>
      <c r="B271" s="51" t="s">
        <v>426</v>
      </c>
      <c r="C271" s="51" t="s">
        <v>1172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20"/>
        <v>30</v>
      </c>
      <c r="I271" s="17">
        <f t="shared" si="21"/>
        <v>0</v>
      </c>
      <c r="J271" s="18">
        <f t="shared" si="22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.75" thickBot="1" x14ac:dyDescent="0.3">
      <c r="A272" s="51" t="s">
        <v>199</v>
      </c>
      <c r="B272" s="51" t="s">
        <v>428</v>
      </c>
      <c r="C272" s="51" t="s">
        <v>1172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20"/>
        <v>30</v>
      </c>
      <c r="I272" s="17">
        <f t="shared" si="21"/>
        <v>0</v>
      </c>
      <c r="J272" s="18">
        <f t="shared" si="22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.75" thickBot="1" x14ac:dyDescent="0.3">
      <c r="A273" s="51" t="s">
        <v>199</v>
      </c>
      <c r="B273" s="51" t="s">
        <v>1119</v>
      </c>
      <c r="C273" s="51" t="s">
        <v>1172</v>
      </c>
      <c r="D273" s="51" t="s">
        <v>1120</v>
      </c>
      <c r="E273" s="51" t="s">
        <v>73</v>
      </c>
      <c r="F273" s="51" t="s">
        <v>20</v>
      </c>
      <c r="G273" s="51"/>
      <c r="H273" s="53">
        <f t="shared" si="20"/>
        <v>30</v>
      </c>
      <c r="I273" s="17">
        <f t="shared" si="21"/>
        <v>0</v>
      </c>
      <c r="J273" s="18">
        <f t="shared" si="22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.75" thickBot="1" x14ac:dyDescent="0.3">
      <c r="A274" s="51" t="s">
        <v>199</v>
      </c>
      <c r="B274" s="51" t="s">
        <v>1121</v>
      </c>
      <c r="C274" s="51" t="s">
        <v>1172</v>
      </c>
      <c r="D274" s="51" t="s">
        <v>1120</v>
      </c>
      <c r="E274" s="51" t="s">
        <v>73</v>
      </c>
      <c r="F274" s="51" t="s">
        <v>20</v>
      </c>
      <c r="G274" s="51"/>
      <c r="H274" s="53">
        <f t="shared" si="20"/>
        <v>30</v>
      </c>
      <c r="I274" s="17">
        <f t="shared" si="21"/>
        <v>0</v>
      </c>
      <c r="J274" s="18">
        <f t="shared" si="22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.75" thickBot="1" x14ac:dyDescent="0.3">
      <c r="A275" s="51" t="s">
        <v>199</v>
      </c>
      <c r="B275" s="51" t="s">
        <v>430</v>
      </c>
      <c r="C275" s="51" t="s">
        <v>1172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20"/>
        <v>30</v>
      </c>
      <c r="I275" s="17">
        <f t="shared" si="21"/>
        <v>0</v>
      </c>
      <c r="J275" s="18">
        <f t="shared" si="22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.75" thickBot="1" x14ac:dyDescent="0.3">
      <c r="A276" s="51" t="s">
        <v>199</v>
      </c>
      <c r="B276" s="51" t="s">
        <v>432</v>
      </c>
      <c r="C276" s="51" t="s">
        <v>1172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20"/>
        <v>30</v>
      </c>
      <c r="I276" s="17">
        <f t="shared" si="21"/>
        <v>0</v>
      </c>
      <c r="J276" s="18">
        <f t="shared" si="22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.75" thickBot="1" x14ac:dyDescent="0.3">
      <c r="A277" s="51" t="s">
        <v>199</v>
      </c>
      <c r="B277" s="51" t="s">
        <v>434</v>
      </c>
      <c r="C277" s="51" t="s">
        <v>1172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20"/>
        <v>28</v>
      </c>
      <c r="I277" s="17">
        <f t="shared" si="21"/>
        <v>2</v>
      </c>
      <c r="J277" s="18">
        <f t="shared" si="22"/>
        <v>0.93333333333333335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 t="s">
        <v>1010</v>
      </c>
      <c r="AL277" s="8" t="s">
        <v>1010</v>
      </c>
      <c r="AM277" s="27"/>
      <c r="AN277" s="27"/>
      <c r="AO277" s="27"/>
    </row>
    <row r="278" spans="1:41" ht="15.75" thickBot="1" x14ac:dyDescent="0.3">
      <c r="A278" s="51" t="s">
        <v>199</v>
      </c>
      <c r="B278" s="51" t="s">
        <v>436</v>
      </c>
      <c r="C278" s="51" t="s">
        <v>1172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20"/>
        <v>29</v>
      </c>
      <c r="I278" s="17">
        <f t="shared" si="21"/>
        <v>1</v>
      </c>
      <c r="J278" s="18">
        <f t="shared" si="22"/>
        <v>0.96666666666666667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 t="s">
        <v>1010</v>
      </c>
      <c r="AL278" s="8"/>
      <c r="AM278" s="27"/>
      <c r="AN278" s="27"/>
      <c r="AO278" s="27"/>
    </row>
    <row r="279" spans="1:41" ht="15.75" thickBot="1" x14ac:dyDescent="0.3">
      <c r="A279" s="51" t="s">
        <v>199</v>
      </c>
      <c r="B279" s="51" t="s">
        <v>437</v>
      </c>
      <c r="C279" s="51" t="s">
        <v>1172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20"/>
        <v>29</v>
      </c>
      <c r="I279" s="17">
        <f t="shared" si="21"/>
        <v>1</v>
      </c>
      <c r="J279" s="18">
        <f t="shared" si="22"/>
        <v>0.96666666666666667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 t="s">
        <v>1010</v>
      </c>
      <c r="AL279" s="8"/>
      <c r="AM279" s="27"/>
      <c r="AN279" s="27"/>
      <c r="AO279" s="27"/>
    </row>
    <row r="280" spans="1:41" ht="15.75" thickBot="1" x14ac:dyDescent="0.3">
      <c r="A280" s="51" t="s">
        <v>199</v>
      </c>
      <c r="B280" s="51" t="s">
        <v>439</v>
      </c>
      <c r="C280" s="51" t="s">
        <v>1172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20"/>
        <v>29</v>
      </c>
      <c r="I280" s="17">
        <f t="shared" si="21"/>
        <v>1</v>
      </c>
      <c r="J280" s="18">
        <f t="shared" si="22"/>
        <v>0.96666666666666667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 t="s">
        <v>1010</v>
      </c>
      <c r="AL280" s="8"/>
      <c r="AM280" s="27"/>
      <c r="AN280" s="27"/>
      <c r="AO280" s="27"/>
    </row>
    <row r="281" spans="1:41" ht="15.75" thickBot="1" x14ac:dyDescent="0.3">
      <c r="A281" s="51" t="s">
        <v>440</v>
      </c>
      <c r="B281" s="51" t="s">
        <v>441</v>
      </c>
      <c r="C281" s="51" t="s">
        <v>1172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20"/>
        <v>30</v>
      </c>
      <c r="I281" s="17">
        <f t="shared" si="21"/>
        <v>0</v>
      </c>
      <c r="J281" s="18">
        <f t="shared" si="22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.75" thickBot="1" x14ac:dyDescent="0.3">
      <c r="A282" s="51" t="s">
        <v>445</v>
      </c>
      <c r="B282" s="51" t="s">
        <v>443</v>
      </c>
      <c r="C282" s="51" t="s">
        <v>1172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20"/>
        <v>30</v>
      </c>
      <c r="I282" s="17">
        <f t="shared" si="21"/>
        <v>0</v>
      </c>
      <c r="J282" s="18">
        <f t="shared" si="22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.75" thickBot="1" x14ac:dyDescent="0.3">
      <c r="A283" s="51" t="s">
        <v>445</v>
      </c>
      <c r="B283" s="51" t="s">
        <v>446</v>
      </c>
      <c r="C283" s="51" t="s">
        <v>1172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20"/>
        <v>30</v>
      </c>
      <c r="I283" s="17">
        <f t="shared" si="21"/>
        <v>0</v>
      </c>
      <c r="J283" s="18">
        <f t="shared" si="22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.75" thickBot="1" x14ac:dyDescent="0.3">
      <c r="A284" s="51" t="s">
        <v>445</v>
      </c>
      <c r="B284" s="51" t="s">
        <v>448</v>
      </c>
      <c r="C284" s="51" t="s">
        <v>1172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20"/>
        <v>30</v>
      </c>
      <c r="I284" s="17">
        <f t="shared" si="21"/>
        <v>0</v>
      </c>
      <c r="J284" s="18">
        <f t="shared" si="22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.75" thickBot="1" x14ac:dyDescent="0.3">
      <c r="A285" s="51" t="s">
        <v>445</v>
      </c>
      <c r="B285" s="51" t="s">
        <v>450</v>
      </c>
      <c r="C285" s="51" t="s">
        <v>1172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20"/>
        <v>30</v>
      </c>
      <c r="I285" s="17">
        <f t="shared" si="21"/>
        <v>0</v>
      </c>
      <c r="J285" s="18">
        <f t="shared" si="22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.75" thickBot="1" x14ac:dyDescent="0.3">
      <c r="A286" s="51" t="s">
        <v>445</v>
      </c>
      <c r="B286" s="51" t="s">
        <v>452</v>
      </c>
      <c r="C286" s="51" t="s">
        <v>1172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20"/>
        <v>30</v>
      </c>
      <c r="I286" s="17">
        <f t="shared" si="21"/>
        <v>0</v>
      </c>
      <c r="J286" s="18">
        <f t="shared" si="22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.75" thickBot="1" x14ac:dyDescent="0.3">
      <c r="A287" s="51" t="s">
        <v>445</v>
      </c>
      <c r="B287" s="51" t="s">
        <v>454</v>
      </c>
      <c r="C287" s="51" t="s">
        <v>1172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20"/>
        <v>30</v>
      </c>
      <c r="I287" s="17">
        <f t="shared" si="21"/>
        <v>0</v>
      </c>
      <c r="J287" s="18">
        <f t="shared" si="22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.75" thickBot="1" x14ac:dyDescent="0.3">
      <c r="A288" s="51" t="s">
        <v>445</v>
      </c>
      <c r="B288" s="51" t="s">
        <v>456</v>
      </c>
      <c r="C288" s="51" t="s">
        <v>1172</v>
      </c>
      <c r="D288" s="51" t="s">
        <v>457</v>
      </c>
      <c r="E288" s="51" t="s">
        <v>15</v>
      </c>
      <c r="F288" s="51" t="s">
        <v>1164</v>
      </c>
      <c r="G288" s="51" t="s">
        <v>878</v>
      </c>
      <c r="H288" s="53">
        <f t="shared" si="20"/>
        <v>30</v>
      </c>
      <c r="I288" s="17">
        <f t="shared" si="21"/>
        <v>0</v>
      </c>
      <c r="J288" s="18">
        <f t="shared" si="22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899999999999999" customHeight="1" thickBot="1" x14ac:dyDescent="0.3">
      <c r="A289" s="51" t="s">
        <v>168</v>
      </c>
      <c r="B289" s="51" t="s">
        <v>1122</v>
      </c>
      <c r="C289" s="51" t="s">
        <v>1171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20"/>
        <v>8</v>
      </c>
      <c r="I289" s="17">
        <f t="shared" si="21"/>
        <v>22</v>
      </c>
      <c r="J289" s="18">
        <f t="shared" si="22"/>
        <v>0.26666666666666666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 t="s">
        <v>1010</v>
      </c>
      <c r="W289" s="27" t="s">
        <v>1010</v>
      </c>
      <c r="X289" s="27" t="s">
        <v>1010</v>
      </c>
      <c r="Y289" s="27" t="s">
        <v>1010</v>
      </c>
      <c r="Z289" s="27" t="s">
        <v>1010</v>
      </c>
      <c r="AA289" s="27" t="s">
        <v>1010</v>
      </c>
      <c r="AB289" s="27" t="s">
        <v>1010</v>
      </c>
      <c r="AC289" s="27" t="s">
        <v>1010</v>
      </c>
      <c r="AD289" s="27" t="s">
        <v>1010</v>
      </c>
      <c r="AE289" s="27" t="s">
        <v>1010</v>
      </c>
      <c r="AF289" s="27" t="s">
        <v>1010</v>
      </c>
      <c r="AG289" s="8" t="s">
        <v>1010</v>
      </c>
      <c r="AH289" s="8" t="s">
        <v>1010</v>
      </c>
      <c r="AI289" s="8" t="s">
        <v>1010</v>
      </c>
      <c r="AJ289" s="27" t="s">
        <v>1010</v>
      </c>
      <c r="AK289" s="8" t="s">
        <v>1010</v>
      </c>
      <c r="AL289" s="8" t="s">
        <v>1010</v>
      </c>
      <c r="AM289" s="27"/>
      <c r="AN289" s="27"/>
      <c r="AO289" s="27"/>
    </row>
    <row r="290" spans="1:41" ht="15.75" thickBot="1" x14ac:dyDescent="0.3">
      <c r="A290" s="51" t="s">
        <v>168</v>
      </c>
      <c r="B290" s="51" t="s">
        <v>1123</v>
      </c>
      <c r="C290" s="51" t="s">
        <v>1171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20"/>
        <v>8</v>
      </c>
      <c r="I290" s="17">
        <f t="shared" si="21"/>
        <v>22</v>
      </c>
      <c r="J290" s="18">
        <f t="shared" si="22"/>
        <v>0.26666666666666666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 t="s">
        <v>1010</v>
      </c>
      <c r="W290" s="27" t="s">
        <v>1010</v>
      </c>
      <c r="X290" s="27" t="s">
        <v>1010</v>
      </c>
      <c r="Y290" s="27" t="s">
        <v>1010</v>
      </c>
      <c r="Z290" s="27" t="s">
        <v>1010</v>
      </c>
      <c r="AA290" s="27" t="s">
        <v>1010</v>
      </c>
      <c r="AB290" s="27" t="s">
        <v>1010</v>
      </c>
      <c r="AC290" s="27" t="s">
        <v>1010</v>
      </c>
      <c r="AD290" s="27" t="s">
        <v>1010</v>
      </c>
      <c r="AE290" s="27" t="s">
        <v>1010</v>
      </c>
      <c r="AF290" s="27" t="s">
        <v>1010</v>
      </c>
      <c r="AG290" s="8" t="s">
        <v>1010</v>
      </c>
      <c r="AH290" s="8" t="s">
        <v>1010</v>
      </c>
      <c r="AI290" s="8" t="s">
        <v>1010</v>
      </c>
      <c r="AJ290" s="27" t="s">
        <v>1010</v>
      </c>
      <c r="AK290" s="8" t="s">
        <v>1010</v>
      </c>
      <c r="AL290" s="8" t="s">
        <v>1010</v>
      </c>
      <c r="AM290" s="27"/>
      <c r="AN290" s="27"/>
      <c r="AO290" s="27"/>
    </row>
    <row r="291" spans="1:41" ht="15.75" thickBot="1" x14ac:dyDescent="0.3">
      <c r="A291" s="51" t="s">
        <v>168</v>
      </c>
      <c r="B291" s="51" t="s">
        <v>458</v>
      </c>
      <c r="C291" s="51" t="s">
        <v>1171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20"/>
        <v>8</v>
      </c>
      <c r="I291" s="17">
        <f t="shared" si="21"/>
        <v>22</v>
      </c>
      <c r="J291" s="18">
        <f t="shared" si="22"/>
        <v>0.26666666666666666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 t="s">
        <v>1010</v>
      </c>
      <c r="W291" s="27" t="s">
        <v>1010</v>
      </c>
      <c r="X291" s="27" t="s">
        <v>1010</v>
      </c>
      <c r="Y291" s="27" t="s">
        <v>1010</v>
      </c>
      <c r="Z291" s="27" t="s">
        <v>1010</v>
      </c>
      <c r="AA291" s="27" t="s">
        <v>1010</v>
      </c>
      <c r="AB291" s="27" t="s">
        <v>1010</v>
      </c>
      <c r="AC291" s="27" t="s">
        <v>1010</v>
      </c>
      <c r="AD291" s="27" t="s">
        <v>1010</v>
      </c>
      <c r="AE291" s="27" t="s">
        <v>1010</v>
      </c>
      <c r="AF291" s="27" t="s">
        <v>1010</v>
      </c>
      <c r="AG291" s="8" t="s">
        <v>1010</v>
      </c>
      <c r="AH291" s="8" t="s">
        <v>1010</v>
      </c>
      <c r="AI291" s="8" t="s">
        <v>1010</v>
      </c>
      <c r="AJ291" s="27" t="s">
        <v>1010</v>
      </c>
      <c r="AK291" s="8" t="s">
        <v>1010</v>
      </c>
      <c r="AL291" s="8" t="s">
        <v>1010</v>
      </c>
      <c r="AM291" s="27"/>
      <c r="AN291" s="27"/>
      <c r="AO291" s="27"/>
    </row>
    <row r="292" spans="1:41" ht="15.75" thickBot="1" x14ac:dyDescent="0.3">
      <c r="A292" s="51" t="s">
        <v>168</v>
      </c>
      <c r="B292" s="51" t="s">
        <v>460</v>
      </c>
      <c r="C292" s="51" t="s">
        <v>1171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20"/>
        <v>8</v>
      </c>
      <c r="I292" s="17">
        <f t="shared" si="21"/>
        <v>22</v>
      </c>
      <c r="J292" s="18">
        <f t="shared" si="22"/>
        <v>0.26666666666666666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 t="s">
        <v>1010</v>
      </c>
      <c r="W292" s="27" t="s">
        <v>1010</v>
      </c>
      <c r="X292" s="27" t="s">
        <v>1010</v>
      </c>
      <c r="Y292" s="27" t="s">
        <v>1010</v>
      </c>
      <c r="Z292" s="27" t="s">
        <v>1010</v>
      </c>
      <c r="AA292" s="27" t="s">
        <v>1010</v>
      </c>
      <c r="AB292" s="27" t="s">
        <v>1010</v>
      </c>
      <c r="AC292" s="27" t="s">
        <v>1010</v>
      </c>
      <c r="AD292" s="27" t="s">
        <v>1010</v>
      </c>
      <c r="AE292" s="27" t="s">
        <v>1010</v>
      </c>
      <c r="AF292" s="27" t="s">
        <v>1010</v>
      </c>
      <c r="AG292" s="8" t="s">
        <v>1010</v>
      </c>
      <c r="AH292" s="8" t="s">
        <v>1010</v>
      </c>
      <c r="AI292" s="8" t="s">
        <v>1010</v>
      </c>
      <c r="AJ292" s="27" t="s">
        <v>1010</v>
      </c>
      <c r="AK292" s="8" t="s">
        <v>1010</v>
      </c>
      <c r="AL292" s="8" t="s">
        <v>1010</v>
      </c>
      <c r="AM292" s="27"/>
      <c r="AN292" s="27"/>
      <c r="AO292" s="27"/>
    </row>
    <row r="293" spans="1:41" ht="15.75" thickBot="1" x14ac:dyDescent="0.3">
      <c r="A293" s="51" t="s">
        <v>462</v>
      </c>
      <c r="B293" s="51" t="s">
        <v>1124</v>
      </c>
      <c r="C293" s="51" t="s">
        <v>1172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20"/>
        <v>30</v>
      </c>
      <c r="I293" s="17">
        <f t="shared" si="21"/>
        <v>0</v>
      </c>
      <c r="J293" s="18">
        <f t="shared" si="22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.75" thickBot="1" x14ac:dyDescent="0.3">
      <c r="A294" s="51" t="s">
        <v>462</v>
      </c>
      <c r="B294" s="51" t="s">
        <v>466</v>
      </c>
      <c r="C294" s="51" t="s">
        <v>1172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20"/>
        <v>30</v>
      </c>
      <c r="I294" s="17">
        <f t="shared" si="21"/>
        <v>0</v>
      </c>
      <c r="J294" s="18">
        <f t="shared" si="22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.75" thickBot="1" x14ac:dyDescent="0.3">
      <c r="A295" s="51" t="s">
        <v>462</v>
      </c>
      <c r="B295" s="51" t="s">
        <v>1125</v>
      </c>
      <c r="C295" s="51" t="s">
        <v>1172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20"/>
        <v>30</v>
      </c>
      <c r="I295" s="17">
        <f t="shared" si="21"/>
        <v>0</v>
      </c>
      <c r="J295" s="18">
        <f t="shared" si="22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.75" thickBot="1" x14ac:dyDescent="0.3">
      <c r="A296" s="51" t="s">
        <v>356</v>
      </c>
      <c r="B296" s="51" t="s">
        <v>1126</v>
      </c>
      <c r="C296" s="51" t="s">
        <v>1172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20"/>
        <v>29</v>
      </c>
      <c r="I296" s="17">
        <f t="shared" si="21"/>
        <v>1</v>
      </c>
      <c r="J296" s="18">
        <f t="shared" si="22"/>
        <v>0.96666666666666667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 t="s">
        <v>1010</v>
      </c>
      <c r="AK296" s="8"/>
      <c r="AL296" s="8"/>
      <c r="AM296" s="27"/>
      <c r="AN296" s="27"/>
      <c r="AO296" s="27"/>
    </row>
    <row r="297" spans="1:41" ht="15.75" thickBot="1" x14ac:dyDescent="0.3">
      <c r="A297" s="51" t="s">
        <v>356</v>
      </c>
      <c r="B297" s="51" t="s">
        <v>1127</v>
      </c>
      <c r="C297" s="51" t="s">
        <v>1172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20"/>
        <v>28</v>
      </c>
      <c r="I297" s="17">
        <f t="shared" si="21"/>
        <v>2</v>
      </c>
      <c r="J297" s="18">
        <f t="shared" si="22"/>
        <v>0.93333333333333335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 t="s">
        <v>1010</v>
      </c>
      <c r="AK297" s="8" t="s">
        <v>1010</v>
      </c>
      <c r="AL297" s="8"/>
      <c r="AM297" s="27"/>
      <c r="AN297" s="27"/>
      <c r="AO297" s="27"/>
    </row>
    <row r="298" spans="1:41" ht="15.75" thickBot="1" x14ac:dyDescent="0.3">
      <c r="A298" s="51" t="s">
        <v>462</v>
      </c>
      <c r="B298" s="51" t="s">
        <v>1128</v>
      </c>
      <c r="C298" s="51" t="s">
        <v>1172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20"/>
        <v>30</v>
      </c>
      <c r="I298" s="17">
        <f t="shared" si="21"/>
        <v>0</v>
      </c>
      <c r="J298" s="18">
        <f t="shared" si="22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.75" thickBot="1" x14ac:dyDescent="0.3">
      <c r="A299" s="51" t="s">
        <v>462</v>
      </c>
      <c r="B299" s="51" t="s">
        <v>1129</v>
      </c>
      <c r="C299" s="51" t="s">
        <v>1172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20"/>
        <v>30</v>
      </c>
      <c r="I299" s="17">
        <f t="shared" si="21"/>
        <v>0</v>
      </c>
      <c r="J299" s="18">
        <f t="shared" si="22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.75" thickBot="1" x14ac:dyDescent="0.3">
      <c r="A300" s="51" t="s">
        <v>462</v>
      </c>
      <c r="B300" s="51" t="s">
        <v>471</v>
      </c>
      <c r="C300" s="51" t="s">
        <v>1172</v>
      </c>
      <c r="D300" s="51" t="s">
        <v>1130</v>
      </c>
      <c r="E300" s="51" t="s">
        <v>19</v>
      </c>
      <c r="F300" s="51" t="s">
        <v>20</v>
      </c>
      <c r="G300" s="51" t="s">
        <v>887</v>
      </c>
      <c r="H300" s="53">
        <f t="shared" si="20"/>
        <v>30</v>
      </c>
      <c r="I300" s="17">
        <f t="shared" si="21"/>
        <v>0</v>
      </c>
      <c r="J300" s="18">
        <f t="shared" si="22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.75" thickBot="1" x14ac:dyDescent="0.3">
      <c r="A301" s="51" t="s">
        <v>356</v>
      </c>
      <c r="B301" s="51" t="s">
        <v>472</v>
      </c>
      <c r="C301" s="51" t="s">
        <v>1172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20"/>
        <v>30</v>
      </c>
      <c r="I301" s="17">
        <f t="shared" si="21"/>
        <v>0</v>
      </c>
      <c r="J301" s="18">
        <f t="shared" si="22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.75" thickBot="1" x14ac:dyDescent="0.3">
      <c r="A302" s="51" t="s">
        <v>462</v>
      </c>
      <c r="B302" s="51" t="s">
        <v>474</v>
      </c>
      <c r="C302" s="51" t="s">
        <v>1172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20"/>
        <v>28</v>
      </c>
      <c r="I302" s="17">
        <f t="shared" si="21"/>
        <v>2</v>
      </c>
      <c r="J302" s="18">
        <f t="shared" si="22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.75" thickBot="1" x14ac:dyDescent="0.3">
      <c r="A303" s="51" t="s">
        <v>462</v>
      </c>
      <c r="B303" s="51" t="s">
        <v>1131</v>
      </c>
      <c r="C303" s="51" t="s">
        <v>1172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20"/>
        <v>30</v>
      </c>
      <c r="I303" s="17">
        <f t="shared" si="21"/>
        <v>0</v>
      </c>
      <c r="J303" s="18">
        <f t="shared" si="22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.75" thickBot="1" x14ac:dyDescent="0.3">
      <c r="A304" s="51" t="s">
        <v>462</v>
      </c>
      <c r="B304" s="51" t="s">
        <v>1132</v>
      </c>
      <c r="C304" s="51" t="s">
        <v>1172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20"/>
        <v>30</v>
      </c>
      <c r="I304" s="17">
        <f t="shared" si="21"/>
        <v>0</v>
      </c>
      <c r="J304" s="18">
        <f t="shared" si="22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.75" thickBot="1" x14ac:dyDescent="0.3">
      <c r="A305" s="51" t="s">
        <v>462</v>
      </c>
      <c r="B305" s="51" t="s">
        <v>1133</v>
      </c>
      <c r="C305" s="51" t="s">
        <v>1172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20"/>
        <v>30</v>
      </c>
      <c r="I305" s="17">
        <f t="shared" si="21"/>
        <v>0</v>
      </c>
      <c r="J305" s="18">
        <f t="shared" si="22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.75" thickBot="1" x14ac:dyDescent="0.3">
      <c r="A306" s="51" t="s">
        <v>462</v>
      </c>
      <c r="B306" s="51" t="s">
        <v>1134</v>
      </c>
      <c r="C306" s="51" t="s">
        <v>1172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20"/>
        <v>30</v>
      </c>
      <c r="I306" s="17">
        <f t="shared" si="21"/>
        <v>0</v>
      </c>
      <c r="J306" s="18">
        <f t="shared" si="22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.75" thickBot="1" x14ac:dyDescent="0.3">
      <c r="A307" s="51" t="s">
        <v>462</v>
      </c>
      <c r="B307" s="51" t="s">
        <v>1135</v>
      </c>
      <c r="C307" s="51" t="s">
        <v>1172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20"/>
        <v>30</v>
      </c>
      <c r="I307" s="17">
        <f t="shared" si="21"/>
        <v>0</v>
      </c>
      <c r="J307" s="18">
        <f t="shared" si="22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.75" thickBot="1" x14ac:dyDescent="0.3">
      <c r="A308" s="51" t="s">
        <v>462</v>
      </c>
      <c r="B308" s="51" t="s">
        <v>478</v>
      </c>
      <c r="C308" s="51" t="s">
        <v>1172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20"/>
        <v>30</v>
      </c>
      <c r="I308" s="17">
        <f t="shared" si="21"/>
        <v>0</v>
      </c>
      <c r="J308" s="18">
        <f t="shared" si="22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.75" thickBot="1" x14ac:dyDescent="0.3">
      <c r="A309" s="51" t="s">
        <v>462</v>
      </c>
      <c r="B309" s="51" t="s">
        <v>481</v>
      </c>
      <c r="C309" s="51" t="s">
        <v>1172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20"/>
        <v>30</v>
      </c>
      <c r="I309" s="17">
        <f t="shared" si="21"/>
        <v>0</v>
      </c>
      <c r="J309" s="18">
        <f t="shared" si="22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.75" thickBot="1" x14ac:dyDescent="0.3">
      <c r="A310" s="51" t="s">
        <v>462</v>
      </c>
      <c r="B310" s="51" t="s">
        <v>1136</v>
      </c>
      <c r="C310" s="51" t="s">
        <v>1172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20"/>
        <v>30</v>
      </c>
      <c r="I310" s="17">
        <f t="shared" si="21"/>
        <v>0</v>
      </c>
      <c r="J310" s="18">
        <f t="shared" si="22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.75" thickBot="1" x14ac:dyDescent="0.3">
      <c r="A311" s="51" t="s">
        <v>462</v>
      </c>
      <c r="B311" s="51" t="s">
        <v>1137</v>
      </c>
      <c r="C311" s="51" t="s">
        <v>1172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20"/>
        <v>30</v>
      </c>
      <c r="I311" s="17">
        <f t="shared" si="21"/>
        <v>0</v>
      </c>
      <c r="J311" s="18">
        <f t="shared" si="22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.75" thickBot="1" x14ac:dyDescent="0.3">
      <c r="A312" s="51" t="s">
        <v>365</v>
      </c>
      <c r="B312" s="51" t="s">
        <v>484</v>
      </c>
      <c r="C312" s="51" t="s">
        <v>1172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20"/>
        <v>29</v>
      </c>
      <c r="I312" s="17">
        <f t="shared" si="21"/>
        <v>1</v>
      </c>
      <c r="J312" s="18">
        <f t="shared" si="22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.75" thickBot="1" x14ac:dyDescent="0.3">
      <c r="A313" s="51" t="s">
        <v>365</v>
      </c>
      <c r="B313" s="51" t="s">
        <v>486</v>
      </c>
      <c r="C313" s="51" t="s">
        <v>1172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20"/>
        <v>29</v>
      </c>
      <c r="I313" s="17">
        <f t="shared" si="21"/>
        <v>1</v>
      </c>
      <c r="J313" s="18">
        <f t="shared" si="22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.75" thickBot="1" x14ac:dyDescent="0.3">
      <c r="A314" s="51" t="s">
        <v>268</v>
      </c>
      <c r="B314" s="51" t="s">
        <v>1138</v>
      </c>
      <c r="C314" s="51" t="s">
        <v>1171</v>
      </c>
      <c r="D314" s="51" t="s">
        <v>505</v>
      </c>
      <c r="E314" s="51" t="s">
        <v>19</v>
      </c>
      <c r="F314" s="51" t="s">
        <v>1164</v>
      </c>
      <c r="G314" s="51" t="s">
        <v>913</v>
      </c>
      <c r="H314" s="53">
        <f t="shared" si="20"/>
        <v>30</v>
      </c>
      <c r="I314" s="17">
        <f t="shared" si="21"/>
        <v>0</v>
      </c>
      <c r="J314" s="18">
        <f t="shared" si="22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.75" thickBot="1" x14ac:dyDescent="0.3">
      <c r="A315" s="51" t="s">
        <v>487</v>
      </c>
      <c r="B315" s="51" t="s">
        <v>488</v>
      </c>
      <c r="C315" s="51" t="s">
        <v>1171</v>
      </c>
      <c r="D315" s="51" t="s">
        <v>489</v>
      </c>
      <c r="E315" s="51" t="s">
        <v>19</v>
      </c>
      <c r="F315" s="51" t="s">
        <v>1164</v>
      </c>
      <c r="G315" s="51" t="s">
        <v>905</v>
      </c>
      <c r="H315" s="53">
        <f t="shared" si="20"/>
        <v>30</v>
      </c>
      <c r="I315" s="17">
        <f t="shared" si="21"/>
        <v>0</v>
      </c>
      <c r="J315" s="18">
        <f t="shared" si="22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.75" thickBot="1" x14ac:dyDescent="0.3">
      <c r="A316" s="51" t="s">
        <v>487</v>
      </c>
      <c r="B316" s="51" t="s">
        <v>490</v>
      </c>
      <c r="C316" s="51" t="s">
        <v>1171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20"/>
        <v>21</v>
      </c>
      <c r="I316" s="17">
        <f t="shared" si="21"/>
        <v>9</v>
      </c>
      <c r="J316" s="18">
        <f t="shared" si="22"/>
        <v>0.7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 t="s">
        <v>1010</v>
      </c>
      <c r="Y316" s="27" t="s">
        <v>1010</v>
      </c>
      <c r="Z316" s="27" t="s">
        <v>1010</v>
      </c>
      <c r="AA316" s="27" t="s">
        <v>1010</v>
      </c>
      <c r="AB316" s="27" t="s">
        <v>1010</v>
      </c>
      <c r="AC316" s="27" t="s">
        <v>1010</v>
      </c>
      <c r="AD316" s="27" t="s">
        <v>1010</v>
      </c>
      <c r="AE316" s="27" t="s">
        <v>1010</v>
      </c>
      <c r="AF316" s="27" t="s">
        <v>1010</v>
      </c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.75" thickBot="1" x14ac:dyDescent="0.3">
      <c r="A317" s="51" t="s">
        <v>492</v>
      </c>
      <c r="B317" s="51" t="s">
        <v>493</v>
      </c>
      <c r="C317" s="51" t="s">
        <v>1171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20"/>
        <v>30</v>
      </c>
      <c r="I317" s="17">
        <f t="shared" si="21"/>
        <v>0</v>
      </c>
      <c r="J317" s="18">
        <f t="shared" si="22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.75" thickBot="1" x14ac:dyDescent="0.3">
      <c r="A318" s="51" t="s">
        <v>487</v>
      </c>
      <c r="B318" s="51" t="s">
        <v>495</v>
      </c>
      <c r="C318" s="51" t="s">
        <v>1171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20"/>
        <v>30</v>
      </c>
      <c r="I318" s="17">
        <f t="shared" si="21"/>
        <v>0</v>
      </c>
      <c r="J318" s="18">
        <f t="shared" si="22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.75" thickBot="1" x14ac:dyDescent="0.3">
      <c r="A319" s="51" t="s">
        <v>487</v>
      </c>
      <c r="B319" s="51" t="s">
        <v>497</v>
      </c>
      <c r="C319" s="51" t="s">
        <v>1171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20"/>
        <v>30</v>
      </c>
      <c r="I319" s="17">
        <f t="shared" si="21"/>
        <v>0</v>
      </c>
      <c r="J319" s="18">
        <f t="shared" si="22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.75" thickBot="1" x14ac:dyDescent="0.3">
      <c r="A320" s="51" t="s">
        <v>487</v>
      </c>
      <c r="B320" s="51" t="s">
        <v>499</v>
      </c>
      <c r="C320" s="51" t="s">
        <v>1171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20"/>
        <v>30</v>
      </c>
      <c r="I320" s="17">
        <f t="shared" si="21"/>
        <v>0</v>
      </c>
      <c r="J320" s="18">
        <f t="shared" si="22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.75" thickBot="1" x14ac:dyDescent="0.3">
      <c r="A321" s="51" t="s">
        <v>487</v>
      </c>
      <c r="B321" s="51" t="s">
        <v>501</v>
      </c>
      <c r="C321" s="51" t="s">
        <v>1171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20"/>
        <v>30</v>
      </c>
      <c r="I321" s="17">
        <f t="shared" si="21"/>
        <v>0</v>
      </c>
      <c r="J321" s="18">
        <f t="shared" si="22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.75" thickBot="1" x14ac:dyDescent="0.3">
      <c r="A322" s="51" t="s">
        <v>487</v>
      </c>
      <c r="B322" s="51" t="s">
        <v>503</v>
      </c>
      <c r="C322" s="51" t="s">
        <v>1171</v>
      </c>
      <c r="D322" s="51" t="s">
        <v>504</v>
      </c>
      <c r="E322" s="51" t="s">
        <v>19</v>
      </c>
      <c r="F322" s="51" t="s">
        <v>1164</v>
      </c>
      <c r="G322" s="51" t="s">
        <v>912</v>
      </c>
      <c r="H322" s="53">
        <f t="shared" si="20"/>
        <v>30</v>
      </c>
      <c r="I322" s="17">
        <f t="shared" si="21"/>
        <v>0</v>
      </c>
      <c r="J322" s="18">
        <f t="shared" si="22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.75" thickBot="1" x14ac:dyDescent="0.3">
      <c r="A323" s="51" t="s">
        <v>232</v>
      </c>
      <c r="B323" s="51" t="s">
        <v>506</v>
      </c>
      <c r="C323" s="51" t="s">
        <v>1172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20"/>
        <v>30</v>
      </c>
      <c r="I323" s="17">
        <f t="shared" si="21"/>
        <v>0</v>
      </c>
      <c r="J323" s="18">
        <f t="shared" si="22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.75" thickBot="1" x14ac:dyDescent="0.3">
      <c r="A324" s="51" t="s">
        <v>232</v>
      </c>
      <c r="B324" s="51" t="s">
        <v>508</v>
      </c>
      <c r="C324" s="51" t="s">
        <v>1172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20"/>
        <v>30</v>
      </c>
      <c r="I324" s="17">
        <f t="shared" si="21"/>
        <v>0</v>
      </c>
      <c r="J324" s="18">
        <f t="shared" si="22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.75" thickBot="1" x14ac:dyDescent="0.3">
      <c r="A325" s="51" t="s">
        <v>232</v>
      </c>
      <c r="B325" s="51" t="s">
        <v>1139</v>
      </c>
      <c r="C325" s="51" t="s">
        <v>1172</v>
      </c>
      <c r="D325" s="51" t="s">
        <v>518</v>
      </c>
      <c r="E325" s="51" t="s">
        <v>73</v>
      </c>
      <c r="F325" s="51" t="s">
        <v>1163</v>
      </c>
      <c r="G325" s="51" t="s">
        <v>921</v>
      </c>
      <c r="H325" s="53">
        <f t="shared" si="20"/>
        <v>29</v>
      </c>
      <c r="I325" s="17">
        <f t="shared" si="21"/>
        <v>1</v>
      </c>
      <c r="J325" s="18">
        <f t="shared" si="22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.75" thickBot="1" x14ac:dyDescent="0.3">
      <c r="A326" s="51" t="s">
        <v>232</v>
      </c>
      <c r="B326" s="51" t="s">
        <v>1140</v>
      </c>
      <c r="C326" s="51" t="s">
        <v>1172</v>
      </c>
      <c r="D326" s="51" t="s">
        <v>518</v>
      </c>
      <c r="E326" s="51" t="s">
        <v>73</v>
      </c>
      <c r="F326" s="51" t="s">
        <v>1163</v>
      </c>
      <c r="G326" s="51" t="s">
        <v>922</v>
      </c>
      <c r="H326" s="53">
        <f t="shared" ref="H326:H379" si="23">COUNTIF(K326:AN326,"")</f>
        <v>29</v>
      </c>
      <c r="I326" s="17">
        <f t="shared" si="21"/>
        <v>1</v>
      </c>
      <c r="J326" s="18">
        <f t="shared" si="22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.75" thickBot="1" x14ac:dyDescent="0.3">
      <c r="A327" s="51" t="s">
        <v>232</v>
      </c>
      <c r="B327" s="51" t="s">
        <v>510</v>
      </c>
      <c r="C327" s="51" t="s">
        <v>1172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3"/>
        <v>4</v>
      </c>
      <c r="I327" s="17">
        <f t="shared" ref="I327:I372" si="24">COUNTIF(K327:AL327,"APAGADO")</f>
        <v>26</v>
      </c>
      <c r="J327" s="18">
        <f t="shared" ref="J327:J372" si="25">(H327)/(I327+H327)</f>
        <v>0.13333333333333333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 t="s">
        <v>1010</v>
      </c>
      <c r="W327" s="27" t="s">
        <v>1010</v>
      </c>
      <c r="X327" s="27" t="s">
        <v>1010</v>
      </c>
      <c r="Y327" s="27" t="s">
        <v>1010</v>
      </c>
      <c r="Z327" s="27" t="s">
        <v>1010</v>
      </c>
      <c r="AA327" s="27" t="s">
        <v>1010</v>
      </c>
      <c r="AB327" s="27" t="s">
        <v>1010</v>
      </c>
      <c r="AC327" s="27" t="s">
        <v>1010</v>
      </c>
      <c r="AD327" s="27" t="s">
        <v>1010</v>
      </c>
      <c r="AE327" s="27" t="s">
        <v>1010</v>
      </c>
      <c r="AF327" s="27" t="s">
        <v>1010</v>
      </c>
      <c r="AG327" s="8" t="s">
        <v>1010</v>
      </c>
      <c r="AH327" s="8" t="s">
        <v>1010</v>
      </c>
      <c r="AI327" s="8" t="s">
        <v>1010</v>
      </c>
      <c r="AJ327" s="27" t="s">
        <v>1010</v>
      </c>
      <c r="AK327" s="8"/>
      <c r="AL327" s="8"/>
      <c r="AM327" s="27"/>
      <c r="AN327" s="27"/>
      <c r="AO327" s="27"/>
    </row>
    <row r="328" spans="1:41" ht="15.75" thickBot="1" x14ac:dyDescent="0.3">
      <c r="A328" s="51" t="s">
        <v>232</v>
      </c>
      <c r="B328" s="51" t="s">
        <v>512</v>
      </c>
      <c r="C328" s="51" t="s">
        <v>1172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3"/>
        <v>4</v>
      </c>
      <c r="I328" s="17">
        <f t="shared" si="24"/>
        <v>26</v>
      </c>
      <c r="J328" s="18">
        <f t="shared" si="25"/>
        <v>0.13333333333333333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 t="s">
        <v>1010</v>
      </c>
      <c r="W328" s="27" t="s">
        <v>1010</v>
      </c>
      <c r="X328" s="27" t="s">
        <v>1010</v>
      </c>
      <c r="Y328" s="27" t="s">
        <v>1010</v>
      </c>
      <c r="Z328" s="27" t="s">
        <v>1010</v>
      </c>
      <c r="AA328" s="27" t="s">
        <v>1010</v>
      </c>
      <c r="AB328" s="27" t="s">
        <v>1010</v>
      </c>
      <c r="AC328" s="27" t="s">
        <v>1010</v>
      </c>
      <c r="AD328" s="27" t="s">
        <v>1010</v>
      </c>
      <c r="AE328" s="27" t="s">
        <v>1010</v>
      </c>
      <c r="AF328" s="27" t="s">
        <v>1010</v>
      </c>
      <c r="AG328" s="8" t="s">
        <v>1010</v>
      </c>
      <c r="AH328" s="8" t="s">
        <v>1010</v>
      </c>
      <c r="AI328" s="8" t="s">
        <v>1010</v>
      </c>
      <c r="AJ328" s="27" t="s">
        <v>1010</v>
      </c>
      <c r="AK328" s="8"/>
      <c r="AL328" s="8"/>
      <c r="AM328" s="27"/>
      <c r="AN328" s="27"/>
      <c r="AO328" s="27"/>
    </row>
    <row r="329" spans="1:41" ht="15.75" thickBot="1" x14ac:dyDescent="0.3">
      <c r="A329" s="51" t="s">
        <v>232</v>
      </c>
      <c r="B329" s="51" t="s">
        <v>513</v>
      </c>
      <c r="C329" s="51" t="s">
        <v>1172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3"/>
        <v>30</v>
      </c>
      <c r="I329" s="17">
        <f t="shared" si="24"/>
        <v>0</v>
      </c>
      <c r="J329" s="18">
        <f t="shared" si="25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.75" thickBot="1" x14ac:dyDescent="0.3">
      <c r="A330" s="51" t="s">
        <v>232</v>
      </c>
      <c r="B330" s="51" t="s">
        <v>515</v>
      </c>
      <c r="C330" s="51" t="s">
        <v>1172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3"/>
        <v>30</v>
      </c>
      <c r="I330" s="17">
        <f t="shared" si="24"/>
        <v>0</v>
      </c>
      <c r="J330" s="18">
        <f t="shared" si="25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.75" thickBot="1" x14ac:dyDescent="0.3">
      <c r="A331" s="51" t="s">
        <v>232</v>
      </c>
      <c r="B331" s="51" t="s">
        <v>516</v>
      </c>
      <c r="C331" s="51" t="s">
        <v>1172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3"/>
        <v>30</v>
      </c>
      <c r="I331" s="17">
        <f t="shared" si="24"/>
        <v>0</v>
      </c>
      <c r="J331" s="18">
        <f t="shared" si="25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.75" thickBot="1" x14ac:dyDescent="0.3">
      <c r="A332" s="51" t="s">
        <v>232</v>
      </c>
      <c r="B332" s="51" t="s">
        <v>519</v>
      </c>
      <c r="C332" s="51" t="s">
        <v>1172</v>
      </c>
      <c r="D332" s="51" t="s">
        <v>520</v>
      </c>
      <c r="E332" s="51" t="s">
        <v>73</v>
      </c>
      <c r="F332" s="51" t="s">
        <v>1163</v>
      </c>
      <c r="G332" s="51" t="s">
        <v>923</v>
      </c>
      <c r="H332" s="53">
        <f t="shared" si="23"/>
        <v>29</v>
      </c>
      <c r="I332" s="17">
        <f t="shared" si="24"/>
        <v>1</v>
      </c>
      <c r="J332" s="18">
        <f t="shared" si="25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.75" thickBot="1" x14ac:dyDescent="0.3">
      <c r="A333" s="51" t="s">
        <v>232</v>
      </c>
      <c r="B333" s="51" t="s">
        <v>521</v>
      </c>
      <c r="C333" s="51" t="s">
        <v>1172</v>
      </c>
      <c r="D333" s="51" t="s">
        <v>520</v>
      </c>
      <c r="E333" s="51" t="s">
        <v>73</v>
      </c>
      <c r="F333" s="51" t="s">
        <v>1163</v>
      </c>
      <c r="G333" s="51" t="s">
        <v>924</v>
      </c>
      <c r="H333" s="53">
        <f t="shared" si="23"/>
        <v>29</v>
      </c>
      <c r="I333" s="17">
        <f t="shared" si="24"/>
        <v>1</v>
      </c>
      <c r="J333" s="18">
        <f t="shared" si="25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.75" thickBot="1" x14ac:dyDescent="0.3">
      <c r="A334" s="51" t="s">
        <v>524</v>
      </c>
      <c r="B334" s="51" t="s">
        <v>1141</v>
      </c>
      <c r="C334" s="51" t="s">
        <v>1172</v>
      </c>
      <c r="D334" s="51" t="s">
        <v>550</v>
      </c>
      <c r="E334" s="51" t="s">
        <v>19</v>
      </c>
      <c r="F334" s="51" t="s">
        <v>28</v>
      </c>
      <c r="G334" s="51" t="s">
        <v>934</v>
      </c>
      <c r="H334" s="53">
        <f t="shared" si="23"/>
        <v>30</v>
      </c>
      <c r="I334" s="17">
        <f t="shared" si="24"/>
        <v>0</v>
      </c>
      <c r="J334" s="18">
        <f t="shared" si="25"/>
        <v>1</v>
      </c>
      <c r="K334" s="27"/>
      <c r="L334" s="8"/>
      <c r="M334" s="8"/>
      <c r="N334" s="8"/>
      <c r="O334" s="27"/>
      <c r="P334" s="27"/>
      <c r="Q334" s="8"/>
      <c r="R334" s="8"/>
      <c r="S334" s="8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8"/>
      <c r="AH334" s="8"/>
      <c r="AI334" s="8"/>
      <c r="AJ334" s="27"/>
      <c r="AK334" s="8"/>
      <c r="AL334" s="8"/>
      <c r="AM334" s="27"/>
      <c r="AN334" s="27"/>
      <c r="AO334" s="27"/>
    </row>
    <row r="335" spans="1:41" ht="15.75" thickBot="1" x14ac:dyDescent="0.3">
      <c r="A335" s="51" t="s">
        <v>528</v>
      </c>
      <c r="B335" s="51" t="s">
        <v>1142</v>
      </c>
      <c r="C335" s="51" t="s">
        <v>1172</v>
      </c>
      <c r="D335" s="51" t="s">
        <v>553</v>
      </c>
      <c r="E335" s="51" t="s">
        <v>15</v>
      </c>
      <c r="F335" s="51" t="s">
        <v>1163</v>
      </c>
      <c r="G335" s="51" t="s">
        <v>938</v>
      </c>
      <c r="H335" s="53">
        <f t="shared" si="23"/>
        <v>24</v>
      </c>
      <c r="I335" s="17">
        <f t="shared" si="24"/>
        <v>6</v>
      </c>
      <c r="J335" s="18">
        <f t="shared" si="25"/>
        <v>0.8</v>
      </c>
      <c r="K335" s="27"/>
      <c r="L335" s="8"/>
      <c r="M335" s="8"/>
      <c r="N335" s="8"/>
      <c r="O335" s="27" t="s">
        <v>1010</v>
      </c>
      <c r="P335" s="27" t="s">
        <v>1010</v>
      </c>
      <c r="Q335" s="8" t="s">
        <v>1010</v>
      </c>
      <c r="R335" s="8" t="s">
        <v>1010</v>
      </c>
      <c r="S335" s="8" t="s">
        <v>1010</v>
      </c>
      <c r="T335" s="27" t="s">
        <v>1010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8"/>
      <c r="AH335" s="8"/>
      <c r="AI335" s="8"/>
      <c r="AJ335" s="27"/>
      <c r="AK335" s="8"/>
      <c r="AL335" s="8"/>
      <c r="AM335" s="27"/>
      <c r="AN335" s="27"/>
      <c r="AO335" s="27"/>
    </row>
    <row r="336" spans="1:41" ht="15.75" thickBot="1" x14ac:dyDescent="0.3">
      <c r="A336" s="51" t="s">
        <v>528</v>
      </c>
      <c r="B336" s="51" t="s">
        <v>526</v>
      </c>
      <c r="C336" s="51" t="s">
        <v>1172</v>
      </c>
      <c r="D336" s="51" t="s">
        <v>527</v>
      </c>
      <c r="E336" s="51" t="s">
        <v>15</v>
      </c>
      <c r="F336" s="51" t="s">
        <v>1164</v>
      </c>
      <c r="G336" s="51" t="s">
        <v>939</v>
      </c>
      <c r="H336" s="53">
        <f t="shared" si="23"/>
        <v>29</v>
      </c>
      <c r="I336" s="17">
        <f t="shared" si="24"/>
        <v>1</v>
      </c>
      <c r="J336" s="18">
        <f t="shared" si="25"/>
        <v>0.96666666666666667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 t="s">
        <v>1010</v>
      </c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.75" thickBot="1" x14ac:dyDescent="0.3">
      <c r="A337" s="51" t="s">
        <v>528</v>
      </c>
      <c r="B337" s="51" t="s">
        <v>529</v>
      </c>
      <c r="C337" s="51" t="s">
        <v>1172</v>
      </c>
      <c r="D337" s="51" t="s">
        <v>530</v>
      </c>
      <c r="E337" s="51" t="s">
        <v>15</v>
      </c>
      <c r="F337" s="51" t="s">
        <v>1164</v>
      </c>
      <c r="G337" s="51" t="s">
        <v>940</v>
      </c>
      <c r="H337" s="53">
        <f t="shared" si="23"/>
        <v>30</v>
      </c>
      <c r="I337" s="17">
        <f t="shared" si="24"/>
        <v>0</v>
      </c>
      <c r="J337" s="18">
        <f t="shared" si="25"/>
        <v>1</v>
      </c>
      <c r="K337" s="27"/>
      <c r="L337" s="8"/>
      <c r="M337" s="8"/>
      <c r="N337" s="8"/>
      <c r="O337" s="27"/>
      <c r="P337" s="27"/>
      <c r="Q337" s="8"/>
      <c r="R337" s="8"/>
      <c r="S337" s="8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.75" thickBot="1" x14ac:dyDescent="0.3">
      <c r="A338" s="51" t="s">
        <v>528</v>
      </c>
      <c r="B338" s="51" t="s">
        <v>531</v>
      </c>
      <c r="C338" s="51" t="s">
        <v>1172</v>
      </c>
      <c r="D338" s="51" t="s">
        <v>1203</v>
      </c>
      <c r="E338" s="51" t="s">
        <v>15</v>
      </c>
      <c r="F338" s="51" t="s">
        <v>1164</v>
      </c>
      <c r="G338" s="51" t="s">
        <v>941</v>
      </c>
      <c r="H338" s="53">
        <f t="shared" si="23"/>
        <v>30</v>
      </c>
      <c r="I338" s="17">
        <f t="shared" si="24"/>
        <v>0</v>
      </c>
      <c r="J338" s="18">
        <f t="shared" si="25"/>
        <v>1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.75" thickBot="1" x14ac:dyDescent="0.3">
      <c r="A339" s="51" t="s">
        <v>528</v>
      </c>
      <c r="B339" s="51" t="s">
        <v>534</v>
      </c>
      <c r="C339" s="51" t="s">
        <v>1172</v>
      </c>
      <c r="D339" s="51" t="s">
        <v>535</v>
      </c>
      <c r="E339" s="51" t="s">
        <v>46</v>
      </c>
      <c r="F339" s="51" t="s">
        <v>20</v>
      </c>
      <c r="G339" s="51" t="s">
        <v>944</v>
      </c>
      <c r="H339" s="53">
        <f t="shared" si="23"/>
        <v>30</v>
      </c>
      <c r="I339" s="17">
        <f t="shared" si="24"/>
        <v>0</v>
      </c>
      <c r="J339" s="18">
        <f t="shared" si="25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.75" thickBot="1" x14ac:dyDescent="0.3">
      <c r="A340" s="51" t="s">
        <v>524</v>
      </c>
      <c r="B340" s="51" t="s">
        <v>1143</v>
      </c>
      <c r="C340" s="51" t="s">
        <v>1172</v>
      </c>
      <c r="D340" s="51" t="s">
        <v>554</v>
      </c>
      <c r="E340" s="51" t="s">
        <v>73</v>
      </c>
      <c r="F340" s="51" t="s">
        <v>28</v>
      </c>
      <c r="G340" s="51" t="s">
        <v>945</v>
      </c>
      <c r="H340" s="53">
        <f t="shared" si="23"/>
        <v>30</v>
      </c>
      <c r="I340" s="17">
        <f t="shared" si="24"/>
        <v>0</v>
      </c>
      <c r="J340" s="18">
        <f t="shared" si="25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.75" thickBot="1" x14ac:dyDescent="0.3">
      <c r="A341" s="51" t="s">
        <v>524</v>
      </c>
      <c r="B341" s="51" t="s">
        <v>1144</v>
      </c>
      <c r="C341" s="51" t="s">
        <v>1172</v>
      </c>
      <c r="D341" s="51" t="s">
        <v>554</v>
      </c>
      <c r="E341" s="51" t="s">
        <v>73</v>
      </c>
      <c r="F341" s="51" t="s">
        <v>28</v>
      </c>
      <c r="G341" s="51" t="s">
        <v>946</v>
      </c>
      <c r="H341" s="53">
        <f t="shared" si="23"/>
        <v>30</v>
      </c>
      <c r="I341" s="17">
        <f t="shared" si="24"/>
        <v>0</v>
      </c>
      <c r="J341" s="18">
        <f t="shared" si="25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.75" thickBot="1" x14ac:dyDescent="0.3">
      <c r="A342" s="51" t="s">
        <v>528</v>
      </c>
      <c r="B342" s="51" t="s">
        <v>536</v>
      </c>
      <c r="C342" s="51" t="s">
        <v>1172</v>
      </c>
      <c r="D342" s="51" t="s">
        <v>1145</v>
      </c>
      <c r="E342" s="51" t="s">
        <v>19</v>
      </c>
      <c r="F342" s="51" t="s">
        <v>28</v>
      </c>
      <c r="G342" s="51" t="s">
        <v>925</v>
      </c>
      <c r="H342" s="53">
        <f t="shared" si="23"/>
        <v>30</v>
      </c>
      <c r="I342" s="17">
        <f t="shared" si="24"/>
        <v>0</v>
      </c>
      <c r="J342" s="18">
        <f t="shared" si="25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.75" thickBot="1" x14ac:dyDescent="0.3">
      <c r="A343" s="51" t="s">
        <v>524</v>
      </c>
      <c r="B343" s="51" t="s">
        <v>537</v>
      </c>
      <c r="C343" s="51" t="s">
        <v>1172</v>
      </c>
      <c r="D343" s="51" t="s">
        <v>1204</v>
      </c>
      <c r="E343" s="51" t="s">
        <v>19</v>
      </c>
      <c r="F343" s="51" t="s">
        <v>28</v>
      </c>
      <c r="G343" s="51" t="s">
        <v>926</v>
      </c>
      <c r="H343" s="53">
        <f t="shared" si="23"/>
        <v>30</v>
      </c>
      <c r="I343" s="17">
        <f t="shared" si="24"/>
        <v>0</v>
      </c>
      <c r="J343" s="18">
        <f t="shared" si="25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.75" thickBot="1" x14ac:dyDescent="0.3">
      <c r="A344" s="51" t="s">
        <v>524</v>
      </c>
      <c r="B344" s="51" t="s">
        <v>538</v>
      </c>
      <c r="C344" s="51" t="s">
        <v>1172</v>
      </c>
      <c r="D344" s="51" t="s">
        <v>539</v>
      </c>
      <c r="E344" s="51" t="s">
        <v>19</v>
      </c>
      <c r="F344" s="51" t="s">
        <v>28</v>
      </c>
      <c r="G344" s="51" t="s">
        <v>927</v>
      </c>
      <c r="H344" s="53">
        <f t="shared" si="23"/>
        <v>30</v>
      </c>
      <c r="I344" s="17">
        <f t="shared" si="24"/>
        <v>0</v>
      </c>
      <c r="J344" s="18">
        <f t="shared" si="25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.75" thickBot="1" x14ac:dyDescent="0.3">
      <c r="A345" s="51" t="s">
        <v>524</v>
      </c>
      <c r="B345" s="51" t="s">
        <v>540</v>
      </c>
      <c r="C345" s="51" t="s">
        <v>1172</v>
      </c>
      <c r="D345" s="51" t="s">
        <v>541</v>
      </c>
      <c r="E345" s="51" t="s">
        <v>19</v>
      </c>
      <c r="F345" s="51" t="s">
        <v>28</v>
      </c>
      <c r="G345" s="51" t="s">
        <v>928</v>
      </c>
      <c r="H345" s="53">
        <f t="shared" si="23"/>
        <v>30</v>
      </c>
      <c r="I345" s="17">
        <f t="shared" si="24"/>
        <v>0</v>
      </c>
      <c r="J345" s="18">
        <f t="shared" si="25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.75" thickBot="1" x14ac:dyDescent="0.3">
      <c r="A346" s="51" t="s">
        <v>524</v>
      </c>
      <c r="B346" s="51" t="s">
        <v>542</v>
      </c>
      <c r="C346" s="51" t="s">
        <v>1172</v>
      </c>
      <c r="D346" s="51" t="s">
        <v>543</v>
      </c>
      <c r="E346" s="51" t="s">
        <v>19</v>
      </c>
      <c r="F346" s="51" t="s">
        <v>20</v>
      </c>
      <c r="G346" s="51" t="s">
        <v>929</v>
      </c>
      <c r="H346" s="53">
        <f t="shared" si="23"/>
        <v>30</v>
      </c>
      <c r="I346" s="17">
        <f t="shared" si="24"/>
        <v>0</v>
      </c>
      <c r="J346" s="18">
        <f t="shared" si="25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.75" thickBot="1" x14ac:dyDescent="0.3">
      <c r="A347" s="51" t="s">
        <v>524</v>
      </c>
      <c r="B347" s="51" t="s">
        <v>544</v>
      </c>
      <c r="C347" s="51" t="s">
        <v>1172</v>
      </c>
      <c r="D347" s="51" t="s">
        <v>1181</v>
      </c>
      <c r="E347" s="51" t="s">
        <v>19</v>
      </c>
      <c r="F347" s="51" t="s">
        <v>28</v>
      </c>
      <c r="G347" s="51" t="s">
        <v>930</v>
      </c>
      <c r="H347" s="53">
        <f t="shared" si="23"/>
        <v>30</v>
      </c>
      <c r="I347" s="17">
        <f t="shared" si="24"/>
        <v>0</v>
      </c>
      <c r="J347" s="18">
        <f t="shared" si="25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.75" thickBot="1" x14ac:dyDescent="0.3">
      <c r="A348" s="51" t="s">
        <v>524</v>
      </c>
      <c r="B348" s="51" t="s">
        <v>545</v>
      </c>
      <c r="C348" s="51" t="s">
        <v>1171</v>
      </c>
      <c r="D348" s="51" t="s">
        <v>1180</v>
      </c>
      <c r="E348" s="51"/>
      <c r="F348" s="51" t="s">
        <v>1164</v>
      </c>
      <c r="G348" s="51" t="s">
        <v>931</v>
      </c>
      <c r="H348" s="53">
        <f t="shared" si="23"/>
        <v>14</v>
      </c>
      <c r="I348" s="17">
        <f t="shared" si="24"/>
        <v>16</v>
      </c>
      <c r="J348" s="18">
        <f t="shared" si="25"/>
        <v>0.46666666666666667</v>
      </c>
      <c r="K348" s="27" t="s">
        <v>1010</v>
      </c>
      <c r="L348" s="8"/>
      <c r="M348" s="8" t="s">
        <v>1010</v>
      </c>
      <c r="N348" s="8" t="s">
        <v>1010</v>
      </c>
      <c r="O348" s="27"/>
      <c r="P348" s="27" t="s">
        <v>1010</v>
      </c>
      <c r="Q348" s="8" t="s">
        <v>1010</v>
      </c>
      <c r="R348" s="8" t="s">
        <v>1010</v>
      </c>
      <c r="S348" s="8" t="s">
        <v>1010</v>
      </c>
      <c r="T348" s="27" t="s">
        <v>1010</v>
      </c>
      <c r="U348" s="27"/>
      <c r="V348" s="27" t="s">
        <v>1010</v>
      </c>
      <c r="W348" s="27"/>
      <c r="X348" s="27"/>
      <c r="Y348" s="27"/>
      <c r="Z348" s="27" t="s">
        <v>1010</v>
      </c>
      <c r="AA348" s="27" t="s">
        <v>1010</v>
      </c>
      <c r="AB348" s="27" t="s">
        <v>1010</v>
      </c>
      <c r="AC348" s="27" t="s">
        <v>1010</v>
      </c>
      <c r="AD348" s="27" t="s">
        <v>1010</v>
      </c>
      <c r="AE348" s="27" t="s">
        <v>1010</v>
      </c>
      <c r="AF348" s="27"/>
      <c r="AG348" s="8" t="s">
        <v>1010</v>
      </c>
      <c r="AH348" s="8"/>
      <c r="AI348" s="8"/>
      <c r="AJ348" s="27"/>
      <c r="AK348" s="8"/>
      <c r="AL348" s="8"/>
      <c r="AM348" s="27"/>
      <c r="AN348" s="27"/>
      <c r="AO348" s="27"/>
    </row>
    <row r="349" spans="1:41" ht="15.75" thickBot="1" x14ac:dyDescent="0.3">
      <c r="A349" s="51" t="s">
        <v>528</v>
      </c>
      <c r="B349" s="51" t="s">
        <v>546</v>
      </c>
      <c r="C349" s="51" t="s">
        <v>1172</v>
      </c>
      <c r="D349" s="51" t="s">
        <v>547</v>
      </c>
      <c r="E349" s="51" t="s">
        <v>19</v>
      </c>
      <c r="F349" s="51" t="s">
        <v>1163</v>
      </c>
      <c r="G349" s="51" t="s">
        <v>932</v>
      </c>
      <c r="H349" s="53">
        <f t="shared" si="23"/>
        <v>30</v>
      </c>
      <c r="I349" s="17">
        <f t="shared" si="24"/>
        <v>0</v>
      </c>
      <c r="J349" s="18">
        <f t="shared" si="25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.75" thickBot="1" x14ac:dyDescent="0.3">
      <c r="A350" s="51" t="s">
        <v>528</v>
      </c>
      <c r="B350" s="51" t="s">
        <v>548</v>
      </c>
      <c r="C350" s="51" t="s">
        <v>1172</v>
      </c>
      <c r="D350" s="51" t="s">
        <v>549</v>
      </c>
      <c r="E350" s="51" t="s">
        <v>19</v>
      </c>
      <c r="F350" s="51" t="s">
        <v>28</v>
      </c>
      <c r="G350" s="51" t="s">
        <v>933</v>
      </c>
      <c r="H350" s="53">
        <f t="shared" si="23"/>
        <v>30</v>
      </c>
      <c r="I350" s="17">
        <f t="shared" si="24"/>
        <v>0</v>
      </c>
      <c r="J350" s="18">
        <f t="shared" si="25"/>
        <v>1</v>
      </c>
      <c r="K350" s="27"/>
      <c r="L350" s="8"/>
      <c r="M350" s="8"/>
      <c r="N350" s="8"/>
      <c r="O350" s="27"/>
      <c r="P350" s="27"/>
      <c r="Q350" s="8"/>
      <c r="R350" s="8"/>
      <c r="S350" s="8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8"/>
      <c r="AH350" s="8"/>
      <c r="AI350" s="8"/>
      <c r="AJ350" s="27"/>
      <c r="AK350" s="8"/>
      <c r="AL350" s="8"/>
      <c r="AM350" s="27"/>
      <c r="AN350" s="27"/>
      <c r="AO350" s="27"/>
    </row>
    <row r="351" spans="1:41" ht="15.75" thickBot="1" x14ac:dyDescent="0.3">
      <c r="A351" s="51" t="s">
        <v>528</v>
      </c>
      <c r="B351" s="51" t="s">
        <v>551</v>
      </c>
      <c r="C351" s="51" t="s">
        <v>1172</v>
      </c>
      <c r="D351" s="51" t="s">
        <v>552</v>
      </c>
      <c r="E351" s="51" t="s">
        <v>19</v>
      </c>
      <c r="F351" s="51" t="s">
        <v>28</v>
      </c>
      <c r="G351" s="51" t="s">
        <v>935</v>
      </c>
      <c r="H351" s="53">
        <f t="shared" si="23"/>
        <v>30</v>
      </c>
      <c r="I351" s="17">
        <f t="shared" si="24"/>
        <v>0</v>
      </c>
      <c r="J351" s="18">
        <f t="shared" si="25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.75" thickBot="1" x14ac:dyDescent="0.3">
      <c r="A352" s="51" t="s">
        <v>528</v>
      </c>
      <c r="B352" s="51" t="s">
        <v>1146</v>
      </c>
      <c r="C352" s="51" t="s">
        <v>1172</v>
      </c>
      <c r="D352" s="51" t="s">
        <v>523</v>
      </c>
      <c r="E352" s="51" t="s">
        <v>15</v>
      </c>
      <c r="F352" s="51" t="s">
        <v>1164</v>
      </c>
      <c r="G352" s="51" t="s">
        <v>936</v>
      </c>
      <c r="H352" s="53">
        <f t="shared" si="23"/>
        <v>30</v>
      </c>
      <c r="I352" s="17">
        <f t="shared" si="24"/>
        <v>0</v>
      </c>
      <c r="J352" s="18">
        <f t="shared" si="25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.75" thickBot="1" x14ac:dyDescent="0.3">
      <c r="A353" s="51" t="s">
        <v>524</v>
      </c>
      <c r="B353" s="51" t="s">
        <v>1147</v>
      </c>
      <c r="C353" s="51" t="s">
        <v>1172</v>
      </c>
      <c r="D353" s="51" t="s">
        <v>525</v>
      </c>
      <c r="E353" s="51" t="s">
        <v>19</v>
      </c>
      <c r="F353" s="51" t="s">
        <v>1164</v>
      </c>
      <c r="G353" s="51" t="s">
        <v>937</v>
      </c>
      <c r="H353" s="53">
        <f t="shared" si="23"/>
        <v>30</v>
      </c>
      <c r="I353" s="17">
        <f t="shared" si="24"/>
        <v>0</v>
      </c>
      <c r="J353" s="18">
        <f t="shared" si="25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.75" thickBot="1" x14ac:dyDescent="0.3">
      <c r="A354" s="51" t="s">
        <v>524</v>
      </c>
      <c r="B354" s="51" t="s">
        <v>1148</v>
      </c>
      <c r="C354" s="51" t="s">
        <v>1172</v>
      </c>
      <c r="D354" s="51" t="s">
        <v>532</v>
      </c>
      <c r="E354" s="51" t="s">
        <v>15</v>
      </c>
      <c r="F354" s="51" t="s">
        <v>1164</v>
      </c>
      <c r="G354" s="51" t="s">
        <v>942</v>
      </c>
      <c r="H354" s="53">
        <f t="shared" si="23"/>
        <v>30</v>
      </c>
      <c r="I354" s="17">
        <f t="shared" si="24"/>
        <v>0</v>
      </c>
      <c r="J354" s="18">
        <f t="shared" si="25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.75" thickBot="1" x14ac:dyDescent="0.3">
      <c r="A355" s="51" t="s">
        <v>524</v>
      </c>
      <c r="B355" s="51" t="s">
        <v>1149</v>
      </c>
      <c r="C355" s="51" t="s">
        <v>1172</v>
      </c>
      <c r="D355" s="51" t="s">
        <v>533</v>
      </c>
      <c r="E355" s="51" t="s">
        <v>15</v>
      </c>
      <c r="F355" s="51" t="s">
        <v>20</v>
      </c>
      <c r="G355" s="51" t="s">
        <v>943</v>
      </c>
      <c r="H355" s="53">
        <f t="shared" si="23"/>
        <v>30</v>
      </c>
      <c r="I355" s="17">
        <f t="shared" si="24"/>
        <v>0</v>
      </c>
      <c r="J355" s="18">
        <f t="shared" si="25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.75" thickBot="1" x14ac:dyDescent="0.3">
      <c r="A356" s="51" t="s">
        <v>524</v>
      </c>
      <c r="B356" s="51" t="s">
        <v>555</v>
      </c>
      <c r="C356" s="51" t="s">
        <v>1171</v>
      </c>
      <c r="D356" s="51" t="s">
        <v>556</v>
      </c>
      <c r="E356" s="51" t="s">
        <v>73</v>
      </c>
      <c r="F356" s="51" t="s">
        <v>28</v>
      </c>
      <c r="G356" s="51" t="s">
        <v>706</v>
      </c>
      <c r="H356" s="53">
        <f t="shared" si="23"/>
        <v>14</v>
      </c>
      <c r="I356" s="17">
        <f t="shared" si="24"/>
        <v>16</v>
      </c>
      <c r="J356" s="18">
        <f t="shared" si="25"/>
        <v>0.46666666666666667</v>
      </c>
      <c r="K356" s="27" t="s">
        <v>1010</v>
      </c>
      <c r="L356" s="8"/>
      <c r="M356" s="8" t="s">
        <v>1010</v>
      </c>
      <c r="N356" s="8" t="s">
        <v>1010</v>
      </c>
      <c r="O356" s="27"/>
      <c r="P356" s="27" t="s">
        <v>1010</v>
      </c>
      <c r="Q356" s="8" t="s">
        <v>1010</v>
      </c>
      <c r="R356" s="8" t="s">
        <v>1010</v>
      </c>
      <c r="S356" s="8" t="s">
        <v>1010</v>
      </c>
      <c r="T356" s="27" t="s">
        <v>1010</v>
      </c>
      <c r="U356" s="27"/>
      <c r="V356" s="27" t="s">
        <v>1010</v>
      </c>
      <c r="W356" s="27"/>
      <c r="X356" s="27"/>
      <c r="Y356" s="27"/>
      <c r="Z356" s="27" t="s">
        <v>1010</v>
      </c>
      <c r="AA356" s="27" t="s">
        <v>1010</v>
      </c>
      <c r="AB356" s="27" t="s">
        <v>1010</v>
      </c>
      <c r="AC356" s="27" t="s">
        <v>1010</v>
      </c>
      <c r="AD356" s="27" t="s">
        <v>1010</v>
      </c>
      <c r="AE356" s="27" t="s">
        <v>1010</v>
      </c>
      <c r="AF356" s="27"/>
      <c r="AG356" s="8" t="s">
        <v>1010</v>
      </c>
      <c r="AH356" s="8"/>
      <c r="AI356" s="8"/>
      <c r="AJ356" s="27"/>
      <c r="AK356" s="8"/>
      <c r="AL356" s="8"/>
      <c r="AM356" s="27"/>
      <c r="AN356" s="27"/>
      <c r="AO356" s="27"/>
    </row>
    <row r="357" spans="1:41" ht="15.75" thickBot="1" x14ac:dyDescent="0.3">
      <c r="A357" s="51" t="s">
        <v>524</v>
      </c>
      <c r="B357" s="51" t="s">
        <v>557</v>
      </c>
      <c r="C357" s="51" t="s">
        <v>1171</v>
      </c>
      <c r="D357" s="51" t="s">
        <v>556</v>
      </c>
      <c r="E357" s="51" t="s">
        <v>73</v>
      </c>
      <c r="F357" s="51" t="s">
        <v>28</v>
      </c>
      <c r="G357" s="51" t="s">
        <v>947</v>
      </c>
      <c r="H357" s="53">
        <f t="shared" si="23"/>
        <v>14</v>
      </c>
      <c r="I357" s="17">
        <f t="shared" si="24"/>
        <v>16</v>
      </c>
      <c r="J357" s="18">
        <f t="shared" si="25"/>
        <v>0.46666666666666667</v>
      </c>
      <c r="K357" s="27" t="s">
        <v>1010</v>
      </c>
      <c r="L357" s="8"/>
      <c r="M357" s="8" t="s">
        <v>1010</v>
      </c>
      <c r="N357" s="8" t="s">
        <v>1010</v>
      </c>
      <c r="O357" s="27"/>
      <c r="P357" s="27" t="s">
        <v>1010</v>
      </c>
      <c r="Q357" s="8" t="s">
        <v>1010</v>
      </c>
      <c r="R357" s="8" t="s">
        <v>1010</v>
      </c>
      <c r="S357" s="8" t="s">
        <v>1010</v>
      </c>
      <c r="T357" s="27" t="s">
        <v>1010</v>
      </c>
      <c r="U357" s="27"/>
      <c r="V357" s="27" t="s">
        <v>1010</v>
      </c>
      <c r="W357" s="27"/>
      <c r="X357" s="27"/>
      <c r="Y357" s="27"/>
      <c r="Z357" s="27" t="s">
        <v>1010</v>
      </c>
      <c r="AA357" s="27" t="s">
        <v>1010</v>
      </c>
      <c r="AB357" s="27" t="s">
        <v>1010</v>
      </c>
      <c r="AC357" s="27" t="s">
        <v>1010</v>
      </c>
      <c r="AD357" s="27" t="s">
        <v>1010</v>
      </c>
      <c r="AE357" s="27" t="s">
        <v>1010</v>
      </c>
      <c r="AF357" s="27"/>
      <c r="AG357" s="8" t="s">
        <v>1010</v>
      </c>
      <c r="AH357" s="8"/>
      <c r="AI357" s="8"/>
      <c r="AJ357" s="27"/>
      <c r="AK357" s="8"/>
      <c r="AL357" s="8"/>
      <c r="AM357" s="27"/>
      <c r="AN357" s="27"/>
      <c r="AO357" s="27"/>
    </row>
    <row r="358" spans="1:41" ht="15.75" thickBot="1" x14ac:dyDescent="0.3">
      <c r="A358" s="51" t="s">
        <v>416</v>
      </c>
      <c r="B358" s="51" t="s">
        <v>1150</v>
      </c>
      <c r="C358" s="51" t="s">
        <v>1171</v>
      </c>
      <c r="D358" s="51" t="s">
        <v>561</v>
      </c>
      <c r="E358" s="51" t="s">
        <v>19</v>
      </c>
      <c r="F358" s="51" t="s">
        <v>28</v>
      </c>
      <c r="G358" s="51" t="s">
        <v>950</v>
      </c>
      <c r="H358" s="53">
        <f t="shared" si="23"/>
        <v>30</v>
      </c>
      <c r="I358" s="17">
        <f t="shared" si="24"/>
        <v>0</v>
      </c>
      <c r="J358" s="18">
        <f t="shared" si="25"/>
        <v>1</v>
      </c>
      <c r="K358" s="27"/>
      <c r="L358" s="8"/>
      <c r="M358" s="8"/>
      <c r="N358" s="8"/>
      <c r="O358" s="27"/>
      <c r="P358" s="27"/>
      <c r="Q358" s="8"/>
      <c r="R358" s="8"/>
      <c r="S358" s="8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8"/>
      <c r="AH358" s="8"/>
      <c r="AI358" s="8"/>
      <c r="AJ358" s="27"/>
      <c r="AK358" s="8"/>
      <c r="AL358" s="8"/>
      <c r="AM358" s="27"/>
      <c r="AN358" s="27"/>
      <c r="AO358" s="27"/>
    </row>
    <row r="359" spans="1:41" ht="15.75" thickBot="1" x14ac:dyDescent="0.3">
      <c r="A359" s="51" t="s">
        <v>298</v>
      </c>
      <c r="B359" s="51" t="s">
        <v>1151</v>
      </c>
      <c r="C359" s="51" t="s">
        <v>1171</v>
      </c>
      <c r="D359" s="51" t="s">
        <v>562</v>
      </c>
      <c r="E359" s="51" t="s">
        <v>19</v>
      </c>
      <c r="F359" s="51" t="s">
        <v>28</v>
      </c>
      <c r="G359" s="51" t="s">
        <v>951</v>
      </c>
      <c r="H359" s="53">
        <f t="shared" si="23"/>
        <v>30</v>
      </c>
      <c r="I359" s="17">
        <f t="shared" si="24"/>
        <v>0</v>
      </c>
      <c r="J359" s="18">
        <f t="shared" si="25"/>
        <v>1</v>
      </c>
      <c r="K359" s="27"/>
      <c r="L359" s="8"/>
      <c r="M359" s="8"/>
      <c r="N359" s="8"/>
      <c r="O359" s="27"/>
      <c r="P359" s="27"/>
      <c r="Q359" s="8"/>
      <c r="R359" s="8"/>
      <c r="S359" s="8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8"/>
      <c r="AH359" s="8"/>
      <c r="AI359" s="8"/>
      <c r="AJ359" s="27"/>
      <c r="AK359" s="8"/>
      <c r="AL359" s="8"/>
      <c r="AM359" s="27"/>
      <c r="AN359" s="27"/>
      <c r="AO359" s="27"/>
    </row>
    <row r="360" spans="1:41" ht="15.75" thickBot="1" x14ac:dyDescent="0.3">
      <c r="A360" s="51" t="s">
        <v>416</v>
      </c>
      <c r="B360" s="51" t="s">
        <v>558</v>
      </c>
      <c r="C360" s="51" t="s">
        <v>1171</v>
      </c>
      <c r="D360" s="51" t="s">
        <v>559</v>
      </c>
      <c r="E360" s="51" t="s">
        <v>19</v>
      </c>
      <c r="F360" s="51" t="s">
        <v>28</v>
      </c>
      <c r="G360" s="51" t="s">
        <v>954</v>
      </c>
      <c r="H360" s="53">
        <f t="shared" si="23"/>
        <v>28</v>
      </c>
      <c r="I360" s="17">
        <f t="shared" si="24"/>
        <v>2</v>
      </c>
      <c r="J360" s="18">
        <f t="shared" si="25"/>
        <v>0.93333333333333335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 t="s">
        <v>1010</v>
      </c>
      <c r="AJ360" s="27" t="s">
        <v>1010</v>
      </c>
      <c r="AK360" s="8"/>
      <c r="AL360" s="8"/>
      <c r="AM360" s="27"/>
      <c r="AN360" s="27"/>
      <c r="AO360" s="27"/>
    </row>
    <row r="361" spans="1:41" ht="15.75" thickBot="1" x14ac:dyDescent="0.3">
      <c r="A361" s="51" t="s">
        <v>416</v>
      </c>
      <c r="B361" s="51" t="s">
        <v>563</v>
      </c>
      <c r="C361" s="51" t="s">
        <v>1171</v>
      </c>
      <c r="D361" s="51" t="s">
        <v>564</v>
      </c>
      <c r="E361" s="51" t="s">
        <v>73</v>
      </c>
      <c r="F361" s="51" t="s">
        <v>28</v>
      </c>
      <c r="G361" s="51" t="s">
        <v>948</v>
      </c>
      <c r="H361" s="53">
        <f t="shared" si="23"/>
        <v>3</v>
      </c>
      <c r="I361" s="17">
        <f t="shared" si="24"/>
        <v>27</v>
      </c>
      <c r="J361" s="18">
        <f t="shared" si="25"/>
        <v>0.1</v>
      </c>
      <c r="K361" s="27" t="s">
        <v>1010</v>
      </c>
      <c r="L361" s="8"/>
      <c r="M361" s="8" t="s">
        <v>1010</v>
      </c>
      <c r="N361" s="8" t="s">
        <v>1010</v>
      </c>
      <c r="O361" s="27" t="s">
        <v>1010</v>
      </c>
      <c r="P361" s="27" t="s">
        <v>1010</v>
      </c>
      <c r="Q361" s="8" t="s">
        <v>1010</v>
      </c>
      <c r="R361" s="8" t="s">
        <v>1010</v>
      </c>
      <c r="S361" s="8" t="s">
        <v>1010</v>
      </c>
      <c r="T361" s="27" t="s">
        <v>1010</v>
      </c>
      <c r="U361" s="27" t="s">
        <v>1010</v>
      </c>
      <c r="V361" s="27" t="s">
        <v>1010</v>
      </c>
      <c r="W361" s="27" t="s">
        <v>1010</v>
      </c>
      <c r="X361" s="27" t="s">
        <v>1010</v>
      </c>
      <c r="Y361" s="27" t="s">
        <v>1010</v>
      </c>
      <c r="Z361" s="27" t="s">
        <v>1010</v>
      </c>
      <c r="AA361" s="27" t="s">
        <v>1010</v>
      </c>
      <c r="AB361" s="27" t="s">
        <v>1010</v>
      </c>
      <c r="AC361" s="27" t="s">
        <v>1010</v>
      </c>
      <c r="AD361" s="27" t="s">
        <v>1010</v>
      </c>
      <c r="AE361" s="27" t="s">
        <v>1010</v>
      </c>
      <c r="AF361" s="27" t="s">
        <v>1010</v>
      </c>
      <c r="AG361" s="8" t="s">
        <v>1010</v>
      </c>
      <c r="AH361" s="8" t="s">
        <v>1010</v>
      </c>
      <c r="AI361" s="8" t="s">
        <v>1010</v>
      </c>
      <c r="AJ361" s="27" t="s">
        <v>1010</v>
      </c>
      <c r="AK361" s="8" t="s">
        <v>1010</v>
      </c>
      <c r="AL361" s="8" t="s">
        <v>1010</v>
      </c>
      <c r="AM361" s="27"/>
      <c r="AN361" s="27"/>
      <c r="AO361" s="27"/>
    </row>
    <row r="362" spans="1:41" ht="15.75" thickBot="1" x14ac:dyDescent="0.3">
      <c r="A362" s="51" t="s">
        <v>416</v>
      </c>
      <c r="B362" s="51" t="s">
        <v>565</v>
      </c>
      <c r="C362" s="51" t="s">
        <v>1171</v>
      </c>
      <c r="D362" s="51" t="s">
        <v>564</v>
      </c>
      <c r="E362" s="51" t="s">
        <v>73</v>
      </c>
      <c r="F362" s="51" t="s">
        <v>28</v>
      </c>
      <c r="G362" s="51" t="s">
        <v>949</v>
      </c>
      <c r="H362" s="53">
        <f t="shared" si="23"/>
        <v>3</v>
      </c>
      <c r="I362" s="17">
        <f t="shared" si="24"/>
        <v>27</v>
      </c>
      <c r="J362" s="18">
        <f t="shared" si="25"/>
        <v>0.1</v>
      </c>
      <c r="K362" s="27" t="s">
        <v>1010</v>
      </c>
      <c r="L362" s="8"/>
      <c r="M362" s="8" t="s">
        <v>1010</v>
      </c>
      <c r="N362" s="8" t="s">
        <v>1010</v>
      </c>
      <c r="O362" s="27" t="s">
        <v>1010</v>
      </c>
      <c r="P362" s="27" t="s">
        <v>1010</v>
      </c>
      <c r="Q362" s="8" t="s">
        <v>1010</v>
      </c>
      <c r="R362" s="8" t="s">
        <v>1010</v>
      </c>
      <c r="S362" s="8" t="s">
        <v>1010</v>
      </c>
      <c r="T362" s="27" t="s">
        <v>1010</v>
      </c>
      <c r="U362" s="27" t="s">
        <v>1010</v>
      </c>
      <c r="V362" s="27" t="s">
        <v>1010</v>
      </c>
      <c r="W362" s="27" t="s">
        <v>1010</v>
      </c>
      <c r="X362" s="27" t="s">
        <v>1010</v>
      </c>
      <c r="Y362" s="27" t="s">
        <v>1010</v>
      </c>
      <c r="Z362" s="27" t="s">
        <v>1010</v>
      </c>
      <c r="AA362" s="27" t="s">
        <v>1010</v>
      </c>
      <c r="AB362" s="27" t="s">
        <v>1010</v>
      </c>
      <c r="AC362" s="27" t="s">
        <v>1010</v>
      </c>
      <c r="AD362" s="27" t="s">
        <v>1010</v>
      </c>
      <c r="AE362" s="27" t="s">
        <v>1010</v>
      </c>
      <c r="AF362" s="27" t="s">
        <v>1010</v>
      </c>
      <c r="AG362" s="8" t="s">
        <v>1010</v>
      </c>
      <c r="AH362" s="8" t="s">
        <v>1010</v>
      </c>
      <c r="AI362" s="8" t="s">
        <v>1010</v>
      </c>
      <c r="AJ362" s="27" t="s">
        <v>1010</v>
      </c>
      <c r="AK362" s="8" t="s">
        <v>1010</v>
      </c>
      <c r="AL362" s="8" t="s">
        <v>1010</v>
      </c>
      <c r="AM362" s="27"/>
      <c r="AN362" s="27"/>
      <c r="AO362" s="27"/>
    </row>
    <row r="363" spans="1:41" ht="15.75" thickBot="1" x14ac:dyDescent="0.3">
      <c r="A363" s="51" t="s">
        <v>416</v>
      </c>
      <c r="B363" s="51" t="s">
        <v>566</v>
      </c>
      <c r="C363" s="51" t="s">
        <v>1171</v>
      </c>
      <c r="D363" s="51" t="s">
        <v>567</v>
      </c>
      <c r="E363" s="51" t="s">
        <v>73</v>
      </c>
      <c r="F363" s="51" t="s">
        <v>28</v>
      </c>
      <c r="G363" s="51" t="s">
        <v>952</v>
      </c>
      <c r="H363" s="53">
        <f t="shared" si="23"/>
        <v>30</v>
      </c>
      <c r="I363" s="17">
        <f t="shared" si="24"/>
        <v>0</v>
      </c>
      <c r="J363" s="18">
        <f t="shared" si="25"/>
        <v>1</v>
      </c>
      <c r="K363" s="27"/>
      <c r="L363" s="8"/>
      <c r="M363" s="8"/>
      <c r="N363" s="8"/>
      <c r="O363" s="27"/>
      <c r="P363" s="27"/>
      <c r="Q363" s="8"/>
      <c r="R363" s="8"/>
      <c r="S363" s="8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8"/>
      <c r="AH363" s="8"/>
      <c r="AI363" s="8"/>
      <c r="AJ363" s="27"/>
      <c r="AK363" s="8"/>
      <c r="AL363" s="8"/>
      <c r="AM363" s="27"/>
      <c r="AN363" s="27"/>
      <c r="AO363" s="27"/>
    </row>
    <row r="364" spans="1:41" ht="15.75" thickBot="1" x14ac:dyDescent="0.3">
      <c r="A364" s="51" t="s">
        <v>416</v>
      </c>
      <c r="B364" s="51" t="s">
        <v>568</v>
      </c>
      <c r="C364" s="51" t="s">
        <v>1171</v>
      </c>
      <c r="D364" s="51" t="s">
        <v>567</v>
      </c>
      <c r="E364" s="51" t="s">
        <v>73</v>
      </c>
      <c r="F364" s="51" t="s">
        <v>28</v>
      </c>
      <c r="G364" s="51" t="s">
        <v>953</v>
      </c>
      <c r="H364" s="53">
        <f t="shared" si="23"/>
        <v>30</v>
      </c>
      <c r="I364" s="17">
        <f t="shared" si="24"/>
        <v>0</v>
      </c>
      <c r="J364" s="18">
        <f t="shared" si="25"/>
        <v>1</v>
      </c>
      <c r="K364" s="27"/>
      <c r="L364" s="8"/>
      <c r="M364" s="8"/>
      <c r="N364" s="8"/>
      <c r="O364" s="27"/>
      <c r="P364" s="27"/>
      <c r="Q364" s="8"/>
      <c r="R364" s="8"/>
      <c r="S364" s="8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8"/>
      <c r="AH364" s="8"/>
      <c r="AI364" s="8"/>
      <c r="AJ364" s="27"/>
      <c r="AK364" s="8"/>
      <c r="AL364" s="8"/>
      <c r="AM364" s="27"/>
      <c r="AN364" s="27"/>
      <c r="AO364" s="27"/>
    </row>
    <row r="365" spans="1:41" ht="15.75" thickBot="1" x14ac:dyDescent="0.3">
      <c r="A365" s="51" t="s">
        <v>416</v>
      </c>
      <c r="B365" s="51" t="s">
        <v>569</v>
      </c>
      <c r="C365" s="51" t="s">
        <v>1171</v>
      </c>
      <c r="D365" s="51" t="s">
        <v>570</v>
      </c>
      <c r="E365" s="51" t="s">
        <v>15</v>
      </c>
      <c r="F365" s="51" t="s">
        <v>28</v>
      </c>
      <c r="G365" s="51" t="s">
        <v>955</v>
      </c>
      <c r="H365" s="53">
        <f t="shared" si="23"/>
        <v>30</v>
      </c>
      <c r="I365" s="17">
        <f t="shared" si="24"/>
        <v>0</v>
      </c>
      <c r="J365" s="18">
        <f t="shared" si="25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.75" thickBot="1" x14ac:dyDescent="0.3">
      <c r="A366" s="51" t="s">
        <v>492</v>
      </c>
      <c r="B366" s="51" t="s">
        <v>571</v>
      </c>
      <c r="C366" s="51" t="s">
        <v>1171</v>
      </c>
      <c r="D366" s="51" t="s">
        <v>572</v>
      </c>
      <c r="E366" s="51" t="s">
        <v>19</v>
      </c>
      <c r="F366" s="51" t="s">
        <v>28</v>
      </c>
      <c r="G366" s="51" t="s">
        <v>956</v>
      </c>
      <c r="H366" s="53">
        <f t="shared" si="23"/>
        <v>30</v>
      </c>
      <c r="I366" s="17">
        <f t="shared" si="24"/>
        <v>0</v>
      </c>
      <c r="J366" s="18">
        <f t="shared" si="25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.75" thickBot="1" x14ac:dyDescent="0.3">
      <c r="A367" s="51" t="s">
        <v>492</v>
      </c>
      <c r="B367" s="51" t="s">
        <v>573</v>
      </c>
      <c r="C367" s="51" t="s">
        <v>1171</v>
      </c>
      <c r="D367" s="51" t="s">
        <v>574</v>
      </c>
      <c r="E367" s="51" t="s">
        <v>19</v>
      </c>
      <c r="F367" s="51" t="s">
        <v>20</v>
      </c>
      <c r="G367" s="51" t="s">
        <v>957</v>
      </c>
      <c r="H367" s="53">
        <f t="shared" si="23"/>
        <v>30</v>
      </c>
      <c r="I367" s="17">
        <f t="shared" si="24"/>
        <v>0</v>
      </c>
      <c r="J367" s="18">
        <f t="shared" si="25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.75" thickBot="1" x14ac:dyDescent="0.3">
      <c r="A368" s="51" t="s">
        <v>492</v>
      </c>
      <c r="B368" s="51" t="s">
        <v>575</v>
      </c>
      <c r="C368" s="51" t="s">
        <v>1171</v>
      </c>
      <c r="D368" s="51" t="s">
        <v>576</v>
      </c>
      <c r="E368" s="51" t="s">
        <v>19</v>
      </c>
      <c r="F368" s="51" t="s">
        <v>20</v>
      </c>
      <c r="G368" s="51" t="s">
        <v>958</v>
      </c>
      <c r="H368" s="53">
        <f t="shared" si="23"/>
        <v>30</v>
      </c>
      <c r="I368" s="17">
        <f t="shared" si="24"/>
        <v>0</v>
      </c>
      <c r="J368" s="18">
        <f t="shared" si="25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.75" thickBot="1" x14ac:dyDescent="0.3">
      <c r="A369" s="51" t="s">
        <v>492</v>
      </c>
      <c r="B369" s="51" t="s">
        <v>577</v>
      </c>
      <c r="C369" s="51" t="s">
        <v>1171</v>
      </c>
      <c r="D369" s="51" t="s">
        <v>578</v>
      </c>
      <c r="E369" s="51" t="s">
        <v>19</v>
      </c>
      <c r="F369" s="51" t="s">
        <v>1164</v>
      </c>
      <c r="G369" s="51" t="s">
        <v>959</v>
      </c>
      <c r="H369" s="53">
        <f t="shared" si="23"/>
        <v>21</v>
      </c>
      <c r="I369" s="17">
        <f t="shared" si="24"/>
        <v>9</v>
      </c>
      <c r="J369" s="18">
        <f t="shared" si="25"/>
        <v>0.7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 t="s">
        <v>1010</v>
      </c>
      <c r="Y369" s="27" t="s">
        <v>1010</v>
      </c>
      <c r="Z369" s="27" t="s">
        <v>1010</v>
      </c>
      <c r="AA369" s="27" t="s">
        <v>1010</v>
      </c>
      <c r="AB369" s="27" t="s">
        <v>1010</v>
      </c>
      <c r="AC369" s="27" t="s">
        <v>1010</v>
      </c>
      <c r="AD369" s="27" t="s">
        <v>1010</v>
      </c>
      <c r="AE369" s="27" t="s">
        <v>1010</v>
      </c>
      <c r="AF369" s="27" t="s">
        <v>1010</v>
      </c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.75" thickBot="1" x14ac:dyDescent="0.3">
      <c r="A370" s="51" t="s">
        <v>487</v>
      </c>
      <c r="B370" s="51" t="s">
        <v>579</v>
      </c>
      <c r="C370" s="51" t="s">
        <v>1171</v>
      </c>
      <c r="D370" s="51" t="s">
        <v>580</v>
      </c>
      <c r="E370" s="51" t="s">
        <v>19</v>
      </c>
      <c r="F370" s="51" t="s">
        <v>20</v>
      </c>
      <c r="G370" s="51" t="s">
        <v>960</v>
      </c>
      <c r="H370" s="53">
        <f t="shared" si="23"/>
        <v>23</v>
      </c>
      <c r="I370" s="17">
        <f t="shared" si="24"/>
        <v>7</v>
      </c>
      <c r="J370" s="18">
        <f t="shared" si="25"/>
        <v>0.76666666666666672</v>
      </c>
      <c r="K370" s="27"/>
      <c r="L370" s="8"/>
      <c r="M370" s="8"/>
      <c r="N370" s="8"/>
      <c r="O370" s="27"/>
      <c r="P370" s="27" t="s">
        <v>1010</v>
      </c>
      <c r="Q370" s="8" t="s">
        <v>1010</v>
      </c>
      <c r="R370" s="8" t="s">
        <v>1010</v>
      </c>
      <c r="S370" s="8" t="s">
        <v>1010</v>
      </c>
      <c r="T370" s="27" t="s">
        <v>1010</v>
      </c>
      <c r="U370" s="27" t="s">
        <v>1010</v>
      </c>
      <c r="V370" s="27" t="s">
        <v>1010</v>
      </c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</row>
    <row r="371" spans="1:41" ht="15.75" thickBot="1" x14ac:dyDescent="0.3">
      <c r="A371" s="51" t="s">
        <v>581</v>
      </c>
      <c r="B371" s="51" t="s">
        <v>582</v>
      </c>
      <c r="C371" s="51" t="s">
        <v>1172</v>
      </c>
      <c r="D371" s="51" t="s">
        <v>583</v>
      </c>
      <c r="E371" s="51" t="s">
        <v>15</v>
      </c>
      <c r="F371" s="51" t="s">
        <v>28</v>
      </c>
      <c r="G371" s="51" t="s">
        <v>961</v>
      </c>
      <c r="H371" s="53">
        <f t="shared" si="23"/>
        <v>29</v>
      </c>
      <c r="I371" s="17">
        <f t="shared" si="24"/>
        <v>1</v>
      </c>
      <c r="J371" s="18">
        <f t="shared" si="25"/>
        <v>0.96666666666666667</v>
      </c>
      <c r="K371" s="27"/>
      <c r="L371" s="27"/>
      <c r="M371" s="27"/>
      <c r="N371" s="27"/>
      <c r="O371" s="27"/>
      <c r="P371" s="27"/>
      <c r="Q371" s="27" t="s">
        <v>1010</v>
      </c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</row>
    <row r="372" spans="1:41" ht="15.75" thickBot="1" x14ac:dyDescent="0.3">
      <c r="A372" s="51" t="s">
        <v>581</v>
      </c>
      <c r="B372" s="51" t="s">
        <v>584</v>
      </c>
      <c r="C372" s="51" t="s">
        <v>1172</v>
      </c>
      <c r="D372" s="51" t="s">
        <v>585</v>
      </c>
      <c r="E372" s="51" t="s">
        <v>15</v>
      </c>
      <c r="F372" s="51" t="s">
        <v>28</v>
      </c>
      <c r="G372" s="51" t="s">
        <v>962</v>
      </c>
      <c r="H372" s="53">
        <f t="shared" si="23"/>
        <v>29</v>
      </c>
      <c r="I372" s="17">
        <f t="shared" si="24"/>
        <v>1</v>
      </c>
      <c r="J372" s="18">
        <f t="shared" si="25"/>
        <v>0.96666666666666667</v>
      </c>
      <c r="K372" s="27"/>
      <c r="L372" s="27"/>
      <c r="M372" s="27"/>
      <c r="N372" s="27"/>
      <c r="O372" s="27"/>
      <c r="P372" s="27"/>
      <c r="Q372" s="27" t="s">
        <v>1010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s="51" customFormat="1" ht="15.75" thickBot="1" x14ac:dyDescent="0.3">
      <c r="A373" s="51" t="s">
        <v>581</v>
      </c>
      <c r="B373" s="51" t="s">
        <v>1152</v>
      </c>
      <c r="C373" s="51" t="s">
        <v>1172</v>
      </c>
      <c r="D373" s="51" t="s">
        <v>586</v>
      </c>
      <c r="E373" s="51" t="s">
        <v>73</v>
      </c>
      <c r="F373" s="51" t="s">
        <v>28</v>
      </c>
      <c r="G373" s="51" t="s">
        <v>963</v>
      </c>
      <c r="H373" s="53">
        <f t="shared" si="23"/>
        <v>29</v>
      </c>
      <c r="I373" s="53">
        <f t="shared" ref="I373:I379" si="26">COUNTIF(K373:AL373,"APAGADO")</f>
        <v>1</v>
      </c>
      <c r="J373" s="54">
        <f t="shared" ref="J373:J379" si="27">(H373)/(I373+H373)</f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s="51" customFormat="1" ht="15.75" thickBot="1" x14ac:dyDescent="0.3">
      <c r="A374" s="51" t="s">
        <v>581</v>
      </c>
      <c r="B374" s="51" t="s">
        <v>1153</v>
      </c>
      <c r="C374" s="51" t="s">
        <v>1172</v>
      </c>
      <c r="D374" s="51" t="s">
        <v>586</v>
      </c>
      <c r="E374" s="51" t="s">
        <v>73</v>
      </c>
      <c r="F374" s="51" t="s">
        <v>28</v>
      </c>
      <c r="G374" s="51" t="s">
        <v>964</v>
      </c>
      <c r="H374" s="53">
        <f t="shared" si="23"/>
        <v>29</v>
      </c>
      <c r="I374" s="53">
        <f t="shared" si="26"/>
        <v>1</v>
      </c>
      <c r="J374" s="54">
        <f t="shared" si="27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.75" thickBot="1" x14ac:dyDescent="0.3">
      <c r="A375" s="51" t="s">
        <v>587</v>
      </c>
      <c r="B375" s="51" t="s">
        <v>1154</v>
      </c>
      <c r="C375" s="51" t="s">
        <v>1172</v>
      </c>
      <c r="D375" s="51" t="s">
        <v>588</v>
      </c>
      <c r="E375" s="51" t="s">
        <v>73</v>
      </c>
      <c r="F375" s="51" t="s">
        <v>28</v>
      </c>
      <c r="G375" s="51" t="s">
        <v>965</v>
      </c>
      <c r="H375" s="53">
        <f t="shared" si="23"/>
        <v>30</v>
      </c>
      <c r="I375" s="53">
        <f t="shared" si="26"/>
        <v>0</v>
      </c>
      <c r="J375" s="54">
        <f t="shared" si="27"/>
        <v>1</v>
      </c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.75" thickBot="1" x14ac:dyDescent="0.3">
      <c r="A376" s="51" t="s">
        <v>587</v>
      </c>
      <c r="B376" s="51" t="s">
        <v>1155</v>
      </c>
      <c r="C376" s="51" t="s">
        <v>1172</v>
      </c>
      <c r="D376" s="51" t="s">
        <v>589</v>
      </c>
      <c r="E376" s="51" t="s">
        <v>15</v>
      </c>
      <c r="F376" s="51" t="s">
        <v>28</v>
      </c>
      <c r="G376" s="51" t="s">
        <v>966</v>
      </c>
      <c r="H376" s="53">
        <f t="shared" si="23"/>
        <v>30</v>
      </c>
      <c r="I376" s="53">
        <f t="shared" si="26"/>
        <v>0</v>
      </c>
      <c r="J376" s="54">
        <f t="shared" si="27"/>
        <v>1</v>
      </c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.75" thickBot="1" x14ac:dyDescent="0.3">
      <c r="A377" s="51" t="s">
        <v>587</v>
      </c>
      <c r="B377" s="51" t="s">
        <v>590</v>
      </c>
      <c r="C377" s="51" t="s">
        <v>1172</v>
      </c>
      <c r="D377" s="51" t="s">
        <v>591</v>
      </c>
      <c r="E377" s="51" t="s">
        <v>73</v>
      </c>
      <c r="F377" s="51" t="s">
        <v>28</v>
      </c>
      <c r="G377" s="51" t="s">
        <v>967</v>
      </c>
      <c r="H377" s="53">
        <f t="shared" si="23"/>
        <v>30</v>
      </c>
      <c r="I377" s="53">
        <f t="shared" si="26"/>
        <v>0</v>
      </c>
      <c r="J377" s="54">
        <f t="shared" si="27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.75" thickBot="1" x14ac:dyDescent="0.3">
      <c r="A378" s="51" t="s">
        <v>587</v>
      </c>
      <c r="B378" s="51" t="s">
        <v>592</v>
      </c>
      <c r="C378" s="51" t="s">
        <v>1172</v>
      </c>
      <c r="D378" s="51" t="s">
        <v>593</v>
      </c>
      <c r="E378" s="51" t="s">
        <v>15</v>
      </c>
      <c r="F378" s="51" t="s">
        <v>28</v>
      </c>
      <c r="G378" s="51" t="s">
        <v>968</v>
      </c>
      <c r="H378" s="53">
        <f t="shared" si="23"/>
        <v>30</v>
      </c>
      <c r="I378" s="53">
        <f t="shared" si="26"/>
        <v>0</v>
      </c>
      <c r="J378" s="54">
        <f t="shared" si="27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.75" thickBot="1" x14ac:dyDescent="0.3">
      <c r="A379" s="51" t="s">
        <v>587</v>
      </c>
      <c r="B379" s="51" t="s">
        <v>594</v>
      </c>
      <c r="C379" s="51" t="s">
        <v>1172</v>
      </c>
      <c r="D379" s="51" t="s">
        <v>595</v>
      </c>
      <c r="E379" s="51" t="s">
        <v>15</v>
      </c>
      <c r="F379" s="51" t="s">
        <v>28</v>
      </c>
      <c r="G379" s="51" t="s">
        <v>969</v>
      </c>
      <c r="H379" s="53">
        <f t="shared" si="23"/>
        <v>30</v>
      </c>
      <c r="I379" s="53">
        <f t="shared" si="26"/>
        <v>0</v>
      </c>
      <c r="J379" s="54">
        <f t="shared" si="27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ht="15.75" thickBot="1" x14ac:dyDescent="0.3">
      <c r="A380" s="51" t="s">
        <v>178</v>
      </c>
      <c r="B380" s="51" t="s">
        <v>596</v>
      </c>
      <c r="C380" s="51" t="s">
        <v>1172</v>
      </c>
      <c r="D380" s="51" t="s">
        <v>1205</v>
      </c>
      <c r="E380" s="51" t="s">
        <v>19</v>
      </c>
      <c r="F380" s="51" t="s">
        <v>20</v>
      </c>
      <c r="G380" s="51" t="s">
        <v>970</v>
      </c>
      <c r="H380" s="53">
        <f t="shared" ref="H380:H396" si="28">COUNTIF(K380:AN380,"")</f>
        <v>30</v>
      </c>
      <c r="I380" s="53">
        <f t="shared" ref="I380:I396" si="29">COUNTIF(K380:AL380,"APAGADO")</f>
        <v>0</v>
      </c>
      <c r="J380" s="54">
        <f t="shared" ref="J380:J396" si="30">(H380)/(I380+H380)</f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ht="15.75" thickBot="1" x14ac:dyDescent="0.3">
      <c r="A381" s="51" t="s">
        <v>178</v>
      </c>
      <c r="B381" s="51" t="s">
        <v>1156</v>
      </c>
      <c r="C381" s="51" t="s">
        <v>1172</v>
      </c>
      <c r="D381" s="51" t="s">
        <v>1206</v>
      </c>
      <c r="E381" s="51" t="s">
        <v>73</v>
      </c>
      <c r="F381" s="51" t="s">
        <v>28</v>
      </c>
      <c r="G381" s="51" t="s">
        <v>971</v>
      </c>
      <c r="H381" s="53">
        <f t="shared" si="28"/>
        <v>30</v>
      </c>
      <c r="I381" s="53">
        <f t="shared" si="29"/>
        <v>0</v>
      </c>
      <c r="J381" s="54">
        <f t="shared" si="30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.75" thickBot="1" x14ac:dyDescent="0.3">
      <c r="A382" s="51" t="s">
        <v>178</v>
      </c>
      <c r="B382" s="51" t="s">
        <v>1157</v>
      </c>
      <c r="C382" s="51" t="s">
        <v>1172</v>
      </c>
      <c r="D382" s="51" t="s">
        <v>1206</v>
      </c>
      <c r="E382" s="51" t="s">
        <v>73</v>
      </c>
      <c r="F382" s="51" t="s">
        <v>28</v>
      </c>
      <c r="G382" s="51" t="s">
        <v>972</v>
      </c>
      <c r="H382" s="53">
        <f t="shared" si="28"/>
        <v>30</v>
      </c>
      <c r="I382" s="53">
        <f t="shared" si="29"/>
        <v>0</v>
      </c>
      <c r="J382" s="54">
        <f t="shared" si="30"/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.75" thickBot="1" x14ac:dyDescent="0.3">
      <c r="A383" s="51" t="s">
        <v>178</v>
      </c>
      <c r="B383" s="51" t="s">
        <v>1158</v>
      </c>
      <c r="C383" s="51" t="s">
        <v>1172</v>
      </c>
      <c r="D383" s="51" t="s">
        <v>1159</v>
      </c>
      <c r="E383" s="51" t="s">
        <v>15</v>
      </c>
      <c r="F383" s="51" t="s">
        <v>28</v>
      </c>
      <c r="G383" s="51" t="s">
        <v>973</v>
      </c>
      <c r="H383" s="53">
        <f t="shared" si="28"/>
        <v>30</v>
      </c>
      <c r="I383" s="53">
        <f t="shared" si="29"/>
        <v>0</v>
      </c>
      <c r="J383" s="54">
        <f t="shared" si="30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.75" thickBot="1" x14ac:dyDescent="0.3">
      <c r="A384" s="51" t="s">
        <v>178</v>
      </c>
      <c r="B384" s="51" t="s">
        <v>597</v>
      </c>
      <c r="C384" s="51" t="s">
        <v>1172</v>
      </c>
      <c r="D384" s="51" t="s">
        <v>1207</v>
      </c>
      <c r="E384" s="51" t="s">
        <v>15</v>
      </c>
      <c r="F384" s="51" t="s">
        <v>28</v>
      </c>
      <c r="G384" s="51"/>
      <c r="H384" s="53">
        <f t="shared" si="28"/>
        <v>30</v>
      </c>
      <c r="I384" s="53">
        <f t="shared" si="29"/>
        <v>0</v>
      </c>
      <c r="J384" s="54">
        <f t="shared" si="30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.75" thickBot="1" x14ac:dyDescent="0.3">
      <c r="A385" s="51" t="s">
        <v>598</v>
      </c>
      <c r="B385" s="51" t="s">
        <v>1160</v>
      </c>
      <c r="C385" s="51" t="s">
        <v>1172</v>
      </c>
      <c r="D385" s="51" t="s">
        <v>600</v>
      </c>
      <c r="E385" s="51" t="s">
        <v>73</v>
      </c>
      <c r="F385" s="51" t="s">
        <v>28</v>
      </c>
      <c r="G385" s="51" t="s">
        <v>975</v>
      </c>
      <c r="H385" s="53">
        <f t="shared" si="28"/>
        <v>18</v>
      </c>
      <c r="I385" s="53">
        <f t="shared" si="29"/>
        <v>12</v>
      </c>
      <c r="J385" s="54">
        <f t="shared" si="30"/>
        <v>0.6</v>
      </c>
      <c r="K385" s="27" t="s">
        <v>1010</v>
      </c>
      <c r="L385" s="27" t="s">
        <v>1010</v>
      </c>
      <c r="M385" s="27" t="s">
        <v>1010</v>
      </c>
      <c r="N385" s="27" t="s">
        <v>1010</v>
      </c>
      <c r="O385" s="27" t="s">
        <v>1010</v>
      </c>
      <c r="P385" s="27" t="s">
        <v>1010</v>
      </c>
      <c r="Q385" s="27" t="s">
        <v>1010</v>
      </c>
      <c r="R385" s="27" t="s">
        <v>1010</v>
      </c>
      <c r="S385" s="27" t="s">
        <v>1010</v>
      </c>
      <c r="T385" s="27" t="s">
        <v>1010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 t="s">
        <v>1010</v>
      </c>
      <c r="AL385" s="27" t="s">
        <v>1010</v>
      </c>
      <c r="AM385" s="27"/>
      <c r="AN385" s="27"/>
      <c r="AO385" s="27"/>
    </row>
    <row r="386" spans="1:41" ht="15.75" thickBot="1" x14ac:dyDescent="0.3">
      <c r="A386" s="51" t="s">
        <v>598</v>
      </c>
      <c r="B386" s="51" t="s">
        <v>1161</v>
      </c>
      <c r="C386" s="51" t="s">
        <v>1172</v>
      </c>
      <c r="D386" s="51" t="s">
        <v>601</v>
      </c>
      <c r="E386" s="51" t="s">
        <v>73</v>
      </c>
      <c r="F386" s="51" t="s">
        <v>28</v>
      </c>
      <c r="G386" s="51" t="s">
        <v>976</v>
      </c>
      <c r="H386" s="53">
        <f t="shared" si="28"/>
        <v>18</v>
      </c>
      <c r="I386" s="53">
        <f t="shared" si="29"/>
        <v>12</v>
      </c>
      <c r="J386" s="54">
        <f t="shared" si="30"/>
        <v>0.6</v>
      </c>
      <c r="K386" s="27" t="s">
        <v>1010</v>
      </c>
      <c r="L386" s="27" t="s">
        <v>1010</v>
      </c>
      <c r="M386" s="27" t="s">
        <v>1010</v>
      </c>
      <c r="N386" s="27" t="s">
        <v>1010</v>
      </c>
      <c r="O386" s="27" t="s">
        <v>1010</v>
      </c>
      <c r="P386" s="27" t="s">
        <v>1010</v>
      </c>
      <c r="Q386" s="27" t="s">
        <v>1010</v>
      </c>
      <c r="R386" s="27" t="s">
        <v>1010</v>
      </c>
      <c r="S386" s="27" t="s">
        <v>1010</v>
      </c>
      <c r="T386" s="27" t="s">
        <v>1010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 t="s">
        <v>1010</v>
      </c>
      <c r="AL386" s="27" t="s">
        <v>1010</v>
      </c>
      <c r="AM386" s="27"/>
      <c r="AN386" s="27"/>
      <c r="AO386" s="27"/>
    </row>
    <row r="387" spans="1:41" ht="15.75" thickBot="1" x14ac:dyDescent="0.3">
      <c r="A387" s="51" t="s">
        <v>598</v>
      </c>
      <c r="B387" s="51" t="s">
        <v>599</v>
      </c>
      <c r="C387" s="51" t="s">
        <v>1172</v>
      </c>
      <c r="D387" s="51" t="s">
        <v>600</v>
      </c>
      <c r="E387" s="51" t="s">
        <v>73</v>
      </c>
      <c r="F387" s="51" t="s">
        <v>28</v>
      </c>
      <c r="G387" s="51" t="s">
        <v>974</v>
      </c>
      <c r="H387" s="53">
        <f t="shared" si="28"/>
        <v>18</v>
      </c>
      <c r="I387" s="53">
        <f t="shared" si="29"/>
        <v>12</v>
      </c>
      <c r="J387" s="54">
        <f t="shared" si="30"/>
        <v>0.6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 t="s">
        <v>1010</v>
      </c>
      <c r="AL387" s="27" t="s">
        <v>1010</v>
      </c>
      <c r="AM387" s="27"/>
      <c r="AN387" s="27"/>
      <c r="AO387" s="27"/>
    </row>
    <row r="388" spans="1:41" ht="15.75" thickBot="1" x14ac:dyDescent="0.3">
      <c r="A388" s="51" t="s">
        <v>598</v>
      </c>
      <c r="B388" s="51" t="s">
        <v>602</v>
      </c>
      <c r="C388" s="51" t="s">
        <v>1172</v>
      </c>
      <c r="D388" s="51" t="s">
        <v>601</v>
      </c>
      <c r="E388" s="51" t="s">
        <v>73</v>
      </c>
      <c r="F388" s="51" t="s">
        <v>28</v>
      </c>
      <c r="G388" s="51" t="s">
        <v>977</v>
      </c>
      <c r="H388" s="53">
        <f t="shared" si="28"/>
        <v>18</v>
      </c>
      <c r="I388" s="53">
        <f t="shared" si="29"/>
        <v>12</v>
      </c>
      <c r="J388" s="54">
        <f t="shared" si="30"/>
        <v>0.6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 t="s">
        <v>1010</v>
      </c>
      <c r="AL388" s="27" t="s">
        <v>1010</v>
      </c>
      <c r="AM388" s="27"/>
      <c r="AN388" s="27"/>
      <c r="AO388" s="27"/>
    </row>
    <row r="389" spans="1:41" ht="15.75" thickBot="1" x14ac:dyDescent="0.3">
      <c r="A389" s="51" t="s">
        <v>603</v>
      </c>
      <c r="B389" s="51" t="s">
        <v>604</v>
      </c>
      <c r="C389" s="51" t="s">
        <v>1172</v>
      </c>
      <c r="D389" s="51" t="s">
        <v>605</v>
      </c>
      <c r="E389" s="51" t="s">
        <v>15</v>
      </c>
      <c r="F389" s="51" t="s">
        <v>28</v>
      </c>
      <c r="G389" s="51" t="s">
        <v>978</v>
      </c>
      <c r="H389" s="53">
        <f t="shared" si="28"/>
        <v>30</v>
      </c>
      <c r="I389" s="53">
        <f t="shared" si="29"/>
        <v>0</v>
      </c>
      <c r="J389" s="54">
        <f t="shared" si="30"/>
        <v>1</v>
      </c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</row>
    <row r="390" spans="1:41" ht="15.75" thickBot="1" x14ac:dyDescent="0.3">
      <c r="A390" s="51" t="s">
        <v>606</v>
      </c>
      <c r="B390" s="51" t="s">
        <v>608</v>
      </c>
      <c r="C390" s="51" t="s">
        <v>1172</v>
      </c>
      <c r="D390" s="51" t="s">
        <v>609</v>
      </c>
      <c r="E390" s="51" t="s">
        <v>15</v>
      </c>
      <c r="F390" s="51" t="s">
        <v>20</v>
      </c>
      <c r="G390" s="51" t="s">
        <v>980</v>
      </c>
      <c r="H390" s="53">
        <f t="shared" si="28"/>
        <v>30</v>
      </c>
      <c r="I390" s="53">
        <f t="shared" si="29"/>
        <v>0</v>
      </c>
      <c r="J390" s="54">
        <f t="shared" si="30"/>
        <v>1</v>
      </c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</row>
    <row r="391" spans="1:41" ht="15.75" thickBot="1" x14ac:dyDescent="0.3">
      <c r="A391" s="51" t="s">
        <v>606</v>
      </c>
      <c r="B391" s="51" t="s">
        <v>610</v>
      </c>
      <c r="C391" s="51" t="s">
        <v>1172</v>
      </c>
      <c r="D391" s="51" t="s">
        <v>611</v>
      </c>
      <c r="E391" s="51" t="s">
        <v>15</v>
      </c>
      <c r="F391" s="51" t="s">
        <v>20</v>
      </c>
      <c r="G391" s="51" t="s">
        <v>981</v>
      </c>
      <c r="H391" s="53">
        <f t="shared" si="28"/>
        <v>30</v>
      </c>
      <c r="I391" s="53">
        <f t="shared" si="29"/>
        <v>0</v>
      </c>
      <c r="J391" s="54">
        <f t="shared" si="30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.75" thickBot="1" x14ac:dyDescent="0.3">
      <c r="A392" s="51" t="s">
        <v>606</v>
      </c>
      <c r="B392" s="51" t="s">
        <v>1162</v>
      </c>
      <c r="C392" s="51" t="s">
        <v>1172</v>
      </c>
      <c r="D392" s="51" t="s">
        <v>607</v>
      </c>
      <c r="E392" s="51" t="s">
        <v>15</v>
      </c>
      <c r="F392" s="51" t="s">
        <v>20</v>
      </c>
      <c r="G392" s="51" t="s">
        <v>979</v>
      </c>
      <c r="H392" s="53">
        <f t="shared" si="28"/>
        <v>30</v>
      </c>
      <c r="I392" s="53">
        <f t="shared" si="29"/>
        <v>0</v>
      </c>
      <c r="J392" s="54">
        <f t="shared" si="30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.75" thickBot="1" x14ac:dyDescent="0.3">
      <c r="A393" s="51" t="s">
        <v>614</v>
      </c>
      <c r="B393" s="51" t="s">
        <v>612</v>
      </c>
      <c r="C393" s="51" t="s">
        <v>1172</v>
      </c>
      <c r="D393" s="51" t="s">
        <v>613</v>
      </c>
      <c r="E393" s="51" t="s">
        <v>19</v>
      </c>
      <c r="F393" s="51" t="s">
        <v>20</v>
      </c>
      <c r="G393" s="51" t="s">
        <v>985</v>
      </c>
      <c r="H393" s="53">
        <f t="shared" si="28"/>
        <v>30</v>
      </c>
      <c r="I393" s="53">
        <f t="shared" si="29"/>
        <v>0</v>
      </c>
      <c r="J393" s="54">
        <f t="shared" si="30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.75" thickBot="1" x14ac:dyDescent="0.3">
      <c r="A394" s="51" t="s">
        <v>614</v>
      </c>
      <c r="B394" s="51" t="s">
        <v>615</v>
      </c>
      <c r="C394" s="51" t="s">
        <v>1172</v>
      </c>
      <c r="D394" s="51" t="s">
        <v>616</v>
      </c>
      <c r="E394" s="51" t="s">
        <v>19</v>
      </c>
      <c r="F394" s="51" t="s">
        <v>20</v>
      </c>
      <c r="G394" s="51" t="s">
        <v>982</v>
      </c>
      <c r="H394" s="53">
        <f t="shared" si="28"/>
        <v>30</v>
      </c>
      <c r="I394" s="53">
        <f t="shared" si="29"/>
        <v>0</v>
      </c>
      <c r="J394" s="54">
        <f t="shared" si="30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.75" thickBot="1" x14ac:dyDescent="0.3">
      <c r="A395" s="51" t="s">
        <v>314</v>
      </c>
      <c r="B395" s="51" t="s">
        <v>617</v>
      </c>
      <c r="C395" s="51" t="s">
        <v>1172</v>
      </c>
      <c r="D395" s="51" t="s">
        <v>618</v>
      </c>
      <c r="E395" s="51" t="s">
        <v>19</v>
      </c>
      <c r="F395" s="51" t="s">
        <v>20</v>
      </c>
      <c r="G395" s="51" t="s">
        <v>983</v>
      </c>
      <c r="H395" s="53">
        <f t="shared" si="28"/>
        <v>30</v>
      </c>
      <c r="I395" s="53">
        <f t="shared" si="29"/>
        <v>0</v>
      </c>
      <c r="J395" s="54">
        <f t="shared" si="30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.75" thickBot="1" x14ac:dyDescent="0.3">
      <c r="A396" s="51" t="s">
        <v>614</v>
      </c>
      <c r="B396" s="51" t="s">
        <v>619</v>
      </c>
      <c r="C396" s="51" t="s">
        <v>1172</v>
      </c>
      <c r="D396" s="51" t="s">
        <v>620</v>
      </c>
      <c r="E396" s="51" t="s">
        <v>15</v>
      </c>
      <c r="F396" s="51" t="s">
        <v>20</v>
      </c>
      <c r="G396" s="51" t="s">
        <v>984</v>
      </c>
      <c r="H396" s="53">
        <f t="shared" si="28"/>
        <v>30</v>
      </c>
      <c r="I396" s="53">
        <f t="shared" si="29"/>
        <v>0</v>
      </c>
      <c r="J396" s="54">
        <f t="shared" si="30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x14ac:dyDescent="0.25">
      <c r="E397" s="9"/>
      <c r="F397" s="9"/>
      <c r="G397" s="28"/>
      <c r="J397" s="2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9"/>
      <c r="AH397" s="9"/>
      <c r="AI397" s="9"/>
      <c r="AJ397" s="9"/>
      <c r="AK397" s="9"/>
      <c r="AL397" s="9"/>
      <c r="AM397" s="28"/>
      <c r="AN397" s="28"/>
    </row>
    <row r="398" spans="1:41" x14ac:dyDescent="0.25">
      <c r="E398" s="9"/>
      <c r="F398" s="9"/>
      <c r="G398" s="28"/>
      <c r="J398" s="2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9"/>
      <c r="AH398" s="9"/>
      <c r="AI398" s="9"/>
      <c r="AJ398" s="9"/>
      <c r="AK398" s="9"/>
      <c r="AL398" s="9"/>
      <c r="AM398" s="28"/>
      <c r="AN398" s="28"/>
    </row>
    <row r="399" spans="1:41" x14ac:dyDescent="0.25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25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25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25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25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25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25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25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25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25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25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25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25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25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25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25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25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25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25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25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25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25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25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25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25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25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25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25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25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25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25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25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25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25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25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25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25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25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25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25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25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25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25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25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25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25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25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25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25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25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25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25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25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25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25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25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25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25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25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25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25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25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25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25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25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25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25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25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25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25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25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25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25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25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25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25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25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25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25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25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25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25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25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25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25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25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25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25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25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25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25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25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25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25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25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25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25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25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25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25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25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25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25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25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25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25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25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25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25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25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25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25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25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25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25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25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25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25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25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25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25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25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25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25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25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25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25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25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25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25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25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25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25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25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25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25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25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25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25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25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25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25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25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25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25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25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25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25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25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25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25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25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25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25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25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25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25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25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25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25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25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25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25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25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25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25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25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25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25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25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25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25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25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25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25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25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25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25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25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25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25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25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25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25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25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25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25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25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25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25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25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25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25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25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25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25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25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25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25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25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25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25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25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25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25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25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25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25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25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25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25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25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25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25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25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25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25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25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25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25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25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25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25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25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25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25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25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25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25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25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25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25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25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25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25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25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25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25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25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25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25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25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25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25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25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25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25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25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25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25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25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25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25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25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25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25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25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25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25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25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25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25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25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25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25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25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25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25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25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25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25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25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25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25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25">
      <c r="E673" s="9"/>
      <c r="F673" s="9"/>
      <c r="G673" s="28"/>
      <c r="J673" s="21"/>
    </row>
    <row r="674" spans="5:10" x14ac:dyDescent="0.25">
      <c r="E674" s="9"/>
      <c r="F674" s="9"/>
      <c r="G674" s="28"/>
      <c r="J674" s="21"/>
    </row>
    <row r="675" spans="5:10" x14ac:dyDescent="0.25">
      <c r="E675" s="9"/>
      <c r="F675" s="9"/>
      <c r="G675" s="28"/>
      <c r="J675" s="21"/>
    </row>
    <row r="676" spans="5:10" x14ac:dyDescent="0.25">
      <c r="J676" s="21"/>
    </row>
  </sheetData>
  <autoFilter ref="A4:AO396" xr:uid="{32AE3966-3F3A-4A38-B5F8-35AF221F7220}"/>
  <conditionalFormatting sqref="J4:J244 L236:Q244 L247:Q281 K95:K244 K247:K369 R96:T244 R247:T372 AG95:AL369 AN95:AN369 J245:T246 J247:J372 AF96:AF372 W96:AD372">
    <cfRule type="cellIs" dxfId="873" priority="2229" operator="lessThan">
      <formula>0.8</formula>
    </cfRule>
    <cfRule type="cellIs" dxfId="872" priority="2230" operator="greaterThan">
      <formula>0.8</formula>
    </cfRule>
  </conditionalFormatting>
  <conditionalFormatting sqref="E1:G379 E391:G1048576">
    <cfRule type="containsText" dxfId="871" priority="2228" operator="containsText" text="Radio">
      <formula>NOT(ISERROR(SEARCH("Radio",E1)))</formula>
    </cfRule>
  </conditionalFormatting>
  <conditionalFormatting sqref="L236:Q244 L247:Q281 K95:K244 K247:K372 R96:T244 R247:T372 K245:T246 AG95:AL372 R397:AL1048576 AN397:AN1048576 AN95:AN372 AF96:AF372 W96:AD372">
    <cfRule type="notContainsText" dxfId="870" priority="2224" operator="notContains" text="Caida">
      <formula>ISERROR(SEARCH("Caida",K95))</formula>
    </cfRule>
    <cfRule type="containsText" dxfId="869" priority="2225" operator="containsText" text="Caida">
      <formula>NOT(ISERROR(SEARCH("Caida",K95)))</formula>
    </cfRule>
  </conditionalFormatting>
  <conditionalFormatting sqref="L6:L92 L96:L230">
    <cfRule type="cellIs" dxfId="868" priority="1722" operator="lessThan">
      <formula>0.8</formula>
    </cfRule>
    <cfRule type="cellIs" dxfId="867" priority="1723" operator="greaterThan">
      <formula>0.8</formula>
    </cfRule>
  </conditionalFormatting>
  <conditionalFormatting sqref="L6:L92 L96:L230">
    <cfRule type="notContainsText" dxfId="866" priority="1720" operator="notContains" text="Caida">
      <formula>ISERROR(SEARCH("Caida",L6))</formula>
    </cfRule>
    <cfRule type="containsText" dxfId="865" priority="1721" operator="containsText" text="Caida">
      <formula>NOT(ISERROR(SEARCH("Caida",L6)))</formula>
    </cfRule>
  </conditionalFormatting>
  <conditionalFormatting sqref="L337:L366 L284:L334">
    <cfRule type="cellIs" dxfId="864" priority="1718" operator="lessThan">
      <formula>0.8</formula>
    </cfRule>
    <cfRule type="cellIs" dxfId="863" priority="1719" operator="greaterThan">
      <formula>0.8</formula>
    </cfRule>
  </conditionalFormatting>
  <conditionalFormatting sqref="L337:L366 L284:L334 L397:L1048576">
    <cfRule type="notContainsText" dxfId="862" priority="1716" operator="notContains" text="Caida">
      <formula>ISERROR(SEARCH("Caida",L284))</formula>
    </cfRule>
    <cfRule type="containsText" dxfId="861" priority="1717" operator="containsText" text="Caida">
      <formula>NOT(ISERROR(SEARCH("Caida",L284)))</formula>
    </cfRule>
  </conditionalFormatting>
  <conditionalFormatting sqref="K397:K1048576">
    <cfRule type="notContainsText" dxfId="860" priority="1765" operator="notContains" text="Caida">
      <formula>ISERROR(SEARCH("Caida",K397))</formula>
    </cfRule>
    <cfRule type="containsText" dxfId="859" priority="1766" operator="containsText" text="Caida">
      <formula>NOT(ISERROR(SEARCH("Caida",K397)))</formula>
    </cfRule>
  </conditionalFormatting>
  <conditionalFormatting sqref="L336">
    <cfRule type="cellIs" dxfId="858" priority="1677" operator="lessThan">
      <formula>0.8</formula>
    </cfRule>
    <cfRule type="cellIs" dxfId="857" priority="1678" operator="greaterThan">
      <formula>0.8</formula>
    </cfRule>
  </conditionalFormatting>
  <conditionalFormatting sqref="L336">
    <cfRule type="notContainsText" dxfId="856" priority="1675" operator="notContains" text="Caida">
      <formula>ISERROR(SEARCH("Caida",L336))</formula>
    </cfRule>
    <cfRule type="containsText" dxfId="855" priority="1676" operator="containsText" text="Caida">
      <formula>NOT(ISERROR(SEARCH("Caida",L336)))</formula>
    </cfRule>
  </conditionalFormatting>
  <conditionalFormatting sqref="L22">
    <cfRule type="containsText" dxfId="854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853" priority="1713" operator="lessThan">
      <formula>0.8</formula>
    </cfRule>
    <cfRule type="cellIs" dxfId="852" priority="1714" operator="greaterThan">
      <formula>0.8</formula>
    </cfRule>
  </conditionalFormatting>
  <conditionalFormatting sqref="L282">
    <cfRule type="notContainsText" dxfId="851" priority="1711" operator="notContains" text="Caida">
      <formula>ISERROR(SEARCH("Caida",L282))</formula>
    </cfRule>
    <cfRule type="containsText" dxfId="850" priority="1712" operator="containsText" text="Caida">
      <formula>NOT(ISERROR(SEARCH("Caida",L282)))</formula>
    </cfRule>
  </conditionalFormatting>
  <conditionalFormatting sqref="L283">
    <cfRule type="cellIs" dxfId="849" priority="1709" operator="lessThan">
      <formula>0.8</formula>
    </cfRule>
    <cfRule type="cellIs" dxfId="848" priority="1710" operator="greaterThan">
      <formula>0.8</formula>
    </cfRule>
  </conditionalFormatting>
  <conditionalFormatting sqref="L283">
    <cfRule type="notContainsText" dxfId="847" priority="1707" operator="notContains" text="Caida">
      <formula>ISERROR(SEARCH("Caida",L283))</formula>
    </cfRule>
    <cfRule type="containsText" dxfId="846" priority="1708" operator="containsText" text="Caida">
      <formula>NOT(ISERROR(SEARCH("Caida",L283)))</formula>
    </cfRule>
  </conditionalFormatting>
  <conditionalFormatting sqref="L5">
    <cfRule type="cellIs" dxfId="845" priority="1705" operator="lessThan">
      <formula>0.8</formula>
    </cfRule>
    <cfRule type="cellIs" dxfId="844" priority="1706" operator="greaterThan">
      <formula>0.8</formula>
    </cfRule>
  </conditionalFormatting>
  <conditionalFormatting sqref="L5">
    <cfRule type="notContainsText" dxfId="843" priority="1703" operator="notContains" text="Caida">
      <formula>ISERROR(SEARCH("Caida",L5))</formula>
    </cfRule>
    <cfRule type="containsText" dxfId="842" priority="1704" operator="containsText" text="Caida">
      <formula>NOT(ISERROR(SEARCH("Caida",L5)))</formula>
    </cfRule>
  </conditionalFormatting>
  <conditionalFormatting sqref="L231">
    <cfRule type="cellIs" dxfId="841" priority="1701" operator="lessThan">
      <formula>0.8</formula>
    </cfRule>
    <cfRule type="cellIs" dxfId="840" priority="1702" operator="greaterThan">
      <formula>0.8</formula>
    </cfRule>
  </conditionalFormatting>
  <conditionalFormatting sqref="L231">
    <cfRule type="notContainsText" dxfId="839" priority="1699" operator="notContains" text="Caida">
      <formula>ISERROR(SEARCH("Caida",L231))</formula>
    </cfRule>
    <cfRule type="containsText" dxfId="838" priority="1700" operator="containsText" text="Caida">
      <formula>NOT(ISERROR(SEARCH("Caida",L231)))</formula>
    </cfRule>
  </conditionalFormatting>
  <conditionalFormatting sqref="L232">
    <cfRule type="cellIs" dxfId="837" priority="1697" operator="lessThan">
      <formula>0.8</formula>
    </cfRule>
    <cfRule type="cellIs" dxfId="836" priority="1698" operator="greaterThan">
      <formula>0.8</formula>
    </cfRule>
  </conditionalFormatting>
  <conditionalFormatting sqref="L232">
    <cfRule type="notContainsText" dxfId="835" priority="1695" operator="notContains" text="Caida">
      <formula>ISERROR(SEARCH("Caida",L232))</formula>
    </cfRule>
    <cfRule type="containsText" dxfId="834" priority="1696" operator="containsText" text="Caida">
      <formula>NOT(ISERROR(SEARCH("Caida",L232)))</formula>
    </cfRule>
  </conditionalFormatting>
  <conditionalFormatting sqref="L233">
    <cfRule type="cellIs" dxfId="833" priority="1693" operator="lessThan">
      <formula>0.8</formula>
    </cfRule>
    <cfRule type="cellIs" dxfId="832" priority="1694" operator="greaterThan">
      <formula>0.8</formula>
    </cfRule>
  </conditionalFormatting>
  <conditionalFormatting sqref="L233">
    <cfRule type="notContainsText" dxfId="831" priority="1691" operator="notContains" text="Caida">
      <formula>ISERROR(SEARCH("Caida",L233))</formula>
    </cfRule>
    <cfRule type="containsText" dxfId="830" priority="1692" operator="containsText" text="Caida">
      <formula>NOT(ISERROR(SEARCH("Caida",L233)))</formula>
    </cfRule>
  </conditionalFormatting>
  <conditionalFormatting sqref="L234">
    <cfRule type="cellIs" dxfId="829" priority="1689" operator="lessThan">
      <formula>0.8</formula>
    </cfRule>
    <cfRule type="cellIs" dxfId="828" priority="1690" operator="greaterThan">
      <formula>0.8</formula>
    </cfRule>
  </conditionalFormatting>
  <conditionalFormatting sqref="L234">
    <cfRule type="notContainsText" dxfId="827" priority="1687" operator="notContains" text="Caida">
      <formula>ISERROR(SEARCH("Caida",L234))</formula>
    </cfRule>
    <cfRule type="containsText" dxfId="826" priority="1688" operator="containsText" text="Caida">
      <formula>NOT(ISERROR(SEARCH("Caida",L234)))</formula>
    </cfRule>
  </conditionalFormatting>
  <conditionalFormatting sqref="L235">
    <cfRule type="cellIs" dxfId="825" priority="1685" operator="lessThan">
      <formula>0.8</formula>
    </cfRule>
    <cfRule type="cellIs" dxfId="824" priority="1686" operator="greaterThan">
      <formula>0.8</formula>
    </cfRule>
  </conditionalFormatting>
  <conditionalFormatting sqref="L235">
    <cfRule type="notContainsText" dxfId="823" priority="1683" operator="notContains" text="Caida">
      <formula>ISERROR(SEARCH("Caida",L235))</formula>
    </cfRule>
    <cfRule type="containsText" dxfId="822" priority="1684" operator="containsText" text="Caida">
      <formula>NOT(ISERROR(SEARCH("Caida",L235)))</formula>
    </cfRule>
  </conditionalFormatting>
  <conditionalFormatting sqref="L335">
    <cfRule type="cellIs" dxfId="821" priority="1681" operator="lessThan">
      <formula>0.8</formula>
    </cfRule>
    <cfRule type="cellIs" dxfId="820" priority="1682" operator="greaterThan">
      <formula>0.8</formula>
    </cfRule>
  </conditionalFormatting>
  <conditionalFormatting sqref="L335">
    <cfRule type="notContainsText" dxfId="819" priority="1679" operator="notContains" text="Caida">
      <formula>ISERROR(SEARCH("Caida",L335))</formula>
    </cfRule>
    <cfRule type="containsText" dxfId="818" priority="1680" operator="containsText" text="Caida">
      <formula>NOT(ISERROR(SEARCH("Caida",L335)))</formula>
    </cfRule>
  </conditionalFormatting>
  <conditionalFormatting sqref="M6:M92 M96:M230">
    <cfRule type="cellIs" dxfId="817" priority="1673" operator="lessThan">
      <formula>0.8</formula>
    </cfRule>
    <cfRule type="cellIs" dxfId="816" priority="1674" operator="greaterThan">
      <formula>0.8</formula>
    </cfRule>
  </conditionalFormatting>
  <conditionalFormatting sqref="M6:M92 M96:M230">
    <cfRule type="notContainsText" dxfId="815" priority="1671" operator="notContains" text="Caida">
      <formula>ISERROR(SEARCH("Caida",M6))</formula>
    </cfRule>
    <cfRule type="containsText" dxfId="814" priority="1672" operator="containsText" text="Caida">
      <formula>NOT(ISERROR(SEARCH("Caida",M6)))</formula>
    </cfRule>
  </conditionalFormatting>
  <conditionalFormatting sqref="M336">
    <cfRule type="cellIs" dxfId="813" priority="1628" operator="lessThan">
      <formula>0.8</formula>
    </cfRule>
    <cfRule type="cellIs" dxfId="812" priority="1629" operator="greaterThan">
      <formula>0.8</formula>
    </cfRule>
  </conditionalFormatting>
  <conditionalFormatting sqref="M336">
    <cfRule type="notContainsText" dxfId="811" priority="1626" operator="notContains" text="Caida">
      <formula>ISERROR(SEARCH("Caida",M336))</formula>
    </cfRule>
    <cfRule type="containsText" dxfId="810" priority="1627" operator="containsText" text="Caida">
      <formula>NOT(ISERROR(SEARCH("Caida",M336)))</formula>
    </cfRule>
  </conditionalFormatting>
  <conditionalFormatting sqref="M337:M366 M284:M334">
    <cfRule type="cellIs" dxfId="809" priority="1669" operator="lessThan">
      <formula>0.8</formula>
    </cfRule>
    <cfRule type="cellIs" dxfId="808" priority="1670" operator="greaterThan">
      <formula>0.8</formula>
    </cfRule>
  </conditionalFormatting>
  <conditionalFormatting sqref="M337:M366 M284:M334 M397:M1048576">
    <cfRule type="notContainsText" dxfId="807" priority="1667" operator="notContains" text="Caida">
      <formula>ISERROR(SEARCH("Caida",M284))</formula>
    </cfRule>
    <cfRule type="containsText" dxfId="806" priority="1668" operator="containsText" text="Caida">
      <formula>NOT(ISERROR(SEARCH("Caida",M284)))</formula>
    </cfRule>
  </conditionalFormatting>
  <conditionalFormatting sqref="M22">
    <cfRule type="containsText" dxfId="805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804" priority="1664" operator="lessThan">
      <formula>0.8</formula>
    </cfRule>
    <cfRule type="cellIs" dxfId="803" priority="1665" operator="greaterThan">
      <formula>0.8</formula>
    </cfRule>
  </conditionalFormatting>
  <conditionalFormatting sqref="M282">
    <cfRule type="notContainsText" dxfId="802" priority="1662" operator="notContains" text="Caida">
      <formula>ISERROR(SEARCH("Caida",M282))</formula>
    </cfRule>
    <cfRule type="containsText" dxfId="801" priority="1663" operator="containsText" text="Caida">
      <formula>NOT(ISERROR(SEARCH("Caida",M282)))</formula>
    </cfRule>
  </conditionalFormatting>
  <conditionalFormatting sqref="M283">
    <cfRule type="cellIs" dxfId="800" priority="1660" operator="lessThan">
      <formula>0.8</formula>
    </cfRule>
    <cfRule type="cellIs" dxfId="799" priority="1661" operator="greaterThan">
      <formula>0.8</formula>
    </cfRule>
  </conditionalFormatting>
  <conditionalFormatting sqref="M283">
    <cfRule type="notContainsText" dxfId="798" priority="1658" operator="notContains" text="Caida">
      <formula>ISERROR(SEARCH("Caida",M283))</formula>
    </cfRule>
    <cfRule type="containsText" dxfId="797" priority="1659" operator="containsText" text="Caida">
      <formula>NOT(ISERROR(SEARCH("Caida",M283)))</formula>
    </cfRule>
  </conditionalFormatting>
  <conditionalFormatting sqref="M5">
    <cfRule type="cellIs" dxfId="796" priority="1656" operator="lessThan">
      <formula>0.8</formula>
    </cfRule>
    <cfRule type="cellIs" dxfId="795" priority="1657" operator="greaterThan">
      <formula>0.8</formula>
    </cfRule>
  </conditionalFormatting>
  <conditionalFormatting sqref="M5">
    <cfRule type="notContainsText" dxfId="794" priority="1654" operator="notContains" text="Caida">
      <formula>ISERROR(SEARCH("Caida",M5))</formula>
    </cfRule>
    <cfRule type="containsText" dxfId="793" priority="1655" operator="containsText" text="Caida">
      <formula>NOT(ISERROR(SEARCH("Caida",M5)))</formula>
    </cfRule>
  </conditionalFormatting>
  <conditionalFormatting sqref="M231">
    <cfRule type="cellIs" dxfId="792" priority="1652" operator="lessThan">
      <formula>0.8</formula>
    </cfRule>
    <cfRule type="cellIs" dxfId="791" priority="1653" operator="greaterThan">
      <formula>0.8</formula>
    </cfRule>
  </conditionalFormatting>
  <conditionalFormatting sqref="M231">
    <cfRule type="notContainsText" dxfId="790" priority="1650" operator="notContains" text="Caida">
      <formula>ISERROR(SEARCH("Caida",M231))</formula>
    </cfRule>
    <cfRule type="containsText" dxfId="789" priority="1651" operator="containsText" text="Caida">
      <formula>NOT(ISERROR(SEARCH("Caida",M231)))</formula>
    </cfRule>
  </conditionalFormatting>
  <conditionalFormatting sqref="M232">
    <cfRule type="cellIs" dxfId="788" priority="1648" operator="lessThan">
      <formula>0.8</formula>
    </cfRule>
    <cfRule type="cellIs" dxfId="787" priority="1649" operator="greaterThan">
      <formula>0.8</formula>
    </cfRule>
  </conditionalFormatting>
  <conditionalFormatting sqref="M232">
    <cfRule type="notContainsText" dxfId="786" priority="1646" operator="notContains" text="Caida">
      <formula>ISERROR(SEARCH("Caida",M232))</formula>
    </cfRule>
    <cfRule type="containsText" dxfId="785" priority="1647" operator="containsText" text="Caida">
      <formula>NOT(ISERROR(SEARCH("Caida",M232)))</formula>
    </cfRule>
  </conditionalFormatting>
  <conditionalFormatting sqref="M233">
    <cfRule type="cellIs" dxfId="784" priority="1644" operator="lessThan">
      <formula>0.8</formula>
    </cfRule>
    <cfRule type="cellIs" dxfId="783" priority="1645" operator="greaterThan">
      <formula>0.8</formula>
    </cfRule>
  </conditionalFormatting>
  <conditionalFormatting sqref="M233">
    <cfRule type="notContainsText" dxfId="782" priority="1642" operator="notContains" text="Caida">
      <formula>ISERROR(SEARCH("Caida",M233))</formula>
    </cfRule>
    <cfRule type="containsText" dxfId="781" priority="1643" operator="containsText" text="Caida">
      <formula>NOT(ISERROR(SEARCH("Caida",M233)))</formula>
    </cfRule>
  </conditionalFormatting>
  <conditionalFormatting sqref="M234">
    <cfRule type="cellIs" dxfId="780" priority="1640" operator="lessThan">
      <formula>0.8</formula>
    </cfRule>
    <cfRule type="cellIs" dxfId="779" priority="1641" operator="greaterThan">
      <formula>0.8</formula>
    </cfRule>
  </conditionalFormatting>
  <conditionalFormatting sqref="M234">
    <cfRule type="notContainsText" dxfId="778" priority="1638" operator="notContains" text="Caida">
      <formula>ISERROR(SEARCH("Caida",M234))</formula>
    </cfRule>
    <cfRule type="containsText" dxfId="777" priority="1639" operator="containsText" text="Caida">
      <formula>NOT(ISERROR(SEARCH("Caida",M234)))</formula>
    </cfRule>
  </conditionalFormatting>
  <conditionalFormatting sqref="M235">
    <cfRule type="cellIs" dxfId="776" priority="1636" operator="lessThan">
      <formula>0.8</formula>
    </cfRule>
    <cfRule type="cellIs" dxfId="775" priority="1637" operator="greaterThan">
      <formula>0.8</formula>
    </cfRule>
  </conditionalFormatting>
  <conditionalFormatting sqref="M235">
    <cfRule type="notContainsText" dxfId="774" priority="1634" operator="notContains" text="Caida">
      <formula>ISERROR(SEARCH("Caida",M235))</formula>
    </cfRule>
    <cfRule type="containsText" dxfId="773" priority="1635" operator="containsText" text="Caida">
      <formula>NOT(ISERROR(SEARCH("Caida",M235)))</formula>
    </cfRule>
  </conditionalFormatting>
  <conditionalFormatting sqref="M335">
    <cfRule type="cellIs" dxfId="772" priority="1632" operator="lessThan">
      <formula>0.8</formula>
    </cfRule>
    <cfRule type="cellIs" dxfId="771" priority="1633" operator="greaterThan">
      <formula>0.8</formula>
    </cfRule>
  </conditionalFormatting>
  <conditionalFormatting sqref="M335">
    <cfRule type="notContainsText" dxfId="770" priority="1630" operator="notContains" text="Caida">
      <formula>ISERROR(SEARCH("Caida",M335))</formula>
    </cfRule>
    <cfRule type="containsText" dxfId="769" priority="1631" operator="containsText" text="Caida">
      <formula>NOT(ISERROR(SEARCH("Caida",M335)))</formula>
    </cfRule>
  </conditionalFormatting>
  <conditionalFormatting sqref="N6:N92 N96:N230">
    <cfRule type="cellIs" dxfId="768" priority="1624" operator="lessThan">
      <formula>0.8</formula>
    </cfRule>
    <cfRule type="cellIs" dxfId="767" priority="1625" operator="greaterThan">
      <formula>0.8</formula>
    </cfRule>
  </conditionalFormatting>
  <conditionalFormatting sqref="N6:N92 N96:N230">
    <cfRule type="notContainsText" dxfId="766" priority="1622" operator="notContains" text="Caida">
      <formula>ISERROR(SEARCH("Caida",N6))</formula>
    </cfRule>
    <cfRule type="containsText" dxfId="765" priority="1623" operator="containsText" text="Caida">
      <formula>NOT(ISERROR(SEARCH("Caida",N6)))</formula>
    </cfRule>
  </conditionalFormatting>
  <conditionalFormatting sqref="N336:P336">
    <cfRule type="cellIs" dxfId="764" priority="1579" operator="lessThan">
      <formula>0.8</formula>
    </cfRule>
    <cfRule type="cellIs" dxfId="763" priority="1580" operator="greaterThan">
      <formula>0.8</formula>
    </cfRule>
  </conditionalFormatting>
  <conditionalFormatting sqref="N336:P336">
    <cfRule type="notContainsText" dxfId="762" priority="1577" operator="notContains" text="Caida">
      <formula>ISERROR(SEARCH("Caida",N336))</formula>
    </cfRule>
    <cfRule type="containsText" dxfId="761" priority="1578" operator="containsText" text="Caida">
      <formula>NOT(ISERROR(SEARCH("Caida",N336)))</formula>
    </cfRule>
  </conditionalFormatting>
  <conditionalFormatting sqref="N337:N366 N284:N334">
    <cfRule type="cellIs" dxfId="760" priority="1620" operator="lessThan">
      <formula>0.8</formula>
    </cfRule>
    <cfRule type="cellIs" dxfId="759" priority="1621" operator="greaterThan">
      <formula>0.8</formula>
    </cfRule>
  </conditionalFormatting>
  <conditionalFormatting sqref="N337:N366 N284:N334 N397:N1048576">
    <cfRule type="notContainsText" dxfId="758" priority="1618" operator="notContains" text="Caida">
      <formula>ISERROR(SEARCH("Caida",N284))</formula>
    </cfRule>
    <cfRule type="containsText" dxfId="757" priority="1619" operator="containsText" text="Caida">
      <formula>NOT(ISERROR(SEARCH("Caida",N284)))</formula>
    </cfRule>
  </conditionalFormatting>
  <conditionalFormatting sqref="N22:P22">
    <cfRule type="containsText" dxfId="756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755" priority="1615" operator="lessThan">
      <formula>0.8</formula>
    </cfRule>
    <cfRule type="cellIs" dxfId="754" priority="1616" operator="greaterThan">
      <formula>0.8</formula>
    </cfRule>
  </conditionalFormatting>
  <conditionalFormatting sqref="N282:P282">
    <cfRule type="notContainsText" dxfId="753" priority="1613" operator="notContains" text="Caida">
      <formula>ISERROR(SEARCH("Caida",N282))</formula>
    </cfRule>
    <cfRule type="containsText" dxfId="752" priority="1614" operator="containsText" text="Caida">
      <formula>NOT(ISERROR(SEARCH("Caida",N282)))</formula>
    </cfRule>
  </conditionalFormatting>
  <conditionalFormatting sqref="N283:P283">
    <cfRule type="cellIs" dxfId="751" priority="1611" operator="lessThan">
      <formula>0.8</formula>
    </cfRule>
    <cfRule type="cellIs" dxfId="750" priority="1612" operator="greaterThan">
      <formula>0.8</formula>
    </cfRule>
  </conditionalFormatting>
  <conditionalFormatting sqref="N283:P283">
    <cfRule type="notContainsText" dxfId="749" priority="1609" operator="notContains" text="Caida">
      <formula>ISERROR(SEARCH("Caida",N283))</formula>
    </cfRule>
    <cfRule type="containsText" dxfId="748" priority="1610" operator="containsText" text="Caida">
      <formula>NOT(ISERROR(SEARCH("Caida",N283)))</formula>
    </cfRule>
  </conditionalFormatting>
  <conditionalFormatting sqref="N5:P5">
    <cfRule type="cellIs" dxfId="747" priority="1607" operator="lessThan">
      <formula>0.8</formula>
    </cfRule>
    <cfRule type="cellIs" dxfId="746" priority="1608" operator="greaterThan">
      <formula>0.8</formula>
    </cfRule>
  </conditionalFormatting>
  <conditionalFormatting sqref="N5:P5">
    <cfRule type="notContainsText" dxfId="745" priority="1605" operator="notContains" text="Caida">
      <formula>ISERROR(SEARCH("Caida",N5))</formula>
    </cfRule>
    <cfRule type="containsText" dxfId="744" priority="1606" operator="containsText" text="Caida">
      <formula>NOT(ISERROR(SEARCH("Caida",N5)))</formula>
    </cfRule>
  </conditionalFormatting>
  <conditionalFormatting sqref="N231:P231">
    <cfRule type="cellIs" dxfId="743" priority="1603" operator="lessThan">
      <formula>0.8</formula>
    </cfRule>
    <cfRule type="cellIs" dxfId="742" priority="1604" operator="greaterThan">
      <formula>0.8</formula>
    </cfRule>
  </conditionalFormatting>
  <conditionalFormatting sqref="N231:P231">
    <cfRule type="notContainsText" dxfId="741" priority="1601" operator="notContains" text="Caida">
      <formula>ISERROR(SEARCH("Caida",N231))</formula>
    </cfRule>
    <cfRule type="containsText" dxfId="740" priority="1602" operator="containsText" text="Caida">
      <formula>NOT(ISERROR(SEARCH("Caida",N231)))</formula>
    </cfRule>
  </conditionalFormatting>
  <conditionalFormatting sqref="N232:P232">
    <cfRule type="cellIs" dxfId="739" priority="1599" operator="lessThan">
      <formula>0.8</formula>
    </cfRule>
    <cfRule type="cellIs" dxfId="738" priority="1600" operator="greaterThan">
      <formula>0.8</formula>
    </cfRule>
  </conditionalFormatting>
  <conditionalFormatting sqref="N232:P232">
    <cfRule type="notContainsText" dxfId="737" priority="1597" operator="notContains" text="Caida">
      <formula>ISERROR(SEARCH("Caida",N232))</formula>
    </cfRule>
    <cfRule type="containsText" dxfId="736" priority="1598" operator="containsText" text="Caida">
      <formula>NOT(ISERROR(SEARCH("Caida",N232)))</formula>
    </cfRule>
  </conditionalFormatting>
  <conditionalFormatting sqref="N233:P233">
    <cfRule type="cellIs" dxfId="735" priority="1595" operator="lessThan">
      <formula>0.8</formula>
    </cfRule>
    <cfRule type="cellIs" dxfId="734" priority="1596" operator="greaterThan">
      <formula>0.8</formula>
    </cfRule>
  </conditionalFormatting>
  <conditionalFormatting sqref="N233:P233">
    <cfRule type="notContainsText" dxfId="733" priority="1593" operator="notContains" text="Caida">
      <formula>ISERROR(SEARCH("Caida",N233))</formula>
    </cfRule>
    <cfRule type="containsText" dxfId="732" priority="1594" operator="containsText" text="Caida">
      <formula>NOT(ISERROR(SEARCH("Caida",N233)))</formula>
    </cfRule>
  </conditionalFormatting>
  <conditionalFormatting sqref="N234:P234">
    <cfRule type="cellIs" dxfId="731" priority="1591" operator="lessThan">
      <formula>0.8</formula>
    </cfRule>
    <cfRule type="cellIs" dxfId="730" priority="1592" operator="greaterThan">
      <formula>0.8</formula>
    </cfRule>
  </conditionalFormatting>
  <conditionalFormatting sqref="N234:P234">
    <cfRule type="notContainsText" dxfId="729" priority="1589" operator="notContains" text="Caida">
      <formula>ISERROR(SEARCH("Caida",N234))</formula>
    </cfRule>
    <cfRule type="containsText" dxfId="728" priority="1590" operator="containsText" text="Caida">
      <formula>NOT(ISERROR(SEARCH("Caida",N234)))</formula>
    </cfRule>
  </conditionalFormatting>
  <conditionalFormatting sqref="N235:P235">
    <cfRule type="cellIs" dxfId="727" priority="1587" operator="lessThan">
      <formula>0.8</formula>
    </cfRule>
    <cfRule type="cellIs" dxfId="726" priority="1588" operator="greaterThan">
      <formula>0.8</formula>
    </cfRule>
  </conditionalFormatting>
  <conditionalFormatting sqref="N235:P235">
    <cfRule type="notContainsText" dxfId="725" priority="1585" operator="notContains" text="Caida">
      <formula>ISERROR(SEARCH("Caida",N235))</formula>
    </cfRule>
    <cfRule type="containsText" dxfId="724" priority="1586" operator="containsText" text="Caida">
      <formula>NOT(ISERROR(SEARCH("Caida",N235)))</formula>
    </cfRule>
  </conditionalFormatting>
  <conditionalFormatting sqref="N335:P335">
    <cfRule type="cellIs" dxfId="723" priority="1583" operator="lessThan">
      <formula>0.8</formula>
    </cfRule>
    <cfRule type="cellIs" dxfId="722" priority="1584" operator="greaterThan">
      <formula>0.8</formula>
    </cfRule>
  </conditionalFormatting>
  <conditionalFormatting sqref="N335:P335">
    <cfRule type="notContainsText" dxfId="721" priority="1581" operator="notContains" text="Caida">
      <formula>ISERROR(SEARCH("Caida",N335))</formula>
    </cfRule>
    <cfRule type="containsText" dxfId="720" priority="1582" operator="containsText" text="Caida">
      <formula>NOT(ISERROR(SEARCH("Caida",N335)))</formula>
    </cfRule>
  </conditionalFormatting>
  <conditionalFormatting sqref="O397:O1048576">
    <cfRule type="notContainsText" dxfId="719" priority="1569" operator="notContains" text="Caida">
      <formula>ISERROR(SEARCH("Caida",O397))</formula>
    </cfRule>
    <cfRule type="containsText" dxfId="718" priority="1570" operator="containsText" text="Caida">
      <formula>NOT(ISERROR(SEARCH("Caida",O397)))</formula>
    </cfRule>
  </conditionalFormatting>
  <conditionalFormatting sqref="P397:P1048576">
    <cfRule type="notContainsText" dxfId="717" priority="1520" operator="notContains" text="Caida">
      <formula>ISERROR(SEARCH("Caida",P397))</formula>
    </cfRule>
    <cfRule type="containsText" dxfId="716" priority="1521" operator="containsText" text="Caida">
      <formula>NOT(ISERROR(SEARCH("Caida",P397)))</formula>
    </cfRule>
  </conditionalFormatting>
  <conditionalFormatting sqref="L93:L95">
    <cfRule type="cellIs" dxfId="715" priority="1446" operator="lessThan">
      <formula>0.8</formula>
    </cfRule>
    <cfRule type="cellIs" dxfId="714" priority="1447" operator="greaterThan">
      <formula>0.8</formula>
    </cfRule>
  </conditionalFormatting>
  <conditionalFormatting sqref="L93:L95">
    <cfRule type="notContainsText" dxfId="713" priority="1444" operator="notContains" text="Caida">
      <formula>ISERROR(SEARCH("Caida",L93))</formula>
    </cfRule>
    <cfRule type="containsText" dxfId="712" priority="1445" operator="containsText" text="Caida">
      <formula>NOT(ISERROR(SEARCH("Caida",L93)))</formula>
    </cfRule>
  </conditionalFormatting>
  <conditionalFormatting sqref="M93:M95">
    <cfRule type="cellIs" dxfId="711" priority="1442" operator="lessThan">
      <formula>0.8</formula>
    </cfRule>
    <cfRule type="cellIs" dxfId="710" priority="1443" operator="greaterThan">
      <formula>0.8</formula>
    </cfRule>
  </conditionalFormatting>
  <conditionalFormatting sqref="M93:M95">
    <cfRule type="notContainsText" dxfId="709" priority="1440" operator="notContains" text="Caida">
      <formula>ISERROR(SEARCH("Caida",M93))</formula>
    </cfRule>
    <cfRule type="containsText" dxfId="708" priority="1441" operator="containsText" text="Caida">
      <formula>NOT(ISERROR(SEARCH("Caida",M93)))</formula>
    </cfRule>
  </conditionalFormatting>
  <conditionalFormatting sqref="N93:N95">
    <cfRule type="cellIs" dxfId="707" priority="1438" operator="lessThan">
      <formula>0.8</formula>
    </cfRule>
    <cfRule type="cellIs" dxfId="706" priority="1439" operator="greaterThan">
      <formula>0.8</formula>
    </cfRule>
  </conditionalFormatting>
  <conditionalFormatting sqref="N93:N95">
    <cfRule type="notContainsText" dxfId="705" priority="1436" operator="notContains" text="Caida">
      <formula>ISERROR(SEARCH("Caida",N93))</formula>
    </cfRule>
    <cfRule type="containsText" dxfId="704" priority="1437" operator="containsText" text="Caida">
      <formula>NOT(ISERROR(SEARCH("Caida",N93)))</formula>
    </cfRule>
  </conditionalFormatting>
  <conditionalFormatting sqref="L367">
    <cfRule type="cellIs" dxfId="703" priority="1407" operator="lessThan">
      <formula>0.8</formula>
    </cfRule>
    <cfRule type="cellIs" dxfId="702" priority="1408" operator="greaterThan">
      <formula>0.8</formula>
    </cfRule>
  </conditionalFormatting>
  <conditionalFormatting sqref="L367">
    <cfRule type="notContainsText" dxfId="701" priority="1405" operator="notContains" text="Caida">
      <formula>ISERROR(SEARCH("Caida",L367))</formula>
    </cfRule>
    <cfRule type="containsText" dxfId="700" priority="1406" operator="containsText" text="Caida">
      <formula>NOT(ISERROR(SEARCH("Caida",L367)))</formula>
    </cfRule>
  </conditionalFormatting>
  <conditionalFormatting sqref="M367">
    <cfRule type="cellIs" dxfId="699" priority="1403" operator="lessThan">
      <formula>0.8</formula>
    </cfRule>
    <cfRule type="cellIs" dxfId="698" priority="1404" operator="greaterThan">
      <formula>0.8</formula>
    </cfRule>
  </conditionalFormatting>
  <conditionalFormatting sqref="M367">
    <cfRule type="notContainsText" dxfId="697" priority="1401" operator="notContains" text="Caida">
      <formula>ISERROR(SEARCH("Caida",M367))</formula>
    </cfRule>
    <cfRule type="containsText" dxfId="696" priority="1402" operator="containsText" text="Caida">
      <formula>NOT(ISERROR(SEARCH("Caida",M367)))</formula>
    </cfRule>
  </conditionalFormatting>
  <conditionalFormatting sqref="N367:P367">
    <cfRule type="cellIs" dxfId="695" priority="1399" operator="lessThan">
      <formula>0.8</formula>
    </cfRule>
    <cfRule type="cellIs" dxfId="694" priority="1400" operator="greaterThan">
      <formula>0.8</formula>
    </cfRule>
  </conditionalFormatting>
  <conditionalFormatting sqref="N367:P367">
    <cfRule type="notContainsText" dxfId="693" priority="1397" operator="notContains" text="Caida">
      <formula>ISERROR(SEARCH("Caida",N367))</formula>
    </cfRule>
    <cfRule type="containsText" dxfId="692" priority="1398" operator="containsText" text="Caida">
      <formula>NOT(ISERROR(SEARCH("Caida",N367)))</formula>
    </cfRule>
  </conditionalFormatting>
  <conditionalFormatting sqref="L368">
    <cfRule type="cellIs" dxfId="691" priority="1368" operator="lessThan">
      <formula>0.8</formula>
    </cfRule>
    <cfRule type="cellIs" dxfId="690" priority="1369" operator="greaterThan">
      <formula>0.8</formula>
    </cfRule>
  </conditionalFormatting>
  <conditionalFormatting sqref="L368">
    <cfRule type="notContainsText" dxfId="689" priority="1366" operator="notContains" text="Caida">
      <formula>ISERROR(SEARCH("Caida",L368))</formula>
    </cfRule>
    <cfRule type="containsText" dxfId="688" priority="1367" operator="containsText" text="Caida">
      <formula>NOT(ISERROR(SEARCH("Caida",L368)))</formula>
    </cfRule>
  </conditionalFormatting>
  <conditionalFormatting sqref="M368">
    <cfRule type="cellIs" dxfId="687" priority="1364" operator="lessThan">
      <formula>0.8</formula>
    </cfRule>
    <cfRule type="cellIs" dxfId="686" priority="1365" operator="greaterThan">
      <formula>0.8</formula>
    </cfRule>
  </conditionalFormatting>
  <conditionalFormatting sqref="M368">
    <cfRule type="notContainsText" dxfId="685" priority="1362" operator="notContains" text="Caida">
      <formula>ISERROR(SEARCH("Caida",M368))</formula>
    </cfRule>
    <cfRule type="containsText" dxfId="684" priority="1363" operator="containsText" text="Caida">
      <formula>NOT(ISERROR(SEARCH("Caida",M368)))</formula>
    </cfRule>
  </conditionalFormatting>
  <conditionalFormatting sqref="N368:P368">
    <cfRule type="cellIs" dxfId="683" priority="1360" operator="lessThan">
      <formula>0.8</formula>
    </cfRule>
    <cfRule type="cellIs" dxfId="682" priority="1361" operator="greaterThan">
      <formula>0.8</formula>
    </cfRule>
  </conditionalFormatting>
  <conditionalFormatting sqref="N368:P368">
    <cfRule type="notContainsText" dxfId="681" priority="1358" operator="notContains" text="Caida">
      <formula>ISERROR(SEARCH("Caida",N368))</formula>
    </cfRule>
    <cfRule type="containsText" dxfId="680" priority="1359" operator="containsText" text="Caida">
      <formula>NOT(ISERROR(SEARCH("Caida",N368)))</formula>
    </cfRule>
  </conditionalFormatting>
  <conditionalFormatting sqref="L369">
    <cfRule type="cellIs" dxfId="679" priority="1329" operator="lessThan">
      <formula>0.8</formula>
    </cfRule>
    <cfRule type="cellIs" dxfId="678" priority="1330" operator="greaterThan">
      <formula>0.8</formula>
    </cfRule>
  </conditionalFormatting>
  <conditionalFormatting sqref="L369">
    <cfRule type="notContainsText" dxfId="677" priority="1327" operator="notContains" text="Caida">
      <formula>ISERROR(SEARCH("Caida",L369))</formula>
    </cfRule>
    <cfRule type="containsText" dxfId="676" priority="1328" operator="containsText" text="Caida">
      <formula>NOT(ISERROR(SEARCH("Caida",L369)))</formula>
    </cfRule>
  </conditionalFormatting>
  <conditionalFormatting sqref="M369">
    <cfRule type="cellIs" dxfId="675" priority="1325" operator="lessThan">
      <formula>0.8</formula>
    </cfRule>
    <cfRule type="cellIs" dxfId="674" priority="1326" operator="greaterThan">
      <formula>0.8</formula>
    </cfRule>
  </conditionalFormatting>
  <conditionalFormatting sqref="M369">
    <cfRule type="notContainsText" dxfId="673" priority="1323" operator="notContains" text="Caida">
      <formula>ISERROR(SEARCH("Caida",M369))</formula>
    </cfRule>
    <cfRule type="containsText" dxfId="672" priority="1324" operator="containsText" text="Caida">
      <formula>NOT(ISERROR(SEARCH("Caida",M369)))</formula>
    </cfRule>
  </conditionalFormatting>
  <conditionalFormatting sqref="N369:P369">
    <cfRule type="cellIs" dxfId="671" priority="1321" operator="lessThan">
      <formula>0.8</formula>
    </cfRule>
    <cfRule type="cellIs" dxfId="670" priority="1322" operator="greaterThan">
      <formula>0.8</formula>
    </cfRule>
  </conditionalFormatting>
  <conditionalFormatting sqref="N369:P369">
    <cfRule type="notContainsText" dxfId="669" priority="1319" operator="notContains" text="Caida">
      <formula>ISERROR(SEARCH("Caida",N369))</formula>
    </cfRule>
    <cfRule type="containsText" dxfId="668" priority="1320" operator="containsText" text="Caida">
      <formula>NOT(ISERROR(SEARCH("Caida",N369)))</formula>
    </cfRule>
  </conditionalFormatting>
  <conditionalFormatting sqref="Q231">
    <cfRule type="cellIs" dxfId="667" priority="1249" operator="lessThan">
      <formula>0.8</formula>
    </cfRule>
    <cfRule type="cellIs" dxfId="666" priority="1250" operator="greaterThan">
      <formula>0.8</formula>
    </cfRule>
  </conditionalFormatting>
  <conditionalFormatting sqref="Q231">
    <cfRule type="notContainsText" dxfId="665" priority="1247" operator="notContains" text="Caida">
      <formula>ISERROR(SEARCH("Caida",Q231))</formula>
    </cfRule>
    <cfRule type="containsText" dxfId="664" priority="1248" operator="containsText" text="Caida">
      <formula>NOT(ISERROR(SEARCH("Caida",Q231)))</formula>
    </cfRule>
  </conditionalFormatting>
  <conditionalFormatting sqref="Q232">
    <cfRule type="cellIs" dxfId="663" priority="1245" operator="lessThan">
      <formula>0.8</formula>
    </cfRule>
    <cfRule type="cellIs" dxfId="662" priority="1246" operator="greaterThan">
      <formula>0.8</formula>
    </cfRule>
  </conditionalFormatting>
  <conditionalFormatting sqref="Q232">
    <cfRule type="notContainsText" dxfId="661" priority="1243" operator="notContains" text="Caida">
      <formula>ISERROR(SEARCH("Caida",Q232))</formula>
    </cfRule>
    <cfRule type="containsText" dxfId="660" priority="1244" operator="containsText" text="Caida">
      <formula>NOT(ISERROR(SEARCH("Caida",Q232)))</formula>
    </cfRule>
  </conditionalFormatting>
  <conditionalFormatting sqref="L370:L372">
    <cfRule type="cellIs" dxfId="659" priority="1290" operator="lessThan">
      <formula>0.8</formula>
    </cfRule>
    <cfRule type="cellIs" dxfId="658" priority="1291" operator="greaterThan">
      <formula>0.8</formula>
    </cfRule>
  </conditionalFormatting>
  <conditionalFormatting sqref="L370:L372">
    <cfRule type="notContainsText" dxfId="657" priority="1288" operator="notContains" text="Caida">
      <formula>ISERROR(SEARCH("Caida",L370))</formula>
    </cfRule>
    <cfRule type="containsText" dxfId="656" priority="1289" operator="containsText" text="Caida">
      <formula>NOT(ISERROR(SEARCH("Caida",L370)))</formula>
    </cfRule>
  </conditionalFormatting>
  <conditionalFormatting sqref="M370:M372">
    <cfRule type="cellIs" dxfId="655" priority="1286" operator="lessThan">
      <formula>0.8</formula>
    </cfRule>
    <cfRule type="cellIs" dxfId="654" priority="1287" operator="greaterThan">
      <formula>0.8</formula>
    </cfRule>
  </conditionalFormatting>
  <conditionalFormatting sqref="M370:M372">
    <cfRule type="notContainsText" dxfId="653" priority="1284" operator="notContains" text="Caida">
      <formula>ISERROR(SEARCH("Caida",M370))</formula>
    </cfRule>
    <cfRule type="containsText" dxfId="652" priority="1285" operator="containsText" text="Caida">
      <formula>NOT(ISERROR(SEARCH("Caida",M370)))</formula>
    </cfRule>
  </conditionalFormatting>
  <conditionalFormatting sqref="N370:P370">
    <cfRule type="cellIs" dxfId="651" priority="1282" operator="lessThan">
      <formula>0.8</formula>
    </cfRule>
    <cfRule type="cellIs" dxfId="650" priority="1283" operator="greaterThan">
      <formula>0.8</formula>
    </cfRule>
  </conditionalFormatting>
  <conditionalFormatting sqref="N370:P370">
    <cfRule type="notContainsText" dxfId="649" priority="1280" operator="notContains" text="Caida">
      <formula>ISERROR(SEARCH("Caida",N370))</formula>
    </cfRule>
    <cfRule type="containsText" dxfId="648" priority="1281" operator="containsText" text="Caida">
      <formula>NOT(ISERROR(SEARCH("Caida",N370)))</formula>
    </cfRule>
  </conditionalFormatting>
  <conditionalFormatting sqref="Q368">
    <cfRule type="cellIs" dxfId="647" priority="1213" operator="lessThan">
      <formula>0.8</formula>
    </cfRule>
    <cfRule type="cellIs" dxfId="646" priority="1214" operator="greaterThan">
      <formula>0.8</formula>
    </cfRule>
  </conditionalFormatting>
  <conditionalFormatting sqref="Q368">
    <cfRule type="notContainsText" dxfId="645" priority="1211" operator="notContains" text="Caida">
      <formula>ISERROR(SEARCH("Caida",Q368))</formula>
    </cfRule>
    <cfRule type="containsText" dxfId="644" priority="1212" operator="containsText" text="Caida">
      <formula>NOT(ISERROR(SEARCH("Caida",Q368)))</formula>
    </cfRule>
  </conditionalFormatting>
  <conditionalFormatting sqref="Q369">
    <cfRule type="cellIs" dxfId="643" priority="1209" operator="lessThan">
      <formula>0.8</formula>
    </cfRule>
    <cfRule type="cellIs" dxfId="642" priority="1210" operator="greaterThan">
      <formula>0.8</formula>
    </cfRule>
  </conditionalFormatting>
  <conditionalFormatting sqref="Q369">
    <cfRule type="notContainsText" dxfId="641" priority="1207" operator="notContains" text="Caida">
      <formula>ISERROR(SEARCH("Caida",Q369))</formula>
    </cfRule>
    <cfRule type="containsText" dxfId="640" priority="1208" operator="containsText" text="Caida">
      <formula>NOT(ISERROR(SEARCH("Caida",Q369)))</formula>
    </cfRule>
  </conditionalFormatting>
  <conditionalFormatting sqref="Q370:Q372">
    <cfRule type="cellIs" dxfId="639" priority="1205" operator="lessThan">
      <formula>0.8</formula>
    </cfRule>
    <cfRule type="cellIs" dxfId="638" priority="1206" operator="greaterThan">
      <formula>0.8</formula>
    </cfRule>
  </conditionalFormatting>
  <conditionalFormatting sqref="Q370:Q372">
    <cfRule type="notContainsText" dxfId="637" priority="1203" operator="notContains" text="Caida">
      <formula>ISERROR(SEARCH("Caida",Q370))</formula>
    </cfRule>
    <cfRule type="containsText" dxfId="636" priority="1204" operator="containsText" text="Caida">
      <formula>NOT(ISERROR(SEARCH("Caida",Q370)))</formula>
    </cfRule>
  </conditionalFormatting>
  <conditionalFormatting sqref="Q6:Q92 Q96:Q230">
    <cfRule type="cellIs" dxfId="635" priority="1270" operator="lessThan">
      <formula>0.8</formula>
    </cfRule>
    <cfRule type="cellIs" dxfId="634" priority="1271" operator="greaterThan">
      <formula>0.8</formula>
    </cfRule>
  </conditionalFormatting>
  <conditionalFormatting sqref="Q6:Q92 Q96:Q230">
    <cfRule type="notContainsText" dxfId="633" priority="1268" operator="notContains" text="Caida">
      <formula>ISERROR(SEARCH("Caida",Q6))</formula>
    </cfRule>
    <cfRule type="containsText" dxfId="632" priority="1269" operator="containsText" text="Caida">
      <formula>NOT(ISERROR(SEARCH("Caida",Q6)))</formula>
    </cfRule>
  </conditionalFormatting>
  <conditionalFormatting sqref="Q336">
    <cfRule type="cellIs" dxfId="631" priority="1225" operator="lessThan">
      <formula>0.8</formula>
    </cfRule>
    <cfRule type="cellIs" dxfId="630" priority="1226" operator="greaterThan">
      <formula>0.8</formula>
    </cfRule>
  </conditionalFormatting>
  <conditionalFormatting sqref="Q336">
    <cfRule type="notContainsText" dxfId="629" priority="1223" operator="notContains" text="Caida">
      <formula>ISERROR(SEARCH("Caida",Q336))</formula>
    </cfRule>
    <cfRule type="containsText" dxfId="628" priority="1224" operator="containsText" text="Caida">
      <formula>NOT(ISERROR(SEARCH("Caida",Q336)))</formula>
    </cfRule>
  </conditionalFormatting>
  <conditionalFormatting sqref="Q337:Q366 Q284:Q334">
    <cfRule type="cellIs" dxfId="627" priority="1266" operator="lessThan">
      <formula>0.8</formula>
    </cfRule>
    <cfRule type="cellIs" dxfId="626" priority="1267" operator="greaterThan">
      <formula>0.8</formula>
    </cfRule>
  </conditionalFormatting>
  <conditionalFormatting sqref="Q337:Q366 Q284:Q334 Q397:Q1048576">
    <cfRule type="notContainsText" dxfId="625" priority="1264" operator="notContains" text="Caida">
      <formula>ISERROR(SEARCH("Caida",Q284))</formula>
    </cfRule>
    <cfRule type="containsText" dxfId="624" priority="1265" operator="containsText" text="Caida">
      <formula>NOT(ISERROR(SEARCH("Caida",Q284)))</formula>
    </cfRule>
  </conditionalFormatting>
  <conditionalFormatting sqref="Q22">
    <cfRule type="containsText" dxfId="623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622" priority="1261" operator="lessThan">
      <formula>0.8</formula>
    </cfRule>
    <cfRule type="cellIs" dxfId="621" priority="1262" operator="greaterThan">
      <formula>0.8</formula>
    </cfRule>
  </conditionalFormatting>
  <conditionalFormatting sqref="Q282">
    <cfRule type="notContainsText" dxfId="620" priority="1259" operator="notContains" text="Caida">
      <formula>ISERROR(SEARCH("Caida",Q282))</formula>
    </cfRule>
    <cfRule type="containsText" dxfId="619" priority="1260" operator="containsText" text="Caida">
      <formula>NOT(ISERROR(SEARCH("Caida",Q282)))</formula>
    </cfRule>
  </conditionalFormatting>
  <conditionalFormatting sqref="Q283">
    <cfRule type="cellIs" dxfId="618" priority="1257" operator="lessThan">
      <formula>0.8</formula>
    </cfRule>
    <cfRule type="cellIs" dxfId="617" priority="1258" operator="greaterThan">
      <formula>0.8</formula>
    </cfRule>
  </conditionalFormatting>
  <conditionalFormatting sqref="Q283">
    <cfRule type="notContainsText" dxfId="616" priority="1255" operator="notContains" text="Caida">
      <formula>ISERROR(SEARCH("Caida",Q283))</formula>
    </cfRule>
    <cfRule type="containsText" dxfId="615" priority="1256" operator="containsText" text="Caida">
      <formula>NOT(ISERROR(SEARCH("Caida",Q283)))</formula>
    </cfRule>
  </conditionalFormatting>
  <conditionalFormatting sqref="Q5">
    <cfRule type="cellIs" dxfId="614" priority="1253" operator="lessThan">
      <formula>0.8</formula>
    </cfRule>
    <cfRule type="cellIs" dxfId="613" priority="1254" operator="greaterThan">
      <formula>0.8</formula>
    </cfRule>
  </conditionalFormatting>
  <conditionalFormatting sqref="Q5">
    <cfRule type="notContainsText" dxfId="612" priority="1251" operator="notContains" text="Caida">
      <formula>ISERROR(SEARCH("Caida",Q5))</formula>
    </cfRule>
    <cfRule type="containsText" dxfId="611" priority="1252" operator="containsText" text="Caida">
      <formula>NOT(ISERROR(SEARCH("Caida",Q5)))</formula>
    </cfRule>
  </conditionalFormatting>
  <conditionalFormatting sqref="Q233">
    <cfRule type="cellIs" dxfId="610" priority="1241" operator="lessThan">
      <formula>0.8</formula>
    </cfRule>
    <cfRule type="cellIs" dxfId="609" priority="1242" operator="greaterThan">
      <formula>0.8</formula>
    </cfRule>
  </conditionalFormatting>
  <conditionalFormatting sqref="Q233">
    <cfRule type="notContainsText" dxfId="608" priority="1239" operator="notContains" text="Caida">
      <formula>ISERROR(SEARCH("Caida",Q233))</formula>
    </cfRule>
    <cfRule type="containsText" dxfId="607" priority="1240" operator="containsText" text="Caida">
      <formula>NOT(ISERROR(SEARCH("Caida",Q233)))</formula>
    </cfRule>
  </conditionalFormatting>
  <conditionalFormatting sqref="Q234">
    <cfRule type="cellIs" dxfId="606" priority="1237" operator="lessThan">
      <formula>0.8</formula>
    </cfRule>
    <cfRule type="cellIs" dxfId="605" priority="1238" operator="greaterThan">
      <formula>0.8</formula>
    </cfRule>
  </conditionalFormatting>
  <conditionalFormatting sqref="Q234">
    <cfRule type="notContainsText" dxfId="604" priority="1235" operator="notContains" text="Caida">
      <formula>ISERROR(SEARCH("Caida",Q234))</formula>
    </cfRule>
    <cfRule type="containsText" dxfId="603" priority="1236" operator="containsText" text="Caida">
      <formula>NOT(ISERROR(SEARCH("Caida",Q234)))</formula>
    </cfRule>
  </conditionalFormatting>
  <conditionalFormatting sqref="Q235">
    <cfRule type="cellIs" dxfId="602" priority="1233" operator="lessThan">
      <formula>0.8</formula>
    </cfRule>
    <cfRule type="cellIs" dxfId="601" priority="1234" operator="greaterThan">
      <formula>0.8</formula>
    </cfRule>
  </conditionalFormatting>
  <conditionalFormatting sqref="Q235">
    <cfRule type="notContainsText" dxfId="600" priority="1231" operator="notContains" text="Caida">
      <formula>ISERROR(SEARCH("Caida",Q235))</formula>
    </cfRule>
    <cfRule type="containsText" dxfId="599" priority="1232" operator="containsText" text="Caida">
      <formula>NOT(ISERROR(SEARCH("Caida",Q235)))</formula>
    </cfRule>
  </conditionalFormatting>
  <conditionalFormatting sqref="Q335">
    <cfRule type="cellIs" dxfId="598" priority="1229" operator="lessThan">
      <formula>0.8</formula>
    </cfRule>
    <cfRule type="cellIs" dxfId="597" priority="1230" operator="greaterThan">
      <formula>0.8</formula>
    </cfRule>
  </conditionalFormatting>
  <conditionalFormatting sqref="Q335">
    <cfRule type="notContainsText" dxfId="596" priority="1227" operator="notContains" text="Caida">
      <formula>ISERROR(SEARCH("Caida",Q335))</formula>
    </cfRule>
    <cfRule type="containsText" dxfId="595" priority="1228" operator="containsText" text="Caida">
      <formula>NOT(ISERROR(SEARCH("Caida",Q335)))</formula>
    </cfRule>
  </conditionalFormatting>
  <conditionalFormatting sqref="Q93:Q95">
    <cfRule type="cellIs" dxfId="594" priority="1221" operator="lessThan">
      <formula>0.8</formula>
    </cfRule>
    <cfRule type="cellIs" dxfId="593" priority="1222" operator="greaterThan">
      <formula>0.8</formula>
    </cfRule>
  </conditionalFormatting>
  <conditionalFormatting sqref="Q93:Q95">
    <cfRule type="notContainsText" dxfId="592" priority="1219" operator="notContains" text="Caida">
      <formula>ISERROR(SEARCH("Caida",Q93))</formula>
    </cfRule>
    <cfRule type="containsText" dxfId="591" priority="1220" operator="containsText" text="Caida">
      <formula>NOT(ISERROR(SEARCH("Caida",Q93)))</formula>
    </cfRule>
  </conditionalFormatting>
  <conditionalFormatting sqref="Q367">
    <cfRule type="cellIs" dxfId="590" priority="1217" operator="lessThan">
      <formula>0.8</formula>
    </cfRule>
    <cfRule type="cellIs" dxfId="589" priority="1218" operator="greaterThan">
      <formula>0.8</formula>
    </cfRule>
  </conditionalFormatting>
  <conditionalFormatting sqref="Q367">
    <cfRule type="notContainsText" dxfId="588" priority="1215" operator="notContains" text="Caida">
      <formula>ISERROR(SEARCH("Caida",Q367))</formula>
    </cfRule>
    <cfRule type="containsText" dxfId="587" priority="1216" operator="containsText" text="Caida">
      <formula>NOT(ISERROR(SEARCH("Caida",Q367)))</formula>
    </cfRule>
  </conditionalFormatting>
  <conditionalFormatting sqref="R6:T92">
    <cfRule type="cellIs" dxfId="586" priority="1201" operator="lessThan">
      <formula>0.8</formula>
    </cfRule>
    <cfRule type="cellIs" dxfId="585" priority="1202" operator="greaterThan">
      <formula>0.8</formula>
    </cfRule>
  </conditionalFormatting>
  <conditionalFormatting sqref="R6:T92">
    <cfRule type="notContainsText" dxfId="584" priority="1199" operator="notContains" text="Caida">
      <formula>ISERROR(SEARCH("Caida",R6))</formula>
    </cfRule>
    <cfRule type="containsText" dxfId="583" priority="1200" operator="containsText" text="Caida">
      <formula>NOT(ISERROR(SEARCH("Caida",R6)))</formula>
    </cfRule>
  </conditionalFormatting>
  <conditionalFormatting sqref="R22:T22 W22:AD22 AF22">
    <cfRule type="containsText" dxfId="582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81" priority="1196" operator="lessThan">
      <formula>0.8</formula>
    </cfRule>
    <cfRule type="cellIs" dxfId="580" priority="1197" operator="greaterThan">
      <formula>0.8</formula>
    </cfRule>
  </conditionalFormatting>
  <conditionalFormatting sqref="R5:T5 W5:AD5 AF5">
    <cfRule type="notContainsText" dxfId="579" priority="1194" operator="notContains" text="Caida">
      <formula>ISERROR(SEARCH("Caida",R5))</formula>
    </cfRule>
    <cfRule type="containsText" dxfId="578" priority="1195" operator="containsText" text="Caida">
      <formula>NOT(ISERROR(SEARCH("Caida",R5)))</formula>
    </cfRule>
  </conditionalFormatting>
  <conditionalFormatting sqref="R93:T95">
    <cfRule type="cellIs" dxfId="577" priority="1192" operator="lessThan">
      <formula>0.8</formula>
    </cfRule>
    <cfRule type="cellIs" dxfId="576" priority="1193" operator="greaterThan">
      <formula>0.8</formula>
    </cfRule>
  </conditionalFormatting>
  <conditionalFormatting sqref="R93:T95">
    <cfRule type="notContainsText" dxfId="575" priority="1190" operator="notContains" text="Caida">
      <formula>ISERROR(SEARCH("Caida",R93))</formula>
    </cfRule>
    <cfRule type="containsText" dxfId="574" priority="1191" operator="containsText" text="Caida">
      <formula>NOT(ISERROR(SEARCH("Caida",R93)))</formula>
    </cfRule>
  </conditionalFormatting>
  <conditionalFormatting sqref="E1:E372 E391:E1048576">
    <cfRule type="containsText" dxfId="573" priority="1050" operator="containsText" text="fija">
      <formula>NOT(ISERROR(SEARCH("fija",E1)))</formula>
    </cfRule>
    <cfRule type="containsText" dxfId="572" priority="1051" operator="containsText" text="domo">
      <formula>NOT(ISERROR(SEARCH("domo",E1)))</formula>
    </cfRule>
  </conditionalFormatting>
  <conditionalFormatting sqref="AG6:AL92">
    <cfRule type="cellIs" dxfId="571" priority="1026" operator="lessThan">
      <formula>0.8</formula>
    </cfRule>
    <cfRule type="cellIs" dxfId="570" priority="1027" operator="greaterThan">
      <formula>0.8</formula>
    </cfRule>
  </conditionalFormatting>
  <conditionalFormatting sqref="AG6:AL92">
    <cfRule type="notContainsText" dxfId="569" priority="1024" operator="notContains" text="Caida">
      <formula>ISERROR(SEARCH("Caida",AG6))</formula>
    </cfRule>
    <cfRule type="containsText" dxfId="568" priority="1025" operator="containsText" text="Caida">
      <formula>NOT(ISERROR(SEARCH("Caida",AG6)))</formula>
    </cfRule>
  </conditionalFormatting>
  <conditionalFormatting sqref="AG22:AN22">
    <cfRule type="containsText" dxfId="567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566" priority="1021" operator="lessThan">
      <formula>0.8</formula>
    </cfRule>
    <cfRule type="cellIs" dxfId="565" priority="1022" operator="greaterThan">
      <formula>0.8</formula>
    </cfRule>
  </conditionalFormatting>
  <conditionalFormatting sqref="AG5:AN5">
    <cfRule type="notContainsText" dxfId="564" priority="1019" operator="notContains" text="Caida">
      <formula>ISERROR(SEARCH("Caida",AG5))</formula>
    </cfRule>
    <cfRule type="containsText" dxfId="563" priority="1020" operator="containsText" text="Caida">
      <formula>NOT(ISERROR(SEARCH("Caida",AG5)))</formula>
    </cfRule>
  </conditionalFormatting>
  <conditionalFormatting sqref="AG93:AL94">
    <cfRule type="cellIs" dxfId="562" priority="1017" operator="lessThan">
      <formula>0.8</formula>
    </cfRule>
    <cfRule type="cellIs" dxfId="561" priority="1018" operator="greaterThan">
      <formula>0.8</formula>
    </cfRule>
  </conditionalFormatting>
  <conditionalFormatting sqref="AG93:AL94">
    <cfRule type="notContainsText" dxfId="560" priority="1015" operator="notContains" text="Caida">
      <formula>ISERROR(SEARCH("Caida",AG93))</formula>
    </cfRule>
    <cfRule type="containsText" dxfId="559" priority="1016" operator="containsText" text="Caida">
      <formula>NOT(ISERROR(SEARCH("Caida",AG93)))</formula>
    </cfRule>
  </conditionalFormatting>
  <conditionalFormatting sqref="K247:K372 K5:T369 AG1:AN1 AG397:AN1048576 AG5:AN372 AF5:AF369 W5:AD369">
    <cfRule type="cellIs" dxfId="558" priority="1014" operator="equal">
      <formula>"APAGADO"</formula>
    </cfRule>
  </conditionalFormatting>
  <conditionalFormatting sqref="O6:O92 O96:O230">
    <cfRule type="cellIs" dxfId="557" priority="998" operator="lessThan">
      <formula>0.8</formula>
    </cfRule>
    <cfRule type="cellIs" dxfId="556" priority="999" operator="greaterThan">
      <formula>0.8</formula>
    </cfRule>
  </conditionalFormatting>
  <conditionalFormatting sqref="O6:O92 O96:O230">
    <cfRule type="notContainsText" dxfId="555" priority="996" operator="notContains" text="Caida">
      <formula>ISERROR(SEARCH("Caida",O6))</formula>
    </cfRule>
    <cfRule type="containsText" dxfId="554" priority="997" operator="containsText" text="Caida">
      <formula>NOT(ISERROR(SEARCH("Caida",O6)))</formula>
    </cfRule>
  </conditionalFormatting>
  <conditionalFormatting sqref="O337:O366 O284:O334">
    <cfRule type="cellIs" dxfId="553" priority="994" operator="lessThan">
      <formula>0.8</formula>
    </cfRule>
    <cfRule type="cellIs" dxfId="552" priority="995" operator="greaterThan">
      <formula>0.8</formula>
    </cfRule>
  </conditionalFormatting>
  <conditionalFormatting sqref="O337:O366 O284:O334">
    <cfRule type="notContainsText" dxfId="551" priority="992" operator="notContains" text="Caida">
      <formula>ISERROR(SEARCH("Caida",O284))</formula>
    </cfRule>
    <cfRule type="containsText" dxfId="550" priority="993" operator="containsText" text="Caida">
      <formula>NOT(ISERROR(SEARCH("Caida",O284)))</formula>
    </cfRule>
  </conditionalFormatting>
  <conditionalFormatting sqref="O93:O95">
    <cfRule type="cellIs" dxfId="549" priority="990" operator="lessThan">
      <formula>0.8</formula>
    </cfRule>
    <cfRule type="cellIs" dxfId="548" priority="991" operator="greaterThan">
      <formula>0.8</formula>
    </cfRule>
  </conditionalFormatting>
  <conditionalFormatting sqref="O93:O95">
    <cfRule type="notContainsText" dxfId="547" priority="988" operator="notContains" text="Caida">
      <formula>ISERROR(SEARCH("Caida",O93))</formula>
    </cfRule>
    <cfRule type="containsText" dxfId="546" priority="989" operator="containsText" text="Caida">
      <formula>NOT(ISERROR(SEARCH("Caida",O93)))</formula>
    </cfRule>
  </conditionalFormatting>
  <conditionalFormatting sqref="P6:P92 P96:P230">
    <cfRule type="cellIs" dxfId="545" priority="986" operator="lessThan">
      <formula>0.8</formula>
    </cfRule>
    <cfRule type="cellIs" dxfId="544" priority="987" operator="greaterThan">
      <formula>0.8</formula>
    </cfRule>
  </conditionalFormatting>
  <conditionalFormatting sqref="P6:P92 P96:P230">
    <cfRule type="notContainsText" dxfId="543" priority="984" operator="notContains" text="Caida">
      <formula>ISERROR(SEARCH("Caida",P6))</formula>
    </cfRule>
    <cfRule type="containsText" dxfId="542" priority="985" operator="containsText" text="Caida">
      <formula>NOT(ISERROR(SEARCH("Caida",P6)))</formula>
    </cfRule>
  </conditionalFormatting>
  <conditionalFormatting sqref="P337:P366 P284:P334">
    <cfRule type="cellIs" dxfId="541" priority="982" operator="lessThan">
      <formula>0.8</formula>
    </cfRule>
    <cfRule type="cellIs" dxfId="540" priority="983" operator="greaterThan">
      <formula>0.8</formula>
    </cfRule>
  </conditionalFormatting>
  <conditionalFormatting sqref="P337:P366 P284:P334">
    <cfRule type="notContainsText" dxfId="539" priority="980" operator="notContains" text="Caida">
      <formula>ISERROR(SEARCH("Caida",P284))</formula>
    </cfRule>
    <cfRule type="containsText" dxfId="538" priority="981" operator="containsText" text="Caida">
      <formula>NOT(ISERROR(SEARCH("Caida",P284)))</formula>
    </cfRule>
  </conditionalFormatting>
  <conditionalFormatting sqref="P93:P95">
    <cfRule type="cellIs" dxfId="537" priority="978" operator="lessThan">
      <formula>0.8</formula>
    </cfRule>
    <cfRule type="cellIs" dxfId="536" priority="979" operator="greaterThan">
      <formula>0.8</formula>
    </cfRule>
  </conditionalFormatting>
  <conditionalFormatting sqref="P93:P95">
    <cfRule type="notContainsText" dxfId="535" priority="976" operator="notContains" text="Caida">
      <formula>ISERROR(SEARCH("Caida",P93))</formula>
    </cfRule>
    <cfRule type="containsText" dxfId="534" priority="977" operator="containsText" text="Caida">
      <formula>NOT(ISERROR(SEARCH("Caida",P93)))</formula>
    </cfRule>
  </conditionalFormatting>
  <conditionalFormatting sqref="F1:F372 F391:F1048576">
    <cfRule type="cellIs" dxfId="533" priority="905" operator="equal">
      <formula>"PTP A FO"</formula>
    </cfRule>
  </conditionalFormatting>
  <conditionalFormatting sqref="N371:P372">
    <cfRule type="cellIs" dxfId="532" priority="534" operator="lessThan">
      <formula>0.8</formula>
    </cfRule>
    <cfRule type="cellIs" dxfId="531" priority="535" operator="greaterThan">
      <formula>0.8</formula>
    </cfRule>
  </conditionalFormatting>
  <conditionalFormatting sqref="N371:P372">
    <cfRule type="notContainsText" dxfId="530" priority="532" operator="notContains" text="Caida">
      <formula>ISERROR(SEARCH("Caida",N371))</formula>
    </cfRule>
    <cfRule type="containsText" dxfId="529" priority="533" operator="containsText" text="Caida">
      <formula>NOT(ISERROR(SEARCH("Caida",N371)))</formula>
    </cfRule>
  </conditionalFormatting>
  <conditionalFormatting sqref="K6:K92">
    <cfRule type="cellIs" dxfId="528" priority="522" operator="lessThan">
      <formula>0.8</formula>
    </cfRule>
    <cfRule type="cellIs" dxfId="527" priority="523" operator="greaterThan">
      <formula>0.8</formula>
    </cfRule>
  </conditionalFormatting>
  <conditionalFormatting sqref="K6:K92">
    <cfRule type="notContainsText" dxfId="526" priority="520" operator="notContains" text="Caida">
      <formula>ISERROR(SEARCH("Caida",K6))</formula>
    </cfRule>
    <cfRule type="containsText" dxfId="525" priority="521" operator="containsText" text="Caida">
      <formula>NOT(ISERROR(SEARCH("Caida",K6)))</formula>
    </cfRule>
  </conditionalFormatting>
  <conditionalFormatting sqref="K22">
    <cfRule type="containsText" dxfId="524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523" priority="517" operator="lessThan">
      <formula>0.8</formula>
    </cfRule>
    <cfRule type="cellIs" dxfId="522" priority="518" operator="greaterThan">
      <formula>0.8</formula>
    </cfRule>
  </conditionalFormatting>
  <conditionalFormatting sqref="K5">
    <cfRule type="notContainsText" dxfId="521" priority="515" operator="notContains" text="Caida">
      <formula>ISERROR(SEARCH("Caida",K5))</formula>
    </cfRule>
    <cfRule type="containsText" dxfId="520" priority="516" operator="containsText" text="Caida">
      <formula>NOT(ISERROR(SEARCH("Caida",K5)))</formula>
    </cfRule>
  </conditionalFormatting>
  <conditionalFormatting sqref="K93:K94">
    <cfRule type="cellIs" dxfId="519" priority="513" operator="lessThan">
      <formula>0.8</formula>
    </cfRule>
    <cfRule type="cellIs" dxfId="518" priority="514" operator="greaterThan">
      <formula>0.8</formula>
    </cfRule>
  </conditionalFormatting>
  <conditionalFormatting sqref="K93:K94">
    <cfRule type="notContainsText" dxfId="517" priority="511" operator="notContains" text="Caida">
      <formula>ISERROR(SEARCH("Caida",K93))</formula>
    </cfRule>
    <cfRule type="containsText" dxfId="516" priority="512" operator="containsText" text="Caida">
      <formula>NOT(ISERROR(SEARCH("Caida",K93)))</formula>
    </cfRule>
  </conditionalFormatting>
  <conditionalFormatting sqref="AN6:AN92">
    <cfRule type="cellIs" dxfId="515" priority="504" operator="lessThan">
      <formula>0.8</formula>
    </cfRule>
    <cfRule type="cellIs" dxfId="514" priority="505" operator="greaterThan">
      <formula>0.8</formula>
    </cfRule>
  </conditionalFormatting>
  <conditionalFormatting sqref="AN6:AN92">
    <cfRule type="notContainsText" dxfId="513" priority="502" operator="notContains" text="Caida">
      <formula>ISERROR(SEARCH("Caida",AN6))</formula>
    </cfRule>
    <cfRule type="containsText" dxfId="512" priority="503" operator="containsText" text="Caida">
      <formula>NOT(ISERROR(SEARCH("Caida",AN6)))</formula>
    </cfRule>
  </conditionalFormatting>
  <conditionalFormatting sqref="AN93:AN94">
    <cfRule type="cellIs" dxfId="511" priority="500" operator="lessThan">
      <formula>0.8</formula>
    </cfRule>
    <cfRule type="cellIs" dxfId="510" priority="501" operator="greaterThan">
      <formula>0.8</formula>
    </cfRule>
  </conditionalFormatting>
  <conditionalFormatting sqref="AN93:AN94">
    <cfRule type="notContainsText" dxfId="509" priority="498" operator="notContains" text="Caida">
      <formula>ISERROR(SEARCH("Caida",AN93))</formula>
    </cfRule>
    <cfRule type="containsText" dxfId="508" priority="499" operator="containsText" text="Caida">
      <formula>NOT(ISERROR(SEARCH("Caida",AN93)))</formula>
    </cfRule>
  </conditionalFormatting>
  <conditionalFormatting sqref="W6:AB92">
    <cfRule type="cellIs" dxfId="507" priority="439" operator="lessThan">
      <formula>0.8</formula>
    </cfRule>
    <cfRule type="cellIs" dxfId="506" priority="440" operator="greaterThan">
      <formula>0.8</formula>
    </cfRule>
  </conditionalFormatting>
  <conditionalFormatting sqref="W6:AB92">
    <cfRule type="notContainsText" dxfId="505" priority="437" operator="notContains" text="Caida">
      <formula>ISERROR(SEARCH("Caida",W6))</formula>
    </cfRule>
    <cfRule type="containsText" dxfId="504" priority="438" operator="containsText" text="Caida">
      <formula>NOT(ISERROR(SEARCH("Caida",W6)))</formula>
    </cfRule>
  </conditionalFormatting>
  <conditionalFormatting sqref="W93:AB95">
    <cfRule type="cellIs" dxfId="503" priority="435" operator="lessThan">
      <formula>0.8</formula>
    </cfRule>
    <cfRule type="cellIs" dxfId="502" priority="436" operator="greaterThan">
      <formula>0.8</formula>
    </cfRule>
  </conditionalFormatting>
  <conditionalFormatting sqref="W93:AB95">
    <cfRule type="notContainsText" dxfId="501" priority="433" operator="notContains" text="Caida">
      <formula>ISERROR(SEARCH("Caida",W93))</formula>
    </cfRule>
    <cfRule type="containsText" dxfId="500" priority="434" operator="containsText" text="Caida">
      <formula>NOT(ISERROR(SEARCH("Caida",W93)))</formula>
    </cfRule>
  </conditionalFormatting>
  <conditionalFormatting sqref="AB1 AB397:AB1048576 AB3 AB5:AB372">
    <cfRule type="cellIs" dxfId="499" priority="432" operator="equal">
      <formula>"apagado"</formula>
    </cfRule>
  </conditionalFormatting>
  <conditionalFormatting sqref="AA1 AA5:AA372 AA397:AA1048576 AA3">
    <cfRule type="cellIs" dxfId="498" priority="431" operator="equal">
      <formula>"apagado"</formula>
    </cfRule>
  </conditionalFormatting>
  <conditionalFormatting sqref="Z1 Z5:Z372 Z397:Z1048576 Z3">
    <cfRule type="cellIs" dxfId="497" priority="430" operator="equal">
      <formula>"apagado"</formula>
    </cfRule>
  </conditionalFormatting>
  <conditionalFormatting sqref="Y1 Y5:Y372 Y397:Y1048576 Y3">
    <cfRule type="cellIs" dxfId="496" priority="429" operator="equal">
      <formula>"apagado"</formula>
    </cfRule>
  </conditionalFormatting>
  <conditionalFormatting sqref="X1 X5:X372 X397:X1048576 X3">
    <cfRule type="cellIs" dxfId="495" priority="428" operator="equal">
      <formula>"apagado"</formula>
    </cfRule>
  </conditionalFormatting>
  <conditionalFormatting sqref="W1 W5:W372 W397:W1048576 W3">
    <cfRule type="cellIs" dxfId="494" priority="427" operator="equal">
      <formula>"apagado"</formula>
    </cfRule>
  </conditionalFormatting>
  <conditionalFormatting sqref="V1 V397:V1048576 V3">
    <cfRule type="cellIs" dxfId="493" priority="426" operator="equal">
      <formula>"apagado"</formula>
    </cfRule>
  </conditionalFormatting>
  <conditionalFormatting sqref="U1 U397:U1048576 U3">
    <cfRule type="cellIs" dxfId="492" priority="425" operator="equal">
      <formula>"apagado"</formula>
    </cfRule>
  </conditionalFormatting>
  <conditionalFormatting sqref="AC6:AC92">
    <cfRule type="cellIs" dxfId="491" priority="423" operator="lessThan">
      <formula>0.8</formula>
    </cfRule>
    <cfRule type="cellIs" dxfId="490" priority="424" operator="greaterThan">
      <formula>0.8</formula>
    </cfRule>
  </conditionalFormatting>
  <conditionalFormatting sqref="AC6:AC92">
    <cfRule type="notContainsText" dxfId="489" priority="421" operator="notContains" text="Caida">
      <formula>ISERROR(SEARCH("Caida",AC6))</formula>
    </cfRule>
    <cfRule type="containsText" dxfId="488" priority="422" operator="containsText" text="Caida">
      <formula>NOT(ISERROR(SEARCH("Caida",AC6)))</formula>
    </cfRule>
  </conditionalFormatting>
  <conditionalFormatting sqref="AC93:AC95">
    <cfRule type="cellIs" dxfId="487" priority="419" operator="lessThan">
      <formula>0.8</formula>
    </cfRule>
    <cfRule type="cellIs" dxfId="486" priority="420" operator="greaterThan">
      <formula>0.8</formula>
    </cfRule>
  </conditionalFormatting>
  <conditionalFormatting sqref="AC93:AC95">
    <cfRule type="notContainsText" dxfId="485" priority="417" operator="notContains" text="Caida">
      <formula>ISERROR(SEARCH("Caida",AC93))</formula>
    </cfRule>
    <cfRule type="containsText" dxfId="484" priority="418" operator="containsText" text="Caida">
      <formula>NOT(ISERROR(SEARCH("Caida",AC93)))</formula>
    </cfRule>
  </conditionalFormatting>
  <conditionalFormatting sqref="AC1 AC5:AC372 AC397:AC1048576 AC3">
    <cfRule type="cellIs" dxfId="483" priority="416" operator="equal">
      <formula>"apagado"</formula>
    </cfRule>
  </conditionalFormatting>
  <conditionalFormatting sqref="AD6:AD92">
    <cfRule type="cellIs" dxfId="482" priority="414" operator="lessThan">
      <formula>0.8</formula>
    </cfRule>
    <cfRule type="cellIs" dxfId="481" priority="415" operator="greaterThan">
      <formula>0.8</formula>
    </cfRule>
  </conditionalFormatting>
  <conditionalFormatting sqref="AD6:AD92">
    <cfRule type="notContainsText" dxfId="480" priority="412" operator="notContains" text="Caida">
      <formula>ISERROR(SEARCH("Caida",AD6))</formula>
    </cfRule>
    <cfRule type="containsText" dxfId="479" priority="413" operator="containsText" text="Caida">
      <formula>NOT(ISERROR(SEARCH("Caida",AD6)))</formula>
    </cfRule>
  </conditionalFormatting>
  <conditionalFormatting sqref="AD93:AD95">
    <cfRule type="cellIs" dxfId="478" priority="410" operator="lessThan">
      <formula>0.8</formula>
    </cfRule>
    <cfRule type="cellIs" dxfId="477" priority="411" operator="greaterThan">
      <formula>0.8</formula>
    </cfRule>
  </conditionalFormatting>
  <conditionalFormatting sqref="AD93:AD95">
    <cfRule type="notContainsText" dxfId="476" priority="408" operator="notContains" text="Caida">
      <formula>ISERROR(SEARCH("Caida",AD93))</formula>
    </cfRule>
    <cfRule type="containsText" dxfId="475" priority="409" operator="containsText" text="Caida">
      <formula>NOT(ISERROR(SEARCH("Caida",AD93)))</formula>
    </cfRule>
  </conditionalFormatting>
  <conditionalFormatting sqref="AD1 AD397:AD1048576 AD3 AD5:AD372">
    <cfRule type="cellIs" dxfId="474" priority="407" operator="equal">
      <formula>"apagado"</formula>
    </cfRule>
  </conditionalFormatting>
  <conditionalFormatting sqref="AE1 AE397:AE1048576 AE3">
    <cfRule type="cellIs" dxfId="473" priority="398" operator="equal">
      <formula>"apagado"</formula>
    </cfRule>
  </conditionalFormatting>
  <conditionalFormatting sqref="AF6:AF92">
    <cfRule type="cellIs" dxfId="472" priority="396" operator="lessThan">
      <formula>0.8</formula>
    </cfRule>
    <cfRule type="cellIs" dxfId="471" priority="397" operator="greaterThan">
      <formula>0.8</formula>
    </cfRule>
  </conditionalFormatting>
  <conditionalFormatting sqref="AF6:AF92">
    <cfRule type="notContainsText" dxfId="470" priority="394" operator="notContains" text="Caida">
      <formula>ISERROR(SEARCH("Caida",AF6))</formula>
    </cfRule>
    <cfRule type="containsText" dxfId="469" priority="395" operator="containsText" text="Caida">
      <formula>NOT(ISERROR(SEARCH("Caida",AF6)))</formula>
    </cfRule>
  </conditionalFormatting>
  <conditionalFormatting sqref="AF93:AF95">
    <cfRule type="cellIs" dxfId="468" priority="392" operator="lessThan">
      <formula>0.8</formula>
    </cfRule>
    <cfRule type="cellIs" dxfId="467" priority="393" operator="greaterThan">
      <formula>0.8</formula>
    </cfRule>
  </conditionalFormatting>
  <conditionalFormatting sqref="AF93:AF95">
    <cfRule type="notContainsText" dxfId="466" priority="390" operator="notContains" text="Caida">
      <formula>ISERROR(SEARCH("Caida",AF93))</formula>
    </cfRule>
    <cfRule type="containsText" dxfId="465" priority="391" operator="containsText" text="Caida">
      <formula>NOT(ISERROR(SEARCH("Caida",AF93)))</formula>
    </cfRule>
  </conditionalFormatting>
  <conditionalFormatting sqref="AF1 AF5:AF372 AF397:AF1048576 AF3">
    <cfRule type="cellIs" dxfId="464" priority="389" operator="equal">
      <formula>"apagado"</formula>
    </cfRule>
  </conditionalFormatting>
  <conditionalFormatting sqref="AM95:AM369">
    <cfRule type="cellIs" dxfId="463" priority="370" operator="lessThan">
      <formula>0.8</formula>
    </cfRule>
    <cfRule type="cellIs" dxfId="462" priority="371" operator="greaterThan">
      <formula>0.8</formula>
    </cfRule>
  </conditionalFormatting>
  <conditionalFormatting sqref="AM95:AM372 AM397:AM1048576">
    <cfRule type="notContainsText" dxfId="461" priority="368" operator="notContains" text="Caida">
      <formula>ISERROR(SEARCH("Caida",AM95))</formula>
    </cfRule>
    <cfRule type="containsText" dxfId="460" priority="369" operator="containsText" text="Caida">
      <formula>NOT(ISERROR(SEARCH("Caida",AM95)))</formula>
    </cfRule>
  </conditionalFormatting>
  <conditionalFormatting sqref="AM6:AM92">
    <cfRule type="cellIs" dxfId="459" priority="366" operator="lessThan">
      <formula>0.8</formula>
    </cfRule>
    <cfRule type="cellIs" dxfId="458" priority="367" operator="greaterThan">
      <formula>0.8</formula>
    </cfRule>
  </conditionalFormatting>
  <conditionalFormatting sqref="AM6:AM92">
    <cfRule type="notContainsText" dxfId="457" priority="364" operator="notContains" text="Caida">
      <formula>ISERROR(SEARCH("Caida",AM6))</formula>
    </cfRule>
    <cfRule type="containsText" dxfId="456" priority="365" operator="containsText" text="Caida">
      <formula>NOT(ISERROR(SEARCH("Caida",AM6)))</formula>
    </cfRule>
  </conditionalFormatting>
  <conditionalFormatting sqref="AM93:AM94">
    <cfRule type="cellIs" dxfId="455" priority="362" operator="lessThan">
      <formula>0.8</formula>
    </cfRule>
    <cfRule type="cellIs" dxfId="454" priority="363" operator="greaterThan">
      <formula>0.8</formula>
    </cfRule>
  </conditionalFormatting>
  <conditionalFormatting sqref="AM93:AM94">
    <cfRule type="notContainsText" dxfId="453" priority="360" operator="notContains" text="Caida">
      <formula>ISERROR(SEARCH("Caida",AM93))</formula>
    </cfRule>
    <cfRule type="containsText" dxfId="452" priority="361" operator="containsText" text="Caida">
      <formula>NOT(ISERROR(SEARCH("Caida",AM93)))</formula>
    </cfRule>
  </conditionalFormatting>
  <conditionalFormatting sqref="AM10">
    <cfRule type="cellIs" dxfId="451" priority="355" operator="equal">
      <formula>"apagado"</formula>
    </cfRule>
    <cfRule type="cellIs" dxfId="450" priority="358" operator="lessThan">
      <formula>0.8</formula>
    </cfRule>
    <cfRule type="cellIs" dxfId="449" priority="359" operator="greaterThan">
      <formula>0.8</formula>
    </cfRule>
  </conditionalFormatting>
  <conditionalFormatting sqref="AM10">
    <cfRule type="notContainsText" dxfId="448" priority="356" operator="notContains" text="Caida">
      <formula>ISERROR(SEARCH("Caida",AM10))</formula>
    </cfRule>
    <cfRule type="containsText" dxfId="447" priority="357" operator="containsText" text="Caida">
      <formula>NOT(ISERROR(SEARCH("Caida",AM10)))</formula>
    </cfRule>
  </conditionalFormatting>
  <conditionalFormatting sqref="AM1 AM5:AM372 AM397:AM1048576 AM3">
    <cfRule type="cellIs" dxfId="446" priority="354" operator="equal">
      <formula>"apagado"</formula>
    </cfRule>
  </conditionalFormatting>
  <conditionalFormatting sqref="K5:T372 AF5:AN372 W5:AD372">
    <cfRule type="cellIs" dxfId="445" priority="353" operator="equal">
      <formula>"APAGADO"</formula>
    </cfRule>
  </conditionalFormatting>
  <conditionalFormatting sqref="U96:U372">
    <cfRule type="cellIs" dxfId="444" priority="315" operator="lessThan">
      <formula>0.8</formula>
    </cfRule>
    <cfRule type="cellIs" dxfId="443" priority="316" operator="greaterThan">
      <formula>0.8</formula>
    </cfRule>
  </conditionalFormatting>
  <conditionalFormatting sqref="U96:U372">
    <cfRule type="notContainsText" dxfId="442" priority="313" operator="notContains" text="Caida">
      <formula>ISERROR(SEARCH("Caida",U96))</formula>
    </cfRule>
    <cfRule type="containsText" dxfId="441" priority="314" operator="containsText" text="Caida">
      <formula>NOT(ISERROR(SEARCH("Caida",U96)))</formula>
    </cfRule>
  </conditionalFormatting>
  <conditionalFormatting sqref="U22">
    <cfRule type="containsText" dxfId="440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439" priority="310" operator="lessThan">
      <formula>0.8</formula>
    </cfRule>
    <cfRule type="cellIs" dxfId="438" priority="311" operator="greaterThan">
      <formula>0.8</formula>
    </cfRule>
  </conditionalFormatting>
  <conditionalFormatting sqref="U5">
    <cfRule type="notContainsText" dxfId="437" priority="308" operator="notContains" text="Caida">
      <formula>ISERROR(SEARCH("Caida",U5))</formula>
    </cfRule>
    <cfRule type="containsText" dxfId="436" priority="309" operator="containsText" text="Caida">
      <formula>NOT(ISERROR(SEARCH("Caida",U5)))</formula>
    </cfRule>
  </conditionalFormatting>
  <conditionalFormatting sqref="U5:U372">
    <cfRule type="cellIs" dxfId="435" priority="307" operator="equal">
      <formula>"APAGADO"</formula>
    </cfRule>
  </conditionalFormatting>
  <conditionalFormatting sqref="U6:U92">
    <cfRule type="cellIs" dxfId="434" priority="305" operator="lessThan">
      <formula>0.8</formula>
    </cfRule>
    <cfRule type="cellIs" dxfId="433" priority="306" operator="greaterThan">
      <formula>0.8</formula>
    </cfRule>
  </conditionalFormatting>
  <conditionalFormatting sqref="U6:U92">
    <cfRule type="notContainsText" dxfId="432" priority="303" operator="notContains" text="Caida">
      <formula>ISERROR(SEARCH("Caida",U6))</formula>
    </cfRule>
    <cfRule type="containsText" dxfId="431" priority="304" operator="containsText" text="Caida">
      <formula>NOT(ISERROR(SEARCH("Caida",U6)))</formula>
    </cfRule>
  </conditionalFormatting>
  <conditionalFormatting sqref="U93:U95">
    <cfRule type="cellIs" dxfId="430" priority="301" operator="lessThan">
      <formula>0.8</formula>
    </cfRule>
    <cfRule type="cellIs" dxfId="429" priority="302" operator="greaterThan">
      <formula>0.8</formula>
    </cfRule>
  </conditionalFormatting>
  <conditionalFormatting sqref="U93:U95">
    <cfRule type="notContainsText" dxfId="428" priority="299" operator="notContains" text="Caida">
      <formula>ISERROR(SEARCH("Caida",U93))</formula>
    </cfRule>
    <cfRule type="containsText" dxfId="427" priority="300" operator="containsText" text="Caida">
      <formula>NOT(ISERROR(SEARCH("Caida",U93)))</formula>
    </cfRule>
  </conditionalFormatting>
  <conditionalFormatting sqref="U5:U372">
    <cfRule type="cellIs" dxfId="426" priority="298" operator="equal">
      <formula>"apagado"</formula>
    </cfRule>
  </conditionalFormatting>
  <conditionalFormatting sqref="V96:V372">
    <cfRule type="cellIs" dxfId="425" priority="295" operator="lessThan">
      <formula>0.8</formula>
    </cfRule>
    <cfRule type="cellIs" dxfId="424" priority="296" operator="greaterThan">
      <formula>0.8</formula>
    </cfRule>
  </conditionalFormatting>
  <conditionalFormatting sqref="V96:V372">
    <cfRule type="notContainsText" dxfId="423" priority="293" operator="notContains" text="Caida">
      <formula>ISERROR(SEARCH("Caida",V96))</formula>
    </cfRule>
    <cfRule type="containsText" dxfId="422" priority="294" operator="containsText" text="Caida">
      <formula>NOT(ISERROR(SEARCH("Caida",V96)))</formula>
    </cfRule>
  </conditionalFormatting>
  <conditionalFormatting sqref="V22">
    <cfRule type="containsText" dxfId="421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420" priority="290" operator="lessThan">
      <formula>0.8</formula>
    </cfRule>
    <cfRule type="cellIs" dxfId="419" priority="291" operator="greaterThan">
      <formula>0.8</formula>
    </cfRule>
  </conditionalFormatting>
  <conditionalFormatting sqref="V5">
    <cfRule type="notContainsText" dxfId="418" priority="288" operator="notContains" text="Caida">
      <formula>ISERROR(SEARCH("Caida",V5))</formula>
    </cfRule>
    <cfRule type="containsText" dxfId="417" priority="289" operator="containsText" text="Caida">
      <formula>NOT(ISERROR(SEARCH("Caida",V5)))</formula>
    </cfRule>
  </conditionalFormatting>
  <conditionalFormatting sqref="V5:V372">
    <cfRule type="cellIs" dxfId="416" priority="287" operator="equal">
      <formula>"APAGADO"</formula>
    </cfRule>
  </conditionalFormatting>
  <conditionalFormatting sqref="V6:V92">
    <cfRule type="cellIs" dxfId="415" priority="285" operator="lessThan">
      <formula>0.8</formula>
    </cfRule>
    <cfRule type="cellIs" dxfId="414" priority="286" operator="greaterThan">
      <formula>0.8</formula>
    </cfRule>
  </conditionalFormatting>
  <conditionalFormatting sqref="V6:V92">
    <cfRule type="notContainsText" dxfId="413" priority="283" operator="notContains" text="Caida">
      <formula>ISERROR(SEARCH("Caida",V6))</formula>
    </cfRule>
    <cfRule type="containsText" dxfId="412" priority="284" operator="containsText" text="Caida">
      <formula>NOT(ISERROR(SEARCH("Caida",V6)))</formula>
    </cfRule>
  </conditionalFormatting>
  <conditionalFormatting sqref="V93:V95">
    <cfRule type="cellIs" dxfId="411" priority="281" operator="lessThan">
      <formula>0.8</formula>
    </cfRule>
    <cfRule type="cellIs" dxfId="410" priority="282" operator="greaterThan">
      <formula>0.8</formula>
    </cfRule>
  </conditionalFormatting>
  <conditionalFormatting sqref="V93:V95">
    <cfRule type="notContainsText" dxfId="409" priority="279" operator="notContains" text="Caida">
      <formula>ISERROR(SEARCH("Caida",V93))</formula>
    </cfRule>
    <cfRule type="containsText" dxfId="408" priority="280" operator="containsText" text="Caida">
      <formula>NOT(ISERROR(SEARCH("Caida",V93)))</formula>
    </cfRule>
  </conditionalFormatting>
  <conditionalFormatting sqref="V5:V372">
    <cfRule type="cellIs" dxfId="407" priority="278" operator="equal">
      <formula>"apagado"</formula>
    </cfRule>
  </conditionalFormatting>
  <conditionalFormatting sqref="AD94">
    <cfRule type="cellIs" dxfId="406" priority="275" operator="lessThan">
      <formula>0.8</formula>
    </cfRule>
    <cfRule type="cellIs" dxfId="405" priority="276" operator="greaterThan">
      <formula>0.8</formula>
    </cfRule>
  </conditionalFormatting>
  <conditionalFormatting sqref="AD94">
    <cfRule type="notContainsText" dxfId="404" priority="273" operator="notContains" text="Caida">
      <formula>ISERROR(SEARCH("Caida",AD94))</formula>
    </cfRule>
    <cfRule type="containsText" dxfId="403" priority="274" operator="containsText" text="Caida">
      <formula>NOT(ISERROR(SEARCH("Caida",AD94)))</formula>
    </cfRule>
  </conditionalFormatting>
  <conditionalFormatting sqref="AD96">
    <cfRule type="cellIs" dxfId="402" priority="271" operator="lessThan">
      <formula>0.8</formula>
    </cfRule>
    <cfRule type="cellIs" dxfId="401" priority="272" operator="greaterThan">
      <formula>0.8</formula>
    </cfRule>
  </conditionalFormatting>
  <conditionalFormatting sqref="AD96">
    <cfRule type="notContainsText" dxfId="400" priority="269" operator="notContains" text="Caida">
      <formula>ISERROR(SEARCH("Caida",AD96))</formula>
    </cfRule>
    <cfRule type="containsText" dxfId="399" priority="270" operator="containsText" text="Caida">
      <formula>NOT(ISERROR(SEARCH("Caida",AD96)))</formula>
    </cfRule>
  </conditionalFormatting>
  <conditionalFormatting sqref="AD99">
    <cfRule type="cellIs" dxfId="398" priority="267" operator="lessThan">
      <formula>0.8</formula>
    </cfRule>
    <cfRule type="cellIs" dxfId="397" priority="268" operator="greaterThan">
      <formula>0.8</formula>
    </cfRule>
  </conditionalFormatting>
  <conditionalFormatting sqref="AD99">
    <cfRule type="notContainsText" dxfId="396" priority="265" operator="notContains" text="Caida">
      <formula>ISERROR(SEARCH("Caida",AD99))</formula>
    </cfRule>
    <cfRule type="containsText" dxfId="395" priority="266" operator="containsText" text="Caida">
      <formula>NOT(ISERROR(SEARCH("Caida",AD99)))</formula>
    </cfRule>
  </conditionalFormatting>
  <conditionalFormatting sqref="AD115">
    <cfRule type="cellIs" dxfId="394" priority="263" operator="lessThan">
      <formula>0.8</formula>
    </cfRule>
    <cfRule type="cellIs" dxfId="393" priority="264" operator="greaterThan">
      <formula>0.8</formula>
    </cfRule>
  </conditionalFormatting>
  <conditionalFormatting sqref="AD115">
    <cfRule type="notContainsText" dxfId="392" priority="261" operator="notContains" text="Caida">
      <formula>ISERROR(SEARCH("Caida",AD115))</formula>
    </cfRule>
    <cfRule type="containsText" dxfId="391" priority="262" operator="containsText" text="Caida">
      <formula>NOT(ISERROR(SEARCH("Caida",AD115)))</formula>
    </cfRule>
  </conditionalFormatting>
  <conditionalFormatting sqref="AD116">
    <cfRule type="cellIs" dxfId="390" priority="259" operator="lessThan">
      <formula>0.8</formula>
    </cfRule>
    <cfRule type="cellIs" dxfId="389" priority="260" operator="greaterThan">
      <formula>0.8</formula>
    </cfRule>
  </conditionalFormatting>
  <conditionalFormatting sqref="AD116">
    <cfRule type="notContainsText" dxfId="388" priority="257" operator="notContains" text="Caida">
      <formula>ISERROR(SEARCH("Caida",AD116))</formula>
    </cfRule>
    <cfRule type="containsText" dxfId="387" priority="258" operator="containsText" text="Caida">
      <formula>NOT(ISERROR(SEARCH("Caida",AD116)))</formula>
    </cfRule>
  </conditionalFormatting>
  <conditionalFormatting sqref="AD120">
    <cfRule type="cellIs" dxfId="386" priority="255" operator="lessThan">
      <formula>0.8</formula>
    </cfRule>
    <cfRule type="cellIs" dxfId="385" priority="256" operator="greaterThan">
      <formula>0.8</formula>
    </cfRule>
  </conditionalFormatting>
  <conditionalFormatting sqref="AD120">
    <cfRule type="notContainsText" dxfId="384" priority="253" operator="notContains" text="Caida">
      <formula>ISERROR(SEARCH("Caida",AD120))</formula>
    </cfRule>
    <cfRule type="containsText" dxfId="383" priority="254" operator="containsText" text="Caida">
      <formula>NOT(ISERROR(SEARCH("Caida",AD120)))</formula>
    </cfRule>
  </conditionalFormatting>
  <conditionalFormatting sqref="AD121">
    <cfRule type="cellIs" dxfId="382" priority="251" operator="lessThan">
      <formula>0.8</formula>
    </cfRule>
    <cfRule type="cellIs" dxfId="381" priority="252" operator="greaterThan">
      <formula>0.8</formula>
    </cfRule>
  </conditionalFormatting>
  <conditionalFormatting sqref="AD121">
    <cfRule type="notContainsText" dxfId="380" priority="249" operator="notContains" text="Caida">
      <formula>ISERROR(SEARCH("Caida",AD121))</formula>
    </cfRule>
    <cfRule type="containsText" dxfId="379" priority="250" operator="containsText" text="Caida">
      <formula>NOT(ISERROR(SEARCH("Caida",AD121)))</formula>
    </cfRule>
  </conditionalFormatting>
  <conditionalFormatting sqref="AD133">
    <cfRule type="cellIs" dxfId="378" priority="247" operator="lessThan">
      <formula>0.8</formula>
    </cfRule>
    <cfRule type="cellIs" dxfId="377" priority="248" operator="greaterThan">
      <formula>0.8</formula>
    </cfRule>
  </conditionalFormatting>
  <conditionalFormatting sqref="AD133">
    <cfRule type="notContainsText" dxfId="376" priority="245" operator="notContains" text="Caida">
      <formula>ISERROR(SEARCH("Caida",AD133))</formula>
    </cfRule>
    <cfRule type="containsText" dxfId="375" priority="246" operator="containsText" text="Caida">
      <formula>NOT(ISERROR(SEARCH("Caida",AD133)))</formula>
    </cfRule>
  </conditionalFormatting>
  <conditionalFormatting sqref="AD135">
    <cfRule type="cellIs" dxfId="374" priority="243" operator="lessThan">
      <formula>0.8</formula>
    </cfRule>
    <cfRule type="cellIs" dxfId="373" priority="244" operator="greaterThan">
      <formula>0.8</formula>
    </cfRule>
  </conditionalFormatting>
  <conditionalFormatting sqref="AD135">
    <cfRule type="notContainsText" dxfId="372" priority="241" operator="notContains" text="Caida">
      <formula>ISERROR(SEARCH("Caida",AD135))</formula>
    </cfRule>
    <cfRule type="containsText" dxfId="371" priority="242" operator="containsText" text="Caida">
      <formula>NOT(ISERROR(SEARCH("Caida",AD135)))</formula>
    </cfRule>
  </conditionalFormatting>
  <conditionalFormatting sqref="AD142">
    <cfRule type="cellIs" dxfId="370" priority="239" operator="lessThan">
      <formula>0.8</formula>
    </cfRule>
    <cfRule type="cellIs" dxfId="369" priority="240" operator="greaterThan">
      <formula>0.8</formula>
    </cfRule>
  </conditionalFormatting>
  <conditionalFormatting sqref="AD142">
    <cfRule type="notContainsText" dxfId="368" priority="237" operator="notContains" text="Caida">
      <formula>ISERROR(SEARCH("Caida",AD142))</formula>
    </cfRule>
    <cfRule type="containsText" dxfId="367" priority="238" operator="containsText" text="Caida">
      <formula>NOT(ISERROR(SEARCH("Caida",AD142)))</formula>
    </cfRule>
  </conditionalFormatting>
  <conditionalFormatting sqref="AD143">
    <cfRule type="cellIs" dxfId="366" priority="235" operator="lessThan">
      <formula>0.8</formula>
    </cfRule>
    <cfRule type="cellIs" dxfId="365" priority="236" operator="greaterThan">
      <formula>0.8</formula>
    </cfRule>
  </conditionalFormatting>
  <conditionalFormatting sqref="AD143">
    <cfRule type="notContainsText" dxfId="364" priority="233" operator="notContains" text="Caida">
      <formula>ISERROR(SEARCH("Caida",AD143))</formula>
    </cfRule>
    <cfRule type="containsText" dxfId="363" priority="234" operator="containsText" text="Caida">
      <formula>NOT(ISERROR(SEARCH("Caida",AD143)))</formula>
    </cfRule>
  </conditionalFormatting>
  <conditionalFormatting sqref="AD144">
    <cfRule type="cellIs" dxfId="362" priority="231" operator="lessThan">
      <formula>0.8</formula>
    </cfRule>
    <cfRule type="cellIs" dxfId="361" priority="232" operator="greaterThan">
      <formula>0.8</formula>
    </cfRule>
  </conditionalFormatting>
  <conditionalFormatting sqref="AD144">
    <cfRule type="notContainsText" dxfId="360" priority="229" operator="notContains" text="Caida">
      <formula>ISERROR(SEARCH("Caida",AD144))</formula>
    </cfRule>
    <cfRule type="containsText" dxfId="359" priority="230" operator="containsText" text="Caida">
      <formula>NOT(ISERROR(SEARCH("Caida",AD144)))</formula>
    </cfRule>
  </conditionalFormatting>
  <conditionalFormatting sqref="AD163">
    <cfRule type="cellIs" dxfId="358" priority="227" operator="lessThan">
      <formula>0.8</formula>
    </cfRule>
    <cfRule type="cellIs" dxfId="357" priority="228" operator="greaterThan">
      <formula>0.8</formula>
    </cfRule>
  </conditionalFormatting>
  <conditionalFormatting sqref="AD163">
    <cfRule type="notContainsText" dxfId="356" priority="225" operator="notContains" text="Caida">
      <formula>ISERROR(SEARCH("Caida",AD163))</formula>
    </cfRule>
    <cfRule type="containsText" dxfId="355" priority="226" operator="containsText" text="Caida">
      <formula>NOT(ISERROR(SEARCH("Caida",AD163)))</formula>
    </cfRule>
  </conditionalFormatting>
  <conditionalFormatting sqref="AD164">
    <cfRule type="cellIs" dxfId="354" priority="223" operator="lessThan">
      <formula>0.8</formula>
    </cfRule>
    <cfRule type="cellIs" dxfId="353" priority="224" operator="greaterThan">
      <formula>0.8</formula>
    </cfRule>
  </conditionalFormatting>
  <conditionalFormatting sqref="AD164">
    <cfRule type="notContainsText" dxfId="352" priority="221" operator="notContains" text="Caida">
      <formula>ISERROR(SEARCH("Caida",AD164))</formula>
    </cfRule>
    <cfRule type="containsText" dxfId="351" priority="222" operator="containsText" text="Caida">
      <formula>NOT(ISERROR(SEARCH("Caida",AD164)))</formula>
    </cfRule>
  </conditionalFormatting>
  <conditionalFormatting sqref="AD166">
    <cfRule type="cellIs" dxfId="350" priority="219" operator="lessThan">
      <formula>0.8</formula>
    </cfRule>
    <cfRule type="cellIs" dxfId="349" priority="220" operator="greaterThan">
      <formula>0.8</formula>
    </cfRule>
  </conditionalFormatting>
  <conditionalFormatting sqref="AD166">
    <cfRule type="notContainsText" dxfId="348" priority="217" operator="notContains" text="Caida">
      <formula>ISERROR(SEARCH("Caida",AD166))</formula>
    </cfRule>
    <cfRule type="containsText" dxfId="347" priority="218" operator="containsText" text="Caida">
      <formula>NOT(ISERROR(SEARCH("Caida",AD166)))</formula>
    </cfRule>
  </conditionalFormatting>
  <conditionalFormatting sqref="AD177">
    <cfRule type="cellIs" dxfId="346" priority="215" operator="lessThan">
      <formula>0.8</formula>
    </cfRule>
    <cfRule type="cellIs" dxfId="345" priority="216" operator="greaterThan">
      <formula>0.8</formula>
    </cfRule>
  </conditionalFormatting>
  <conditionalFormatting sqref="AD177">
    <cfRule type="notContainsText" dxfId="344" priority="213" operator="notContains" text="Caida">
      <formula>ISERROR(SEARCH("Caida",AD177))</formula>
    </cfRule>
    <cfRule type="containsText" dxfId="343" priority="214" operator="containsText" text="Caida">
      <formula>NOT(ISERROR(SEARCH("Caida",AD177)))</formula>
    </cfRule>
  </conditionalFormatting>
  <conditionalFormatting sqref="AD191">
    <cfRule type="cellIs" dxfId="342" priority="211" operator="lessThan">
      <formula>0.8</formula>
    </cfRule>
    <cfRule type="cellIs" dxfId="341" priority="212" operator="greaterThan">
      <formula>0.8</formula>
    </cfRule>
  </conditionalFormatting>
  <conditionalFormatting sqref="AD191">
    <cfRule type="notContainsText" dxfId="340" priority="209" operator="notContains" text="Caida">
      <formula>ISERROR(SEARCH("Caida",AD191))</formula>
    </cfRule>
    <cfRule type="containsText" dxfId="339" priority="210" operator="containsText" text="Caida">
      <formula>NOT(ISERROR(SEARCH("Caida",AD191)))</formula>
    </cfRule>
  </conditionalFormatting>
  <conditionalFormatting sqref="AD192">
    <cfRule type="cellIs" dxfId="338" priority="207" operator="lessThan">
      <formula>0.8</formula>
    </cfRule>
    <cfRule type="cellIs" dxfId="337" priority="208" operator="greaterThan">
      <formula>0.8</formula>
    </cfRule>
  </conditionalFormatting>
  <conditionalFormatting sqref="AD192">
    <cfRule type="notContainsText" dxfId="336" priority="205" operator="notContains" text="Caida">
      <formula>ISERROR(SEARCH("Caida",AD192))</formula>
    </cfRule>
    <cfRule type="containsText" dxfId="335" priority="206" operator="containsText" text="Caida">
      <formula>NOT(ISERROR(SEARCH("Caida",AD192)))</formula>
    </cfRule>
  </conditionalFormatting>
  <conditionalFormatting sqref="AD198">
    <cfRule type="cellIs" dxfId="334" priority="203" operator="lessThan">
      <formula>0.8</formula>
    </cfRule>
    <cfRule type="cellIs" dxfId="333" priority="204" operator="greaterThan">
      <formula>0.8</formula>
    </cfRule>
  </conditionalFormatting>
  <conditionalFormatting sqref="AD198">
    <cfRule type="notContainsText" dxfId="332" priority="201" operator="notContains" text="Caida">
      <formula>ISERROR(SEARCH("Caida",AD198))</formula>
    </cfRule>
    <cfRule type="containsText" dxfId="331" priority="202" operator="containsText" text="Caida">
      <formula>NOT(ISERROR(SEARCH("Caida",AD198)))</formula>
    </cfRule>
  </conditionalFormatting>
  <conditionalFormatting sqref="AD206">
    <cfRule type="cellIs" dxfId="330" priority="199" operator="lessThan">
      <formula>0.8</formula>
    </cfRule>
    <cfRule type="cellIs" dxfId="329" priority="200" operator="greaterThan">
      <formula>0.8</formula>
    </cfRule>
  </conditionalFormatting>
  <conditionalFormatting sqref="AD206">
    <cfRule type="notContainsText" dxfId="328" priority="197" operator="notContains" text="Caida">
      <formula>ISERROR(SEARCH("Caida",AD206))</formula>
    </cfRule>
    <cfRule type="containsText" dxfId="327" priority="198" operator="containsText" text="Caida">
      <formula>NOT(ISERROR(SEARCH("Caida",AD206)))</formula>
    </cfRule>
  </conditionalFormatting>
  <conditionalFormatting sqref="AD211">
    <cfRule type="cellIs" dxfId="326" priority="195" operator="lessThan">
      <formula>0.8</formula>
    </cfRule>
    <cfRule type="cellIs" dxfId="325" priority="196" operator="greaterThan">
      <formula>0.8</formula>
    </cfRule>
  </conditionalFormatting>
  <conditionalFormatting sqref="AD211">
    <cfRule type="notContainsText" dxfId="324" priority="193" operator="notContains" text="Caida">
      <formula>ISERROR(SEARCH("Caida",AD211))</formula>
    </cfRule>
    <cfRule type="containsText" dxfId="323" priority="194" operator="containsText" text="Caida">
      <formula>NOT(ISERROR(SEARCH("Caida",AD211)))</formula>
    </cfRule>
  </conditionalFormatting>
  <conditionalFormatting sqref="AD212">
    <cfRule type="cellIs" dxfId="322" priority="191" operator="lessThan">
      <formula>0.8</formula>
    </cfRule>
    <cfRule type="cellIs" dxfId="321" priority="192" operator="greaterThan">
      <formula>0.8</formula>
    </cfRule>
  </conditionalFormatting>
  <conditionalFormatting sqref="AD212">
    <cfRule type="notContainsText" dxfId="320" priority="189" operator="notContains" text="Caida">
      <formula>ISERROR(SEARCH("Caida",AD212))</formula>
    </cfRule>
    <cfRule type="containsText" dxfId="319" priority="190" operator="containsText" text="Caida">
      <formula>NOT(ISERROR(SEARCH("Caida",AD212)))</formula>
    </cfRule>
  </conditionalFormatting>
  <conditionalFormatting sqref="AD359">
    <cfRule type="cellIs" dxfId="318" priority="188" operator="equal">
      <formula>"apagado"</formula>
    </cfRule>
  </conditionalFormatting>
  <conditionalFormatting sqref="AD360">
    <cfRule type="cellIs" dxfId="317" priority="187" operator="equal">
      <formula>"apagado"</formula>
    </cfRule>
  </conditionalFormatting>
  <conditionalFormatting sqref="AD361">
    <cfRule type="cellIs" dxfId="316" priority="186" operator="equal">
      <formula>"apagado"</formula>
    </cfRule>
  </conditionalFormatting>
  <conditionalFormatting sqref="AD362">
    <cfRule type="cellIs" dxfId="315" priority="185" operator="equal">
      <formula>"apagado"</formula>
    </cfRule>
  </conditionalFormatting>
  <conditionalFormatting sqref="AD206">
    <cfRule type="cellIs" dxfId="314" priority="184" operator="equal">
      <formula>"apagado"</formula>
    </cfRule>
  </conditionalFormatting>
  <conditionalFormatting sqref="AD211">
    <cfRule type="cellIs" dxfId="313" priority="183" operator="equal">
      <formula>"apagado"</formula>
    </cfRule>
  </conditionalFormatting>
  <conditionalFormatting sqref="AD212">
    <cfRule type="cellIs" dxfId="312" priority="182" operator="equal">
      <formula>"apagado"</formula>
    </cfRule>
  </conditionalFormatting>
  <conditionalFormatting sqref="AD198">
    <cfRule type="cellIs" dxfId="311" priority="181" operator="equal">
      <formula>"apagado"</formula>
    </cfRule>
  </conditionalFormatting>
  <conditionalFormatting sqref="AD192">
    <cfRule type="cellIs" dxfId="310" priority="180" operator="equal">
      <formula>"apagado"</formula>
    </cfRule>
  </conditionalFormatting>
  <conditionalFormatting sqref="AD191">
    <cfRule type="cellIs" dxfId="309" priority="179" operator="equal">
      <formula>"apagado"</formula>
    </cfRule>
  </conditionalFormatting>
  <conditionalFormatting sqref="AD177">
    <cfRule type="cellIs" dxfId="308" priority="178" operator="equal">
      <formula>"apagado"</formula>
    </cfRule>
  </conditionalFormatting>
  <conditionalFormatting sqref="AD166">
    <cfRule type="cellIs" dxfId="307" priority="177" operator="equal">
      <formula>"apagado"</formula>
    </cfRule>
  </conditionalFormatting>
  <conditionalFormatting sqref="AD163">
    <cfRule type="cellIs" dxfId="306" priority="176" operator="equal">
      <formula>"apagado"</formula>
    </cfRule>
  </conditionalFormatting>
  <conditionalFormatting sqref="AD164">
    <cfRule type="cellIs" dxfId="305" priority="175" operator="equal">
      <formula>"apagado"</formula>
    </cfRule>
  </conditionalFormatting>
  <conditionalFormatting sqref="AD142">
    <cfRule type="cellIs" dxfId="304" priority="174" operator="equal">
      <formula>"apagado"</formula>
    </cfRule>
  </conditionalFormatting>
  <conditionalFormatting sqref="AD143">
    <cfRule type="cellIs" dxfId="303" priority="173" operator="equal">
      <formula>"apagado"</formula>
    </cfRule>
  </conditionalFormatting>
  <conditionalFormatting sqref="AD144">
    <cfRule type="cellIs" dxfId="302" priority="172" operator="equal">
      <formula>"apagado"</formula>
    </cfRule>
  </conditionalFormatting>
  <conditionalFormatting sqref="AD133">
    <cfRule type="cellIs" dxfId="301" priority="171" operator="equal">
      <formula>"apagado"</formula>
    </cfRule>
  </conditionalFormatting>
  <conditionalFormatting sqref="AD135">
    <cfRule type="cellIs" dxfId="300" priority="170" operator="equal">
      <formula>"apagado"</formula>
    </cfRule>
  </conditionalFormatting>
  <conditionalFormatting sqref="AD115">
    <cfRule type="cellIs" dxfId="299" priority="169" operator="equal">
      <formula>"apagado"</formula>
    </cfRule>
  </conditionalFormatting>
  <conditionalFormatting sqref="AD116">
    <cfRule type="cellIs" dxfId="298" priority="168" operator="equal">
      <formula>"apagado"</formula>
    </cfRule>
  </conditionalFormatting>
  <conditionalFormatting sqref="AD120">
    <cfRule type="cellIs" dxfId="297" priority="167" operator="equal">
      <formula>"apagado"</formula>
    </cfRule>
  </conditionalFormatting>
  <conditionalFormatting sqref="AD121">
    <cfRule type="cellIs" dxfId="296" priority="166" operator="equal">
      <formula>"apagado"</formula>
    </cfRule>
  </conditionalFormatting>
  <conditionalFormatting sqref="AD99">
    <cfRule type="cellIs" dxfId="295" priority="165" operator="equal">
      <formula>"apagado"</formula>
    </cfRule>
  </conditionalFormatting>
  <conditionalFormatting sqref="AD94">
    <cfRule type="cellIs" dxfId="294" priority="163" operator="lessThan">
      <formula>0.8</formula>
    </cfRule>
    <cfRule type="cellIs" dxfId="293" priority="164" operator="greaterThan">
      <formula>0.8</formula>
    </cfRule>
  </conditionalFormatting>
  <conditionalFormatting sqref="AD94">
    <cfRule type="notContainsText" dxfId="292" priority="161" operator="notContains" text="Caida">
      <formula>ISERROR(SEARCH("Caida",AD94))</formula>
    </cfRule>
    <cfRule type="containsText" dxfId="291" priority="162" operator="containsText" text="Caida">
      <formula>NOT(ISERROR(SEARCH("Caida",AD94)))</formula>
    </cfRule>
  </conditionalFormatting>
  <conditionalFormatting sqref="AD94">
    <cfRule type="cellIs" dxfId="290" priority="160" operator="equal">
      <formula>"apagado"</formula>
    </cfRule>
  </conditionalFormatting>
  <conditionalFormatting sqref="AD96">
    <cfRule type="cellIs" dxfId="289" priority="159" operator="equal">
      <formula>"apagado"</formula>
    </cfRule>
  </conditionalFormatting>
  <conditionalFormatting sqref="R373:T396 W373:AD396 J373:J396 AF373:AF396">
    <cfRule type="cellIs" dxfId="288" priority="143" operator="lessThan">
      <formula>0.8</formula>
    </cfRule>
    <cfRule type="cellIs" dxfId="287" priority="144" operator="greaterThan">
      <formula>0.8</formula>
    </cfRule>
  </conditionalFormatting>
  <conditionalFormatting sqref="K373:K396 R373:T396 W373:AD396 AN373:AN396 AF373:AL396">
    <cfRule type="notContainsText" dxfId="286" priority="140" operator="notContains" text="Caida">
      <formula>ISERROR(SEARCH("Caida",K373))</formula>
    </cfRule>
    <cfRule type="containsText" dxfId="285" priority="141" operator="containsText" text="Caida">
      <formula>NOT(ISERROR(SEARCH("Caida",K373)))</formula>
    </cfRule>
  </conditionalFormatting>
  <conditionalFormatting sqref="L373:L396">
    <cfRule type="cellIs" dxfId="284" priority="138" operator="lessThan">
      <formula>0.8</formula>
    </cfRule>
    <cfRule type="cellIs" dxfId="283" priority="139" operator="greaterThan">
      <formula>0.8</formula>
    </cfRule>
  </conditionalFormatting>
  <conditionalFormatting sqref="L373:L396">
    <cfRule type="notContainsText" dxfId="282" priority="136" operator="notContains" text="Caida">
      <formula>ISERROR(SEARCH("Caida",L373))</formula>
    </cfRule>
    <cfRule type="containsText" dxfId="281" priority="137" operator="containsText" text="Caida">
      <formula>NOT(ISERROR(SEARCH("Caida",L373)))</formula>
    </cfRule>
  </conditionalFormatting>
  <conditionalFormatting sqref="M373:M396">
    <cfRule type="cellIs" dxfId="280" priority="134" operator="lessThan">
      <formula>0.8</formula>
    </cfRule>
    <cfRule type="cellIs" dxfId="279" priority="135" operator="greaterThan">
      <formula>0.8</formula>
    </cfRule>
  </conditionalFormatting>
  <conditionalFormatting sqref="M373:M396">
    <cfRule type="notContainsText" dxfId="278" priority="132" operator="notContains" text="Caida">
      <formula>ISERROR(SEARCH("Caida",M373))</formula>
    </cfRule>
    <cfRule type="containsText" dxfId="277" priority="133" operator="containsText" text="Caida">
      <formula>NOT(ISERROR(SEARCH("Caida",M373)))</formula>
    </cfRule>
  </conditionalFormatting>
  <conditionalFormatting sqref="Q373:Q396">
    <cfRule type="cellIs" dxfId="276" priority="130" operator="lessThan">
      <formula>0.8</formula>
    </cfRule>
    <cfRule type="cellIs" dxfId="275" priority="131" operator="greaterThan">
      <formula>0.8</formula>
    </cfRule>
  </conditionalFormatting>
  <conditionalFormatting sqref="Q373:Q396">
    <cfRule type="notContainsText" dxfId="274" priority="128" operator="notContains" text="Caida">
      <formula>ISERROR(SEARCH("Caida",Q373))</formula>
    </cfRule>
    <cfRule type="containsText" dxfId="273" priority="129" operator="containsText" text="Caida">
      <formula>NOT(ISERROR(SEARCH("Caida",Q373)))</formula>
    </cfRule>
  </conditionalFormatting>
  <conditionalFormatting sqref="E373:E379">
    <cfRule type="containsText" dxfId="272" priority="126" operator="containsText" text="fija">
      <formula>NOT(ISERROR(SEARCH("fija",E373)))</formula>
    </cfRule>
    <cfRule type="containsText" dxfId="271" priority="127" operator="containsText" text="domo">
      <formula>NOT(ISERROR(SEARCH("domo",E373)))</formula>
    </cfRule>
  </conditionalFormatting>
  <conditionalFormatting sqref="K373:K396 AG373:AN396">
    <cfRule type="cellIs" dxfId="270" priority="125" operator="equal">
      <formula>"APAGADO"</formula>
    </cfRule>
  </conditionalFormatting>
  <conditionalFormatting sqref="F373:F379">
    <cfRule type="cellIs" dxfId="269" priority="124" operator="equal">
      <formula>"PTP A FO"</formula>
    </cfRule>
  </conditionalFormatting>
  <conditionalFormatting sqref="N373:P396">
    <cfRule type="cellIs" dxfId="268" priority="122" operator="lessThan">
      <formula>0.8</formula>
    </cfRule>
    <cfRule type="cellIs" dxfId="267" priority="123" operator="greaterThan">
      <formula>0.8</formula>
    </cfRule>
  </conditionalFormatting>
  <conditionalFormatting sqref="N373:P396">
    <cfRule type="notContainsText" dxfId="266" priority="120" operator="notContains" text="Caida">
      <formula>ISERROR(SEARCH("Caida",N373))</formula>
    </cfRule>
    <cfRule type="containsText" dxfId="265" priority="121" operator="containsText" text="Caida">
      <formula>NOT(ISERROR(SEARCH("Caida",N373)))</formula>
    </cfRule>
  </conditionalFormatting>
  <conditionalFormatting sqref="AB373:AB396">
    <cfRule type="cellIs" dxfId="264" priority="119" operator="equal">
      <formula>"apagado"</formula>
    </cfRule>
  </conditionalFormatting>
  <conditionalFormatting sqref="AA373:AA396">
    <cfRule type="cellIs" dxfId="263" priority="118" operator="equal">
      <formula>"apagado"</formula>
    </cfRule>
  </conditionalFormatting>
  <conditionalFormatting sqref="Z373:Z396">
    <cfRule type="cellIs" dxfId="262" priority="117" operator="equal">
      <formula>"apagado"</formula>
    </cfRule>
  </conditionalFormatting>
  <conditionalFormatting sqref="Y373:Y396">
    <cfRule type="cellIs" dxfId="261" priority="116" operator="equal">
      <formula>"apagado"</formula>
    </cfRule>
  </conditionalFormatting>
  <conditionalFormatting sqref="X373:X396">
    <cfRule type="cellIs" dxfId="260" priority="115" operator="equal">
      <formula>"apagado"</formula>
    </cfRule>
  </conditionalFormatting>
  <conditionalFormatting sqref="W373:W396">
    <cfRule type="cellIs" dxfId="259" priority="114" operator="equal">
      <formula>"apagado"</formula>
    </cfRule>
  </conditionalFormatting>
  <conditionalFormatting sqref="AC373:AC396">
    <cfRule type="cellIs" dxfId="258" priority="113" operator="equal">
      <formula>"apagado"</formula>
    </cfRule>
  </conditionalFormatting>
  <conditionalFormatting sqref="AD373:AD396">
    <cfRule type="cellIs" dxfId="257" priority="112" operator="equal">
      <formula>"apagado"</formula>
    </cfRule>
  </conditionalFormatting>
  <conditionalFormatting sqref="AF373:AF396">
    <cfRule type="cellIs" dxfId="256" priority="110" operator="equal">
      <formula>"apagado"</formula>
    </cfRule>
  </conditionalFormatting>
  <conditionalFormatting sqref="AM373:AM396">
    <cfRule type="notContainsText" dxfId="255" priority="108" operator="notContains" text="Caida">
      <formula>ISERROR(SEARCH("Caida",AM373))</formula>
    </cfRule>
    <cfRule type="containsText" dxfId="254" priority="109" operator="containsText" text="Caida">
      <formula>NOT(ISERROR(SEARCH("Caida",AM373)))</formula>
    </cfRule>
  </conditionalFormatting>
  <conditionalFormatting sqref="AM373:AM396">
    <cfRule type="cellIs" dxfId="253" priority="107" operator="equal">
      <formula>"apagado"</formula>
    </cfRule>
  </conditionalFormatting>
  <conditionalFormatting sqref="K373:T396 W373:AD396 AF373:AN396">
    <cfRule type="cellIs" dxfId="252" priority="106" operator="equal">
      <formula>"APAGADO"</formula>
    </cfRule>
  </conditionalFormatting>
  <conditionalFormatting sqref="U373:U396">
    <cfRule type="cellIs" dxfId="251" priority="104" operator="lessThan">
      <formula>0.8</formula>
    </cfRule>
    <cfRule type="cellIs" dxfId="250" priority="105" operator="greaterThan">
      <formula>0.8</formula>
    </cfRule>
  </conditionalFormatting>
  <conditionalFormatting sqref="U373:U396">
    <cfRule type="notContainsText" dxfId="249" priority="102" operator="notContains" text="Caida">
      <formula>ISERROR(SEARCH("Caida",U373))</formula>
    </cfRule>
    <cfRule type="containsText" dxfId="248" priority="103" operator="containsText" text="Caida">
      <formula>NOT(ISERROR(SEARCH("Caida",U373)))</formula>
    </cfRule>
  </conditionalFormatting>
  <conditionalFormatting sqref="U373:U396">
    <cfRule type="cellIs" dxfId="247" priority="101" operator="equal">
      <formula>"APAGADO"</formula>
    </cfRule>
  </conditionalFormatting>
  <conditionalFormatting sqref="U373:U396">
    <cfRule type="cellIs" dxfId="246" priority="100" operator="equal">
      <formula>"apagado"</formula>
    </cfRule>
  </conditionalFormatting>
  <conditionalFormatting sqref="V373:V396">
    <cfRule type="cellIs" dxfId="245" priority="98" operator="lessThan">
      <formula>0.8</formula>
    </cfRule>
    <cfRule type="cellIs" dxfId="244" priority="99" operator="greaterThan">
      <formula>0.8</formula>
    </cfRule>
  </conditionalFormatting>
  <conditionalFormatting sqref="V373:V396">
    <cfRule type="notContainsText" dxfId="243" priority="96" operator="notContains" text="Caida">
      <formula>ISERROR(SEARCH("Caida",V373))</formula>
    </cfRule>
    <cfRule type="containsText" dxfId="242" priority="97" operator="containsText" text="Caida">
      <formula>NOT(ISERROR(SEARCH("Caida",V373)))</formula>
    </cfRule>
  </conditionalFormatting>
  <conditionalFormatting sqref="V373:V396">
    <cfRule type="cellIs" dxfId="241" priority="95" operator="equal">
      <formula>"APAGADO"</formula>
    </cfRule>
  </conditionalFormatting>
  <conditionalFormatting sqref="V373:V396">
    <cfRule type="cellIs" dxfId="240" priority="94" operator="equal">
      <formula>"apagado"</formula>
    </cfRule>
  </conditionalFormatting>
  <conditionalFormatting sqref="AO95:AO369">
    <cfRule type="cellIs" dxfId="239" priority="92" operator="lessThan">
      <formula>0.8</formula>
    </cfRule>
    <cfRule type="cellIs" dxfId="238" priority="93" operator="greaterThan">
      <formula>0.8</formula>
    </cfRule>
  </conditionalFormatting>
  <conditionalFormatting sqref="AO95:AO372">
    <cfRule type="notContainsText" dxfId="237" priority="90" operator="notContains" text="Caida">
      <formula>ISERROR(SEARCH("Caida",AO95))</formula>
    </cfRule>
    <cfRule type="containsText" dxfId="236" priority="91" operator="containsText" text="Caida">
      <formula>NOT(ISERROR(SEARCH("Caida",AO95)))</formula>
    </cfRule>
  </conditionalFormatting>
  <conditionalFormatting sqref="AO22">
    <cfRule type="containsText" dxfId="235" priority="89" operator="containsText" text="Instaladas en Funcionamiento Caida">
      <formula>NOT(ISERROR(SEARCH("Instaladas en Funcionamiento Caida",AO22)))</formula>
    </cfRule>
  </conditionalFormatting>
  <conditionalFormatting sqref="AO5">
    <cfRule type="cellIs" dxfId="234" priority="87" operator="lessThan">
      <formula>0.8</formula>
    </cfRule>
    <cfRule type="cellIs" dxfId="233" priority="88" operator="greaterThan">
      <formula>0.8</formula>
    </cfRule>
  </conditionalFormatting>
  <conditionalFormatting sqref="AO5">
    <cfRule type="notContainsText" dxfId="232" priority="85" operator="notContains" text="Caida">
      <formula>ISERROR(SEARCH("Caida",AO5))</formula>
    </cfRule>
    <cfRule type="containsText" dxfId="231" priority="86" operator="containsText" text="Caida">
      <formula>NOT(ISERROR(SEARCH("Caida",AO5)))</formula>
    </cfRule>
  </conditionalFormatting>
  <conditionalFormatting sqref="AO1 AO5:AO372">
    <cfRule type="cellIs" dxfId="230" priority="84" operator="equal">
      <formula>"APAGADO"</formula>
    </cfRule>
  </conditionalFormatting>
  <conditionalFormatting sqref="AO6:AO92">
    <cfRule type="cellIs" dxfId="229" priority="82" operator="lessThan">
      <formula>0.8</formula>
    </cfRule>
    <cfRule type="cellIs" dxfId="228" priority="83" operator="greaterThan">
      <formula>0.8</formula>
    </cfRule>
  </conditionalFormatting>
  <conditionalFormatting sqref="AO6:AO92">
    <cfRule type="notContainsText" dxfId="227" priority="80" operator="notContains" text="Caida">
      <formula>ISERROR(SEARCH("Caida",AO6))</formula>
    </cfRule>
    <cfRule type="containsText" dxfId="226" priority="81" operator="containsText" text="Caida">
      <formula>NOT(ISERROR(SEARCH("Caida",AO6)))</formula>
    </cfRule>
  </conditionalFormatting>
  <conditionalFormatting sqref="AO93:AO94">
    <cfRule type="cellIs" dxfId="225" priority="78" operator="lessThan">
      <formula>0.8</formula>
    </cfRule>
    <cfRule type="cellIs" dxfId="224" priority="79" operator="greaterThan">
      <formula>0.8</formula>
    </cfRule>
  </conditionalFormatting>
  <conditionalFormatting sqref="AO93:AO94">
    <cfRule type="notContainsText" dxfId="223" priority="76" operator="notContains" text="Caida">
      <formula>ISERROR(SEARCH("Caida",AO93))</formula>
    </cfRule>
    <cfRule type="containsText" dxfId="222" priority="77" operator="containsText" text="Caida">
      <formula>NOT(ISERROR(SEARCH("Caida",AO93)))</formula>
    </cfRule>
  </conditionalFormatting>
  <conditionalFormatting sqref="AO5:AO372">
    <cfRule type="cellIs" dxfId="221" priority="75" operator="equal">
      <formula>"APAGADO"</formula>
    </cfRule>
  </conditionalFormatting>
  <conditionalFormatting sqref="AO373:AO396">
    <cfRule type="notContainsText" dxfId="220" priority="73" operator="notContains" text="Caida">
      <formula>ISERROR(SEARCH("Caida",AO373))</formula>
    </cfRule>
    <cfRule type="containsText" dxfId="219" priority="74" operator="containsText" text="Caida">
      <formula>NOT(ISERROR(SEARCH("Caida",AO373)))</formula>
    </cfRule>
  </conditionalFormatting>
  <conditionalFormatting sqref="AO373:AO396">
    <cfRule type="cellIs" dxfId="218" priority="72" operator="equal">
      <formula>"APAGADO"</formula>
    </cfRule>
  </conditionalFormatting>
  <conditionalFormatting sqref="AO373:AO396">
    <cfRule type="cellIs" dxfId="217" priority="71" operator="equal">
      <formula>"APAGADO"</formula>
    </cfRule>
  </conditionalFormatting>
  <conditionalFormatting sqref="F1:F1048576">
    <cfRule type="cellIs" dxfId="216" priority="69" operator="equal">
      <formula>$F$7</formula>
    </cfRule>
    <cfRule type="cellIs" dxfId="215" priority="70" operator="equal">
      <formula>"PTP A FO"</formula>
    </cfRule>
  </conditionalFormatting>
  <conditionalFormatting sqref="E1:E1048576">
    <cfRule type="cellIs" dxfId="214" priority="68" operator="equal">
      <formula>$E$5</formula>
    </cfRule>
  </conditionalFormatting>
  <conditionalFormatting sqref="C1:C1048576">
    <cfRule type="cellIs" dxfId="213" priority="66" operator="equal">
      <formula>$C$194</formula>
    </cfRule>
    <cfRule type="cellIs" dxfId="212" priority="67" operator="equal">
      <formula>$C$182</formula>
    </cfRule>
  </conditionalFormatting>
  <conditionalFormatting sqref="AE96:AE372">
    <cfRule type="cellIs" dxfId="211" priority="64" operator="lessThan">
      <formula>0.8</formula>
    </cfRule>
    <cfRule type="cellIs" dxfId="210" priority="65" operator="greaterThan">
      <formula>0.8</formula>
    </cfRule>
  </conditionalFormatting>
  <conditionalFormatting sqref="AE96:AE372">
    <cfRule type="notContainsText" dxfId="209" priority="62" operator="notContains" text="Caida">
      <formula>ISERROR(SEARCH("Caida",AE96))</formula>
    </cfRule>
    <cfRule type="containsText" dxfId="208" priority="63" operator="containsText" text="Caida">
      <formula>NOT(ISERROR(SEARCH("Caida",AE96)))</formula>
    </cfRule>
  </conditionalFormatting>
  <conditionalFormatting sqref="AE22">
    <cfRule type="containsText" dxfId="207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E5">
    <cfRule type="notContainsText" dxfId="204" priority="57" operator="notContains" text="Caida">
      <formula>ISERROR(SEARCH("Caida",AE5))</formula>
    </cfRule>
    <cfRule type="containsText" dxfId="203" priority="58" operator="containsText" text="Caida">
      <formula>NOT(ISERROR(SEARCH("Caida",AE5)))</formula>
    </cfRule>
  </conditionalFormatting>
  <conditionalFormatting sqref="AE5:AE369">
    <cfRule type="cellIs" dxfId="202" priority="56" operator="equal">
      <formula>"APAGADO"</formula>
    </cfRule>
  </conditionalFormatting>
  <conditionalFormatting sqref="AE6:AE92">
    <cfRule type="cellIs" dxfId="201" priority="54" operator="lessThan">
      <formula>0.8</formula>
    </cfRule>
    <cfRule type="cellIs" dxfId="200" priority="55" operator="greaterThan">
      <formula>0.8</formula>
    </cfRule>
  </conditionalFormatting>
  <conditionalFormatting sqref="AE6:AE92">
    <cfRule type="notContainsText" dxfId="199" priority="52" operator="notContains" text="Caida">
      <formula>ISERROR(SEARCH("Caida",AE6))</formula>
    </cfRule>
    <cfRule type="containsText" dxfId="198" priority="53" operator="containsText" text="Caida">
      <formula>NOT(ISERROR(SEARCH("Caida",AE6)))</formula>
    </cfRule>
  </conditionalFormatting>
  <conditionalFormatting sqref="AE93:AE95">
    <cfRule type="cellIs" dxfId="197" priority="50" operator="lessThan">
      <formula>0.8</formula>
    </cfRule>
    <cfRule type="cellIs" dxfId="196" priority="51" operator="greaterThan">
      <formula>0.8</formula>
    </cfRule>
  </conditionalFormatting>
  <conditionalFormatting sqref="AE93:AE95">
    <cfRule type="notContainsText" dxfId="195" priority="48" operator="notContains" text="Caida">
      <formula>ISERROR(SEARCH("Caida",AE93))</formula>
    </cfRule>
    <cfRule type="containsText" dxfId="194" priority="49" operator="containsText" text="Caida">
      <formula>NOT(ISERROR(SEARCH("Caida",AE93)))</formula>
    </cfRule>
  </conditionalFormatting>
  <conditionalFormatting sqref="AE5:AE372">
    <cfRule type="cellIs" dxfId="193" priority="47" operator="equal">
      <formula>"apagado"</formula>
    </cfRule>
  </conditionalFormatting>
  <conditionalFormatting sqref="AE5:AE372">
    <cfRule type="cellIs" dxfId="192" priority="46" operator="equal">
      <formula>"APAGADO"</formula>
    </cfRule>
  </conditionalFormatting>
  <conditionalFormatting sqref="AE373:AE396">
    <cfRule type="cellIs" dxfId="191" priority="44" operator="lessThan">
      <formula>0.8</formula>
    </cfRule>
    <cfRule type="cellIs" dxfId="190" priority="45" operator="greaterThan">
      <formula>0.8</formula>
    </cfRule>
  </conditionalFormatting>
  <conditionalFormatting sqref="AE373:AE396">
    <cfRule type="notContainsText" dxfId="189" priority="42" operator="notContains" text="Caida">
      <formula>ISERROR(SEARCH("Caida",AE373))</formula>
    </cfRule>
    <cfRule type="containsText" dxfId="188" priority="43" operator="containsText" text="Caida">
      <formula>NOT(ISERROR(SEARCH("Caida",AE373)))</formula>
    </cfRule>
  </conditionalFormatting>
  <conditionalFormatting sqref="AE373:AE396">
    <cfRule type="cellIs" dxfId="187" priority="41" operator="equal">
      <formula>"apagado"</formula>
    </cfRule>
  </conditionalFormatting>
  <conditionalFormatting sqref="AE373:AE396">
    <cfRule type="cellIs" dxfId="186" priority="40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48">
    <cfRule type="cellIs" dxfId="159" priority="13" operator="equal">
      <formula>"apagado"</formula>
    </cfRule>
  </conditionalFormatting>
  <conditionalFormatting sqref="AB356">
    <cfRule type="cellIs" dxfId="158" priority="12" operator="equal">
      <formula>"apagado"</formula>
    </cfRule>
  </conditionalFormatting>
  <conditionalFormatting sqref="AB357">
    <cfRule type="cellIs" dxfId="157" priority="11" operator="equal">
      <formula>"apagado"</formula>
    </cfRule>
  </conditionalFormatting>
  <conditionalFormatting sqref="AB361">
    <cfRule type="cellIs" dxfId="156" priority="10" operator="equal">
      <formula>"apagado"</formula>
    </cfRule>
  </conditionalFormatting>
  <conditionalFormatting sqref="AB362">
    <cfRule type="cellIs" dxfId="155" priority="9" operator="equal">
      <formula>"apagado"</formula>
    </cfRule>
  </conditionalFormatting>
  <conditionalFormatting sqref="AB369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workbookViewId="0">
      <selection activeCell="C409" sqref="C40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>
        <f>'RESUMEN TOTAL'!W7</f>
        <v>0</v>
      </c>
      <c r="S4">
        <f>'RESUMEN TOTAL'!X7</f>
        <v>0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 t="str">
        <f>'RESUMEN TOTAL'!AI7</f>
        <v>APAGADO</v>
      </c>
      <c r="AE4" t="str">
        <f>'RESUMEN TOTAL'!AJ7</f>
        <v>APAGADO</v>
      </c>
      <c r="AF4" t="str">
        <f>'RESUMEN TOTAL'!AK7</f>
        <v>APAGADO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 t="str">
        <f>'RESUMEN TOTAL'!AD10</f>
        <v>APAGADO</v>
      </c>
      <c r="Z7" t="str">
        <f>'RESUMEN TOTAL'!AE10</f>
        <v>APAGADO</v>
      </c>
      <c r="AA7" t="str">
        <f>'RESUMEN TOTAL'!AF10</f>
        <v>APAGADO</v>
      </c>
      <c r="AB7" t="str">
        <f>'RESUMEN TOTAL'!AG10</f>
        <v>APAGADO</v>
      </c>
      <c r="AC7" t="str">
        <f>'RESUMEN TOTAL'!AH10</f>
        <v>APAGADO</v>
      </c>
      <c r="AD7" t="str">
        <f>'RESUMEN TOTAL'!AI10</f>
        <v>APAGADO</v>
      </c>
      <c r="AE7" t="str">
        <f>'RESUMEN TOTAL'!AJ10</f>
        <v>APAGADO</v>
      </c>
      <c r="AF7" t="str">
        <f>'RESUMEN TOTAL'!AK10</f>
        <v>APAGADO</v>
      </c>
      <c r="AG7" t="str">
        <f>'RESUMEN TOTAL'!AL10</f>
        <v>APAGADO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 t="str">
        <f>'RESUMEN TOTAL'!AD13</f>
        <v>APAGADO</v>
      </c>
      <c r="Z10" t="str">
        <f>'RESUMEN TOTAL'!AE13</f>
        <v>APAGADO</v>
      </c>
      <c r="AA10" t="str">
        <f>'RESUMEN TOTAL'!AF13</f>
        <v>APAGADO</v>
      </c>
      <c r="AB10" t="str">
        <f>'RESUMEN TOTAL'!AG13</f>
        <v>APAGADO</v>
      </c>
      <c r="AC10" t="str">
        <f>'RESUMEN TOTAL'!AH13</f>
        <v>APAGADO</v>
      </c>
      <c r="AD10" t="str">
        <f>'RESUMEN TOTAL'!AI13</f>
        <v>APAGADO</v>
      </c>
      <c r="AE10" t="str">
        <f>'RESUMEN TOTAL'!AJ13</f>
        <v>APAGADO</v>
      </c>
      <c r="AF10" t="str">
        <f>'RESUMEN TOTAL'!AK13</f>
        <v>APAGADO</v>
      </c>
      <c r="AG10" t="str">
        <f>'RESUMEN TOTAL'!AL13</f>
        <v>APAGADO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 t="str">
        <f>'RESUMEN TOTAL'!AJ16</f>
        <v>APAGADO</v>
      </c>
      <c r="AF13" t="str">
        <f>'RESUMEN TOTAL'!AK16</f>
        <v>APAGADO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 t="str">
        <f>'RESUMEN TOTAL'!V31</f>
        <v>APAGADO</v>
      </c>
      <c r="R28">
        <f>'RESUMEN TOTAL'!W31</f>
        <v>0</v>
      </c>
      <c r="S28">
        <f>'RESUMEN TOTAL'!X31</f>
        <v>0</v>
      </c>
      <c r="T28">
        <f>'RESUMEN TOTAL'!Y31</f>
        <v>0</v>
      </c>
      <c r="U28" t="str">
        <f>'RESUMEN TOTAL'!Z31</f>
        <v>APAGADO</v>
      </c>
      <c r="V28">
        <f>'RESUMEN TOTAL'!AA31</f>
        <v>0</v>
      </c>
      <c r="W28" t="str">
        <f>'RESUMEN TOTAL'!AB31</f>
        <v>APAGADO</v>
      </c>
      <c r="X28" t="str">
        <f>'RESUMEN TOTAL'!AC31</f>
        <v>APAGADO</v>
      </c>
      <c r="Y28" t="str">
        <f>'RESUMEN TOTAL'!AD31</f>
        <v>APAGADO</v>
      </c>
      <c r="Z28" t="str">
        <f>'RESUMEN TOTAL'!AE31</f>
        <v>APAGADO</v>
      </c>
      <c r="AA28">
        <f>'RESUMEN TOTAL'!AF31</f>
        <v>0</v>
      </c>
      <c r="AB28" t="str">
        <f>'RESUMEN TOTAL'!AG31</f>
        <v>APAGADO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 t="str">
        <f>'RESUMEN TOTAL'!X34</f>
        <v>APAGADO</v>
      </c>
      <c r="T31" t="str">
        <f>'RESUMEN TOTAL'!Y34</f>
        <v>APAGADO</v>
      </c>
      <c r="U31" t="str">
        <f>'RESUMEN TOTAL'!Z34</f>
        <v>APAGADO</v>
      </c>
      <c r="V31" t="str">
        <f>'RESUMEN TOTAL'!AA34</f>
        <v>APAGADO</v>
      </c>
      <c r="W31" t="str">
        <f>'RESUMEN TOTAL'!AB34</f>
        <v>APAGADO</v>
      </c>
      <c r="X31" t="str">
        <f>'RESUMEN TOTAL'!AC34</f>
        <v>APAGADO</v>
      </c>
      <c r="Y31" t="str">
        <f>'RESUMEN TOTAL'!AD34</f>
        <v>APAGADO</v>
      </c>
      <c r="Z31" t="str">
        <f>'RESUMEN TOTAL'!AE34</f>
        <v>APAGADO</v>
      </c>
      <c r="AA31" t="str">
        <f>'RESUMEN TOTAL'!AF34</f>
        <v>APAGADO</v>
      </c>
      <c r="AB31" t="str">
        <f>'RESUMEN TOTAL'!AG34</f>
        <v>APAGADO</v>
      </c>
      <c r="AC31" t="str">
        <f>'RESUMEN TOTAL'!AH34</f>
        <v>APAGADO</v>
      </c>
      <c r="AD31" t="str">
        <f>'RESUMEN TOTAL'!AI34</f>
        <v>APAGADO</v>
      </c>
      <c r="AE31" t="str">
        <f>'RESUMEN TOTAL'!AJ34</f>
        <v>APAGADO</v>
      </c>
      <c r="AF31" t="str">
        <f>'RESUMEN TOTAL'!AK34</f>
        <v>APAGADO</v>
      </c>
      <c r="AG31" t="str">
        <f>'RESUMEN TOTAL'!AL34</f>
        <v>APAGADO</v>
      </c>
      <c r="AH31">
        <f>'RESUMEN TOTAL'!AM34</f>
        <v>0</v>
      </c>
      <c r="AI31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 t="str">
        <f>'RESUMEN TOTAL'!V67</f>
        <v>APAGADO</v>
      </c>
      <c r="R64" t="str">
        <f>'RESUMEN TOTAL'!W67</f>
        <v>APAGADO</v>
      </c>
      <c r="S64" t="str">
        <f>'RESUMEN TOTAL'!X67</f>
        <v>APAGADO</v>
      </c>
      <c r="T64" t="str">
        <f>'RESUMEN TOTAL'!Y67</f>
        <v>APAGADO</v>
      </c>
      <c r="U64" t="str">
        <f>'RESUMEN TOTAL'!Z67</f>
        <v>APAGADO</v>
      </c>
      <c r="V64" t="str">
        <f>'RESUMEN TOTAL'!AA67</f>
        <v>APAGADO</v>
      </c>
      <c r="W64" t="str">
        <f>'RESUMEN TOTAL'!AB67</f>
        <v>APAGADO</v>
      </c>
      <c r="X64" t="str">
        <f>'RESUMEN TOTAL'!AC67</f>
        <v>APAGADO</v>
      </c>
      <c r="Y64" t="str">
        <f>'RESUMEN TOTAL'!AD67</f>
        <v>APAGADO</v>
      </c>
      <c r="Z64" t="str">
        <f>'RESUMEN TOTAL'!AE67</f>
        <v>APAGADO</v>
      </c>
      <c r="AA64" t="str">
        <f>'RESUMEN TOTAL'!AF67</f>
        <v>APAGADO</v>
      </c>
      <c r="AB64" t="str">
        <f>'RESUMEN TOTAL'!AG67</f>
        <v>APAGADO</v>
      </c>
      <c r="AC64" t="str">
        <f>'RESUMEN TOTAL'!AH67</f>
        <v>APAGADO</v>
      </c>
      <c r="AD64" t="str">
        <f>'RESUMEN TOTAL'!AI67</f>
        <v>APAGADO</v>
      </c>
      <c r="AE64" t="str">
        <f>'RESUMEN TOTAL'!AJ67</f>
        <v>APAGADO</v>
      </c>
      <c r="AF64" t="str">
        <f>'RESUMEN TOTAL'!AK67</f>
        <v>APAGADO</v>
      </c>
      <c r="AG64" t="str">
        <f>'RESUMEN TOTAL'!AL67</f>
        <v>APAGADO</v>
      </c>
      <c r="AH64">
        <f>'RESUMEN TOTAL'!AM67</f>
        <v>0</v>
      </c>
      <c r="AI64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 t="str">
        <f>'RESUMEN TOTAL'!AB76</f>
        <v>APAGADO</v>
      </c>
      <c r="X73" t="str">
        <f>'RESUMEN TOTAL'!AC76</f>
        <v>APAGADO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 t="str">
        <f>'RESUMEN TOTAL'!AL76</f>
        <v>APAGADO</v>
      </c>
      <c r="AH73">
        <f>'RESUMEN TOTAL'!AM76</f>
        <v>0</v>
      </c>
      <c r="AI73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 t="str">
        <f>'RESUMEN TOTAL'!AB79</f>
        <v>APAGADO</v>
      </c>
      <c r="X76" t="str">
        <f>'RESUMEN TOTAL'!AC79</f>
        <v>APAGADO</v>
      </c>
      <c r="Y76" t="str">
        <f>'RESUMEN TOTAL'!AD79</f>
        <v>APAGADO</v>
      </c>
      <c r="Z76" t="str">
        <f>'RESUMEN TOTAL'!AE79</f>
        <v>APAGADO</v>
      </c>
      <c r="AA76" t="str">
        <f>'RESUMEN TOTAL'!AF79</f>
        <v>APAGADO</v>
      </c>
      <c r="AB76" t="str">
        <f>'RESUMEN TOTAL'!AG79</f>
        <v>APAGADO</v>
      </c>
      <c r="AC76" t="str">
        <f>'RESUMEN TOTAL'!AH79</f>
        <v>APAGADO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 t="str">
        <f>'RESUMEN TOTAL'!AL79</f>
        <v>APAGADO</v>
      </c>
      <c r="AH76">
        <f>'RESUMEN TOTAL'!AM79</f>
        <v>0</v>
      </c>
      <c r="AI76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 t="str">
        <f>'RESUMEN TOTAL'!V87</f>
        <v>APAGADO</v>
      </c>
      <c r="R84">
        <f>'RESUMEN TOTAL'!W87</f>
        <v>0</v>
      </c>
      <c r="S84">
        <f>'RESUMEN TOTAL'!X87</f>
        <v>0</v>
      </c>
      <c r="T84">
        <f>'RESUMEN TOTAL'!Y87</f>
        <v>0</v>
      </c>
      <c r="U84" t="str">
        <f>'RESUMEN TOTAL'!Z87</f>
        <v>APAGADO</v>
      </c>
      <c r="V84">
        <f>'RESUMEN TOTAL'!AA87</f>
        <v>0</v>
      </c>
      <c r="W84" t="str">
        <f>'RESUMEN TOTAL'!AB87</f>
        <v>APAGADO</v>
      </c>
      <c r="X84" t="str">
        <f>'RESUMEN TOTAL'!AC87</f>
        <v>APAGADO</v>
      </c>
      <c r="Y84" t="str">
        <f>'RESUMEN TOTAL'!AD87</f>
        <v>APAGADO</v>
      </c>
      <c r="Z84" t="str">
        <f>'RESUMEN TOTAL'!AE87</f>
        <v>APAGADO</v>
      </c>
      <c r="AA84">
        <f>'RESUMEN TOTAL'!AF87</f>
        <v>0</v>
      </c>
      <c r="AB84" t="str">
        <f>'RESUMEN TOTAL'!AG87</f>
        <v>APAGADO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 t="str">
        <f>'RESUMEN TOTAL'!V96</f>
        <v>APAGADO</v>
      </c>
      <c r="R93" t="str">
        <f>'RESUMEN TOTAL'!W96</f>
        <v>APAGADO</v>
      </c>
      <c r="S93" t="str">
        <f>'RESUMEN TOTAL'!X96</f>
        <v>APAGADO</v>
      </c>
      <c r="T93" t="str">
        <f>'RESUMEN TOTAL'!Y96</f>
        <v>APAGADO</v>
      </c>
      <c r="U93" t="str">
        <f>'RESUMEN TOTAL'!Z96</f>
        <v>APAGADO</v>
      </c>
      <c r="V93" t="str">
        <f>'RESUMEN TOTAL'!AA96</f>
        <v>APAGADO</v>
      </c>
      <c r="W93" t="str">
        <f>'RESUMEN TOTAL'!AB96</f>
        <v>APAGADO</v>
      </c>
      <c r="X93" t="str">
        <f>'RESUMEN TOTAL'!AC96</f>
        <v>APAGADO</v>
      </c>
      <c r="Y93" t="str">
        <f>'RESUMEN TOTAL'!AD96</f>
        <v>APAGADO</v>
      </c>
      <c r="Z93" t="str">
        <f>'RESUMEN TOTAL'!AE96</f>
        <v>APAGADO</v>
      </c>
      <c r="AA93" t="str">
        <f>'RESUMEN TOTAL'!AF96</f>
        <v>APAGADO</v>
      </c>
      <c r="AB93" t="str">
        <f>'RESUMEN TOTAL'!AG96</f>
        <v>APAGADO</v>
      </c>
      <c r="AC93" t="str">
        <f>'RESUMEN TOTAL'!AH96</f>
        <v>APAGADO</v>
      </c>
      <c r="AD93" t="str">
        <f>'RESUMEN TOTAL'!AI96</f>
        <v>APAGADO</v>
      </c>
      <c r="AE93" t="str">
        <f>'RESUMEN TOTAL'!AJ96</f>
        <v>APAGADO</v>
      </c>
      <c r="AF93" t="str">
        <f>'RESUMEN TOTAL'!AK96</f>
        <v>APAGADO</v>
      </c>
      <c r="AG93" t="str">
        <f>'RESUMEN TOTAL'!AL96</f>
        <v>APAGADO</v>
      </c>
      <c r="AH93">
        <f>'RESUMEN TOTAL'!AM96</f>
        <v>0</v>
      </c>
      <c r="AI93">
        <f>'RESUMEN TOTAL'!AN96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 t="str">
        <f>'RESUMEN TOTAL'!AL97</f>
        <v>APAGADO</v>
      </c>
      <c r="AH94">
        <f>'RESUMEN TOTAL'!AM97</f>
        <v>0</v>
      </c>
      <c r="AI94">
        <f>'RESUMEN TOTAL'!AN97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 t="str">
        <f>'RESUMEN TOTAL'!AJ107</f>
        <v>APAGADO</v>
      </c>
      <c r="AF104" t="str">
        <f>'RESUMEN TOTAL'!AK107</f>
        <v>APAGADO</v>
      </c>
      <c r="AG104" t="str">
        <f>'RESUMEN TOTAL'!AL107</f>
        <v>APAGADO</v>
      </c>
      <c r="AH104">
        <f>'RESUMEN TOTAL'!AM107</f>
        <v>0</v>
      </c>
      <c r="AI104">
        <f>'RESUMEN TOTAL'!AN107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 t="str">
        <f>'RESUMEN TOTAL'!Y113</f>
        <v>APAGADO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 t="str">
        <f>'RESUMEN TOTAL'!AI113</f>
        <v>APAGADO</v>
      </c>
      <c r="AE110" t="str">
        <f>'RESUMEN TOTAL'!AJ113</f>
        <v>APAGADO</v>
      </c>
      <c r="AF110" t="str">
        <f>'RESUMEN TOTAL'!AK113</f>
        <v>APAGADO</v>
      </c>
      <c r="AG110" t="str">
        <f>'RESUMEN TOTAL'!AL113</f>
        <v>APAGADO</v>
      </c>
      <c r="AH110">
        <f>'RESUMEN TOTAL'!AM113</f>
        <v>0</v>
      </c>
      <c r="AI110">
        <f>'RESUMEN TOTAL'!AN113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 t="str">
        <f>'RESUMEN TOTAL'!X134</f>
        <v>APAGADO</v>
      </c>
      <c r="T131" t="str">
        <f>'RESUMEN TOTAL'!Y134</f>
        <v>APAGADO</v>
      </c>
      <c r="U131" t="str">
        <f>'RESUMEN TOTAL'!Z134</f>
        <v>APAGADO</v>
      </c>
      <c r="V131" t="str">
        <f>'RESUMEN TOTAL'!AA134</f>
        <v>APAGADO</v>
      </c>
      <c r="W131" t="str">
        <f>'RESUMEN TOTAL'!AB134</f>
        <v>APAGADO</v>
      </c>
      <c r="X131" t="str">
        <f>'RESUMEN TOTAL'!AC134</f>
        <v>APAGADO</v>
      </c>
      <c r="Y131" t="str">
        <f>'RESUMEN TOTAL'!AD134</f>
        <v>APAGADO</v>
      </c>
      <c r="Z131" t="str">
        <f>'RESUMEN TOTAL'!AE134</f>
        <v>APAGADO</v>
      </c>
      <c r="AA131" t="str">
        <f>'RESUMEN TOTAL'!AF134</f>
        <v>APAGADO</v>
      </c>
      <c r="AB131" t="str">
        <f>'RESUMEN TOTAL'!AG134</f>
        <v>APAGADO</v>
      </c>
      <c r="AC131" t="str">
        <f>'RESUMEN TOTAL'!AH134</f>
        <v>APAGADO</v>
      </c>
      <c r="AD131" t="str">
        <f>'RESUMEN TOTAL'!AI134</f>
        <v>APAGADO</v>
      </c>
      <c r="AE131" t="str">
        <f>'RESUMEN TOTAL'!AJ134</f>
        <v>APAGADO</v>
      </c>
      <c r="AF131" t="str">
        <f>'RESUMEN TOTAL'!AK134</f>
        <v>APAGADO</v>
      </c>
      <c r="AG131" t="str">
        <f>'RESUMEN TOTAL'!AL134</f>
        <v>APAGADO</v>
      </c>
      <c r="AH131">
        <f>'RESUMEN TOTAL'!AM134</f>
        <v>0</v>
      </c>
      <c r="AI131">
        <f>'RESUMEN TOTAL'!AN134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 t="str">
        <f>'RESUMEN TOTAL'!X135</f>
        <v>APAGADO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 t="str">
        <f>'RESUMEN TOTAL'!Y137</f>
        <v>APAGADO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 t="str">
        <f>'RESUMEN TOTAL'!AK137</f>
        <v>APAGADO</v>
      </c>
      <c r="AG134" t="str">
        <f>'RESUMEN TOTAL'!AL137</f>
        <v>APAGADO</v>
      </c>
      <c r="AH134">
        <f>'RESUMEN TOTAL'!AM137</f>
        <v>0</v>
      </c>
      <c r="AI134">
        <f>'RESUMEN TOTAL'!AN137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Maipu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Americas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 t="str">
        <f>'RESUMEN TOTAL'!X156</f>
        <v>APAGADO</v>
      </c>
      <c r="T153" t="str">
        <f>'RESUMEN TOTAL'!Y156</f>
        <v>APAGADO</v>
      </c>
      <c r="U153" t="str">
        <f>'RESUMEN TOTAL'!Z156</f>
        <v>APAGADO</v>
      </c>
      <c r="V153" t="str">
        <f>'RESUMEN TOTAL'!AA156</f>
        <v>APAGADO</v>
      </c>
      <c r="W153" t="str">
        <f>'RESUMEN TOTAL'!AB156</f>
        <v>APAGADO</v>
      </c>
      <c r="X153" t="str">
        <f>'RESUMEN TOTAL'!AC156</f>
        <v>APAGADO</v>
      </c>
      <c r="Y153" t="str">
        <f>'RESUMEN TOTAL'!AD156</f>
        <v>APAGADO</v>
      </c>
      <c r="Z153" t="str">
        <f>'RESUMEN TOTAL'!AE156</f>
        <v>APAGADO</v>
      </c>
      <c r="AA153" t="str">
        <f>'RESUMEN TOTAL'!AF156</f>
        <v>APAGADO</v>
      </c>
      <c r="AB153" t="str">
        <f>'RESUMEN TOTAL'!AG156</f>
        <v>APAGADO</v>
      </c>
      <c r="AC153" t="str">
        <f>'RESUMEN TOTAL'!AH156</f>
        <v>APAGADO</v>
      </c>
      <c r="AD153" t="str">
        <f>'RESUMEN TOTAL'!AI156</f>
        <v>APAGADO</v>
      </c>
      <c r="AE153" t="str">
        <f>'RESUMEN TOTAL'!AJ156</f>
        <v>APAGADO</v>
      </c>
      <c r="AF153" t="str">
        <f>'RESUMEN TOTAL'!AK156</f>
        <v>APAGADO</v>
      </c>
      <c r="AG153" t="str">
        <f>'RESUMEN TOTAL'!AL156</f>
        <v>APAGADO</v>
      </c>
      <c r="AH153">
        <f>'RESUMEN TOTAL'!AM156</f>
        <v>0</v>
      </c>
      <c r="AI153">
        <f>'RESUMEN TOTAL'!AN156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 t="str">
        <f>'RESUMEN TOTAL'!V157</f>
        <v>APAGADO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 t="str">
        <f>'RESUMEN TOTAL'!AF157</f>
        <v>APAGADO</v>
      </c>
      <c r="AB154" t="str">
        <f>'RESUMEN TOTAL'!AG157</f>
        <v>APAGADO</v>
      </c>
      <c r="AC154" t="str">
        <f>'RESUMEN TOTAL'!AH157</f>
        <v>APAGADO</v>
      </c>
      <c r="AD154" t="str">
        <f>'RESUMEN TOTAL'!AI157</f>
        <v>APAGADO</v>
      </c>
      <c r="AE154" t="str">
        <f>'RESUMEN TOTAL'!AJ157</f>
        <v>APAGADO</v>
      </c>
      <c r="AF154" t="str">
        <f>'RESUMEN TOTAL'!AK157</f>
        <v>APAGADO</v>
      </c>
      <c r="AG154" t="str">
        <f>'RESUMEN TOTAL'!AL157</f>
        <v>APAGADO</v>
      </c>
      <c r="AH154">
        <f>'RESUMEN TOTAL'!AM157</f>
        <v>0</v>
      </c>
      <c r="AI154">
        <f>'RESUMEN TOTAL'!AN157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 t="str">
        <f>'RESUMEN TOTAL'!V158</f>
        <v>APAGADO</v>
      </c>
      <c r="R155" t="str">
        <f>'RESUMEN TOTAL'!W158</f>
        <v>APAGADO</v>
      </c>
      <c r="S155" t="str">
        <f>'RESUMEN TOTAL'!X158</f>
        <v>APAGADO</v>
      </c>
      <c r="T155" t="str">
        <f>'RESUMEN TOTAL'!Y158</f>
        <v>APAGADO</v>
      </c>
      <c r="U155" t="str">
        <f>'RESUMEN TOTAL'!Z158</f>
        <v>APAGADO</v>
      </c>
      <c r="V155">
        <f>'RESUMEN TOTAL'!AA158</f>
        <v>0</v>
      </c>
      <c r="W155" t="str">
        <f>'RESUMEN TOTAL'!AB158</f>
        <v>APAGADO</v>
      </c>
      <c r="X155" t="str">
        <f>'RESUMEN TOTAL'!AC158</f>
        <v>APAGADO</v>
      </c>
      <c r="Y155" t="str">
        <f>'RESUMEN TOTAL'!AD158</f>
        <v>APAGADO</v>
      </c>
      <c r="Z155" t="str">
        <f>'RESUMEN TOTAL'!AE158</f>
        <v>APAGADO</v>
      </c>
      <c r="AA155" t="str">
        <f>'RESUMEN TOTAL'!AF158</f>
        <v>APAGADO</v>
      </c>
      <c r="AB155" t="str">
        <f>'RESUMEN TOTAL'!AG158</f>
        <v>APAGADO</v>
      </c>
      <c r="AC155" t="str">
        <f>'RESUMEN TOTAL'!AH158</f>
        <v>APAGADO</v>
      </c>
      <c r="AD155" t="str">
        <f>'RESUMEN TOTAL'!AI158</f>
        <v>APAGADO</v>
      </c>
      <c r="AE155" t="str">
        <f>'RESUMEN TOTAL'!AJ158</f>
        <v>APAGADO</v>
      </c>
      <c r="AF155" t="str">
        <f>'RESUMEN TOTAL'!AK158</f>
        <v>APAGADO</v>
      </c>
      <c r="AG155" t="str">
        <f>'RESUMEN TOTAL'!AL158</f>
        <v>APAGADO</v>
      </c>
      <c r="AH155">
        <f>'RESUMEN TOTAL'!AM158</f>
        <v>0</v>
      </c>
      <c r="AI155">
        <f>'RESUMEN TOTAL'!AN158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 t="str">
        <f>'RESUMEN TOTAL'!AA159</f>
        <v>APAGADO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 t="str">
        <f>'RESUMEN TOTAL'!W162</f>
        <v>APAGADO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 t="str">
        <f>'RESUMEN TOTAL'!AJ162</f>
        <v>APAGADO</v>
      </c>
      <c r="AF159" t="str">
        <f>'RESUMEN TOTAL'!AK162</f>
        <v>APAGADO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 t="str">
        <f>'RESUMEN TOTAL'!X163</f>
        <v>APAGADO</v>
      </c>
      <c r="T160">
        <f>'RESUMEN TOTAL'!Y163</f>
        <v>0</v>
      </c>
      <c r="U160" t="str">
        <f>'RESUMEN TOTAL'!Z163</f>
        <v>APAGADO</v>
      </c>
      <c r="V160" t="str">
        <f>'RESUMEN TOTAL'!AA163</f>
        <v>APAGADO</v>
      </c>
      <c r="W160" t="str">
        <f>'RESUMEN TOTAL'!AB163</f>
        <v>APAGADO</v>
      </c>
      <c r="X160" t="str">
        <f>'RESUMEN TOTAL'!AC163</f>
        <v>APAGADO</v>
      </c>
      <c r="Y160" t="str">
        <f>'RESUMEN TOTAL'!AD163</f>
        <v>APAGADO</v>
      </c>
      <c r="Z160" t="str">
        <f>'RESUMEN TOTAL'!AE163</f>
        <v>APAGADO</v>
      </c>
      <c r="AA160" t="str">
        <f>'RESUMEN TOTAL'!AF163</f>
        <v>APAGADO</v>
      </c>
      <c r="AB160" t="str">
        <f>'RESUMEN TOTAL'!AG163</f>
        <v>APAGADO</v>
      </c>
      <c r="AC160" t="str">
        <f>'RESUMEN TOTAL'!AH163</f>
        <v>APAGADO</v>
      </c>
      <c r="AD160" t="str">
        <f>'RESUMEN TOTAL'!AI163</f>
        <v>APAGADO</v>
      </c>
      <c r="AE160" t="str">
        <f>'RESUMEN TOTAL'!AJ163</f>
        <v>APAGADO</v>
      </c>
      <c r="AF160" t="str">
        <f>'RESUMEN TOTAL'!AK163</f>
        <v>APAGADO</v>
      </c>
      <c r="AG160" t="str">
        <f>'RESUMEN TOTAL'!AL163</f>
        <v>APAGADO</v>
      </c>
      <c r="AH160">
        <f>'RESUMEN TOTAL'!AM163</f>
        <v>0</v>
      </c>
      <c r="AI160">
        <f>'RESUMEN TOTAL'!AN163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ñandu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 t="str">
        <f>'RESUMEN TOTAL'!X166</f>
        <v>APAGADO</v>
      </c>
      <c r="T163" t="str">
        <f>'RESUMEN TOTAL'!Y166</f>
        <v>APAGADO</v>
      </c>
      <c r="U163" t="str">
        <f>'RESUMEN TOTAL'!Z166</f>
        <v>APAGADO</v>
      </c>
      <c r="V163" t="str">
        <f>'RESUMEN TOTAL'!AA166</f>
        <v>APAGADO</v>
      </c>
      <c r="W163" t="str">
        <f>'RESUMEN TOTAL'!AB166</f>
        <v>APAGADO</v>
      </c>
      <c r="X163" t="str">
        <f>'RESUMEN TOTAL'!AC166</f>
        <v>APAGADO</v>
      </c>
      <c r="Y163" t="str">
        <f>'RESUMEN TOTAL'!AD166</f>
        <v>APAGADO</v>
      </c>
      <c r="Z163" t="str">
        <f>'RESUMEN TOTAL'!AE166</f>
        <v>APAGADO</v>
      </c>
      <c r="AA163" t="str">
        <f>'RESUMEN TOTAL'!AF166</f>
        <v>APAGADO</v>
      </c>
      <c r="AB163" t="str">
        <f>'RESUMEN TOTAL'!AG166</f>
        <v>APAGADO</v>
      </c>
      <c r="AC163">
        <f>'RESUMEN TOTAL'!AH166</f>
        <v>0</v>
      </c>
      <c r="AD163" t="str">
        <f>'RESUMEN TOTAL'!AI166</f>
        <v>APAGADO</v>
      </c>
      <c r="AE163">
        <f>'RESUMEN TOTAL'!AJ166</f>
        <v>0</v>
      </c>
      <c r="AF163" t="str">
        <f>'RESUMEN TOTAL'!AK166</f>
        <v>APAGADO</v>
      </c>
      <c r="AG163" t="str">
        <f>'RESUMEN TOTAL'!AL166</f>
        <v>APAGADO</v>
      </c>
      <c r="AH163">
        <f>'RESUMEN TOTAL'!AM166</f>
        <v>0</v>
      </c>
      <c r="AI163">
        <f>'RESUMEN TOTAL'!AN166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Peron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CHAÑAR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 t="str">
        <f>'RESUMEN TOTAL'!V177</f>
        <v>APAGADO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 t="str">
        <f>'RESUMEN TOTAL'!V180</f>
        <v>APAGADO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 t="str">
        <f>'RESUMEN TOTAL'!AB191</f>
        <v>APAGADO</v>
      </c>
      <c r="X188" t="str">
        <f>'RESUMEN TOTAL'!AC191</f>
        <v>APAGADO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 t="str">
        <f>'RESUMEN TOTAL'!AL191</f>
        <v>APAGADO</v>
      </c>
      <c r="AH188">
        <f>'RESUMEN TOTAL'!AM191</f>
        <v>0</v>
      </c>
      <c r="AI188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 t="str">
        <f>'RESUMEN TOTAL'!Y205</f>
        <v>APAGADO</v>
      </c>
      <c r="U202" t="str">
        <f>'RESUMEN TOTAL'!Z205</f>
        <v>APAGADO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 t="str">
        <f>'RESUMEN TOTAL'!Z206</f>
        <v>APAGADO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 t="str">
        <f>'RESUMEN TOTAL'!AA210</f>
        <v>APAGADO</v>
      </c>
      <c r="W207" t="str">
        <f>'RESUMEN TOTAL'!AB210</f>
        <v>APAGADO</v>
      </c>
      <c r="X207" t="str">
        <f>'RESUMEN TOTAL'!AC210</f>
        <v>APAGADO</v>
      </c>
      <c r="Y207" t="str">
        <f>'RESUMEN TOTAL'!AD210</f>
        <v>APAGADO</v>
      </c>
      <c r="Z207" t="str">
        <f>'RESUMEN TOTAL'!AE210</f>
        <v>APAGADO</v>
      </c>
      <c r="AA207" t="str">
        <f>'RESUMEN TOTAL'!AF210</f>
        <v>APAGADO</v>
      </c>
      <c r="AB207" t="str">
        <f>'RESUMEN TOTAL'!AG210</f>
        <v>APAGADO</v>
      </c>
      <c r="AC207" t="str">
        <f>'RESUMEN TOTAL'!AH210</f>
        <v>APAGADO</v>
      </c>
      <c r="AD207" t="str">
        <f>'RESUMEN TOTAL'!AI210</f>
        <v>APAGADO</v>
      </c>
      <c r="AE207" t="str">
        <f>'RESUMEN TOTAL'!AJ210</f>
        <v>APAGADO</v>
      </c>
      <c r="AF207" t="str">
        <f>'RESUMEN TOTAL'!AK210</f>
        <v>APAGADO</v>
      </c>
      <c r="AG207" t="str">
        <f>'RESUMEN TOTAL'!AL210</f>
        <v>APAGADO</v>
      </c>
      <c r="AH207">
        <f>'RESUMEN TOTAL'!AM210</f>
        <v>0</v>
      </c>
      <c r="AI207">
        <f>'RESUMEN TOTAL'!AN210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 t="str">
        <f>'RESUMEN TOTAL'!AK211</f>
        <v>APAGADO</v>
      </c>
      <c r="AG208" t="str">
        <f>'RESUMEN TOTAL'!AL211</f>
        <v>APAGADO</v>
      </c>
      <c r="AH208">
        <f>'RESUMEN TOTAL'!AM211</f>
        <v>0</v>
      </c>
      <c r="AI208">
        <f>'RESUMEN TOTAL'!AN211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 t="str">
        <f>'RESUMEN TOTAL'!AK212</f>
        <v>APAGADO</v>
      </c>
      <c r="AG209" t="str">
        <f>'RESUMEN TOTAL'!AL212</f>
        <v>APAGADO</v>
      </c>
      <c r="AH209">
        <f>'RESUMEN TOTAL'!AM212</f>
        <v>0</v>
      </c>
      <c r="AI209">
        <f>'RESUMEN TOTAL'!AN212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 t="str">
        <f>'RESUMEN TOTAL'!V213</f>
        <v>APAGADO</v>
      </c>
      <c r="R210" t="str">
        <f>'RESUMEN TOTAL'!W213</f>
        <v>APAGADO</v>
      </c>
      <c r="S210" t="str">
        <f>'RESUMEN TOTAL'!X213</f>
        <v>APAGADO</v>
      </c>
      <c r="T210" t="str">
        <f>'RESUMEN TOTAL'!Y213</f>
        <v>APAGADO</v>
      </c>
      <c r="U210" t="str">
        <f>'RESUMEN TOTAL'!Z213</f>
        <v>APAGADO</v>
      </c>
      <c r="V210" t="str">
        <f>'RESUMEN TOTAL'!AA213</f>
        <v>APAGADO</v>
      </c>
      <c r="W210" t="str">
        <f>'RESUMEN TOTAL'!AB213</f>
        <v>APAGADO</v>
      </c>
      <c r="X210" t="str">
        <f>'RESUMEN TOTAL'!AC213</f>
        <v>APAGADO</v>
      </c>
      <c r="Y210" t="str">
        <f>'RESUMEN TOTAL'!AD213</f>
        <v>APAGADO</v>
      </c>
      <c r="Z210" t="str">
        <f>'RESUMEN TOTAL'!AE213</f>
        <v>APAGADO</v>
      </c>
      <c r="AA210" t="str">
        <f>'RESUMEN TOTAL'!AF213</f>
        <v>APAGADO</v>
      </c>
      <c r="AB210" t="str">
        <f>'RESUMEN TOTAL'!AG213</f>
        <v>APAGADO</v>
      </c>
      <c r="AC210" t="str">
        <f>'RESUMEN TOTAL'!AH213</f>
        <v>APAGADO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 t="str">
        <f>'RESUMEN TOTAL'!AF214</f>
        <v>APAGADO</v>
      </c>
      <c r="AB211" t="str">
        <f>'RESUMEN TOTAL'!AG214</f>
        <v>APAGADO</v>
      </c>
      <c r="AC211" t="str">
        <f>'RESUMEN TOTAL'!AH214</f>
        <v>APAGADO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 t="str">
        <f>'RESUMEN TOTAL'!V215</f>
        <v>APAGADO</v>
      </c>
      <c r="R212" t="str">
        <f>'RESUMEN TOTAL'!W215</f>
        <v>APAGADO</v>
      </c>
      <c r="S212" t="str">
        <f>'RESUMEN TOTAL'!X215</f>
        <v>APAGADO</v>
      </c>
      <c r="T212" t="str">
        <f>'RESUMEN TOTAL'!Y215</f>
        <v>APAGADO</v>
      </c>
      <c r="U212" t="str">
        <f>'RESUMEN TOTAL'!Z215</f>
        <v>APAGADO</v>
      </c>
      <c r="V212" t="str">
        <f>'RESUMEN TOTAL'!AA215</f>
        <v>APAGADO</v>
      </c>
      <c r="W212" t="str">
        <f>'RESUMEN TOTAL'!AB215</f>
        <v>APAGADO</v>
      </c>
      <c r="X212" t="str">
        <f>'RESUMEN TOTAL'!AC215</f>
        <v>APAGADO</v>
      </c>
      <c r="Y212" t="str">
        <f>'RESUMEN TOTAL'!AD215</f>
        <v>APAGADO</v>
      </c>
      <c r="Z212" t="str">
        <f>'RESUMEN TOTAL'!AE215</f>
        <v>APAGADO</v>
      </c>
      <c r="AA212" t="str">
        <f>'RESUMEN TOTAL'!AF215</f>
        <v>APAGADO</v>
      </c>
      <c r="AB212" t="str">
        <f>'RESUMEN TOTAL'!AG215</f>
        <v>APAGADO</v>
      </c>
      <c r="AC212" t="str">
        <f>'RESUMEN TOTAL'!AH215</f>
        <v>APAGADO</v>
      </c>
      <c r="AD212" t="str">
        <f>'RESUMEN TOTAL'!AI215</f>
        <v>APAGADO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 t="str">
        <f>'RESUMEN TOTAL'!X216</f>
        <v>APAGADO</v>
      </c>
      <c r="T213" t="str">
        <f>'RESUMEN TOTAL'!Y216</f>
        <v>APAGADO</v>
      </c>
      <c r="U213" t="str">
        <f>'RESUMEN TOTAL'!Z216</f>
        <v>APAGADO</v>
      </c>
      <c r="V213" t="str">
        <f>'RESUMEN TOTAL'!AA216</f>
        <v>APAGADO</v>
      </c>
      <c r="W213" t="str">
        <f>'RESUMEN TOTAL'!AB216</f>
        <v>APAGADO</v>
      </c>
      <c r="X213" t="str">
        <f>'RESUMEN TOTAL'!AC216</f>
        <v>APAGADO</v>
      </c>
      <c r="Y213" t="str">
        <f>'RESUMEN TOTAL'!AD216</f>
        <v>APAGADO</v>
      </c>
      <c r="Z213" t="str">
        <f>'RESUMEN TOTAL'!AE216</f>
        <v>APAGADO</v>
      </c>
      <c r="AA213" t="str">
        <f>'RESUMEN TOTAL'!AF216</f>
        <v>APAGADO</v>
      </c>
      <c r="AB213" t="str">
        <f>'RESUMEN TOTAL'!AG216</f>
        <v>APAGADO</v>
      </c>
      <c r="AC213" t="str">
        <f>'RESUMEN TOTAL'!AH216</f>
        <v>APAGADO</v>
      </c>
      <c r="AD213" t="str">
        <f>'RESUMEN TOTAL'!AI216</f>
        <v>APAGADO</v>
      </c>
      <c r="AE213" t="str">
        <f>'RESUMEN TOTAL'!AJ216</f>
        <v>APAGADO</v>
      </c>
      <c r="AF213" t="str">
        <f>'RESUMEN TOTAL'!AK216</f>
        <v>APAGADO</v>
      </c>
      <c r="AG213" t="str">
        <f>'RESUMEN TOTAL'!AL216</f>
        <v>APAGADO</v>
      </c>
      <c r="AH213">
        <f>'RESUMEN TOTAL'!AM216</f>
        <v>0</v>
      </c>
      <c r="AI213">
        <f>'RESUMEN TOTAL'!AN216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>
        <f>'RESUMEN TOTAL'!W217</f>
        <v>0</v>
      </c>
      <c r="S214" t="str">
        <f>'RESUMEN TOTAL'!X217</f>
        <v>APAGADO</v>
      </c>
      <c r="T214" t="str">
        <f>'RESUMEN TOTAL'!Y217</f>
        <v>APAGADO</v>
      </c>
      <c r="U214" t="str">
        <f>'RESUMEN TOTAL'!Z217</f>
        <v>APAGADO</v>
      </c>
      <c r="V214" t="str">
        <f>'RESUMEN TOTAL'!AA217</f>
        <v>APAGADO</v>
      </c>
      <c r="W214" t="str">
        <f>'RESUMEN TOTAL'!AB217</f>
        <v>APAGADO</v>
      </c>
      <c r="X214" t="str">
        <f>'RESUMEN TOTAL'!AC217</f>
        <v>APAGADO</v>
      </c>
      <c r="Y214" t="str">
        <f>'RESUMEN TOTAL'!AD217</f>
        <v>APAGADO</v>
      </c>
      <c r="Z214" t="str">
        <f>'RESUMEN TOTAL'!AE217</f>
        <v>APAGADO</v>
      </c>
      <c r="AA214" t="str">
        <f>'RESUMEN TOTAL'!AF217</f>
        <v>APAGADO</v>
      </c>
      <c r="AB214" t="str">
        <f>'RESUMEN TOTAL'!AG217</f>
        <v>APAGADO</v>
      </c>
      <c r="AC214" t="str">
        <f>'RESUMEN TOTAL'!AH217</f>
        <v>APAGADO</v>
      </c>
      <c r="AD214" t="str">
        <f>'RESUMEN TOTAL'!AI217</f>
        <v>APAGADO</v>
      </c>
      <c r="AE214" t="str">
        <f>'RESUMEN TOTAL'!AJ217</f>
        <v>APAGADO</v>
      </c>
      <c r="AF214" t="str">
        <f>'RESUMEN TOTAL'!AK217</f>
        <v>APAGADO</v>
      </c>
      <c r="AG214" t="str">
        <f>'RESUMEN TOTAL'!AL217</f>
        <v>APAGADO</v>
      </c>
      <c r="AH214">
        <f>'RESUMEN TOTAL'!AM217</f>
        <v>0</v>
      </c>
      <c r="AI214">
        <f>'RESUMEN TOTAL'!AN217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 t="str">
        <f>'RESUMEN TOTAL'!AK223</f>
        <v>APAGADO</v>
      </c>
      <c r="AG220" t="str">
        <f>'RESUMEN TOTAL'!AL223</f>
        <v>APAGADO</v>
      </c>
      <c r="AH220">
        <f>'RESUMEN TOTAL'!AM223</f>
        <v>0</v>
      </c>
      <c r="AI220">
        <f>'RESUMEN TOTAL'!AN223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 t="str">
        <f>'RESUMEN TOTAL'!V224</f>
        <v>APAGADO</v>
      </c>
      <c r="R221" t="str">
        <f>'RESUMEN TOTAL'!W224</f>
        <v>APAGADO</v>
      </c>
      <c r="S221" t="str">
        <f>'RESUMEN TOTAL'!X224</f>
        <v>APAGADO</v>
      </c>
      <c r="T221" t="str">
        <f>'RESUMEN TOTAL'!Y224</f>
        <v>APAGADO</v>
      </c>
      <c r="U221" t="str">
        <f>'RESUMEN TOTAL'!Z224</f>
        <v>APAGADO</v>
      </c>
      <c r="V221" t="str">
        <f>'RESUMEN TOTAL'!AA224</f>
        <v>APAGADO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 t="str">
        <f>'RESUMEN TOTAL'!AF224</f>
        <v>APAGADO</v>
      </c>
      <c r="AB221" t="str">
        <f>'RESUMEN TOTAL'!AG224</f>
        <v>APAGADO</v>
      </c>
      <c r="AC221" t="str">
        <f>'RESUMEN TOTAL'!AH224</f>
        <v>APAGADO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 t="str">
        <f>'RESUMEN TOTAL'!V242</f>
        <v>APAGADO</v>
      </c>
      <c r="R239" t="str">
        <f>'RESUMEN TOTAL'!W242</f>
        <v>APAGADO</v>
      </c>
      <c r="S239" t="str">
        <f>'RESUMEN TOTAL'!X242</f>
        <v>APAGADO</v>
      </c>
      <c r="T239" t="str">
        <f>'RESUMEN TOTAL'!Y242</f>
        <v>APAGADO</v>
      </c>
      <c r="U239" t="str">
        <f>'RESUMEN TOTAL'!Z242</f>
        <v>APAGADO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 t="str">
        <f>'RESUMEN TOTAL'!V243</f>
        <v>APAGADO</v>
      </c>
      <c r="R240" t="str">
        <f>'RESUMEN TOTAL'!W243</f>
        <v>APAGADO</v>
      </c>
      <c r="S240" t="str">
        <f>'RESUMEN TOTAL'!X243</f>
        <v>APAGADO</v>
      </c>
      <c r="T240" t="str">
        <f>'RESUMEN TOTAL'!Y243</f>
        <v>APAGADO</v>
      </c>
      <c r="U240" t="str">
        <f>'RESUMEN TOTAL'!Z243</f>
        <v>APAGADO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 t="str">
        <f>'RESUMEN TOTAL'!AF244</f>
        <v>APAGADO</v>
      </c>
      <c r="AB241" t="str">
        <f>'RESUMEN TOTAL'!AG244</f>
        <v>APAGADO</v>
      </c>
      <c r="AC241" t="str">
        <f>'RESUMEN TOTAL'!AH244</f>
        <v>APAGADO</v>
      </c>
      <c r="AD241" t="str">
        <f>'RESUMEN TOTAL'!AI244</f>
        <v>APAGADO</v>
      </c>
      <c r="AE241" t="str">
        <f>'RESUMEN TOTAL'!AJ244</f>
        <v>APAGADO</v>
      </c>
      <c r="AF241" t="str">
        <f>'RESUMEN TOTAL'!AK244</f>
        <v>APAGADO</v>
      </c>
      <c r="AG241" t="str">
        <f>'RESUMEN TOTAL'!AL244</f>
        <v>APAGADO</v>
      </c>
      <c r="AH241">
        <f>'RESUMEN TOTAL'!AM244</f>
        <v>0</v>
      </c>
      <c r="AI241">
        <f>'RESUMEN TOTAL'!AN244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 t="str">
        <f>'RESUMEN TOTAL'!AF245</f>
        <v>APAGADO</v>
      </c>
      <c r="AB242" t="str">
        <f>'RESUMEN TOTAL'!AG245</f>
        <v>APAGADO</v>
      </c>
      <c r="AC242" t="str">
        <f>'RESUMEN TOTAL'!AH245</f>
        <v>APAGADO</v>
      </c>
      <c r="AD242" t="str">
        <f>'RESUMEN TOTAL'!AI245</f>
        <v>APAGADO</v>
      </c>
      <c r="AE242" t="str">
        <f>'RESUMEN TOTAL'!AJ245</f>
        <v>APAGADO</v>
      </c>
      <c r="AF242" t="str">
        <f>'RESUMEN TOTAL'!AK245</f>
        <v>APAGADO</v>
      </c>
      <c r="AG242" t="str">
        <f>'RESUMEN TOTAL'!AL245</f>
        <v>APAGADO</v>
      </c>
      <c r="AH242">
        <f>'RESUMEN TOTAL'!AM245</f>
        <v>0</v>
      </c>
      <c r="AI242">
        <f>'RESUMEN TOTAL'!AN245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 t="str">
        <f>'RESUMEN TOTAL'!V254</f>
        <v>APAGADO</v>
      </c>
      <c r="R251" t="str">
        <f>'RESUMEN TOTAL'!W254</f>
        <v>APAGADO</v>
      </c>
      <c r="S251" t="str">
        <f>'RESUMEN TOTAL'!X254</f>
        <v>APAGADO</v>
      </c>
      <c r="T251" t="str">
        <f>'RESUMEN TOTAL'!Y254</f>
        <v>APAGADO</v>
      </c>
      <c r="U251" t="str">
        <f>'RESUMEN TOTAL'!Z254</f>
        <v>APAGADO</v>
      </c>
      <c r="V251" t="str">
        <f>'RESUMEN TOTAL'!AA254</f>
        <v>APAGADO</v>
      </c>
      <c r="W251" t="str">
        <f>'RESUMEN TOTAL'!AB254</f>
        <v>APAGADO</v>
      </c>
      <c r="X251" t="str">
        <f>'RESUMEN TOTAL'!AC254</f>
        <v>APAGADO</v>
      </c>
      <c r="Y251" t="str">
        <f>'RESUMEN TOTAL'!AD254</f>
        <v>APAGADO</v>
      </c>
      <c r="Z251" t="str">
        <f>'RESUMEN TOTAL'!AE254</f>
        <v>APAGADO</v>
      </c>
      <c r="AA251" t="str">
        <f>'RESUMEN TOTAL'!AF254</f>
        <v>APAGADO</v>
      </c>
      <c r="AB251" t="str">
        <f>'RESUMEN TOTAL'!AG254</f>
        <v>APAGADO</v>
      </c>
      <c r="AC251" t="str">
        <f>'RESUMEN TOTAL'!AH254</f>
        <v>APAGADO</v>
      </c>
      <c r="AD251" t="str">
        <f>'RESUMEN TOTAL'!AI254</f>
        <v>APAGADO</v>
      </c>
      <c r="AE251" t="str">
        <f>'RESUMEN TOTAL'!AJ254</f>
        <v>APAGADO</v>
      </c>
      <c r="AF251" t="str">
        <f>'RESUMEN TOTAL'!AK254</f>
        <v>APAGADO</v>
      </c>
      <c r="AG251" t="str">
        <f>'RESUMEN TOTAL'!AL254</f>
        <v>APAGADO</v>
      </c>
      <c r="AH251">
        <f>'RESUMEN TOTAL'!AM254</f>
        <v>0</v>
      </c>
      <c r="AI251">
        <f>'RESUMEN TOTAL'!AN254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 t="str">
        <f>'RESUMEN TOTAL'!V255</f>
        <v>APAGADO</v>
      </c>
      <c r="R252" t="str">
        <f>'RESUMEN TOTAL'!W255</f>
        <v>APAGADO</v>
      </c>
      <c r="S252" t="str">
        <f>'RESUMEN TOTAL'!X255</f>
        <v>APAGADO</v>
      </c>
      <c r="T252" t="str">
        <f>'RESUMEN TOTAL'!Y255</f>
        <v>APAGADO</v>
      </c>
      <c r="U252" t="str">
        <f>'RESUMEN TOTAL'!Z255</f>
        <v>APAGADO</v>
      </c>
      <c r="V252" t="str">
        <f>'RESUMEN TOTAL'!AA255</f>
        <v>APAGADO</v>
      </c>
      <c r="W252" t="str">
        <f>'RESUMEN TOTAL'!AB255</f>
        <v>APAGADO</v>
      </c>
      <c r="X252" t="str">
        <f>'RESUMEN TOTAL'!AC255</f>
        <v>APAGADO</v>
      </c>
      <c r="Y252" t="str">
        <f>'RESUMEN TOTAL'!AD255</f>
        <v>APAGADO</v>
      </c>
      <c r="Z252" t="str">
        <f>'RESUMEN TOTAL'!AE255</f>
        <v>APAGADO</v>
      </c>
      <c r="AA252" t="str">
        <f>'RESUMEN TOTAL'!AF255</f>
        <v>APAGADO</v>
      </c>
      <c r="AB252" t="str">
        <f>'RESUMEN TOTAL'!AG255</f>
        <v>APAGADO</v>
      </c>
      <c r="AC252" t="str">
        <f>'RESUMEN TOTAL'!AH255</f>
        <v>APAGADO</v>
      </c>
      <c r="AD252" t="str">
        <f>'RESUMEN TOTAL'!AI255</f>
        <v>APAGADO</v>
      </c>
      <c r="AE252" t="str">
        <f>'RESUMEN TOTAL'!AJ255</f>
        <v>APAGADO</v>
      </c>
      <c r="AF252" t="str">
        <f>'RESUMEN TOTAL'!AK255</f>
        <v>APAGADO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 t="str">
        <f>'RESUMEN TOTAL'!V256</f>
        <v>APAGADO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 t="str">
        <f>'RESUMEN TOTAL'!AK277</f>
        <v>APAGADO</v>
      </c>
      <c r="AG274" t="str">
        <f>'RESUMEN TOTAL'!AL277</f>
        <v>APAGADO</v>
      </c>
      <c r="AH274">
        <f>'RESUMEN TOTAL'!AM277</f>
        <v>0</v>
      </c>
      <c r="AI274">
        <f>'RESUMEN TOTAL'!AN277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 t="str">
        <f>'RESUMEN TOTAL'!AK278</f>
        <v>APAGADO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 t="str">
        <f>'RESUMEN TOTAL'!AK279</f>
        <v>APAGADO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 t="str">
        <f>'RESUMEN TOTAL'!AK280</f>
        <v>APAGADO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 t="str">
        <f>'RESUMEN TOTAL'!V289</f>
        <v>APAGADO</v>
      </c>
      <c r="R286" t="str">
        <f>'RESUMEN TOTAL'!W289</f>
        <v>APAGADO</v>
      </c>
      <c r="S286" t="str">
        <f>'RESUMEN TOTAL'!X289</f>
        <v>APAGADO</v>
      </c>
      <c r="T286" t="str">
        <f>'RESUMEN TOTAL'!Y289</f>
        <v>APAGADO</v>
      </c>
      <c r="U286" t="str">
        <f>'RESUMEN TOTAL'!Z289</f>
        <v>APAGADO</v>
      </c>
      <c r="V286" t="str">
        <f>'RESUMEN TOTAL'!AA289</f>
        <v>APAGADO</v>
      </c>
      <c r="W286" t="str">
        <f>'RESUMEN TOTAL'!AB289</f>
        <v>APAGADO</v>
      </c>
      <c r="X286" t="str">
        <f>'RESUMEN TOTAL'!AC289</f>
        <v>APAGADO</v>
      </c>
      <c r="Y286" t="str">
        <f>'RESUMEN TOTAL'!AD289</f>
        <v>APAGADO</v>
      </c>
      <c r="Z286" t="str">
        <f>'RESUMEN TOTAL'!AE289</f>
        <v>APAGADO</v>
      </c>
      <c r="AA286" t="str">
        <f>'RESUMEN TOTAL'!AF289</f>
        <v>APAGADO</v>
      </c>
      <c r="AB286" t="str">
        <f>'RESUMEN TOTAL'!AG289</f>
        <v>APAGADO</v>
      </c>
      <c r="AC286" t="str">
        <f>'RESUMEN TOTAL'!AH289</f>
        <v>APAGADO</v>
      </c>
      <c r="AD286" t="str">
        <f>'RESUMEN TOTAL'!AI289</f>
        <v>APAGADO</v>
      </c>
      <c r="AE286" t="str">
        <f>'RESUMEN TOTAL'!AJ289</f>
        <v>APAGADO</v>
      </c>
      <c r="AF286" t="str">
        <f>'RESUMEN TOTAL'!AK289</f>
        <v>APAGADO</v>
      </c>
      <c r="AG286" t="str">
        <f>'RESUMEN TOTAL'!AL289</f>
        <v>APAGADO</v>
      </c>
      <c r="AH286">
        <f>'RESUMEN TOTAL'!AM289</f>
        <v>0</v>
      </c>
      <c r="AI286">
        <f>'RESUMEN TOTAL'!AN289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 t="str">
        <f>'RESUMEN TOTAL'!V290</f>
        <v>APAGADO</v>
      </c>
      <c r="R287" t="str">
        <f>'RESUMEN TOTAL'!W290</f>
        <v>APAGADO</v>
      </c>
      <c r="S287" t="str">
        <f>'RESUMEN TOTAL'!X290</f>
        <v>APAGADO</v>
      </c>
      <c r="T287" t="str">
        <f>'RESUMEN TOTAL'!Y290</f>
        <v>APAGADO</v>
      </c>
      <c r="U287" t="str">
        <f>'RESUMEN TOTAL'!Z290</f>
        <v>APAGADO</v>
      </c>
      <c r="V287" t="str">
        <f>'RESUMEN TOTAL'!AA290</f>
        <v>APAGADO</v>
      </c>
      <c r="W287" t="str">
        <f>'RESUMEN TOTAL'!AB290</f>
        <v>APAGADO</v>
      </c>
      <c r="X287" t="str">
        <f>'RESUMEN TOTAL'!AC290</f>
        <v>APAGADO</v>
      </c>
      <c r="Y287" t="str">
        <f>'RESUMEN TOTAL'!AD290</f>
        <v>APAGADO</v>
      </c>
      <c r="Z287" t="str">
        <f>'RESUMEN TOTAL'!AE290</f>
        <v>APAGADO</v>
      </c>
      <c r="AA287" t="str">
        <f>'RESUMEN TOTAL'!AF290</f>
        <v>APAGADO</v>
      </c>
      <c r="AB287" t="str">
        <f>'RESUMEN TOTAL'!AG290</f>
        <v>APAGADO</v>
      </c>
      <c r="AC287" t="str">
        <f>'RESUMEN TOTAL'!AH290</f>
        <v>APAGADO</v>
      </c>
      <c r="AD287" t="str">
        <f>'RESUMEN TOTAL'!AI290</f>
        <v>APAGADO</v>
      </c>
      <c r="AE287" t="str">
        <f>'RESUMEN TOTAL'!AJ290</f>
        <v>APAGADO</v>
      </c>
      <c r="AF287" t="str">
        <f>'RESUMEN TOTAL'!AK290</f>
        <v>APAGADO</v>
      </c>
      <c r="AG287" t="str">
        <f>'RESUMEN TOTAL'!AL290</f>
        <v>APAGADO</v>
      </c>
      <c r="AH287">
        <f>'RESUMEN TOTAL'!AM290</f>
        <v>0</v>
      </c>
      <c r="AI287">
        <f>'RESUMEN TOTAL'!AN290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 t="str">
        <f>'RESUMEN TOTAL'!V291</f>
        <v>APAGADO</v>
      </c>
      <c r="R288" t="str">
        <f>'RESUMEN TOTAL'!W291</f>
        <v>APAGADO</v>
      </c>
      <c r="S288" t="str">
        <f>'RESUMEN TOTAL'!X291</f>
        <v>APAGADO</v>
      </c>
      <c r="T288" t="str">
        <f>'RESUMEN TOTAL'!Y291</f>
        <v>APAGADO</v>
      </c>
      <c r="U288" t="str">
        <f>'RESUMEN TOTAL'!Z291</f>
        <v>APAGADO</v>
      </c>
      <c r="V288" t="str">
        <f>'RESUMEN TOTAL'!AA291</f>
        <v>APAGADO</v>
      </c>
      <c r="W288" t="str">
        <f>'RESUMEN TOTAL'!AB291</f>
        <v>APAGADO</v>
      </c>
      <c r="X288" t="str">
        <f>'RESUMEN TOTAL'!AC291</f>
        <v>APAGADO</v>
      </c>
      <c r="Y288" t="str">
        <f>'RESUMEN TOTAL'!AD291</f>
        <v>APAGADO</v>
      </c>
      <c r="Z288" t="str">
        <f>'RESUMEN TOTAL'!AE291</f>
        <v>APAGADO</v>
      </c>
      <c r="AA288" t="str">
        <f>'RESUMEN TOTAL'!AF291</f>
        <v>APAGADO</v>
      </c>
      <c r="AB288" t="str">
        <f>'RESUMEN TOTAL'!AG291</f>
        <v>APAGADO</v>
      </c>
      <c r="AC288" t="str">
        <f>'RESUMEN TOTAL'!AH291</f>
        <v>APAGADO</v>
      </c>
      <c r="AD288" t="str">
        <f>'RESUMEN TOTAL'!AI291</f>
        <v>APAGADO</v>
      </c>
      <c r="AE288" t="str">
        <f>'RESUMEN TOTAL'!AJ291</f>
        <v>APAGADO</v>
      </c>
      <c r="AF288" t="str">
        <f>'RESUMEN TOTAL'!AK291</f>
        <v>APAGADO</v>
      </c>
      <c r="AG288" t="str">
        <f>'RESUMEN TOTAL'!AL291</f>
        <v>APAGADO</v>
      </c>
      <c r="AH288">
        <f>'RESUMEN TOTAL'!AM291</f>
        <v>0</v>
      </c>
      <c r="AI288">
        <f>'RESUMEN TOTAL'!AN291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 t="str">
        <f>'RESUMEN TOTAL'!V292</f>
        <v>APAGADO</v>
      </c>
      <c r="R289" t="str">
        <f>'RESUMEN TOTAL'!W292</f>
        <v>APAGADO</v>
      </c>
      <c r="S289" t="str">
        <f>'RESUMEN TOTAL'!X292</f>
        <v>APAGADO</v>
      </c>
      <c r="T289" t="str">
        <f>'RESUMEN TOTAL'!Y292</f>
        <v>APAGADO</v>
      </c>
      <c r="U289" t="str">
        <f>'RESUMEN TOTAL'!Z292</f>
        <v>APAGADO</v>
      </c>
      <c r="V289" t="str">
        <f>'RESUMEN TOTAL'!AA292</f>
        <v>APAGADO</v>
      </c>
      <c r="W289" t="str">
        <f>'RESUMEN TOTAL'!AB292</f>
        <v>APAGADO</v>
      </c>
      <c r="X289" t="str">
        <f>'RESUMEN TOTAL'!AC292</f>
        <v>APAGADO</v>
      </c>
      <c r="Y289" t="str">
        <f>'RESUMEN TOTAL'!AD292</f>
        <v>APAGADO</v>
      </c>
      <c r="Z289" t="str">
        <f>'RESUMEN TOTAL'!AE292</f>
        <v>APAGADO</v>
      </c>
      <c r="AA289" t="str">
        <f>'RESUMEN TOTAL'!AF292</f>
        <v>APAGADO</v>
      </c>
      <c r="AB289" t="str">
        <f>'RESUMEN TOTAL'!AG292</f>
        <v>APAGADO</v>
      </c>
      <c r="AC289" t="str">
        <f>'RESUMEN TOTAL'!AH292</f>
        <v>APAGADO</v>
      </c>
      <c r="AD289" t="str">
        <f>'RESUMEN TOTAL'!AI292</f>
        <v>APAGADO</v>
      </c>
      <c r="AE289" t="str">
        <f>'RESUMEN TOTAL'!AJ292</f>
        <v>APAGADO</v>
      </c>
      <c r="AF289" t="str">
        <f>'RESUMEN TOTAL'!AK292</f>
        <v>APAGADO</v>
      </c>
      <c r="AG289" t="str">
        <f>'RESUMEN TOTAL'!AL292</f>
        <v>APAGADO</v>
      </c>
      <c r="AH289">
        <f>'RESUMEN TOTAL'!AM292</f>
        <v>0</v>
      </c>
      <c r="AI289">
        <f>'RESUMEN TOTAL'!AN292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 t="str">
        <f>'RESUMEN TOTAL'!AJ296</f>
        <v>APAGADO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 t="str">
        <f>'RESUMEN TOTAL'!AJ297</f>
        <v>APAGADO</v>
      </c>
      <c r="AF294" t="str">
        <f>'RESUMEN TOTAL'!AK297</f>
        <v>APAGADO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 t="str">
        <f>'RESUMEN TOTAL'!X316</f>
        <v>APAGADO</v>
      </c>
      <c r="T313" t="str">
        <f>'RESUMEN TOTAL'!Y316</f>
        <v>APAGADO</v>
      </c>
      <c r="U313" t="str">
        <f>'RESUMEN TOTAL'!Z316</f>
        <v>APAGADO</v>
      </c>
      <c r="V313" t="str">
        <f>'RESUMEN TOTAL'!AA316</f>
        <v>APAGADO</v>
      </c>
      <c r="W313" t="str">
        <f>'RESUMEN TOTAL'!AB316</f>
        <v>APAGADO</v>
      </c>
      <c r="X313" t="str">
        <f>'RESUMEN TOTAL'!AC316</f>
        <v>APAGADO</v>
      </c>
      <c r="Y313" t="str">
        <f>'RESUMEN TOTAL'!AD316</f>
        <v>APAGADO</v>
      </c>
      <c r="Z313" t="str">
        <f>'RESUMEN TOTAL'!AE316</f>
        <v>APAGADO</v>
      </c>
      <c r="AA313" t="str">
        <f>'RESUMEN TOTAL'!AF316</f>
        <v>APAGADO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 t="str">
        <f>'RESUMEN TOTAL'!V327</f>
        <v>APAGADO</v>
      </c>
      <c r="R324" t="str">
        <f>'RESUMEN TOTAL'!W327</f>
        <v>APAGADO</v>
      </c>
      <c r="S324" t="str">
        <f>'RESUMEN TOTAL'!X327</f>
        <v>APAGADO</v>
      </c>
      <c r="T324" t="str">
        <f>'RESUMEN TOTAL'!Y327</f>
        <v>APAGADO</v>
      </c>
      <c r="U324" t="str">
        <f>'RESUMEN TOTAL'!Z327</f>
        <v>APAGADO</v>
      </c>
      <c r="V324" t="str">
        <f>'RESUMEN TOTAL'!AA327</f>
        <v>APAGADO</v>
      </c>
      <c r="W324" t="str">
        <f>'RESUMEN TOTAL'!AB327</f>
        <v>APAGADO</v>
      </c>
      <c r="X324" t="str">
        <f>'RESUMEN TOTAL'!AC327</f>
        <v>APAGADO</v>
      </c>
      <c r="Y324" t="str">
        <f>'RESUMEN TOTAL'!AD327</f>
        <v>APAGADO</v>
      </c>
      <c r="Z324" t="str">
        <f>'RESUMEN TOTAL'!AE327</f>
        <v>APAGADO</v>
      </c>
      <c r="AA324" t="str">
        <f>'RESUMEN TOTAL'!AF327</f>
        <v>APAGADO</v>
      </c>
      <c r="AB324" t="str">
        <f>'RESUMEN TOTAL'!AG327</f>
        <v>APAGADO</v>
      </c>
      <c r="AC324" t="str">
        <f>'RESUMEN TOTAL'!AH327</f>
        <v>APAGADO</v>
      </c>
      <c r="AD324" t="str">
        <f>'RESUMEN TOTAL'!AI327</f>
        <v>APAGADO</v>
      </c>
      <c r="AE324" t="str">
        <f>'RESUMEN TOTAL'!AJ327</f>
        <v>APAGADO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 t="str">
        <f>'RESUMEN TOTAL'!V328</f>
        <v>APAGADO</v>
      </c>
      <c r="R325" t="str">
        <f>'RESUMEN TOTAL'!W328</f>
        <v>APAGADO</v>
      </c>
      <c r="S325" t="str">
        <f>'RESUMEN TOTAL'!X328</f>
        <v>APAGADO</v>
      </c>
      <c r="T325" t="str">
        <f>'RESUMEN TOTAL'!Y328</f>
        <v>APAGADO</v>
      </c>
      <c r="U325" t="str">
        <f>'RESUMEN TOTAL'!Z328</f>
        <v>APAGADO</v>
      </c>
      <c r="V325" t="str">
        <f>'RESUMEN TOTAL'!AA328</f>
        <v>APAGADO</v>
      </c>
      <c r="W325" t="str">
        <f>'RESUMEN TOTAL'!AB328</f>
        <v>APAGADO</v>
      </c>
      <c r="X325" t="str">
        <f>'RESUMEN TOTAL'!AC328</f>
        <v>APAGADO</v>
      </c>
      <c r="Y325" t="str">
        <f>'RESUMEN TOTAL'!AD328</f>
        <v>APAGADO</v>
      </c>
      <c r="Z325" t="str">
        <f>'RESUMEN TOTAL'!AE328</f>
        <v>APAGADO</v>
      </c>
      <c r="AA325" t="str">
        <f>'RESUMEN TOTAL'!AF328</f>
        <v>APAGADO</v>
      </c>
      <c r="AB325" t="str">
        <f>'RESUMEN TOTAL'!AG328</f>
        <v>APAGADO</v>
      </c>
      <c r="AC325" t="str">
        <f>'RESUMEN TOTAL'!AH328</f>
        <v>APAGADO</v>
      </c>
      <c r="AD325" t="str">
        <f>'RESUMEN TOTAL'!AI328</f>
        <v>APAGADO</v>
      </c>
      <c r="AE325" t="str">
        <f>'RESUMEN TOTAL'!AJ328</f>
        <v>APAGADO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 t="str">
        <f>'RESUMEN TOTAL'!O335</f>
        <v>APAGADO</v>
      </c>
      <c r="K332" t="str">
        <f>'RESUMEN TOTAL'!P335</f>
        <v>APAGADO</v>
      </c>
      <c r="L332" t="str">
        <f>'RESUMEN TOTAL'!Q335</f>
        <v>APAGADO</v>
      </c>
      <c r="M332" t="str">
        <f>'RESUMEN TOTAL'!R335</f>
        <v>APAGADO</v>
      </c>
      <c r="N332" t="str">
        <f>'RESUMEN TOTAL'!S335</f>
        <v>APAGADO</v>
      </c>
      <c r="O332" t="str">
        <f>'RESUMEN TOTAL'!T335</f>
        <v>APAGADO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 t="str">
        <f>'RESUMEN TOTAL'!Y336</f>
        <v>APAGADO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CHAÑAR Y URUGUAY</v>
      </c>
      <c r="D335" t="str">
        <f>'RESUMEN TOTAL'!E338</f>
        <v>DOMO</v>
      </c>
      <c r="E335" t="str">
        <f>'RESUMEN TOTAL'!F338</f>
        <v>PTO A FO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Peron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TOTAL'!K348</f>
        <v>APAGADO</v>
      </c>
      <c r="G345">
        <f>'RESUMEN TOTAL'!L348</f>
        <v>0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 t="str">
        <f>'RESUMEN TOTAL'!P348</f>
        <v>APAGADO</v>
      </c>
      <c r="L345" t="str">
        <f>'RESUMEN TOTAL'!Q348</f>
        <v>APAGADO</v>
      </c>
      <c r="M345" t="str">
        <f>'RESUMEN TOTAL'!R348</f>
        <v>APAGADO</v>
      </c>
      <c r="N345" t="str">
        <f>'RESUMEN TOTAL'!S348</f>
        <v>APAGADO</v>
      </c>
      <c r="O345" t="str">
        <f>'RESUMEN TOTAL'!T348</f>
        <v>APAGADO</v>
      </c>
      <c r="P345">
        <f>'RESUMEN TOTAL'!U348</f>
        <v>0</v>
      </c>
      <c r="Q345" t="str">
        <f>'RESUMEN TOTAL'!V348</f>
        <v>APAGADO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 t="str">
        <f>'RESUMEN TOTAL'!Z348</f>
        <v>APAGADO</v>
      </c>
      <c r="V345" t="str">
        <f>'RESUMEN TOTAL'!AA348</f>
        <v>APAGADO</v>
      </c>
      <c r="W345" t="str">
        <f>'RESUMEN TOTAL'!AB348</f>
        <v>APAGADO</v>
      </c>
      <c r="X345" t="str">
        <f>'RESUMEN TOTAL'!AC348</f>
        <v>APAGADO</v>
      </c>
      <c r="Y345" t="str">
        <f>'RESUMEN TOTAL'!AD348</f>
        <v>APAGADO</v>
      </c>
      <c r="Z345" t="str">
        <f>'RESUMEN TOTAL'!AE348</f>
        <v>APAGADO</v>
      </c>
      <c r="AA345">
        <f>'RESUMEN TOTAL'!AF348</f>
        <v>0</v>
      </c>
      <c r="AB345" t="str">
        <f>'RESUMEN TOTAL'!AG348</f>
        <v>APAGADO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TOTAL'!K356</f>
        <v>APAGADO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 t="str">
        <f>'RESUMEN TOTAL'!P356</f>
        <v>APAGADO</v>
      </c>
      <c r="L353" t="str">
        <f>'RESUMEN TOTAL'!Q356</f>
        <v>APAGADO</v>
      </c>
      <c r="M353" t="str">
        <f>'RESUMEN TOTAL'!R356</f>
        <v>APAGADO</v>
      </c>
      <c r="N353" t="str">
        <f>'RESUMEN TOTAL'!S356</f>
        <v>APAGADO</v>
      </c>
      <c r="O353" t="str">
        <f>'RESUMEN TOTAL'!T356</f>
        <v>APAGADO</v>
      </c>
      <c r="P353">
        <f>'RESUMEN TOTAL'!U356</f>
        <v>0</v>
      </c>
      <c r="Q353" t="str">
        <f>'RESUMEN TOTAL'!V356</f>
        <v>APAGADO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 t="str">
        <f>'RESUMEN TOTAL'!Z356</f>
        <v>APAGADO</v>
      </c>
      <c r="V353" t="str">
        <f>'RESUMEN TOTAL'!AA356</f>
        <v>APAGADO</v>
      </c>
      <c r="W353" t="str">
        <f>'RESUMEN TOTAL'!AB356</f>
        <v>APAGADO</v>
      </c>
      <c r="X353" t="str">
        <f>'RESUMEN TOTAL'!AC356</f>
        <v>APAGADO</v>
      </c>
      <c r="Y353" t="str">
        <f>'RESUMEN TOTAL'!AD356</f>
        <v>APAGADO</v>
      </c>
      <c r="Z353" t="str">
        <f>'RESUMEN TOTAL'!AE356</f>
        <v>APAGADO</v>
      </c>
      <c r="AA353">
        <f>'RESUMEN TOTAL'!AF356</f>
        <v>0</v>
      </c>
      <c r="AB353" t="str">
        <f>'RESUMEN TOTAL'!AG356</f>
        <v>APAGADO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TOTAL'!K357</f>
        <v>APAGADO</v>
      </c>
      <c r="G354">
        <f>'RESUMEN TOTAL'!L357</f>
        <v>0</v>
      </c>
      <c r="H354" t="str">
        <f>'RESUMEN TOTAL'!M357</f>
        <v>APAGADO</v>
      </c>
      <c r="I354" t="str">
        <f>'RESUMEN TOTAL'!N357</f>
        <v>APAGADO</v>
      </c>
      <c r="J354">
        <f>'RESUMEN TOTAL'!O357</f>
        <v>0</v>
      </c>
      <c r="K354" t="str">
        <f>'RESUMEN TOTAL'!P357</f>
        <v>APAGADO</v>
      </c>
      <c r="L354" t="str">
        <f>'RESUMEN TOTAL'!Q357</f>
        <v>APAGADO</v>
      </c>
      <c r="M354" t="str">
        <f>'RESUMEN TOTAL'!R357</f>
        <v>APAGADO</v>
      </c>
      <c r="N354" t="str">
        <f>'RESUMEN TOTAL'!S357</f>
        <v>APAGADO</v>
      </c>
      <c r="O354" t="str">
        <f>'RESUMEN TOTAL'!T357</f>
        <v>APAGADO</v>
      </c>
      <c r="P354">
        <f>'RESUMEN TOTAL'!U357</f>
        <v>0</v>
      </c>
      <c r="Q354" t="str">
        <f>'RESUMEN TOTAL'!V357</f>
        <v>APAGADO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 t="str">
        <f>'RESUMEN TOTAL'!Z357</f>
        <v>APAGADO</v>
      </c>
      <c r="V354" t="str">
        <f>'RESUMEN TOTAL'!AA357</f>
        <v>APAGADO</v>
      </c>
      <c r="W354" t="str">
        <f>'RESUMEN TOTAL'!AB357</f>
        <v>APAGADO</v>
      </c>
      <c r="X354" t="str">
        <f>'RESUMEN TOTAL'!AC357</f>
        <v>APAGADO</v>
      </c>
      <c r="Y354" t="str">
        <f>'RESUMEN TOTAL'!AD357</f>
        <v>APAGADO</v>
      </c>
      <c r="Z354" t="str">
        <f>'RESUMEN TOTAL'!AE357</f>
        <v>APAGADO</v>
      </c>
      <c r="AA354">
        <f>'RESUMEN TOTAL'!AF357</f>
        <v>0</v>
      </c>
      <c r="AB354" t="str">
        <f>'RESUMEN TOTAL'!AG357</f>
        <v>APAGADO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 t="str">
        <f>'RESUMEN TOTAL'!AI360</f>
        <v>APAGADO</v>
      </c>
      <c r="AE357" t="str">
        <f>'RESUMEN TOTAL'!AJ360</f>
        <v>APAGADO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TOTAL'!K361</f>
        <v>APAGADO</v>
      </c>
      <c r="G358">
        <f>'RESUMEN TOTAL'!L361</f>
        <v>0</v>
      </c>
      <c r="H358" t="str">
        <f>'RESUMEN TOTAL'!M361</f>
        <v>APAGADO</v>
      </c>
      <c r="I358" t="str">
        <f>'RESUMEN TOTAL'!N361</f>
        <v>APAGADO</v>
      </c>
      <c r="J358" t="str">
        <f>'RESUMEN TOTAL'!O361</f>
        <v>APAGADO</v>
      </c>
      <c r="K358" t="str">
        <f>'RESUMEN TOTAL'!P361</f>
        <v>APAGADO</v>
      </c>
      <c r="L358" t="str">
        <f>'RESUMEN TOTAL'!Q361</f>
        <v>APAGADO</v>
      </c>
      <c r="M358" t="str">
        <f>'RESUMEN TOTAL'!R361</f>
        <v>APAGADO</v>
      </c>
      <c r="N358" t="str">
        <f>'RESUMEN TOTAL'!S361</f>
        <v>APAGADO</v>
      </c>
      <c r="O358" t="str">
        <f>'RESUMEN TOTAL'!T361</f>
        <v>APAGADO</v>
      </c>
      <c r="P358" t="str">
        <f>'RESUMEN TOTAL'!U361</f>
        <v>APAGADO</v>
      </c>
      <c r="Q358" t="str">
        <f>'RESUMEN TOTAL'!V361</f>
        <v>APAGADO</v>
      </c>
      <c r="R358" t="str">
        <f>'RESUMEN TOTAL'!W361</f>
        <v>APAGADO</v>
      </c>
      <c r="S358" t="str">
        <f>'RESUMEN TOTAL'!X361</f>
        <v>APAGADO</v>
      </c>
      <c r="T358" t="str">
        <f>'RESUMEN TOTAL'!Y361</f>
        <v>APAGADO</v>
      </c>
      <c r="U358" t="str">
        <f>'RESUMEN TOTAL'!Z361</f>
        <v>APAGADO</v>
      </c>
      <c r="V358" t="str">
        <f>'RESUMEN TOTAL'!AA361</f>
        <v>APAGADO</v>
      </c>
      <c r="W358" t="str">
        <f>'RESUMEN TOTAL'!AB361</f>
        <v>APAGADO</v>
      </c>
      <c r="X358" t="str">
        <f>'RESUMEN TOTAL'!AC361</f>
        <v>APAGADO</v>
      </c>
      <c r="Y358" t="str">
        <f>'RESUMEN TOTAL'!AD361</f>
        <v>APAGADO</v>
      </c>
      <c r="Z358" t="str">
        <f>'RESUMEN TOTAL'!AE361</f>
        <v>APAGADO</v>
      </c>
      <c r="AA358" t="str">
        <f>'RESUMEN TOTAL'!AF361</f>
        <v>APAGADO</v>
      </c>
      <c r="AB358" t="str">
        <f>'RESUMEN TOTAL'!AG361</f>
        <v>APAGADO</v>
      </c>
      <c r="AC358" t="str">
        <f>'RESUMEN TOTAL'!AH361</f>
        <v>APAGADO</v>
      </c>
      <c r="AD358" t="str">
        <f>'RESUMEN TOTAL'!AI361</f>
        <v>APAGADO</v>
      </c>
      <c r="AE358" t="str">
        <f>'RESUMEN TOTAL'!AJ361</f>
        <v>APAGADO</v>
      </c>
      <c r="AF358" t="str">
        <f>'RESUMEN TOTAL'!AK361</f>
        <v>APAGADO</v>
      </c>
      <c r="AG358" t="str">
        <f>'RESUMEN TOTAL'!AL361</f>
        <v>APAGADO</v>
      </c>
      <c r="AH358">
        <f>'RESUMEN TOTAL'!AM361</f>
        <v>0</v>
      </c>
      <c r="AI358">
        <f>'RESUMEN TOTAL'!AN361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TOTAL'!K362</f>
        <v>APAGADO</v>
      </c>
      <c r="G359">
        <f>'RESUMEN TOTAL'!L362</f>
        <v>0</v>
      </c>
      <c r="H359" t="str">
        <f>'RESUMEN TOTAL'!M362</f>
        <v>APAGADO</v>
      </c>
      <c r="I359" t="str">
        <f>'RESUMEN TOTAL'!N362</f>
        <v>APAGADO</v>
      </c>
      <c r="J359" t="str">
        <f>'RESUMEN TOTAL'!O362</f>
        <v>APAGADO</v>
      </c>
      <c r="K359" t="str">
        <f>'RESUMEN TOTAL'!P362</f>
        <v>APAGADO</v>
      </c>
      <c r="L359" t="str">
        <f>'RESUMEN TOTAL'!Q362</f>
        <v>APAGADO</v>
      </c>
      <c r="M359" t="str">
        <f>'RESUMEN TOTAL'!R362</f>
        <v>APAGADO</v>
      </c>
      <c r="N359" t="str">
        <f>'RESUMEN TOTAL'!S362</f>
        <v>APAGADO</v>
      </c>
      <c r="O359" t="str">
        <f>'RESUMEN TOTAL'!T362</f>
        <v>APAGADO</v>
      </c>
      <c r="P359" t="str">
        <f>'RESUMEN TOTAL'!U362</f>
        <v>APAGADO</v>
      </c>
      <c r="Q359" t="str">
        <f>'RESUMEN TOTAL'!V362</f>
        <v>APAGADO</v>
      </c>
      <c r="R359" t="str">
        <f>'RESUMEN TOTAL'!W362</f>
        <v>APAGADO</v>
      </c>
      <c r="S359" t="str">
        <f>'RESUMEN TOTAL'!X362</f>
        <v>APAGADO</v>
      </c>
      <c r="T359" t="str">
        <f>'RESUMEN TOTAL'!Y362</f>
        <v>APAGADO</v>
      </c>
      <c r="U359" t="str">
        <f>'RESUMEN TOTAL'!Z362</f>
        <v>APAGADO</v>
      </c>
      <c r="V359" t="str">
        <f>'RESUMEN TOTAL'!AA362</f>
        <v>APAGADO</v>
      </c>
      <c r="W359" t="str">
        <f>'RESUMEN TOTAL'!AB362</f>
        <v>APAGADO</v>
      </c>
      <c r="X359" t="str">
        <f>'RESUMEN TOTAL'!AC362</f>
        <v>APAGADO</v>
      </c>
      <c r="Y359" t="str">
        <f>'RESUMEN TOTAL'!AD362</f>
        <v>APAGADO</v>
      </c>
      <c r="Z359" t="str">
        <f>'RESUMEN TOTAL'!AE362</f>
        <v>APAGADO</v>
      </c>
      <c r="AA359" t="str">
        <f>'RESUMEN TOTAL'!AF362</f>
        <v>APAGADO</v>
      </c>
      <c r="AB359" t="str">
        <f>'RESUMEN TOTAL'!AG362</f>
        <v>APAGADO</v>
      </c>
      <c r="AC359" t="str">
        <f>'RESUMEN TOTAL'!AH362</f>
        <v>APAGADO</v>
      </c>
      <c r="AD359" t="str">
        <f>'RESUMEN TOTAL'!AI362</f>
        <v>APAGADO</v>
      </c>
      <c r="AE359" t="str">
        <f>'RESUMEN TOTAL'!AJ362</f>
        <v>APAGADO</v>
      </c>
      <c r="AF359" t="str">
        <f>'RESUMEN TOTAL'!AK362</f>
        <v>APAGADO</v>
      </c>
      <c r="AG359" t="str">
        <f>'RESUMEN TOTAL'!AL362</f>
        <v>APAGADO</v>
      </c>
      <c r="AH359">
        <f>'RESUMEN TOTAL'!AM362</f>
        <v>0</v>
      </c>
      <c r="AI359">
        <f>'RESUMEN TOTAL'!AN362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 t="str">
        <f>'RESUMEN TOTAL'!X369</f>
        <v>APAGADO</v>
      </c>
      <c r="T366" t="str">
        <f>'RESUMEN TOTAL'!Y369</f>
        <v>APAGADO</v>
      </c>
      <c r="U366" t="str">
        <f>'RESUMEN TOTAL'!Z369</f>
        <v>APAGADO</v>
      </c>
      <c r="V366" t="str">
        <f>'RESUMEN TOTAL'!AA369</f>
        <v>APAGADO</v>
      </c>
      <c r="W366" t="str">
        <f>'RESUMEN TOTAL'!AB369</f>
        <v>APAGADO</v>
      </c>
      <c r="X366" t="str">
        <f>'RESUMEN TOTAL'!AC369</f>
        <v>APAGADO</v>
      </c>
      <c r="Y366" t="str">
        <f>'RESUMEN TOTAL'!AD369</f>
        <v>APAGADO</v>
      </c>
      <c r="Z366" t="str">
        <f>'RESUMEN TOTAL'!AE369</f>
        <v>APAGADO</v>
      </c>
      <c r="AA366" t="str">
        <f>'RESUMEN TOTAL'!AF369</f>
        <v>APAGADO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 t="str">
        <f>'RESUMEN TOTAL'!P370</f>
        <v>APAGADO</v>
      </c>
      <c r="L367" t="str">
        <f>'RESUMEN TOTAL'!Q370</f>
        <v>APAGADO</v>
      </c>
      <c r="M367" t="str">
        <f>'RESUMEN TOTAL'!R370</f>
        <v>APAGADO</v>
      </c>
      <c r="N367" t="str">
        <f>'RESUMEN TOTAL'!S370</f>
        <v>APAGADO</v>
      </c>
      <c r="O367" t="str">
        <f>'RESUMEN TOTAL'!T370</f>
        <v>APAGADO</v>
      </c>
      <c r="P367" t="str">
        <f>'RESUMEN TOTAL'!U370</f>
        <v>APAGADO</v>
      </c>
      <c r="Q367" t="str">
        <f>'RESUMEN TOTAL'!V370</f>
        <v>APAGADO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 t="str">
        <f>'RESUMEN TOTAL'!Q371</f>
        <v>APAGADO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 t="str">
        <f>'RESUMEN TOTAL'!Q372</f>
        <v>APAGADO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 t="str">
        <f>'RESUMEN TOTAL'!Q373</f>
        <v>APAGADO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 t="str">
        <f>'RESUMEN TOTAL'!Q374</f>
        <v>APAGADO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TOTAL'!K378</f>
        <v>0</v>
      </c>
      <c r="G375" s="51">
        <f>'RESUMEN TOTAL'!L378</f>
        <v>0</v>
      </c>
      <c r="H375" s="51">
        <f>'RESUMEN TOTAL'!M378</f>
        <v>0</v>
      </c>
      <c r="I375" s="51">
        <f>'RESUMEN TOTAL'!N378</f>
        <v>0</v>
      </c>
      <c r="J375" s="51">
        <f>'RESUMEN TOTAL'!O378</f>
        <v>0</v>
      </c>
      <c r="K375" s="51">
        <f>'RESUMEN TOTAL'!P378</f>
        <v>0</v>
      </c>
      <c r="L375" s="51">
        <f>'RESUMEN TOTAL'!Q378</f>
        <v>0</v>
      </c>
      <c r="M375" s="51">
        <f>'RESUMEN TOTAL'!R378</f>
        <v>0</v>
      </c>
      <c r="N375" s="51">
        <f>'RESUMEN TOTAL'!S378</f>
        <v>0</v>
      </c>
      <c r="O375" s="51">
        <f>'RESUMEN TOTAL'!T378</f>
        <v>0</v>
      </c>
      <c r="P375" s="51">
        <f>'RESUMEN TOTAL'!U378</f>
        <v>0</v>
      </c>
      <c r="Q375" s="51">
        <f>'RESUMEN TOTAL'!V378</f>
        <v>0</v>
      </c>
      <c r="R375" s="51">
        <f>'RESUMEN TOTAL'!W378</f>
        <v>0</v>
      </c>
      <c r="S375" s="51">
        <f>'RESUMEN TOTAL'!X378</f>
        <v>0</v>
      </c>
      <c r="T375" s="51">
        <f>'RESUMEN TOTAL'!Y378</f>
        <v>0</v>
      </c>
      <c r="U375" s="51">
        <f>'RESUMEN TOTAL'!Z378</f>
        <v>0</v>
      </c>
      <c r="V375" s="51">
        <f>'RESUMEN TOTAL'!AA378</f>
        <v>0</v>
      </c>
      <c r="W375" s="51">
        <f>'RESUMEN TOTAL'!AB378</f>
        <v>0</v>
      </c>
      <c r="X375" s="51">
        <f>'RESUMEN TOTAL'!AC378</f>
        <v>0</v>
      </c>
      <c r="Y375" s="51">
        <f>'RESUMEN TOTAL'!AD378</f>
        <v>0</v>
      </c>
      <c r="Z375" s="51">
        <f>'RESUMEN TOTAL'!AE378</f>
        <v>0</v>
      </c>
      <c r="AA375" s="51">
        <f>'RESUMEN TOTAL'!AF378</f>
        <v>0</v>
      </c>
      <c r="AB375" s="51">
        <f>'RESUMEN TOTAL'!AG378</f>
        <v>0</v>
      </c>
      <c r="AC375" s="51">
        <f>'RESUMEN TOTAL'!AH378</f>
        <v>0</v>
      </c>
      <c r="AD375" s="51">
        <f>'RESUMEN TOTAL'!AI378</f>
        <v>0</v>
      </c>
      <c r="AE375" s="51">
        <f>'RESUMEN TOTAL'!AJ378</f>
        <v>0</v>
      </c>
      <c r="AF375" s="51">
        <f>'RESUMEN TOTAL'!AK378</f>
        <v>0</v>
      </c>
      <c r="AG375" s="51">
        <f>'RESUMEN TOTAL'!AL378</f>
        <v>0</v>
      </c>
      <c r="AH375" s="51">
        <f>'RESUMEN TOTAL'!AM378</f>
        <v>0</v>
      </c>
      <c r="AI375" s="51">
        <f>'RESUMEN TOTAL'!AN378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TOTAL'!K379</f>
        <v>0</v>
      </c>
      <c r="G376" s="51">
        <f>'RESUMEN TOTAL'!L379</f>
        <v>0</v>
      </c>
      <c r="H376" s="51">
        <f>'RESUMEN TOTAL'!M379</f>
        <v>0</v>
      </c>
      <c r="I376" s="51">
        <f>'RESUMEN TOTAL'!N379</f>
        <v>0</v>
      </c>
      <c r="J376" s="51">
        <f>'RESUMEN TOTAL'!O379</f>
        <v>0</v>
      </c>
      <c r="K376" s="51">
        <f>'RESUMEN TOTAL'!P379</f>
        <v>0</v>
      </c>
      <c r="L376" s="51">
        <f>'RESUMEN TOTAL'!Q379</f>
        <v>0</v>
      </c>
      <c r="M376" s="51">
        <f>'RESUMEN TOTAL'!R379</f>
        <v>0</v>
      </c>
      <c r="N376" s="51">
        <f>'RESUMEN TOTAL'!S379</f>
        <v>0</v>
      </c>
      <c r="O376" s="51">
        <f>'RESUMEN TOTAL'!T379</f>
        <v>0</v>
      </c>
      <c r="P376" s="51">
        <f>'RESUMEN TOTAL'!U379</f>
        <v>0</v>
      </c>
      <c r="Q376" s="51">
        <f>'RESUMEN TOTAL'!V379</f>
        <v>0</v>
      </c>
      <c r="R376" s="51">
        <f>'RESUMEN TOTAL'!W379</f>
        <v>0</v>
      </c>
      <c r="S376" s="51">
        <f>'RESUMEN TOTAL'!X379</f>
        <v>0</v>
      </c>
      <c r="T376" s="51">
        <f>'RESUMEN TOTAL'!Y379</f>
        <v>0</v>
      </c>
      <c r="U376" s="51">
        <f>'RESUMEN TOTAL'!Z379</f>
        <v>0</v>
      </c>
      <c r="V376" s="51">
        <f>'RESUMEN TOTAL'!AA379</f>
        <v>0</v>
      </c>
      <c r="W376" s="51">
        <f>'RESUMEN TOTAL'!AB379</f>
        <v>0</v>
      </c>
      <c r="X376" s="51">
        <f>'RESUMEN TOTAL'!AC379</f>
        <v>0</v>
      </c>
      <c r="Y376" s="51">
        <f>'RESUMEN TOTAL'!AD379</f>
        <v>0</v>
      </c>
      <c r="Z376" s="51">
        <f>'RESUMEN TOTAL'!AE379</f>
        <v>0</v>
      </c>
      <c r="AA376" s="51">
        <f>'RESUMEN TOTAL'!AF379</f>
        <v>0</v>
      </c>
      <c r="AB376" s="51">
        <f>'RESUMEN TOTAL'!AG379</f>
        <v>0</v>
      </c>
      <c r="AC376" s="51">
        <f>'RESUMEN TOTAL'!AH379</f>
        <v>0</v>
      </c>
      <c r="AD376" s="51">
        <f>'RESUMEN TOTAL'!AI379</f>
        <v>0</v>
      </c>
      <c r="AE376" s="51">
        <f>'RESUMEN TOTAL'!AJ379</f>
        <v>0</v>
      </c>
      <c r="AF376" s="51">
        <f>'RESUMEN TOTAL'!AK379</f>
        <v>0</v>
      </c>
      <c r="AG376" s="51">
        <f>'RESUMEN TOTAL'!AL379</f>
        <v>0</v>
      </c>
      <c r="AH376" s="51">
        <f>'RESUMEN TOTAL'!AM379</f>
        <v>0</v>
      </c>
      <c r="AI376" s="51">
        <f>'RESUMEN TOTAL'!AN379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Rio Carapachay y Oroño</v>
      </c>
      <c r="D377" s="51" t="str">
        <f>'RESUMEN TOTAL'!E380</f>
        <v>Domo</v>
      </c>
      <c r="E377" s="51" t="str">
        <f>'RESUMEN TOTAL'!F380</f>
        <v>Radio</v>
      </c>
      <c r="F377" s="51">
        <f>'RESUMEN TOTAL'!K380</f>
        <v>0</v>
      </c>
      <c r="G377" s="51">
        <f>'RESUMEN TOTAL'!L380</f>
        <v>0</v>
      </c>
      <c r="H377" s="51">
        <f>'RESUMEN TOTAL'!M380</f>
        <v>0</v>
      </c>
      <c r="I377" s="51">
        <f>'RESUMEN TOTAL'!N380</f>
        <v>0</v>
      </c>
      <c r="J377" s="51">
        <f>'RESUMEN TOTAL'!O380</f>
        <v>0</v>
      </c>
      <c r="K377" s="51">
        <f>'RESUMEN TOTAL'!P380</f>
        <v>0</v>
      </c>
      <c r="L377" s="51">
        <f>'RESUMEN TOTAL'!Q380</f>
        <v>0</v>
      </c>
      <c r="M377" s="51">
        <f>'RESUMEN TOTAL'!R380</f>
        <v>0</v>
      </c>
      <c r="N377" s="51">
        <f>'RESUMEN TOTAL'!S380</f>
        <v>0</v>
      </c>
      <c r="O377" s="51">
        <f>'RESUMEN TOTAL'!T380</f>
        <v>0</v>
      </c>
      <c r="P377" s="51">
        <f>'RESUMEN TOTAL'!U380</f>
        <v>0</v>
      </c>
      <c r="Q377" s="51">
        <f>'RESUMEN TOTAL'!V380</f>
        <v>0</v>
      </c>
      <c r="R377" s="51">
        <f>'RESUMEN TOTAL'!W380</f>
        <v>0</v>
      </c>
      <c r="S377" s="51">
        <f>'RESUMEN TOTAL'!X380</f>
        <v>0</v>
      </c>
      <c r="T377" s="51">
        <f>'RESUMEN TOTAL'!Y380</f>
        <v>0</v>
      </c>
      <c r="U377" s="51">
        <f>'RESUMEN TOTAL'!Z380</f>
        <v>0</v>
      </c>
      <c r="V377" s="51">
        <f>'RESUMEN TOTAL'!AA380</f>
        <v>0</v>
      </c>
      <c r="W377" s="51">
        <f>'RESUMEN TOTAL'!AB380</f>
        <v>0</v>
      </c>
      <c r="X377" s="51">
        <f>'RESUMEN TOTAL'!AC380</f>
        <v>0</v>
      </c>
      <c r="Y377" s="51">
        <f>'RESUMEN TOTAL'!AD380</f>
        <v>0</v>
      </c>
      <c r="Z377" s="51">
        <f>'RESUMEN TOTAL'!AE380</f>
        <v>0</v>
      </c>
      <c r="AA377" s="51">
        <f>'RESUMEN TOTAL'!AF380</f>
        <v>0</v>
      </c>
      <c r="AB377" s="51">
        <f>'RESUMEN TOTAL'!AG380</f>
        <v>0</v>
      </c>
      <c r="AC377" s="51">
        <f>'RESUMEN TOTAL'!AH380</f>
        <v>0</v>
      </c>
      <c r="AD377" s="51">
        <f>'RESUMEN TOTAL'!AI380</f>
        <v>0</v>
      </c>
      <c r="AE377" s="51">
        <f>'RESUMEN TOTAL'!AJ380</f>
        <v>0</v>
      </c>
      <c r="AF377" s="51">
        <f>'RESUMEN TOTAL'!AK380</f>
        <v>0</v>
      </c>
      <c r="AG377" s="51">
        <f>'RESUMEN TOTAL'!AL380</f>
        <v>0</v>
      </c>
      <c r="AH377" s="51">
        <f>'RESUMEN TOTAL'!AM380</f>
        <v>0</v>
      </c>
      <c r="AI377" s="51">
        <f>'RESUMEN TOTAL'!AN380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OROÑO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TOTAL'!K381</f>
        <v>0</v>
      </c>
      <c r="G378" s="51">
        <f>'RESUMEN TOTAL'!L381</f>
        <v>0</v>
      </c>
      <c r="H378" s="51">
        <f>'RESUMEN TOTAL'!M381</f>
        <v>0</v>
      </c>
      <c r="I378" s="51">
        <f>'RESUMEN TOTAL'!N381</f>
        <v>0</v>
      </c>
      <c r="J378" s="51">
        <f>'RESUMEN TOTAL'!O381</f>
        <v>0</v>
      </c>
      <c r="K378" s="51">
        <f>'RESUMEN TOTAL'!P381</f>
        <v>0</v>
      </c>
      <c r="L378" s="51">
        <f>'RESUMEN TOTAL'!Q381</f>
        <v>0</v>
      </c>
      <c r="M378" s="51">
        <f>'RESUMEN TOTAL'!R381</f>
        <v>0</v>
      </c>
      <c r="N378" s="51">
        <f>'RESUMEN TOTAL'!S381</f>
        <v>0</v>
      </c>
      <c r="O378" s="51">
        <f>'RESUMEN TOTAL'!T381</f>
        <v>0</v>
      </c>
      <c r="P378" s="51">
        <f>'RESUMEN TOTAL'!U381</f>
        <v>0</v>
      </c>
      <c r="Q378" s="51">
        <f>'RESUMEN TOTAL'!V381</f>
        <v>0</v>
      </c>
      <c r="R378" s="51">
        <f>'RESUMEN TOTAL'!W381</f>
        <v>0</v>
      </c>
      <c r="S378" s="51">
        <f>'RESUMEN TOTAL'!X381</f>
        <v>0</v>
      </c>
      <c r="T378" s="51">
        <f>'RESUMEN TOTAL'!Y381</f>
        <v>0</v>
      </c>
      <c r="U378" s="51">
        <f>'RESUMEN TOTAL'!Z381</f>
        <v>0</v>
      </c>
      <c r="V378" s="51">
        <f>'RESUMEN TOTAL'!AA381</f>
        <v>0</v>
      </c>
      <c r="W378" s="51">
        <f>'RESUMEN TOTAL'!AB381</f>
        <v>0</v>
      </c>
      <c r="X378" s="51">
        <f>'RESUMEN TOTAL'!AC381</f>
        <v>0</v>
      </c>
      <c r="Y378" s="51">
        <f>'RESUMEN TOTAL'!AD381</f>
        <v>0</v>
      </c>
      <c r="Z378" s="51">
        <f>'RESUMEN TOTAL'!AE381</f>
        <v>0</v>
      </c>
      <c r="AA378" s="51">
        <f>'RESUMEN TOTAL'!AF381</f>
        <v>0</v>
      </c>
      <c r="AB378" s="51">
        <f>'RESUMEN TOTAL'!AG381</f>
        <v>0</v>
      </c>
      <c r="AC378" s="51">
        <f>'RESUMEN TOTAL'!AH381</f>
        <v>0</v>
      </c>
      <c r="AD378" s="51">
        <f>'RESUMEN TOTAL'!AI381</f>
        <v>0</v>
      </c>
      <c r="AE378" s="51">
        <f>'RESUMEN TOTAL'!AJ381</f>
        <v>0</v>
      </c>
      <c r="AF378" s="51">
        <f>'RESUMEN TOTAL'!AK381</f>
        <v>0</v>
      </c>
      <c r="AG378" s="51">
        <f>'RESUMEN TOTAL'!AL381</f>
        <v>0</v>
      </c>
      <c r="AH378" s="51">
        <f>'RESUMEN TOTAL'!AM381</f>
        <v>0</v>
      </c>
      <c r="AI378" s="51">
        <f>'RESUMEN TOTAL'!AN381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OROÑO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TOTAL'!K382</f>
        <v>0</v>
      </c>
      <c r="G379" s="51">
        <f>'RESUMEN TOTAL'!L382</f>
        <v>0</v>
      </c>
      <c r="H379" s="51">
        <f>'RESUMEN TOTAL'!M382</f>
        <v>0</v>
      </c>
      <c r="I379" s="51">
        <f>'RESUMEN TOTAL'!N382</f>
        <v>0</v>
      </c>
      <c r="J379" s="51">
        <f>'RESUMEN TOTAL'!O382</f>
        <v>0</v>
      </c>
      <c r="K379" s="51">
        <f>'RESUMEN TOTAL'!P382</f>
        <v>0</v>
      </c>
      <c r="L379" s="51">
        <f>'RESUMEN TOTAL'!Q382</f>
        <v>0</v>
      </c>
      <c r="M379" s="51">
        <f>'RESUMEN TOTAL'!R382</f>
        <v>0</v>
      </c>
      <c r="N379" s="51">
        <f>'RESUMEN TOTAL'!S382</f>
        <v>0</v>
      </c>
      <c r="O379" s="51">
        <f>'RESUMEN TOTAL'!T382</f>
        <v>0</v>
      </c>
      <c r="P379" s="51">
        <f>'RESUMEN TOTAL'!U382</f>
        <v>0</v>
      </c>
      <c r="Q379" s="51">
        <f>'RESUMEN TOTAL'!V382</f>
        <v>0</v>
      </c>
      <c r="R379" s="51">
        <f>'RESUMEN TOTAL'!W382</f>
        <v>0</v>
      </c>
      <c r="S379" s="51">
        <f>'RESUMEN TOTAL'!X382</f>
        <v>0</v>
      </c>
      <c r="T379" s="51">
        <f>'RESUMEN TOTAL'!Y382</f>
        <v>0</v>
      </c>
      <c r="U379" s="51">
        <f>'RESUMEN TOTAL'!Z382</f>
        <v>0</v>
      </c>
      <c r="V379" s="51">
        <f>'RESUMEN TOTAL'!AA382</f>
        <v>0</v>
      </c>
      <c r="W379" s="51">
        <f>'RESUMEN TOTAL'!AB382</f>
        <v>0</v>
      </c>
      <c r="X379" s="51">
        <f>'RESUMEN TOTAL'!AC382</f>
        <v>0</v>
      </c>
      <c r="Y379" s="51">
        <f>'RESUMEN TOTAL'!AD382</f>
        <v>0</v>
      </c>
      <c r="Z379" s="51">
        <f>'RESUMEN TOTAL'!AE382</f>
        <v>0</v>
      </c>
      <c r="AA379" s="51">
        <f>'RESUMEN TOTAL'!AF382</f>
        <v>0</v>
      </c>
      <c r="AB379" s="51">
        <f>'RESUMEN TOTAL'!AG382</f>
        <v>0</v>
      </c>
      <c r="AC379" s="51">
        <f>'RESUMEN TOTAL'!AH382</f>
        <v>0</v>
      </c>
      <c r="AD379" s="51">
        <f>'RESUMEN TOTAL'!AI382</f>
        <v>0</v>
      </c>
      <c r="AE379" s="51">
        <f>'RESUMEN TOTAL'!AJ382</f>
        <v>0</v>
      </c>
      <c r="AF379" s="51">
        <f>'RESUMEN TOTAL'!AK382</f>
        <v>0</v>
      </c>
      <c r="AG379" s="51">
        <f>'RESUMEN TOTAL'!AL382</f>
        <v>0</v>
      </c>
      <c r="AH379" s="51">
        <f>'RESUMEN TOTAL'!AM382</f>
        <v>0</v>
      </c>
      <c r="AI379" s="51">
        <f>'RESUMEN TOTAL'!AN382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TOTAL'!K383</f>
        <v>0</v>
      </c>
      <c r="G380" s="51">
        <f>'RESUMEN TOTAL'!L383</f>
        <v>0</v>
      </c>
      <c r="H380" s="51">
        <f>'RESUMEN TOTAL'!M383</f>
        <v>0</v>
      </c>
      <c r="I380" s="51">
        <f>'RESUMEN TOTAL'!N383</f>
        <v>0</v>
      </c>
      <c r="J380" s="51">
        <f>'RESUMEN TOTAL'!O383</f>
        <v>0</v>
      </c>
      <c r="K380" s="51">
        <f>'RESUMEN TOTAL'!P383</f>
        <v>0</v>
      </c>
      <c r="L380" s="51">
        <f>'RESUMEN TOTAL'!Q383</f>
        <v>0</v>
      </c>
      <c r="M380" s="51">
        <f>'RESUMEN TOTAL'!R383</f>
        <v>0</v>
      </c>
      <c r="N380" s="51">
        <f>'RESUMEN TOTAL'!S383</f>
        <v>0</v>
      </c>
      <c r="O380" s="51">
        <f>'RESUMEN TOTAL'!T383</f>
        <v>0</v>
      </c>
      <c r="P380" s="51">
        <f>'RESUMEN TOTAL'!U383</f>
        <v>0</v>
      </c>
      <c r="Q380" s="51">
        <f>'RESUMEN TOTAL'!V383</f>
        <v>0</v>
      </c>
      <c r="R380" s="51">
        <f>'RESUMEN TOTAL'!W383</f>
        <v>0</v>
      </c>
      <c r="S380" s="51">
        <f>'RESUMEN TOTAL'!X383</f>
        <v>0</v>
      </c>
      <c r="T380" s="51">
        <f>'RESUMEN TOTAL'!Y383</f>
        <v>0</v>
      </c>
      <c r="U380" s="51">
        <f>'RESUMEN TOTAL'!Z383</f>
        <v>0</v>
      </c>
      <c r="V380" s="51">
        <f>'RESUMEN TOTAL'!AA383</f>
        <v>0</v>
      </c>
      <c r="W380" s="51">
        <f>'RESUMEN TOTAL'!AB383</f>
        <v>0</v>
      </c>
      <c r="X380" s="51">
        <f>'RESUMEN TOTAL'!AC383</f>
        <v>0</v>
      </c>
      <c r="Y380" s="51">
        <f>'RESUMEN TOTAL'!AD383</f>
        <v>0</v>
      </c>
      <c r="Z380" s="51">
        <f>'RESUMEN TOTAL'!AE383</f>
        <v>0</v>
      </c>
      <c r="AA380" s="51">
        <f>'RESUMEN TOTAL'!AF383</f>
        <v>0</v>
      </c>
      <c r="AB380" s="51">
        <f>'RESUMEN TOTAL'!AG383</f>
        <v>0</v>
      </c>
      <c r="AC380" s="51">
        <f>'RESUMEN TOTAL'!AH383</f>
        <v>0</v>
      </c>
      <c r="AD380" s="51">
        <f>'RESUMEN TOTAL'!AI383</f>
        <v>0</v>
      </c>
      <c r="AE380" s="51">
        <f>'RESUMEN TOTAL'!AJ383</f>
        <v>0</v>
      </c>
      <c r="AF380" s="51">
        <f>'RESUMEN TOTAL'!AK383</f>
        <v>0</v>
      </c>
      <c r="AG380" s="51">
        <f>'RESUMEN TOTAL'!AL383</f>
        <v>0</v>
      </c>
      <c r="AH380" s="51">
        <f>'RESUMEN TOTAL'!AM383</f>
        <v>0</v>
      </c>
      <c r="AI380" s="51">
        <f>'RESUMEN TOTAL'!AN383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TOTAL'!K384</f>
        <v>0</v>
      </c>
      <c r="G381" s="51">
        <f>'RESUMEN TOTAL'!L384</f>
        <v>0</v>
      </c>
      <c r="H381" s="51">
        <f>'RESUMEN TOTAL'!M384</f>
        <v>0</v>
      </c>
      <c r="I381" s="51">
        <f>'RESUMEN TOTAL'!N384</f>
        <v>0</v>
      </c>
      <c r="J381" s="51">
        <f>'RESUMEN TOTAL'!O384</f>
        <v>0</v>
      </c>
      <c r="K381" s="51">
        <f>'RESUMEN TOTAL'!P384</f>
        <v>0</v>
      </c>
      <c r="L381" s="51">
        <f>'RESUMEN TOTAL'!Q384</f>
        <v>0</v>
      </c>
      <c r="M381" s="51">
        <f>'RESUMEN TOTAL'!R384</f>
        <v>0</v>
      </c>
      <c r="N381" s="51">
        <f>'RESUMEN TOTAL'!S384</f>
        <v>0</v>
      </c>
      <c r="O381" s="51">
        <f>'RESUMEN TOTAL'!T384</f>
        <v>0</v>
      </c>
      <c r="P381" s="51">
        <f>'RESUMEN TOTAL'!U384</f>
        <v>0</v>
      </c>
      <c r="Q381" s="51">
        <f>'RESUMEN TOTAL'!V384</f>
        <v>0</v>
      </c>
      <c r="R381" s="51">
        <f>'RESUMEN TOTAL'!W384</f>
        <v>0</v>
      </c>
      <c r="S381" s="51">
        <f>'RESUMEN TOTAL'!X384</f>
        <v>0</v>
      </c>
      <c r="T381" s="51">
        <f>'RESUMEN TOTAL'!Y384</f>
        <v>0</v>
      </c>
      <c r="U381" s="51">
        <f>'RESUMEN TOTAL'!Z384</f>
        <v>0</v>
      </c>
      <c r="V381" s="51">
        <f>'RESUMEN TOTAL'!AA384</f>
        <v>0</v>
      </c>
      <c r="W381" s="51">
        <f>'RESUMEN TOTAL'!AB384</f>
        <v>0</v>
      </c>
      <c r="X381" s="51">
        <f>'RESUMEN TOTAL'!AC384</f>
        <v>0</v>
      </c>
      <c r="Y381" s="51">
        <f>'RESUMEN TOTAL'!AD384</f>
        <v>0</v>
      </c>
      <c r="Z381" s="51">
        <f>'RESUMEN TOTAL'!AE384</f>
        <v>0</v>
      </c>
      <c r="AA381" s="51">
        <f>'RESUMEN TOTAL'!AF384</f>
        <v>0</v>
      </c>
      <c r="AB381" s="51">
        <f>'RESUMEN TOTAL'!AG384</f>
        <v>0</v>
      </c>
      <c r="AC381" s="51">
        <f>'RESUMEN TOTAL'!AH384</f>
        <v>0</v>
      </c>
      <c r="AD381" s="51">
        <f>'RESUMEN TOTAL'!AI384</f>
        <v>0</v>
      </c>
      <c r="AE381" s="51">
        <f>'RESUMEN TOTAL'!AJ384</f>
        <v>0</v>
      </c>
      <c r="AF381" s="51">
        <f>'RESUMEN TOTAL'!AK384</f>
        <v>0</v>
      </c>
      <c r="AG381" s="51">
        <f>'RESUMEN TOTAL'!AL384</f>
        <v>0</v>
      </c>
      <c r="AH381" s="51">
        <f>'RESUMEN TOTAL'!AM384</f>
        <v>0</v>
      </c>
      <c r="AI381" s="51">
        <f>'RESUMEN TOTAL'!AN384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TOTAL'!K385</f>
        <v>APAGADO</v>
      </c>
      <c r="G382" s="51" t="str">
        <f>'RESUMEN TOTAL'!L385</f>
        <v>APAGADO</v>
      </c>
      <c r="H382" s="51" t="str">
        <f>'RESUMEN TOTAL'!M385</f>
        <v>APAGADO</v>
      </c>
      <c r="I382" s="51" t="str">
        <f>'RESUMEN TOTAL'!N385</f>
        <v>APAGADO</v>
      </c>
      <c r="J382" s="51" t="str">
        <f>'RESUMEN TOTAL'!O385</f>
        <v>APAGADO</v>
      </c>
      <c r="K382" s="51" t="str">
        <f>'RESUMEN TOTAL'!P385</f>
        <v>APAGADO</v>
      </c>
      <c r="L382" s="51" t="str">
        <f>'RESUMEN TOTAL'!Q385</f>
        <v>APAGADO</v>
      </c>
      <c r="M382" s="51" t="str">
        <f>'RESUMEN TOTAL'!R385</f>
        <v>APAGADO</v>
      </c>
      <c r="N382" s="51" t="str">
        <f>'RESUMEN TOTAL'!S385</f>
        <v>APAGADO</v>
      </c>
      <c r="O382" s="51" t="str">
        <f>'RESUMEN TOTAL'!T385</f>
        <v>APAGADO</v>
      </c>
      <c r="P382" s="51">
        <f>'RESUMEN TOTAL'!U385</f>
        <v>0</v>
      </c>
      <c r="Q382" s="51">
        <f>'RESUMEN TOTAL'!V385</f>
        <v>0</v>
      </c>
      <c r="R382" s="51">
        <f>'RESUMEN TOTAL'!W385</f>
        <v>0</v>
      </c>
      <c r="S382" s="51">
        <f>'RESUMEN TOTAL'!X385</f>
        <v>0</v>
      </c>
      <c r="T382" s="51">
        <f>'RESUMEN TOTAL'!Y385</f>
        <v>0</v>
      </c>
      <c r="U382" s="51">
        <f>'RESUMEN TOTAL'!Z385</f>
        <v>0</v>
      </c>
      <c r="V382" s="51">
        <f>'RESUMEN TOTAL'!AA385</f>
        <v>0</v>
      </c>
      <c r="W382" s="51">
        <f>'RESUMEN TOTAL'!AB385</f>
        <v>0</v>
      </c>
      <c r="X382" s="51">
        <f>'RESUMEN TOTAL'!AC385</f>
        <v>0</v>
      </c>
      <c r="Y382" s="51">
        <f>'RESUMEN TOTAL'!AD385</f>
        <v>0</v>
      </c>
      <c r="Z382" s="51">
        <f>'RESUMEN TOTAL'!AE385</f>
        <v>0</v>
      </c>
      <c r="AA382" s="51">
        <f>'RESUMEN TOTAL'!AF385</f>
        <v>0</v>
      </c>
      <c r="AB382" s="51">
        <f>'RESUMEN TOTAL'!AG385</f>
        <v>0</v>
      </c>
      <c r="AC382" s="51">
        <f>'RESUMEN TOTAL'!AH385</f>
        <v>0</v>
      </c>
      <c r="AD382" s="51">
        <f>'RESUMEN TOTAL'!AI385</f>
        <v>0</v>
      </c>
      <c r="AE382" s="51">
        <f>'RESUMEN TOTAL'!AJ385</f>
        <v>0</v>
      </c>
      <c r="AF382" s="51" t="str">
        <f>'RESUMEN TOTAL'!AK385</f>
        <v>APAGADO</v>
      </c>
      <c r="AG382" s="51" t="str">
        <f>'RESUMEN TOTAL'!AL385</f>
        <v>APAGADO</v>
      </c>
      <c r="AH382" s="51">
        <f>'RESUMEN TOTAL'!AM385</f>
        <v>0</v>
      </c>
      <c r="AI382" s="51">
        <f>'RESUMEN TOTAL'!AN385</f>
        <v>0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TOTAL'!K386</f>
        <v>APAGADO</v>
      </c>
      <c r="G383" s="51" t="str">
        <f>'RESUMEN TOTAL'!L386</f>
        <v>APAGADO</v>
      </c>
      <c r="H383" s="51" t="str">
        <f>'RESUMEN TOTAL'!M386</f>
        <v>APAGADO</v>
      </c>
      <c r="I383" s="51" t="str">
        <f>'RESUMEN TOTAL'!N386</f>
        <v>APAGADO</v>
      </c>
      <c r="J383" s="51" t="str">
        <f>'RESUMEN TOTAL'!O386</f>
        <v>APAGADO</v>
      </c>
      <c r="K383" s="51" t="str">
        <f>'RESUMEN TOTAL'!P386</f>
        <v>APAGADO</v>
      </c>
      <c r="L383" s="51" t="str">
        <f>'RESUMEN TOTAL'!Q386</f>
        <v>APAGADO</v>
      </c>
      <c r="M383" s="51" t="str">
        <f>'RESUMEN TOTAL'!R386</f>
        <v>APAGADO</v>
      </c>
      <c r="N383" s="51" t="str">
        <f>'RESUMEN TOTAL'!S386</f>
        <v>APAGADO</v>
      </c>
      <c r="O383" s="51" t="str">
        <f>'RESUMEN TOTAL'!T386</f>
        <v>APAGADO</v>
      </c>
      <c r="P383" s="51">
        <f>'RESUMEN TOTAL'!U386</f>
        <v>0</v>
      </c>
      <c r="Q383" s="51">
        <f>'RESUMEN TOTAL'!V386</f>
        <v>0</v>
      </c>
      <c r="R383" s="51">
        <f>'RESUMEN TOTAL'!W386</f>
        <v>0</v>
      </c>
      <c r="S383" s="51">
        <f>'RESUMEN TOTAL'!X386</f>
        <v>0</v>
      </c>
      <c r="T383" s="51">
        <f>'RESUMEN TOTAL'!Y386</f>
        <v>0</v>
      </c>
      <c r="U383" s="51">
        <f>'RESUMEN TOTAL'!Z386</f>
        <v>0</v>
      </c>
      <c r="V383" s="51">
        <f>'RESUMEN TOTAL'!AA386</f>
        <v>0</v>
      </c>
      <c r="W383" s="51">
        <f>'RESUMEN TOTAL'!AB386</f>
        <v>0</v>
      </c>
      <c r="X383" s="51">
        <f>'RESUMEN TOTAL'!AC386</f>
        <v>0</v>
      </c>
      <c r="Y383" s="51">
        <f>'RESUMEN TOTAL'!AD386</f>
        <v>0</v>
      </c>
      <c r="Z383" s="51">
        <f>'RESUMEN TOTAL'!AE386</f>
        <v>0</v>
      </c>
      <c r="AA383" s="51">
        <f>'RESUMEN TOTAL'!AF386</f>
        <v>0</v>
      </c>
      <c r="AB383" s="51">
        <f>'RESUMEN TOTAL'!AG386</f>
        <v>0</v>
      </c>
      <c r="AC383" s="51">
        <f>'RESUMEN TOTAL'!AH386</f>
        <v>0</v>
      </c>
      <c r="AD383" s="51">
        <f>'RESUMEN TOTAL'!AI386</f>
        <v>0</v>
      </c>
      <c r="AE383" s="51">
        <f>'RESUMEN TOTAL'!AJ386</f>
        <v>0</v>
      </c>
      <c r="AF383" s="51" t="str">
        <f>'RESUMEN TOTAL'!AK386</f>
        <v>APAGADO</v>
      </c>
      <c r="AG383" s="51" t="str">
        <f>'RESUMEN TOTAL'!AL386</f>
        <v>APAGADO</v>
      </c>
      <c r="AH383" s="51">
        <f>'RESUMEN TOTAL'!AM386</f>
        <v>0</v>
      </c>
      <c r="AI383" s="51">
        <f>'RESUMEN TOTAL'!AN386</f>
        <v>0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TOTAL'!K387</f>
        <v>APAGADO</v>
      </c>
      <c r="G384" s="51" t="str">
        <f>'RESUMEN TOTAL'!L387</f>
        <v>APAGADO</v>
      </c>
      <c r="H384" s="51" t="str">
        <f>'RESUMEN TOTAL'!M387</f>
        <v>APAGADO</v>
      </c>
      <c r="I384" s="51" t="str">
        <f>'RESUMEN TOTAL'!N387</f>
        <v>APAGADO</v>
      </c>
      <c r="J384" s="51" t="str">
        <f>'RESUMEN TOTAL'!O387</f>
        <v>APAGADO</v>
      </c>
      <c r="K384" s="51" t="str">
        <f>'RESUMEN TOTAL'!P387</f>
        <v>APAGADO</v>
      </c>
      <c r="L384" s="51" t="str">
        <f>'RESUMEN TOTAL'!Q387</f>
        <v>APAGADO</v>
      </c>
      <c r="M384" s="51" t="str">
        <f>'RESUMEN TOTAL'!R387</f>
        <v>APAGADO</v>
      </c>
      <c r="N384" s="51" t="str">
        <f>'RESUMEN TOTAL'!S387</f>
        <v>APAGADO</v>
      </c>
      <c r="O384" s="51" t="str">
        <f>'RESUMEN TOTAL'!T387</f>
        <v>APAGADO</v>
      </c>
      <c r="P384" s="51">
        <f>'RESUMEN TOTAL'!U387</f>
        <v>0</v>
      </c>
      <c r="Q384" s="51">
        <f>'RESUMEN TOTAL'!V387</f>
        <v>0</v>
      </c>
      <c r="R384" s="51">
        <f>'RESUMEN TOTAL'!W387</f>
        <v>0</v>
      </c>
      <c r="S384" s="51">
        <f>'RESUMEN TOTAL'!X387</f>
        <v>0</v>
      </c>
      <c r="T384" s="51">
        <f>'RESUMEN TOTAL'!Y387</f>
        <v>0</v>
      </c>
      <c r="U384" s="51">
        <f>'RESUMEN TOTAL'!Z387</f>
        <v>0</v>
      </c>
      <c r="V384" s="51">
        <f>'RESUMEN TOTAL'!AA387</f>
        <v>0</v>
      </c>
      <c r="W384" s="51">
        <f>'RESUMEN TOTAL'!AB387</f>
        <v>0</v>
      </c>
      <c r="X384" s="51">
        <f>'RESUMEN TOTAL'!AC387</f>
        <v>0</v>
      </c>
      <c r="Y384" s="51">
        <f>'RESUMEN TOTAL'!AD387</f>
        <v>0</v>
      </c>
      <c r="Z384" s="51">
        <f>'RESUMEN TOTAL'!AE387</f>
        <v>0</v>
      </c>
      <c r="AA384" s="51">
        <f>'RESUMEN TOTAL'!AF387</f>
        <v>0</v>
      </c>
      <c r="AB384" s="51">
        <f>'RESUMEN TOTAL'!AG387</f>
        <v>0</v>
      </c>
      <c r="AC384" s="51">
        <f>'RESUMEN TOTAL'!AH387</f>
        <v>0</v>
      </c>
      <c r="AD384" s="51">
        <f>'RESUMEN TOTAL'!AI387</f>
        <v>0</v>
      </c>
      <c r="AE384" s="51">
        <f>'RESUMEN TOTAL'!AJ387</f>
        <v>0</v>
      </c>
      <c r="AF384" s="51" t="str">
        <f>'RESUMEN TOTAL'!AK387</f>
        <v>APAGADO</v>
      </c>
      <c r="AG384" s="51" t="str">
        <f>'RESUMEN TOTAL'!AL387</f>
        <v>APAGADO</v>
      </c>
      <c r="AH384" s="51">
        <f>'RESUMEN TOTAL'!AM387</f>
        <v>0</v>
      </c>
      <c r="AI384" s="51">
        <f>'RESUMEN TOTAL'!AN387</f>
        <v>0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TOTAL'!K388</f>
        <v>APAGADO</v>
      </c>
      <c r="G385" s="51" t="str">
        <f>'RESUMEN TOTAL'!L388</f>
        <v>APAGADO</v>
      </c>
      <c r="H385" s="51" t="str">
        <f>'RESUMEN TOTAL'!M388</f>
        <v>APAGADO</v>
      </c>
      <c r="I385" s="51" t="str">
        <f>'RESUMEN TOTAL'!N388</f>
        <v>APAGADO</v>
      </c>
      <c r="J385" s="51" t="str">
        <f>'RESUMEN TOTAL'!O388</f>
        <v>APAGADO</v>
      </c>
      <c r="K385" s="51" t="str">
        <f>'RESUMEN TOTAL'!P388</f>
        <v>APAGADO</v>
      </c>
      <c r="L385" s="51" t="str">
        <f>'RESUMEN TOTAL'!Q388</f>
        <v>APAGADO</v>
      </c>
      <c r="M385" s="51" t="str">
        <f>'RESUMEN TOTAL'!R388</f>
        <v>APAGADO</v>
      </c>
      <c r="N385" s="51" t="str">
        <f>'RESUMEN TOTAL'!S388</f>
        <v>APAGADO</v>
      </c>
      <c r="O385" s="51" t="str">
        <f>'RESUMEN TOTAL'!T388</f>
        <v>APAGADO</v>
      </c>
      <c r="P385" s="51">
        <f>'RESUMEN TOTAL'!U388</f>
        <v>0</v>
      </c>
      <c r="Q385" s="51">
        <f>'RESUMEN TOTAL'!V388</f>
        <v>0</v>
      </c>
      <c r="R385" s="51">
        <f>'RESUMEN TOTAL'!W388</f>
        <v>0</v>
      </c>
      <c r="S385" s="51">
        <f>'RESUMEN TOTAL'!X388</f>
        <v>0</v>
      </c>
      <c r="T385" s="51">
        <f>'RESUMEN TOTAL'!Y388</f>
        <v>0</v>
      </c>
      <c r="U385" s="51">
        <f>'RESUMEN TOTAL'!Z388</f>
        <v>0</v>
      </c>
      <c r="V385" s="51">
        <f>'RESUMEN TOTAL'!AA388</f>
        <v>0</v>
      </c>
      <c r="W385" s="51">
        <f>'RESUMEN TOTAL'!AB388</f>
        <v>0</v>
      </c>
      <c r="X385" s="51">
        <f>'RESUMEN TOTAL'!AC388</f>
        <v>0</v>
      </c>
      <c r="Y385" s="51">
        <f>'RESUMEN TOTAL'!AD388</f>
        <v>0</v>
      </c>
      <c r="Z385" s="51">
        <f>'RESUMEN TOTAL'!AE388</f>
        <v>0</v>
      </c>
      <c r="AA385" s="51">
        <f>'RESUMEN TOTAL'!AF388</f>
        <v>0</v>
      </c>
      <c r="AB385" s="51">
        <f>'RESUMEN TOTAL'!AG388</f>
        <v>0</v>
      </c>
      <c r="AC385" s="51">
        <f>'RESUMEN TOTAL'!AH388</f>
        <v>0</v>
      </c>
      <c r="AD385" s="51">
        <f>'RESUMEN TOTAL'!AI388</f>
        <v>0</v>
      </c>
      <c r="AE385" s="51">
        <f>'RESUMEN TOTAL'!AJ388</f>
        <v>0</v>
      </c>
      <c r="AF385" s="51" t="str">
        <f>'RESUMEN TOTAL'!AK388</f>
        <v>APAGADO</v>
      </c>
      <c r="AG385" s="51" t="str">
        <f>'RESUMEN TOTAL'!AL388</f>
        <v>APAGADO</v>
      </c>
      <c r="AH385" s="51">
        <f>'RESUMEN TOTAL'!AM388</f>
        <v>0</v>
      </c>
      <c r="AI385" s="51">
        <f>'RESUMEN TOTAL'!AN388</f>
        <v>0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TOTAL'!K389</f>
        <v>0</v>
      </c>
      <c r="G386" s="51">
        <f>'RESUMEN TOTAL'!L389</f>
        <v>0</v>
      </c>
      <c r="H386" s="51">
        <f>'RESUMEN TOTAL'!M389</f>
        <v>0</v>
      </c>
      <c r="I386" s="51">
        <f>'RESUMEN TOTAL'!N389</f>
        <v>0</v>
      </c>
      <c r="J386" s="51">
        <f>'RESUMEN TOTAL'!O389</f>
        <v>0</v>
      </c>
      <c r="K386" s="51">
        <f>'RESUMEN TOTAL'!P389</f>
        <v>0</v>
      </c>
      <c r="L386" s="51">
        <f>'RESUMEN TOTAL'!Q389</f>
        <v>0</v>
      </c>
      <c r="M386" s="51">
        <f>'RESUMEN TOTAL'!R389</f>
        <v>0</v>
      </c>
      <c r="N386" s="51">
        <f>'RESUMEN TOTAL'!S389</f>
        <v>0</v>
      </c>
      <c r="O386" s="51">
        <f>'RESUMEN TOTAL'!T389</f>
        <v>0</v>
      </c>
      <c r="P386" s="51">
        <f>'RESUMEN TOTAL'!U389</f>
        <v>0</v>
      </c>
      <c r="Q386" s="51">
        <f>'RESUMEN TOTAL'!V389</f>
        <v>0</v>
      </c>
      <c r="R386" s="51">
        <f>'RESUMEN TOTAL'!W389</f>
        <v>0</v>
      </c>
      <c r="S386" s="51">
        <f>'RESUMEN TOTAL'!X389</f>
        <v>0</v>
      </c>
      <c r="T386" s="51">
        <f>'RESUMEN TOTAL'!Y389</f>
        <v>0</v>
      </c>
      <c r="U386" s="51">
        <f>'RESUMEN TOTAL'!Z389</f>
        <v>0</v>
      </c>
      <c r="V386" s="51">
        <f>'RESUMEN TOTAL'!AA389</f>
        <v>0</v>
      </c>
      <c r="W386" s="51">
        <f>'RESUMEN TOTAL'!AB389</f>
        <v>0</v>
      </c>
      <c r="X386" s="51">
        <f>'RESUMEN TOTAL'!AC389</f>
        <v>0</v>
      </c>
      <c r="Y386" s="51">
        <f>'RESUMEN TOTAL'!AD389</f>
        <v>0</v>
      </c>
      <c r="Z386" s="51">
        <f>'RESUMEN TOTAL'!AE389</f>
        <v>0</v>
      </c>
      <c r="AA386" s="51">
        <f>'RESUMEN TOTAL'!AF389</f>
        <v>0</v>
      </c>
      <c r="AB386" s="51">
        <f>'RESUMEN TOTAL'!AG389</f>
        <v>0</v>
      </c>
      <c r="AC386" s="51">
        <f>'RESUMEN TOTAL'!AH389</f>
        <v>0</v>
      </c>
      <c r="AD386" s="51">
        <f>'RESUMEN TOTAL'!AI389</f>
        <v>0</v>
      </c>
      <c r="AE386" s="51">
        <f>'RESUMEN TOTAL'!AJ389</f>
        <v>0</v>
      </c>
      <c r="AF386" s="51">
        <f>'RESUMEN TOTAL'!AK389</f>
        <v>0</v>
      </c>
      <c r="AG386" s="51">
        <f>'RESUMEN TOTAL'!AL389</f>
        <v>0</v>
      </c>
      <c r="AH386" s="51">
        <f>'RESUMEN TOTAL'!AM389</f>
        <v>0</v>
      </c>
      <c r="AI386" s="51">
        <f>'RESUMEN TOTAL'!AN389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TOTAL'!K390</f>
        <v>0</v>
      </c>
      <c r="G387" s="51">
        <f>'RESUMEN TOTAL'!L390</f>
        <v>0</v>
      </c>
      <c r="H387" s="51">
        <f>'RESUMEN TOTAL'!M390</f>
        <v>0</v>
      </c>
      <c r="I387" s="51">
        <f>'RESUMEN TOTAL'!N390</f>
        <v>0</v>
      </c>
      <c r="J387" s="51">
        <f>'RESUMEN TOTAL'!O390</f>
        <v>0</v>
      </c>
      <c r="K387" s="51">
        <f>'RESUMEN TOTAL'!P390</f>
        <v>0</v>
      </c>
      <c r="L387" s="51">
        <f>'RESUMEN TOTAL'!Q390</f>
        <v>0</v>
      </c>
      <c r="M387" s="51">
        <f>'RESUMEN TOTAL'!R390</f>
        <v>0</v>
      </c>
      <c r="N387" s="51">
        <f>'RESUMEN TOTAL'!S390</f>
        <v>0</v>
      </c>
      <c r="O387" s="51">
        <f>'RESUMEN TOTAL'!T390</f>
        <v>0</v>
      </c>
      <c r="P387" s="51">
        <f>'RESUMEN TOTAL'!U390</f>
        <v>0</v>
      </c>
      <c r="Q387" s="51">
        <f>'RESUMEN TOTAL'!V390</f>
        <v>0</v>
      </c>
      <c r="R387" s="51">
        <f>'RESUMEN TOTAL'!W390</f>
        <v>0</v>
      </c>
      <c r="S387" s="51">
        <f>'RESUMEN TOTAL'!X390</f>
        <v>0</v>
      </c>
      <c r="T387" s="51">
        <f>'RESUMEN TOTAL'!Y390</f>
        <v>0</v>
      </c>
      <c r="U387" s="51">
        <f>'RESUMEN TOTAL'!Z390</f>
        <v>0</v>
      </c>
      <c r="V387" s="51">
        <f>'RESUMEN TOTAL'!AA390</f>
        <v>0</v>
      </c>
      <c r="W387" s="51">
        <f>'RESUMEN TOTAL'!AB390</f>
        <v>0</v>
      </c>
      <c r="X387" s="51">
        <f>'RESUMEN TOTAL'!AC390</f>
        <v>0</v>
      </c>
      <c r="Y387" s="51">
        <f>'RESUMEN TOTAL'!AD390</f>
        <v>0</v>
      </c>
      <c r="Z387" s="51">
        <f>'RESUMEN TOTAL'!AE390</f>
        <v>0</v>
      </c>
      <c r="AA387" s="51">
        <f>'RESUMEN TOTAL'!AF390</f>
        <v>0</v>
      </c>
      <c r="AB387" s="51">
        <f>'RESUMEN TOTAL'!AG390</f>
        <v>0</v>
      </c>
      <c r="AC387" s="51">
        <f>'RESUMEN TOTAL'!AH390</f>
        <v>0</v>
      </c>
      <c r="AD387" s="51">
        <f>'RESUMEN TOTAL'!AI390</f>
        <v>0</v>
      </c>
      <c r="AE387" s="51">
        <f>'RESUMEN TOTAL'!AJ390</f>
        <v>0</v>
      </c>
      <c r="AF387" s="51">
        <f>'RESUMEN TOTAL'!AK390</f>
        <v>0</v>
      </c>
      <c r="AG387" s="51">
        <f>'RESUMEN TOTAL'!AL390</f>
        <v>0</v>
      </c>
      <c r="AH387" s="51">
        <f>'RESUMEN TOTAL'!AM390</f>
        <v>0</v>
      </c>
      <c r="AI387" s="51">
        <f>'RESUMEN TOTAL'!AN390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TOTAL'!K391</f>
        <v>0</v>
      </c>
      <c r="G388" s="51">
        <f>'RESUMEN TOTAL'!L391</f>
        <v>0</v>
      </c>
      <c r="H388" s="51">
        <f>'RESUMEN TOTAL'!M391</f>
        <v>0</v>
      </c>
      <c r="I388" s="51">
        <f>'RESUMEN TOTAL'!N391</f>
        <v>0</v>
      </c>
      <c r="J388" s="51">
        <f>'RESUMEN TOTAL'!O391</f>
        <v>0</v>
      </c>
      <c r="K388" s="51">
        <f>'RESUMEN TOTAL'!P391</f>
        <v>0</v>
      </c>
      <c r="L388" s="51">
        <f>'RESUMEN TOTAL'!Q391</f>
        <v>0</v>
      </c>
      <c r="M388" s="51">
        <f>'RESUMEN TOTAL'!R391</f>
        <v>0</v>
      </c>
      <c r="N388" s="51">
        <f>'RESUMEN TOTAL'!S391</f>
        <v>0</v>
      </c>
      <c r="O388" s="51">
        <f>'RESUMEN TOTAL'!T391</f>
        <v>0</v>
      </c>
      <c r="P388" s="51">
        <f>'RESUMEN TOTAL'!U391</f>
        <v>0</v>
      </c>
      <c r="Q388" s="51">
        <f>'RESUMEN TOTAL'!V391</f>
        <v>0</v>
      </c>
      <c r="R388" s="51">
        <f>'RESUMEN TOTAL'!W391</f>
        <v>0</v>
      </c>
      <c r="S388" s="51">
        <f>'RESUMEN TOTAL'!X391</f>
        <v>0</v>
      </c>
      <c r="T388" s="51">
        <f>'RESUMEN TOTAL'!Y391</f>
        <v>0</v>
      </c>
      <c r="U388" s="51">
        <f>'RESUMEN TOTAL'!Z391</f>
        <v>0</v>
      </c>
      <c r="V388" s="51">
        <f>'RESUMEN TOTAL'!AA391</f>
        <v>0</v>
      </c>
      <c r="W388" s="51">
        <f>'RESUMEN TOTAL'!AB391</f>
        <v>0</v>
      </c>
      <c r="X388" s="51">
        <f>'RESUMEN TOTAL'!AC391</f>
        <v>0</v>
      </c>
      <c r="Y388" s="51">
        <f>'RESUMEN TOTAL'!AD391</f>
        <v>0</v>
      </c>
      <c r="Z388" s="51">
        <f>'RESUMEN TOTAL'!AE391</f>
        <v>0</v>
      </c>
      <c r="AA388" s="51">
        <f>'RESUMEN TOTAL'!AF391</f>
        <v>0</v>
      </c>
      <c r="AB388" s="51">
        <f>'RESUMEN TOTAL'!AG391</f>
        <v>0</v>
      </c>
      <c r="AC388" s="51">
        <f>'RESUMEN TOTAL'!AH391</f>
        <v>0</v>
      </c>
      <c r="AD388" s="51">
        <f>'RESUMEN TOTAL'!AI391</f>
        <v>0</v>
      </c>
      <c r="AE388" s="51">
        <f>'RESUMEN TOTAL'!AJ391</f>
        <v>0</v>
      </c>
      <c r="AF388" s="51">
        <f>'RESUMEN TOTAL'!AK391</f>
        <v>0</v>
      </c>
      <c r="AG388" s="51">
        <f>'RESUMEN TOTAL'!AL391</f>
        <v>0</v>
      </c>
      <c r="AH388" s="51">
        <f>'RESUMEN TOTAL'!AM391</f>
        <v>0</v>
      </c>
      <c r="AI388" s="51">
        <f>'RESUMEN TOTAL'!AN391</f>
        <v>0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TOTAL'!K392</f>
        <v>0</v>
      </c>
      <c r="G389" s="51">
        <f>'RESUMEN TOTAL'!L392</f>
        <v>0</v>
      </c>
      <c r="H389" s="51">
        <f>'RESUMEN TOTAL'!M392</f>
        <v>0</v>
      </c>
      <c r="I389" s="51">
        <f>'RESUMEN TOTAL'!N392</f>
        <v>0</v>
      </c>
      <c r="J389" s="51">
        <f>'RESUMEN TOTAL'!O392</f>
        <v>0</v>
      </c>
      <c r="K389" s="51">
        <f>'RESUMEN TOTAL'!P392</f>
        <v>0</v>
      </c>
      <c r="L389" s="51">
        <f>'RESUMEN TOTAL'!Q392</f>
        <v>0</v>
      </c>
      <c r="M389" s="51">
        <f>'RESUMEN TOTAL'!R392</f>
        <v>0</v>
      </c>
      <c r="N389" s="51">
        <f>'RESUMEN TOTAL'!S392</f>
        <v>0</v>
      </c>
      <c r="O389" s="51">
        <f>'RESUMEN TOTAL'!T392</f>
        <v>0</v>
      </c>
      <c r="P389" s="51">
        <f>'RESUMEN TOTAL'!U392</f>
        <v>0</v>
      </c>
      <c r="Q389" s="51">
        <f>'RESUMEN TOTAL'!V392</f>
        <v>0</v>
      </c>
      <c r="R389" s="51">
        <f>'RESUMEN TOTAL'!W392</f>
        <v>0</v>
      </c>
      <c r="S389" s="51">
        <f>'RESUMEN TOTAL'!X392</f>
        <v>0</v>
      </c>
      <c r="T389" s="51">
        <f>'RESUMEN TOTAL'!Y392</f>
        <v>0</v>
      </c>
      <c r="U389" s="51">
        <f>'RESUMEN TOTAL'!Z392</f>
        <v>0</v>
      </c>
      <c r="V389" s="51">
        <f>'RESUMEN TOTAL'!AA392</f>
        <v>0</v>
      </c>
      <c r="W389" s="51">
        <f>'RESUMEN TOTAL'!AB392</f>
        <v>0</v>
      </c>
      <c r="X389" s="51">
        <f>'RESUMEN TOTAL'!AC392</f>
        <v>0</v>
      </c>
      <c r="Y389" s="51">
        <f>'RESUMEN TOTAL'!AD392</f>
        <v>0</v>
      </c>
      <c r="Z389" s="51">
        <f>'RESUMEN TOTAL'!AE392</f>
        <v>0</v>
      </c>
      <c r="AA389" s="51">
        <f>'RESUMEN TOTAL'!AF392</f>
        <v>0</v>
      </c>
      <c r="AB389" s="51">
        <f>'RESUMEN TOTAL'!AG392</f>
        <v>0</v>
      </c>
      <c r="AC389" s="51">
        <f>'RESUMEN TOTAL'!AH392</f>
        <v>0</v>
      </c>
      <c r="AD389" s="51">
        <f>'RESUMEN TOTAL'!AI392</f>
        <v>0</v>
      </c>
      <c r="AE389" s="51">
        <f>'RESUMEN TOTAL'!AJ392</f>
        <v>0</v>
      </c>
      <c r="AF389" s="51">
        <f>'RESUMEN TOTAL'!AK392</f>
        <v>0</v>
      </c>
      <c r="AG389" s="51">
        <f>'RESUMEN TOTAL'!AL392</f>
        <v>0</v>
      </c>
      <c r="AH389" s="51">
        <f>'RESUMEN TOTAL'!AM392</f>
        <v>0</v>
      </c>
      <c r="AI389" s="51">
        <f>'RESUMEN TOTAL'!AN392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TOTAL'!K393</f>
        <v>0</v>
      </c>
      <c r="G390" s="51">
        <f>'RESUMEN TOTAL'!L393</f>
        <v>0</v>
      </c>
      <c r="H390" s="51">
        <f>'RESUMEN TOTAL'!M393</f>
        <v>0</v>
      </c>
      <c r="I390" s="51">
        <f>'RESUMEN TOTAL'!N393</f>
        <v>0</v>
      </c>
      <c r="J390" s="51">
        <f>'RESUMEN TOTAL'!O393</f>
        <v>0</v>
      </c>
      <c r="K390" s="51">
        <f>'RESUMEN TOTAL'!P393</f>
        <v>0</v>
      </c>
      <c r="L390" s="51">
        <f>'RESUMEN TOTAL'!Q393</f>
        <v>0</v>
      </c>
      <c r="M390" s="51">
        <f>'RESUMEN TOTAL'!R393</f>
        <v>0</v>
      </c>
      <c r="N390" s="51">
        <f>'RESUMEN TOTAL'!S393</f>
        <v>0</v>
      </c>
      <c r="O390" s="51">
        <f>'RESUMEN TOTAL'!T393</f>
        <v>0</v>
      </c>
      <c r="P390" s="51">
        <f>'RESUMEN TOTAL'!U393</f>
        <v>0</v>
      </c>
      <c r="Q390" s="51">
        <f>'RESUMEN TOTAL'!V393</f>
        <v>0</v>
      </c>
      <c r="R390" s="51">
        <f>'RESUMEN TOTAL'!W393</f>
        <v>0</v>
      </c>
      <c r="S390" s="51">
        <f>'RESUMEN TOTAL'!X393</f>
        <v>0</v>
      </c>
      <c r="T390" s="51">
        <f>'RESUMEN TOTAL'!Y393</f>
        <v>0</v>
      </c>
      <c r="U390" s="51">
        <f>'RESUMEN TOTAL'!Z393</f>
        <v>0</v>
      </c>
      <c r="V390" s="51">
        <f>'RESUMEN TOTAL'!AA393</f>
        <v>0</v>
      </c>
      <c r="W390" s="51">
        <f>'RESUMEN TOTAL'!AB393</f>
        <v>0</v>
      </c>
      <c r="X390" s="51">
        <f>'RESUMEN TOTAL'!AC393</f>
        <v>0</v>
      </c>
      <c r="Y390" s="51">
        <f>'RESUMEN TOTAL'!AD393</f>
        <v>0</v>
      </c>
      <c r="Z390" s="51">
        <f>'RESUMEN TOTAL'!AE393</f>
        <v>0</v>
      </c>
      <c r="AA390" s="51">
        <f>'RESUMEN TOTAL'!AF393</f>
        <v>0</v>
      </c>
      <c r="AB390" s="51">
        <f>'RESUMEN TOTAL'!AG393</f>
        <v>0</v>
      </c>
      <c r="AC390" s="51">
        <f>'RESUMEN TOTAL'!AH393</f>
        <v>0</v>
      </c>
      <c r="AD390" s="51">
        <f>'RESUMEN TOTAL'!AI393</f>
        <v>0</v>
      </c>
      <c r="AE390" s="51">
        <f>'RESUMEN TOTAL'!AJ393</f>
        <v>0</v>
      </c>
      <c r="AF390" s="51">
        <f>'RESUMEN TOTAL'!AK393</f>
        <v>0</v>
      </c>
      <c r="AG390" s="51">
        <f>'RESUMEN TOTAL'!AL393</f>
        <v>0</v>
      </c>
      <c r="AH390" s="51">
        <f>'RESUMEN TOTAL'!AM393</f>
        <v>0</v>
      </c>
      <c r="AI390" s="51">
        <f>'RESUMEN TOTAL'!AN393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TOTAL'!K394</f>
        <v>0</v>
      </c>
      <c r="G391" s="51">
        <f>'RESUMEN TOTAL'!L394</f>
        <v>0</v>
      </c>
      <c r="H391" s="51">
        <f>'RESUMEN TOTAL'!M394</f>
        <v>0</v>
      </c>
      <c r="I391" s="51">
        <f>'RESUMEN TOTAL'!N394</f>
        <v>0</v>
      </c>
      <c r="J391" s="51">
        <f>'RESUMEN TOTAL'!O394</f>
        <v>0</v>
      </c>
      <c r="K391" s="51">
        <f>'RESUMEN TOTAL'!P394</f>
        <v>0</v>
      </c>
      <c r="L391" s="51">
        <f>'RESUMEN TOTAL'!Q394</f>
        <v>0</v>
      </c>
      <c r="M391" s="51">
        <f>'RESUMEN TOTAL'!R394</f>
        <v>0</v>
      </c>
      <c r="N391" s="51">
        <f>'RESUMEN TOTAL'!S394</f>
        <v>0</v>
      </c>
      <c r="O391" s="51">
        <f>'RESUMEN TOTAL'!T394</f>
        <v>0</v>
      </c>
      <c r="P391" s="51">
        <f>'RESUMEN TOTAL'!U394</f>
        <v>0</v>
      </c>
      <c r="Q391" s="51">
        <f>'RESUMEN TOTAL'!V394</f>
        <v>0</v>
      </c>
      <c r="R391" s="51">
        <f>'RESUMEN TOTAL'!W394</f>
        <v>0</v>
      </c>
      <c r="S391" s="51">
        <f>'RESUMEN TOTAL'!X394</f>
        <v>0</v>
      </c>
      <c r="T391" s="51">
        <f>'RESUMEN TOTAL'!Y394</f>
        <v>0</v>
      </c>
      <c r="U391" s="51">
        <f>'RESUMEN TOTAL'!Z394</f>
        <v>0</v>
      </c>
      <c r="V391" s="51">
        <f>'RESUMEN TOTAL'!AA394</f>
        <v>0</v>
      </c>
      <c r="W391" s="51">
        <f>'RESUMEN TOTAL'!AB394</f>
        <v>0</v>
      </c>
      <c r="X391" s="51">
        <f>'RESUMEN TOTAL'!AC394</f>
        <v>0</v>
      </c>
      <c r="Y391" s="51">
        <f>'RESUMEN TOTAL'!AD394</f>
        <v>0</v>
      </c>
      <c r="Z391" s="51">
        <f>'RESUMEN TOTAL'!AE394</f>
        <v>0</v>
      </c>
      <c r="AA391" s="51">
        <f>'RESUMEN TOTAL'!AF394</f>
        <v>0</v>
      </c>
      <c r="AB391" s="51">
        <f>'RESUMEN TOTAL'!AG394</f>
        <v>0</v>
      </c>
      <c r="AC391" s="51">
        <f>'RESUMEN TOTAL'!AH394</f>
        <v>0</v>
      </c>
      <c r="AD391" s="51">
        <f>'RESUMEN TOTAL'!AI394</f>
        <v>0</v>
      </c>
      <c r="AE391" s="51">
        <f>'RESUMEN TOTAL'!AJ394</f>
        <v>0</v>
      </c>
      <c r="AF391" s="51">
        <f>'RESUMEN TOTAL'!AK394</f>
        <v>0</v>
      </c>
      <c r="AG391" s="51">
        <f>'RESUMEN TOTAL'!AL394</f>
        <v>0</v>
      </c>
      <c r="AH391" s="51">
        <f>'RESUMEN TOTAL'!AM394</f>
        <v>0</v>
      </c>
      <c r="AI391" s="51">
        <f>'RESUMEN TOTAL'!AN394</f>
        <v>0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TOTAL'!K395</f>
        <v>0</v>
      </c>
      <c r="G392" s="51">
        <f>'RESUMEN TOTAL'!L395</f>
        <v>0</v>
      </c>
      <c r="H392" s="51">
        <f>'RESUMEN TOTAL'!M395</f>
        <v>0</v>
      </c>
      <c r="I392" s="51">
        <f>'RESUMEN TOTAL'!N395</f>
        <v>0</v>
      </c>
      <c r="J392" s="51">
        <f>'RESUMEN TOTAL'!O395</f>
        <v>0</v>
      </c>
      <c r="K392" s="51">
        <f>'RESUMEN TOTAL'!P395</f>
        <v>0</v>
      </c>
      <c r="L392" s="51">
        <f>'RESUMEN TOTAL'!Q395</f>
        <v>0</v>
      </c>
      <c r="M392" s="51">
        <f>'RESUMEN TOTAL'!R395</f>
        <v>0</v>
      </c>
      <c r="N392" s="51">
        <f>'RESUMEN TOTAL'!S395</f>
        <v>0</v>
      </c>
      <c r="O392" s="51">
        <f>'RESUMEN TOTAL'!T395</f>
        <v>0</v>
      </c>
      <c r="P392" s="51">
        <f>'RESUMEN TOTAL'!U395</f>
        <v>0</v>
      </c>
      <c r="Q392" s="51">
        <f>'RESUMEN TOTAL'!V395</f>
        <v>0</v>
      </c>
      <c r="R392" s="51">
        <f>'RESUMEN TOTAL'!W395</f>
        <v>0</v>
      </c>
      <c r="S392" s="51">
        <f>'RESUMEN TOTAL'!X395</f>
        <v>0</v>
      </c>
      <c r="T392" s="51">
        <f>'RESUMEN TOTAL'!Y395</f>
        <v>0</v>
      </c>
      <c r="U392" s="51">
        <f>'RESUMEN TOTAL'!Z395</f>
        <v>0</v>
      </c>
      <c r="V392" s="51">
        <f>'RESUMEN TOTAL'!AA395</f>
        <v>0</v>
      </c>
      <c r="W392" s="51">
        <f>'RESUMEN TOTAL'!AB395</f>
        <v>0</v>
      </c>
      <c r="X392" s="51">
        <f>'RESUMEN TOTAL'!AC395</f>
        <v>0</v>
      </c>
      <c r="Y392" s="51">
        <f>'RESUMEN TOTAL'!AD395</f>
        <v>0</v>
      </c>
      <c r="Z392" s="51">
        <f>'RESUMEN TOTAL'!AE395</f>
        <v>0</v>
      </c>
      <c r="AA392" s="51">
        <f>'RESUMEN TOTAL'!AF395</f>
        <v>0</v>
      </c>
      <c r="AB392" s="51">
        <f>'RESUMEN TOTAL'!AG395</f>
        <v>0</v>
      </c>
      <c r="AC392" s="51">
        <f>'RESUMEN TOTAL'!AH395</f>
        <v>0</v>
      </c>
      <c r="AD392" s="51">
        <f>'RESUMEN TOTAL'!AI395</f>
        <v>0</v>
      </c>
      <c r="AE392" s="51">
        <f>'RESUMEN TOTAL'!AJ395</f>
        <v>0</v>
      </c>
      <c r="AF392" s="51">
        <f>'RESUMEN TOTAL'!AK395</f>
        <v>0</v>
      </c>
      <c r="AG392" s="51">
        <f>'RESUMEN TOTAL'!AL395</f>
        <v>0</v>
      </c>
      <c r="AH392" s="51">
        <f>'RESUMEN TOTAL'!AM395</f>
        <v>0</v>
      </c>
      <c r="AI392" s="51">
        <f>'RESUMEN TOTAL'!AN395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TOTAL'!K396</f>
        <v>0</v>
      </c>
      <c r="G393" s="51">
        <f>'RESUMEN TOTAL'!L396</f>
        <v>0</v>
      </c>
      <c r="H393" s="51">
        <f>'RESUMEN TOTAL'!M396</f>
        <v>0</v>
      </c>
      <c r="I393" s="51">
        <f>'RESUMEN TOTAL'!N396</f>
        <v>0</v>
      </c>
      <c r="J393" s="51">
        <f>'RESUMEN TOTAL'!O396</f>
        <v>0</v>
      </c>
      <c r="K393" s="51">
        <f>'RESUMEN TOTAL'!P396</f>
        <v>0</v>
      </c>
      <c r="L393" s="51">
        <f>'RESUMEN TOTAL'!Q396</f>
        <v>0</v>
      </c>
      <c r="M393" s="51">
        <f>'RESUMEN TOTAL'!R396</f>
        <v>0</v>
      </c>
      <c r="N393" s="51">
        <f>'RESUMEN TOTAL'!S396</f>
        <v>0</v>
      </c>
      <c r="O393" s="51">
        <f>'RESUMEN TOTAL'!T396</f>
        <v>0</v>
      </c>
      <c r="P393" s="51">
        <f>'RESUMEN TOTAL'!U396</f>
        <v>0</v>
      </c>
      <c r="Q393" s="51">
        <f>'RESUMEN TOTAL'!V396</f>
        <v>0</v>
      </c>
      <c r="R393" s="51">
        <f>'RESUMEN TOTAL'!W396</f>
        <v>0</v>
      </c>
      <c r="S393" s="51">
        <f>'RESUMEN TOTAL'!X396</f>
        <v>0</v>
      </c>
      <c r="T393" s="51">
        <f>'RESUMEN TOTAL'!Y396</f>
        <v>0</v>
      </c>
      <c r="U393" s="51">
        <f>'RESUMEN TOTAL'!Z396</f>
        <v>0</v>
      </c>
      <c r="V393" s="51">
        <f>'RESUMEN TOTAL'!AA396</f>
        <v>0</v>
      </c>
      <c r="W393" s="51">
        <f>'RESUMEN TOTAL'!AB396</f>
        <v>0</v>
      </c>
      <c r="X393" s="51">
        <f>'RESUMEN TOTAL'!AC396</f>
        <v>0</v>
      </c>
      <c r="Y393" s="51">
        <f>'RESUMEN TOTAL'!AD396</f>
        <v>0</v>
      </c>
      <c r="Z393" s="51">
        <f>'RESUMEN TOTAL'!AE396</f>
        <v>0</v>
      </c>
      <c r="AA393" s="51">
        <f>'RESUMEN TOTAL'!AF396</f>
        <v>0</v>
      </c>
      <c r="AB393" s="51">
        <f>'RESUMEN TOTAL'!AG396</f>
        <v>0</v>
      </c>
      <c r="AC393" s="51">
        <f>'RESUMEN TOTAL'!AH396</f>
        <v>0</v>
      </c>
      <c r="AD393" s="51">
        <f>'RESUMEN TOTAL'!AI396</f>
        <v>0</v>
      </c>
      <c r="AE393" s="51">
        <f>'RESUMEN TOTAL'!AJ396</f>
        <v>0</v>
      </c>
      <c r="AF393" s="51">
        <f>'RESUMEN TOTAL'!AK396</f>
        <v>0</v>
      </c>
      <c r="AG393" s="51">
        <f>'RESUMEN TOTAL'!AL396</f>
        <v>0</v>
      </c>
      <c r="AH393" s="51">
        <f>'RESUMEN TOTAL'!AM396</f>
        <v>0</v>
      </c>
      <c r="AI393" s="51">
        <f>'RESUMEN TOTAL'!AN396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TOTAL'!K397</f>
        <v>0</v>
      </c>
      <c r="G394" s="51">
        <f>'RESUMEN TOTAL'!L397</f>
        <v>0</v>
      </c>
      <c r="H394" s="51">
        <f>'RESUMEN TOTAL'!M397</f>
        <v>0</v>
      </c>
      <c r="I394" s="51">
        <f>'RESUMEN TOTAL'!N397</f>
        <v>0</v>
      </c>
      <c r="J394" s="51">
        <f>'RESUMEN TOTAL'!O397</f>
        <v>0</v>
      </c>
      <c r="K394" s="51">
        <f>'RESUMEN TOTAL'!P397</f>
        <v>0</v>
      </c>
      <c r="L394" s="51">
        <f>'RESUMEN TOTAL'!Q397</f>
        <v>0</v>
      </c>
      <c r="M394" s="51">
        <f>'RESUMEN TOTAL'!R397</f>
        <v>0</v>
      </c>
      <c r="N394" s="51">
        <f>'RESUMEN TOTAL'!S397</f>
        <v>0</v>
      </c>
      <c r="O394" s="51">
        <f>'RESUMEN TOTAL'!T397</f>
        <v>0</v>
      </c>
      <c r="P394" s="51">
        <f>'RESUMEN TOTAL'!U397</f>
        <v>0</v>
      </c>
      <c r="Q394" s="51">
        <f>'RESUMEN TOTAL'!V397</f>
        <v>0</v>
      </c>
      <c r="R394" s="51">
        <f>'RESUMEN TOTAL'!W397</f>
        <v>0</v>
      </c>
      <c r="S394" s="51">
        <f>'RESUMEN TOTAL'!X397</f>
        <v>0</v>
      </c>
      <c r="T394" s="51">
        <f>'RESUMEN TOTAL'!Y397</f>
        <v>0</v>
      </c>
      <c r="U394" s="51">
        <f>'RESUMEN TOTAL'!Z397</f>
        <v>0</v>
      </c>
      <c r="V394" s="51">
        <f>'RESUMEN TOTAL'!AA397</f>
        <v>0</v>
      </c>
      <c r="W394" s="51">
        <f>'RESUMEN TOTAL'!AB397</f>
        <v>0</v>
      </c>
      <c r="X394" s="51">
        <f>'RESUMEN TOTAL'!AC397</f>
        <v>0</v>
      </c>
      <c r="Y394" s="51">
        <f>'RESUMEN TOTAL'!AD397</f>
        <v>0</v>
      </c>
      <c r="Z394" s="51">
        <f>'RESUMEN TOTAL'!AE397</f>
        <v>0</v>
      </c>
      <c r="AA394" s="51">
        <f>'RESUMEN TOTAL'!AF397</f>
        <v>0</v>
      </c>
      <c r="AB394" s="51">
        <f>'RESUMEN TOTAL'!AG397</f>
        <v>0</v>
      </c>
      <c r="AC394" s="51">
        <f>'RESUMEN TOTAL'!AH397</f>
        <v>0</v>
      </c>
      <c r="AD394" s="51">
        <f>'RESUMEN TOTAL'!AI397</f>
        <v>0</v>
      </c>
      <c r="AE394" s="51">
        <f>'RESUMEN TOTAL'!AJ397</f>
        <v>0</v>
      </c>
      <c r="AF394" s="51">
        <f>'RESUMEN TOTAL'!AK397</f>
        <v>0</v>
      </c>
      <c r="AG394" s="51">
        <f>'RESUMEN TOTAL'!AL397</f>
        <v>0</v>
      </c>
      <c r="AH394" s="51">
        <f>'RESUMEN TOTAL'!AM397</f>
        <v>0</v>
      </c>
      <c r="AI394" s="51">
        <f>'RESUMEN TOTAL'!AN397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TOTAL'!K398</f>
        <v>0</v>
      </c>
      <c r="G395" s="51">
        <f>'RESUMEN TOTAL'!L398</f>
        <v>0</v>
      </c>
      <c r="H395" s="51">
        <f>'RESUMEN TOTAL'!M398</f>
        <v>0</v>
      </c>
      <c r="I395" s="51">
        <f>'RESUMEN TOTAL'!N398</f>
        <v>0</v>
      </c>
      <c r="J395" s="51">
        <f>'RESUMEN TOTAL'!O398</f>
        <v>0</v>
      </c>
      <c r="K395" s="51">
        <f>'RESUMEN TOTAL'!P398</f>
        <v>0</v>
      </c>
      <c r="L395" s="51">
        <f>'RESUMEN TOTAL'!Q398</f>
        <v>0</v>
      </c>
      <c r="M395" s="51">
        <f>'RESUMEN TOTAL'!R398</f>
        <v>0</v>
      </c>
      <c r="N395" s="51">
        <f>'RESUMEN TOTAL'!S398</f>
        <v>0</v>
      </c>
      <c r="O395" s="51">
        <f>'RESUMEN TOTAL'!T398</f>
        <v>0</v>
      </c>
      <c r="P395" s="51">
        <f>'RESUMEN TOTAL'!U398</f>
        <v>0</v>
      </c>
      <c r="Q395" s="51">
        <f>'RESUMEN TOTAL'!V398</f>
        <v>0</v>
      </c>
      <c r="R395" s="51">
        <f>'RESUMEN TOTAL'!W398</f>
        <v>0</v>
      </c>
      <c r="S395" s="51">
        <f>'RESUMEN TOTAL'!X398</f>
        <v>0</v>
      </c>
      <c r="T395" s="51">
        <f>'RESUMEN TOTAL'!Y398</f>
        <v>0</v>
      </c>
      <c r="U395" s="51">
        <f>'RESUMEN TOTAL'!Z398</f>
        <v>0</v>
      </c>
      <c r="V395" s="51">
        <f>'RESUMEN TOTAL'!AA398</f>
        <v>0</v>
      </c>
      <c r="W395" s="51">
        <f>'RESUMEN TOTAL'!AB398</f>
        <v>0</v>
      </c>
      <c r="X395" s="51">
        <f>'RESUMEN TOTAL'!AC398</f>
        <v>0</v>
      </c>
      <c r="Y395" s="51">
        <f>'RESUMEN TOTAL'!AD398</f>
        <v>0</v>
      </c>
      <c r="Z395" s="51">
        <f>'RESUMEN TOTAL'!AE398</f>
        <v>0</v>
      </c>
      <c r="AA395" s="51">
        <f>'RESUMEN TOTAL'!AF398</f>
        <v>0</v>
      </c>
      <c r="AB395" s="51">
        <f>'RESUMEN TOTAL'!AG398</f>
        <v>0</v>
      </c>
      <c r="AC395" s="51">
        <f>'RESUMEN TOTAL'!AH398</f>
        <v>0</v>
      </c>
      <c r="AD395" s="51">
        <f>'RESUMEN TOTAL'!AI398</f>
        <v>0</v>
      </c>
      <c r="AE395" s="51">
        <f>'RESUMEN TOTAL'!AJ398</f>
        <v>0</v>
      </c>
      <c r="AF395" s="51">
        <f>'RESUMEN TOTAL'!AK398</f>
        <v>0</v>
      </c>
      <c r="AG395" s="51">
        <f>'RESUMEN TOTAL'!AL398</f>
        <v>0</v>
      </c>
      <c r="AH395" s="51">
        <f>'RESUMEN TOTAL'!AM398</f>
        <v>0</v>
      </c>
      <c r="AI395" s="51">
        <f>'RESUMEN TOTAL'!AN398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40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45</v>
      </c>
      <c r="R1" s="26">
        <f t="shared" si="0"/>
        <v>28</v>
      </c>
      <c r="S1" s="26">
        <f t="shared" si="0"/>
        <v>31</v>
      </c>
      <c r="T1" s="26">
        <f t="shared" si="0"/>
        <v>34</v>
      </c>
      <c r="U1" s="26">
        <f t="shared" si="0"/>
        <v>36</v>
      </c>
      <c r="V1" s="26">
        <f t="shared" si="0"/>
        <v>30</v>
      </c>
      <c r="W1" s="26">
        <f t="shared" si="0"/>
        <v>35</v>
      </c>
      <c r="X1" s="26">
        <f t="shared" si="0"/>
        <v>35</v>
      </c>
      <c r="Y1" s="26">
        <f t="shared" si="0"/>
        <v>35</v>
      </c>
      <c r="Z1" s="26">
        <f t="shared" si="0"/>
        <v>35</v>
      </c>
      <c r="AA1" s="26">
        <f t="shared" si="0"/>
        <v>33</v>
      </c>
      <c r="AB1" s="26">
        <f t="shared" si="0"/>
        <v>36</v>
      </c>
      <c r="AC1" s="26">
        <f t="shared" si="0"/>
        <v>30</v>
      </c>
      <c r="AD1" s="26">
        <f t="shared" si="0"/>
        <v>30</v>
      </c>
      <c r="AE1" s="26">
        <f t="shared" si="0"/>
        <v>33</v>
      </c>
      <c r="AF1" s="26">
        <f t="shared" si="0"/>
        <v>42</v>
      </c>
      <c r="AG1" s="26">
        <f t="shared" si="0"/>
        <v>38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hidden="1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 t="str">
        <f>ESTADISTICA!Z7</f>
        <v>APAGADO</v>
      </c>
      <c r="AA8" t="str">
        <f>ESTADISTICA!AA7</f>
        <v>APAGADO</v>
      </c>
      <c r="AB8" t="str">
        <f>ESTADISTICA!AB7</f>
        <v>APAGADO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 t="str">
        <f>ESTADISTICA!AF7</f>
        <v>APAGADO</v>
      </c>
      <c r="AG8" t="str">
        <f>ESTADISTICA!AG7</f>
        <v>APAGADO</v>
      </c>
      <c r="AH8" s="51">
        <f>ESTADISTICA!AH7</f>
        <v>0</v>
      </c>
      <c r="AI8" s="51">
        <f>ESTADISTICA!AI7</f>
        <v>0</v>
      </c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hidden="1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 t="str">
        <f>ESTADISTICA!Z10</f>
        <v>APAGADO</v>
      </c>
      <c r="AA11" t="str">
        <f>ESTADISTICA!AA10</f>
        <v>APAGADO</v>
      </c>
      <c r="AB11" t="str">
        <f>ESTADISTICA!AB10</f>
        <v>APAGADO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 t="str">
        <f>ESTADISTICA!AF10</f>
        <v>APAGADO</v>
      </c>
      <c r="AG11" t="str">
        <f>ESTADISTICA!AG10</f>
        <v>APAGADO</v>
      </c>
      <c r="AH11" s="51">
        <f>ESTADISTICA!AH10</f>
        <v>0</v>
      </c>
      <c r="AI11" s="51">
        <f>ESTADISTICA!AI10</f>
        <v>0</v>
      </c>
    </row>
    <row r="12" spans="1:35" hidden="1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hidden="1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hidden="1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 t="str">
        <f>ESTADISTICA!AE13</f>
        <v>APAGADO</v>
      </c>
      <c r="AF14" t="str">
        <f>ESTADISTICA!AF13</f>
        <v>APAGADO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hidden="1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hidden="1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hidden="1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hidden="1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hidden="1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hidden="1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hidden="1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hidden="1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hidden="1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hidden="1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hidden="1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hidden="1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hidden="1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 t="str">
        <f>ESTADISTICA!AB28</f>
        <v>APAGADO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hidden="1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hidden="1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 t="str">
        <f>ESTADISTICA!V31</f>
        <v>APAGADO</v>
      </c>
      <c r="W32" t="str">
        <f>ESTADISTICA!W31</f>
        <v>APAGADO</v>
      </c>
      <c r="X32" t="str">
        <f>ESTADISTICA!X31</f>
        <v>APAGADO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 t="str">
        <f>ESTADISTICA!AB31</f>
        <v>APAGADO</v>
      </c>
      <c r="AC32" t="str">
        <f>ESTADISTICA!AC31</f>
        <v>APAGADO</v>
      </c>
      <c r="AD32" t="str">
        <f>ESTADISTICA!AD31</f>
        <v>APAGADO</v>
      </c>
      <c r="AE32" t="str">
        <f>ESTADISTICA!AE31</f>
        <v>APAGADO</v>
      </c>
      <c r="AF32" t="str">
        <f>ESTADISTICA!AF31</f>
        <v>APAGADO</v>
      </c>
      <c r="AG32" t="str">
        <f>ESTADISTICA!AG31</f>
        <v>APAGADO</v>
      </c>
      <c r="AH32" s="51">
        <f>ESTADISTICA!AH31</f>
        <v>0</v>
      </c>
      <c r="AI32" s="51">
        <f>ESTADISTICA!AI31</f>
        <v>0</v>
      </c>
    </row>
    <row r="33" spans="1:35" hidden="1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hidden="1" x14ac:dyDescent="0.25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hidden="1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hidden="1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hidden="1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hidden="1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hidden="1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hidden="1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hidden="1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hidden="1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hidden="1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hidden="1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hidden="1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hidden="1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hidden="1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hidden="1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hidden="1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hidden="1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hidden="1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hidden="1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hidden="1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hidden="1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hidden="1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hidden="1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hidden="1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hidden="1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hidden="1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hidden="1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 t="str">
        <f>ESTADISTICA!AF64</f>
        <v>APAGADO</v>
      </c>
      <c r="AG65" t="str">
        <f>ESTADISTICA!AG64</f>
        <v>APAGADO</v>
      </c>
      <c r="AH65" s="51">
        <f>ESTADISTICA!AH64</f>
        <v>0</v>
      </c>
      <c r="AI65" s="51">
        <f>ESTADISTICA!AI64</f>
        <v>0</v>
      </c>
    </row>
    <row r="66" spans="1:35" hidden="1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hidden="1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hidden="1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hidden="1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hidden="1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hidden="1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hidden="1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hidden="1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hidden="1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 t="str">
        <f>ESTADISTICA!W73</f>
        <v>APAGADO</v>
      </c>
      <c r="X74" t="str">
        <f>ESTADISTICA!X73</f>
        <v>APAGADO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 t="str">
        <f>ESTADISTICA!AG73</f>
        <v>APAGADO</v>
      </c>
      <c r="AH74" s="51">
        <f>ESTADISTICA!AH73</f>
        <v>0</v>
      </c>
      <c r="AI74" s="51">
        <f>ESTADISTICA!AI73</f>
        <v>0</v>
      </c>
    </row>
    <row r="75" spans="1:35" hidden="1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hidden="1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hidden="1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 t="str">
        <f>ESTADISTICA!W76</f>
        <v>APAGADO</v>
      </c>
      <c r="X77" t="str">
        <f>ESTADISTICA!X76</f>
        <v>APAGADO</v>
      </c>
      <c r="Y77" t="str">
        <f>ESTADISTICA!Y76</f>
        <v>APAGADO</v>
      </c>
      <c r="Z77" t="str">
        <f>ESTADISTICA!Z76</f>
        <v>APAGADO</v>
      </c>
      <c r="AA77" t="str">
        <f>ESTADISTICA!AA76</f>
        <v>APAGADO</v>
      </c>
      <c r="AB77" t="str">
        <f>ESTADISTICA!AB76</f>
        <v>APAGADO</v>
      </c>
      <c r="AC77" t="str">
        <f>ESTADISTICA!AC76</f>
        <v>APAGADO</v>
      </c>
      <c r="AD77">
        <f>ESTADISTICA!AD76</f>
        <v>0</v>
      </c>
      <c r="AE77">
        <f>ESTADISTICA!AE76</f>
        <v>0</v>
      </c>
      <c r="AF77">
        <f>ESTADISTICA!AF76</f>
        <v>0</v>
      </c>
      <c r="AG77" t="str">
        <f>ESTADISTICA!AG76</f>
        <v>APAGADO</v>
      </c>
      <c r="AH77" s="51">
        <f>ESTADISTICA!AH76</f>
        <v>0</v>
      </c>
      <c r="AI77" s="51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hidden="1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hidden="1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hidden="1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hidden="1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hidden="1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 t="str">
        <f>ESTADISTICA!Q84</f>
        <v>APAGADO</v>
      </c>
      <c r="R85">
        <f>ESTADISTICA!R84</f>
        <v>0</v>
      </c>
      <c r="S85">
        <f>ESTADISTICA!S84</f>
        <v>0</v>
      </c>
      <c r="T85">
        <f>ESTADISTICA!T84</f>
        <v>0</v>
      </c>
      <c r="U85" t="str">
        <f>ESTADISTICA!U84</f>
        <v>APAGADO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 t="str">
        <f>ESTADISTICA!AB84</f>
        <v>APAGADO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hidden="1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hidden="1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hidden="1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hidden="1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hidden="1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hidden="1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hidden="1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hidden="1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 t="str">
        <f>ESTADISTICA!V93</f>
        <v>APAGADO</v>
      </c>
      <c r="W94" t="str">
        <f>ESTADISTICA!W93</f>
        <v>APAGADO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 t="str">
        <f>ESTADISTICA!AE93</f>
        <v>APAGADO</v>
      </c>
      <c r="AF94" t="str">
        <f>ESTADISTICA!AF93</f>
        <v>APAGADO</v>
      </c>
      <c r="AG94" t="str">
        <f>ESTADISTICA!AG93</f>
        <v>APAGADO</v>
      </c>
      <c r="AH94" s="51">
        <f>ESTADISTICA!AH93</f>
        <v>0</v>
      </c>
      <c r="AI94" s="51">
        <f>ESTADISTICA!AI93</f>
        <v>0</v>
      </c>
    </row>
    <row r="95" spans="1:35" hidden="1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 t="str">
        <f>ESTADISTICA!AG94</f>
        <v>APAGADO</v>
      </c>
      <c r="AH95" s="51">
        <f>ESTADISTICA!AH94</f>
        <v>0</v>
      </c>
      <c r="AI95" s="51">
        <f>ESTADISTICA!AI94</f>
        <v>0</v>
      </c>
    </row>
    <row r="96" spans="1:35" hidden="1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hidden="1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hidden="1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hidden="1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hidden="1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hidden="1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hidden="1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hidden="1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hidden="1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 s="51">
        <f>ESTADISTICA!AH104</f>
        <v>0</v>
      </c>
      <c r="AI105" s="51">
        <f>ESTADISTICA!AI104</f>
        <v>0</v>
      </c>
    </row>
    <row r="106" spans="1:35" hidden="1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hidden="1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hidden="1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hidden="1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hidden="1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hidden="1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 t="str">
        <f>ESTADISTICA!T110</f>
        <v>APAGADO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 t="str">
        <f>ESTADISTICA!AD110</f>
        <v>APAGADO</v>
      </c>
      <c r="AE111" t="str">
        <f>ESTADISTICA!AE110</f>
        <v>APAGADO</v>
      </c>
      <c r="AF111" t="str">
        <f>ESTADISTICA!AF110</f>
        <v>APAGADO</v>
      </c>
      <c r="AG111" t="str">
        <f>ESTADISTICA!AG110</f>
        <v>APAGADO</v>
      </c>
      <c r="AH111" s="51">
        <f>ESTADISTICA!AH110</f>
        <v>0</v>
      </c>
      <c r="AI111" s="51">
        <f>ESTADISTICA!AI110</f>
        <v>0</v>
      </c>
    </row>
    <row r="112" spans="1:35" hidden="1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hidden="1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hidden="1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hidden="1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hidden="1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hidden="1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hidden="1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hidden="1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hidden="1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hidden="1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hidden="1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hidden="1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hidden="1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hidden="1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hidden="1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hidden="1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hidden="1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hidden="1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 t="str">
        <f>ESTADISTICA!AD131</f>
        <v>APAGADO</v>
      </c>
      <c r="AE132" t="str">
        <f>ESTADISTICA!AE131</f>
        <v>APAGADO</v>
      </c>
      <c r="AF132" t="str">
        <f>ESTADISTICA!AF131</f>
        <v>APAGADO</v>
      </c>
      <c r="AG132" t="str">
        <f>ESTADISTICA!AG131</f>
        <v>APAGADO</v>
      </c>
      <c r="AH132" s="51">
        <f>ESTADISTICA!AH131</f>
        <v>0</v>
      </c>
      <c r="AI132" s="51">
        <f>ESTADISTICA!AI131</f>
        <v>0</v>
      </c>
    </row>
    <row r="133" spans="1:35" hidden="1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hidden="1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hidden="1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 t="str">
        <f>ESTADISTICA!T134</f>
        <v>APAGADO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 t="str">
        <f>ESTADISTICA!AF134</f>
        <v>APAGADO</v>
      </c>
      <c r="AG135" t="str">
        <f>ESTADISTICA!AG134</f>
        <v>APAGADO</v>
      </c>
      <c r="AH135" s="51">
        <f>ESTADISTICA!AH134</f>
        <v>0</v>
      </c>
      <c r="AI135" s="51">
        <f>ESTADISTICA!AI134</f>
        <v>0</v>
      </c>
    </row>
    <row r="136" spans="1:35" hidden="1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hidden="1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hidden="1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hidden="1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hidden="1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hidden="1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hidden="1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hidden="1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hidden="1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hidden="1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hidden="1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hidden="1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hidden="1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hidden="1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hidden="1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hidden="1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 t="str">
        <f>ESTADISTICA!AF153</f>
        <v>APAGADO</v>
      </c>
      <c r="AG154" t="str">
        <f>ESTADISTICA!AG153</f>
        <v>APAGADO</v>
      </c>
      <c r="AH154" s="51">
        <f>ESTADISTICA!AH153</f>
        <v>0</v>
      </c>
      <c r="AI154" s="51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 t="str">
        <f>ESTADISTICA!Q154</f>
        <v>APAGADO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 t="str">
        <f>ESTADISTICA!AA154</f>
        <v>APAGADO</v>
      </c>
      <c r="AB155" t="str">
        <f>ESTADISTICA!AB154</f>
        <v>APAGADO</v>
      </c>
      <c r="AC155" t="str">
        <f>ESTADISTICA!AC154</f>
        <v>APAGADO</v>
      </c>
      <c r="AD155" t="str">
        <f>ESTADISTICA!AD154</f>
        <v>APAGADO</v>
      </c>
      <c r="AE155" t="str">
        <f>ESTADISTICA!AE154</f>
        <v>APAGADO</v>
      </c>
      <c r="AF155" t="str">
        <f>ESTADISTICA!AF154</f>
        <v>APAGADO</v>
      </c>
      <c r="AG155" t="str">
        <f>ESTADISTICA!AG154</f>
        <v>APAGADO</v>
      </c>
      <c r="AH155" s="51">
        <f>ESTADISTICA!AH154</f>
        <v>0</v>
      </c>
      <c r="AI155" s="51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>
        <f>ESTADISTICA!V155</f>
        <v>0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 t="str">
        <f>ESTADISTICA!Z155</f>
        <v>APAGADO</v>
      </c>
      <c r="AA156" t="str">
        <f>ESTADISTICA!AA155</f>
        <v>APAGADO</v>
      </c>
      <c r="AB156" t="str">
        <f>ESTADISTICA!AB155</f>
        <v>APAGADO</v>
      </c>
      <c r="AC156" t="str">
        <f>ESTADISTICA!AC155</f>
        <v>APAGADO</v>
      </c>
      <c r="AD156" t="str">
        <f>ESTADISTICA!AD155</f>
        <v>APAGADO</v>
      </c>
      <c r="AE156" t="str">
        <f>ESTADISTICA!AE155</f>
        <v>APAGADO</v>
      </c>
      <c r="AF156" t="str">
        <f>ESTADISTICA!AF155</f>
        <v>APAGADO</v>
      </c>
      <c r="AG156" t="str">
        <f>ESTADISTICA!AG155</f>
        <v>APAGADO</v>
      </c>
      <c r="AH156" s="51">
        <f>ESTADISTICA!AH155</f>
        <v>0</v>
      </c>
      <c r="AI156" s="51">
        <f>ESTADISTICA!AI155</f>
        <v>0</v>
      </c>
    </row>
    <row r="157" spans="1:35" hidden="1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hidden="1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hidden="1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 t="str">
        <f>ESTADISTICA!AE159</f>
        <v>APAGADO</v>
      </c>
      <c r="AF160" t="str">
        <f>ESTADISTICA!AF159</f>
        <v>APAGADO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>
        <f>ESTADISTICA!T160</f>
        <v>0</v>
      </c>
      <c r="U161" t="str">
        <f>ESTADISTICA!U160</f>
        <v>APAGADO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 t="str">
        <f>ESTADISTICA!AB160</f>
        <v>APAGADO</v>
      </c>
      <c r="AC161" t="str">
        <f>ESTADISTICA!AC160</f>
        <v>APAGADO</v>
      </c>
      <c r="AD161" t="str">
        <f>ESTADISTICA!AD160</f>
        <v>APAGADO</v>
      </c>
      <c r="AE161" t="str">
        <f>ESTADISTICA!AE160</f>
        <v>APAGADO</v>
      </c>
      <c r="AF161" t="str">
        <f>ESTADISTICA!AF160</f>
        <v>APAGADO</v>
      </c>
      <c r="AG161" t="str">
        <f>ESTADISTICA!AG160</f>
        <v>APAGADO</v>
      </c>
      <c r="AH161" s="51">
        <f>ESTADISTICA!AH160</f>
        <v>0</v>
      </c>
      <c r="AI161" s="51">
        <f>ESTADISTICA!AI160</f>
        <v>0</v>
      </c>
    </row>
    <row r="162" spans="1:35" hidden="1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hidden="1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>
        <f>ESTADISTICA!AC163</f>
        <v>0</v>
      </c>
      <c r="AD164" t="str">
        <f>ESTADISTICA!AD163</f>
        <v>APAGADO</v>
      </c>
      <c r="AE164">
        <f>ESTADISTICA!AE163</f>
        <v>0</v>
      </c>
      <c r="AF164" t="str">
        <f>ESTADISTICA!AF163</f>
        <v>APAGADO</v>
      </c>
      <c r="AG164" t="str">
        <f>ESTADISTICA!AG163</f>
        <v>APAGADO</v>
      </c>
      <c r="AH164" s="51">
        <f>ESTADISTICA!AH163</f>
        <v>0</v>
      </c>
      <c r="AI164" s="51">
        <f>ESTADISTICA!AI163</f>
        <v>0</v>
      </c>
    </row>
    <row r="165" spans="1:35" hidden="1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hidden="1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hidden="1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hidden="1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hidden="1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hidden="1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hidden="1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hidden="1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hidden="1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hidden="1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hidden="1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hidden="1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hidden="1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hidden="1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hidden="1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hidden="1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hidden="1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hidden="1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hidden="1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hidden="1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hidden="1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 t="str">
        <f>ESTADISTICA!AG188</f>
        <v>APAGADO</v>
      </c>
      <c r="AH189" s="51">
        <f>ESTADISTICA!AH188</f>
        <v>0</v>
      </c>
      <c r="AI189" s="51">
        <f>ESTADISTICA!AI188</f>
        <v>0</v>
      </c>
    </row>
    <row r="190" spans="1:35" hidden="1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hidden="1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hidden="1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hidden="1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hidden="1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hidden="1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hidden="1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hidden="1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hidden="1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hidden="1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hidden="1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hidden="1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hidden="1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 t="str">
        <f>ESTADISTICA!U202</f>
        <v>APAGADO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hidden="1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 t="str">
        <f>ESTADISTICA!V207</f>
        <v>APAGADO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 t="str">
        <f>ESTADISTICA!AF207</f>
        <v>APAGADO</v>
      </c>
      <c r="AG208" t="str">
        <f>ESTADISTICA!AG207</f>
        <v>APAGADO</v>
      </c>
      <c r="AH208" s="51">
        <f>ESTADISTICA!AH207</f>
        <v>0</v>
      </c>
      <c r="AI208" s="51">
        <f>ESTADISTICA!AI207</f>
        <v>0</v>
      </c>
    </row>
    <row r="209" spans="1:35" hidden="1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 t="str">
        <f>ESTADISTICA!AF208</f>
        <v>APAGADO</v>
      </c>
      <c r="AG209" t="str">
        <f>ESTADISTICA!AG208</f>
        <v>APAGADO</v>
      </c>
      <c r="AH209" s="51">
        <f>ESTADISTICA!AH208</f>
        <v>0</v>
      </c>
      <c r="AI209" s="51">
        <f>ESTADISTICA!AI208</f>
        <v>0</v>
      </c>
    </row>
    <row r="210" spans="1:35" hidden="1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 t="str">
        <f>ESTADISTICA!AF209</f>
        <v>APAGADO</v>
      </c>
      <c r="AG210" t="str">
        <f>ESTADISTICA!AG209</f>
        <v>APAGADO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 t="str">
        <f>ESTADISTICA!V210</f>
        <v>APAGADO</v>
      </c>
      <c r="W211" t="str">
        <f>ESTADISTICA!W210</f>
        <v>APAGADO</v>
      </c>
      <c r="X211" t="str">
        <f>ESTADISTICA!X210</f>
        <v>APAGADO</v>
      </c>
      <c r="Y211" t="str">
        <f>ESTADISTICA!Y210</f>
        <v>APAGADO</v>
      </c>
      <c r="Z211" t="str">
        <f>ESTADISTICA!Z210</f>
        <v>APAGADO</v>
      </c>
      <c r="AA211" t="str">
        <f>ESTADISTICA!AA210</f>
        <v>APAGADO</v>
      </c>
      <c r="AB211" t="str">
        <f>ESTADISTICA!AB210</f>
        <v>APAGADO</v>
      </c>
      <c r="AC211" t="str">
        <f>ESTADISTICA!AC210</f>
        <v>APAGADO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 t="str">
        <f>ESTADISTICA!AA211</f>
        <v>APAGADO</v>
      </c>
      <c r="AB212" t="str">
        <f>ESTADISTICA!AB211</f>
        <v>APAGADO</v>
      </c>
      <c r="AC212" t="str">
        <f>ESTADISTICA!AC211</f>
        <v>APAGADO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 t="str">
        <f>ESTADISTICA!U212</f>
        <v>APAGADO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 t="str">
        <f>ESTADISTICA!Y212</f>
        <v>APAGADO</v>
      </c>
      <c r="Z213" t="str">
        <f>ESTADISTICA!Z212</f>
        <v>APAGADO</v>
      </c>
      <c r="AA213" t="str">
        <f>ESTADISTICA!AA212</f>
        <v>APAGADO</v>
      </c>
      <c r="AB213" t="str">
        <f>ESTADISTICA!AB212</f>
        <v>APAGADO</v>
      </c>
      <c r="AC213" t="str">
        <f>ESTADISTICA!AC212</f>
        <v>APAGADO</v>
      </c>
      <c r="AD213" t="str">
        <f>ESTADISTICA!AD212</f>
        <v>APAGADO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 t="str">
        <f>ESTADISTICA!AD213</f>
        <v>APAGADO</v>
      </c>
      <c r="AE214" t="str">
        <f>ESTADISTICA!AE213</f>
        <v>APAGADO</v>
      </c>
      <c r="AF214" t="str">
        <f>ESTADISTICA!AF213</f>
        <v>APAGADO</v>
      </c>
      <c r="AG214" t="str">
        <f>ESTADISTICA!AG213</f>
        <v>APAGADO</v>
      </c>
      <c r="AH214" s="51">
        <f>ESTADISTICA!AH213</f>
        <v>0</v>
      </c>
      <c r="AI214" s="51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 t="str">
        <f>ESTADISTICA!AD214</f>
        <v>APAGADO</v>
      </c>
      <c r="AE215" t="str">
        <f>ESTADISTICA!AE214</f>
        <v>APAGADO</v>
      </c>
      <c r="AF215" t="str">
        <f>ESTADISTICA!AF214</f>
        <v>APAGADO</v>
      </c>
      <c r="AG215" t="str">
        <f>ESTADISTICA!AG214</f>
        <v>APAGADO</v>
      </c>
      <c r="AH215" s="51">
        <f>ESTADISTICA!AH214</f>
        <v>0</v>
      </c>
      <c r="AI215" s="51">
        <f>ESTADISTICA!AI214</f>
        <v>0</v>
      </c>
    </row>
    <row r="216" spans="1:35" hidden="1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hidden="1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hidden="1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hidden="1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hidden="1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 t="str">
        <f>ESTADISTICA!AF220</f>
        <v>APAGADO</v>
      </c>
      <c r="AG221" t="str">
        <f>ESTADISTICA!AG220</f>
        <v>APAGADO</v>
      </c>
      <c r="AH221" s="51">
        <f>ESTADISTICA!AH220</f>
        <v>0</v>
      </c>
      <c r="AI221" s="51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hidden="1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hidden="1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hidden="1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hidden="1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hidden="1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hidden="1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hidden="1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hidden="1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hidden="1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hidden="1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hidden="1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hidden="1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hidden="1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hidden="1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hidden="1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hidden="1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hidden="1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 t="str">
        <f>ESTADISTICA!AF241</f>
        <v>APAGADO</v>
      </c>
      <c r="AG242" t="str">
        <f>ESTADISTICA!AG241</f>
        <v>APAGADO</v>
      </c>
      <c r="AH242" s="51">
        <f>ESTADISTICA!AH241</f>
        <v>0</v>
      </c>
      <c r="AI242" s="51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 t="str">
        <f>ESTADISTICA!AD242</f>
        <v>APAGADO</v>
      </c>
      <c r="AE243" t="str">
        <f>ESTADISTICA!AE242</f>
        <v>APAGADO</v>
      </c>
      <c r="AF243" t="str">
        <f>ESTADISTICA!AF242</f>
        <v>APAGADO</v>
      </c>
      <c r="AG243" t="str">
        <f>ESTADISTICA!AG242</f>
        <v>APAGADO</v>
      </c>
      <c r="AH243" s="51">
        <f>ESTADISTICA!AH242</f>
        <v>0</v>
      </c>
      <c r="AI243" s="51">
        <f>ESTADISTICA!AI242</f>
        <v>0</v>
      </c>
    </row>
    <row r="244" spans="1:35" hidden="1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hidden="1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hidden="1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hidden="1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hidden="1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hidden="1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 t="str">
        <f>ESTADISTICA!AD251</f>
        <v>APAGADO</v>
      </c>
      <c r="AE252" t="str">
        <f>ESTADISTICA!AE251</f>
        <v>APAGADO</v>
      </c>
      <c r="AF252" t="str">
        <f>ESTADISTICA!AF251</f>
        <v>APAGADO</v>
      </c>
      <c r="AG252" t="str">
        <f>ESTADISTICA!AG251</f>
        <v>APAGADO</v>
      </c>
      <c r="AH252" s="51">
        <f>ESTADISTICA!AH251</f>
        <v>0</v>
      </c>
      <c r="AI252" s="51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 t="str">
        <f>ESTADISTICA!AD252</f>
        <v>APAGADO</v>
      </c>
      <c r="AE253" t="str">
        <f>ESTADISTICA!AE252</f>
        <v>APAGADO</v>
      </c>
      <c r="AF253" t="str">
        <f>ESTADISTICA!AF252</f>
        <v>APAGADO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hidden="1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hidden="1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hidden="1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hidden="1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hidden="1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hidden="1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hidden="1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hidden="1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hidden="1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hidden="1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hidden="1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hidden="1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hidden="1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hidden="1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hidden="1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hidden="1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hidden="1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hidden="1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hidden="1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hidden="1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hidden="1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 t="str">
        <f>ESTADISTICA!AF274</f>
        <v>APAGADO</v>
      </c>
      <c r="AG275" t="str">
        <f>ESTADISTICA!AG274</f>
        <v>APAGADO</v>
      </c>
      <c r="AH275" s="51">
        <f>ESTADISTICA!AH274</f>
        <v>0</v>
      </c>
      <c r="AI275" s="51">
        <f>ESTADISTICA!AI274</f>
        <v>0</v>
      </c>
    </row>
    <row r="276" spans="1:35" hidden="1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 t="str">
        <f>ESTADISTICA!AF275</f>
        <v>APAGADO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hidden="1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 t="str">
        <f>ESTADISTICA!AF276</f>
        <v>APAGADO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hidden="1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 t="str">
        <f>ESTADISTICA!AF277</f>
        <v>APAGADO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hidden="1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hidden="1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hidden="1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hidden="1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hidden="1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hidden="1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hidden="1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 t="str">
        <f>ESTADISTICA!Z286</f>
        <v>APAGADO</v>
      </c>
      <c r="AA287" t="str">
        <f>ESTADISTICA!AA286</f>
        <v>APAGADO</v>
      </c>
      <c r="AB287" t="str">
        <f>ESTADISTICA!AB286</f>
        <v>APAGADO</v>
      </c>
      <c r="AC287" t="str">
        <f>ESTADISTICA!AC286</f>
        <v>APAGADO</v>
      </c>
      <c r="AD287" t="str">
        <f>ESTADISTICA!AD286</f>
        <v>APAGADO</v>
      </c>
      <c r="AE287" t="str">
        <f>ESTADISTICA!AE286</f>
        <v>APAGADO</v>
      </c>
      <c r="AF287" t="str">
        <f>ESTADISTICA!AF286</f>
        <v>APAGADO</v>
      </c>
      <c r="AG287" t="str">
        <f>ESTADISTICA!AG286</f>
        <v>APAGADO</v>
      </c>
      <c r="AH287" s="51">
        <f>ESTADISTICA!AH286</f>
        <v>0</v>
      </c>
      <c r="AI287" s="51">
        <f>ESTADISTICA!AI286</f>
        <v>0</v>
      </c>
    </row>
    <row r="288" spans="1:35" hidden="1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 t="str">
        <f>ESTADISTICA!U287</f>
        <v>APAGADO</v>
      </c>
      <c r="V288" t="str">
        <f>ESTADISTICA!V287</f>
        <v>APAGADO</v>
      </c>
      <c r="W288" t="str">
        <f>ESTADISTICA!W287</f>
        <v>APAGADO</v>
      </c>
      <c r="X288" t="str">
        <f>ESTADISTICA!X287</f>
        <v>APAGADO</v>
      </c>
      <c r="Y288" t="str">
        <f>ESTADISTICA!Y287</f>
        <v>APAGADO</v>
      </c>
      <c r="Z288" t="str">
        <f>ESTADISTICA!Z287</f>
        <v>APAGADO</v>
      </c>
      <c r="AA288" t="str">
        <f>ESTADISTICA!AA287</f>
        <v>APAGADO</v>
      </c>
      <c r="AB288" t="str">
        <f>ESTADISTICA!AB287</f>
        <v>APAGADO</v>
      </c>
      <c r="AC288" t="str">
        <f>ESTADISTICA!AC287</f>
        <v>APAGADO</v>
      </c>
      <c r="AD288" t="str">
        <f>ESTADISTICA!AD287</f>
        <v>APAGADO</v>
      </c>
      <c r="AE288" t="str">
        <f>ESTADISTICA!AE287</f>
        <v>APAGADO</v>
      </c>
      <c r="AF288" t="str">
        <f>ESTADISTICA!AF287</f>
        <v>APAGADO</v>
      </c>
      <c r="AG288" t="str">
        <f>ESTADISTICA!AG287</f>
        <v>APAGADO</v>
      </c>
      <c r="AH288" s="51">
        <f>ESTADISTICA!AH287</f>
        <v>0</v>
      </c>
      <c r="AI288" s="51">
        <f>ESTADISTICA!AI287</f>
        <v>0</v>
      </c>
    </row>
    <row r="289" spans="1:35" hidden="1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 t="str">
        <f>ESTADISTICA!U288</f>
        <v>APAGADO</v>
      </c>
      <c r="V289" t="str">
        <f>ESTADISTICA!V288</f>
        <v>APAGADO</v>
      </c>
      <c r="W289" t="str">
        <f>ESTADISTICA!W288</f>
        <v>APAGADO</v>
      </c>
      <c r="X289" t="str">
        <f>ESTADISTICA!X288</f>
        <v>APAGADO</v>
      </c>
      <c r="Y289" t="str">
        <f>ESTADISTICA!Y288</f>
        <v>APAGADO</v>
      </c>
      <c r="Z289" t="str">
        <f>ESTADISTICA!Z288</f>
        <v>APAGADO</v>
      </c>
      <c r="AA289" t="str">
        <f>ESTADISTICA!AA288</f>
        <v>APAGADO</v>
      </c>
      <c r="AB289" t="str">
        <f>ESTADISTICA!AB288</f>
        <v>APAGADO</v>
      </c>
      <c r="AC289" t="str">
        <f>ESTADISTICA!AC288</f>
        <v>APAGADO</v>
      </c>
      <c r="AD289" t="str">
        <f>ESTADISTICA!AD288</f>
        <v>APAGADO</v>
      </c>
      <c r="AE289" t="str">
        <f>ESTADISTICA!AE288</f>
        <v>APAGADO</v>
      </c>
      <c r="AF289" t="str">
        <f>ESTADISTICA!AF288</f>
        <v>APAGADO</v>
      </c>
      <c r="AG289" t="str">
        <f>ESTADISTICA!AG288</f>
        <v>APAGADO</v>
      </c>
      <c r="AH289" s="51">
        <f>ESTADISTICA!AH288</f>
        <v>0</v>
      </c>
      <c r="AI289" s="51">
        <f>ESTADISTICA!AI288</f>
        <v>0</v>
      </c>
    </row>
    <row r="290" spans="1:35" hidden="1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 t="str">
        <f>ESTADISTICA!U289</f>
        <v>APAGADO</v>
      </c>
      <c r="V290" t="str">
        <f>ESTADISTICA!V289</f>
        <v>APAGADO</v>
      </c>
      <c r="W290" t="str">
        <f>ESTADISTICA!W289</f>
        <v>APAGADO</v>
      </c>
      <c r="X290" t="str">
        <f>ESTADISTICA!X289</f>
        <v>APAGADO</v>
      </c>
      <c r="Y290" t="str">
        <f>ESTADISTICA!Y289</f>
        <v>APAGADO</v>
      </c>
      <c r="Z290" t="str">
        <f>ESTADISTICA!Z289</f>
        <v>APAGADO</v>
      </c>
      <c r="AA290" t="str">
        <f>ESTADISTICA!AA289</f>
        <v>APAGADO</v>
      </c>
      <c r="AB290" t="str">
        <f>ESTADISTICA!AB289</f>
        <v>APAGADO</v>
      </c>
      <c r="AC290" t="str">
        <f>ESTADISTICA!AC289</f>
        <v>APAGADO</v>
      </c>
      <c r="AD290" t="str">
        <f>ESTADISTICA!AD289</f>
        <v>APAGADO</v>
      </c>
      <c r="AE290" t="str">
        <f>ESTADISTICA!AE289</f>
        <v>APAGADO</v>
      </c>
      <c r="AF290" t="str">
        <f>ESTADISTICA!AF289</f>
        <v>APAGADO</v>
      </c>
      <c r="AG290" t="str">
        <f>ESTADISTICA!AG289</f>
        <v>APAGADO</v>
      </c>
      <c r="AH290" s="51">
        <f>ESTADISTICA!AH289</f>
        <v>0</v>
      </c>
      <c r="AI290" s="51">
        <f>ESTADISTICA!AI289</f>
        <v>0</v>
      </c>
    </row>
    <row r="291" spans="1:35" hidden="1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hidden="1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hidden="1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hidden="1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 t="str">
        <f>ESTADISTICA!AE293</f>
        <v>APAGADO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hidden="1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 t="str">
        <f>ESTADISTICA!AE294</f>
        <v>APAGADO</v>
      </c>
      <c r="AF295" t="str">
        <f>ESTADISTICA!AF294</f>
        <v>APAGADO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hidden="1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hidden="1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hidden="1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hidden="1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hidden="1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hidden="1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hidden="1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hidden="1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hidden="1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hidden="1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hidden="1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hidden="1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hidden="1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hidden="1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hidden="1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hidden="1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hidden="1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 t="str">
        <f>ESTADISTICA!T313</f>
        <v>APAGADO</v>
      </c>
      <c r="U314" t="str">
        <f>ESTADISTICA!U313</f>
        <v>APAGADO</v>
      </c>
      <c r="V314" t="str">
        <f>ESTADISTICA!V313</f>
        <v>APAGADO</v>
      </c>
      <c r="W314" t="str">
        <f>ESTADISTICA!W313</f>
        <v>APAGADO</v>
      </c>
      <c r="X314" t="str">
        <f>ESTADISTICA!X313</f>
        <v>APAGADO</v>
      </c>
      <c r="Y314" t="str">
        <f>ESTADISTICA!Y313</f>
        <v>APAGADO</v>
      </c>
      <c r="Z314" t="str">
        <f>ESTADISTICA!Z313</f>
        <v>APAGADO</v>
      </c>
      <c r="AA314" t="str">
        <f>ESTADISTICA!AA313</f>
        <v>APAGADO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hidden="1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hidden="1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hidden="1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hidden="1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hidden="1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hidden="1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hidden="1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hidden="1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 t="str">
        <f>ESTADISTICA!Q325</f>
        <v>APAGADO</v>
      </c>
      <c r="R326" t="str">
        <f>ESTADISTICA!R325</f>
        <v>APAGADO</v>
      </c>
      <c r="S326" t="str">
        <f>ESTADISTICA!S325</f>
        <v>APAGADO</v>
      </c>
      <c r="T326" t="str">
        <f>ESTADISTICA!T325</f>
        <v>APAGADO</v>
      </c>
      <c r="U326" t="str">
        <f>ESTADISTICA!U325</f>
        <v>APAGADO</v>
      </c>
      <c r="V326" t="str">
        <f>ESTADISTICA!V325</f>
        <v>APAGADO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 t="str">
        <f>ESTADISTICA!AC325</f>
        <v>APAGADO</v>
      </c>
      <c r="AD326" t="str">
        <f>ESTADISTICA!AD325</f>
        <v>APAGADO</v>
      </c>
      <c r="AE326" t="str">
        <f>ESTADISTICA!AE325</f>
        <v>APAGADO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hidden="1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hidden="1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hidden="1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hidden="1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hidden="1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hidden="1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hidden="1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 t="str">
        <f>ESTADISTICA!T333</f>
        <v>APAGADO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hidden="1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hidden="1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hidden="1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hidden="1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hidden="1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hidden="1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hidden="1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hidden="1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hidden="1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hidden="1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hidden="1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 t="str">
        <f>ESTADISTICA!U345</f>
        <v>APAGADO</v>
      </c>
      <c r="V346" t="str">
        <f>ESTADISTICA!V345</f>
        <v>APAGADO</v>
      </c>
      <c r="W346" t="str">
        <f>ESTADISTICA!W345</f>
        <v>APAGADO</v>
      </c>
      <c r="X346" t="str">
        <f>ESTADISTICA!X345</f>
        <v>APAGADO</v>
      </c>
      <c r="Y346" t="str">
        <f>ESTADISTICA!Y345</f>
        <v>APAGADO</v>
      </c>
      <c r="Z346" t="str">
        <f>ESTADISTICA!Z345</f>
        <v>APAGADO</v>
      </c>
      <c r="AA346">
        <f>ESTADISTICA!AA345</f>
        <v>0</v>
      </c>
      <c r="AB346" t="str">
        <f>ESTADISTICA!AB345</f>
        <v>APAGADO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hidden="1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hidden="1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hidden="1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hidden="1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hidden="1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hidden="1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 t="str">
        <f>ESTADISTICA!Q354</f>
        <v>APAGADO</v>
      </c>
      <c r="R355">
        <f>ESTADISTICA!R354</f>
        <v>0</v>
      </c>
      <c r="S355">
        <f>ESTADISTICA!S354</f>
        <v>0</v>
      </c>
      <c r="T355">
        <f>ESTADISTICA!T354</f>
        <v>0</v>
      </c>
      <c r="U355" t="str">
        <f>ESTADISTICA!U354</f>
        <v>APAGADO</v>
      </c>
      <c r="V355" t="str">
        <f>ESTADISTICA!V354</f>
        <v>APAGADO</v>
      </c>
      <c r="W355" t="str">
        <f>ESTADISTICA!W354</f>
        <v>APAGADO</v>
      </c>
      <c r="X355" t="str">
        <f>ESTADISTICA!X354</f>
        <v>APAGADO</v>
      </c>
      <c r="Y355" t="str">
        <f>ESTADISTICA!Y354</f>
        <v>APAGADO</v>
      </c>
      <c r="Z355" t="str">
        <f>ESTADISTICA!Z354</f>
        <v>APAGADO</v>
      </c>
      <c r="AA355">
        <f>ESTADISTICA!AA354</f>
        <v>0</v>
      </c>
      <c r="AB355" t="str">
        <f>ESTADISTICA!AB354</f>
        <v>APAGADO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hidden="1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hidden="1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hidden="1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 t="str">
        <f>ESTADISTICA!AD357</f>
        <v>APAGADO</v>
      </c>
      <c r="AE358" t="str">
        <f>ESTADISTICA!AE357</f>
        <v>APAGADO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 t="str">
        <f>ESTADISTICA!AD358</f>
        <v>APAGADO</v>
      </c>
      <c r="AE359" t="str">
        <f>ESTADISTICA!AE358</f>
        <v>APAGADO</v>
      </c>
      <c r="AF359" t="str">
        <f>ESTADISTICA!AF358</f>
        <v>APAGADO</v>
      </c>
      <c r="AG359" t="str">
        <f>ESTADISTICA!AG358</f>
        <v>APAGADO</v>
      </c>
      <c r="AH359" s="51">
        <f>ESTADISTICA!AH358</f>
        <v>0</v>
      </c>
      <c r="AI359" s="51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 t="str">
        <f>ESTADISTICA!AD359</f>
        <v>APAGADO</v>
      </c>
      <c r="AE360" t="str">
        <f>ESTADISTICA!AE359</f>
        <v>APAGADO</v>
      </c>
      <c r="AF360" t="str">
        <f>ESTADISTICA!AF359</f>
        <v>APAGADO</v>
      </c>
      <c r="AG360" t="str">
        <f>ESTADISTICA!AG359</f>
        <v>APAGADO</v>
      </c>
      <c r="AH360" s="51">
        <f>ESTADISTICA!AH359</f>
        <v>0</v>
      </c>
      <c r="AI360" s="51">
        <f>ESTADISTICA!AI359</f>
        <v>0</v>
      </c>
    </row>
    <row r="361" spans="1:35" hidden="1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hidden="1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hidden="1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hidden="1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hidden="1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hidden="1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hidden="1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hidden="1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hidden="1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hidden="1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hidden="1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hidden="1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hidden="1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hidden="1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hidden="1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hidden="1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hidden="1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hidden="1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hidden="1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OROÑO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hidden="1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hidden="1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 t="str">
        <f>ESTADISTICA!AF382</f>
        <v>APAGADO</v>
      </c>
      <c r="AG383" s="51" t="str">
        <f>ESTADISTICA!AG382</f>
        <v>APAGADO</v>
      </c>
      <c r="AH383" s="51">
        <f>ESTADISTICA!AH382</f>
        <v>0</v>
      </c>
      <c r="AI383" s="51">
        <f>ESTADISTICA!AI382</f>
        <v>0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 t="str">
        <f>ESTADISTICA!AF383</f>
        <v>APAGADO</v>
      </c>
      <c r="AG384" s="51" t="str">
        <f>ESTADISTICA!AG383</f>
        <v>APAGADO</v>
      </c>
      <c r="AH384" s="51">
        <f>ESTADISTICA!AH383</f>
        <v>0</v>
      </c>
      <c r="AI384" s="51">
        <f>ESTADISTICA!AI383</f>
        <v>0</v>
      </c>
    </row>
    <row r="385" spans="1:35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 t="str">
        <f>ESTADISTICA!AF384</f>
        <v>APAGADO</v>
      </c>
      <c r="AG385" s="51" t="str">
        <f>ESTADISTICA!AG384</f>
        <v>APAGADO</v>
      </c>
      <c r="AH385" s="51">
        <f>ESTADISTICA!AH384</f>
        <v>0</v>
      </c>
      <c r="AI385" s="51">
        <f>ESTADISTICA!AI384</f>
        <v>0</v>
      </c>
    </row>
    <row r="386" spans="1:35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 t="str">
        <f>ESTADISTICA!AF385</f>
        <v>APAGADO</v>
      </c>
      <c r="AG386" s="51" t="str">
        <f>ESTADISTICA!AG385</f>
        <v>APAGADO</v>
      </c>
      <c r="AH386" s="51">
        <f>ESTADISTICA!AH385</f>
        <v>0</v>
      </c>
      <c r="AI386" s="51">
        <f>ESTADISTICA!AI385</f>
        <v>0</v>
      </c>
    </row>
    <row r="387" spans="1:35" hidden="1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hidden="1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hidden="1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hidden="1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hidden="1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hidden="1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hidden="1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hidden="1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hidden="1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hidden="1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hidden="1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hidden="1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hidden="1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hidden="1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hidden="1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401" xr:uid="{2CD2C71F-307D-4E12-901F-A6B69A40CA8C}">
    <filterColumn colId="12">
      <filters>
        <filter val="APAGADO"/>
      </filters>
    </filterColumn>
  </autoFilter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991</v>
      </c>
      <c r="D1" s="49">
        <f>COUNTIFS(E4:E400,"=Fibra Optica")</f>
        <v>261</v>
      </c>
    </row>
    <row r="2" spans="1:35" ht="21" x14ac:dyDescent="0.35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38</v>
      </c>
      <c r="R2" s="26">
        <f>COUNTIFS(R4:R400, "=APAGADO",E4:E400,"=Fibra Optica")</f>
        <v>25</v>
      </c>
      <c r="S2" s="26">
        <f>COUNTIFS(S4:S400, "=APAGADO",E4:E400,"=Fibra Optica")</f>
        <v>26</v>
      </c>
      <c r="T2" s="26">
        <f>COUNTIFS(T4:T400, "=APAGADO",E4:E400,"=Fibra Optica")</f>
        <v>27</v>
      </c>
      <c r="U2" s="26">
        <f>COUNTIFS(U4:U400, "=APAGADO",E4:E400,"=Fibra Optica")</f>
        <v>31</v>
      </c>
      <c r="V2" s="26">
        <f>COUNTIFS(V4:V400, "=APAGADO",E4:E400,"=Fibra Optica")</f>
        <v>25</v>
      </c>
      <c r="W2" s="26">
        <f>COUNTIFS(W4:W400, "=APAGADO",E4:E400,"=Fibra Optica")</f>
        <v>30</v>
      </c>
      <c r="X2" s="26">
        <f>COUNTIFS(X4:X400, "=APAGADO",E4:E400,"=Fibra Optica")</f>
        <v>30</v>
      </c>
      <c r="Y2" s="26">
        <f>COUNTIFS(Y4:Y400, "=APAGADO",E4:E400,"=Fibra Optica")</f>
        <v>28</v>
      </c>
      <c r="Z2" s="26">
        <f>COUNTIFS(Z4:Z400, "=APAGADO",E4:E400,"=Fibra Optica")</f>
        <v>28</v>
      </c>
      <c r="AA2" s="26">
        <f>COUNTIFS(AA4:AA400, "=APAGADO",E4:E400,"=Fibra Optica")</f>
        <v>27</v>
      </c>
      <c r="AB2" s="26">
        <f>COUNTIFS(AB4:AB400, "=APAGADO",E4:E400,"=Fibra Optica")</f>
        <v>30</v>
      </c>
      <c r="AC2" s="26">
        <f>COUNTIFS(AC4:AC400, "=APAGADO",E4:E400,"=Fibra Optica")</f>
        <v>25</v>
      </c>
      <c r="AD2" s="26">
        <f>COUNTIFS(AD4:AD400, "=APAGADO",E4:E400,"=Fibra Optica")</f>
        <v>24</v>
      </c>
      <c r="AE2" s="26">
        <f>COUNTIFS(AE4:AE400, "=APAGADO",E4:E400,"=Fibra Optica")</f>
        <v>25</v>
      </c>
      <c r="AF2" s="26">
        <f>COUNTIFS(AF4:AF400, "=APAGADO",E4:E400,"=Fibra Optica")</f>
        <v>34</v>
      </c>
      <c r="AG2" s="26">
        <f>COUNTIFS(AG4:AG400, "=APAGADO",E4:E400,"=Fibra Optica")</f>
        <v>31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</row>
    <row r="7" spans="1:35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 t="str">
        <f>ESTADISTICA!AG64</f>
        <v>APAGADO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 t="str">
        <f>ESTADISTICA!AG73</f>
        <v>APAGADO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 t="str">
        <f>ESTADISTICA!AG76</f>
        <v>APAGADO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 t="str">
        <f>ESTADISTICA!AG94</f>
        <v>APAGADO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 t="str">
        <f>ESTADISTICA!AD110</f>
        <v>APAGADO</v>
      </c>
      <c r="AE112" t="str">
        <f>ESTADISTICA!AE110</f>
        <v>APAGADO</v>
      </c>
      <c r="AF112" t="str">
        <f>ESTADISTICA!AF110</f>
        <v>APAGADO</v>
      </c>
      <c r="AG112" t="str">
        <f>ESTADISTICA!AG110</f>
        <v>APAGADO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 t="str">
        <f>ESTADISTICA!AG154</f>
        <v>APAGADO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 t="str">
        <f>ESTADISTICA!AG155</f>
        <v>APAGADO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 t="str">
        <f>ESTADISTICA!AE159</f>
        <v>APAGADO</v>
      </c>
      <c r="AF161" t="str">
        <f>ESTADISTICA!AF159</f>
        <v>APAGADO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 t="str">
        <f>ESTADISTICA!AE160</f>
        <v>APAGADO</v>
      </c>
      <c r="AF162" t="str">
        <f>ESTADISTICA!AF160</f>
        <v>APAGADO</v>
      </c>
      <c r="AG162" t="str">
        <f>ESTADISTICA!AG160</f>
        <v>APAGADO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 t="str">
        <f>ESTADISTICA!AF163</f>
        <v>APAGADO</v>
      </c>
      <c r="AG165" t="str">
        <f>ESTADISTICA!AG163</f>
        <v>APAGADO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 t="str">
        <f>ESTADISTICA!AG188</f>
        <v>APAGADO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 t="str">
        <f>ESTADISTICA!AG241</f>
        <v>APAGADO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 t="str">
        <f>ESTADISTICA!AD242</f>
        <v>APAGADO</v>
      </c>
      <c r="AE244" t="str">
        <f>ESTADISTICA!AE242</f>
        <v>APAGADO</v>
      </c>
      <c r="AF244" t="str">
        <f>ESTADISTICA!AF242</f>
        <v>APAGADO</v>
      </c>
      <c r="AG244" t="str">
        <f>ESTADISTICA!AG242</f>
        <v>APAGADO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 t="str">
        <f>ESTADISTICA!AE293</f>
        <v>APAGADO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 t="str">
        <f>ESTADISTICA!AE294</f>
        <v>APAGADO</v>
      </c>
      <c r="AF296" t="str">
        <f>ESTADISTICA!AF294</f>
        <v>APAGADO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Rio Carapachay y Oroño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OROÑO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OROÑO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 t="str">
        <f>ESTADISTICA!AF382</f>
        <v>APAGADO</v>
      </c>
      <c r="AG384" s="51" t="str">
        <f>ESTADISTICA!AG382</f>
        <v>APAGADO</v>
      </c>
      <c r="AH384" s="51"/>
      <c r="AI384" s="51"/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 t="str">
        <f>ESTADISTICA!AF383</f>
        <v>APAGADO</v>
      </c>
      <c r="AG385" s="51" t="str">
        <f>ESTADISTICA!AG383</f>
        <v>APAGADO</v>
      </c>
      <c r="AH385" s="51"/>
      <c r="AI385" s="51"/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 t="str">
        <f>ESTADISTICA!AF384</f>
        <v>APAGADO</v>
      </c>
      <c r="AG386" s="51" t="str">
        <f>ESTADISTICA!AG384</f>
        <v>APAGADO</v>
      </c>
      <c r="AH386" s="51"/>
      <c r="AI386" s="51"/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 t="str">
        <f>ESTADISTICA!AF385</f>
        <v>APAGADO</v>
      </c>
      <c r="AG387" s="51" t="str">
        <f>ESTADISTICA!AG385</f>
        <v>APAGADO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15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1173</v>
      </c>
      <c r="D1" s="50"/>
    </row>
    <row r="2" spans="1:35" ht="21" x14ac:dyDescent="0.35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2</v>
      </c>
      <c r="R2" s="26">
        <f>COUNTIFS(R4:R400, "=APAGADO",E4:E400,"=PTO A FO")</f>
        <v>0</v>
      </c>
      <c r="S2" s="26">
        <f>COUNTIFS(S4:S400, "=APAGADO",E4:E400,"=PTO A FO")</f>
        <v>1</v>
      </c>
      <c r="T2" s="26">
        <f>COUNTIFS(T4:T400, "=APAGADO",E4:E400,"=PTO A FO")</f>
        <v>3</v>
      </c>
      <c r="U2" s="26">
        <f>COUNTIFS(U4:U400, "=APAGADO",E4:E400,"=PTO A FO")</f>
        <v>2</v>
      </c>
      <c r="V2" s="26">
        <f>COUNTIFS(V4:V400, "=APAGADO",E4:E400,"=PTO A FO")</f>
        <v>2</v>
      </c>
      <c r="W2" s="26">
        <f>COUNTIFS(W4:W400, "=APAGADO",E4:E400,"=PTO A FO")</f>
        <v>2</v>
      </c>
      <c r="X2" s="26">
        <f>COUNTIFS(X4:X400, "=APAGADO",E4:E400,"=PTO A FO")</f>
        <v>2</v>
      </c>
      <c r="Y2" s="26">
        <f>COUNTIFS(Y4:Y400, "=APAGADO",E4:E400,"=PTO A FO")</f>
        <v>3</v>
      </c>
      <c r="Z2" s="26">
        <f>COUNTIFS(Z4:Z400, "=APAGADO",E4:E400,"=PTO A FO")</f>
        <v>3</v>
      </c>
      <c r="AA2" s="26">
        <f>COUNTIFS(AA4:AA400, "=APAGADO",E4:E400,"=PTO A FO")</f>
        <v>2</v>
      </c>
      <c r="AB2" s="26">
        <f>COUNTIFS(AB4:AB400, "=APAGADO",E4:E400,"=PTO A FO")</f>
        <v>2</v>
      </c>
      <c r="AC2" s="26">
        <f>COUNTIFS(AC4:AC400, "=APAGADO",E4:E400,"=PTO A FO")</f>
        <v>1</v>
      </c>
      <c r="AD2" s="26">
        <f>COUNTIFS(AD4:AD400, "=APAGADO",E4:E400,"=PTO A FO")</f>
        <v>2</v>
      </c>
      <c r="AE2" s="26">
        <f>COUNTIFS(AE4:AE400, "=APAGADO",E4:E400,"=PTO A FO")</f>
        <v>2</v>
      </c>
      <c r="AF2" s="26">
        <f>COUNTIFS(AF4:AF400, "=APAGADO",E4:E400,"=PTO A FO")</f>
        <v>4</v>
      </c>
      <c r="AG2" s="26">
        <f>COUNTIFS(AG4:AG400, "=APAGADO",E4:E400,"=PTO A FO")</f>
        <v>3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 t="str">
        <f>ESTADISTICA!AG64</f>
        <v>APAGADO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 t="str">
        <f>ESTADISTICA!AG73</f>
        <v>APAGADO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 t="str">
        <f>ESTADISTICA!AG76</f>
        <v>APAGADO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 t="str">
        <f>ESTADISTICA!AG94</f>
        <v>APAGADO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 t="str">
        <f>ESTADISTICA!AD110</f>
        <v>APAGADO</v>
      </c>
      <c r="AE112" t="str">
        <f>ESTADISTICA!AE110</f>
        <v>APAGADO</v>
      </c>
      <c r="AF112" t="str">
        <f>ESTADISTICA!AF110</f>
        <v>APAGADO</v>
      </c>
      <c r="AG112" t="str">
        <f>ESTADISTICA!AG110</f>
        <v>APAGADO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 t="str">
        <f>ESTADISTICA!AG154</f>
        <v>APAGADO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 t="str">
        <f>ESTADISTICA!AG155</f>
        <v>APAGADO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 t="str">
        <f>ESTADISTICA!AE159</f>
        <v>APAGADO</v>
      </c>
      <c r="AF161" t="str">
        <f>ESTADISTICA!AF159</f>
        <v>APAGADO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 t="str">
        <f>ESTADISTICA!AE160</f>
        <v>APAGADO</v>
      </c>
      <c r="AF162" t="str">
        <f>ESTADISTICA!AF160</f>
        <v>APAGADO</v>
      </c>
      <c r="AG162" t="str">
        <f>ESTADISTICA!AG160</f>
        <v>APAGADO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 t="str">
        <f>ESTADISTICA!AF163</f>
        <v>APAGADO</v>
      </c>
      <c r="AG165" t="str">
        <f>ESTADISTICA!AG163</f>
        <v>APAGADO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 t="str">
        <f>ESTADISTICA!AG188</f>
        <v>APAGADO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 t="str">
        <f>ESTADISTICA!AG241</f>
        <v>APAGADO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 t="str">
        <f>ESTADISTICA!AD242</f>
        <v>APAGADO</v>
      </c>
      <c r="AE244" t="str">
        <f>ESTADISTICA!AE242</f>
        <v>APAGADO</v>
      </c>
      <c r="AF244" t="str">
        <f>ESTADISTICA!AF242</f>
        <v>APAGADO</v>
      </c>
      <c r="AG244" t="str">
        <f>ESTADISTICA!AG242</f>
        <v>APAGADO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 t="str">
        <f>ESTADISTICA!AE294</f>
        <v>APAGADO</v>
      </c>
      <c r="AF296" t="str">
        <f>ESTADISTICA!AF294</f>
        <v>APAGADO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Rio Carapachay y Oroño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OROÑO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OROÑO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 t="str">
        <f>ESTADISTICA!AF382</f>
        <v>APAGADO</v>
      </c>
      <c r="AG384" s="51" t="str">
        <f>ESTADISTICA!AG382</f>
        <v>APAGADO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 t="str">
        <f>ESTADISTICA!AF383</f>
        <v>APAGADO</v>
      </c>
      <c r="AG385" s="51" t="str">
        <f>ESTADISTICA!AG383</f>
        <v>APAGADO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 t="str">
        <f>ESTADISTICA!AF384</f>
        <v>APAGADO</v>
      </c>
      <c r="AG386" s="51" t="str">
        <f>ESTADISTICA!AG384</f>
        <v>APAGADO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 t="str">
        <f>ESTADISTICA!AF385</f>
        <v>APAGADO</v>
      </c>
      <c r="AG387" s="51" t="str">
        <f>ESTADISTICA!AG385</f>
        <v>APAGADO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50" t="s">
        <v>992</v>
      </c>
      <c r="D1" s="50">
        <f>COUNTIFS(E4:E400,"=radio")</f>
        <v>94</v>
      </c>
    </row>
    <row r="2" spans="1:35" ht="21" x14ac:dyDescent="0.35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3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3</v>
      </c>
      <c r="Y2" s="26">
        <f>COUNTIFS(Y4:Y367, "=APAGADO",E4:E367,"=radio")</f>
        <v>4</v>
      </c>
      <c r="Z2" s="26">
        <f>COUNTIFS(Z4:Z367, "=APAGADO",E4:E367,"=radio")</f>
        <v>4</v>
      </c>
      <c r="AA2" s="26">
        <f>COUNTIFS(AA4:AA367, "=APAGADO",E4:E367,"=radio")</f>
        <v>4</v>
      </c>
      <c r="AB2" s="26">
        <f>COUNTIFS(AB4:AB367, "=APAGADO",E4:E367,"=radio")</f>
        <v>4</v>
      </c>
      <c r="AC2" s="26">
        <f>COUNTIFS(AC4:AC367, "=APAGADO",E4:E367,"=radio")</f>
        <v>4</v>
      </c>
      <c r="AD2" s="26">
        <f>COUNTIFS(AD4:AD367, "=APAGADO",E4:E367,"=radio")</f>
        <v>4</v>
      </c>
      <c r="AE2" s="26">
        <f>COUNTIFS(AE4:AE367, "=APAGADO",E4:E367,"=radio")</f>
        <v>6</v>
      </c>
      <c r="AF2" s="26">
        <f>COUNTIFS(AF4:AF367, "=APAGADO",E4:E367,"=radio")</f>
        <v>4</v>
      </c>
      <c r="AG2" s="26">
        <f>COUNTIFS(AG4:AG367, "=APAGADO",E4:E367,"=radio")</f>
        <v>4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 t="str">
        <f>ESTADISTICA!AG64</f>
        <v>APAGADO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 t="str">
        <f>ESTADISTICA!AG73</f>
        <v>APAGADO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 t="str">
        <f>ESTADISTICA!AG76</f>
        <v>APAGADO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 t="str">
        <f>ESTADISTICA!AG94</f>
        <v>APAGADO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 t="str">
        <f>ESTADISTICA!AD110</f>
        <v>APAGADO</v>
      </c>
      <c r="AE112" t="str">
        <f>ESTADISTICA!AE110</f>
        <v>APAGADO</v>
      </c>
      <c r="AF112" t="str">
        <f>ESTADISTICA!AF110</f>
        <v>APAGADO</v>
      </c>
      <c r="AG112" t="str">
        <f>ESTADISTICA!AG110</f>
        <v>APAGADO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 t="str">
        <f>ESTADISTICA!AG154</f>
        <v>APAGADO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 t="str">
        <f>ESTADISTICA!AG155</f>
        <v>APAGADO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 t="str">
        <f>ESTADISTICA!AE159</f>
        <v>APAGADO</v>
      </c>
      <c r="AF161" t="str">
        <f>ESTADISTICA!AF159</f>
        <v>APAGADO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 t="str">
        <f>ESTADISTICA!AE160</f>
        <v>APAGADO</v>
      </c>
      <c r="AF162" t="str">
        <f>ESTADISTICA!AF160</f>
        <v>APAGADO</v>
      </c>
      <c r="AG162" t="str">
        <f>ESTADISTICA!AG160</f>
        <v>APAGADO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 t="str">
        <f>ESTADISTICA!AF163</f>
        <v>APAGADO</v>
      </c>
      <c r="AG165" t="str">
        <f>ESTADISTICA!AG163</f>
        <v>APAGADO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 t="str">
        <f>ESTADISTICA!AG188</f>
        <v>APAGADO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 t="str">
        <f>ESTADISTICA!AG241</f>
        <v>APAGADO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 t="str">
        <f>ESTADISTICA!AD242</f>
        <v>APAGADO</v>
      </c>
      <c r="AE244" t="str">
        <f>ESTADISTICA!AE242</f>
        <v>APAGADO</v>
      </c>
      <c r="AF244" t="str">
        <f>ESTADISTICA!AF242</f>
        <v>APAGADO</v>
      </c>
      <c r="AG244" t="str">
        <f>ESTADISTICA!AG242</f>
        <v>APAGADO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 t="str">
        <f>ESTADISTICA!AE294</f>
        <v>APAGADO</v>
      </c>
      <c r="AF296" t="str">
        <f>ESTADISTICA!AF294</f>
        <v>APAGADO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Rio Carapachay y Oroño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OROÑO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OROÑO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 t="str">
        <f>ESTADISTICA!AF382</f>
        <v>APAGADO</v>
      </c>
      <c r="AG384" s="51" t="str">
        <f>ESTADISTICA!AG382</f>
        <v>APAGADO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 t="str">
        <f>ESTADISTICA!AF383</f>
        <v>APAGADO</v>
      </c>
      <c r="AG385" s="51" t="str">
        <f>ESTADISTICA!AG383</f>
        <v>APAGADO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 t="str">
        <f>ESTADISTICA!AF384</f>
        <v>APAGADO</v>
      </c>
      <c r="AG386" s="51" t="str">
        <f>ESTADISTICA!AG384</f>
        <v>APAGADO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 t="str">
        <f>ESTADISTICA!AF385</f>
        <v>APAGADO</v>
      </c>
      <c r="AG387" s="51" t="str">
        <f>ESTADISTICA!AG385</f>
        <v>APAGADO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53"/>
  <sheetViews>
    <sheetView topLeftCell="A28" workbookViewId="0">
      <selection activeCell="A42" sqref="A42:E46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1007</v>
      </c>
      <c r="D1" s="61" t="s">
        <v>1008</v>
      </c>
    </row>
    <row r="2" spans="1:13" ht="16.5" thickTop="1" thickBot="1" x14ac:dyDescent="0.3">
      <c r="A2" s="58" t="s">
        <v>1004</v>
      </c>
      <c r="B2" s="69">
        <v>392</v>
      </c>
      <c r="C2" s="65"/>
      <c r="D2" s="62"/>
      <c r="E2" s="143">
        <v>44782</v>
      </c>
    </row>
    <row r="3" spans="1:13" ht="15" customHeight="1" thickTop="1" x14ac:dyDescent="0.25">
      <c r="A3" s="59" t="s">
        <v>6</v>
      </c>
      <c r="B3" s="70">
        <v>51</v>
      </c>
      <c r="C3" s="66">
        <v>51</v>
      </c>
      <c r="D3" s="63">
        <f>C3/B2</f>
        <v>0.13010204081632654</v>
      </c>
      <c r="E3" s="144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40">
        <v>44753</v>
      </c>
    </row>
    <row r="4" spans="1:13" x14ac:dyDescent="0.25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44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41"/>
    </row>
    <row r="5" spans="1:13" x14ac:dyDescent="0.25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44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41"/>
    </row>
    <row r="6" spans="1:13" ht="15.75" thickBot="1" x14ac:dyDescent="0.3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45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41"/>
    </row>
    <row r="7" spans="1:13" ht="15" customHeight="1" thickTop="1" x14ac:dyDescent="0.25">
      <c r="A7" s="58" t="s">
        <v>1004</v>
      </c>
      <c r="B7" s="69">
        <v>392</v>
      </c>
      <c r="C7" s="65"/>
      <c r="D7" s="62"/>
      <c r="E7" s="143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41"/>
    </row>
    <row r="8" spans="1:13" ht="15.75" thickBot="1" x14ac:dyDescent="0.3">
      <c r="A8" s="59" t="s">
        <v>6</v>
      </c>
      <c r="B8" s="70">
        <v>64</v>
      </c>
      <c r="C8" s="66">
        <v>64</v>
      </c>
      <c r="D8" s="63">
        <f>C8/B7</f>
        <v>0.16326530612244897</v>
      </c>
      <c r="E8" s="144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46"/>
    </row>
    <row r="9" spans="1:13" ht="16.5" thickTop="1" thickBot="1" x14ac:dyDescent="0.3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44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44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40">
        <v>44755</v>
      </c>
    </row>
    <row r="11" spans="1:13" ht="15.75" thickBot="1" x14ac:dyDescent="0.3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45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41"/>
    </row>
    <row r="12" spans="1:13" ht="15.75" thickTop="1" x14ac:dyDescent="0.25">
      <c r="A12" s="58" t="s">
        <v>1004</v>
      </c>
      <c r="B12" s="69">
        <v>392</v>
      </c>
      <c r="C12" s="65"/>
      <c r="D12" s="62"/>
      <c r="E12" s="143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41"/>
    </row>
    <row r="13" spans="1:13" x14ac:dyDescent="0.25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44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41"/>
    </row>
    <row r="14" spans="1:13" x14ac:dyDescent="0.25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44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41"/>
    </row>
    <row r="15" spans="1:13" ht="15" customHeight="1" thickBot="1" x14ac:dyDescent="0.3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44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42"/>
    </row>
    <row r="16" spans="1:13" ht="16.5" thickTop="1" thickBot="1" x14ac:dyDescent="0.3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45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1174</v>
      </c>
      <c r="M16" s="140">
        <v>44763</v>
      </c>
    </row>
    <row r="17" spans="1:14" ht="15.75" thickTop="1" x14ac:dyDescent="0.25">
      <c r="A17" s="58" t="s">
        <v>1004</v>
      </c>
      <c r="B17" s="69">
        <v>392</v>
      </c>
      <c r="C17" s="65"/>
      <c r="D17" s="62"/>
      <c r="E17" s="143">
        <v>44790</v>
      </c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41"/>
    </row>
    <row r="18" spans="1:14" x14ac:dyDescent="0.25">
      <c r="A18" s="59" t="s">
        <v>6</v>
      </c>
      <c r="B18" s="70">
        <v>30</v>
      </c>
      <c r="C18" s="66">
        <v>30</v>
      </c>
      <c r="D18" s="63">
        <f>C18/B17</f>
        <v>7.6530612244897961E-2</v>
      </c>
      <c r="E18" s="144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1175</v>
      </c>
      <c r="M18" s="141"/>
    </row>
    <row r="19" spans="1:14" x14ac:dyDescent="0.25">
      <c r="A19" s="59" t="s">
        <v>1006</v>
      </c>
      <c r="B19" s="70">
        <v>3</v>
      </c>
      <c r="C19" s="66">
        <f>B18-B19</f>
        <v>27</v>
      </c>
      <c r="D19" s="63">
        <f>C19/B17</f>
        <v>6.8877551020408156E-2</v>
      </c>
      <c r="E19" s="144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41"/>
    </row>
    <row r="20" spans="1:14" x14ac:dyDescent="0.25">
      <c r="A20" s="59" t="s">
        <v>1005</v>
      </c>
      <c r="B20" s="70">
        <v>2</v>
      </c>
      <c r="C20" s="66">
        <f>C19-B20</f>
        <v>25</v>
      </c>
      <c r="D20" s="63">
        <f>C20/B17</f>
        <v>6.3775510204081634E-2</v>
      </c>
      <c r="E20" s="144"/>
      <c r="G20" s="107"/>
      <c r="H20" s="77"/>
      <c r="I20" s="77"/>
      <c r="J20" s="77"/>
      <c r="K20" s="78"/>
      <c r="L20" s="109"/>
      <c r="M20" s="141"/>
    </row>
    <row r="21" spans="1:14" ht="15.75" thickBot="1" x14ac:dyDescent="0.3">
      <c r="A21" s="60" t="s">
        <v>16</v>
      </c>
      <c r="B21" s="71">
        <v>2</v>
      </c>
      <c r="C21" s="67">
        <f>C20-B21</f>
        <v>23</v>
      </c>
      <c r="D21" s="64">
        <f>C21/B17</f>
        <v>5.8673469387755105E-2</v>
      </c>
      <c r="E21" s="145"/>
      <c r="G21" s="80"/>
      <c r="H21" s="81"/>
      <c r="I21" s="81"/>
      <c r="J21" s="81"/>
      <c r="K21" s="81"/>
      <c r="L21" s="82"/>
      <c r="M21" s="142"/>
    </row>
    <row r="22" spans="1:14" ht="15.75" thickTop="1" x14ac:dyDescent="0.25">
      <c r="A22" s="58" t="s">
        <v>1004</v>
      </c>
      <c r="B22" s="69">
        <v>392</v>
      </c>
      <c r="C22" s="65"/>
      <c r="D22" s="62"/>
      <c r="E22" s="143">
        <v>44791</v>
      </c>
    </row>
    <row r="23" spans="1:14" ht="15.75" thickBot="1" x14ac:dyDescent="0.3">
      <c r="A23" s="59" t="s">
        <v>6</v>
      </c>
      <c r="B23" s="70">
        <v>35</v>
      </c>
      <c r="C23" s="66">
        <v>35</v>
      </c>
      <c r="D23" s="63">
        <f>C23/B22</f>
        <v>8.9285714285714288E-2</v>
      </c>
      <c r="E23" s="144"/>
    </row>
    <row r="24" spans="1:14" ht="15.75" thickTop="1" x14ac:dyDescent="0.25">
      <c r="A24" s="59" t="s">
        <v>1006</v>
      </c>
      <c r="B24" s="70">
        <v>3</v>
      </c>
      <c r="C24" s="66">
        <f>B23-B24</f>
        <v>32</v>
      </c>
      <c r="D24" s="63">
        <f>C24/B22</f>
        <v>8.1632653061224483E-2</v>
      </c>
      <c r="E24" s="144"/>
      <c r="G24" s="72"/>
      <c r="H24" s="73"/>
      <c r="I24" s="73"/>
      <c r="J24" s="73"/>
      <c r="K24" s="74"/>
      <c r="L24" s="75"/>
      <c r="M24" s="140"/>
    </row>
    <row r="25" spans="1:14" x14ac:dyDescent="0.25">
      <c r="A25" s="59" t="s">
        <v>1005</v>
      </c>
      <c r="B25" s="70">
        <v>2</v>
      </c>
      <c r="C25" s="66">
        <f>C24-B25</f>
        <v>30</v>
      </c>
      <c r="D25" s="63">
        <f>C25/B22</f>
        <v>7.6530612244897961E-2</v>
      </c>
      <c r="E25" s="144"/>
      <c r="G25" s="76"/>
      <c r="H25" s="77"/>
      <c r="I25" s="77"/>
      <c r="J25" s="77"/>
      <c r="K25" s="78"/>
      <c r="L25" s="79"/>
      <c r="M25" s="141"/>
    </row>
    <row r="26" spans="1:14" ht="15.75" thickBot="1" x14ac:dyDescent="0.3">
      <c r="A26" s="60" t="s">
        <v>16</v>
      </c>
      <c r="B26" s="71">
        <v>3</v>
      </c>
      <c r="C26" s="67">
        <f>C25-B26</f>
        <v>27</v>
      </c>
      <c r="D26" s="64">
        <f>C26/B22</f>
        <v>6.8877551020408156E-2</v>
      </c>
      <c r="E26" s="145"/>
      <c r="G26" s="76"/>
      <c r="H26" s="77"/>
      <c r="I26" s="77"/>
      <c r="J26" s="77"/>
      <c r="K26" s="78"/>
      <c r="L26" s="79"/>
      <c r="M26" s="141"/>
    </row>
    <row r="27" spans="1:14" ht="15.75" thickTop="1" x14ac:dyDescent="0.25">
      <c r="A27" s="58" t="s">
        <v>1004</v>
      </c>
      <c r="B27" s="69">
        <v>392</v>
      </c>
      <c r="C27" s="65"/>
      <c r="D27" s="62"/>
      <c r="E27" s="143">
        <v>44795</v>
      </c>
      <c r="G27" s="76"/>
      <c r="H27" s="77"/>
      <c r="I27" s="77"/>
      <c r="J27" s="77"/>
      <c r="K27" s="78"/>
      <c r="L27" s="79"/>
      <c r="M27" s="141"/>
    </row>
    <row r="28" spans="1:14" x14ac:dyDescent="0.25">
      <c r="A28" s="59" t="s">
        <v>6</v>
      </c>
      <c r="B28" s="70">
        <v>33</v>
      </c>
      <c r="C28" s="66">
        <v>33</v>
      </c>
      <c r="D28" s="63">
        <f>C28/B27</f>
        <v>8.4183673469387751E-2</v>
      </c>
      <c r="E28" s="144"/>
      <c r="G28" s="76"/>
      <c r="H28" s="77"/>
      <c r="I28" s="77"/>
      <c r="J28" s="77"/>
      <c r="K28" s="78"/>
      <c r="L28" s="79"/>
      <c r="M28" s="141"/>
    </row>
    <row r="29" spans="1:14" ht="15.75" thickBot="1" x14ac:dyDescent="0.3">
      <c r="A29" s="59" t="s">
        <v>1006</v>
      </c>
      <c r="B29" s="70">
        <v>3</v>
      </c>
      <c r="C29" s="66">
        <f>B28-B29</f>
        <v>30</v>
      </c>
      <c r="D29" s="63">
        <f>C29/B27</f>
        <v>7.6530612244897961E-2</v>
      </c>
      <c r="E29" s="144"/>
      <c r="G29" s="80"/>
      <c r="H29" s="81"/>
      <c r="I29" s="81"/>
      <c r="J29" s="81"/>
      <c r="K29" s="81"/>
      <c r="L29" s="82"/>
      <c r="M29" s="142"/>
    </row>
    <row r="30" spans="1:14" ht="16.5" thickTop="1" thickBot="1" x14ac:dyDescent="0.3">
      <c r="A30" s="59" t="s">
        <v>1005</v>
      </c>
      <c r="B30" s="70">
        <v>2</v>
      </c>
      <c r="C30" s="66">
        <f>C29-B30</f>
        <v>28</v>
      </c>
      <c r="D30" s="63">
        <f>C30/B27</f>
        <v>7.1428571428571425E-2</v>
      </c>
      <c r="E30" s="144"/>
    </row>
    <row r="31" spans="1:14" ht="16.5" thickTop="1" thickBot="1" x14ac:dyDescent="0.3">
      <c r="A31" s="60" t="s">
        <v>16</v>
      </c>
      <c r="B31" s="71">
        <v>4</v>
      </c>
      <c r="C31" s="67">
        <f>C30-B31</f>
        <v>24</v>
      </c>
      <c r="D31" s="64">
        <f>C31/B27</f>
        <v>6.1224489795918366E-2</v>
      </c>
      <c r="E31" s="145"/>
      <c r="G31" s="103" t="s">
        <v>545</v>
      </c>
      <c r="H31" s="133" t="s">
        <v>1172</v>
      </c>
      <c r="I31" s="104" t="s">
        <v>1180</v>
      </c>
      <c r="J31" s="104" t="s">
        <v>15</v>
      </c>
      <c r="K31" s="104" t="s">
        <v>629</v>
      </c>
      <c r="L31" s="105" t="s">
        <v>931</v>
      </c>
      <c r="M31" s="106" t="s">
        <v>1187</v>
      </c>
      <c r="N31" s="138">
        <v>44790</v>
      </c>
    </row>
    <row r="32" spans="1:14" ht="15.75" thickTop="1" x14ac:dyDescent="0.25">
      <c r="A32" s="58" t="s">
        <v>1004</v>
      </c>
      <c r="B32" s="69">
        <v>392</v>
      </c>
      <c r="C32" s="65"/>
      <c r="D32" s="62"/>
      <c r="E32" s="143">
        <v>44796</v>
      </c>
      <c r="G32" s="107" t="s">
        <v>555</v>
      </c>
      <c r="H32" s="97" t="s">
        <v>1172</v>
      </c>
      <c r="I32" s="77" t="s">
        <v>556</v>
      </c>
      <c r="J32" s="77" t="s">
        <v>73</v>
      </c>
      <c r="K32" s="77" t="s">
        <v>28</v>
      </c>
      <c r="L32" s="78" t="s">
        <v>706</v>
      </c>
      <c r="M32" s="108" t="s">
        <v>1014</v>
      </c>
      <c r="N32" s="139"/>
    </row>
    <row r="33" spans="1:14" ht="15.75" thickBot="1" x14ac:dyDescent="0.3">
      <c r="A33" s="59" t="s">
        <v>6</v>
      </c>
      <c r="B33" s="70">
        <v>36</v>
      </c>
      <c r="C33" s="66">
        <v>36</v>
      </c>
      <c r="D33" s="63">
        <f>C33/B32</f>
        <v>9.1836734693877556E-2</v>
      </c>
      <c r="E33" s="144"/>
      <c r="G33" s="134" t="s">
        <v>557</v>
      </c>
      <c r="H33" s="135" t="s">
        <v>1172</v>
      </c>
      <c r="I33" s="81" t="s">
        <v>556</v>
      </c>
      <c r="J33" s="81" t="s">
        <v>73</v>
      </c>
      <c r="K33" s="81" t="s">
        <v>28</v>
      </c>
      <c r="L33" s="136" t="s">
        <v>947</v>
      </c>
      <c r="M33" s="137" t="s">
        <v>1014</v>
      </c>
      <c r="N33" s="139"/>
    </row>
    <row r="34" spans="1:14" ht="15.75" thickTop="1" x14ac:dyDescent="0.25">
      <c r="A34" s="59" t="s">
        <v>1006</v>
      </c>
      <c r="B34" s="70">
        <v>3</v>
      </c>
      <c r="C34" s="66">
        <f>B33-B34</f>
        <v>33</v>
      </c>
      <c r="D34" s="63">
        <f>C34/B32</f>
        <v>8.4183673469387751E-2</v>
      </c>
      <c r="E34" s="144"/>
      <c r="G34" s="52"/>
      <c r="H34" s="51"/>
      <c r="I34" s="51"/>
      <c r="J34" s="51"/>
      <c r="K34" s="16"/>
      <c r="L34" s="83"/>
    </row>
    <row r="35" spans="1:14" x14ac:dyDescent="0.25">
      <c r="A35" s="59" t="s">
        <v>1005</v>
      </c>
      <c r="B35" s="70">
        <v>2</v>
      </c>
      <c r="C35" s="66">
        <f>C34-B35</f>
        <v>31</v>
      </c>
      <c r="D35" s="63">
        <f>C35/B32</f>
        <v>7.9081632653061229E-2</v>
      </c>
      <c r="E35" s="144"/>
      <c r="G35" s="52"/>
      <c r="H35" s="51"/>
      <c r="I35" s="51"/>
      <c r="J35" s="51"/>
      <c r="K35" s="16"/>
      <c r="L35" s="83"/>
    </row>
    <row r="36" spans="1:14" ht="15.75" thickBot="1" x14ac:dyDescent="0.3">
      <c r="A36" s="60" t="s">
        <v>16</v>
      </c>
      <c r="B36" s="71">
        <v>4</v>
      </c>
      <c r="C36" s="67">
        <f>C35-B36</f>
        <v>27</v>
      </c>
      <c r="D36" s="64">
        <f>C36/B32</f>
        <v>6.8877551020408156E-2</v>
      </c>
      <c r="E36" s="145"/>
      <c r="G36" s="52"/>
      <c r="H36" s="51"/>
      <c r="I36" s="51"/>
      <c r="J36" s="51"/>
      <c r="K36" s="16"/>
      <c r="L36" s="83"/>
    </row>
    <row r="37" spans="1:14" ht="15.75" thickTop="1" x14ac:dyDescent="0.25">
      <c r="A37" s="58" t="s">
        <v>1004</v>
      </c>
      <c r="B37" s="69">
        <v>392</v>
      </c>
      <c r="C37" s="65"/>
      <c r="D37" s="62"/>
      <c r="E37" s="143">
        <v>44797</v>
      </c>
      <c r="G37" s="52"/>
      <c r="H37" s="51"/>
      <c r="I37" s="51"/>
      <c r="J37" s="51"/>
      <c r="K37" s="16"/>
      <c r="L37" s="83"/>
    </row>
    <row r="38" spans="1:14" x14ac:dyDescent="0.25">
      <c r="A38" s="59" t="s">
        <v>6</v>
      </c>
      <c r="B38" s="70">
        <v>30</v>
      </c>
      <c r="C38" s="66">
        <v>30</v>
      </c>
      <c r="D38" s="63">
        <f>C38/B37</f>
        <v>7.6530612244897961E-2</v>
      </c>
      <c r="E38" s="144"/>
      <c r="G38" s="52"/>
      <c r="H38" s="51"/>
      <c r="I38" s="51"/>
      <c r="J38" s="51"/>
      <c r="K38" s="16"/>
      <c r="L38" s="84"/>
    </row>
    <row r="39" spans="1:14" ht="15.75" thickBot="1" x14ac:dyDescent="0.3">
      <c r="A39" s="59" t="s">
        <v>1006</v>
      </c>
      <c r="B39" s="70">
        <v>3</v>
      </c>
      <c r="C39" s="66">
        <f>B38-B39</f>
        <v>27</v>
      </c>
      <c r="D39" s="63">
        <f>C39/B37</f>
        <v>6.8877551020408156E-2</v>
      </c>
      <c r="E39" s="144"/>
    </row>
    <row r="40" spans="1:14" ht="15.75" thickTop="1" x14ac:dyDescent="0.25">
      <c r="A40" s="59" t="s">
        <v>1005</v>
      </c>
      <c r="B40" s="70">
        <v>2</v>
      </c>
      <c r="C40" s="66">
        <f>C39-B40</f>
        <v>25</v>
      </c>
      <c r="D40" s="63">
        <f>C40/B37</f>
        <v>6.3775510204081634E-2</v>
      </c>
      <c r="E40" s="144"/>
      <c r="G40" s="72"/>
      <c r="H40" s="73"/>
      <c r="I40" s="73"/>
      <c r="J40" s="73"/>
      <c r="K40" s="74"/>
      <c r="L40" s="75"/>
      <c r="M40" s="140"/>
    </row>
    <row r="41" spans="1:14" ht="15.75" thickBot="1" x14ac:dyDescent="0.3">
      <c r="A41" s="60" t="s">
        <v>16</v>
      </c>
      <c r="B41" s="71">
        <v>4</v>
      </c>
      <c r="C41" s="67">
        <f>C40-B41</f>
        <v>21</v>
      </c>
      <c r="D41" s="64">
        <f>C41/B37</f>
        <v>5.3571428571428568E-2</v>
      </c>
      <c r="E41" s="145"/>
      <c r="G41" s="76"/>
      <c r="H41" s="77"/>
      <c r="I41" s="77"/>
      <c r="J41" s="77"/>
      <c r="K41" s="78"/>
      <c r="L41" s="79"/>
      <c r="M41" s="141"/>
    </row>
    <row r="42" spans="1:14" ht="15" customHeight="1" thickTop="1" x14ac:dyDescent="0.25">
      <c r="A42" s="58" t="s">
        <v>1004</v>
      </c>
      <c r="B42" s="69">
        <v>392</v>
      </c>
      <c r="C42" s="65"/>
      <c r="D42" s="62"/>
      <c r="E42" s="143">
        <v>44798</v>
      </c>
      <c r="G42" s="76"/>
      <c r="H42" s="77"/>
      <c r="I42" s="77"/>
      <c r="J42" s="77"/>
      <c r="K42" s="78"/>
      <c r="L42" s="79"/>
      <c r="M42" s="141"/>
    </row>
    <row r="43" spans="1:14" x14ac:dyDescent="0.25">
      <c r="A43" s="59" t="s">
        <v>6</v>
      </c>
      <c r="B43" s="70">
        <v>30</v>
      </c>
      <c r="C43" s="66">
        <v>30</v>
      </c>
      <c r="D43" s="63">
        <f>C43/B42</f>
        <v>7.6530612244897961E-2</v>
      </c>
      <c r="E43" s="144"/>
      <c r="G43" s="76"/>
      <c r="H43" s="77"/>
      <c r="I43" s="77"/>
      <c r="J43" s="77"/>
      <c r="K43" s="78"/>
      <c r="L43" s="79"/>
      <c r="M43" s="141"/>
    </row>
    <row r="44" spans="1:14" x14ac:dyDescent="0.25">
      <c r="A44" s="59" t="s">
        <v>1006</v>
      </c>
      <c r="B44" s="70">
        <v>3</v>
      </c>
      <c r="C44" s="66">
        <f>B43-B44</f>
        <v>27</v>
      </c>
      <c r="D44" s="63">
        <f>C44/B42</f>
        <v>6.8877551020408156E-2</v>
      </c>
      <c r="E44" s="144"/>
      <c r="G44" s="76"/>
      <c r="H44" s="77"/>
      <c r="I44" s="77"/>
      <c r="J44" s="77"/>
      <c r="K44" s="78"/>
      <c r="L44" s="79"/>
      <c r="M44" s="141"/>
    </row>
    <row r="45" spans="1:14" ht="15.75" thickBot="1" x14ac:dyDescent="0.3">
      <c r="A45" s="59" t="s">
        <v>1005</v>
      </c>
      <c r="B45" s="70">
        <v>2</v>
      </c>
      <c r="C45" s="66">
        <f>C44-B45</f>
        <v>25</v>
      </c>
      <c r="D45" s="63">
        <f>C45/B42</f>
        <v>6.3775510204081634E-2</v>
      </c>
      <c r="E45" s="144"/>
      <c r="G45" s="80"/>
      <c r="H45" s="81"/>
      <c r="I45" s="81"/>
      <c r="J45" s="81"/>
      <c r="K45" s="81"/>
      <c r="L45" s="82"/>
      <c r="M45" s="142"/>
    </row>
    <row r="46" spans="1:14" ht="16.5" thickTop="1" thickBot="1" x14ac:dyDescent="0.3">
      <c r="A46" s="60" t="s">
        <v>16</v>
      </c>
      <c r="B46" s="71">
        <v>4</v>
      </c>
      <c r="C46" s="67">
        <f>C45-B46</f>
        <v>21</v>
      </c>
      <c r="D46" s="64">
        <f>C46/B42</f>
        <v>5.3571428571428568E-2</v>
      </c>
      <c r="E46" s="145"/>
    </row>
    <row r="47" spans="1:14" ht="15.75" thickTop="1" x14ac:dyDescent="0.25">
      <c r="G47" s="52"/>
      <c r="H47" s="51"/>
      <c r="I47" s="51"/>
      <c r="J47" s="51"/>
      <c r="K47" s="16"/>
      <c r="L47" s="83"/>
    </row>
    <row r="48" spans="1:14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5">
    <mergeCell ref="N31:N33"/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4" workbookViewId="0">
      <selection activeCell="F27" sqref="F27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25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25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25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25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25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25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25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25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392</v>
      </c>
      <c r="G10" s="55">
        <f t="shared" ref="G10" si="11">E10/F10</f>
        <v>0.13010204081632654</v>
      </c>
    </row>
    <row r="11" spans="1:7" x14ac:dyDescent="0.25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392</v>
      </c>
      <c r="G11" s="55">
        <f t="shared" ref="G11" si="12">E11/F11</f>
        <v>0.16326530612244897</v>
      </c>
    </row>
    <row r="12" spans="1:7" x14ac:dyDescent="0.25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392</v>
      </c>
      <c r="G12" s="55">
        <f t="shared" ref="G12" si="13">E12/F12</f>
        <v>9.6938775510204078E-2</v>
      </c>
    </row>
    <row r="13" spans="1:7" x14ac:dyDescent="0.25">
      <c r="A13" s="25">
        <f>'APAGADOS RADIO'!Q3</f>
        <v>44785</v>
      </c>
      <c r="B13" s="51">
        <f>'APAGADOS RADIO'!Q2+D13</f>
        <v>6</v>
      </c>
      <c r="C13" s="51">
        <f>'APAGADOS FIBRA'!Q2</f>
        <v>38</v>
      </c>
      <c r="D13" s="51">
        <f>'APAGADOS ANTENA'!Q2</f>
        <v>2</v>
      </c>
      <c r="E13" s="51">
        <f>B13+C13</f>
        <v>44</v>
      </c>
      <c r="F13" s="51">
        <f>'RESUMEN TOTAL'!B1</f>
        <v>392</v>
      </c>
      <c r="G13" s="55">
        <f t="shared" ref="G13" si="14">E13/F13</f>
        <v>0.11224489795918367</v>
      </c>
    </row>
    <row r="14" spans="1:7" x14ac:dyDescent="0.25">
      <c r="A14" s="25">
        <f>'APAGADOS RADIO'!R3</f>
        <v>44786</v>
      </c>
      <c r="B14" s="51">
        <f>'APAGADOS RADIO'!R2+D14</f>
        <v>3</v>
      </c>
      <c r="C14" s="51">
        <f>'APAGADOS FIBRA'!R2</f>
        <v>25</v>
      </c>
      <c r="D14" s="51">
        <f>'APAGADOS ANTENA'!R2</f>
        <v>0</v>
      </c>
      <c r="E14" s="51">
        <f t="shared" ref="E14:E16" si="15">B14+C14</f>
        <v>28</v>
      </c>
      <c r="F14" s="51">
        <f>'RESUMEN TOTAL'!B1</f>
        <v>392</v>
      </c>
      <c r="G14" s="55">
        <f t="shared" ref="G14:G16" si="16">E14/F14</f>
        <v>7.1428571428571425E-2</v>
      </c>
    </row>
    <row r="15" spans="1:7" x14ac:dyDescent="0.25">
      <c r="A15" s="25">
        <f>'APAGADOS RADIO'!S3</f>
        <v>44787</v>
      </c>
      <c r="B15" s="51">
        <f>'APAGADOS RADIO'!S2+D15</f>
        <v>5</v>
      </c>
      <c r="C15" s="51">
        <f>'APAGADOS FIBRA'!S2</f>
        <v>26</v>
      </c>
      <c r="D15" s="51">
        <f>'APAGADOS ANTENA'!S2</f>
        <v>1</v>
      </c>
      <c r="E15" s="51">
        <f t="shared" si="15"/>
        <v>31</v>
      </c>
      <c r="F15" s="51">
        <f>'RESUMEN TOTAL'!B1</f>
        <v>392</v>
      </c>
      <c r="G15" s="55">
        <f t="shared" si="16"/>
        <v>7.9081632653061229E-2</v>
      </c>
    </row>
    <row r="16" spans="1:7" x14ac:dyDescent="0.25">
      <c r="A16" s="25">
        <f>'APAGADOS RADIO'!T3</f>
        <v>44788</v>
      </c>
      <c r="B16" s="51">
        <f>'APAGADOS RADIO'!T2+D16</f>
        <v>7</v>
      </c>
      <c r="C16" s="51">
        <f>'APAGADOS FIBRA'!T2</f>
        <v>27</v>
      </c>
      <c r="D16" s="51">
        <f>'APAGADOS ANTENA'!T2</f>
        <v>3</v>
      </c>
      <c r="E16" s="51">
        <f t="shared" si="15"/>
        <v>34</v>
      </c>
      <c r="F16" s="51">
        <f>'RESUMEN TOTAL'!B1</f>
        <v>392</v>
      </c>
      <c r="G16" s="55">
        <f t="shared" si="16"/>
        <v>8.673469387755102E-2</v>
      </c>
    </row>
    <row r="17" spans="1:7" x14ac:dyDescent="0.25">
      <c r="A17" s="25">
        <f>'APAGADOS RADIO'!U3</f>
        <v>44789</v>
      </c>
      <c r="B17" s="51">
        <f>'APAGADOS RADIO'!U2+D17</f>
        <v>5</v>
      </c>
      <c r="C17" s="51">
        <f>'APAGADOS FIBRA'!U2</f>
        <v>31</v>
      </c>
      <c r="D17" s="51">
        <f>'APAGADOS ANTENA'!U2</f>
        <v>2</v>
      </c>
      <c r="E17" s="51">
        <f t="shared" ref="E17" si="17">B17+C17</f>
        <v>36</v>
      </c>
      <c r="F17" s="51">
        <f>'RESUMEN TOTAL'!B1</f>
        <v>392</v>
      </c>
      <c r="G17" s="55">
        <f t="shared" ref="G17" si="18">E17/F17</f>
        <v>9.1836734693877556E-2</v>
      </c>
    </row>
    <row r="18" spans="1:7" x14ac:dyDescent="0.25">
      <c r="A18" s="25">
        <f>'APAGADOS RADIO'!V3</f>
        <v>44790</v>
      </c>
      <c r="B18" s="51">
        <f>'APAGADOS RADIO'!V2+D18</f>
        <v>5</v>
      </c>
      <c r="C18" s="51">
        <f>'APAGADOS FIBRA'!V2</f>
        <v>25</v>
      </c>
      <c r="D18" s="51">
        <f>'APAGADOS ANTENA'!V2</f>
        <v>2</v>
      </c>
      <c r="E18" s="51">
        <f t="shared" ref="E18" si="19">B18+C18</f>
        <v>30</v>
      </c>
      <c r="F18" s="51">
        <f>'RESUMEN TOTAL'!B1</f>
        <v>392</v>
      </c>
      <c r="G18" s="55">
        <f t="shared" ref="G18" si="20">E18/F18</f>
        <v>7.6530612244897961E-2</v>
      </c>
    </row>
    <row r="19" spans="1:7" x14ac:dyDescent="0.25">
      <c r="A19" s="25">
        <f>'APAGADOS RADIO'!W3</f>
        <v>44791</v>
      </c>
      <c r="B19" s="51">
        <f>'APAGADOS RADIO'!W2+D19</f>
        <v>5</v>
      </c>
      <c r="C19" s="51">
        <f>'APAGADOS FIBRA'!W2</f>
        <v>30</v>
      </c>
      <c r="D19" s="51">
        <f>'APAGADOS ANTENA'!W2</f>
        <v>2</v>
      </c>
      <c r="E19" s="51">
        <f t="shared" ref="E19" si="21">B19+C19</f>
        <v>35</v>
      </c>
      <c r="F19" s="51">
        <f>'RESUMEN TOTAL'!B1</f>
        <v>392</v>
      </c>
      <c r="G19" s="55">
        <f t="shared" ref="G19" si="22">E19/F19</f>
        <v>8.9285714285714288E-2</v>
      </c>
    </row>
    <row r="20" spans="1:7" x14ac:dyDescent="0.25">
      <c r="A20" s="25">
        <f>'APAGADOS RADIO'!X3</f>
        <v>44792</v>
      </c>
      <c r="B20" s="51">
        <f>'APAGADOS RADIO'!X2+D20</f>
        <v>5</v>
      </c>
      <c r="C20" s="51">
        <f>'APAGADOS FIBRA'!X2</f>
        <v>30</v>
      </c>
      <c r="D20" s="51">
        <f>'APAGADOS ANTENA'!X2</f>
        <v>2</v>
      </c>
      <c r="E20" s="51">
        <f t="shared" ref="E20" si="23">B20+C20</f>
        <v>35</v>
      </c>
      <c r="F20" s="51">
        <f>'RESUMEN TOTAL'!B1</f>
        <v>392</v>
      </c>
      <c r="G20" s="55">
        <f t="shared" ref="G20" si="24">E20/F20</f>
        <v>8.9285714285714288E-2</v>
      </c>
    </row>
    <row r="21" spans="1:7" x14ac:dyDescent="0.25">
      <c r="A21" s="25">
        <f>'APAGADOS RADIO'!Y3</f>
        <v>44793</v>
      </c>
      <c r="B21" s="51">
        <f>'APAGADOS RADIO'!Y2+D21</f>
        <v>7</v>
      </c>
      <c r="C21" s="51">
        <f>'APAGADOS FIBRA'!Y2</f>
        <v>28</v>
      </c>
      <c r="D21" s="51">
        <f>'APAGADOS ANTENA'!Y2</f>
        <v>3</v>
      </c>
      <c r="E21" s="51">
        <f t="shared" ref="E21:E23" si="25">B21+C21</f>
        <v>35</v>
      </c>
      <c r="F21" s="51">
        <f>'RESUMEN TOTAL'!B1</f>
        <v>392</v>
      </c>
      <c r="G21" s="55">
        <f t="shared" ref="G21:G23" si="26">E21/F21</f>
        <v>8.9285714285714288E-2</v>
      </c>
    </row>
    <row r="22" spans="1:7" x14ac:dyDescent="0.25">
      <c r="A22" s="25">
        <f>'APAGADOS RADIO'!Z3</f>
        <v>44794</v>
      </c>
      <c r="B22" s="51">
        <f>'APAGADOS RADIO'!Z2+D22</f>
        <v>7</v>
      </c>
      <c r="C22" s="51">
        <f>'APAGADOS FIBRA'!Z2</f>
        <v>28</v>
      </c>
      <c r="D22" s="51">
        <f>'APAGADOS ANTENA'!Z2</f>
        <v>3</v>
      </c>
      <c r="E22" s="51">
        <f t="shared" si="25"/>
        <v>35</v>
      </c>
      <c r="F22" s="51">
        <f>'RESUMEN TOTAL'!B1</f>
        <v>392</v>
      </c>
      <c r="G22" s="55">
        <f t="shared" si="26"/>
        <v>8.9285714285714288E-2</v>
      </c>
    </row>
    <row r="23" spans="1:7" x14ac:dyDescent="0.25">
      <c r="A23" s="25">
        <f>'APAGADOS RADIO'!AA3</f>
        <v>44795</v>
      </c>
      <c r="B23" s="51">
        <f>'APAGADOS RADIO'!AA2+D23</f>
        <v>6</v>
      </c>
      <c r="C23" s="51">
        <f>'APAGADOS FIBRA'!AA2</f>
        <v>27</v>
      </c>
      <c r="D23" s="51">
        <f>'APAGADOS ANTENA'!AA2</f>
        <v>2</v>
      </c>
      <c r="E23" s="51">
        <f t="shared" si="25"/>
        <v>33</v>
      </c>
      <c r="F23" s="51">
        <f>'RESUMEN TOTAL'!B1</f>
        <v>392</v>
      </c>
      <c r="G23" s="55">
        <f t="shared" si="26"/>
        <v>8.4183673469387751E-2</v>
      </c>
    </row>
    <row r="24" spans="1:7" x14ac:dyDescent="0.25">
      <c r="A24" s="25">
        <f>'APAGADOS RADIO'!AB3</f>
        <v>44796</v>
      </c>
      <c r="B24" s="51">
        <f>'APAGADOS RADIO'!AB2+D24</f>
        <v>6</v>
      </c>
      <c r="C24" s="51">
        <f>'APAGADOS FIBRA'!AB2</f>
        <v>30</v>
      </c>
      <c r="D24" s="51">
        <f>'APAGADOS ANTENA'!AB2</f>
        <v>2</v>
      </c>
      <c r="E24" s="51">
        <f t="shared" ref="E24" si="27">B24+C24</f>
        <v>36</v>
      </c>
      <c r="F24" s="51">
        <f>'RESUMEN TOTAL'!B1</f>
        <v>392</v>
      </c>
      <c r="G24" s="55">
        <f t="shared" ref="G24" si="28">E24/F24</f>
        <v>9.1836734693877556E-2</v>
      </c>
    </row>
    <row r="25" spans="1:7" x14ac:dyDescent="0.25">
      <c r="A25" s="25">
        <f>'APAGADOS RADIO'!AC3</f>
        <v>44797</v>
      </c>
      <c r="B25" s="51">
        <f>'APAGADOS RADIO'!AC2+D25</f>
        <v>5</v>
      </c>
      <c r="C25" s="51">
        <f>'APAGADOS FIBRA'!AC2</f>
        <v>25</v>
      </c>
      <c r="D25" s="51">
        <f>'APAGADOS ANTENA'!AC2</f>
        <v>1</v>
      </c>
      <c r="E25" s="51">
        <f t="shared" ref="E25" si="29">B25+C25</f>
        <v>30</v>
      </c>
      <c r="F25" s="51">
        <f>'RESUMEN TOTAL'!B1</f>
        <v>392</v>
      </c>
      <c r="G25" s="55">
        <f t="shared" ref="G25" si="30">E25/F25</f>
        <v>7.6530612244897961E-2</v>
      </c>
    </row>
    <row r="26" spans="1:7" x14ac:dyDescent="0.25">
      <c r="A26" s="25">
        <f>'APAGADOS RADIO'!AD3</f>
        <v>44798</v>
      </c>
      <c r="B26" s="51">
        <f>'APAGADOS RADIO'!AD2+D26</f>
        <v>6</v>
      </c>
      <c r="C26" s="51">
        <f>'APAGADOS FIBRA'!AD2</f>
        <v>24</v>
      </c>
      <c r="D26" s="51">
        <f>'APAGADOS ANTENA'!AD2</f>
        <v>2</v>
      </c>
      <c r="E26" s="51">
        <f t="shared" ref="E26" si="31">B26+C26</f>
        <v>30</v>
      </c>
      <c r="F26" s="51">
        <f>'RESUMEN TOTAL'!B1</f>
        <v>392</v>
      </c>
      <c r="G26" s="55">
        <f t="shared" ref="G26" si="32">E26/F26</f>
        <v>7.6530612244897961E-2</v>
      </c>
    </row>
    <row r="27" spans="1:7" x14ac:dyDescent="0.25">
      <c r="A27" s="25">
        <f>'APAGADOS RADIO'!AE3</f>
        <v>44799</v>
      </c>
      <c r="B27" s="51"/>
      <c r="C27" s="51"/>
      <c r="D27" s="51"/>
      <c r="E27" s="51"/>
      <c r="F27" s="51"/>
    </row>
    <row r="28" spans="1:7" x14ac:dyDescent="0.25">
      <c r="A28" s="25">
        <f>'APAGADOS RADIO'!AF3</f>
        <v>44800</v>
      </c>
      <c r="B28" s="51"/>
      <c r="C28" s="51"/>
      <c r="D28" s="51"/>
      <c r="E28" s="51"/>
      <c r="F28" s="51"/>
    </row>
    <row r="29" spans="1:7" x14ac:dyDescent="0.25">
      <c r="A29" s="25">
        <f>'APAGADOS RADIO'!AG3</f>
        <v>44801</v>
      </c>
      <c r="B29" s="51"/>
      <c r="C29" s="51"/>
      <c r="D29" s="51"/>
      <c r="E29" s="51"/>
      <c r="F29" s="51"/>
    </row>
    <row r="30" spans="1:7" x14ac:dyDescent="0.25">
      <c r="A30" s="25">
        <f>'APAGADOS RADIO'!AH3</f>
        <v>44802</v>
      </c>
      <c r="B30" s="51"/>
      <c r="C30" s="51"/>
      <c r="D30" s="51"/>
      <c r="E30" s="51"/>
      <c r="F30" s="51"/>
    </row>
    <row r="31" spans="1:7" x14ac:dyDescent="0.25">
      <c r="A31" s="25">
        <f>'APAGADOS RADIO'!AI3</f>
        <v>44803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E10" workbookViewId="0">
      <selection activeCell="AA18" sqref="AA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1" customFormat="1" ht="16.5" thickTop="1" thickBot="1" x14ac:dyDescent="0.3">
      <c r="A1" s="117"/>
      <c r="B1" s="121" t="s">
        <v>1182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129" t="s">
        <v>1171</v>
      </c>
      <c r="B2" s="118">
        <f>COUNTIFS('RESUMEN TOTAL'!C5:C396,"=BONOMO")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6.5" thickTop="1" thickBot="1" x14ac:dyDescent="0.3">
      <c r="A3" s="119"/>
      <c r="B3" s="120"/>
      <c r="D3" s="115" t="s">
        <v>1171</v>
      </c>
      <c r="E3" s="122" t="s">
        <v>1183</v>
      </c>
      <c r="F3" s="123">
        <f>COUNTIFS('RESUMEN TOTAL'!C5:C396, "=BONOMO",'RESUMEN TOTAL'!K5:K396,"=APAGADO")</f>
        <v>26</v>
      </c>
      <c r="G3" s="124">
        <f>COUNTIFS('RESUMEN TOTAL'!C5:C396, "=BONOMO",'RESUMEN TOTAL'!L5:L396,"=APAGADO")</f>
        <v>27</v>
      </c>
      <c r="H3" s="124">
        <f>COUNTIFS('RESUMEN TOTAL'!C5:C396, "=BONOMO",'RESUMEN TOTAL'!M5:M396,"=APAGADO")</f>
        <v>20</v>
      </c>
      <c r="I3" s="124">
        <f>COUNTIFS('RESUMEN TOTAL'!C5:C396, "=BONOMO",'RESUMEN TOTAL'!N5:N396,"=APAGADO")</f>
        <v>21</v>
      </c>
      <c r="J3" s="124">
        <f>COUNTIFS('RESUMEN TOTAL'!C5:C396, "=BONOMO",'RESUMEN TOTAL'!O5:O396,"=APAGADO")</f>
        <v>16</v>
      </c>
      <c r="K3" s="124">
        <f>COUNTIFS('RESUMEN TOTAL'!C5:C396, "=BONOMO",'RESUMEN TOTAL'!P5:P396,"=APAGADO")</f>
        <v>34</v>
      </c>
      <c r="L3" s="124">
        <f>COUNTIFS('RESUMEN TOTAL'!C5:C396, "=BONOMO",'RESUMEN TOTAL'!Q5:Q396,"=APAGADO")</f>
        <v>31</v>
      </c>
      <c r="M3" s="124">
        <f>COUNTIFS('RESUMEN TOTAL'!C5:C396, "=BONOMO",'RESUMEN TOTAL'!R5:R396,"=APAGADO")</f>
        <v>31</v>
      </c>
      <c r="N3" s="124">
        <f>COUNTIFS('RESUMEN TOTAL'!C5:C396, "=BONOMO",'RESUMEN TOTAL'!S5:S396,"=APAGADO")</f>
        <v>35</v>
      </c>
      <c r="O3" s="124">
        <f>COUNTIFS('RESUMEN TOTAL'!C5:C396, "=BONOMO",'RESUMEN TOTAL'!T5:T396,"=APAGADO")</f>
        <v>45</v>
      </c>
      <c r="P3" s="125">
        <f>COUNTIFS('RESUMEN TOTAL'!C5:C396, "=BONOMO",'RESUMEN TOTAL'!U5:U396,"=APAGADO")</f>
        <v>28</v>
      </c>
      <c r="Q3" s="125">
        <f>COUNTIFS('RESUMEN TOTAL'!C5:C396, "=BONOMO",'RESUMEN TOTAL'!V5:V396,"=APAGADO")</f>
        <v>34</v>
      </c>
      <c r="R3" s="125">
        <f>COUNTIFS('RESUMEN TOTAL'!C5:C396, "=BONOMO",'RESUMEN TOTAL'!W5:W396,"=APAGADO")</f>
        <v>17</v>
      </c>
      <c r="S3" s="125">
        <f>COUNTIFS('RESUMEN TOTAL'!C5:C396, "=BONOMO",'RESUMEN TOTAL'!X5:X396,"=APAGADO")</f>
        <v>20</v>
      </c>
      <c r="T3" s="125">
        <f>COUNTIFS('RESUMEN TOTAL'!C5:C396, "=BONOMO",'RESUMEN TOTAL'!Y5:Y396,"=APAGADO")</f>
        <v>20</v>
      </c>
      <c r="U3" s="125">
        <f>COUNTIFS('RESUMEN TOTAL'!C5:C396, "=BONOMO",'RESUMEN TOTAL'!Z5:Z396,"=APAGADO")</f>
        <v>23</v>
      </c>
      <c r="V3" s="125">
        <f>COUNTIFS('RESUMEN TOTAL'!C5:C396, "=BONOMO",'RESUMEN TOTAL'!AA5:AA396,"=APAGADO")</f>
        <v>21</v>
      </c>
      <c r="W3" s="125">
        <f>COUNTIFS('RESUMEN TOTAL'!C5:C396, "=BONOMO",'RESUMEN TOTAL'!AB5:AB396,"=APAGADO")</f>
        <v>26</v>
      </c>
      <c r="X3" s="125">
        <f>COUNTIFS('RESUMEN TOTAL'!C5:C396, "=BONOMO",'RESUMEN TOTAL'!AC5:AC396,"=APAGADO")</f>
        <v>26</v>
      </c>
      <c r="Y3" s="125">
        <f>COUNTIFS('RESUMEN TOTAL'!C5:C396, "=BONOMO",'RESUMEN TOTAL'!AD5:AD396,"=APAGADO")</f>
        <v>26</v>
      </c>
      <c r="Z3" s="125">
        <f>COUNTIFS('RESUMEN TOTAL'!C5:C396, "=BONOMO",'RESUMEN TOTAL'!AE5:AE396,"=APAGADO")</f>
        <v>26</v>
      </c>
      <c r="AA3" s="125">
        <f>COUNTIFS('RESUMEN TOTAL'!C5:C396, "=BONOMO",'RESUMEN TOTAL'!AF5:AF396,"=APAGADO")</f>
        <v>24</v>
      </c>
      <c r="AB3" s="125">
        <f>COUNTIFS('RESUMEN TOTAL'!C5:C396, "=BONOMO",'RESUMEN TOTAL'!AG5:AG396,"=APAGADO")</f>
        <v>27</v>
      </c>
      <c r="AC3" s="125">
        <f>COUNTIFS('RESUMEN TOTAL'!C5:C396, "=BONOMO",'RESUMEN TOTAL'!AH5:AH396,"=APAGADO")</f>
        <v>22</v>
      </c>
      <c r="AD3" s="125">
        <f>COUNTIFS('RESUMEN TOTAL'!C5:C396, "=BONOMO",'RESUMEN TOTAL'!AI5:AI396,"=APAGADO")</f>
        <v>23</v>
      </c>
      <c r="AE3" s="125">
        <f>COUNTIFS('RESUMEN TOTAL'!C5:C396, "=BONOMO",'RESUMEN TOTAL'!AJ5:AJ396,"=APAGADO")</f>
        <v>25</v>
      </c>
      <c r="AF3" s="125">
        <f>COUNTIFS('RESUMEN TOTAL'!C5:C396, "=BONOMO",'RESUMEN TOTAL'!AK5:AK396,"=APAGADO")</f>
        <v>25</v>
      </c>
      <c r="AG3" s="125">
        <f>COUNTIFS('RESUMEN TOTAL'!C5:C396, "=BONOMO",'RESUMEN TOTAL'!AL5:AL396,"=APAGADO")</f>
        <v>24</v>
      </c>
      <c r="AH3" s="125">
        <f>COUNTIFS('RESUMEN TOTAL'!C5:C396, "=BONOMO",'RESUMEN TOTAL'!AM5:AM396,"=APAGADO")</f>
        <v>0</v>
      </c>
      <c r="AI3" s="125">
        <f>COUNTIFS('RESUMEN TOTAL'!C5:C396, "=BONOMO",'RESUMEN TOTAL'!AN5:AN396,"=APAGADO")</f>
        <v>0</v>
      </c>
      <c r="AJ3" s="125">
        <f>COUNTIFS('RESUMEN TOTAL'!C5:C396, "=BONOMO",'RESUMEN TOTAL'!AO5:AO396,"=APAGADO")</f>
        <v>0</v>
      </c>
    </row>
    <row r="4" spans="1:36" s="51" customFormat="1" ht="16.5" thickTop="1" thickBot="1" x14ac:dyDescent="0.3">
      <c r="A4" s="128" t="s">
        <v>1172</v>
      </c>
      <c r="B4" s="118">
        <f>COUNTIFS('RESUMEN TOTAL'!C5:C396,"=COSEIDI")</f>
        <v>180</v>
      </c>
      <c r="D4" s="116"/>
      <c r="E4" s="114" t="s">
        <v>1185</v>
      </c>
      <c r="F4" s="130">
        <f t="shared" ref="F4:AJ4" si="0">F3/BONOMOcam</f>
        <v>0.12264150943396226</v>
      </c>
      <c r="G4" s="131">
        <f t="shared" si="0"/>
        <v>0.12735849056603774</v>
      </c>
      <c r="H4" s="131">
        <f t="shared" si="0"/>
        <v>9.4339622641509441E-2</v>
      </c>
      <c r="I4" s="131">
        <f t="shared" si="0"/>
        <v>9.9056603773584911E-2</v>
      </c>
      <c r="J4" s="131">
        <f t="shared" si="0"/>
        <v>7.5471698113207544E-2</v>
      </c>
      <c r="K4" s="131">
        <f t="shared" si="0"/>
        <v>0.16037735849056603</v>
      </c>
      <c r="L4" s="131">
        <f t="shared" si="0"/>
        <v>0.14622641509433962</v>
      </c>
      <c r="M4" s="131">
        <f t="shared" si="0"/>
        <v>0.14622641509433962</v>
      </c>
      <c r="N4" s="131">
        <f t="shared" si="0"/>
        <v>0.1650943396226415</v>
      </c>
      <c r="O4" s="131">
        <f t="shared" si="0"/>
        <v>0.21226415094339623</v>
      </c>
      <c r="P4" s="132">
        <f t="shared" si="0"/>
        <v>0.13207547169811321</v>
      </c>
      <c r="Q4" s="132">
        <f t="shared" ref="Q4" si="1">Q3/BONOMOcam</f>
        <v>0.16037735849056603</v>
      </c>
      <c r="R4" s="132">
        <f t="shared" si="0"/>
        <v>8.0188679245283015E-2</v>
      </c>
      <c r="S4" s="132">
        <f t="shared" si="0"/>
        <v>9.4339622641509441E-2</v>
      </c>
      <c r="T4" s="132">
        <f t="shared" si="0"/>
        <v>9.4339622641509441E-2</v>
      </c>
      <c r="U4" s="132">
        <f t="shared" si="0"/>
        <v>0.10849056603773585</v>
      </c>
      <c r="V4" s="132">
        <f t="shared" si="0"/>
        <v>9.9056603773584911E-2</v>
      </c>
      <c r="W4" s="132">
        <f t="shared" si="0"/>
        <v>0.12264150943396226</v>
      </c>
      <c r="X4" s="132">
        <f t="shared" si="0"/>
        <v>0.12264150943396226</v>
      </c>
      <c r="Y4" s="132">
        <f t="shared" si="0"/>
        <v>0.12264150943396226</v>
      </c>
      <c r="Z4" s="132">
        <f t="shared" si="0"/>
        <v>0.12264150943396226</v>
      </c>
      <c r="AA4" s="132">
        <f t="shared" si="0"/>
        <v>0.11320754716981132</v>
      </c>
      <c r="AB4" s="132">
        <f t="shared" si="0"/>
        <v>0.12735849056603774</v>
      </c>
      <c r="AC4" s="132">
        <f t="shared" si="0"/>
        <v>0.10377358490566038</v>
      </c>
      <c r="AD4" s="132">
        <f t="shared" si="0"/>
        <v>0.10849056603773585</v>
      </c>
      <c r="AE4" s="132">
        <f t="shared" si="0"/>
        <v>0.11792452830188679</v>
      </c>
      <c r="AF4" s="132">
        <f t="shared" si="0"/>
        <v>0.11792452830188679</v>
      </c>
      <c r="AG4" s="132">
        <f t="shared" si="0"/>
        <v>0.11320754716981132</v>
      </c>
      <c r="AH4" s="132">
        <f t="shared" si="0"/>
        <v>0</v>
      </c>
      <c r="AI4" s="132">
        <f t="shared" si="0"/>
        <v>0</v>
      </c>
      <c r="AJ4" s="132">
        <f t="shared" si="0"/>
        <v>0</v>
      </c>
    </row>
    <row r="5" spans="1:36" ht="16.5" thickTop="1" thickBot="1" x14ac:dyDescent="0.3">
      <c r="A5" s="119"/>
      <c r="B5" s="120"/>
      <c r="D5" s="115" t="s">
        <v>1172</v>
      </c>
      <c r="E5" s="126" t="s">
        <v>1184</v>
      </c>
      <c r="F5" s="127">
        <f>COUNTIFS('RESUMEN TOTAL'!C7:C398, "=COSEIDI",'RESUMEN TOTAL'!K7:K398,"=APAGADO")</f>
        <v>12</v>
      </c>
      <c r="G5" s="127">
        <f>COUNTIFS('RESUMEN TOTAL'!C7:C398, "=COSEIDI",'RESUMEN TOTAL'!L7:L398,"=APAGADO")</f>
        <v>14</v>
      </c>
      <c r="H5" s="127">
        <f>COUNTIFS('RESUMEN TOTAL'!C7:C398, "=COSEIDI",'RESUMEN TOTAL'!M7:M398,"=APAGADO")</f>
        <v>11</v>
      </c>
      <c r="I5" s="127">
        <f>COUNTIFS('RESUMEN TOTAL'!C7:C398, "=COSEIDI",'RESUMEN TOTAL'!N7:N398,"=APAGADO")</f>
        <v>13</v>
      </c>
      <c r="J5" s="127">
        <f>COUNTIFS('RESUMEN TOTAL'!C7:C398, "=COSEIDI",'RESUMEN TOTAL'!O7:O398,"=APAGADO")</f>
        <v>14</v>
      </c>
      <c r="K5" s="127">
        <f>COUNTIFS('RESUMEN TOTAL'!C7:C398, "=COSEIDI",'RESUMEN TOTAL'!P7:P398,"=APAGADO")</f>
        <v>18</v>
      </c>
      <c r="L5" s="127">
        <f>COUNTIFS('RESUMEN TOTAL'!C7:C398, "=COSEIDI",'RESUMEN TOTAL'!Q7:Q398,"=APAGADO")</f>
        <v>42</v>
      </c>
      <c r="M5" s="127">
        <f>COUNTIFS('RESUMEN TOTAL'!C7:C398, "=COSEIDI",'RESUMEN TOTAL'!R7:R398,"=APAGADO")</f>
        <v>19</v>
      </c>
      <c r="N5" s="127">
        <f>COUNTIFS('RESUMEN TOTAL'!C7:C398, "=COSEIDI",'RESUMEN TOTAL'!S7:S398,"=APAGADO")</f>
        <v>16</v>
      </c>
      <c r="O5" s="127">
        <f>COUNTIFS('RESUMEN TOTAL'!C7:C398, "=COSEIDI",'RESUMEN TOTAL'!T7:T398,"=APAGADO")</f>
        <v>19</v>
      </c>
      <c r="P5" s="127">
        <f>COUNTIFS('RESUMEN TOTAL'!C7:C398, "=COSEIDI",'RESUMEN TOTAL'!U7:U398,"=APAGADO")</f>
        <v>10</v>
      </c>
      <c r="Q5" s="127">
        <f>COUNTIFS('RESUMEN TOTAL'!C7:C398, "=COSEIDI",'RESUMEN TOTAL'!V7:V398,"=APAGADO")</f>
        <v>11</v>
      </c>
      <c r="R5" s="127">
        <f>COUNTIFS('RESUMEN TOTAL'!C7:C398, "=COSEIDI",'RESUMEN TOTAL'!W7:W398,"=APAGADO")</f>
        <v>11</v>
      </c>
      <c r="S5" s="127">
        <f>COUNTIFS('RESUMEN TOTAL'!C7:C398, "=COSEIDI",'RESUMEN TOTAL'!X7:X398,"=APAGADO")</f>
        <v>11</v>
      </c>
      <c r="T5" s="127">
        <f>COUNTIFS('RESUMEN TOTAL'!C7:C398, "=COSEIDI",'RESUMEN TOTAL'!Y7:Y398,"=APAGADO")</f>
        <v>14</v>
      </c>
      <c r="U5" s="127">
        <f>COUNTIFS('RESUMEN TOTAL'!C7:C398, "=COSEIDI",'RESUMEN TOTAL'!Z7:Z398,"=APAGADO")</f>
        <v>13</v>
      </c>
      <c r="V5" s="127">
        <f>COUNTIFS('RESUMEN TOTAL'!C7:C398, "=COSEIDI",'RESUMEN TOTAL'!AA7:AA398,"=APAGADO")</f>
        <v>9</v>
      </c>
      <c r="W5" s="127">
        <f>COUNTIFS('RESUMEN TOTAL'!C7:C398, "=COSEIDI",'RESUMEN TOTAL'!AB7:AB398,"=APAGADO")</f>
        <v>9</v>
      </c>
      <c r="X5" s="127">
        <f>COUNTIFS('RESUMEN TOTAL'!C7:C398, "=COSEIDI",'RESUMEN TOTAL'!AC7:AC398,"=APAGADO")</f>
        <v>9</v>
      </c>
      <c r="Y5" s="127">
        <f>COUNTIFS('RESUMEN TOTAL'!C7:C398, "=COSEIDI",'RESUMEN TOTAL'!AD7:AD398,"=APAGADO")</f>
        <v>9</v>
      </c>
      <c r="Z5" s="127">
        <f>COUNTIFS('RESUMEN TOTAL'!C7:C398, "=COSEIDI",'RESUMEN TOTAL'!AE7:AE398,"=APAGADO")</f>
        <v>9</v>
      </c>
      <c r="AA5" s="127">
        <f>COUNTIFS('RESUMEN TOTAL'!C7:C398, "=COSEIDI",'RESUMEN TOTAL'!AF7:AF398,"=APAGADO")</f>
        <v>9</v>
      </c>
      <c r="AB5" s="127">
        <f>COUNTIFS('RESUMEN TOTAL'!C7:C398, "=COSEIDI",'RESUMEN TOTAL'!AG7:AG398,"=APAGADO")</f>
        <v>9</v>
      </c>
      <c r="AC5" s="127">
        <f>COUNTIFS('RESUMEN TOTAL'!C7:C398, "=COSEIDI",'RESUMEN TOTAL'!AH7:AH398,"=APAGADO")</f>
        <v>8</v>
      </c>
      <c r="AD5" s="127">
        <f>COUNTIFS('RESUMEN TOTAL'!C7:C398, "=COSEIDI",'RESUMEN TOTAL'!AI7:AI398,"=APAGADO")</f>
        <v>7</v>
      </c>
      <c r="AE5" s="127">
        <f>COUNTIFS('RESUMEN TOTAL'!C7:C398, "=COSEIDI",'RESUMEN TOTAL'!AJ7:AJ398,"=APAGADO")</f>
        <v>8</v>
      </c>
      <c r="AF5" s="127">
        <f>COUNTIFS('RESUMEN TOTAL'!C7:C398, "=COSEIDI",'RESUMEN TOTAL'!AK7:AK398,"=APAGADO")</f>
        <v>17</v>
      </c>
      <c r="AG5" s="127">
        <f>COUNTIFS('RESUMEN TOTAL'!C7:C398, "=COSEIDI",'RESUMEN TOTAL'!AL7:AL398,"=APAGADO")</f>
        <v>14</v>
      </c>
      <c r="AH5" s="127">
        <f>COUNTIFS('RESUMEN TOTAL'!C7:C398, "=COSEIDI",'RESUMEN TOTAL'!AM7:AM398,"=APAGADO")</f>
        <v>0</v>
      </c>
      <c r="AI5" s="127">
        <f>COUNTIFS('RESUMEN TOTAL'!C7:C398, "=COSEIDI",'RESUMEN TOTAL'!AN7:AN398,"=APAGADO")</f>
        <v>0</v>
      </c>
      <c r="AJ5" s="127">
        <f>COUNTIFS('RESUMEN TOTAL'!C7:C398, "=COSEIDI",'RESUMEN TOTAL'!AO7:AO398,"=APAGADO")</f>
        <v>0</v>
      </c>
    </row>
    <row r="6" spans="1:36" ht="16.5" thickTop="1" thickBot="1" x14ac:dyDescent="0.3">
      <c r="D6" s="116"/>
      <c r="E6" s="114" t="s">
        <v>1186</v>
      </c>
      <c r="F6" s="131">
        <f t="shared" ref="F6:AJ6" si="2">F5/COSEIDIcam</f>
        <v>6.6666666666666666E-2</v>
      </c>
      <c r="G6" s="131">
        <f t="shared" si="2"/>
        <v>7.7777777777777779E-2</v>
      </c>
      <c r="H6" s="131">
        <f t="shared" si="2"/>
        <v>6.1111111111111109E-2</v>
      </c>
      <c r="I6" s="131">
        <f t="shared" si="2"/>
        <v>7.2222222222222215E-2</v>
      </c>
      <c r="J6" s="131">
        <f t="shared" si="2"/>
        <v>7.7777777777777779E-2</v>
      </c>
      <c r="K6" s="131">
        <f t="shared" si="2"/>
        <v>0.1</v>
      </c>
      <c r="L6" s="131">
        <f t="shared" si="2"/>
        <v>0.23333333333333334</v>
      </c>
      <c r="M6" s="131">
        <f t="shared" si="2"/>
        <v>0.10555555555555556</v>
      </c>
      <c r="N6" s="131">
        <f t="shared" si="2"/>
        <v>8.8888888888888892E-2</v>
      </c>
      <c r="O6" s="131">
        <f t="shared" si="2"/>
        <v>0.10555555555555556</v>
      </c>
      <c r="P6" s="131">
        <f t="shared" si="2"/>
        <v>5.5555555555555552E-2</v>
      </c>
      <c r="Q6" s="131">
        <f t="shared" ref="Q6" si="3">Q5/COSEIDIcam</f>
        <v>6.1111111111111109E-2</v>
      </c>
      <c r="R6" s="131">
        <f t="shared" si="2"/>
        <v>6.1111111111111109E-2</v>
      </c>
      <c r="S6" s="131">
        <f t="shared" si="2"/>
        <v>6.1111111111111109E-2</v>
      </c>
      <c r="T6" s="131">
        <f t="shared" si="2"/>
        <v>7.7777777777777779E-2</v>
      </c>
      <c r="U6" s="131">
        <f t="shared" si="2"/>
        <v>7.2222222222222215E-2</v>
      </c>
      <c r="V6" s="131">
        <f t="shared" si="2"/>
        <v>0.05</v>
      </c>
      <c r="W6" s="131">
        <f t="shared" si="2"/>
        <v>0.05</v>
      </c>
      <c r="X6" s="131">
        <f t="shared" si="2"/>
        <v>0.05</v>
      </c>
      <c r="Y6" s="131">
        <f t="shared" si="2"/>
        <v>0.05</v>
      </c>
      <c r="Z6" s="131">
        <f t="shared" si="2"/>
        <v>0.05</v>
      </c>
      <c r="AA6" s="131">
        <f t="shared" si="2"/>
        <v>0.05</v>
      </c>
      <c r="AB6" s="131">
        <f t="shared" si="2"/>
        <v>0.05</v>
      </c>
      <c r="AC6" s="131">
        <f t="shared" si="2"/>
        <v>4.4444444444444446E-2</v>
      </c>
      <c r="AD6" s="131">
        <f t="shared" si="2"/>
        <v>3.888888888888889E-2</v>
      </c>
      <c r="AE6" s="131">
        <f t="shared" si="2"/>
        <v>4.4444444444444446E-2</v>
      </c>
      <c r="AF6" s="113">
        <f t="shared" si="2"/>
        <v>9.4444444444444442E-2</v>
      </c>
      <c r="AG6" s="113">
        <f t="shared" si="2"/>
        <v>7.7777777777777779E-2</v>
      </c>
      <c r="AH6" s="113">
        <f t="shared" si="2"/>
        <v>0</v>
      </c>
      <c r="AI6" s="113">
        <f t="shared" si="2"/>
        <v>0</v>
      </c>
      <c r="AJ6" s="113">
        <f t="shared" si="2"/>
        <v>0</v>
      </c>
    </row>
    <row r="7" spans="1:36" ht="15.75" thickTop="1" x14ac:dyDescent="0.25"/>
  </sheetData>
  <conditionalFormatting sqref="F4:AJ4">
    <cfRule type="cellIs" dxfId="3" priority="4" operator="greaterThan">
      <formula>10</formula>
    </cfRule>
    <cfRule type="cellIs" dxfId="2" priority="3" operator="greaterThan">
      <formula>0.1</formula>
    </cfRule>
  </conditionalFormatting>
  <conditionalFormatting sqref="F6:AJ6">
    <cfRule type="cellIs" dxfId="1" priority="2" operator="greaterThan">
      <formula>0.11</formula>
    </cfRule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2022-08-29T10:37:57Z</dcterms:modified>
</cp:coreProperties>
</file>