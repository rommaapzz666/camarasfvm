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D76B2F6D-315D-40DE-A230-1FC85A26E610}" xr6:coauthVersionLast="47" xr6:coauthVersionMax="47" xr10:uidLastSave="{00000000-0000-0000-0000-000000000000}"/>
  <bookViews>
    <workbookView xWindow="-120" yWindow="-120" windowWidth="20730" windowHeight="1116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H431" i="2"/>
  <c r="I431" i="2"/>
  <c r="J430" i="2" l="1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<sst xmlns="http://schemas.openxmlformats.org/spreadsheetml/2006/main" count="3439" uniqueCount="1278">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</sst>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Q218" activePane="bottomRight" state="frozen"/>
      <selection pane="topRight" activeCell="M1" sqref="M1"/>
      <selection pane="bottomLeft" activeCell="A5" sqref="A5"/>
      <selection pane="bottomRight" activeCell="Q228" sqref="Q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24</v>
      </c>
      <c r="I9" s="16">
        <f>COUNTIF(K9:AL9,"APAGADO")</f>
        <v>6</v>
      </c>
      <c r="J9" s="17">
        <f>(H9)/(I9+H9)</f>
        <v>0.8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24</v>
      </c>
      <c r="I14" s="16">
        <f t="shared" si="6"/>
        <v>6</v>
      </c>
      <c r="J14" s="17">
        <f t="shared" si="7"/>
        <v>0.8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24</v>
      </c>
      <c r="I16" s="16">
        <f t="shared" si="6"/>
        <v>6</v>
      </c>
      <c r="J16" s="17">
        <f t="shared" si="7"/>
        <v>0.8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28</v>
      </c>
      <c r="I28" s="16">
        <f>COUNTIF(K28:AL28,"APAGADO")</f>
        <v>2</v>
      </c>
      <c r="J28" s="17">
        <f>(H28)/(I28+H28)</f>
        <v>0.93333333333333335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25</v>
      </c>
      <c r="I31" s="16">
        <f t="shared" si="6"/>
        <v>5</v>
      </c>
      <c r="J31" s="17">
        <f t="shared" si="7"/>
        <v>0.83333333333333337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24</v>
      </c>
      <c r="I34" s="16">
        <f t="shared" si="6"/>
        <v>6</v>
      </c>
      <c r="J34" s="17">
        <f t="shared" si="7"/>
        <v>0.8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24</v>
      </c>
      <c r="I42" s="16">
        <f t="shared" si="6"/>
        <v>6</v>
      </c>
      <c r="J42" s="17">
        <f t="shared" si="7"/>
        <v>0.8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26</v>
      </c>
      <c r="I50" s="16">
        <f t="shared" si="6"/>
        <v>4</v>
      </c>
      <c r="J50" s="17">
        <f t="shared" si="7"/>
        <v>0.8666666666666667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24</v>
      </c>
      <c r="I63" s="16">
        <f t="shared" si="9"/>
        <v>6</v>
      </c>
      <c r="J63" s="17">
        <f t="shared" si="10"/>
        <v>0.8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28</v>
      </c>
      <c r="I81" s="16">
        <f>COUNTIF(K81:AL81,"APAGADO")</f>
        <v>2</v>
      </c>
      <c r="J81" s="17">
        <f>(H81)/(I81+H81)</f>
        <v>0.93333333333333335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28</v>
      </c>
      <c r="I82" s="16">
        <f t="shared" si="9"/>
        <v>2</v>
      </c>
      <c r="J82" s="17">
        <f t="shared" si="10"/>
        <v>0.93333333333333335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24</v>
      </c>
      <c r="I88" s="16">
        <f>COUNTIF(K88:AL88,"APAGADO")</f>
        <v>6</v>
      </c>
      <c r="J88" s="17">
        <f>(H88)/(I88+H88)</f>
        <v>0.8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24</v>
      </c>
      <c r="I95" s="52">
        <f t="shared" si="16"/>
        <v>6</v>
      </c>
      <c r="J95" s="53">
        <f t="shared" si="17"/>
        <v>0.8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24</v>
      </c>
      <c r="I96" s="52">
        <f t="shared" si="16"/>
        <v>6</v>
      </c>
      <c r="J96" s="53">
        <f t="shared" si="17"/>
        <v>0.8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24</v>
      </c>
      <c r="I100" s="16">
        <f t="shared" si="9"/>
        <v>6</v>
      </c>
      <c r="J100" s="17">
        <f t="shared" si="10"/>
        <v>0.8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24</v>
      </c>
      <c r="I166" s="16">
        <f t="shared" si="21"/>
        <v>6</v>
      </c>
      <c r="J166" s="17">
        <f t="shared" si="22"/>
        <v>0.8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24</v>
      </c>
      <c r="I168" s="16">
        <f t="shared" si="21"/>
        <v>6</v>
      </c>
      <c r="J168" s="17">
        <f t="shared" si="22"/>
        <v>0.8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27</v>
      </c>
      <c r="I173" s="16">
        <f t="shared" si="21"/>
        <v>3</v>
      </c>
      <c r="J173" s="17">
        <f t="shared" si="22"/>
        <v>0.9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24</v>
      </c>
      <c r="I176" s="16">
        <f t="shared" si="21"/>
        <v>6</v>
      </c>
      <c r="J176" s="17">
        <f t="shared" si="22"/>
        <v>0.8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25</v>
      </c>
      <c r="I189" s="16">
        <f>COUNTIF(K189:AL189,"APAGADO")</f>
        <v>5</v>
      </c>
      <c r="J189" s="17">
        <f>(H189)/(I189+H189)</f>
        <v>0.83333333333333337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29</v>
      </c>
      <c r="I200" s="16">
        <f t="shared" si="21"/>
        <v>1</v>
      </c>
      <c r="J200" s="17">
        <f t="shared" si="22"/>
        <v>0.96666666666666667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24</v>
      </c>
      <c r="I220" s="16">
        <f t="shared" si="24"/>
        <v>6</v>
      </c>
      <c r="J220" s="17">
        <f t="shared" si="25"/>
        <v>0.8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24</v>
      </c>
      <c r="I227" s="16">
        <f t="shared" si="24"/>
        <v>6</v>
      </c>
      <c r="J227" s="17">
        <f t="shared" si="25"/>
        <v>0.8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24</v>
      </c>
      <c r="I269" s="16">
        <f>COUNTIF(K269:AL269,"APAGADO")</f>
        <v>6</v>
      </c>
      <c r="J269" s="17">
        <f>(H269)/(I269+H269)</f>
        <v>0.8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29</v>
      </c>
      <c r="I287" s="16">
        <f t="shared" si="28"/>
        <v>1</v>
      </c>
      <c r="J287" s="17">
        <f t="shared" si="29"/>
        <v>0.96666666666666667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28</v>
      </c>
      <c r="I291" s="16">
        <f t="shared" si="28"/>
        <v>2</v>
      </c>
      <c r="J291" s="17">
        <f t="shared" si="29"/>
        <v>0.93333333333333335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24</v>
      </c>
      <c r="I307" s="16">
        <f t="shared" si="28"/>
        <v>6</v>
      </c>
      <c r="J307" s="17">
        <f t="shared" si="29"/>
        <v>0.8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24</v>
      </c>
      <c r="I308" s="16">
        <f t="shared" si="28"/>
        <v>6</v>
      </c>
      <c r="J308" s="17">
        <f t="shared" si="29"/>
        <v>0.8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24</v>
      </c>
      <c r="I309" s="16">
        <f>COUNTIF(K309:AL309,"APAGADO")</f>
        <v>6</v>
      </c>
      <c r="J309" s="17">
        <f>(H309)/(I309+H309)</f>
        <v>0.8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24</v>
      </c>
      <c r="I310" s="16">
        <f>COUNTIF(K310:AL310,"APAGADO")</f>
        <v>6</v>
      </c>
      <c r="J310" s="17">
        <f>(H310)/(I310+H310)</f>
        <v>0.8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29</v>
      </c>
      <c r="I334" s="16">
        <f t="shared" si="28"/>
        <v>1</v>
      </c>
      <c r="J334" s="17">
        <f t="shared" si="29"/>
        <v>0.96666666666666667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24</v>
      </c>
      <c r="I335" s="16">
        <f t="shared" si="28"/>
        <v>6</v>
      </c>
      <c r="J335" s="17">
        <f t="shared" si="29"/>
        <v>0.8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24</v>
      </c>
      <c r="I336" s="16">
        <f t="shared" si="28"/>
        <v>6</v>
      </c>
      <c r="J336" s="17">
        <f t="shared" si="29"/>
        <v>0.8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24</v>
      </c>
      <c r="I337" s="16">
        <f t="shared" si="28"/>
        <v>6</v>
      </c>
      <c r="J337" s="17">
        <f t="shared" si="29"/>
        <v>0.8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24</v>
      </c>
      <c r="I338" s="16">
        <f t="shared" si="28"/>
        <v>6</v>
      </c>
      <c r="J338" s="17">
        <f t="shared" si="29"/>
        <v>0.8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24</v>
      </c>
      <c r="I339" s="16">
        <f t="shared" si="28"/>
        <v>6</v>
      </c>
      <c r="J339" s="17">
        <f t="shared" si="29"/>
        <v>0.8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24</v>
      </c>
      <c r="I340" s="16">
        <f t="shared" si="28"/>
        <v>6</v>
      </c>
      <c r="J340" s="17">
        <f t="shared" si="29"/>
        <v>0.8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24</v>
      </c>
      <c r="I341" s="16">
        <f t="shared" si="28"/>
        <v>6</v>
      </c>
      <c r="J341" s="17">
        <f t="shared" si="29"/>
        <v>0.8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29</v>
      </c>
      <c r="I362" s="16">
        <f t="shared" si="37"/>
        <v>1</v>
      </c>
      <c r="J362" s="17">
        <f t="shared" si="38"/>
        <v>0.96666666666666667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29</v>
      </c>
      <c r="I366" s="16">
        <f t="shared" si="37"/>
        <v>1</v>
      </c>
      <c r="J366" s="17">
        <f t="shared" si="38"/>
        <v>0.96666666666666667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26</v>
      </c>
      <c r="I367" s="16">
        <f t="shared" si="37"/>
        <v>4</v>
      </c>
      <c r="J367" s="17">
        <f t="shared" si="38"/>
        <v>0.8666666666666667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29</v>
      </c>
      <c r="I378" s="16">
        <f t="shared" si="37"/>
        <v>1</v>
      </c>
      <c r="J378" s="17">
        <f t="shared" si="38"/>
        <v>0.96666666666666667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29</v>
      </c>
      <c r="I379" s="16">
        <f t="shared" si="37"/>
        <v>1</v>
      </c>
      <c r="J379" s="17">
        <f t="shared" si="38"/>
        <v>0.96666666666666667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29</v>
      </c>
      <c r="I380" s="52">
        <f t="shared" si="37"/>
        <v>1</v>
      </c>
      <c r="J380" s="53">
        <f t="shared" si="38"/>
        <v>0.96666666666666667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29</v>
      </c>
      <c r="I381" s="52">
        <f t="shared" si="37"/>
        <v>1</v>
      </c>
      <c r="J381" s="53">
        <f t="shared" si="38"/>
        <v>0.96666666666666667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25</v>
      </c>
      <c r="I390" s="16">
        <f t="shared" si="37"/>
        <v>5</v>
      </c>
      <c r="J390" s="17">
        <f t="shared" si="38"/>
        <v>0.83333333333333337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24</v>
      </c>
      <c r="I393" s="16">
        <f t="shared" si="37"/>
        <v>6</v>
      </c>
      <c r="J393" s="17">
        <f t="shared" si="38"/>
        <v>0.8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43"/>
    </row>
    <row r="3" spans="1:13" ht="15" customHeight="1" thickTop="1" x14ac:dyDescent="0.25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/>
      <c r="C22" s="88"/>
      <c r="D22" s="89"/>
      <c r="E22" s="143"/>
    </row>
    <row r="23" spans="1:14" ht="15.75" thickBot="1" x14ac:dyDescent="0.3">
      <c r="A23" s="90" t="s">
        <v>6</v>
      </c>
      <c r="B23" s="91"/>
      <c r="C23" s="92"/>
      <c r="D23" s="93"/>
      <c r="E23" s="144"/>
    </row>
    <row r="24" spans="1:14" ht="15.75" thickTop="1" x14ac:dyDescent="0.25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/>
      <c r="C30" s="92"/>
      <c r="D30" s="93"/>
      <c r="E30" s="144"/>
    </row>
    <row r="31" spans="1:14" ht="16.5" thickTop="1" thickBot="1" x14ac:dyDescent="0.3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44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5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44"/>
    </row>
    <row r="40" spans="1:14" ht="15.75" thickTop="1" x14ac:dyDescent="0.25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/>
      <c r="C46" s="104"/>
      <c r="D46" s="105"/>
      <c r="E46" s="145"/>
    </row>
    <row r="47" spans="1:14" ht="15.75" thickTop="1" x14ac:dyDescent="0.25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44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5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44"/>
    </row>
    <row r="55" spans="1:11" x14ac:dyDescent="0.25">
      <c r="A55" s="90" t="s">
        <v>1000</v>
      </c>
      <c r="B55" s="91"/>
      <c r="C55" s="92"/>
      <c r="D55" s="93"/>
      <c r="E55" s="144"/>
    </row>
    <row r="56" spans="1:11" ht="15.75" thickBot="1" x14ac:dyDescent="0.3">
      <c r="A56" s="102" t="s">
        <v>16</v>
      </c>
      <c r="B56" s="103"/>
      <c r="C56" s="104"/>
      <c r="D56" s="105"/>
      <c r="E56" s="145"/>
    </row>
    <row r="57" spans="1:11" ht="15.75" thickTop="1" x14ac:dyDescent="0.25">
      <c r="A57" s="86" t="s">
        <v>999</v>
      </c>
      <c r="B57" s="87"/>
      <c r="C57" s="88"/>
      <c r="D57" s="89"/>
      <c r="E57" s="143"/>
    </row>
    <row r="58" spans="1:11" x14ac:dyDescent="0.25">
      <c r="A58" s="90" t="s">
        <v>6</v>
      </c>
      <c r="B58" s="91"/>
      <c r="C58" s="92"/>
      <c r="D58" s="93"/>
      <c r="E58" s="144"/>
    </row>
    <row r="59" spans="1:11" x14ac:dyDescent="0.25">
      <c r="A59" s="90" t="s">
        <v>1001</v>
      </c>
      <c r="B59" s="91"/>
      <c r="C59" s="92"/>
      <c r="D59" s="93"/>
      <c r="E59" s="144"/>
    </row>
    <row r="60" spans="1:11" x14ac:dyDescent="0.25">
      <c r="A60" s="90" t="s">
        <v>1000</v>
      </c>
      <c r="B60" s="91"/>
      <c r="C60" s="92"/>
      <c r="D60" s="93"/>
      <c r="E60" s="144"/>
    </row>
    <row r="61" spans="1:11" ht="15.75" thickBot="1" x14ac:dyDescent="0.3">
      <c r="A61" s="102" t="s">
        <v>16</v>
      </c>
      <c r="B61" s="103"/>
      <c r="C61" s="104"/>
      <c r="D61" s="105"/>
      <c r="E61" s="145"/>
    </row>
    <row r="62" spans="1:11" ht="15.75" thickTop="1" x14ac:dyDescent="0.25">
      <c r="A62" s="86" t="s">
        <v>999</v>
      </c>
      <c r="B62" s="87"/>
      <c r="C62" s="88"/>
      <c r="D62" s="89"/>
      <c r="E62" s="143"/>
    </row>
    <row r="63" spans="1:11" x14ac:dyDescent="0.25">
      <c r="A63" s="90" t="s">
        <v>6</v>
      </c>
      <c r="B63" s="91"/>
      <c r="C63" s="92"/>
      <c r="D63" s="93"/>
      <c r="E63" s="144"/>
    </row>
    <row r="64" spans="1:11" x14ac:dyDescent="0.25">
      <c r="A64" s="90" t="s">
        <v>1001</v>
      </c>
      <c r="B64" s="91"/>
      <c r="C64" s="92"/>
      <c r="D64" s="93"/>
      <c r="E64" s="144"/>
    </row>
    <row r="65" spans="1:5" x14ac:dyDescent="0.25">
      <c r="A65" s="90" t="s">
        <v>1000</v>
      </c>
      <c r="B65" s="91"/>
      <c r="C65" s="92"/>
      <c r="D65" s="93"/>
      <c r="E65" s="144"/>
    </row>
    <row r="66" spans="1:5" ht="15.75" thickBot="1" x14ac:dyDescent="0.3">
      <c r="A66" s="102" t="s">
        <v>16</v>
      </c>
      <c r="B66" s="103"/>
      <c r="C66" s="104"/>
      <c r="D66" s="105"/>
      <c r="E66" s="145"/>
    </row>
    <row r="67" spans="1:5" ht="15.75" thickTop="1" x14ac:dyDescent="0.25">
      <c r="A67" s="86" t="s">
        <v>999</v>
      </c>
      <c r="B67" s="87"/>
      <c r="C67" s="88"/>
      <c r="D67" s="89"/>
      <c r="E67" s="143"/>
    </row>
    <row r="68" spans="1:5" x14ac:dyDescent="0.25">
      <c r="A68" s="90" t="s">
        <v>6</v>
      </c>
      <c r="B68" s="91"/>
      <c r="C68" s="92"/>
      <c r="D68" s="93"/>
      <c r="E68" s="144"/>
    </row>
    <row r="69" spans="1:5" x14ac:dyDescent="0.25">
      <c r="A69" s="90" t="s">
        <v>1001</v>
      </c>
      <c r="B69" s="91"/>
      <c r="C69" s="92"/>
      <c r="D69" s="93"/>
      <c r="E69" s="144"/>
    </row>
    <row r="70" spans="1:5" x14ac:dyDescent="0.25">
      <c r="A70" s="90" t="s">
        <v>1000</v>
      </c>
      <c r="B70" s="91"/>
      <c r="C70" s="92"/>
      <c r="D70" s="93"/>
      <c r="E70" s="144"/>
    </row>
    <row r="71" spans="1:5" ht="15.75" thickBot="1" x14ac:dyDescent="0.3">
      <c r="A71" s="102" t="s">
        <v>16</v>
      </c>
      <c r="B71" s="103"/>
      <c r="C71" s="104"/>
      <c r="D71" s="105"/>
      <c r="E71" s="145"/>
    </row>
    <row r="72" spans="1:5" ht="15.75" thickTop="1" x14ac:dyDescent="0.25">
      <c r="A72" s="86" t="s">
        <v>999</v>
      </c>
      <c r="B72" s="87"/>
      <c r="C72" s="88"/>
      <c r="D72" s="89"/>
      <c r="E72" s="143"/>
    </row>
    <row r="73" spans="1:5" x14ac:dyDescent="0.25">
      <c r="A73" s="90" t="s">
        <v>6</v>
      </c>
      <c r="B73" s="91"/>
      <c r="C73" s="92"/>
      <c r="D73" s="93"/>
      <c r="E73" s="144"/>
    </row>
    <row r="74" spans="1:5" x14ac:dyDescent="0.25">
      <c r="A74" s="90" t="s">
        <v>1001</v>
      </c>
      <c r="B74" s="91"/>
      <c r="C74" s="92"/>
      <c r="D74" s="93"/>
      <c r="E74" s="144"/>
    </row>
    <row r="75" spans="1:5" x14ac:dyDescent="0.25">
      <c r="A75" s="90" t="s">
        <v>1000</v>
      </c>
      <c r="B75" s="91"/>
      <c r="C75" s="92"/>
      <c r="D75" s="93"/>
      <c r="E75" s="144"/>
    </row>
    <row r="76" spans="1:5" ht="15.75" thickBot="1" x14ac:dyDescent="0.3">
      <c r="A76" s="102" t="s">
        <v>16</v>
      </c>
      <c r="B76" s="103"/>
      <c r="C76" s="104"/>
      <c r="D76" s="105"/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46</v>
      </c>
      <c r="C5" s="50">
        <f>'APAGADOS FIBRA'!I2</f>
        <v>34</v>
      </c>
      <c r="D5" s="50">
        <f>'APAGADOS ANTENA'!I2</f>
        <v>5</v>
      </c>
      <c r="E5" s="50">
        <f t="shared" si="2"/>
        <v>80</v>
      </c>
      <c r="F5" s="50">
        <f>'RESUMEN TOTAL'!B1</f>
        <v>426</v>
      </c>
      <c r="G5" s="54">
        <f t="shared" si="3"/>
        <v>0.18779342723004694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si="4"/>
        <v>35</v>
      </c>
      <c r="F8" s="50">
        <f>'RESUMEN TOTAL'!B1</f>
        <v>426</v>
      </c>
      <c r="G8" s="54">
        <f t="shared" si="5"/>
        <v>8.2159624413145546E-2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2022-10-11T10:35:42Z</dcterms:modified>
</cp:coreProperties>
</file>