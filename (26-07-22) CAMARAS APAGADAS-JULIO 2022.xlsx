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812EEF90-9759-47B1-BE4C-B660E426E27E}" xr6:coauthVersionLast="47" xr6:coauthVersionMax="47" xr10:uidLastSave="{00000000-0000-0000-0000-000000000000}"/>
  <bookViews>
    <workbookView xWindow="-108" yWindow="-108" windowWidth="23256" windowHeight="13176" firstSheet="4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24" l="1"/>
  <c r="C34" i="24"/>
  <c r="D34" i="24" s="1"/>
  <c r="F27" i="14"/>
  <c r="F26" i="14"/>
  <c r="F25" i="14"/>
  <c r="F24" i="14"/>
  <c r="D27" i="14"/>
  <c r="D26" i="14"/>
  <c r="B26" i="14" s="1"/>
  <c r="D25" i="14"/>
  <c r="D24" i="14"/>
  <c r="C27" i="14"/>
  <c r="C26" i="14"/>
  <c r="C25" i="14"/>
  <c r="C24" i="14"/>
  <c r="B27" i="14"/>
  <c r="B25" i="14"/>
  <c r="B24" i="14"/>
  <c r="D28" i="24"/>
  <c r="C29" i="24"/>
  <c r="D29" i="24" s="1"/>
  <c r="F23" i="14"/>
  <c r="D23" i="14"/>
  <c r="C23" i="14"/>
  <c r="B23" i="14"/>
  <c r="D23" i="24"/>
  <c r="C24" i="24"/>
  <c r="C25" i="24" s="1"/>
  <c r="F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386" i="11"/>
  <c r="B386" i="11"/>
  <c r="F386" i="11"/>
  <c r="H386" i="11"/>
  <c r="I386" i="11"/>
  <c r="J386" i="11"/>
  <c r="N386" i="11"/>
  <c r="P386" i="11"/>
  <c r="Q386" i="11"/>
  <c r="R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5" i="24" l="1"/>
  <c r="E24" i="14"/>
  <c r="G24" i="14" s="1"/>
  <c r="E27" i="14"/>
  <c r="G27" i="14" s="1"/>
  <c r="E26" i="14"/>
  <c r="G26" i="14" s="1"/>
  <c r="E25" i="14"/>
  <c r="G25" i="14" s="1"/>
  <c r="C30" i="24"/>
  <c r="E23" i="14"/>
  <c r="G23" i="14" s="1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D35" i="24" l="1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D22" i="14" s="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22" i="14" l="1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<sst xmlns="http://schemas.openxmlformats.org/spreadsheetml/2006/main" count="4004" uniqueCount="1403">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</sst>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N155" activePane="bottomRight" state="frozen"/>
      <selection pane="topRight" activeCell="M1" sqref="M1"/>
      <selection pane="bottomLeft" activeCell="A5" sqref="A5"/>
      <selection pane="bottomRight" activeCell="AN168" sqref="AN168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0.10554089709762533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339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40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27</v>
      </c>
      <c r="M16" s="17">
        <f t="shared" si="8"/>
        <v>3</v>
      </c>
      <c r="N16" s="18">
        <f t="shared" si="9"/>
        <v>0.9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1210</v>
      </c>
      <c r="AL16" s="8"/>
      <c r="AM16" s="8" t="s">
        <v>1210</v>
      </c>
      <c r="AN16" s="27" t="s">
        <v>1210</v>
      </c>
      <c r="AO16" s="8"/>
      <c r="AP16" s="8"/>
      <c r="AQ16" s="27"/>
      <c r="AR16" s="27"/>
      <c r="AS16" s="27"/>
    </row>
    <row r="17" spans="1:45" ht="15" thickBot="1" x14ac:dyDescent="0.35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26</v>
      </c>
      <c r="M22" s="17">
        <f t="shared" si="8"/>
        <v>4</v>
      </c>
      <c r="N22" s="18">
        <f t="shared" si="9"/>
        <v>0.8666666666666667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1210</v>
      </c>
      <c r="AL22" s="8" t="s">
        <v>1210</v>
      </c>
      <c r="AM22" s="8" t="s">
        <v>1210</v>
      </c>
      <c r="AN22" s="27" t="s">
        <v>1210</v>
      </c>
      <c r="AO22" s="8"/>
      <c r="AP22" s="8"/>
      <c r="AQ22" s="27"/>
      <c r="AR22" s="27"/>
      <c r="AS22" s="27"/>
    </row>
    <row r="23" spans="1:45" ht="15" thickBot="1" x14ac:dyDescent="0.35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26</v>
      </c>
      <c r="M29" s="17">
        <f t="shared" si="8"/>
        <v>4</v>
      </c>
      <c r="N29" s="18">
        <f t="shared" si="9"/>
        <v>0.8666666666666667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1210</v>
      </c>
      <c r="AL29" s="8" t="s">
        <v>1210</v>
      </c>
      <c r="AM29" s="8" t="s">
        <v>1210</v>
      </c>
      <c r="AN29" s="27" t="s">
        <v>1210</v>
      </c>
      <c r="AO29" s="8"/>
      <c r="AP29" s="8"/>
      <c r="AQ29" s="27"/>
      <c r="AR29" s="27"/>
      <c r="AS29" s="27"/>
    </row>
    <row r="30" spans="1:45" ht="15" thickBot="1" x14ac:dyDescent="0.35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23</v>
      </c>
      <c r="M34" s="17">
        <f t="shared" si="8"/>
        <v>7</v>
      </c>
      <c r="N34" s="18">
        <f t="shared" si="9"/>
        <v>0.76666666666666672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 t="s">
        <v>1210</v>
      </c>
      <c r="AK34" s="8" t="s">
        <v>1210</v>
      </c>
      <c r="AL34" s="8" t="s">
        <v>1210</v>
      </c>
      <c r="AM34" s="8" t="s">
        <v>1210</v>
      </c>
      <c r="AN34" s="27" t="s">
        <v>1210</v>
      </c>
      <c r="AO34" s="8"/>
      <c r="AP34" s="8"/>
      <c r="AQ34" s="27"/>
      <c r="AR34" s="27"/>
      <c r="AS34" s="27"/>
    </row>
    <row r="35" spans="1:45" ht="15" thickBot="1" x14ac:dyDescent="0.35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26</v>
      </c>
      <c r="M53" s="17">
        <f t="shared" si="8"/>
        <v>4</v>
      </c>
      <c r="N53" s="18">
        <f t="shared" si="9"/>
        <v>0.8666666666666667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1210</v>
      </c>
      <c r="AL53" s="8" t="s">
        <v>1210</v>
      </c>
      <c r="AM53" s="8" t="s">
        <v>1210</v>
      </c>
      <c r="AN53" s="27" t="s">
        <v>1210</v>
      </c>
      <c r="AO53" s="8"/>
      <c r="AP53" s="8"/>
      <c r="AQ53" s="27"/>
      <c r="AR53" s="27"/>
      <c r="AS53" s="27"/>
    </row>
    <row r="54" spans="1:45" ht="15" thickBot="1" x14ac:dyDescent="0.35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26</v>
      </c>
      <c r="M91" s="17">
        <f t="shared" si="11"/>
        <v>4</v>
      </c>
      <c r="N91" s="18">
        <f t="shared" si="12"/>
        <v>0.8666666666666667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1210</v>
      </c>
      <c r="AL91" s="8" t="s">
        <v>1210</v>
      </c>
      <c r="AM91" s="8" t="s">
        <v>1210</v>
      </c>
      <c r="AN91" s="27" t="s">
        <v>1210</v>
      </c>
      <c r="AO91" s="8"/>
      <c r="AP91" s="8"/>
      <c r="AQ91" s="27"/>
      <c r="AR91" s="27"/>
      <c r="AS91" s="27"/>
    </row>
    <row r="92" spans="1:45" ht="15" thickBot="1" x14ac:dyDescent="0.35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26</v>
      </c>
      <c r="M96" s="17">
        <f t="shared" si="11"/>
        <v>4</v>
      </c>
      <c r="N96" s="18">
        <f t="shared" si="12"/>
        <v>0.8666666666666667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1210</v>
      </c>
      <c r="AL96" s="8" t="s">
        <v>1210</v>
      </c>
      <c r="AM96" s="8" t="s">
        <v>1210</v>
      </c>
      <c r="AN96" s="27" t="s">
        <v>1210</v>
      </c>
      <c r="AO96" s="8"/>
      <c r="AP96" s="8"/>
      <c r="AQ96" s="27"/>
      <c r="AR96" s="27"/>
      <c r="AS96" s="27"/>
    </row>
    <row r="97" spans="1:45" ht="15" thickBot="1" x14ac:dyDescent="0.35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23</v>
      </c>
      <c r="M128" s="17">
        <f t="shared" si="11"/>
        <v>7</v>
      </c>
      <c r="N128" s="18">
        <f t="shared" si="12"/>
        <v>0.76666666666666672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 t="s">
        <v>1210</v>
      </c>
      <c r="AK128" s="8" t="s">
        <v>1210</v>
      </c>
      <c r="AL128" s="8" t="s">
        <v>1210</v>
      </c>
      <c r="AM128" s="8" t="s">
        <v>1210</v>
      </c>
      <c r="AN128" s="27" t="s">
        <v>1210</v>
      </c>
      <c r="AO128" s="8"/>
      <c r="AP128" s="8"/>
      <c r="AQ128" s="27"/>
      <c r="AR128" s="27"/>
      <c r="AS128" s="27"/>
    </row>
    <row r="129" spans="1:45" ht="15" thickBot="1" x14ac:dyDescent="0.35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22</v>
      </c>
      <c r="M129" s="17">
        <f t="shared" si="11"/>
        <v>8</v>
      </c>
      <c r="N129" s="18">
        <f t="shared" si="12"/>
        <v>0.73333333333333328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 t="s">
        <v>1210</v>
      </c>
      <c r="AK129" s="8" t="s">
        <v>1210</v>
      </c>
      <c r="AL129" s="8" t="s">
        <v>1210</v>
      </c>
      <c r="AM129" s="8" t="s">
        <v>1210</v>
      </c>
      <c r="AN129" s="27" t="s">
        <v>1210</v>
      </c>
      <c r="AO129" s="8"/>
      <c r="AP129" s="8"/>
      <c r="AQ129" s="27"/>
      <c r="AR129" s="27"/>
      <c r="AS129" s="27"/>
    </row>
    <row r="130" spans="1:45" ht="15" thickBot="1" x14ac:dyDescent="0.35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1210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22</v>
      </c>
      <c r="M134" s="17">
        <f t="shared" si="14"/>
        <v>8</v>
      </c>
      <c r="N134" s="18">
        <f t="shared" si="15"/>
        <v>0.73333333333333328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 t="s">
        <v>1210</v>
      </c>
      <c r="AK134" s="8" t="s">
        <v>1210</v>
      </c>
      <c r="AL134" s="8" t="s">
        <v>1210</v>
      </c>
      <c r="AM134" s="8" t="s">
        <v>1210</v>
      </c>
      <c r="AN134" s="27" t="s">
        <v>1210</v>
      </c>
      <c r="AO134" s="8"/>
      <c r="AP134" s="8"/>
      <c r="AQ134" s="27"/>
      <c r="AR134" s="27"/>
      <c r="AS134" s="27"/>
    </row>
    <row r="135" spans="1:45" ht="15" thickBot="1" x14ac:dyDescent="0.35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29</v>
      </c>
      <c r="M135" s="17">
        <f t="shared" si="14"/>
        <v>1</v>
      </c>
      <c r="N135" s="18">
        <f t="shared" si="15"/>
        <v>0.96666666666666667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1210</v>
      </c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25</v>
      </c>
      <c r="M137" s="17">
        <f t="shared" si="14"/>
        <v>5</v>
      </c>
      <c r="N137" s="18">
        <f t="shared" si="15"/>
        <v>0.83333333333333337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1210</v>
      </c>
      <c r="AK137" s="8" t="s">
        <v>1210</v>
      </c>
      <c r="AL137" s="8" t="s">
        <v>1210</v>
      </c>
      <c r="AM137" s="8" t="s">
        <v>1210</v>
      </c>
      <c r="AN137" s="27" t="s">
        <v>1210</v>
      </c>
      <c r="AO137" s="8"/>
      <c r="AP137" s="8"/>
      <c r="AQ137" s="27"/>
      <c r="AR137" s="27"/>
      <c r="AS137" s="27"/>
    </row>
    <row r="138" spans="1:45" ht="15" thickBot="1" x14ac:dyDescent="0.35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25</v>
      </c>
      <c r="M141" s="17">
        <f t="shared" si="14"/>
        <v>5</v>
      </c>
      <c r="N141" s="18">
        <f t="shared" si="15"/>
        <v>0.83333333333333337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1210</v>
      </c>
      <c r="AL141" s="8" t="s">
        <v>1210</v>
      </c>
      <c r="AM141" s="8" t="s">
        <v>1210</v>
      </c>
      <c r="AN141" s="27" t="s">
        <v>1210</v>
      </c>
      <c r="AO141" s="8"/>
      <c r="AP141" s="8"/>
      <c r="AQ141" s="27"/>
      <c r="AR141" s="27"/>
      <c r="AS141" s="27"/>
    </row>
    <row r="142" spans="1:45" ht="15" thickBot="1" x14ac:dyDescent="0.35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26</v>
      </c>
      <c r="M142" s="17">
        <f t="shared" si="14"/>
        <v>4</v>
      </c>
      <c r="N142" s="18">
        <f t="shared" si="15"/>
        <v>0.8666666666666667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1210</v>
      </c>
      <c r="AL142" s="8" t="s">
        <v>1210</v>
      </c>
      <c r="AM142" s="8" t="s">
        <v>1210</v>
      </c>
      <c r="AN142" s="27" t="s">
        <v>1210</v>
      </c>
      <c r="AO142" s="8"/>
      <c r="AP142" s="8"/>
      <c r="AQ142" s="27"/>
      <c r="AR142" s="27"/>
      <c r="AS142" s="27"/>
    </row>
    <row r="143" spans="1:45" ht="15" thickBot="1" x14ac:dyDescent="0.35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24</v>
      </c>
      <c r="M143" s="17">
        <f t="shared" si="14"/>
        <v>6</v>
      </c>
      <c r="N143" s="18">
        <f t="shared" si="15"/>
        <v>0.8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 t="s">
        <v>1210</v>
      </c>
      <c r="AL143" s="8" t="s">
        <v>1210</v>
      </c>
      <c r="AM143" s="8" t="s">
        <v>1210</v>
      </c>
      <c r="AN143" s="27" t="s">
        <v>1210</v>
      </c>
      <c r="AO143" s="8"/>
      <c r="AP143" s="8"/>
      <c r="AQ143" s="27"/>
      <c r="AR143" s="27"/>
      <c r="AS143" s="27"/>
    </row>
    <row r="144" spans="1:45" ht="15" thickBot="1" x14ac:dyDescent="0.35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22</v>
      </c>
      <c r="M166" s="17">
        <f t="shared" si="14"/>
        <v>8</v>
      </c>
      <c r="N166" s="18">
        <f t="shared" si="15"/>
        <v>0.73333333333333328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 t="s">
        <v>1210</v>
      </c>
      <c r="AK166" s="8" t="s">
        <v>1210</v>
      </c>
      <c r="AL166" s="8" t="s">
        <v>1210</v>
      </c>
      <c r="AM166" s="8" t="s">
        <v>1210</v>
      </c>
      <c r="AN166" s="27" t="s">
        <v>1210</v>
      </c>
      <c r="AO166" s="8"/>
      <c r="AP166" s="8"/>
      <c r="AQ166" s="27"/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29</v>
      </c>
      <c r="M167" s="17">
        <f t="shared" si="14"/>
        <v>1</v>
      </c>
      <c r="N167" s="18">
        <f t="shared" si="15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 t="s">
        <v>1210</v>
      </c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11</v>
      </c>
      <c r="M191" s="17">
        <f t="shared" si="14"/>
        <v>19</v>
      </c>
      <c r="N191" s="18">
        <f t="shared" si="15"/>
        <v>0.36666666666666664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 t="s">
        <v>1210</v>
      </c>
      <c r="AO191" s="8"/>
      <c r="AP191" s="8"/>
      <c r="AQ191" s="27"/>
      <c r="AR191" s="27"/>
      <c r="AS191" s="27"/>
    </row>
    <row r="192" spans="1:45" ht="15" thickBot="1" x14ac:dyDescent="0.35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21</v>
      </c>
      <c r="M197" s="17">
        <f t="shared" ref="M197:M262" si="17">COUNTIF(O197:AP197,"APAGADO")</f>
        <v>9</v>
      </c>
      <c r="N197" s="18">
        <f t="shared" ref="N197:N262" si="18">(L197)/(M197+L197)</f>
        <v>0.7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 t="s">
        <v>1210</v>
      </c>
      <c r="AK197" s="8" t="s">
        <v>1210</v>
      </c>
      <c r="AL197" s="8" t="s">
        <v>1210</v>
      </c>
      <c r="AM197" s="8" t="s">
        <v>1210</v>
      </c>
      <c r="AN197" s="27" t="s">
        <v>1210</v>
      </c>
      <c r="AO197" s="8"/>
      <c r="AP197" s="8"/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21</v>
      </c>
      <c r="M198" s="17">
        <f t="shared" si="17"/>
        <v>9</v>
      </c>
      <c r="N198" s="18">
        <f t="shared" si="18"/>
        <v>0.7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 t="s">
        <v>1210</v>
      </c>
      <c r="AK198" s="8" t="s">
        <v>1210</v>
      </c>
      <c r="AL198" s="8" t="s">
        <v>1210</v>
      </c>
      <c r="AM198" s="8" t="s">
        <v>1210</v>
      </c>
      <c r="AN198" s="27" t="s">
        <v>1210</v>
      </c>
      <c r="AO198" s="8"/>
      <c r="AP198" s="8"/>
      <c r="AQ198" s="27"/>
      <c r="AR198" s="27"/>
      <c r="AS198" s="27"/>
    </row>
    <row r="199" spans="1:45" ht="15" thickBot="1" x14ac:dyDescent="0.35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18</v>
      </c>
      <c r="M207" s="17">
        <f t="shared" si="17"/>
        <v>12</v>
      </c>
      <c r="N207" s="18">
        <f t="shared" si="18"/>
        <v>0.6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 t="s">
        <v>1210</v>
      </c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1210</v>
      </c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1210</v>
      </c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23</v>
      </c>
      <c r="M210" s="17">
        <f t="shared" si="17"/>
        <v>7</v>
      </c>
      <c r="N210" s="18">
        <f t="shared" si="18"/>
        <v>0.76666666666666672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 t="s">
        <v>1210</v>
      </c>
      <c r="AK210" s="8" t="s">
        <v>1210</v>
      </c>
      <c r="AL210" s="8" t="s">
        <v>1210</v>
      </c>
      <c r="AM210" s="8" t="s">
        <v>1210</v>
      </c>
      <c r="AN210" s="27" t="s">
        <v>1210</v>
      </c>
      <c r="AO210" s="8"/>
      <c r="AP210" s="8"/>
      <c r="AQ210" s="27"/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22</v>
      </c>
      <c r="M216" s="17">
        <f t="shared" si="17"/>
        <v>8</v>
      </c>
      <c r="N216" s="18">
        <f t="shared" si="18"/>
        <v>0.73333333333333328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 t="s">
        <v>1210</v>
      </c>
      <c r="AK216" s="8" t="s">
        <v>1210</v>
      </c>
      <c r="AL216" s="8" t="s">
        <v>1210</v>
      </c>
      <c r="AM216" s="8" t="s">
        <v>1210</v>
      </c>
      <c r="AN216" s="27" t="s">
        <v>1210</v>
      </c>
      <c r="AO216" s="8"/>
      <c r="AP216" s="8"/>
      <c r="AQ216" s="27"/>
      <c r="AR216" s="27"/>
      <c r="AS216" s="27"/>
    </row>
    <row r="217" spans="1:45" ht="15" thickBot="1" x14ac:dyDescent="0.35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22</v>
      </c>
      <c r="M217" s="17">
        <f t="shared" si="17"/>
        <v>8</v>
      </c>
      <c r="N217" s="18">
        <f t="shared" si="18"/>
        <v>0.73333333333333328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 t="s">
        <v>1210</v>
      </c>
      <c r="AK217" s="8" t="s">
        <v>1210</v>
      </c>
      <c r="AL217" s="8" t="s">
        <v>1210</v>
      </c>
      <c r="AM217" s="8" t="s">
        <v>1210</v>
      </c>
      <c r="AN217" s="27" t="s">
        <v>1210</v>
      </c>
      <c r="AO217" s="8"/>
      <c r="AP217" s="8"/>
      <c r="AQ217" s="27"/>
      <c r="AR217" s="27"/>
      <c r="AS217" s="27"/>
    </row>
    <row r="218" spans="1:45" ht="15" thickBot="1" x14ac:dyDescent="0.35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28</v>
      </c>
      <c r="M220" s="17">
        <f t="shared" si="17"/>
        <v>2</v>
      </c>
      <c r="N220" s="18">
        <f t="shared" si="18"/>
        <v>0.93333333333333335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 t="s">
        <v>1210</v>
      </c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28</v>
      </c>
      <c r="M221" s="17">
        <f t="shared" si="17"/>
        <v>2</v>
      </c>
      <c r="N221" s="18">
        <f t="shared" si="18"/>
        <v>0.93333333333333335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 t="s">
        <v>1210</v>
      </c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 t="s">
        <v>1210</v>
      </c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23</v>
      </c>
      <c r="M254" s="17">
        <f t="shared" si="17"/>
        <v>7</v>
      </c>
      <c r="N254" s="18">
        <f t="shared" si="18"/>
        <v>0.76666666666666672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 t="s">
        <v>1210</v>
      </c>
      <c r="AK254" s="8" t="s">
        <v>1210</v>
      </c>
      <c r="AL254" s="8" t="s">
        <v>1210</v>
      </c>
      <c r="AM254" s="8" t="s">
        <v>1210</v>
      </c>
      <c r="AN254" s="27" t="s">
        <v>1210</v>
      </c>
      <c r="AO254" s="8"/>
      <c r="AP254" s="8"/>
      <c r="AQ254" s="27"/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23</v>
      </c>
      <c r="M255" s="17">
        <f t="shared" si="17"/>
        <v>7</v>
      </c>
      <c r="N255" s="18">
        <f t="shared" si="18"/>
        <v>0.76666666666666672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 t="s">
        <v>1210</v>
      </c>
      <c r="AK255" s="8" t="s">
        <v>1210</v>
      </c>
      <c r="AL255" s="8" t="s">
        <v>1210</v>
      </c>
      <c r="AM255" s="8" t="s">
        <v>1210</v>
      </c>
      <c r="AN255" s="27" t="s">
        <v>1210</v>
      </c>
      <c r="AO255" s="8"/>
      <c r="AP255" s="8"/>
      <c r="AQ255" s="27"/>
      <c r="AR255" s="27"/>
      <c r="AS255" s="27"/>
    </row>
    <row r="256" spans="1:45" ht="15" thickBot="1" x14ac:dyDescent="0.35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 t="s">
        <v>1210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28</v>
      </c>
      <c r="M275" s="17">
        <f t="shared" si="21"/>
        <v>2</v>
      </c>
      <c r="N275" s="18">
        <f t="shared" si="22"/>
        <v>0.93333333333333335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1210</v>
      </c>
      <c r="AM275" s="8"/>
      <c r="AN275" s="27" t="s">
        <v>1210</v>
      </c>
      <c r="AO275" s="8"/>
      <c r="AP275" s="8"/>
      <c r="AQ275" s="27"/>
      <c r="AR275" s="27"/>
      <c r="AS275" s="27"/>
    </row>
    <row r="276" spans="1:45" ht="15" thickBot="1" x14ac:dyDescent="0.35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25</v>
      </c>
      <c r="M281" s="17">
        <f t="shared" si="21"/>
        <v>5</v>
      </c>
      <c r="N281" s="18">
        <f t="shared" si="22"/>
        <v>0.83333333333333337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 t="s">
        <v>1210</v>
      </c>
      <c r="AK281" s="8" t="s">
        <v>1210</v>
      </c>
      <c r="AL281" s="8" t="s">
        <v>1210</v>
      </c>
      <c r="AM281" s="8" t="s">
        <v>1210</v>
      </c>
      <c r="AN281" s="27"/>
      <c r="AO281" s="8"/>
      <c r="AP281" s="8"/>
      <c r="AQ281" s="27"/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26</v>
      </c>
      <c r="M289" s="17">
        <f t="shared" si="21"/>
        <v>4</v>
      </c>
      <c r="N289" s="18">
        <f t="shared" si="22"/>
        <v>0.8666666666666667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1210</v>
      </c>
      <c r="AL289" s="8" t="s">
        <v>1210</v>
      </c>
      <c r="AM289" s="8" t="s">
        <v>1210</v>
      </c>
      <c r="AN289" s="27" t="s">
        <v>1210</v>
      </c>
      <c r="AO289" s="8"/>
      <c r="AP289" s="8"/>
      <c r="AQ289" s="27"/>
      <c r="AR289" s="27"/>
      <c r="AS289" s="27"/>
    </row>
    <row r="290" spans="1:45" ht="15" thickBot="1" x14ac:dyDescent="0.35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26</v>
      </c>
      <c r="M290" s="17">
        <f t="shared" si="21"/>
        <v>4</v>
      </c>
      <c r="N290" s="18">
        <f t="shared" si="22"/>
        <v>0.8666666666666667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1210</v>
      </c>
      <c r="AL290" s="8" t="s">
        <v>1210</v>
      </c>
      <c r="AM290" s="8" t="s">
        <v>1210</v>
      </c>
      <c r="AN290" s="27" t="s">
        <v>1210</v>
      </c>
      <c r="AO290" s="8"/>
      <c r="AP290" s="8"/>
      <c r="AQ290" s="27"/>
      <c r="AR290" s="27"/>
      <c r="AS290" s="27"/>
    </row>
    <row r="291" spans="1:45" ht="15" thickBot="1" x14ac:dyDescent="0.35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26</v>
      </c>
      <c r="M291" s="17">
        <f t="shared" si="21"/>
        <v>4</v>
      </c>
      <c r="N291" s="18">
        <f t="shared" si="22"/>
        <v>0.8666666666666667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1210</v>
      </c>
      <c r="AL291" s="8" t="s">
        <v>1210</v>
      </c>
      <c r="AM291" s="8" t="s">
        <v>1210</v>
      </c>
      <c r="AN291" s="27" t="s">
        <v>1210</v>
      </c>
      <c r="AO291" s="8"/>
      <c r="AP291" s="8"/>
      <c r="AQ291" s="27"/>
      <c r="AR291" s="27"/>
      <c r="AS291" s="27"/>
    </row>
    <row r="292" spans="1:45" ht="15" thickBot="1" x14ac:dyDescent="0.35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26</v>
      </c>
      <c r="M292" s="17">
        <f t="shared" si="21"/>
        <v>4</v>
      </c>
      <c r="N292" s="18">
        <f t="shared" si="22"/>
        <v>0.8666666666666667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1210</v>
      </c>
      <c r="AL292" s="8" t="s">
        <v>1210</v>
      </c>
      <c r="AM292" s="8" t="s">
        <v>1210</v>
      </c>
      <c r="AN292" s="27" t="s">
        <v>1210</v>
      </c>
      <c r="AO292" s="8"/>
      <c r="AP292" s="8"/>
      <c r="AQ292" s="27"/>
      <c r="AR292" s="27"/>
      <c r="AS292" s="27"/>
    </row>
    <row r="293" spans="1:45" ht="15" thickBot="1" x14ac:dyDescent="0.35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23</v>
      </c>
      <c r="M327" s="17">
        <f t="shared" ref="M327:M372" si="24">COUNTIF(O327:AP327,"APAGADO")</f>
        <v>7</v>
      </c>
      <c r="N327" s="18">
        <f t="shared" ref="N327:N372" si="25">(L327)/(M327+L327)</f>
        <v>0.76666666666666672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 t="s">
        <v>1210</v>
      </c>
      <c r="AK327" s="8" t="s">
        <v>1210</v>
      </c>
      <c r="AL327" s="8" t="s">
        <v>1210</v>
      </c>
      <c r="AM327" s="8" t="s">
        <v>1210</v>
      </c>
      <c r="AN327" s="27" t="s">
        <v>1210</v>
      </c>
      <c r="AO327" s="8"/>
      <c r="AP327" s="8"/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23</v>
      </c>
      <c r="M328" s="17">
        <f t="shared" si="24"/>
        <v>7</v>
      </c>
      <c r="N328" s="18">
        <f t="shared" si="25"/>
        <v>0.76666666666666672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 t="s">
        <v>1210</v>
      </c>
      <c r="AK328" s="8" t="s">
        <v>1210</v>
      </c>
      <c r="AL328" s="8" t="s">
        <v>1210</v>
      </c>
      <c r="AM328" s="8" t="s">
        <v>1210</v>
      </c>
      <c r="AN328" s="27" t="s">
        <v>1210</v>
      </c>
      <c r="AO328" s="8"/>
      <c r="AP328" s="8"/>
      <c r="AQ328" s="27"/>
      <c r="AR328" s="27"/>
      <c r="AS328" s="27"/>
    </row>
    <row r="329" spans="1:45" ht="15" thickBot="1" x14ac:dyDescent="0.35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5</v>
      </c>
      <c r="M361" s="17">
        <f t="shared" si="24"/>
        <v>25</v>
      </c>
      <c r="N361" s="18">
        <f t="shared" si="25"/>
        <v>0.16666666666666666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 t="s">
        <v>1210</v>
      </c>
      <c r="AK361" s="8" t="s">
        <v>1210</v>
      </c>
      <c r="AL361" s="8" t="s">
        <v>1210</v>
      </c>
      <c r="AM361" s="8" t="s">
        <v>1210</v>
      </c>
      <c r="AN361" s="27" t="s">
        <v>1210</v>
      </c>
      <c r="AO361" s="8"/>
      <c r="AP361" s="8"/>
      <c r="AQ361" s="27"/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5</v>
      </c>
      <c r="M362" s="17">
        <f t="shared" si="24"/>
        <v>25</v>
      </c>
      <c r="N362" s="18">
        <f t="shared" si="25"/>
        <v>0.16666666666666666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 t="s">
        <v>1210</v>
      </c>
      <c r="AK362" s="8" t="s">
        <v>1210</v>
      </c>
      <c r="AL362" s="8" t="s">
        <v>1210</v>
      </c>
      <c r="AM362" s="8" t="s">
        <v>1210</v>
      </c>
      <c r="AN362" s="27" t="s">
        <v>1210</v>
      </c>
      <c r="AO362" s="8"/>
      <c r="AP362" s="8"/>
      <c r="AQ362" s="27"/>
      <c r="AR362" s="27"/>
      <c r="AS362" s="27"/>
    </row>
    <row r="363" spans="1:45" ht="15" thickBot="1" x14ac:dyDescent="0.35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thickBot="1" x14ac:dyDescent="0.35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 t="s">
        <v>1210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22</v>
      </c>
      <c r="M385" s="53">
        <f t="shared" si="29"/>
        <v>8</v>
      </c>
      <c r="N385" s="54">
        <f t="shared" si="30"/>
        <v>0.73333333333333328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 t="s">
        <v>1210</v>
      </c>
      <c r="AK385" s="27" t="s">
        <v>1210</v>
      </c>
      <c r="AL385" s="27" t="s">
        <v>1210</v>
      </c>
      <c r="AM385" s="27" t="s">
        <v>1210</v>
      </c>
      <c r="AN385" s="27" t="s">
        <v>1210</v>
      </c>
      <c r="AO385" s="27"/>
      <c r="AP385" s="27"/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22</v>
      </c>
      <c r="M386" s="53">
        <f t="shared" si="29"/>
        <v>8</v>
      </c>
      <c r="N386" s="54">
        <f t="shared" si="30"/>
        <v>0.73333333333333328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 t="s">
        <v>1210</v>
      </c>
      <c r="AK386" s="27" t="s">
        <v>1210</v>
      </c>
      <c r="AL386" s="27" t="s">
        <v>1210</v>
      </c>
      <c r="AM386" s="27" t="s">
        <v>1210</v>
      </c>
      <c r="AN386" s="27" t="s">
        <v>1210</v>
      </c>
      <c r="AO386" s="27"/>
      <c r="AP386" s="27"/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22</v>
      </c>
      <c r="M387" s="53">
        <f t="shared" si="29"/>
        <v>8</v>
      </c>
      <c r="N387" s="54">
        <f t="shared" si="30"/>
        <v>0.73333333333333328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 t="s">
        <v>1210</v>
      </c>
      <c r="AK387" s="27" t="s">
        <v>1210</v>
      </c>
      <c r="AL387" s="27" t="s">
        <v>1210</v>
      </c>
      <c r="AM387" s="27" t="s">
        <v>1210</v>
      </c>
      <c r="AN387" s="27" t="s">
        <v>1210</v>
      </c>
      <c r="AO387" s="27"/>
      <c r="AP387" s="27"/>
      <c r="AQ387" s="27"/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23</v>
      </c>
      <c r="M388" s="53">
        <f t="shared" si="29"/>
        <v>7</v>
      </c>
      <c r="N388" s="54">
        <f t="shared" si="30"/>
        <v>0.76666666666666672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 t="s">
        <v>1210</v>
      </c>
      <c r="AK388" s="27" t="s">
        <v>1210</v>
      </c>
      <c r="AL388" s="27" t="s">
        <v>1210</v>
      </c>
      <c r="AM388" s="27" t="s">
        <v>1210</v>
      </c>
      <c r="AN388" s="27" t="s">
        <v>1210</v>
      </c>
      <c r="AO388" s="27"/>
      <c r="AP388" s="27"/>
      <c r="AQ388" s="27"/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thickBot="1" x14ac:dyDescent="0.35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thickBot="1" x14ac:dyDescent="0.35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thickBot="1" x14ac:dyDescent="0.35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thickBot="1" x14ac:dyDescent="0.35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thickBot="1" x14ac:dyDescent="0.35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thickBot="1" x14ac:dyDescent="0.35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 t="str">
        <f>'RESUMEN TOTAL'!AN16</f>
        <v>APAGADO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 t="str">
        <f>'RESUMEN TOTAL'!AN29</f>
        <v>APAGADO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 t="str">
        <f>'RESUMEN TOTAL'!AN34</f>
        <v>APAGADO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 t="str">
        <f>'RESUMEN TOTAL'!AN53</f>
        <v>APAGADO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 t="str">
        <f>'RESUMEN TOTAL'!AN128</f>
        <v>APAGADO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 t="str">
        <f>'RESUMEN TOTAL'!AN134</f>
        <v>APAGADO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 t="str">
        <f>'RESUMEN TOTAL'!AN137</f>
        <v>APAGADO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 t="str">
        <f>'RESUMEN TOTAL'!AN191</f>
        <v>APAGADO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 t="str">
        <f>'RESUMEN TOTAL'!AN216</f>
        <v>APAGADO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 t="str">
        <f>'RESUMEN TOTAL'!AN217</f>
        <v>APAGADO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 t="str">
        <f>'RESUMEN TOTAL'!AN220</f>
        <v>APAGADO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 t="str">
        <f>'RESUMEN TOTAL'!AN221</f>
        <v>APAGADO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 t="str">
        <f>'RESUMEN TOTAL'!AN254</f>
        <v>APAGADO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 t="str">
        <f>'RESUMEN TOTAL'!AN255</f>
        <v>APAGADO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 t="str">
        <f>'RESUMEN TOTAL'!AN275</f>
        <v>APAGADO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 t="str">
        <f>'RESUMEN TOTAL'!AN290</f>
        <v>APAGADO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 t="str">
        <f>'RESUMEN TOTAL'!AN291</f>
        <v>APAGADO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 t="str">
        <f>'RESUMEN TOTAL'!AN327</f>
        <v>APAGADO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 t="str">
        <f>'RESUMEN TOTAL'!AN328</f>
        <v>APAGADO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 t="str">
        <f>'RESUMEN TOTAL'!AN385</f>
        <v>APAGADO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 t="str">
        <f>'RESUMEN TOTAL'!AN386</f>
        <v>APAGADO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 t="str">
        <f>'RESUMEN TOTAL'!AN387</f>
        <v>APAGADO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 t="str">
        <f>'RESUMEN TOTAL'!AN388</f>
        <v>APAGADO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40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/>
      <c r="AI14"/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/>
      <c r="AI20"/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/>
      <c r="AI27"/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/>
      <c r="AI32"/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/>
      <c r="AI51"/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  <c r="AH94"/>
      <c r="AI94"/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 t="str">
        <f>ESTADISTICA!AE134</f>
        <v>APAGADO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 t="str">
        <f>ESTADISTICA!AE382</f>
        <v>APAGADO</v>
      </c>
      <c r="AF383" s="51">
        <f>ESTADISTICA!AF382</f>
        <v>0</v>
      </c>
      <c r="AG383" s="51">
        <f>ESTADISTICA!AG382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 t="str">
        <f>ESTADISTICA!AE383</f>
        <v>APAGADO</v>
      </c>
      <c r="AF384" s="51">
        <f>ESTADISTICA!AF383</f>
        <v>0</v>
      </c>
      <c r="AG384" s="51">
        <f>ESTADISTICA!AG383</f>
        <v>0</v>
      </c>
    </row>
    <row r="385" spans="1:33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 t="str">
        <f>ESTADISTICA!AE384</f>
        <v>APAGADO</v>
      </c>
      <c r="AF385" s="51">
        <f>ESTADISTICA!AF384</f>
        <v>0</v>
      </c>
      <c r="AG385" s="51">
        <f>ESTADISTICA!AG384</f>
        <v>0</v>
      </c>
    </row>
    <row r="386" spans="1:33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 t="str">
        <f>ESTADISTICA!AE385</f>
        <v>APAGADO</v>
      </c>
      <c r="AF386" s="51">
        <f>ESTADISTICA!AF385</f>
        <v>0</v>
      </c>
      <c r="AG386" s="51">
        <f>ESTADISTICA!AG385</f>
        <v>0</v>
      </c>
    </row>
    <row r="387" spans="1:33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1191</v>
      </c>
      <c r="D1" s="49">
        <f>COUNTIFS(E4:E400,"=Fibra Optica")</f>
        <v>260</v>
      </c>
    </row>
    <row r="2" spans="1:35" ht="21" x14ac:dyDescent="0.4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15</v>
      </c>
      <c r="AB2" s="26">
        <f>COUNTIFS(AB4:AB400, "=APAGADO",E4:E400,"=Fibra Optica")</f>
        <v>23</v>
      </c>
      <c r="AC2" s="26">
        <f>COUNTIFS(AC4:AC400, "=APAGADO",E4:E400,"=Fibra Optica")</f>
        <v>22</v>
      </c>
      <c r="AD2" s="26">
        <f>COUNTIFS(AD4:AD400, "=APAGADO",E4:E400,"=Fibra Optica")</f>
        <v>26</v>
      </c>
      <c r="AE2" s="26">
        <f>COUNTIFS(AE4:AE400, "=APAGADO",E4:E400,"=Fibra Optica")</f>
        <v>28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1400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6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1192</v>
      </c>
      <c r="D1" s="50">
        <f>COUNTIFS(E4:E400,"=radio")</f>
        <v>95</v>
      </c>
    </row>
    <row r="2" spans="1:35" ht="21" x14ac:dyDescent="0.4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8</v>
      </c>
      <c r="AB2" s="26">
        <f>COUNTIFS(AB4:AB367, "=APAGADO",E4:E367,"=radio")</f>
        <v>6</v>
      </c>
      <c r="AC2" s="26">
        <f>COUNTIFS(AC4:AC367, "=APAGADO",E4:E367,"=radio")</f>
        <v>8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G29" sqref="G29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3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3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3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3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3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3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3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3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3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3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3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3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3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3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3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3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3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3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3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3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3">
      <c r="A23" s="25">
        <f>'APAGADOS RADIO'!AA3</f>
        <v>44764</v>
      </c>
      <c r="B23" s="51">
        <f>'APAGADOS RADIO'!AA2+D23</f>
        <v>10</v>
      </c>
      <c r="C23" s="51">
        <f>'APAGADOS FIBRA'!AA2</f>
        <v>15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3">
      <c r="A24" s="25">
        <f>'APAGADOS RADIO'!AB3</f>
        <v>44765</v>
      </c>
      <c r="B24" s="51">
        <f>'APAGADOS RADIO'!AB2+D24</f>
        <v>12</v>
      </c>
      <c r="C24" s="51">
        <f>'APAGADOS FIBRA'!AB2</f>
        <v>23</v>
      </c>
      <c r="D24" s="51">
        <f>'APAGADOS ANTENA'!AB2</f>
        <v>6</v>
      </c>
      <c r="E24" s="51">
        <f t="shared" ref="E24:E26" si="27">B24+C24</f>
        <v>35</v>
      </c>
      <c r="F24" s="51">
        <f>'RESUMEN TOTAL'!B1</f>
        <v>392</v>
      </c>
      <c r="G24" s="55">
        <f t="shared" ref="G24:G26" si="28">E24/F24</f>
        <v>8.9285714285714288E-2</v>
      </c>
    </row>
    <row r="25" spans="1:7" x14ac:dyDescent="0.3">
      <c r="A25" s="25">
        <f>'APAGADOS RADIO'!AC3</f>
        <v>44766</v>
      </c>
      <c r="B25" s="51">
        <f>'APAGADOS RADIO'!AC2+D25</f>
        <v>14</v>
      </c>
      <c r="C25" s="51">
        <f>'APAGADOS FIBRA'!AC2</f>
        <v>22</v>
      </c>
      <c r="D25" s="51">
        <f>'APAGADOS ANTENA'!AC2</f>
        <v>6</v>
      </c>
      <c r="E25" s="51">
        <f t="shared" si="27"/>
        <v>36</v>
      </c>
      <c r="F25" s="51">
        <f>'RESUMEN TOTAL'!B1</f>
        <v>392</v>
      </c>
      <c r="G25" s="55">
        <f t="shared" si="28"/>
        <v>9.1836734693877556E-2</v>
      </c>
    </row>
    <row r="26" spans="1:7" x14ac:dyDescent="0.3">
      <c r="A26" s="25">
        <f>'APAGADOS RADIO'!AD3</f>
        <v>44767</v>
      </c>
      <c r="B26" s="51">
        <f>'APAGADOS RADIO'!AD2+D26</f>
        <v>12</v>
      </c>
      <c r="C26" s="51">
        <f>'APAGADOS FIBRA'!AD2</f>
        <v>26</v>
      </c>
      <c r="D26" s="51">
        <f>'APAGADOS ANTENA'!AD2</f>
        <v>6</v>
      </c>
      <c r="E26" s="51">
        <f t="shared" si="27"/>
        <v>38</v>
      </c>
      <c r="F26" s="51">
        <f>'RESUMEN TOTAL'!B1</f>
        <v>392</v>
      </c>
      <c r="G26" s="55">
        <f t="shared" si="28"/>
        <v>9.6938775510204078E-2</v>
      </c>
    </row>
    <row r="27" spans="1:7" x14ac:dyDescent="0.3">
      <c r="A27" s="25">
        <f>'APAGADOS RADIO'!AE3</f>
        <v>44768</v>
      </c>
      <c r="B27" s="51">
        <f>'APAGADOS RADIO'!AE2+D27</f>
        <v>12</v>
      </c>
      <c r="C27" s="51">
        <f>'APAGADOS FIBRA'!AE2</f>
        <v>28</v>
      </c>
      <c r="D27" s="51">
        <f>'APAGADOS ANTENA'!AE2</f>
        <v>6</v>
      </c>
      <c r="E27" s="51">
        <f t="shared" ref="E27" si="29">B27+C27</f>
        <v>40</v>
      </c>
      <c r="F27" s="51">
        <f>'RESUMEN TOTAL'!B1</f>
        <v>392</v>
      </c>
      <c r="G27" s="55">
        <f t="shared" ref="G27" si="30">E27/F27</f>
        <v>0.10204081632653061</v>
      </c>
    </row>
    <row r="28" spans="1:7" x14ac:dyDescent="0.3">
      <c r="A28" s="25">
        <f>'APAGADOS RADIO'!AF3</f>
        <v>44769</v>
      </c>
      <c r="B28" s="51"/>
      <c r="C28" s="51"/>
      <c r="D28" s="51"/>
      <c r="E28" s="51"/>
    </row>
    <row r="29" spans="1:7" x14ac:dyDescent="0.3">
      <c r="A29" s="25">
        <f>'APAGADOS RADIO'!AG3</f>
        <v>44770</v>
      </c>
      <c r="B29" s="51"/>
      <c r="C29" s="51"/>
      <c r="D29" s="51"/>
      <c r="E29" s="51"/>
    </row>
    <row r="30" spans="1:7" x14ac:dyDescent="0.3">
      <c r="A30" s="25">
        <f>'APAGADOS RADIO'!AH3</f>
        <v>44771</v>
      </c>
      <c r="B30" s="51"/>
      <c r="C30" s="51"/>
      <c r="D30" s="51"/>
      <c r="E30" s="51"/>
    </row>
    <row r="31" spans="1:7" x14ac:dyDescent="0.3">
      <c r="A31" s="25">
        <f>'APAGADOS RADIO'!AI3</f>
        <v>44772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abSelected="1" topLeftCell="A7" workbookViewId="0">
      <selection activeCell="B35" sqref="B35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1207</v>
      </c>
      <c r="D1" s="61" t="s">
        <v>1208</v>
      </c>
    </row>
    <row r="2" spans="1:13" ht="15.6" thickTop="1" thickBot="1" x14ac:dyDescent="0.35">
      <c r="A2" s="58" t="s">
        <v>1204</v>
      </c>
      <c r="B2" s="69">
        <v>375</v>
      </c>
      <c r="C2" s="65"/>
      <c r="D2" s="62"/>
      <c r="E2" s="113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10">
        <v>44753</v>
      </c>
    </row>
    <row r="4" spans="1:13" x14ac:dyDescent="0.3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11"/>
    </row>
    <row r="5" spans="1:13" x14ac:dyDescent="0.3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11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11"/>
    </row>
    <row r="7" spans="1:13" ht="15" customHeight="1" thickTop="1" x14ac:dyDescent="0.3">
      <c r="A7" s="58" t="s">
        <v>1204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11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16"/>
    </row>
    <row r="9" spans="1:13" ht="15.6" thickTop="1" thickBot="1" x14ac:dyDescent="0.35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10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11"/>
    </row>
    <row r="12" spans="1:13" ht="15" thickTop="1" x14ac:dyDescent="0.3">
      <c r="A12" s="58" t="s">
        <v>1204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11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11"/>
    </row>
    <row r="14" spans="1:13" x14ac:dyDescent="0.3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11"/>
    </row>
    <row r="15" spans="1:13" ht="15" customHeight="1" thickBot="1" x14ac:dyDescent="0.35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12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1401</v>
      </c>
      <c r="M16" s="110">
        <v>44763</v>
      </c>
    </row>
    <row r="17" spans="1:13" ht="15" thickTop="1" x14ac:dyDescent="0.3">
      <c r="A17" s="58" t="s">
        <v>1204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1213</v>
      </c>
      <c r="M17" s="111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08" t="s">
        <v>1402</v>
      </c>
      <c r="M18" s="111"/>
    </row>
    <row r="19" spans="1:13" x14ac:dyDescent="0.3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08" t="s">
        <v>1209</v>
      </c>
      <c r="M19" s="111"/>
    </row>
    <row r="20" spans="1:13" x14ac:dyDescent="0.3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" thickTop="1" x14ac:dyDescent="0.3">
      <c r="A22" s="58" t="s">
        <v>1204</v>
      </c>
      <c r="B22" s="69">
        <v>392</v>
      </c>
      <c r="C22" s="65"/>
      <c r="D22" s="62"/>
      <c r="E22" s="113">
        <v>44763</v>
      </c>
    </row>
    <row r="23" spans="1:13" ht="15" thickBot="1" x14ac:dyDescent="0.35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" thickTop="1" x14ac:dyDescent="0.3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3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" thickBot="1" x14ac:dyDescent="0.35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" thickTop="1" x14ac:dyDescent="0.3">
      <c r="A27" s="58" t="s">
        <v>1204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3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" thickBot="1" x14ac:dyDescent="0.35">
      <c r="A29" s="59" t="s">
        <v>1206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" thickTop="1" x14ac:dyDescent="0.3">
      <c r="A30" s="59" t="s">
        <v>1205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" thickBot="1" x14ac:dyDescent="0.35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" thickTop="1" x14ac:dyDescent="0.3">
      <c r="A32" s="58" t="s">
        <v>1204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3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3">
      <c r="A34" s="59" t="s">
        <v>1206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3">
      <c r="A35" s="59" t="s">
        <v>1205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" thickBot="1" x14ac:dyDescent="0.35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14"/>
    </row>
    <row r="40" spans="1:13" ht="15" thickTop="1" x14ac:dyDescent="0.3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" thickBot="1" x14ac:dyDescent="0.35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" thickTop="1" x14ac:dyDescent="0.3">
      <c r="G42" s="76"/>
      <c r="H42" s="77"/>
      <c r="I42" s="77"/>
      <c r="J42" s="77"/>
      <c r="K42" s="78"/>
      <c r="L42" s="79"/>
      <c r="M42" s="111"/>
    </row>
    <row r="43" spans="1:13" x14ac:dyDescent="0.3">
      <c r="G43" s="76"/>
      <c r="H43" s="77"/>
      <c r="I43" s="77"/>
      <c r="J43" s="77"/>
      <c r="K43" s="78"/>
      <c r="L43" s="79"/>
      <c r="M43" s="111"/>
    </row>
    <row r="44" spans="1:13" x14ac:dyDescent="0.3">
      <c r="G44" s="76"/>
      <c r="H44" s="77"/>
      <c r="I44" s="77"/>
      <c r="J44" s="77"/>
      <c r="K44" s="78"/>
      <c r="L44" s="79"/>
      <c r="M44" s="111"/>
    </row>
    <row r="45" spans="1:13" ht="15" thickBot="1" x14ac:dyDescent="0.35">
      <c r="G45" s="80"/>
      <c r="H45" s="81"/>
      <c r="I45" s="81"/>
      <c r="J45" s="81"/>
      <c r="K45" s="81"/>
      <c r="L45" s="82"/>
      <c r="M45" s="112"/>
    </row>
    <row r="46" spans="1:13" ht="15" thickTop="1" x14ac:dyDescent="0.3"/>
    <row r="47" spans="1:13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2022-07-26T14:31:44Z</dcterms:modified>
</cp:coreProperties>
</file>