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5C9DBD9A-EB42-4889-960A-940A6B9F15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J425" i="2" l="1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14" i="14" l="1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M2" i="21"/>
  <c r="S2" i="21"/>
  <c r="D15" i="14" s="1"/>
  <c r="AB2" i="21"/>
  <c r="T2" i="21"/>
  <c r="L2" i="21"/>
  <c r="D8" i="14" s="1"/>
  <c r="Z2" i="21"/>
  <c r="R2" i="21"/>
  <c r="D14" i="14" s="1"/>
  <c r="J2" i="21"/>
  <c r="D6" i="14" s="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C11" i="14" s="1"/>
  <c r="AB1" i="9"/>
  <c r="H2" i="10"/>
  <c r="C4" i="14" s="1"/>
  <c r="Y1" i="9"/>
  <c r="Z2" i="10"/>
  <c r="S2" i="10"/>
  <c r="C15" i="14" s="1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E14" i="14" s="1"/>
  <c r="G14" i="14" s="1"/>
  <c r="AB2" i="11"/>
  <c r="V2" i="11"/>
  <c r="Q2" i="11"/>
  <c r="B13" i="14" s="1"/>
  <c r="E13" i="14" s="1"/>
  <c r="G13" i="14" s="1"/>
  <c r="AC2" i="11"/>
  <c r="U2" i="11"/>
  <c r="AE2" i="11"/>
  <c r="AF2" i="11"/>
  <c r="X2" i="11"/>
  <c r="AD2" i="11"/>
  <c r="Y2" i="11"/>
  <c r="Z2" i="11"/>
  <c r="S2" i="11"/>
  <c r="B15" i="14" s="1"/>
  <c r="T2" i="11"/>
  <c r="W2" i="11"/>
  <c r="E15" i="14" l="1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<sst xmlns="http://schemas.openxmlformats.org/spreadsheetml/2006/main" count="3707" uniqueCount="1278">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</sst>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77"/>
  <sheetViews>
    <sheetView tabSelected="1" zoomScale="80" zoomScaleNormal="80" workbookViewId="0">
      <pane xSplit="10" ySplit="4" topLeftCell="V5" activePane="bottomRight" state="frozen"/>
      <selection pane="topRight" activeCell="M1" sqref="M1"/>
      <selection pane="bottomLeft" activeCell="A5" sqref="A5"/>
      <selection pane="bottomRight" activeCell="A4" sqref="A4:G415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1" width="14.109375" style="21" bestFit="1" customWidth="1"/>
  </cols>
  <sheetData>
    <row r="1" spans="1:41" s="5" customFormat="1" ht="27.75" customHeight="1" thickTop="1" x14ac:dyDescent="0.3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" hidden="1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" hidden="1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5.6" hidden="1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" hidden="1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" hidden="1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18</v>
      </c>
      <c r="I9" s="16">
        <f>COUNTIF(K9:AL9,"APAGADO")</f>
        <v>12</v>
      </c>
      <c r="J9" s="17">
        <f>(H9)/(I9+H9)</f>
        <v>0.6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" hidden="1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" hidden="1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" hidden="1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" hidden="1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" hidden="1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18</v>
      </c>
      <c r="I14" s="16">
        <f t="shared" si="6"/>
        <v>12</v>
      </c>
      <c r="J14" s="17">
        <f t="shared" si="7"/>
        <v>0.6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" hidden="1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" hidden="1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19</v>
      </c>
      <c r="I16" s="16">
        <f t="shared" si="6"/>
        <v>11</v>
      </c>
      <c r="J16" s="17">
        <f t="shared" si="7"/>
        <v>0.6333333333333333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" hidden="1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" hidden="1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" hidden="1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" hidden="1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" hidden="1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" hidden="1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" hidden="1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" hidden="1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" hidden="1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" hidden="1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" hidden="1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" hidden="1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26</v>
      </c>
      <c r="I28" s="16">
        <f>COUNTIF(K28:AL28,"APAGADO")</f>
        <v>4</v>
      </c>
      <c r="J28" s="17">
        <f>(H28)/(I28+H28)</f>
        <v>0.8666666666666667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" hidden="1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" hidden="1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" hidden="1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19</v>
      </c>
      <c r="I31" s="16">
        <f t="shared" si="6"/>
        <v>11</v>
      </c>
      <c r="J31" s="17">
        <f t="shared" si="7"/>
        <v>0.6333333333333333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" hidden="1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" hidden="1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" hidden="1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18</v>
      </c>
      <c r="I34" s="16">
        <f t="shared" si="6"/>
        <v>12</v>
      </c>
      <c r="J34" s="17">
        <f t="shared" si="7"/>
        <v>0.6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" hidden="1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" hidden="1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" hidden="1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" hidden="1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" hidden="1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" hidden="1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" hidden="1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" hidden="1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18</v>
      </c>
      <c r="I42" s="16">
        <f t="shared" si="6"/>
        <v>12</v>
      </c>
      <c r="J42" s="17">
        <f t="shared" si="7"/>
        <v>0.6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" hidden="1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" hidden="1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" hidden="1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" hidden="1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" hidden="1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" hidden="1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" hidden="1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" hidden="1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20</v>
      </c>
      <c r="I50" s="16">
        <f t="shared" si="6"/>
        <v>10</v>
      </c>
      <c r="J50" s="17">
        <f t="shared" si="7"/>
        <v>0.66666666666666663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" hidden="1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" hidden="1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" hidden="1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" hidden="1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" hidden="1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" hidden="1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" hidden="1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" hidden="1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" hidden="1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" hidden="1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29</v>
      </c>
      <c r="I60" s="16">
        <f t="shared" si="9"/>
        <v>1</v>
      </c>
      <c r="J60" s="17">
        <f t="shared" si="10"/>
        <v>0.96666666666666667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" hidden="1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" hidden="1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" hidden="1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18</v>
      </c>
      <c r="I63" s="16">
        <f t="shared" si="9"/>
        <v>12</v>
      </c>
      <c r="J63" s="17">
        <f t="shared" si="10"/>
        <v>0.6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" hidden="1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" hidden="1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" hidden="1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" hidden="1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" hidden="1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" hidden="1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" hidden="1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" hidden="1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27</v>
      </c>
      <c r="I71" s="16">
        <f t="shared" si="13"/>
        <v>3</v>
      </c>
      <c r="J71" s="17">
        <f t="shared" si="14"/>
        <v>0.9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" hidden="1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" hidden="1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" hidden="1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" hidden="1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" hidden="1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" hidden="1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" hidden="1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" hidden="1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" hidden="1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" hidden="1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" hidden="1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" hidden="1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" hidden="1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" hidden="1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" hidden="1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" hidden="1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" hidden="1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18</v>
      </c>
      <c r="I88" s="16">
        <f>COUNTIF(K88:AL88,"APAGADO")</f>
        <v>12</v>
      </c>
      <c r="J88" s="17">
        <f>(H88)/(I88+H88)</f>
        <v>0.6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5" hidden="1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" hidden="1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" hidden="1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" hidden="1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" hidden="1" thickBot="1" x14ac:dyDescent="0.35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" hidden="1" thickBot="1" x14ac:dyDescent="0.35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" hidden="1" thickBot="1" x14ac:dyDescent="0.35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18</v>
      </c>
      <c r="I95" s="52">
        <f t="shared" si="16"/>
        <v>12</v>
      </c>
      <c r="J95" s="53">
        <f t="shared" si="17"/>
        <v>0.6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" hidden="1" thickBot="1" x14ac:dyDescent="0.35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18</v>
      </c>
      <c r="I96" s="52">
        <f t="shared" si="16"/>
        <v>12</v>
      </c>
      <c r="J96" s="53">
        <f t="shared" si="17"/>
        <v>0.6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" hidden="1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" hidden="1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" hidden="1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" hidden="1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" hidden="1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" hidden="1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" hidden="1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" hidden="1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" hidden="1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" hidden="1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" hidden="1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" hidden="1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" hidden="1" thickBot="1" x14ac:dyDescent="0.35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" hidden="1" thickBot="1" x14ac:dyDescent="0.35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2" hidden="1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" hidden="1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" hidden="1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" hidden="1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" hidden="1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" hidden="1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" hidden="1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" hidden="1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" hidden="1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" hidden="1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" hidden="1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" hidden="1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" hidden="1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" hidden="1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" hidden="1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" hidden="1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" hidden="1" thickBot="1" x14ac:dyDescent="0.35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" hidden="1" thickBot="1" x14ac:dyDescent="0.35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" hidden="1" thickBot="1" x14ac:dyDescent="0.35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" hidden="1" thickBot="1" x14ac:dyDescent="0.35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" hidden="1" thickBot="1" x14ac:dyDescent="0.35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" hidden="1" thickBot="1" x14ac:dyDescent="0.35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" hidden="1" thickBot="1" x14ac:dyDescent="0.35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" hidden="1" thickBot="1" x14ac:dyDescent="0.35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" hidden="1" thickBot="1" x14ac:dyDescent="0.35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" hidden="1" thickBot="1" x14ac:dyDescent="0.35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" hidden="1" thickBot="1" x14ac:dyDescent="0.35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" hidden="1" thickBot="1" x14ac:dyDescent="0.35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" hidden="1" thickBot="1" x14ac:dyDescent="0.35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" hidden="1" thickBot="1" x14ac:dyDescent="0.35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" hidden="1" thickBot="1" x14ac:dyDescent="0.35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" hidden="1" thickBot="1" x14ac:dyDescent="0.35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" hidden="1" thickBot="1" x14ac:dyDescent="0.35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" hidden="1" thickBot="1" x14ac:dyDescent="0.35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" hidden="1" thickBot="1" x14ac:dyDescent="0.35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28</v>
      </c>
      <c r="I145" s="16">
        <f t="shared" si="21"/>
        <v>2</v>
      </c>
      <c r="J145" s="17">
        <f t="shared" si="22"/>
        <v>0.93333333333333335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" hidden="1" thickBot="1" x14ac:dyDescent="0.35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" hidden="1" thickBot="1" x14ac:dyDescent="0.35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" hidden="1" thickBot="1" x14ac:dyDescent="0.35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" hidden="1" thickBot="1" x14ac:dyDescent="0.35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" hidden="1" thickBot="1" x14ac:dyDescent="0.35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" hidden="1" thickBot="1" x14ac:dyDescent="0.35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" hidden="1" thickBot="1" x14ac:dyDescent="0.35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" hidden="1" thickBot="1" x14ac:dyDescent="0.35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" hidden="1" thickBot="1" x14ac:dyDescent="0.35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" hidden="1" thickBot="1" x14ac:dyDescent="0.35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" hidden="1" thickBot="1" x14ac:dyDescent="0.35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24</v>
      </c>
      <c r="I156" s="16">
        <f t="shared" si="21"/>
        <v>6</v>
      </c>
      <c r="J156" s="17">
        <f t="shared" si="22"/>
        <v>0.8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" hidden="1" thickBot="1" x14ac:dyDescent="0.35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24</v>
      </c>
      <c r="I157" s="16">
        <f t="shared" si="21"/>
        <v>6</v>
      </c>
      <c r="J157" s="17">
        <f t="shared" si="22"/>
        <v>0.8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" hidden="1" thickBot="1" x14ac:dyDescent="0.35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" hidden="1" thickBot="1" x14ac:dyDescent="0.35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" hidden="1" thickBot="1" x14ac:dyDescent="0.35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" hidden="1" thickBot="1" x14ac:dyDescent="0.35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" hidden="1" thickBot="1" x14ac:dyDescent="0.35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" hidden="1" thickBot="1" x14ac:dyDescent="0.35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" hidden="1" thickBot="1" x14ac:dyDescent="0.35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" hidden="1" thickBot="1" x14ac:dyDescent="0.35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" hidden="1" thickBot="1" x14ac:dyDescent="0.35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18</v>
      </c>
      <c r="I166" s="16">
        <f t="shared" si="21"/>
        <v>12</v>
      </c>
      <c r="J166" s="17">
        <f t="shared" si="22"/>
        <v>0.6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" hidden="1" thickBot="1" x14ac:dyDescent="0.35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" hidden="1" thickBot="1" x14ac:dyDescent="0.35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18</v>
      </c>
      <c r="I168" s="16">
        <f t="shared" si="21"/>
        <v>12</v>
      </c>
      <c r="J168" s="17">
        <f t="shared" si="22"/>
        <v>0.6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" hidden="1" thickBot="1" x14ac:dyDescent="0.35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" hidden="1" thickBot="1" x14ac:dyDescent="0.35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" hidden="1" thickBot="1" x14ac:dyDescent="0.35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" hidden="1" thickBot="1" x14ac:dyDescent="0.35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" hidden="1" thickBot="1" x14ac:dyDescent="0.35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21</v>
      </c>
      <c r="I173" s="16">
        <f t="shared" si="21"/>
        <v>9</v>
      </c>
      <c r="J173" s="17">
        <f t="shared" si="22"/>
        <v>0.7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" hidden="1" thickBot="1" x14ac:dyDescent="0.35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" hidden="1" thickBot="1" x14ac:dyDescent="0.35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" thickBot="1" x14ac:dyDescent="0.35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18</v>
      </c>
      <c r="I176" s="16">
        <f t="shared" si="21"/>
        <v>12</v>
      </c>
      <c r="J176" s="17">
        <f t="shared" si="22"/>
        <v>0.6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" hidden="1" thickBot="1" x14ac:dyDescent="0.35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" hidden="1" thickBot="1" x14ac:dyDescent="0.35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" hidden="1" thickBot="1" x14ac:dyDescent="0.35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" hidden="1" thickBot="1" x14ac:dyDescent="0.35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" hidden="1" thickBot="1" x14ac:dyDescent="0.35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" hidden="1" thickBot="1" x14ac:dyDescent="0.35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" hidden="1" thickBot="1" x14ac:dyDescent="0.35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" hidden="1" thickBot="1" x14ac:dyDescent="0.35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" hidden="1" thickBot="1" x14ac:dyDescent="0.35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" hidden="1" thickBot="1" x14ac:dyDescent="0.35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" hidden="1" thickBot="1" x14ac:dyDescent="0.35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" hidden="1" thickBot="1" x14ac:dyDescent="0.35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" hidden="1" thickBot="1" x14ac:dyDescent="0.35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19</v>
      </c>
      <c r="I189" s="16">
        <f>COUNTIF(K189:AL189,"APAGADO")</f>
        <v>11</v>
      </c>
      <c r="J189" s="17">
        <f>(H189)/(I189+H189)</f>
        <v>0.6333333333333333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" hidden="1" thickBot="1" x14ac:dyDescent="0.35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" hidden="1" thickBot="1" x14ac:dyDescent="0.35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" hidden="1" thickBot="1" x14ac:dyDescent="0.35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" hidden="1" thickBot="1" x14ac:dyDescent="0.35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" hidden="1" thickBot="1" x14ac:dyDescent="0.35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" hidden="1" thickBot="1" x14ac:dyDescent="0.35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" hidden="1" thickBot="1" x14ac:dyDescent="0.35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" hidden="1" thickBot="1" x14ac:dyDescent="0.35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" hidden="1" thickBot="1" x14ac:dyDescent="0.35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" hidden="1" thickBot="1" x14ac:dyDescent="0.35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" hidden="1" thickBot="1" x14ac:dyDescent="0.35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27</v>
      </c>
      <c r="I200" s="16">
        <f t="shared" si="21"/>
        <v>3</v>
      </c>
      <c r="J200" s="17">
        <f t="shared" si="22"/>
        <v>0.9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" hidden="1" thickBot="1" x14ac:dyDescent="0.35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" hidden="1" thickBot="1" x14ac:dyDescent="0.35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" hidden="1" thickBot="1" x14ac:dyDescent="0.35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" hidden="1" thickBot="1" x14ac:dyDescent="0.35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" hidden="1" thickBot="1" x14ac:dyDescent="0.35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" hidden="1" thickBot="1" x14ac:dyDescent="0.35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" hidden="1" thickBot="1" x14ac:dyDescent="0.35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" hidden="1" thickBot="1" x14ac:dyDescent="0.35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" hidden="1" thickBot="1" x14ac:dyDescent="0.35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" hidden="1" thickBot="1" x14ac:dyDescent="0.35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" hidden="1" thickBot="1" x14ac:dyDescent="0.35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" hidden="1" thickBot="1" x14ac:dyDescent="0.35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" hidden="1" thickBot="1" x14ac:dyDescent="0.35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" hidden="1" thickBot="1" x14ac:dyDescent="0.35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" hidden="1" thickBot="1" x14ac:dyDescent="0.35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" hidden="1" thickBot="1" x14ac:dyDescent="0.35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" hidden="1" thickBot="1" x14ac:dyDescent="0.35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" hidden="1" thickBot="1" x14ac:dyDescent="0.35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" hidden="1" thickBot="1" x14ac:dyDescent="0.35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" thickBot="1" x14ac:dyDescent="0.35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18</v>
      </c>
      <c r="I220" s="16">
        <f t="shared" si="24"/>
        <v>12</v>
      </c>
      <c r="J220" s="17">
        <f t="shared" si="25"/>
        <v>0.6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" hidden="1" thickBot="1" x14ac:dyDescent="0.35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" hidden="1" thickBot="1" x14ac:dyDescent="0.35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" hidden="1" thickBot="1" x14ac:dyDescent="0.35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" hidden="1" thickBot="1" x14ac:dyDescent="0.35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" hidden="1" thickBot="1" x14ac:dyDescent="0.35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" hidden="1" thickBot="1" x14ac:dyDescent="0.35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" hidden="1" thickBot="1" x14ac:dyDescent="0.35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21</v>
      </c>
      <c r="I227" s="16">
        <f t="shared" si="24"/>
        <v>9</v>
      </c>
      <c r="J227" s="17">
        <f t="shared" si="25"/>
        <v>0.7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" hidden="1" thickBot="1" x14ac:dyDescent="0.35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" hidden="1" thickBot="1" x14ac:dyDescent="0.35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" hidden="1" thickBot="1" x14ac:dyDescent="0.35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29</v>
      </c>
      <c r="I230" s="16">
        <f t="shared" si="24"/>
        <v>1</v>
      </c>
      <c r="J230" s="17">
        <f t="shared" si="25"/>
        <v>0.96666666666666667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" hidden="1" thickBot="1" x14ac:dyDescent="0.35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" hidden="1" thickBot="1" x14ac:dyDescent="0.35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29</v>
      </c>
      <c r="I232" s="16">
        <f t="shared" si="24"/>
        <v>1</v>
      </c>
      <c r="J232" s="17">
        <f t="shared" si="25"/>
        <v>0.96666666666666667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" hidden="1" thickBot="1" x14ac:dyDescent="0.35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" hidden="1" thickBot="1" x14ac:dyDescent="0.35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" hidden="1" thickBot="1" x14ac:dyDescent="0.35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" hidden="1" thickBot="1" x14ac:dyDescent="0.35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" hidden="1" thickBot="1" x14ac:dyDescent="0.35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" hidden="1" thickBot="1" x14ac:dyDescent="0.35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" hidden="1" thickBot="1" x14ac:dyDescent="0.35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" hidden="1" thickBot="1" x14ac:dyDescent="0.35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" hidden="1" thickBot="1" x14ac:dyDescent="0.35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" hidden="1" thickBot="1" x14ac:dyDescent="0.35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" hidden="1" thickBot="1" x14ac:dyDescent="0.35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" hidden="1" thickBot="1" x14ac:dyDescent="0.35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" hidden="1" thickBot="1" x14ac:dyDescent="0.35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" hidden="1" thickBot="1" x14ac:dyDescent="0.35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" hidden="1" thickBot="1" x14ac:dyDescent="0.35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" hidden="1" thickBot="1" x14ac:dyDescent="0.35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" hidden="1" thickBot="1" x14ac:dyDescent="0.35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" hidden="1" thickBot="1" x14ac:dyDescent="0.35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" hidden="1" thickBot="1" x14ac:dyDescent="0.35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" hidden="1" thickBot="1" x14ac:dyDescent="0.35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" hidden="1" thickBot="1" x14ac:dyDescent="0.35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" hidden="1" thickBot="1" x14ac:dyDescent="0.35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" hidden="1" thickBot="1" x14ac:dyDescent="0.35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" hidden="1" thickBot="1" x14ac:dyDescent="0.35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" hidden="1" thickBot="1" x14ac:dyDescent="0.35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" hidden="1" thickBot="1" x14ac:dyDescent="0.35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" hidden="1" thickBot="1" x14ac:dyDescent="0.35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" hidden="1" thickBot="1" x14ac:dyDescent="0.35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" hidden="1" thickBot="1" x14ac:dyDescent="0.35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" hidden="1" thickBot="1" x14ac:dyDescent="0.35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" hidden="1" thickBot="1" x14ac:dyDescent="0.35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" hidden="1" thickBot="1" x14ac:dyDescent="0.35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" hidden="1" thickBot="1" x14ac:dyDescent="0.35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" hidden="1" thickBot="1" x14ac:dyDescent="0.35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" hidden="1" thickBot="1" x14ac:dyDescent="0.35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" hidden="1" thickBot="1" x14ac:dyDescent="0.35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" hidden="1" thickBot="1" x14ac:dyDescent="0.35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" hidden="1" thickBot="1" x14ac:dyDescent="0.35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" hidden="1" thickBot="1" x14ac:dyDescent="0.35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" hidden="1" thickBot="1" x14ac:dyDescent="0.35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" hidden="1" thickBot="1" x14ac:dyDescent="0.35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" hidden="1" thickBot="1" x14ac:dyDescent="0.35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" hidden="1" thickBot="1" x14ac:dyDescent="0.35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" hidden="1" thickBot="1" x14ac:dyDescent="0.35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" hidden="1" thickBot="1" x14ac:dyDescent="0.35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" hidden="1" thickBot="1" x14ac:dyDescent="0.35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" hidden="1" thickBot="1" x14ac:dyDescent="0.35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" hidden="1" thickBot="1" x14ac:dyDescent="0.35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" hidden="1" thickBot="1" x14ac:dyDescent="0.35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" hidden="1" thickBot="1" x14ac:dyDescent="0.35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" hidden="1" thickBot="1" x14ac:dyDescent="0.35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" hidden="1" thickBot="1" x14ac:dyDescent="0.35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" hidden="1" thickBot="1" x14ac:dyDescent="0.35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" hidden="1" thickBot="1" x14ac:dyDescent="0.35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" hidden="1" thickBot="1" x14ac:dyDescent="0.35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" hidden="1" thickBot="1" x14ac:dyDescent="0.35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" hidden="1" thickBot="1" x14ac:dyDescent="0.35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" hidden="1" thickBot="1" x14ac:dyDescent="0.35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" hidden="1" thickBot="1" x14ac:dyDescent="0.35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" hidden="1" thickBot="1" x14ac:dyDescent="0.35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" hidden="1" thickBot="1" x14ac:dyDescent="0.35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" hidden="1" thickBot="1" x14ac:dyDescent="0.35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" hidden="1" thickBot="1" x14ac:dyDescent="0.35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" hidden="1" thickBot="1" x14ac:dyDescent="0.35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" hidden="1" thickBot="1" x14ac:dyDescent="0.35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" hidden="1" thickBot="1" x14ac:dyDescent="0.35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" hidden="1" thickBot="1" x14ac:dyDescent="0.35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" hidden="1" thickBot="1" x14ac:dyDescent="0.35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" hidden="1" thickBot="1" x14ac:dyDescent="0.35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" hidden="1" thickBot="1" x14ac:dyDescent="0.35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" hidden="1" thickBot="1" x14ac:dyDescent="0.35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" hidden="1" thickBot="1" x14ac:dyDescent="0.35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" hidden="1" thickBot="1" x14ac:dyDescent="0.35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" hidden="1" thickBot="1" x14ac:dyDescent="0.35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" hidden="1" thickBot="1" x14ac:dyDescent="0.35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" hidden="1" thickBot="1" x14ac:dyDescent="0.35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95" hidden="1" customHeight="1" thickBot="1" x14ac:dyDescent="0.35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" hidden="1" thickBot="1" x14ac:dyDescent="0.35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" hidden="1" thickBot="1" x14ac:dyDescent="0.35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" hidden="1" thickBot="1" x14ac:dyDescent="0.35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" hidden="1" thickBot="1" x14ac:dyDescent="0.35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" hidden="1" thickBot="1" x14ac:dyDescent="0.35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" hidden="1" thickBot="1" x14ac:dyDescent="0.35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" hidden="1" thickBot="1" x14ac:dyDescent="0.35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" hidden="1" thickBot="1" x14ac:dyDescent="0.35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" hidden="1" thickBot="1" x14ac:dyDescent="0.35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" hidden="1" thickBot="1" x14ac:dyDescent="0.35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" hidden="1" thickBot="1" x14ac:dyDescent="0.35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" hidden="1" thickBot="1" x14ac:dyDescent="0.35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" hidden="1" thickBot="1" x14ac:dyDescent="0.35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" hidden="1" thickBot="1" x14ac:dyDescent="0.35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" hidden="1" thickBot="1" x14ac:dyDescent="0.35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" hidden="1" thickBot="1" x14ac:dyDescent="0.35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" hidden="1" thickBot="1" x14ac:dyDescent="0.35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" hidden="1" thickBot="1" x14ac:dyDescent="0.35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" hidden="1" thickBot="1" x14ac:dyDescent="0.35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" hidden="1" thickBot="1" x14ac:dyDescent="0.35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" hidden="1" thickBot="1" x14ac:dyDescent="0.35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" hidden="1" thickBot="1" x14ac:dyDescent="0.35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" hidden="1" thickBot="1" x14ac:dyDescent="0.35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" hidden="1" thickBot="1" x14ac:dyDescent="0.35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" hidden="1" thickBot="1" x14ac:dyDescent="0.35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" hidden="1" thickBot="1" x14ac:dyDescent="0.35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18</v>
      </c>
      <c r="I335" s="16">
        <f t="shared" si="28"/>
        <v>12</v>
      </c>
      <c r="J335" s="17">
        <f t="shared" si="29"/>
        <v>0.6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" hidden="1" thickBot="1" x14ac:dyDescent="0.35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18</v>
      </c>
      <c r="I336" s="16">
        <f t="shared" si="28"/>
        <v>12</v>
      </c>
      <c r="J336" s="17">
        <f t="shared" si="29"/>
        <v>0.6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" hidden="1" thickBot="1" x14ac:dyDescent="0.35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18</v>
      </c>
      <c r="I337" s="16">
        <f t="shared" si="28"/>
        <v>12</v>
      </c>
      <c r="J337" s="17">
        <f t="shared" si="29"/>
        <v>0.6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" hidden="1" thickBot="1" x14ac:dyDescent="0.35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18</v>
      </c>
      <c r="I338" s="16">
        <f t="shared" si="28"/>
        <v>12</v>
      </c>
      <c r="J338" s="17">
        <f t="shared" si="29"/>
        <v>0.6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" hidden="1" thickBot="1" x14ac:dyDescent="0.35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18</v>
      </c>
      <c r="I339" s="16">
        <f t="shared" si="28"/>
        <v>12</v>
      </c>
      <c r="J339" s="17">
        <f t="shared" si="29"/>
        <v>0.6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" hidden="1" thickBot="1" x14ac:dyDescent="0.35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18</v>
      </c>
      <c r="I340" s="16">
        <f t="shared" si="28"/>
        <v>12</v>
      </c>
      <c r="J340" s="17">
        <f t="shared" si="29"/>
        <v>0.6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" hidden="1" thickBot="1" x14ac:dyDescent="0.35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18</v>
      </c>
      <c r="I341" s="16">
        <f t="shared" si="28"/>
        <v>12</v>
      </c>
      <c r="J341" s="17">
        <f t="shared" si="29"/>
        <v>0.6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" hidden="1" thickBot="1" x14ac:dyDescent="0.35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" hidden="1" thickBot="1" x14ac:dyDescent="0.35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" hidden="1" thickBot="1" x14ac:dyDescent="0.35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" hidden="1" thickBot="1" x14ac:dyDescent="0.35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" hidden="1" thickBot="1" x14ac:dyDescent="0.35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" hidden="1" thickBot="1" x14ac:dyDescent="0.35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" hidden="1" thickBot="1" x14ac:dyDescent="0.35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" hidden="1" thickBot="1" x14ac:dyDescent="0.35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" hidden="1" thickBot="1" x14ac:dyDescent="0.35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" hidden="1" thickBot="1" x14ac:dyDescent="0.35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" hidden="1" thickBot="1" x14ac:dyDescent="0.35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" hidden="1" thickBot="1" x14ac:dyDescent="0.35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" hidden="1" thickBot="1" x14ac:dyDescent="0.35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" hidden="1" thickBot="1" x14ac:dyDescent="0.35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" hidden="1" thickBot="1" x14ac:dyDescent="0.35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" hidden="1" thickBot="1" x14ac:dyDescent="0.35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" hidden="1" thickBot="1" x14ac:dyDescent="0.35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" hidden="1" thickBot="1" x14ac:dyDescent="0.35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" hidden="1" thickBot="1" x14ac:dyDescent="0.35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" hidden="1" thickBot="1" x14ac:dyDescent="0.35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" hidden="1" thickBot="1" x14ac:dyDescent="0.35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28</v>
      </c>
      <c r="I362" s="16">
        <f t="shared" si="37"/>
        <v>2</v>
      </c>
      <c r="J362" s="17">
        <f t="shared" si="38"/>
        <v>0.93333333333333335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" hidden="1" thickBot="1" x14ac:dyDescent="0.35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" hidden="1" thickBot="1" x14ac:dyDescent="0.35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" hidden="1" thickBot="1" x14ac:dyDescent="0.35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" hidden="1" thickBot="1" x14ac:dyDescent="0.35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" thickBot="1" x14ac:dyDescent="0.35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20</v>
      </c>
      <c r="I367" s="16">
        <f t="shared" si="37"/>
        <v>10</v>
      </c>
      <c r="J367" s="17">
        <f t="shared" si="38"/>
        <v>0.66666666666666663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" hidden="1" thickBot="1" x14ac:dyDescent="0.35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" hidden="1" thickBot="1" x14ac:dyDescent="0.35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" hidden="1" thickBot="1" x14ac:dyDescent="0.35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" hidden="1" thickBot="1" x14ac:dyDescent="0.35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" hidden="1" thickBot="1" x14ac:dyDescent="0.35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" hidden="1" thickBot="1" x14ac:dyDescent="0.35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" hidden="1" thickBot="1" x14ac:dyDescent="0.35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" hidden="1" thickBot="1" x14ac:dyDescent="0.35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" hidden="1" thickBot="1" x14ac:dyDescent="0.35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" hidden="1" thickBot="1" x14ac:dyDescent="0.35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" hidden="1" thickBot="1" x14ac:dyDescent="0.35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28</v>
      </c>
      <c r="I378" s="16">
        <f t="shared" si="37"/>
        <v>2</v>
      </c>
      <c r="J378" s="17">
        <f t="shared" si="38"/>
        <v>0.93333333333333335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" hidden="1" thickBot="1" x14ac:dyDescent="0.35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28</v>
      </c>
      <c r="I379" s="16">
        <f t="shared" si="37"/>
        <v>2</v>
      </c>
      <c r="J379" s="17">
        <f t="shared" si="38"/>
        <v>0.93333333333333335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" hidden="1" thickBot="1" x14ac:dyDescent="0.35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" hidden="1" thickBot="1" x14ac:dyDescent="0.35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" hidden="1" thickBot="1" x14ac:dyDescent="0.35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" hidden="1" thickBot="1" x14ac:dyDescent="0.35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" hidden="1" thickBot="1" x14ac:dyDescent="0.35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" hidden="1" thickBot="1" x14ac:dyDescent="0.35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" hidden="1" thickBot="1" x14ac:dyDescent="0.35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" hidden="1" thickBot="1" x14ac:dyDescent="0.35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" hidden="1" thickBot="1" x14ac:dyDescent="0.35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" hidden="1" thickBot="1" x14ac:dyDescent="0.35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" hidden="1" thickBot="1" x14ac:dyDescent="0.35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19</v>
      </c>
      <c r="I390" s="16">
        <f t="shared" si="37"/>
        <v>11</v>
      </c>
      <c r="J390" s="17">
        <f t="shared" si="38"/>
        <v>0.6333333333333333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" hidden="1" thickBot="1" x14ac:dyDescent="0.35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" hidden="1" thickBot="1" x14ac:dyDescent="0.35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" hidden="1" thickBot="1" x14ac:dyDescent="0.35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18</v>
      </c>
      <c r="I393" s="16">
        <f t="shared" si="37"/>
        <v>12</v>
      </c>
      <c r="J393" s="17">
        <f t="shared" si="38"/>
        <v>0.6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" hidden="1" thickBot="1" x14ac:dyDescent="0.35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" hidden="1" thickBot="1" x14ac:dyDescent="0.35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" hidden="1" thickBot="1" x14ac:dyDescent="0.35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" thickBot="1" x14ac:dyDescent="0.35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28</v>
      </c>
      <c r="I397" s="52">
        <f t="shared" ref="I397:I403" si="42">COUNTIF(K397:AL397,"APAGADO")</f>
        <v>2</v>
      </c>
      <c r="J397" s="53">
        <f t="shared" ref="J397:J403" si="43">(H397)/(I397+H397)</f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" thickBot="1" x14ac:dyDescent="0.35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28</v>
      </c>
      <c r="I398" s="52">
        <f t="shared" si="42"/>
        <v>2</v>
      </c>
      <c r="J398" s="53">
        <f t="shared" si="43"/>
        <v>0.93333333333333335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" hidden="1" thickBot="1" x14ac:dyDescent="0.35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" hidden="1" thickBot="1" x14ac:dyDescent="0.35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" hidden="1" thickBot="1" x14ac:dyDescent="0.35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" hidden="1" thickBot="1" x14ac:dyDescent="0.35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" hidden="1" thickBot="1" x14ac:dyDescent="0.35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" hidden="1" thickBot="1" x14ac:dyDescent="0.35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" hidden="1" thickBot="1" x14ac:dyDescent="0.35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" hidden="1" thickBot="1" x14ac:dyDescent="0.35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" hidden="1" thickBot="1" x14ac:dyDescent="0.35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" hidden="1" thickBot="1" x14ac:dyDescent="0.35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" hidden="1" thickBot="1" x14ac:dyDescent="0.35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" hidden="1" thickBot="1" x14ac:dyDescent="0.35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" hidden="1" thickBot="1" x14ac:dyDescent="0.35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" hidden="1" thickBot="1" x14ac:dyDescent="0.35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" hidden="1" thickBot="1" x14ac:dyDescent="0.35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" hidden="1" thickBot="1" x14ac:dyDescent="0.35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" thickBot="1" x14ac:dyDescent="0.35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28</v>
      </c>
      <c r="I415" s="52">
        <f t="shared" si="45"/>
        <v>2</v>
      </c>
      <c r="J415" s="53">
        <f t="shared" si="46"/>
        <v>0.93333333333333335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" hidden="1" thickBot="1" x14ac:dyDescent="0.35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" hidden="1" thickBot="1" x14ac:dyDescent="0.35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" hidden="1" thickBot="1" x14ac:dyDescent="0.35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" hidden="1" thickBot="1" x14ac:dyDescent="0.35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" hidden="1" thickBot="1" x14ac:dyDescent="0.35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" hidden="1" thickBot="1" x14ac:dyDescent="0.35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" hidden="1" thickBot="1" x14ac:dyDescent="0.35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" hidden="1" thickBot="1" x14ac:dyDescent="0.35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" hidden="1" thickBot="1" x14ac:dyDescent="0.35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" hidden="1" thickBot="1" x14ac:dyDescent="0.35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" hidden="1" thickBot="1" x14ac:dyDescent="0.35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" hidden="1" thickBot="1" x14ac:dyDescent="0.35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" hidden="1" thickBot="1" x14ac:dyDescent="0.35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" hidden="1" thickBot="1" x14ac:dyDescent="0.35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" hidden="1" thickBot="1" x14ac:dyDescent="0.35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" hidden="1" thickBot="1" x14ac:dyDescent="0.35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31" xr:uid="{00000000-0009-0000-0000-000000000000}">
    <filterColumn colId="2">
      <filters>
        <filter val="COSEIDI"/>
      </filters>
    </filterColumn>
    <filterColumn colId="23">
      <customFilters>
        <customFilter operator="notEqual" val=" "/>
      </customFilters>
    </filterColumn>
  </autoFilter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3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3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3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3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3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3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3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3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3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3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3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3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3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3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3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3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3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3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3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3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3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3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3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3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3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3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3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3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3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3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3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3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3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3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3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3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3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3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3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3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3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3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3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3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3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3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3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3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3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3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3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3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3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3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3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3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3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3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3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3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3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3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3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3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3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3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3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3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3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3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3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3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3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3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3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3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3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3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3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3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3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3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3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3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3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3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3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3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3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3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3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3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3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3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3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3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3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3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3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3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3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3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3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3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3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3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3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3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3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3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3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3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3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3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3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3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3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3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3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3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3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3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3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3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3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3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3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3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3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3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3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3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3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3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3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3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3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3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3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3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3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3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3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3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3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3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3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3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3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3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3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3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3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3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3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3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3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3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3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3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3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3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3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3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3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3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3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3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3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3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3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3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3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3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3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3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3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3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3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3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3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3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3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3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3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3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3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3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3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3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3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3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3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3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3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3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3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3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3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3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3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3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3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3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3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3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3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3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3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3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3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3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3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3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3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3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3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3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3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3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3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3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3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3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3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3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3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3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3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3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3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3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3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3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3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3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3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3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3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3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3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3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3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3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3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3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3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3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3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3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3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3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3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3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3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3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3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3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3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3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3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3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3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3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3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3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3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3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3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3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3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3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3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3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3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3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3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3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3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3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3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D55" sqref="D55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/>
      <c r="C2" s="88"/>
      <c r="D2" s="89"/>
      <c r="E2" s="143"/>
    </row>
    <row r="3" spans="1:13" ht="15" customHeight="1" thickTop="1" x14ac:dyDescent="0.3">
      <c r="A3" s="90" t="s">
        <v>6</v>
      </c>
      <c r="B3" s="91"/>
      <c r="C3" s="92"/>
      <c r="D3" s="93"/>
      <c r="E3" s="144"/>
      <c r="G3" s="94"/>
      <c r="H3" s="95"/>
      <c r="I3" s="95"/>
      <c r="J3" s="95"/>
      <c r="K3" s="96"/>
      <c r="L3" s="97"/>
      <c r="M3" s="140"/>
    </row>
    <row r="4" spans="1:13" x14ac:dyDescent="0.3">
      <c r="A4" s="90" t="s">
        <v>1001</v>
      </c>
      <c r="B4" s="91"/>
      <c r="C4" s="92"/>
      <c r="D4" s="93"/>
      <c r="E4" s="144"/>
      <c r="G4" s="98"/>
      <c r="H4" s="99"/>
      <c r="I4" s="99"/>
      <c r="J4" s="99"/>
      <c r="K4" s="100"/>
      <c r="L4" s="101"/>
      <c r="M4" s="141"/>
    </row>
    <row r="5" spans="1:13" x14ac:dyDescent="0.3">
      <c r="A5" s="90" t="s">
        <v>1000</v>
      </c>
      <c r="B5" s="91"/>
      <c r="C5" s="92"/>
      <c r="D5" s="93"/>
      <c r="E5" s="144"/>
      <c r="G5" s="98"/>
      <c r="H5" s="99"/>
      <c r="I5" s="99"/>
      <c r="J5" s="99"/>
      <c r="K5" s="100"/>
      <c r="L5" s="101"/>
      <c r="M5" s="141"/>
    </row>
    <row r="6" spans="1:13" ht="15" thickBot="1" x14ac:dyDescent="0.35">
      <c r="A6" s="102" t="s">
        <v>16</v>
      </c>
      <c r="B6" s="103"/>
      <c r="C6" s="104"/>
      <c r="D6" s="105"/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3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" thickBot="1" x14ac:dyDescent="0.35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" thickBot="1" x14ac:dyDescent="0.35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" thickTop="1" x14ac:dyDescent="0.3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3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3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5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5.6" thickTop="1" thickBot="1" x14ac:dyDescent="0.35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" thickTop="1" x14ac:dyDescent="0.3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3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3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3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" thickBot="1" x14ac:dyDescent="0.35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" thickTop="1" x14ac:dyDescent="0.3">
      <c r="A22" s="86" t="s">
        <v>999</v>
      </c>
      <c r="B22" s="87"/>
      <c r="C22" s="88"/>
      <c r="D22" s="89"/>
      <c r="E22" s="143"/>
    </row>
    <row r="23" spans="1:14" ht="15" thickBot="1" x14ac:dyDescent="0.35">
      <c r="A23" s="90" t="s">
        <v>6</v>
      </c>
      <c r="B23" s="91"/>
      <c r="C23" s="92"/>
      <c r="D23" s="93"/>
      <c r="E23" s="144"/>
    </row>
    <row r="24" spans="1:14" ht="15" thickTop="1" x14ac:dyDescent="0.3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3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" thickBot="1" x14ac:dyDescent="0.35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" thickTop="1" x14ac:dyDescent="0.3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3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" thickBot="1" x14ac:dyDescent="0.35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5.6" thickTop="1" thickBot="1" x14ac:dyDescent="0.35">
      <c r="A30" s="90" t="s">
        <v>1000</v>
      </c>
      <c r="B30" s="91"/>
      <c r="C30" s="92"/>
      <c r="D30" s="93"/>
      <c r="E30" s="144"/>
    </row>
    <row r="31" spans="1:14" ht="15.6" thickTop="1" thickBot="1" x14ac:dyDescent="0.35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" thickTop="1" x14ac:dyDescent="0.3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" thickBot="1" x14ac:dyDescent="0.35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" thickTop="1" x14ac:dyDescent="0.3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3">
      <c r="A35" s="90" t="s">
        <v>1000</v>
      </c>
      <c r="B35" s="91"/>
      <c r="C35" s="92"/>
      <c r="D35" s="93"/>
      <c r="E35" s="144"/>
      <c r="G35" s="133"/>
      <c r="K35" s="134"/>
    </row>
    <row r="36" spans="1:14" ht="15" thickBot="1" x14ac:dyDescent="0.35">
      <c r="A36" s="102" t="s">
        <v>16</v>
      </c>
      <c r="B36" s="103"/>
      <c r="C36" s="104"/>
      <c r="D36" s="105"/>
      <c r="E36" s="145"/>
      <c r="G36" s="133"/>
      <c r="K36" s="134"/>
    </row>
    <row r="37" spans="1:14" ht="15" thickTop="1" x14ac:dyDescent="0.3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3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" thickBot="1" x14ac:dyDescent="0.35">
      <c r="A39" s="90" t="s">
        <v>1001</v>
      </c>
      <c r="B39" s="91"/>
      <c r="C39" s="92"/>
      <c r="D39" s="93"/>
      <c r="E39" s="144"/>
    </row>
    <row r="40" spans="1:14" ht="15" thickTop="1" x14ac:dyDescent="0.3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" thickBot="1" x14ac:dyDescent="0.35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3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3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3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" thickBot="1" x14ac:dyDescent="0.35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5.6" thickTop="1" thickBot="1" x14ac:dyDescent="0.35">
      <c r="A46" s="102" t="s">
        <v>16</v>
      </c>
      <c r="B46" s="103"/>
      <c r="C46" s="104"/>
      <c r="D46" s="105"/>
      <c r="E46" s="145"/>
    </row>
    <row r="47" spans="1:14" ht="15" thickTop="1" x14ac:dyDescent="0.3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3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3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3">
      <c r="A50" s="90" t="s">
        <v>1000</v>
      </c>
      <c r="B50" s="91"/>
      <c r="C50" s="92"/>
      <c r="D50" s="93"/>
      <c r="E50" s="144"/>
      <c r="G50" s="133"/>
      <c r="K50" s="134"/>
    </row>
    <row r="51" spans="1:11" ht="15" thickBot="1" x14ac:dyDescent="0.35">
      <c r="A51" s="102" t="s">
        <v>16</v>
      </c>
      <c r="B51" s="103"/>
      <c r="C51" s="104"/>
      <c r="D51" s="105"/>
      <c r="E51" s="145"/>
      <c r="G51" s="133"/>
      <c r="K51" s="134"/>
    </row>
    <row r="52" spans="1:11" ht="15" thickTop="1" x14ac:dyDescent="0.3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3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3">
      <c r="A54" s="90" t="s">
        <v>1001</v>
      </c>
      <c r="B54" s="91"/>
      <c r="C54" s="92"/>
      <c r="D54" s="93"/>
      <c r="E54" s="144"/>
    </row>
    <row r="55" spans="1:11" x14ac:dyDescent="0.3">
      <c r="A55" s="90" t="s">
        <v>1000</v>
      </c>
      <c r="B55" s="91"/>
      <c r="C55" s="92"/>
      <c r="D55" s="93"/>
      <c r="E55" s="144"/>
    </row>
    <row r="56" spans="1:11" ht="15" thickBot="1" x14ac:dyDescent="0.35">
      <c r="A56" s="102" t="s">
        <v>16</v>
      </c>
      <c r="B56" s="103"/>
      <c r="C56" s="104"/>
      <c r="D56" s="105"/>
      <c r="E56" s="145"/>
    </row>
    <row r="57" spans="1:11" ht="15" thickTop="1" x14ac:dyDescent="0.3">
      <c r="A57" s="86" t="s">
        <v>999</v>
      </c>
      <c r="B57" s="87"/>
      <c r="C57" s="88"/>
      <c r="D57" s="89"/>
      <c r="E57" s="143"/>
    </row>
    <row r="58" spans="1:11" x14ac:dyDescent="0.3">
      <c r="A58" s="90" t="s">
        <v>6</v>
      </c>
      <c r="B58" s="91"/>
      <c r="C58" s="92"/>
      <c r="D58" s="93"/>
      <c r="E58" s="144"/>
    </row>
    <row r="59" spans="1:11" x14ac:dyDescent="0.3">
      <c r="A59" s="90" t="s">
        <v>1001</v>
      </c>
      <c r="B59" s="91"/>
      <c r="C59" s="92"/>
      <c r="D59" s="93"/>
      <c r="E59" s="144"/>
    </row>
    <row r="60" spans="1:11" x14ac:dyDescent="0.3">
      <c r="A60" s="90" t="s">
        <v>1000</v>
      </c>
      <c r="B60" s="91"/>
      <c r="C60" s="92"/>
      <c r="D60" s="93"/>
      <c r="E60" s="144"/>
    </row>
    <row r="61" spans="1:11" ht="15" thickBot="1" x14ac:dyDescent="0.35">
      <c r="A61" s="102" t="s">
        <v>16</v>
      </c>
      <c r="B61" s="103"/>
      <c r="C61" s="104"/>
      <c r="D61" s="105"/>
      <c r="E61" s="145"/>
    </row>
    <row r="62" spans="1:11" ht="15" thickTop="1" x14ac:dyDescent="0.3">
      <c r="A62" s="86" t="s">
        <v>999</v>
      </c>
      <c r="B62" s="87"/>
      <c r="C62" s="88"/>
      <c r="D62" s="89"/>
      <c r="E62" s="143"/>
    </row>
    <row r="63" spans="1:11" x14ac:dyDescent="0.3">
      <c r="A63" s="90" t="s">
        <v>6</v>
      </c>
      <c r="B63" s="91"/>
      <c r="C63" s="92"/>
      <c r="D63" s="93"/>
      <c r="E63" s="144"/>
    </row>
    <row r="64" spans="1:11" x14ac:dyDescent="0.3">
      <c r="A64" s="90" t="s">
        <v>1001</v>
      </c>
      <c r="B64" s="91"/>
      <c r="C64" s="92"/>
      <c r="D64" s="93"/>
      <c r="E64" s="144"/>
    </row>
    <row r="65" spans="1:5" x14ac:dyDescent="0.3">
      <c r="A65" s="90" t="s">
        <v>1000</v>
      </c>
      <c r="B65" s="91"/>
      <c r="C65" s="92"/>
      <c r="D65" s="93"/>
      <c r="E65" s="144"/>
    </row>
    <row r="66" spans="1:5" ht="15" thickBot="1" x14ac:dyDescent="0.35">
      <c r="A66" s="102" t="s">
        <v>16</v>
      </c>
      <c r="B66" s="103"/>
      <c r="C66" s="104"/>
      <c r="D66" s="105"/>
      <c r="E66" s="145"/>
    </row>
    <row r="67" spans="1:5" ht="15" thickTop="1" x14ac:dyDescent="0.3">
      <c r="A67" s="86" t="s">
        <v>999</v>
      </c>
      <c r="B67" s="87"/>
      <c r="C67" s="88"/>
      <c r="D67" s="89"/>
      <c r="E67" s="143"/>
    </row>
    <row r="68" spans="1:5" x14ac:dyDescent="0.3">
      <c r="A68" s="90" t="s">
        <v>6</v>
      </c>
      <c r="B68" s="91"/>
      <c r="C68" s="92"/>
      <c r="D68" s="93"/>
      <c r="E68" s="144"/>
    </row>
    <row r="69" spans="1:5" x14ac:dyDescent="0.3">
      <c r="A69" s="90" t="s">
        <v>1001</v>
      </c>
      <c r="B69" s="91"/>
      <c r="C69" s="92"/>
      <c r="D69" s="93"/>
      <c r="E69" s="144"/>
    </row>
    <row r="70" spans="1:5" x14ac:dyDescent="0.3">
      <c r="A70" s="90" t="s">
        <v>1000</v>
      </c>
      <c r="B70" s="91"/>
      <c r="C70" s="92"/>
      <c r="D70" s="93"/>
      <c r="E70" s="144"/>
    </row>
    <row r="71" spans="1:5" ht="15" thickBot="1" x14ac:dyDescent="0.35">
      <c r="A71" s="102" t="s">
        <v>16</v>
      </c>
      <c r="B71" s="103"/>
      <c r="C71" s="104"/>
      <c r="D71" s="105"/>
      <c r="E71" s="145"/>
    </row>
    <row r="72" spans="1:5" ht="15" thickTop="1" x14ac:dyDescent="0.3">
      <c r="A72" s="86" t="s">
        <v>999</v>
      </c>
      <c r="B72" s="87"/>
      <c r="C72" s="88"/>
      <c r="D72" s="89"/>
      <c r="E72" s="143"/>
    </row>
    <row r="73" spans="1:5" x14ac:dyDescent="0.3">
      <c r="A73" s="90" t="s">
        <v>6</v>
      </c>
      <c r="B73" s="91"/>
      <c r="C73" s="92"/>
      <c r="D73" s="93"/>
      <c r="E73" s="144"/>
    </row>
    <row r="74" spans="1:5" x14ac:dyDescent="0.3">
      <c r="A74" s="90" t="s">
        <v>1001</v>
      </c>
      <c r="B74" s="91"/>
      <c r="C74" s="92"/>
      <c r="D74" s="93"/>
      <c r="E74" s="144"/>
    </row>
    <row r="75" spans="1:5" x14ac:dyDescent="0.3">
      <c r="A75" s="90" t="s">
        <v>1000</v>
      </c>
      <c r="B75" s="91"/>
      <c r="C75" s="92"/>
      <c r="D75" s="93"/>
      <c r="E75" s="144"/>
    </row>
    <row r="76" spans="1:5" ht="15" thickBot="1" x14ac:dyDescent="0.35">
      <c r="A76" s="102" t="s">
        <v>16</v>
      </c>
      <c r="B76" s="103"/>
      <c r="C76" s="104"/>
      <c r="D76" s="105"/>
      <c r="E76" s="145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F16" sqref="F16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3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3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3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426</v>
      </c>
      <c r="G5" s="54">
        <f t="shared" si="3"/>
        <v>0.10093896713615023</v>
      </c>
    </row>
    <row r="6" spans="1:7" x14ac:dyDescent="0.3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3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3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426</v>
      </c>
      <c r="G8" s="54">
        <f t="shared" ref="G8" si="5">E8/F8</f>
        <v>8.2159624413145546E-2</v>
      </c>
    </row>
    <row r="9" spans="1:7" x14ac:dyDescent="0.3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3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426</v>
      </c>
      <c r="G10" s="54">
        <f t="shared" ref="G10" si="7">E10/F10</f>
        <v>0.11032863849765258</v>
      </c>
    </row>
    <row r="11" spans="1:7" x14ac:dyDescent="0.3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426</v>
      </c>
      <c r="G11" s="54">
        <f t="shared" ref="G11" si="9">E11/F11</f>
        <v>0.10093896713615023</v>
      </c>
    </row>
    <row r="12" spans="1:7" x14ac:dyDescent="0.3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426</v>
      </c>
      <c r="G12" s="54">
        <f t="shared" ref="G12" si="11">E12/F12</f>
        <v>0.10093896713615023</v>
      </c>
    </row>
    <row r="13" spans="1:7" x14ac:dyDescent="0.3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426</v>
      </c>
      <c r="G13" s="54">
        <f t="shared" ref="G13:G15" si="13">E13/F13</f>
        <v>8.6854460093896718E-2</v>
      </c>
    </row>
    <row r="14" spans="1:7" x14ac:dyDescent="0.3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426</v>
      </c>
      <c r="G14" s="54">
        <f t="shared" si="13"/>
        <v>0.12441314553990611</v>
      </c>
    </row>
    <row r="15" spans="1:7" x14ac:dyDescent="0.3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426</v>
      </c>
      <c r="G15" s="54">
        <f t="shared" si="13"/>
        <v>7.746478873239436E-2</v>
      </c>
    </row>
    <row r="16" spans="1:7" x14ac:dyDescent="0.3">
      <c r="A16" s="24">
        <f>'APAGADOS RADIO'!T3</f>
        <v>44849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44850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44851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44852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44853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44854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44855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44856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44857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44858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44859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44860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44861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44862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44863</v>
      </c>
      <c r="B30" s="50"/>
      <c r="C30" s="50"/>
      <c r="D30" s="50"/>
      <c r="E30" s="50"/>
      <c r="F30" s="50"/>
    </row>
    <row r="31" spans="1:6" x14ac:dyDescent="0.3">
      <c r="A31" s="24"/>
      <c r="B31" s="50"/>
      <c r="C31" s="50"/>
      <c r="D31" s="50"/>
      <c r="E31" s="50"/>
      <c r="F31" s="50"/>
    </row>
    <row r="32" spans="1:6" x14ac:dyDescent="0.3">
      <c r="A32" s="24"/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7"/>
      <c r="C3" s="71" t="s">
        <v>1168</v>
      </c>
      <c r="D3" s="62">
        <v>44833</v>
      </c>
    </row>
    <row r="4" spans="2:4" ht="15" thickTop="1" x14ac:dyDescent="0.3">
      <c r="B4" s="79" t="s">
        <v>1159</v>
      </c>
      <c r="C4" s="68">
        <f>COUNTIFS('RESUMEN TOTAL'!C6:C501,"=BONOMO")</f>
        <v>223</v>
      </c>
      <c r="D4" s="75">
        <v>51</v>
      </c>
    </row>
    <row r="5" spans="2:4" ht="15" thickBot="1" x14ac:dyDescent="0.35">
      <c r="B5" s="69"/>
      <c r="C5" s="70"/>
      <c r="D5" s="82">
        <v>0.22972972972972974</v>
      </c>
    </row>
    <row r="6" spans="2:4" ht="15" thickTop="1" x14ac:dyDescent="0.3">
      <c r="B6" s="78" t="s">
        <v>1160</v>
      </c>
      <c r="C6" s="68">
        <f>COUNTIFS('RESUMEN TOTAL'!C6:C501,"=COSEIDI")</f>
        <v>203</v>
      </c>
      <c r="D6" s="77">
        <v>15</v>
      </c>
    </row>
    <row r="7" spans="2:4" ht="15" thickBot="1" x14ac:dyDescent="0.35">
      <c r="B7" s="69"/>
      <c r="C7" s="70"/>
      <c r="D7" s="63">
        <v>7.8947368421052627E-2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D26" sqref="D2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5.6" thickTop="1" thickBot="1" x14ac:dyDescent="0.35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2022-10-14T17:04:59Z</dcterms:modified>
</cp:coreProperties>
</file>