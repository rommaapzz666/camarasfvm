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96E96C4D-5DA2-4DA8-BE3E-B4C26D27B97F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4" l="1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5" i="24" l="1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1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C6" i="24" l="1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" i="14" l="1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<sst xmlns="http://schemas.openxmlformats.org/spreadsheetml/2006/main" count="3064" uniqueCount="1363">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</sst>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S347" activePane="bottomRight" state="frozen"/>
      <selection pane="topRight" activeCell="M1" sqref="M1"/>
      <selection pane="bottomLeft" activeCell="A5" sqref="A5"/>
      <selection pane="bottomRight" activeCell="S363" sqref="S363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375</v>
      </c>
      <c r="U2" s="10">
        <f t="shared" si="2"/>
        <v>375</v>
      </c>
      <c r="V2" s="10">
        <f t="shared" si="2"/>
        <v>375</v>
      </c>
      <c r="W2" s="10">
        <f t="shared" si="2"/>
        <v>375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25</v>
      </c>
      <c r="M5" s="17">
        <f t="shared" ref="M5:M68" si="6">COUNTIF(O5:AP5,"APAGADO")</f>
        <v>5</v>
      </c>
      <c r="N5" s="18">
        <f t="shared" ref="N5:N68" si="7">(L5)/(M5+L5)</f>
        <v>0.83333333333333337</v>
      </c>
      <c r="O5" s="29" t="s">
        <v>1356</v>
      </c>
      <c r="P5" s="19" t="s">
        <v>1356</v>
      </c>
      <c r="Q5" s="19" t="s">
        <v>1356</v>
      </c>
      <c r="R5" s="19" t="s">
        <v>1356</v>
      </c>
      <c r="S5" s="29" t="s">
        <v>1356</v>
      </c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25</v>
      </c>
      <c r="M7" s="17">
        <f t="shared" si="6"/>
        <v>5</v>
      </c>
      <c r="N7" s="18">
        <f t="shared" si="7"/>
        <v>0.83333333333333337</v>
      </c>
      <c r="O7" s="27" t="s">
        <v>1356</v>
      </c>
      <c r="P7" s="8" t="s">
        <v>1356</v>
      </c>
      <c r="Q7" s="8" t="s">
        <v>1356</v>
      </c>
      <c r="R7" s="8" t="s">
        <v>1356</v>
      </c>
      <c r="S7" s="27" t="s">
        <v>1356</v>
      </c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1356</v>
      </c>
      <c r="P11" s="8" t="s">
        <v>1356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30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26</v>
      </c>
      <c r="M14" s="17">
        <f t="shared" si="6"/>
        <v>4</v>
      </c>
      <c r="N14" s="18">
        <f t="shared" si="7"/>
        <v>0.8666666666666667</v>
      </c>
      <c r="O14" s="27" t="s">
        <v>1356</v>
      </c>
      <c r="P14" s="8" t="s">
        <v>1356</v>
      </c>
      <c r="Q14" s="8" t="s">
        <v>1356</v>
      </c>
      <c r="R14" s="8"/>
      <c r="S14" s="27" t="s">
        <v>1356</v>
      </c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25</v>
      </c>
      <c r="M22" s="17">
        <f t="shared" si="6"/>
        <v>5</v>
      </c>
      <c r="N22" s="18">
        <f t="shared" si="7"/>
        <v>0.83333333333333337</v>
      </c>
      <c r="O22" s="27" t="s">
        <v>1356</v>
      </c>
      <c r="P22" s="8" t="s">
        <v>1356</v>
      </c>
      <c r="Q22" s="8" t="s">
        <v>1356</v>
      </c>
      <c r="R22" s="8" t="s">
        <v>1356</v>
      </c>
      <c r="S22" s="27" t="s">
        <v>1356</v>
      </c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25</v>
      </c>
      <c r="M30" s="17">
        <f t="shared" si="6"/>
        <v>5</v>
      </c>
      <c r="N30" s="18">
        <f t="shared" si="7"/>
        <v>0.83333333333333337</v>
      </c>
      <c r="O30" s="27" t="s">
        <v>1356</v>
      </c>
      <c r="P30" s="8" t="s">
        <v>1356</v>
      </c>
      <c r="Q30" s="8" t="s">
        <v>1356</v>
      </c>
      <c r="R30" s="8" t="s">
        <v>1356</v>
      </c>
      <c r="S30" s="27" t="s">
        <v>1356</v>
      </c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30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30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25</v>
      </c>
      <c r="M48" s="17">
        <f t="shared" si="6"/>
        <v>5</v>
      </c>
      <c r="N48" s="18">
        <f t="shared" si="7"/>
        <v>0.83333333333333337</v>
      </c>
      <c r="O48" s="27" t="s">
        <v>1356</v>
      </c>
      <c r="P48" s="8" t="s">
        <v>1356</v>
      </c>
      <c r="Q48" s="8" t="s">
        <v>1356</v>
      </c>
      <c r="R48" s="8" t="s">
        <v>1356</v>
      </c>
      <c r="S48" s="27" t="s">
        <v>1356</v>
      </c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25</v>
      </c>
      <c r="M51" s="17">
        <f t="shared" si="6"/>
        <v>5</v>
      </c>
      <c r="N51" s="18">
        <f t="shared" si="7"/>
        <v>0.83333333333333337</v>
      </c>
      <c r="O51" s="27" t="s">
        <v>1356</v>
      </c>
      <c r="P51" s="8" t="s">
        <v>1356</v>
      </c>
      <c r="Q51" s="8" t="s">
        <v>1356</v>
      </c>
      <c r="R51" s="8" t="s">
        <v>1356</v>
      </c>
      <c r="S51" s="27" t="s">
        <v>1356</v>
      </c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25</v>
      </c>
      <c r="M54" s="17">
        <f t="shared" si="6"/>
        <v>5</v>
      </c>
      <c r="N54" s="18">
        <f t="shared" si="7"/>
        <v>0.83333333333333337</v>
      </c>
      <c r="O54" s="27" t="s">
        <v>1356</v>
      </c>
      <c r="P54" s="8" t="s">
        <v>1356</v>
      </c>
      <c r="Q54" s="8" t="s">
        <v>1356</v>
      </c>
      <c r="R54" s="8" t="s">
        <v>1356</v>
      </c>
      <c r="S54" s="27" t="s">
        <v>1356</v>
      </c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25</v>
      </c>
      <c r="M56" s="17">
        <f t="shared" si="6"/>
        <v>5</v>
      </c>
      <c r="N56" s="18">
        <f t="shared" si="7"/>
        <v>0.83333333333333337</v>
      </c>
      <c r="O56" s="27" t="s">
        <v>1356</v>
      </c>
      <c r="P56" s="8" t="s">
        <v>1356</v>
      </c>
      <c r="Q56" s="8" t="s">
        <v>1356</v>
      </c>
      <c r="R56" s="8" t="s">
        <v>1356</v>
      </c>
      <c r="S56" s="27" t="s">
        <v>1356</v>
      </c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30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28</v>
      </c>
      <c r="M70" s="17">
        <f t="shared" si="9"/>
        <v>2</v>
      </c>
      <c r="N70" s="18">
        <f t="shared" si="10"/>
        <v>0.93333333333333335</v>
      </c>
      <c r="O70" s="27"/>
      <c r="P70" s="8"/>
      <c r="Q70" s="8"/>
      <c r="R70" s="8" t="s">
        <v>1356</v>
      </c>
      <c r="S70" s="27" t="s">
        <v>1356</v>
      </c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1356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26</v>
      </c>
      <c r="M80" s="17">
        <f t="shared" si="9"/>
        <v>4</v>
      </c>
      <c r="N80" s="18">
        <f t="shared" si="10"/>
        <v>0.8666666666666667</v>
      </c>
      <c r="O80" s="27"/>
      <c r="P80" s="8" t="s">
        <v>1356</v>
      </c>
      <c r="Q80" s="8" t="s">
        <v>1356</v>
      </c>
      <c r="R80" s="8" t="s">
        <v>1356</v>
      </c>
      <c r="S80" s="27" t="s">
        <v>1356</v>
      </c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25</v>
      </c>
      <c r="M83" s="17">
        <f t="shared" si="9"/>
        <v>5</v>
      </c>
      <c r="N83" s="18">
        <f t="shared" si="10"/>
        <v>0.83333333333333337</v>
      </c>
      <c r="O83" s="27" t="s">
        <v>1356</v>
      </c>
      <c r="P83" s="8" t="s">
        <v>1356</v>
      </c>
      <c r="Q83" s="8" t="s">
        <v>1356</v>
      </c>
      <c r="R83" s="8" t="s">
        <v>1356</v>
      </c>
      <c r="S83" s="27" t="s">
        <v>1356</v>
      </c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1356</v>
      </c>
      <c r="P84" s="8" t="s">
        <v>1356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30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28</v>
      </c>
      <c r="M90" s="17">
        <f t="shared" si="9"/>
        <v>2</v>
      </c>
      <c r="N90" s="18">
        <f t="shared" si="10"/>
        <v>0.93333333333333335</v>
      </c>
      <c r="O90" s="27" t="s">
        <v>1356</v>
      </c>
      <c r="P90" s="8"/>
      <c r="Q90" s="8" t="s">
        <v>1356</v>
      </c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25</v>
      </c>
      <c r="M94" s="17">
        <f t="shared" si="9"/>
        <v>5</v>
      </c>
      <c r="N94" s="18">
        <f t="shared" si="10"/>
        <v>0.83333333333333337</v>
      </c>
      <c r="O94" s="27" t="s">
        <v>1356</v>
      </c>
      <c r="P94" s="8" t="s">
        <v>1356</v>
      </c>
      <c r="Q94" s="8" t="s">
        <v>1356</v>
      </c>
      <c r="R94" s="8" t="s">
        <v>1356</v>
      </c>
      <c r="S94" s="27" t="s">
        <v>1356</v>
      </c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25</v>
      </c>
      <c r="M99" s="17">
        <f t="shared" si="9"/>
        <v>5</v>
      </c>
      <c r="N99" s="18">
        <f t="shared" si="10"/>
        <v>0.83333333333333337</v>
      </c>
      <c r="O99" s="27" t="s">
        <v>1356</v>
      </c>
      <c r="P99" s="8" t="s">
        <v>1356</v>
      </c>
      <c r="Q99" s="8" t="s">
        <v>1356</v>
      </c>
      <c r="R99" s="8" t="s">
        <v>1356</v>
      </c>
      <c r="S99" s="27" t="s">
        <v>1356</v>
      </c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938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1356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1356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25</v>
      </c>
      <c r="M106" s="17">
        <f t="shared" si="9"/>
        <v>5</v>
      </c>
      <c r="N106" s="18">
        <f t="shared" si="10"/>
        <v>0.83333333333333337</v>
      </c>
      <c r="O106" s="27" t="s">
        <v>1356</v>
      </c>
      <c r="P106" s="8" t="s">
        <v>1356</v>
      </c>
      <c r="Q106" s="8" t="s">
        <v>1356</v>
      </c>
      <c r="R106" s="8" t="s">
        <v>1356</v>
      </c>
      <c r="S106" s="27" t="s">
        <v>1356</v>
      </c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25</v>
      </c>
      <c r="M107" s="17">
        <f t="shared" si="9"/>
        <v>5</v>
      </c>
      <c r="N107" s="18">
        <f t="shared" si="10"/>
        <v>0.83333333333333337</v>
      </c>
      <c r="O107" s="27" t="s">
        <v>1356</v>
      </c>
      <c r="P107" s="8" t="s">
        <v>1356</v>
      </c>
      <c r="Q107" s="8" t="s">
        <v>1356</v>
      </c>
      <c r="R107" s="8" t="s">
        <v>1356</v>
      </c>
      <c r="S107" s="27" t="s">
        <v>1356</v>
      </c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25</v>
      </c>
      <c r="M108" s="17">
        <f t="shared" si="9"/>
        <v>5</v>
      </c>
      <c r="N108" s="18">
        <f t="shared" si="10"/>
        <v>0.83333333333333337</v>
      </c>
      <c r="O108" s="27" t="s">
        <v>1356</v>
      </c>
      <c r="P108" s="8" t="s">
        <v>1356</v>
      </c>
      <c r="Q108" s="8" t="s">
        <v>1356</v>
      </c>
      <c r="R108" s="8" t="s">
        <v>1356</v>
      </c>
      <c r="S108" s="27" t="s">
        <v>1356</v>
      </c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25</v>
      </c>
      <c r="M109" s="17">
        <f t="shared" si="9"/>
        <v>5</v>
      </c>
      <c r="N109" s="18">
        <f t="shared" si="10"/>
        <v>0.83333333333333337</v>
      </c>
      <c r="O109" s="27" t="s">
        <v>1356</v>
      </c>
      <c r="P109" s="8" t="s">
        <v>1356</v>
      </c>
      <c r="Q109" s="8" t="s">
        <v>1356</v>
      </c>
      <c r="R109" s="8" t="s">
        <v>1356</v>
      </c>
      <c r="S109" s="27" t="s">
        <v>1356</v>
      </c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25</v>
      </c>
      <c r="M115" s="17">
        <f t="shared" si="9"/>
        <v>5</v>
      </c>
      <c r="N115" s="18">
        <f t="shared" si="10"/>
        <v>0.83333333333333337</v>
      </c>
      <c r="O115" s="27" t="s">
        <v>1356</v>
      </c>
      <c r="P115" s="8" t="s">
        <v>1356</v>
      </c>
      <c r="Q115" s="8" t="s">
        <v>1356</v>
      </c>
      <c r="R115" s="8" t="s">
        <v>1356</v>
      </c>
      <c r="S115" s="27" t="s">
        <v>1356</v>
      </c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25</v>
      </c>
      <c r="M116" s="17">
        <f t="shared" si="9"/>
        <v>5</v>
      </c>
      <c r="N116" s="18">
        <f t="shared" si="10"/>
        <v>0.83333333333333337</v>
      </c>
      <c r="O116" s="27" t="s">
        <v>1356</v>
      </c>
      <c r="P116" s="8" t="s">
        <v>1356</v>
      </c>
      <c r="Q116" s="8" t="s">
        <v>1356</v>
      </c>
      <c r="R116" s="8" t="s">
        <v>1356</v>
      </c>
      <c r="S116" s="27" t="s">
        <v>1356</v>
      </c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25</v>
      </c>
      <c r="M120" s="17">
        <f t="shared" si="9"/>
        <v>5</v>
      </c>
      <c r="N120" s="18">
        <f t="shared" si="10"/>
        <v>0.83333333333333337</v>
      </c>
      <c r="O120" s="27" t="s">
        <v>1356</v>
      </c>
      <c r="P120" s="8" t="s">
        <v>1356</v>
      </c>
      <c r="Q120" s="8" t="s">
        <v>1356</v>
      </c>
      <c r="R120" s="8" t="s">
        <v>1356</v>
      </c>
      <c r="S120" s="27" t="s">
        <v>1356</v>
      </c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25</v>
      </c>
      <c r="M121" s="17">
        <f t="shared" si="9"/>
        <v>5</v>
      </c>
      <c r="N121" s="18">
        <f t="shared" si="10"/>
        <v>0.83333333333333337</v>
      </c>
      <c r="O121" s="27" t="s">
        <v>1356</v>
      </c>
      <c r="P121" s="8" t="s">
        <v>1356</v>
      </c>
      <c r="Q121" s="8" t="s">
        <v>1356</v>
      </c>
      <c r="R121" s="8" t="s">
        <v>1356</v>
      </c>
      <c r="S121" s="27" t="s">
        <v>1356</v>
      </c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25</v>
      </c>
      <c r="M122" s="17">
        <f t="shared" si="9"/>
        <v>5</v>
      </c>
      <c r="N122" s="18">
        <f t="shared" si="10"/>
        <v>0.83333333333333337</v>
      </c>
      <c r="O122" s="27" t="s">
        <v>1356</v>
      </c>
      <c r="P122" s="8" t="s">
        <v>1356</v>
      </c>
      <c r="Q122" s="8" t="s">
        <v>1356</v>
      </c>
      <c r="R122" s="8" t="s">
        <v>1356</v>
      </c>
      <c r="S122" s="27" t="s">
        <v>1356</v>
      </c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25</v>
      </c>
      <c r="M123" s="17">
        <f t="shared" si="9"/>
        <v>5</v>
      </c>
      <c r="N123" s="18">
        <f t="shared" si="10"/>
        <v>0.83333333333333337</v>
      </c>
      <c r="O123" s="27" t="s">
        <v>1356</v>
      </c>
      <c r="P123" s="8" t="s">
        <v>1356</v>
      </c>
      <c r="Q123" s="8" t="s">
        <v>1356</v>
      </c>
      <c r="R123" s="8" t="s">
        <v>1356</v>
      </c>
      <c r="S123" s="27" t="s">
        <v>1356</v>
      </c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1356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1356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25</v>
      </c>
      <c r="M133" s="17">
        <f t="shared" ref="M133:M196" si="12">COUNTIF(O133:AP133,"APAGADO")</f>
        <v>5</v>
      </c>
      <c r="N133" s="18">
        <f t="shared" ref="N133:N196" si="13">(L133)/(M133+L133)</f>
        <v>0.83333333333333337</v>
      </c>
      <c r="O133" s="27" t="s">
        <v>1356</v>
      </c>
      <c r="P133" s="8" t="s">
        <v>1356</v>
      </c>
      <c r="Q133" s="8" t="s">
        <v>1356</v>
      </c>
      <c r="R133" s="8" t="s">
        <v>1356</v>
      </c>
      <c r="S133" s="27" t="s">
        <v>1356</v>
      </c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25</v>
      </c>
      <c r="M135" s="17">
        <f t="shared" si="12"/>
        <v>5</v>
      </c>
      <c r="N135" s="18">
        <f t="shared" si="13"/>
        <v>0.83333333333333337</v>
      </c>
      <c r="O135" s="27" t="s">
        <v>1356</v>
      </c>
      <c r="P135" s="8" t="s">
        <v>1356</v>
      </c>
      <c r="Q135" s="8" t="s">
        <v>1356</v>
      </c>
      <c r="R135" s="8" t="s">
        <v>1356</v>
      </c>
      <c r="S135" s="27" t="s">
        <v>1356</v>
      </c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25</v>
      </c>
      <c r="M142" s="17">
        <f t="shared" si="12"/>
        <v>5</v>
      </c>
      <c r="N142" s="18">
        <f t="shared" si="13"/>
        <v>0.83333333333333337</v>
      </c>
      <c r="O142" s="27" t="s">
        <v>1356</v>
      </c>
      <c r="P142" s="8" t="s">
        <v>1356</v>
      </c>
      <c r="Q142" s="8" t="s">
        <v>1356</v>
      </c>
      <c r="R142" s="8" t="s">
        <v>1356</v>
      </c>
      <c r="S142" s="27" t="s">
        <v>1356</v>
      </c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25</v>
      </c>
      <c r="M143" s="17">
        <f t="shared" si="12"/>
        <v>5</v>
      </c>
      <c r="N143" s="18">
        <f t="shared" si="13"/>
        <v>0.83333333333333337</v>
      </c>
      <c r="O143" s="27" t="s">
        <v>1356</v>
      </c>
      <c r="P143" s="8" t="s">
        <v>1356</v>
      </c>
      <c r="Q143" s="8" t="s">
        <v>1356</v>
      </c>
      <c r="R143" s="8" t="s">
        <v>1356</v>
      </c>
      <c r="S143" s="27" t="s">
        <v>1356</v>
      </c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25</v>
      </c>
      <c r="M144" s="17">
        <f t="shared" si="12"/>
        <v>5</v>
      </c>
      <c r="N144" s="18">
        <f t="shared" si="13"/>
        <v>0.83333333333333337</v>
      </c>
      <c r="O144" s="27" t="s">
        <v>1356</v>
      </c>
      <c r="P144" s="8" t="s">
        <v>1356</v>
      </c>
      <c r="Q144" s="8" t="s">
        <v>1356</v>
      </c>
      <c r="R144" s="8" t="s">
        <v>1356</v>
      </c>
      <c r="S144" s="27" t="s">
        <v>1356</v>
      </c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26</v>
      </c>
      <c r="M154" s="17">
        <f t="shared" si="12"/>
        <v>4</v>
      </c>
      <c r="N154" s="18">
        <f t="shared" si="13"/>
        <v>0.8666666666666667</v>
      </c>
      <c r="O154" s="27"/>
      <c r="P154" s="8" t="s">
        <v>1356</v>
      </c>
      <c r="Q154" s="8" t="s">
        <v>1356</v>
      </c>
      <c r="R154" s="8" t="s">
        <v>1356</v>
      </c>
      <c r="S154" s="27" t="s">
        <v>1356</v>
      </c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25</v>
      </c>
      <c r="M156" s="17">
        <f t="shared" si="12"/>
        <v>5</v>
      </c>
      <c r="N156" s="18">
        <f t="shared" si="13"/>
        <v>0.83333333333333337</v>
      </c>
      <c r="O156" s="27" t="s">
        <v>1356</v>
      </c>
      <c r="P156" s="8" t="s">
        <v>1356</v>
      </c>
      <c r="Q156" s="8" t="s">
        <v>1356</v>
      </c>
      <c r="R156" s="8" t="s">
        <v>1356</v>
      </c>
      <c r="S156" s="27" t="s">
        <v>1356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25</v>
      </c>
      <c r="M166" s="17">
        <f t="shared" si="12"/>
        <v>5</v>
      </c>
      <c r="N166" s="18">
        <f t="shared" si="13"/>
        <v>0.83333333333333337</v>
      </c>
      <c r="O166" s="27" t="s">
        <v>1356</v>
      </c>
      <c r="P166" s="8" t="s">
        <v>1356</v>
      </c>
      <c r="Q166" s="8" t="s">
        <v>1356</v>
      </c>
      <c r="R166" s="8" t="s">
        <v>1356</v>
      </c>
      <c r="S166" s="27" t="s">
        <v>1356</v>
      </c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27</v>
      </c>
      <c r="M168" s="17">
        <f t="shared" si="12"/>
        <v>3</v>
      </c>
      <c r="N168" s="18">
        <f t="shared" si="13"/>
        <v>0.9</v>
      </c>
      <c r="O168" s="27"/>
      <c r="P168" s="8"/>
      <c r="Q168" s="8" t="s">
        <v>1356</v>
      </c>
      <c r="R168" s="8" t="s">
        <v>1356</v>
      </c>
      <c r="S168" s="27" t="s">
        <v>1356</v>
      </c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25</v>
      </c>
      <c r="M177" s="17">
        <f t="shared" si="12"/>
        <v>5</v>
      </c>
      <c r="N177" s="18">
        <f t="shared" si="13"/>
        <v>0.83333333333333337</v>
      </c>
      <c r="O177" s="27" t="s">
        <v>1356</v>
      </c>
      <c r="P177" s="8" t="s">
        <v>1356</v>
      </c>
      <c r="Q177" s="8" t="s">
        <v>1356</v>
      </c>
      <c r="R177" s="8" t="s">
        <v>1356</v>
      </c>
      <c r="S177" s="27" t="s">
        <v>1356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29</v>
      </c>
      <c r="M179" s="17">
        <f t="shared" si="12"/>
        <v>1</v>
      </c>
      <c r="N179" s="18">
        <f t="shared" si="13"/>
        <v>0.96666666666666667</v>
      </c>
      <c r="O179" s="27" t="s">
        <v>1356</v>
      </c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25</v>
      </c>
      <c r="M185" s="17">
        <f t="shared" si="12"/>
        <v>5</v>
      </c>
      <c r="N185" s="18">
        <f t="shared" si="13"/>
        <v>0.83333333333333337</v>
      </c>
      <c r="O185" s="27" t="s">
        <v>1356</v>
      </c>
      <c r="P185" s="8" t="s">
        <v>1356</v>
      </c>
      <c r="Q185" s="8" t="s">
        <v>1356</v>
      </c>
      <c r="R185" s="8" t="s">
        <v>1356</v>
      </c>
      <c r="S185" s="27" t="s">
        <v>1356</v>
      </c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1356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26</v>
      </c>
      <c r="M194" s="17">
        <f t="shared" si="12"/>
        <v>4</v>
      </c>
      <c r="N194" s="18">
        <f t="shared" si="13"/>
        <v>0.8666666666666667</v>
      </c>
      <c r="O194" s="27" t="s">
        <v>1356</v>
      </c>
      <c r="P194" s="8"/>
      <c r="Q194" s="8" t="s">
        <v>1356</v>
      </c>
      <c r="R194" s="8" t="s">
        <v>1356</v>
      </c>
      <c r="S194" s="27" t="s">
        <v>1356</v>
      </c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25</v>
      </c>
      <c r="M197" s="17">
        <f t="shared" ref="M197:M262" si="15">COUNTIF(O197:AP197,"APAGADO")</f>
        <v>5</v>
      </c>
      <c r="N197" s="18">
        <f t="shared" ref="N197:N262" si="16">(L197)/(M197+L197)</f>
        <v>0.83333333333333337</v>
      </c>
      <c r="O197" s="27" t="s">
        <v>1356</v>
      </c>
      <c r="P197" s="8" t="s">
        <v>1356</v>
      </c>
      <c r="Q197" s="8" t="s">
        <v>1356</v>
      </c>
      <c r="R197" s="8" t="s">
        <v>1356</v>
      </c>
      <c r="S197" s="27" t="s">
        <v>1356</v>
      </c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25</v>
      </c>
      <c r="M198" s="17">
        <f t="shared" si="15"/>
        <v>5</v>
      </c>
      <c r="N198" s="18">
        <f t="shared" si="16"/>
        <v>0.83333333333333337</v>
      </c>
      <c r="O198" s="27" t="s">
        <v>1356</v>
      </c>
      <c r="P198" s="8" t="s">
        <v>1356</v>
      </c>
      <c r="Q198" s="8" t="s">
        <v>1356</v>
      </c>
      <c r="R198" s="8" t="s">
        <v>1356</v>
      </c>
      <c r="S198" s="27" t="s">
        <v>1356</v>
      </c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1356</v>
      </c>
      <c r="P199" s="8" t="s">
        <v>1356</v>
      </c>
      <c r="Q199" s="8" t="s">
        <v>1356</v>
      </c>
      <c r="R199" s="8"/>
      <c r="S199" s="27" t="s">
        <v>1356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1356</v>
      </c>
      <c r="P200" s="8" t="s">
        <v>1356</v>
      </c>
      <c r="Q200" s="8" t="s">
        <v>1356</v>
      </c>
      <c r="R200" s="8"/>
      <c r="S200" s="27" t="s">
        <v>1356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27</v>
      </c>
      <c r="M203" s="17">
        <f t="shared" si="15"/>
        <v>3</v>
      </c>
      <c r="N203" s="18">
        <f t="shared" si="16"/>
        <v>0.9</v>
      </c>
      <c r="O203" s="27"/>
      <c r="P203" s="8"/>
      <c r="Q203" s="8" t="s">
        <v>1356</v>
      </c>
      <c r="R203" s="8" t="s">
        <v>1356</v>
      </c>
      <c r="S203" s="27" t="s">
        <v>1356</v>
      </c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1356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1356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25</v>
      </c>
      <c r="M206" s="17">
        <f t="shared" si="15"/>
        <v>5</v>
      </c>
      <c r="N206" s="18">
        <f t="shared" si="16"/>
        <v>0.83333333333333337</v>
      </c>
      <c r="O206" s="27" t="s">
        <v>1356</v>
      </c>
      <c r="P206" s="8" t="s">
        <v>1356</v>
      </c>
      <c r="Q206" s="8" t="s">
        <v>1356</v>
      </c>
      <c r="R206" s="8" t="s">
        <v>1356</v>
      </c>
      <c r="S206" s="27" t="s">
        <v>1356</v>
      </c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25</v>
      </c>
      <c r="M207" s="17">
        <f t="shared" si="15"/>
        <v>5</v>
      </c>
      <c r="N207" s="18">
        <f t="shared" si="16"/>
        <v>0.83333333333333337</v>
      </c>
      <c r="O207" s="27" t="s">
        <v>1356</v>
      </c>
      <c r="P207" s="8" t="s">
        <v>1356</v>
      </c>
      <c r="Q207" s="8" t="s">
        <v>1356</v>
      </c>
      <c r="R207" s="8" t="s">
        <v>1356</v>
      </c>
      <c r="S207" s="27" t="s">
        <v>1356</v>
      </c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1356</v>
      </c>
      <c r="P208" s="8" t="s">
        <v>1356</v>
      </c>
      <c r="Q208" s="8" t="s">
        <v>1356</v>
      </c>
      <c r="R208" s="8" t="s">
        <v>1356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26</v>
      </c>
      <c r="M209" s="17">
        <f t="shared" si="15"/>
        <v>4</v>
      </c>
      <c r="N209" s="18">
        <f t="shared" si="16"/>
        <v>0.8666666666666667</v>
      </c>
      <c r="O209" s="27"/>
      <c r="P209" s="8" t="s">
        <v>1356</v>
      </c>
      <c r="Q209" s="8" t="s">
        <v>1356</v>
      </c>
      <c r="R209" s="8" t="s">
        <v>1356</v>
      </c>
      <c r="S209" s="27" t="s">
        <v>1356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26</v>
      </c>
      <c r="M210" s="17">
        <f t="shared" si="15"/>
        <v>4</v>
      </c>
      <c r="N210" s="18">
        <f t="shared" si="16"/>
        <v>0.8666666666666667</v>
      </c>
      <c r="O210" s="27"/>
      <c r="P210" s="8" t="s">
        <v>1356</v>
      </c>
      <c r="Q210" s="8" t="s">
        <v>1356</v>
      </c>
      <c r="R210" s="8" t="s">
        <v>1356</v>
      </c>
      <c r="S210" s="27" t="s">
        <v>1356</v>
      </c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25</v>
      </c>
      <c r="M211" s="17">
        <f t="shared" si="15"/>
        <v>5</v>
      </c>
      <c r="N211" s="18">
        <f t="shared" si="16"/>
        <v>0.83333333333333337</v>
      </c>
      <c r="O211" s="27" t="s">
        <v>1356</v>
      </c>
      <c r="P211" s="8" t="s">
        <v>1356</v>
      </c>
      <c r="Q211" s="8" t="s">
        <v>1356</v>
      </c>
      <c r="R211" s="8" t="s">
        <v>1356</v>
      </c>
      <c r="S211" s="27" t="s">
        <v>1356</v>
      </c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25</v>
      </c>
      <c r="M212" s="17">
        <f t="shared" si="15"/>
        <v>5</v>
      </c>
      <c r="N212" s="18">
        <f t="shared" si="16"/>
        <v>0.83333333333333337</v>
      </c>
      <c r="O212" s="27" t="s">
        <v>1356</v>
      </c>
      <c r="P212" s="8" t="s">
        <v>1356</v>
      </c>
      <c r="Q212" s="8" t="s">
        <v>1356</v>
      </c>
      <c r="R212" s="8" t="s">
        <v>1356</v>
      </c>
      <c r="S212" s="27" t="s">
        <v>1356</v>
      </c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25</v>
      </c>
      <c r="M213" s="17">
        <f t="shared" si="15"/>
        <v>5</v>
      </c>
      <c r="N213" s="18">
        <f t="shared" si="16"/>
        <v>0.83333333333333337</v>
      </c>
      <c r="O213" s="27" t="s">
        <v>1356</v>
      </c>
      <c r="P213" s="8" t="s">
        <v>1356</v>
      </c>
      <c r="Q213" s="8" t="s">
        <v>1356</v>
      </c>
      <c r="R213" s="8" t="s">
        <v>1356</v>
      </c>
      <c r="S213" s="27" t="s">
        <v>1356</v>
      </c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1356</v>
      </c>
      <c r="Q214" s="8" t="s">
        <v>1356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1356</v>
      </c>
      <c r="Q215" s="8" t="s">
        <v>1356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1356</v>
      </c>
      <c r="Q216" s="8" t="s">
        <v>1356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1356</v>
      </c>
      <c r="Q217" s="8" t="s">
        <v>1356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25</v>
      </c>
      <c r="M218" s="17">
        <f t="shared" si="15"/>
        <v>5</v>
      </c>
      <c r="N218" s="18">
        <f t="shared" si="16"/>
        <v>0.83333333333333337</v>
      </c>
      <c r="O218" s="27" t="s">
        <v>1356</v>
      </c>
      <c r="P218" s="8" t="s">
        <v>1356</v>
      </c>
      <c r="Q218" s="8" t="s">
        <v>1356</v>
      </c>
      <c r="R218" s="8" t="s">
        <v>1356</v>
      </c>
      <c r="S218" s="27" t="s">
        <v>1356</v>
      </c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25</v>
      </c>
      <c r="M219" s="17">
        <f t="shared" si="15"/>
        <v>5</v>
      </c>
      <c r="N219" s="18">
        <f t="shared" si="16"/>
        <v>0.83333333333333337</v>
      </c>
      <c r="O219" s="27" t="s">
        <v>1356</v>
      </c>
      <c r="P219" s="8" t="s">
        <v>1356</v>
      </c>
      <c r="Q219" s="8" t="s">
        <v>1356</v>
      </c>
      <c r="R219" s="8" t="s">
        <v>1356</v>
      </c>
      <c r="S219" s="27" t="s">
        <v>1356</v>
      </c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1356</v>
      </c>
      <c r="Q220" s="8" t="s">
        <v>1356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1356</v>
      </c>
      <c r="Q221" s="8" t="s">
        <v>1356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1356</v>
      </c>
      <c r="Q222" s="8" t="s">
        <v>1356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1356</v>
      </c>
      <c r="Q223" s="8" t="s">
        <v>1356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28</v>
      </c>
      <c r="M224" s="17">
        <f t="shared" si="15"/>
        <v>2</v>
      </c>
      <c r="N224" s="18">
        <f t="shared" si="16"/>
        <v>0.93333333333333335</v>
      </c>
      <c r="O224" s="27"/>
      <c r="P224" s="8" t="s">
        <v>1356</v>
      </c>
      <c r="Q224" s="8" t="s">
        <v>1356</v>
      </c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28</v>
      </c>
      <c r="M226" s="17">
        <f t="shared" si="15"/>
        <v>2</v>
      </c>
      <c r="N226" s="18">
        <f t="shared" si="16"/>
        <v>0.93333333333333335</v>
      </c>
      <c r="O226" s="27"/>
      <c r="P226" s="8"/>
      <c r="Q226" s="8"/>
      <c r="R226" s="8" t="s">
        <v>1356</v>
      </c>
      <c r="S226" s="27" t="s">
        <v>1356</v>
      </c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25</v>
      </c>
      <c r="M230" s="17">
        <f t="shared" si="15"/>
        <v>5</v>
      </c>
      <c r="N230" s="18">
        <f t="shared" si="16"/>
        <v>0.83333333333333337</v>
      </c>
      <c r="O230" s="27" t="s">
        <v>1356</v>
      </c>
      <c r="P230" s="8" t="s">
        <v>1356</v>
      </c>
      <c r="Q230" s="8" t="s">
        <v>1356</v>
      </c>
      <c r="R230" s="8" t="s">
        <v>1356</v>
      </c>
      <c r="S230" s="27" t="s">
        <v>1356</v>
      </c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25</v>
      </c>
      <c r="M231" s="17">
        <f t="shared" si="15"/>
        <v>5</v>
      </c>
      <c r="N231" s="18">
        <f t="shared" si="16"/>
        <v>0.83333333333333337</v>
      </c>
      <c r="O231" s="27" t="s">
        <v>1356</v>
      </c>
      <c r="P231" s="8" t="s">
        <v>1356</v>
      </c>
      <c r="Q231" s="8" t="s">
        <v>1356</v>
      </c>
      <c r="R231" s="8" t="s">
        <v>1356</v>
      </c>
      <c r="S231" s="27" t="s">
        <v>1356</v>
      </c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25</v>
      </c>
      <c r="M232" s="17">
        <f t="shared" si="15"/>
        <v>5</v>
      </c>
      <c r="N232" s="18">
        <f t="shared" si="16"/>
        <v>0.83333333333333337</v>
      </c>
      <c r="O232" s="27" t="s">
        <v>1356</v>
      </c>
      <c r="P232" s="8" t="s">
        <v>1356</v>
      </c>
      <c r="Q232" s="8" t="s">
        <v>1356</v>
      </c>
      <c r="R232" s="8" t="s">
        <v>1356</v>
      </c>
      <c r="S232" s="27" t="s">
        <v>1356</v>
      </c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1356</v>
      </c>
      <c r="P251" s="8" t="s">
        <v>1356</v>
      </c>
      <c r="Q251" s="8" t="s">
        <v>1356</v>
      </c>
      <c r="R251" s="8" t="s">
        <v>1356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1356</v>
      </c>
      <c r="P252" s="8" t="s">
        <v>1356</v>
      </c>
      <c r="Q252" s="8" t="s">
        <v>1356</v>
      </c>
      <c r="R252" s="8" t="s">
        <v>1356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1356</v>
      </c>
      <c r="P253" s="8" t="s">
        <v>1356</v>
      </c>
      <c r="Q253" s="8" t="s">
        <v>1356</v>
      </c>
      <c r="R253" s="8" t="s">
        <v>1356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1356</v>
      </c>
      <c r="P254" s="8" t="s">
        <v>1356</v>
      </c>
      <c r="Q254" s="8" t="s">
        <v>1356</v>
      </c>
      <c r="R254" s="8" t="s">
        <v>1356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1356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25</v>
      </c>
      <c r="M263" s="17">
        <f t="shared" ref="M263:M326" si="19">COUNTIF(O263:AP263,"APAGADO")</f>
        <v>5</v>
      </c>
      <c r="N263" s="18">
        <f t="shared" ref="N263:N326" si="20">(L263)/(M263+L263)</f>
        <v>0.83333333333333337</v>
      </c>
      <c r="O263" s="27" t="s">
        <v>1356</v>
      </c>
      <c r="P263" s="8" t="s">
        <v>1356</v>
      </c>
      <c r="Q263" s="8" t="s">
        <v>1356</v>
      </c>
      <c r="R263" s="8" t="s">
        <v>1356</v>
      </c>
      <c r="S263" s="27" t="s">
        <v>1356</v>
      </c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25</v>
      </c>
      <c r="M264" s="17">
        <f t="shared" si="19"/>
        <v>5</v>
      </c>
      <c r="N264" s="18">
        <f t="shared" si="20"/>
        <v>0.83333333333333337</v>
      </c>
      <c r="O264" s="27" t="s">
        <v>1356</v>
      </c>
      <c r="P264" s="8" t="s">
        <v>1356</v>
      </c>
      <c r="Q264" s="8" t="s">
        <v>1356</v>
      </c>
      <c r="R264" s="8" t="s">
        <v>1356</v>
      </c>
      <c r="S264" s="27" t="s">
        <v>1356</v>
      </c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25</v>
      </c>
      <c r="M265" s="17">
        <f t="shared" si="19"/>
        <v>5</v>
      </c>
      <c r="N265" s="18">
        <f t="shared" si="20"/>
        <v>0.83333333333333337</v>
      </c>
      <c r="O265" s="27" t="s">
        <v>1356</v>
      </c>
      <c r="P265" s="8" t="s">
        <v>1356</v>
      </c>
      <c r="Q265" s="8" t="s">
        <v>1356</v>
      </c>
      <c r="R265" s="8" t="s">
        <v>1356</v>
      </c>
      <c r="S265" s="27" t="s">
        <v>1356</v>
      </c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25</v>
      </c>
      <c r="M266" s="17">
        <f t="shared" si="19"/>
        <v>5</v>
      </c>
      <c r="N266" s="18">
        <f t="shared" si="20"/>
        <v>0.83333333333333337</v>
      </c>
      <c r="O266" s="27" t="s">
        <v>1356</v>
      </c>
      <c r="P266" s="8" t="s">
        <v>1356</v>
      </c>
      <c r="Q266" s="8" t="s">
        <v>1356</v>
      </c>
      <c r="R266" s="8" t="s">
        <v>1356</v>
      </c>
      <c r="S266" s="27" t="s">
        <v>1356</v>
      </c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1356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30</v>
      </c>
      <c r="M277" s="17">
        <f t="shared" si="19"/>
        <v>0</v>
      </c>
      <c r="N277" s="18">
        <f t="shared" si="20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29</v>
      </c>
      <c r="M281" s="17">
        <f t="shared" si="19"/>
        <v>1</v>
      </c>
      <c r="N281" s="18">
        <f t="shared" si="20"/>
        <v>0.96666666666666667</v>
      </c>
      <c r="O281" s="27"/>
      <c r="P281" s="8"/>
      <c r="Q281" s="8"/>
      <c r="R281" s="8" t="s">
        <v>1356</v>
      </c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29</v>
      </c>
      <c r="M282" s="17">
        <f t="shared" si="19"/>
        <v>1</v>
      </c>
      <c r="N282" s="18">
        <f t="shared" si="20"/>
        <v>0.96666666666666667</v>
      </c>
      <c r="O282" s="27"/>
      <c r="P282" s="8" t="s">
        <v>1356</v>
      </c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1356</v>
      </c>
      <c r="Q286" s="8" t="s">
        <v>1356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1356</v>
      </c>
      <c r="Q287" s="8" t="s">
        <v>1356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28</v>
      </c>
      <c r="M300" s="17">
        <f t="shared" si="19"/>
        <v>2</v>
      </c>
      <c r="N300" s="18">
        <f t="shared" si="20"/>
        <v>0.93333333333333335</v>
      </c>
      <c r="O300" s="27"/>
      <c r="P300" s="8"/>
      <c r="Q300" s="8"/>
      <c r="R300" s="8" t="s">
        <v>1356</v>
      </c>
      <c r="S300" s="27" t="s">
        <v>1356</v>
      </c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25</v>
      </c>
      <c r="M303" s="17">
        <f t="shared" si="19"/>
        <v>5</v>
      </c>
      <c r="N303" s="18">
        <f t="shared" si="20"/>
        <v>0.83333333333333337</v>
      </c>
      <c r="O303" s="27" t="s">
        <v>1356</v>
      </c>
      <c r="P303" s="8" t="s">
        <v>1356</v>
      </c>
      <c r="Q303" s="8" t="s">
        <v>1356</v>
      </c>
      <c r="R303" s="8" t="s">
        <v>1356</v>
      </c>
      <c r="S303" s="27" t="s">
        <v>1356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30</v>
      </c>
      <c r="M322" s="17">
        <f t="shared" si="19"/>
        <v>0</v>
      </c>
      <c r="N322" s="18">
        <f t="shared" si="20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30</v>
      </c>
      <c r="M330" s="17">
        <f t="shared" si="22"/>
        <v>0</v>
      </c>
      <c r="N330" s="18">
        <f t="shared" si="23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30</v>
      </c>
      <c r="M331" s="17">
        <f t="shared" si="22"/>
        <v>0</v>
      </c>
      <c r="N331" s="18">
        <f t="shared" si="23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1356</v>
      </c>
      <c r="Q345" s="8" t="s">
        <v>1356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1356</v>
      </c>
      <c r="Q346" s="8" t="s">
        <v>1356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1356</v>
      </c>
      <c r="Q347" s="8" t="s">
        <v>1356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1356</v>
      </c>
      <c r="Q348" s="8" t="s">
        <v>1356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1356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1356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25</v>
      </c>
      <c r="M352" s="17">
        <f t="shared" si="22"/>
        <v>5</v>
      </c>
      <c r="N352" s="18">
        <f t="shared" si="23"/>
        <v>0.83333333333333337</v>
      </c>
      <c r="O352" s="27" t="s">
        <v>1356</v>
      </c>
      <c r="P352" s="8" t="s">
        <v>1356</v>
      </c>
      <c r="Q352" s="8" t="s">
        <v>1356</v>
      </c>
      <c r="R352" s="8" t="s">
        <v>1356</v>
      </c>
      <c r="S352" s="27" t="s">
        <v>1356</v>
      </c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271</v>
      </c>
      <c r="B355" s="62"/>
      <c r="C355" s="63" t="s">
        <v>874</v>
      </c>
      <c r="D355" s="62" t="s">
        <v>929</v>
      </c>
      <c r="E355" t="s">
        <v>19</v>
      </c>
      <c r="F355" t="s">
        <v>36</v>
      </c>
      <c r="G355" t="s">
        <v>875</v>
      </c>
      <c r="H355" t="s">
        <v>876</v>
      </c>
      <c r="I355" s="16">
        <v>-348339360000</v>
      </c>
      <c r="J355" s="16">
        <v>-582778770000</v>
      </c>
      <c r="K355" s="16" t="s">
        <v>1360</v>
      </c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25</v>
      </c>
      <c r="M359" s="17">
        <f t="shared" si="22"/>
        <v>5</v>
      </c>
      <c r="N359" s="18">
        <f t="shared" si="23"/>
        <v>0.83333333333333337</v>
      </c>
      <c r="O359" s="27" t="s">
        <v>1356</v>
      </c>
      <c r="P359" s="8" t="s">
        <v>1356</v>
      </c>
      <c r="Q359" s="8" t="s">
        <v>1356</v>
      </c>
      <c r="R359" s="8" t="s">
        <v>1356</v>
      </c>
      <c r="S359" s="27" t="s">
        <v>1356</v>
      </c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25</v>
      </c>
      <c r="M360" s="17">
        <f t="shared" si="22"/>
        <v>5</v>
      </c>
      <c r="N360" s="18">
        <f t="shared" si="23"/>
        <v>0.83333333333333337</v>
      </c>
      <c r="O360" s="27" t="s">
        <v>1356</v>
      </c>
      <c r="P360" s="8" t="s">
        <v>1356</v>
      </c>
      <c r="Q360" s="8" t="s">
        <v>1356</v>
      </c>
      <c r="R360" s="8" t="s">
        <v>1356</v>
      </c>
      <c r="S360" s="27" t="s">
        <v>1356</v>
      </c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25</v>
      </c>
      <c r="M361" s="17">
        <f t="shared" si="22"/>
        <v>5</v>
      </c>
      <c r="N361" s="18">
        <f t="shared" si="23"/>
        <v>0.83333333333333337</v>
      </c>
      <c r="O361" s="27" t="s">
        <v>1356</v>
      </c>
      <c r="P361" s="8" t="s">
        <v>1356</v>
      </c>
      <c r="Q361" s="8" t="s">
        <v>1356</v>
      </c>
      <c r="R361" s="8" t="s">
        <v>1356</v>
      </c>
      <c r="S361" s="27" t="s">
        <v>1356</v>
      </c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25</v>
      </c>
      <c r="M362" s="17">
        <f t="shared" si="22"/>
        <v>5</v>
      </c>
      <c r="N362" s="18">
        <f t="shared" si="23"/>
        <v>0.83333333333333337</v>
      </c>
      <c r="O362" s="27" t="s">
        <v>1356</v>
      </c>
      <c r="P362" s="8" t="s">
        <v>1356</v>
      </c>
      <c r="Q362" s="8" t="s">
        <v>1356</v>
      </c>
      <c r="R362" s="8" t="s">
        <v>1356</v>
      </c>
      <c r="S362" s="27" t="s">
        <v>1356</v>
      </c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30</v>
      </c>
      <c r="M363" s="17">
        <f t="shared" si="22"/>
        <v>0</v>
      </c>
      <c r="N363" s="18">
        <f t="shared" si="23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1356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1356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1356</v>
      </c>
      <c r="Q373" s="27" t="s">
        <v>1356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1356</v>
      </c>
      <c r="Q374" s="27" t="s">
        <v>1356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1356</v>
      </c>
      <c r="Q375" s="27" t="s">
        <v>1356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1356</v>
      </c>
      <c r="Q376" s="27" t="s">
        <v>1356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1353</v>
      </c>
      <c r="D378" s="62" t="s">
        <v>1355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1361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1356</v>
      </c>
      <c r="Q378" s="27" t="s">
        <v>1356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1354</v>
      </c>
      <c r="D379" s="62" t="s">
        <v>1355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1362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1356</v>
      </c>
      <c r="Q379" s="27" t="s">
        <v>1356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26" priority="2136" operator="lessThan">
      <formula>0.8</formula>
    </cfRule>
    <cfRule type="cellIs" dxfId="72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2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23" priority="2131" operator="notContains" text="Caida">
      <formula>ISERROR(SEARCH("Caida",O95))</formula>
    </cfRule>
    <cfRule type="containsText" dxfId="722" priority="2132" operator="containsText" text="Caida">
      <formula>NOT(ISERROR(SEARCH("Caida",O95)))</formula>
    </cfRule>
  </conditionalFormatting>
  <conditionalFormatting sqref="E282:K282">
    <cfRule type="containsText" dxfId="721" priority="2104" operator="containsText" text="Radio">
      <formula>NOT(ISERROR(SEARCH("Radio",E282)))</formula>
    </cfRule>
  </conditionalFormatting>
  <conditionalFormatting sqref="E283:K283">
    <cfRule type="containsText" dxfId="720" priority="2079" operator="containsText" text="Radio">
      <formula>NOT(ISERROR(SEARCH("Radio",E283)))</formula>
    </cfRule>
  </conditionalFormatting>
  <conditionalFormatting sqref="E4:K4">
    <cfRule type="containsText" dxfId="719" priority="2054" operator="containsText" text="Radio">
      <formula>NOT(ISERROR(SEARCH("Radio",E4)))</formula>
    </cfRule>
  </conditionalFormatting>
  <conditionalFormatting sqref="E231:K231">
    <cfRule type="containsText" dxfId="718" priority="2053" operator="containsText" text="Radio">
      <formula>NOT(ISERROR(SEARCH("Radio",E231)))</formula>
    </cfRule>
  </conditionalFormatting>
  <conditionalFormatting sqref="E232:K232">
    <cfRule type="containsText" dxfId="717" priority="2028" operator="containsText" text="Radio">
      <formula>NOT(ISERROR(SEARCH("Radio",E232)))</formula>
    </cfRule>
  </conditionalFormatting>
  <conditionalFormatting sqref="E233:K233">
    <cfRule type="containsText" dxfId="716" priority="2003" operator="containsText" text="Radio">
      <formula>NOT(ISERROR(SEARCH("Radio",E233)))</formula>
    </cfRule>
  </conditionalFormatting>
  <conditionalFormatting sqref="E234:K234">
    <cfRule type="containsText" dxfId="715" priority="1978" operator="containsText" text="Radio">
      <formula>NOT(ISERROR(SEARCH("Radio",E234)))</formula>
    </cfRule>
  </conditionalFormatting>
  <conditionalFormatting sqref="E235:K235">
    <cfRule type="containsText" dxfId="714" priority="1953" operator="containsText" text="Radio">
      <formula>NOT(ISERROR(SEARCH("Radio",E235)))</formula>
    </cfRule>
  </conditionalFormatting>
  <conditionalFormatting sqref="E335:K335">
    <cfRule type="containsText" dxfId="713" priority="1904" operator="containsText" text="Radio">
      <formula>NOT(ISERROR(SEARCH("Radio",E335)))</formula>
    </cfRule>
  </conditionalFormatting>
  <conditionalFormatting sqref="E336:K336">
    <cfRule type="containsText" dxfId="712" priority="1879" operator="containsText" text="Radio">
      <formula>NOT(ISERROR(SEARCH("Radio",E336)))</formula>
    </cfRule>
  </conditionalFormatting>
  <conditionalFormatting sqref="E237:K237">
    <cfRule type="containsText" dxfId="711" priority="1854" operator="containsText" text="Radio">
      <formula>NOT(ISERROR(SEARCH("Radio",E237)))</formula>
    </cfRule>
  </conditionalFormatting>
  <conditionalFormatting sqref="E238:K238">
    <cfRule type="containsText" dxfId="710" priority="1829" operator="containsText" text="Radio">
      <formula>NOT(ISERROR(SEARCH("Radio",E238)))</formula>
    </cfRule>
  </conditionalFormatting>
  <conditionalFormatting sqref="E33:K35">
    <cfRule type="containsText" dxfId="709" priority="1804" operator="containsText" text="Radio">
      <formula>NOT(ISERROR(SEARCH("Radio",E33)))</formula>
    </cfRule>
  </conditionalFormatting>
  <conditionalFormatting sqref="E239:K239">
    <cfRule type="containsText" dxfId="708" priority="1779" operator="containsText" text="Radio">
      <formula>NOT(ISERROR(SEARCH("Radio",E239)))</formula>
    </cfRule>
  </conditionalFormatting>
  <conditionalFormatting sqref="E240:K240">
    <cfRule type="containsText" dxfId="707" priority="1754" operator="containsText" text="Radio">
      <formula>NOT(ISERROR(SEARCH("Radio",E240)))</formula>
    </cfRule>
  </conditionalFormatting>
  <conditionalFormatting sqref="E241:K241">
    <cfRule type="containsText" dxfId="706" priority="1729" operator="containsText" text="Radio">
      <formula>NOT(ISERROR(SEARCH("Radio",E241)))</formula>
    </cfRule>
  </conditionalFormatting>
  <conditionalFormatting sqref="E242:K242">
    <cfRule type="containsText" dxfId="705" priority="1704" operator="containsText" text="Radio">
      <formula>NOT(ISERROR(SEARCH("Radio",E242)))</formula>
    </cfRule>
  </conditionalFormatting>
  <conditionalFormatting sqref="P6:P92 P96:P230">
    <cfRule type="cellIs" dxfId="704" priority="1629" operator="lessThan">
      <formula>0.8</formula>
    </cfRule>
    <cfRule type="cellIs" dxfId="703" priority="1630" operator="greaterThan">
      <formula>0.8</formula>
    </cfRule>
  </conditionalFormatting>
  <conditionalFormatting sqref="P6:P92 P96:P230">
    <cfRule type="notContainsText" dxfId="702" priority="1627" operator="notContains" text="Caida">
      <formula>ISERROR(SEARCH("Caida",P6))</formula>
    </cfRule>
    <cfRule type="containsText" dxfId="701" priority="1628" operator="containsText" text="Caida">
      <formula>NOT(ISERROR(SEARCH("Caida",P6)))</formula>
    </cfRule>
  </conditionalFormatting>
  <conditionalFormatting sqref="P337:P366 P284:P334">
    <cfRule type="cellIs" dxfId="700" priority="1625" operator="lessThan">
      <formula>0.8</formula>
    </cfRule>
    <cfRule type="cellIs" dxfId="699" priority="1626" operator="greaterThan">
      <formula>0.8</formula>
    </cfRule>
  </conditionalFormatting>
  <conditionalFormatting sqref="P337:P366 P284:P334 P391:P1048576">
    <cfRule type="notContainsText" dxfId="698" priority="1623" operator="notContains" text="Caida">
      <formula>ISERROR(SEARCH("Caida",P284))</formula>
    </cfRule>
    <cfRule type="containsText" dxfId="697" priority="1624" operator="containsText" text="Caida">
      <formula>NOT(ISERROR(SEARCH("Caida",P284)))</formula>
    </cfRule>
  </conditionalFormatting>
  <conditionalFormatting sqref="O391:O1048576">
    <cfRule type="notContainsText" dxfId="696" priority="1672" operator="notContains" text="Caida">
      <formula>ISERROR(SEARCH("Caida",O391))</formula>
    </cfRule>
    <cfRule type="containsText" dxfId="695" priority="1673" operator="containsText" text="Caida">
      <formula>NOT(ISERROR(SEARCH("Caida",O391)))</formula>
    </cfRule>
  </conditionalFormatting>
  <conditionalFormatting sqref="P336">
    <cfRule type="cellIs" dxfId="694" priority="1584" operator="lessThan">
      <formula>0.8</formula>
    </cfRule>
    <cfRule type="cellIs" dxfId="693" priority="1585" operator="greaterThan">
      <formula>0.8</formula>
    </cfRule>
  </conditionalFormatting>
  <conditionalFormatting sqref="P336">
    <cfRule type="notContainsText" dxfId="692" priority="1582" operator="notContains" text="Caida">
      <formula>ISERROR(SEARCH("Caida",P336))</formula>
    </cfRule>
    <cfRule type="containsText" dxfId="691" priority="1583" operator="containsText" text="Caida">
      <formula>NOT(ISERROR(SEARCH("Caida",P336)))</formula>
    </cfRule>
  </conditionalFormatting>
  <conditionalFormatting sqref="P22">
    <cfRule type="containsText" dxfId="69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689" priority="1620" operator="lessThan">
      <formula>0.8</formula>
    </cfRule>
    <cfRule type="cellIs" dxfId="688" priority="1621" operator="greaterThan">
      <formula>0.8</formula>
    </cfRule>
  </conditionalFormatting>
  <conditionalFormatting sqref="P282">
    <cfRule type="notContainsText" dxfId="687" priority="1618" operator="notContains" text="Caida">
      <formula>ISERROR(SEARCH("Caida",P282))</formula>
    </cfRule>
    <cfRule type="containsText" dxfId="686" priority="1619" operator="containsText" text="Caida">
      <formula>NOT(ISERROR(SEARCH("Caida",P282)))</formula>
    </cfRule>
  </conditionalFormatting>
  <conditionalFormatting sqref="P283">
    <cfRule type="cellIs" dxfId="685" priority="1616" operator="lessThan">
      <formula>0.8</formula>
    </cfRule>
    <cfRule type="cellIs" dxfId="684" priority="1617" operator="greaterThan">
      <formula>0.8</formula>
    </cfRule>
  </conditionalFormatting>
  <conditionalFormatting sqref="P283">
    <cfRule type="notContainsText" dxfId="683" priority="1614" operator="notContains" text="Caida">
      <formula>ISERROR(SEARCH("Caida",P283))</formula>
    </cfRule>
    <cfRule type="containsText" dxfId="682" priority="1615" operator="containsText" text="Caida">
      <formula>NOT(ISERROR(SEARCH("Caida",P283)))</formula>
    </cfRule>
  </conditionalFormatting>
  <conditionalFormatting sqref="P5">
    <cfRule type="cellIs" dxfId="681" priority="1612" operator="lessThan">
      <formula>0.8</formula>
    </cfRule>
    <cfRule type="cellIs" dxfId="680" priority="1613" operator="greaterThan">
      <formula>0.8</formula>
    </cfRule>
  </conditionalFormatting>
  <conditionalFormatting sqref="P5">
    <cfRule type="notContainsText" dxfId="679" priority="1610" operator="notContains" text="Caida">
      <formula>ISERROR(SEARCH("Caida",P5))</formula>
    </cfRule>
    <cfRule type="containsText" dxfId="678" priority="1611" operator="containsText" text="Caida">
      <formula>NOT(ISERROR(SEARCH("Caida",P5)))</formula>
    </cfRule>
  </conditionalFormatting>
  <conditionalFormatting sqref="P231">
    <cfRule type="cellIs" dxfId="677" priority="1608" operator="lessThan">
      <formula>0.8</formula>
    </cfRule>
    <cfRule type="cellIs" dxfId="676" priority="1609" operator="greaterThan">
      <formula>0.8</formula>
    </cfRule>
  </conditionalFormatting>
  <conditionalFormatting sqref="P231">
    <cfRule type="notContainsText" dxfId="675" priority="1606" operator="notContains" text="Caida">
      <formula>ISERROR(SEARCH("Caida",P231))</formula>
    </cfRule>
    <cfRule type="containsText" dxfId="674" priority="1607" operator="containsText" text="Caida">
      <formula>NOT(ISERROR(SEARCH("Caida",P231)))</formula>
    </cfRule>
  </conditionalFormatting>
  <conditionalFormatting sqref="P232">
    <cfRule type="cellIs" dxfId="673" priority="1604" operator="lessThan">
      <formula>0.8</formula>
    </cfRule>
    <cfRule type="cellIs" dxfId="672" priority="1605" operator="greaterThan">
      <formula>0.8</formula>
    </cfRule>
  </conditionalFormatting>
  <conditionalFormatting sqref="P232">
    <cfRule type="notContainsText" dxfId="671" priority="1602" operator="notContains" text="Caida">
      <formula>ISERROR(SEARCH("Caida",P232))</formula>
    </cfRule>
    <cfRule type="containsText" dxfId="670" priority="1603" operator="containsText" text="Caida">
      <formula>NOT(ISERROR(SEARCH("Caida",P232)))</formula>
    </cfRule>
  </conditionalFormatting>
  <conditionalFormatting sqref="P233">
    <cfRule type="cellIs" dxfId="669" priority="1600" operator="lessThan">
      <formula>0.8</formula>
    </cfRule>
    <cfRule type="cellIs" dxfId="668" priority="1601" operator="greaterThan">
      <formula>0.8</formula>
    </cfRule>
  </conditionalFormatting>
  <conditionalFormatting sqref="P233">
    <cfRule type="notContainsText" dxfId="667" priority="1598" operator="notContains" text="Caida">
      <formula>ISERROR(SEARCH("Caida",P233))</formula>
    </cfRule>
    <cfRule type="containsText" dxfId="666" priority="1599" operator="containsText" text="Caida">
      <formula>NOT(ISERROR(SEARCH("Caida",P233)))</formula>
    </cfRule>
  </conditionalFormatting>
  <conditionalFormatting sqref="P234">
    <cfRule type="cellIs" dxfId="665" priority="1596" operator="lessThan">
      <formula>0.8</formula>
    </cfRule>
    <cfRule type="cellIs" dxfId="664" priority="1597" operator="greaterThan">
      <formula>0.8</formula>
    </cfRule>
  </conditionalFormatting>
  <conditionalFormatting sqref="P234">
    <cfRule type="notContainsText" dxfId="663" priority="1594" operator="notContains" text="Caida">
      <formula>ISERROR(SEARCH("Caida",P234))</formula>
    </cfRule>
    <cfRule type="containsText" dxfId="662" priority="1595" operator="containsText" text="Caida">
      <formula>NOT(ISERROR(SEARCH("Caida",P234)))</formula>
    </cfRule>
  </conditionalFormatting>
  <conditionalFormatting sqref="P235">
    <cfRule type="cellIs" dxfId="661" priority="1592" operator="lessThan">
      <formula>0.8</formula>
    </cfRule>
    <cfRule type="cellIs" dxfId="660" priority="1593" operator="greaterThan">
      <formula>0.8</formula>
    </cfRule>
  </conditionalFormatting>
  <conditionalFormatting sqref="P235">
    <cfRule type="notContainsText" dxfId="659" priority="1590" operator="notContains" text="Caida">
      <formula>ISERROR(SEARCH("Caida",P235))</formula>
    </cfRule>
    <cfRule type="containsText" dxfId="658" priority="1591" operator="containsText" text="Caida">
      <formula>NOT(ISERROR(SEARCH("Caida",P235)))</formula>
    </cfRule>
  </conditionalFormatting>
  <conditionalFormatting sqref="P335">
    <cfRule type="cellIs" dxfId="657" priority="1588" operator="lessThan">
      <formula>0.8</formula>
    </cfRule>
    <cfRule type="cellIs" dxfId="656" priority="1589" operator="greaterThan">
      <formula>0.8</formula>
    </cfRule>
  </conditionalFormatting>
  <conditionalFormatting sqref="P335">
    <cfRule type="notContainsText" dxfId="655" priority="1586" operator="notContains" text="Caida">
      <formula>ISERROR(SEARCH("Caida",P335))</formula>
    </cfRule>
    <cfRule type="containsText" dxfId="654" priority="1587" operator="containsText" text="Caida">
      <formula>NOT(ISERROR(SEARCH("Caida",P335)))</formula>
    </cfRule>
  </conditionalFormatting>
  <conditionalFormatting sqref="Q6:Q92 Q96:Q230">
    <cfRule type="cellIs" dxfId="653" priority="1580" operator="lessThan">
      <formula>0.8</formula>
    </cfRule>
    <cfRule type="cellIs" dxfId="652" priority="1581" operator="greaterThan">
      <formula>0.8</formula>
    </cfRule>
  </conditionalFormatting>
  <conditionalFormatting sqref="Q6:Q92 Q96:Q230">
    <cfRule type="notContainsText" dxfId="651" priority="1578" operator="notContains" text="Caida">
      <formula>ISERROR(SEARCH("Caida",Q6))</formula>
    </cfRule>
    <cfRule type="containsText" dxfId="650" priority="1579" operator="containsText" text="Caida">
      <formula>NOT(ISERROR(SEARCH("Caida",Q6)))</formula>
    </cfRule>
  </conditionalFormatting>
  <conditionalFormatting sqref="Q336">
    <cfRule type="cellIs" dxfId="649" priority="1535" operator="lessThan">
      <formula>0.8</formula>
    </cfRule>
    <cfRule type="cellIs" dxfId="648" priority="1536" operator="greaterThan">
      <formula>0.8</formula>
    </cfRule>
  </conditionalFormatting>
  <conditionalFormatting sqref="Q336">
    <cfRule type="notContainsText" dxfId="647" priority="1533" operator="notContains" text="Caida">
      <formula>ISERROR(SEARCH("Caida",Q336))</formula>
    </cfRule>
    <cfRule type="containsText" dxfId="646" priority="1534" operator="containsText" text="Caida">
      <formula>NOT(ISERROR(SEARCH("Caida",Q336)))</formula>
    </cfRule>
  </conditionalFormatting>
  <conditionalFormatting sqref="Q337:Q366 Q284:Q334">
    <cfRule type="cellIs" dxfId="645" priority="1576" operator="lessThan">
      <formula>0.8</formula>
    </cfRule>
    <cfRule type="cellIs" dxfId="644" priority="1577" operator="greaterThan">
      <formula>0.8</formula>
    </cfRule>
  </conditionalFormatting>
  <conditionalFormatting sqref="Q337:Q366 Q284:Q334 Q391:Q1048576">
    <cfRule type="notContainsText" dxfId="643" priority="1574" operator="notContains" text="Caida">
      <formula>ISERROR(SEARCH("Caida",Q284))</formula>
    </cfRule>
    <cfRule type="containsText" dxfId="642" priority="1575" operator="containsText" text="Caida">
      <formula>NOT(ISERROR(SEARCH("Caida",Q284)))</formula>
    </cfRule>
  </conditionalFormatting>
  <conditionalFormatting sqref="Q22">
    <cfRule type="containsText" dxfId="64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40" priority="1571" operator="lessThan">
      <formula>0.8</formula>
    </cfRule>
    <cfRule type="cellIs" dxfId="639" priority="1572" operator="greaterThan">
      <formula>0.8</formula>
    </cfRule>
  </conditionalFormatting>
  <conditionalFormatting sqref="Q282">
    <cfRule type="notContainsText" dxfId="638" priority="1569" operator="notContains" text="Caida">
      <formula>ISERROR(SEARCH("Caida",Q282))</formula>
    </cfRule>
    <cfRule type="containsText" dxfId="637" priority="1570" operator="containsText" text="Caida">
      <formula>NOT(ISERROR(SEARCH("Caida",Q282)))</formula>
    </cfRule>
  </conditionalFormatting>
  <conditionalFormatting sqref="Q283">
    <cfRule type="cellIs" dxfId="636" priority="1567" operator="lessThan">
      <formula>0.8</formula>
    </cfRule>
    <cfRule type="cellIs" dxfId="635" priority="1568" operator="greaterThan">
      <formula>0.8</formula>
    </cfRule>
  </conditionalFormatting>
  <conditionalFormatting sqref="Q283">
    <cfRule type="notContainsText" dxfId="634" priority="1565" operator="notContains" text="Caida">
      <formula>ISERROR(SEARCH("Caida",Q283))</formula>
    </cfRule>
    <cfRule type="containsText" dxfId="633" priority="1566" operator="containsText" text="Caida">
      <formula>NOT(ISERROR(SEARCH("Caida",Q283)))</formula>
    </cfRule>
  </conditionalFormatting>
  <conditionalFormatting sqref="Q5">
    <cfRule type="cellIs" dxfId="632" priority="1563" operator="lessThan">
      <formula>0.8</formula>
    </cfRule>
    <cfRule type="cellIs" dxfId="631" priority="1564" operator="greaterThan">
      <formula>0.8</formula>
    </cfRule>
  </conditionalFormatting>
  <conditionalFormatting sqref="Q5">
    <cfRule type="notContainsText" dxfId="630" priority="1561" operator="notContains" text="Caida">
      <formula>ISERROR(SEARCH("Caida",Q5))</formula>
    </cfRule>
    <cfRule type="containsText" dxfId="629" priority="1562" operator="containsText" text="Caida">
      <formula>NOT(ISERROR(SEARCH("Caida",Q5)))</formula>
    </cfRule>
  </conditionalFormatting>
  <conditionalFormatting sqref="Q231">
    <cfRule type="cellIs" dxfId="628" priority="1559" operator="lessThan">
      <formula>0.8</formula>
    </cfRule>
    <cfRule type="cellIs" dxfId="627" priority="1560" operator="greaterThan">
      <formula>0.8</formula>
    </cfRule>
  </conditionalFormatting>
  <conditionalFormatting sqref="Q231">
    <cfRule type="notContainsText" dxfId="626" priority="1557" operator="notContains" text="Caida">
      <formula>ISERROR(SEARCH("Caida",Q231))</formula>
    </cfRule>
    <cfRule type="containsText" dxfId="625" priority="1558" operator="containsText" text="Caida">
      <formula>NOT(ISERROR(SEARCH("Caida",Q231)))</formula>
    </cfRule>
  </conditionalFormatting>
  <conditionalFormatting sqref="Q232">
    <cfRule type="cellIs" dxfId="624" priority="1555" operator="lessThan">
      <formula>0.8</formula>
    </cfRule>
    <cfRule type="cellIs" dxfId="623" priority="1556" operator="greaterThan">
      <formula>0.8</formula>
    </cfRule>
  </conditionalFormatting>
  <conditionalFormatting sqref="Q232">
    <cfRule type="notContainsText" dxfId="622" priority="1553" operator="notContains" text="Caida">
      <formula>ISERROR(SEARCH("Caida",Q232))</formula>
    </cfRule>
    <cfRule type="containsText" dxfId="621" priority="1554" operator="containsText" text="Caida">
      <formula>NOT(ISERROR(SEARCH("Caida",Q232)))</formula>
    </cfRule>
  </conditionalFormatting>
  <conditionalFormatting sqref="Q233">
    <cfRule type="cellIs" dxfId="620" priority="1551" operator="lessThan">
      <formula>0.8</formula>
    </cfRule>
    <cfRule type="cellIs" dxfId="619" priority="1552" operator="greaterThan">
      <formula>0.8</formula>
    </cfRule>
  </conditionalFormatting>
  <conditionalFormatting sqref="Q233">
    <cfRule type="notContainsText" dxfId="618" priority="1549" operator="notContains" text="Caida">
      <formula>ISERROR(SEARCH("Caida",Q233))</formula>
    </cfRule>
    <cfRule type="containsText" dxfId="617" priority="1550" operator="containsText" text="Caida">
      <formula>NOT(ISERROR(SEARCH("Caida",Q233)))</formula>
    </cfRule>
  </conditionalFormatting>
  <conditionalFormatting sqref="Q234">
    <cfRule type="cellIs" dxfId="616" priority="1547" operator="lessThan">
      <formula>0.8</formula>
    </cfRule>
    <cfRule type="cellIs" dxfId="615" priority="1548" operator="greaterThan">
      <formula>0.8</formula>
    </cfRule>
  </conditionalFormatting>
  <conditionalFormatting sqref="Q234">
    <cfRule type="notContainsText" dxfId="614" priority="1545" operator="notContains" text="Caida">
      <formula>ISERROR(SEARCH("Caida",Q234))</formula>
    </cfRule>
    <cfRule type="containsText" dxfId="613" priority="1546" operator="containsText" text="Caida">
      <formula>NOT(ISERROR(SEARCH("Caida",Q234)))</formula>
    </cfRule>
  </conditionalFormatting>
  <conditionalFormatting sqref="Q235">
    <cfRule type="cellIs" dxfId="612" priority="1543" operator="lessThan">
      <formula>0.8</formula>
    </cfRule>
    <cfRule type="cellIs" dxfId="611" priority="1544" operator="greaterThan">
      <formula>0.8</formula>
    </cfRule>
  </conditionalFormatting>
  <conditionalFormatting sqref="Q235">
    <cfRule type="notContainsText" dxfId="610" priority="1541" operator="notContains" text="Caida">
      <formula>ISERROR(SEARCH("Caida",Q235))</formula>
    </cfRule>
    <cfRule type="containsText" dxfId="609" priority="1542" operator="containsText" text="Caida">
      <formula>NOT(ISERROR(SEARCH("Caida",Q235)))</formula>
    </cfRule>
  </conditionalFormatting>
  <conditionalFormatting sqref="Q335">
    <cfRule type="cellIs" dxfId="608" priority="1539" operator="lessThan">
      <formula>0.8</formula>
    </cfRule>
    <cfRule type="cellIs" dxfId="607" priority="1540" operator="greaterThan">
      <formula>0.8</formula>
    </cfRule>
  </conditionalFormatting>
  <conditionalFormatting sqref="Q335">
    <cfRule type="notContainsText" dxfId="606" priority="1537" operator="notContains" text="Caida">
      <formula>ISERROR(SEARCH("Caida",Q335))</formula>
    </cfRule>
    <cfRule type="containsText" dxfId="605" priority="1538" operator="containsText" text="Caida">
      <formula>NOT(ISERROR(SEARCH("Caida",Q335)))</formula>
    </cfRule>
  </conditionalFormatting>
  <conditionalFormatting sqref="R6:R92 R96:R230">
    <cfRule type="cellIs" dxfId="604" priority="1531" operator="lessThan">
      <formula>0.8</formula>
    </cfRule>
    <cfRule type="cellIs" dxfId="603" priority="1532" operator="greaterThan">
      <formula>0.8</formula>
    </cfRule>
  </conditionalFormatting>
  <conditionalFormatting sqref="R6:R92 R96:R230">
    <cfRule type="notContainsText" dxfId="602" priority="1529" operator="notContains" text="Caida">
      <formula>ISERROR(SEARCH("Caida",R6))</formula>
    </cfRule>
    <cfRule type="containsText" dxfId="601" priority="1530" operator="containsText" text="Caida">
      <formula>NOT(ISERROR(SEARCH("Caida",R6)))</formula>
    </cfRule>
  </conditionalFormatting>
  <conditionalFormatting sqref="R336:T336">
    <cfRule type="cellIs" dxfId="600" priority="1486" operator="lessThan">
      <formula>0.8</formula>
    </cfRule>
    <cfRule type="cellIs" dxfId="599" priority="1487" operator="greaterThan">
      <formula>0.8</formula>
    </cfRule>
  </conditionalFormatting>
  <conditionalFormatting sqref="R336:T336">
    <cfRule type="notContainsText" dxfId="598" priority="1484" operator="notContains" text="Caida">
      <formula>ISERROR(SEARCH("Caida",R336))</formula>
    </cfRule>
    <cfRule type="containsText" dxfId="597" priority="1485" operator="containsText" text="Caida">
      <formula>NOT(ISERROR(SEARCH("Caida",R336)))</formula>
    </cfRule>
  </conditionalFormatting>
  <conditionalFormatting sqref="R337:R366 R284:R334">
    <cfRule type="cellIs" dxfId="596" priority="1527" operator="lessThan">
      <formula>0.8</formula>
    </cfRule>
    <cfRule type="cellIs" dxfId="595" priority="1528" operator="greaterThan">
      <formula>0.8</formula>
    </cfRule>
  </conditionalFormatting>
  <conditionalFormatting sqref="R337:R366 R284:R334 R391:R1048576">
    <cfRule type="notContainsText" dxfId="594" priority="1525" operator="notContains" text="Caida">
      <formula>ISERROR(SEARCH("Caida",R284))</formula>
    </cfRule>
    <cfRule type="containsText" dxfId="593" priority="1526" operator="containsText" text="Caida">
      <formula>NOT(ISERROR(SEARCH("Caida",R284)))</formula>
    </cfRule>
  </conditionalFormatting>
  <conditionalFormatting sqref="R22:T22">
    <cfRule type="containsText" dxfId="59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591" priority="1522" operator="lessThan">
      <formula>0.8</formula>
    </cfRule>
    <cfRule type="cellIs" dxfId="590" priority="1523" operator="greaterThan">
      <formula>0.8</formula>
    </cfRule>
  </conditionalFormatting>
  <conditionalFormatting sqref="R282:T282">
    <cfRule type="notContainsText" dxfId="589" priority="1520" operator="notContains" text="Caida">
      <formula>ISERROR(SEARCH("Caida",R282))</formula>
    </cfRule>
    <cfRule type="containsText" dxfId="588" priority="1521" operator="containsText" text="Caida">
      <formula>NOT(ISERROR(SEARCH("Caida",R282)))</formula>
    </cfRule>
  </conditionalFormatting>
  <conditionalFormatting sqref="R283:T283">
    <cfRule type="cellIs" dxfId="587" priority="1518" operator="lessThan">
      <formula>0.8</formula>
    </cfRule>
    <cfRule type="cellIs" dxfId="586" priority="1519" operator="greaterThan">
      <formula>0.8</formula>
    </cfRule>
  </conditionalFormatting>
  <conditionalFormatting sqref="R283:T283">
    <cfRule type="notContainsText" dxfId="585" priority="1516" operator="notContains" text="Caida">
      <formula>ISERROR(SEARCH("Caida",R283))</formula>
    </cfRule>
    <cfRule type="containsText" dxfId="584" priority="1517" operator="containsText" text="Caida">
      <formula>NOT(ISERROR(SEARCH("Caida",R283)))</formula>
    </cfRule>
  </conditionalFormatting>
  <conditionalFormatting sqref="R5:T5">
    <cfRule type="cellIs" dxfId="583" priority="1514" operator="lessThan">
      <formula>0.8</formula>
    </cfRule>
    <cfRule type="cellIs" dxfId="582" priority="1515" operator="greaterThan">
      <formula>0.8</formula>
    </cfRule>
  </conditionalFormatting>
  <conditionalFormatting sqref="R5:T5">
    <cfRule type="notContainsText" dxfId="581" priority="1512" operator="notContains" text="Caida">
      <formula>ISERROR(SEARCH("Caida",R5))</formula>
    </cfRule>
    <cfRule type="containsText" dxfId="580" priority="1513" operator="containsText" text="Caida">
      <formula>NOT(ISERROR(SEARCH("Caida",R5)))</formula>
    </cfRule>
  </conditionalFormatting>
  <conditionalFormatting sqref="R231:T231">
    <cfRule type="cellIs" dxfId="579" priority="1510" operator="lessThan">
      <formula>0.8</formula>
    </cfRule>
    <cfRule type="cellIs" dxfId="578" priority="1511" operator="greaterThan">
      <formula>0.8</formula>
    </cfRule>
  </conditionalFormatting>
  <conditionalFormatting sqref="R231:T231">
    <cfRule type="notContainsText" dxfId="577" priority="1508" operator="notContains" text="Caida">
      <formula>ISERROR(SEARCH("Caida",R231))</formula>
    </cfRule>
    <cfRule type="containsText" dxfId="576" priority="1509" operator="containsText" text="Caida">
      <formula>NOT(ISERROR(SEARCH("Caida",R231)))</formula>
    </cfRule>
  </conditionalFormatting>
  <conditionalFormatting sqref="R232:T232">
    <cfRule type="cellIs" dxfId="575" priority="1506" operator="lessThan">
      <formula>0.8</formula>
    </cfRule>
    <cfRule type="cellIs" dxfId="574" priority="1507" operator="greaterThan">
      <formula>0.8</formula>
    </cfRule>
  </conditionalFormatting>
  <conditionalFormatting sqref="R232:T232">
    <cfRule type="notContainsText" dxfId="573" priority="1504" operator="notContains" text="Caida">
      <formula>ISERROR(SEARCH("Caida",R232))</formula>
    </cfRule>
    <cfRule type="containsText" dxfId="572" priority="1505" operator="containsText" text="Caida">
      <formula>NOT(ISERROR(SEARCH("Caida",R232)))</formula>
    </cfRule>
  </conditionalFormatting>
  <conditionalFormatting sqref="R233:T233">
    <cfRule type="cellIs" dxfId="571" priority="1502" operator="lessThan">
      <formula>0.8</formula>
    </cfRule>
    <cfRule type="cellIs" dxfId="570" priority="1503" operator="greaterThan">
      <formula>0.8</formula>
    </cfRule>
  </conditionalFormatting>
  <conditionalFormatting sqref="R233:T233">
    <cfRule type="notContainsText" dxfId="569" priority="1500" operator="notContains" text="Caida">
      <formula>ISERROR(SEARCH("Caida",R233))</formula>
    </cfRule>
    <cfRule type="containsText" dxfId="568" priority="1501" operator="containsText" text="Caida">
      <formula>NOT(ISERROR(SEARCH("Caida",R233)))</formula>
    </cfRule>
  </conditionalFormatting>
  <conditionalFormatting sqref="R234:T234">
    <cfRule type="cellIs" dxfId="567" priority="1498" operator="lessThan">
      <formula>0.8</formula>
    </cfRule>
    <cfRule type="cellIs" dxfId="566" priority="1499" operator="greaterThan">
      <formula>0.8</formula>
    </cfRule>
  </conditionalFormatting>
  <conditionalFormatting sqref="R234:T234">
    <cfRule type="notContainsText" dxfId="565" priority="1496" operator="notContains" text="Caida">
      <formula>ISERROR(SEARCH("Caida",R234))</formula>
    </cfRule>
    <cfRule type="containsText" dxfId="564" priority="1497" operator="containsText" text="Caida">
      <formula>NOT(ISERROR(SEARCH("Caida",R234)))</formula>
    </cfRule>
  </conditionalFormatting>
  <conditionalFormatting sqref="R235:T235">
    <cfRule type="cellIs" dxfId="563" priority="1494" operator="lessThan">
      <formula>0.8</formula>
    </cfRule>
    <cfRule type="cellIs" dxfId="562" priority="1495" operator="greaterThan">
      <formula>0.8</formula>
    </cfRule>
  </conditionalFormatting>
  <conditionalFormatting sqref="R235:T235">
    <cfRule type="notContainsText" dxfId="561" priority="1492" operator="notContains" text="Caida">
      <formula>ISERROR(SEARCH("Caida",R235))</formula>
    </cfRule>
    <cfRule type="containsText" dxfId="560" priority="1493" operator="containsText" text="Caida">
      <formula>NOT(ISERROR(SEARCH("Caida",R235)))</formula>
    </cfRule>
  </conditionalFormatting>
  <conditionalFormatting sqref="R335:T335">
    <cfRule type="cellIs" dxfId="559" priority="1490" operator="lessThan">
      <formula>0.8</formula>
    </cfRule>
    <cfRule type="cellIs" dxfId="558" priority="1491" operator="greaterThan">
      <formula>0.8</formula>
    </cfRule>
  </conditionalFormatting>
  <conditionalFormatting sqref="R335:T335">
    <cfRule type="notContainsText" dxfId="557" priority="1488" operator="notContains" text="Caida">
      <formula>ISERROR(SEARCH("Caida",R335))</formula>
    </cfRule>
    <cfRule type="containsText" dxfId="556" priority="1489" operator="containsText" text="Caida">
      <formula>NOT(ISERROR(SEARCH("Caida",R335)))</formula>
    </cfRule>
  </conditionalFormatting>
  <conditionalFormatting sqref="S391:S1048576">
    <cfRule type="notContainsText" dxfId="555" priority="1476" operator="notContains" text="Caida">
      <formula>ISERROR(SEARCH("Caida",S391))</formula>
    </cfRule>
    <cfRule type="containsText" dxfId="554" priority="1477" operator="containsText" text="Caida">
      <formula>NOT(ISERROR(SEARCH("Caida",S391)))</formula>
    </cfRule>
  </conditionalFormatting>
  <conditionalFormatting sqref="T391:T1048576">
    <cfRule type="notContainsText" dxfId="553" priority="1427" operator="notContains" text="Caida">
      <formula>ISERROR(SEARCH("Caida",T391))</formula>
    </cfRule>
    <cfRule type="containsText" dxfId="552" priority="1428" operator="containsText" text="Caida">
      <formula>NOT(ISERROR(SEARCH("Caida",T391)))</formula>
    </cfRule>
  </conditionalFormatting>
  <conditionalFormatting sqref="E92:K93">
    <cfRule type="containsText" dxfId="551" priority="1383" operator="containsText" text="Radio">
      <formula>NOT(ISERROR(SEARCH("Radio",E92)))</formula>
    </cfRule>
  </conditionalFormatting>
  <conditionalFormatting sqref="P93:P95">
    <cfRule type="cellIs" dxfId="550" priority="1353" operator="lessThan">
      <formula>0.8</formula>
    </cfRule>
    <cfRule type="cellIs" dxfId="549" priority="1354" operator="greaterThan">
      <formula>0.8</formula>
    </cfRule>
  </conditionalFormatting>
  <conditionalFormatting sqref="P93:P95">
    <cfRule type="notContainsText" dxfId="548" priority="1351" operator="notContains" text="Caida">
      <formula>ISERROR(SEARCH("Caida",P93))</formula>
    </cfRule>
    <cfRule type="containsText" dxfId="547" priority="1352" operator="containsText" text="Caida">
      <formula>NOT(ISERROR(SEARCH("Caida",P93)))</formula>
    </cfRule>
  </conditionalFormatting>
  <conditionalFormatting sqref="Q93:Q95">
    <cfRule type="cellIs" dxfId="546" priority="1349" operator="lessThan">
      <formula>0.8</formula>
    </cfRule>
    <cfRule type="cellIs" dxfId="545" priority="1350" operator="greaterThan">
      <formula>0.8</formula>
    </cfRule>
  </conditionalFormatting>
  <conditionalFormatting sqref="Q93:Q95">
    <cfRule type="notContainsText" dxfId="544" priority="1347" operator="notContains" text="Caida">
      <formula>ISERROR(SEARCH("Caida",Q93))</formula>
    </cfRule>
    <cfRule type="containsText" dxfId="543" priority="1348" operator="containsText" text="Caida">
      <formula>NOT(ISERROR(SEARCH("Caida",Q93)))</formula>
    </cfRule>
  </conditionalFormatting>
  <conditionalFormatting sqref="R93:R95">
    <cfRule type="cellIs" dxfId="542" priority="1345" operator="lessThan">
      <formula>0.8</formula>
    </cfRule>
    <cfRule type="cellIs" dxfId="541" priority="1346" operator="greaterThan">
      <formula>0.8</formula>
    </cfRule>
  </conditionalFormatting>
  <conditionalFormatting sqref="R93:R95">
    <cfRule type="notContainsText" dxfId="540" priority="1343" operator="notContains" text="Caida">
      <formula>ISERROR(SEARCH("Caida",R93))</formula>
    </cfRule>
    <cfRule type="containsText" dxfId="539" priority="1344" operator="containsText" text="Caida">
      <formula>NOT(ISERROR(SEARCH("Caida",R93)))</formula>
    </cfRule>
  </conditionalFormatting>
  <conditionalFormatting sqref="E365:K365">
    <cfRule type="containsText" dxfId="538" priority="1332" operator="containsText" text="Radio">
      <formula>NOT(ISERROR(SEARCH("Radio",E365)))</formula>
    </cfRule>
  </conditionalFormatting>
  <conditionalFormatting sqref="P367">
    <cfRule type="cellIs" dxfId="537" priority="1314" operator="lessThan">
      <formula>0.8</formula>
    </cfRule>
    <cfRule type="cellIs" dxfId="536" priority="1315" operator="greaterThan">
      <formula>0.8</formula>
    </cfRule>
  </conditionalFormatting>
  <conditionalFormatting sqref="P367">
    <cfRule type="notContainsText" dxfId="535" priority="1312" operator="notContains" text="Caida">
      <formula>ISERROR(SEARCH("Caida",P367))</formula>
    </cfRule>
    <cfRule type="containsText" dxfId="534" priority="1313" operator="containsText" text="Caida">
      <formula>NOT(ISERROR(SEARCH("Caida",P367)))</formula>
    </cfRule>
  </conditionalFormatting>
  <conditionalFormatting sqref="Q367">
    <cfRule type="cellIs" dxfId="533" priority="1310" operator="lessThan">
      <formula>0.8</formula>
    </cfRule>
    <cfRule type="cellIs" dxfId="532" priority="1311" operator="greaterThan">
      <formula>0.8</formula>
    </cfRule>
  </conditionalFormatting>
  <conditionalFormatting sqref="Q367">
    <cfRule type="notContainsText" dxfId="531" priority="1308" operator="notContains" text="Caida">
      <formula>ISERROR(SEARCH("Caida",Q367))</formula>
    </cfRule>
    <cfRule type="containsText" dxfId="530" priority="1309" operator="containsText" text="Caida">
      <formula>NOT(ISERROR(SEARCH("Caida",Q367)))</formula>
    </cfRule>
  </conditionalFormatting>
  <conditionalFormatting sqref="R367:T367">
    <cfRule type="cellIs" dxfId="529" priority="1306" operator="lessThan">
      <formula>0.8</formula>
    </cfRule>
    <cfRule type="cellIs" dxfId="528" priority="1307" operator="greaterThan">
      <formula>0.8</formula>
    </cfRule>
  </conditionalFormatting>
  <conditionalFormatting sqref="R367:T367">
    <cfRule type="notContainsText" dxfId="527" priority="1304" operator="notContains" text="Caida">
      <formula>ISERROR(SEARCH("Caida",R367))</formula>
    </cfRule>
    <cfRule type="containsText" dxfId="526" priority="1305" operator="containsText" text="Caida">
      <formula>NOT(ISERROR(SEARCH("Caida",R367)))</formula>
    </cfRule>
  </conditionalFormatting>
  <conditionalFormatting sqref="E366:K366">
    <cfRule type="containsText" dxfId="525" priority="1293" operator="containsText" text="Radio">
      <formula>NOT(ISERROR(SEARCH("Radio",E366)))</formula>
    </cfRule>
  </conditionalFormatting>
  <conditionalFormatting sqref="P368">
    <cfRule type="cellIs" dxfId="524" priority="1275" operator="lessThan">
      <formula>0.8</formula>
    </cfRule>
    <cfRule type="cellIs" dxfId="523" priority="1276" operator="greaterThan">
      <formula>0.8</formula>
    </cfRule>
  </conditionalFormatting>
  <conditionalFormatting sqref="P368">
    <cfRule type="notContainsText" dxfId="522" priority="1273" operator="notContains" text="Caida">
      <formula>ISERROR(SEARCH("Caida",P368))</formula>
    </cfRule>
    <cfRule type="containsText" dxfId="521" priority="1274" operator="containsText" text="Caida">
      <formula>NOT(ISERROR(SEARCH("Caida",P368)))</formula>
    </cfRule>
  </conditionalFormatting>
  <conditionalFormatting sqref="Q368">
    <cfRule type="cellIs" dxfId="520" priority="1271" operator="lessThan">
      <formula>0.8</formula>
    </cfRule>
    <cfRule type="cellIs" dxfId="519" priority="1272" operator="greaterThan">
      <formula>0.8</formula>
    </cfRule>
  </conditionalFormatting>
  <conditionalFormatting sqref="Q368">
    <cfRule type="notContainsText" dxfId="518" priority="1269" operator="notContains" text="Caida">
      <formula>ISERROR(SEARCH("Caida",Q368))</formula>
    </cfRule>
    <cfRule type="containsText" dxfId="517" priority="1270" operator="containsText" text="Caida">
      <formula>NOT(ISERROR(SEARCH("Caida",Q368)))</formula>
    </cfRule>
  </conditionalFormatting>
  <conditionalFormatting sqref="R368:T368">
    <cfRule type="cellIs" dxfId="516" priority="1267" operator="lessThan">
      <formula>0.8</formula>
    </cfRule>
    <cfRule type="cellIs" dxfId="515" priority="1268" operator="greaterThan">
      <formula>0.8</formula>
    </cfRule>
  </conditionalFormatting>
  <conditionalFormatting sqref="R368:T368">
    <cfRule type="notContainsText" dxfId="514" priority="1265" operator="notContains" text="Caida">
      <formula>ISERROR(SEARCH("Caida",R368))</formula>
    </cfRule>
    <cfRule type="containsText" dxfId="513" priority="1266" operator="containsText" text="Caida">
      <formula>NOT(ISERROR(SEARCH("Caida",R368)))</formula>
    </cfRule>
  </conditionalFormatting>
  <conditionalFormatting sqref="E367:K367">
    <cfRule type="containsText" dxfId="512" priority="1254" operator="containsText" text="Radio">
      <formula>NOT(ISERROR(SEARCH("Radio",E367)))</formula>
    </cfRule>
  </conditionalFormatting>
  <conditionalFormatting sqref="P369">
    <cfRule type="cellIs" dxfId="511" priority="1236" operator="lessThan">
      <formula>0.8</formula>
    </cfRule>
    <cfRule type="cellIs" dxfId="510" priority="1237" operator="greaterThan">
      <formula>0.8</formula>
    </cfRule>
  </conditionalFormatting>
  <conditionalFormatting sqref="P369">
    <cfRule type="notContainsText" dxfId="509" priority="1234" operator="notContains" text="Caida">
      <formula>ISERROR(SEARCH("Caida",P369))</formula>
    </cfRule>
    <cfRule type="containsText" dxfId="508" priority="1235" operator="containsText" text="Caida">
      <formula>NOT(ISERROR(SEARCH("Caida",P369)))</formula>
    </cfRule>
  </conditionalFormatting>
  <conditionalFormatting sqref="Q369">
    <cfRule type="cellIs" dxfId="507" priority="1232" operator="lessThan">
      <formula>0.8</formula>
    </cfRule>
    <cfRule type="cellIs" dxfId="506" priority="1233" operator="greaterThan">
      <formula>0.8</formula>
    </cfRule>
  </conditionalFormatting>
  <conditionalFormatting sqref="Q369">
    <cfRule type="notContainsText" dxfId="505" priority="1230" operator="notContains" text="Caida">
      <formula>ISERROR(SEARCH("Caida",Q369))</formula>
    </cfRule>
    <cfRule type="containsText" dxfId="504" priority="1231" operator="containsText" text="Caida">
      <formula>NOT(ISERROR(SEARCH("Caida",Q369)))</formula>
    </cfRule>
  </conditionalFormatting>
  <conditionalFormatting sqref="R369:T369">
    <cfRule type="cellIs" dxfId="503" priority="1228" operator="lessThan">
      <formula>0.8</formula>
    </cfRule>
    <cfRule type="cellIs" dxfId="502" priority="1229" operator="greaterThan">
      <formula>0.8</formula>
    </cfRule>
  </conditionalFormatting>
  <conditionalFormatting sqref="R369:T369">
    <cfRule type="notContainsText" dxfId="501" priority="1226" operator="notContains" text="Caida">
      <formula>ISERROR(SEARCH("Caida",R369))</formula>
    </cfRule>
    <cfRule type="containsText" dxfId="500" priority="1227" operator="containsText" text="Caida">
      <formula>NOT(ISERROR(SEARCH("Caida",R369)))</formula>
    </cfRule>
  </conditionalFormatting>
  <conditionalFormatting sqref="E368:K368">
    <cfRule type="containsText" dxfId="499" priority="1215" operator="containsText" text="Radio">
      <formula>NOT(ISERROR(SEARCH("Radio",E368)))</formula>
    </cfRule>
  </conditionalFormatting>
  <conditionalFormatting sqref="U231">
    <cfRule type="cellIs" dxfId="498" priority="1156" operator="lessThan">
      <formula>0.8</formula>
    </cfRule>
    <cfRule type="cellIs" dxfId="497" priority="1157" operator="greaterThan">
      <formula>0.8</formula>
    </cfRule>
  </conditionalFormatting>
  <conditionalFormatting sqref="U231">
    <cfRule type="notContainsText" dxfId="496" priority="1154" operator="notContains" text="Caida">
      <formula>ISERROR(SEARCH("Caida",U231))</formula>
    </cfRule>
    <cfRule type="containsText" dxfId="495" priority="1155" operator="containsText" text="Caida">
      <formula>NOT(ISERROR(SEARCH("Caida",U231)))</formula>
    </cfRule>
  </conditionalFormatting>
  <conditionalFormatting sqref="U232">
    <cfRule type="cellIs" dxfId="494" priority="1152" operator="lessThan">
      <formula>0.8</formula>
    </cfRule>
    <cfRule type="cellIs" dxfId="493" priority="1153" operator="greaterThan">
      <formula>0.8</formula>
    </cfRule>
  </conditionalFormatting>
  <conditionalFormatting sqref="U232">
    <cfRule type="notContainsText" dxfId="492" priority="1150" operator="notContains" text="Caida">
      <formula>ISERROR(SEARCH("Caida",U232))</formula>
    </cfRule>
    <cfRule type="containsText" dxfId="491" priority="1151" operator="containsText" text="Caida">
      <formula>NOT(ISERROR(SEARCH("Caida",U232)))</formula>
    </cfRule>
  </conditionalFormatting>
  <conditionalFormatting sqref="P370:P372">
    <cfRule type="cellIs" dxfId="490" priority="1197" operator="lessThan">
      <formula>0.8</formula>
    </cfRule>
    <cfRule type="cellIs" dxfId="489" priority="1198" operator="greaterThan">
      <formula>0.8</formula>
    </cfRule>
  </conditionalFormatting>
  <conditionalFormatting sqref="P370:P372">
    <cfRule type="notContainsText" dxfId="488" priority="1195" operator="notContains" text="Caida">
      <formula>ISERROR(SEARCH("Caida",P370))</formula>
    </cfRule>
    <cfRule type="containsText" dxfId="487" priority="1196" operator="containsText" text="Caida">
      <formula>NOT(ISERROR(SEARCH("Caida",P370)))</formula>
    </cfRule>
  </conditionalFormatting>
  <conditionalFormatting sqref="Q370:Q372">
    <cfRule type="cellIs" dxfId="486" priority="1193" operator="lessThan">
      <formula>0.8</formula>
    </cfRule>
    <cfRule type="cellIs" dxfId="485" priority="1194" operator="greaterThan">
      <formula>0.8</formula>
    </cfRule>
  </conditionalFormatting>
  <conditionalFormatting sqref="Q370:Q372">
    <cfRule type="notContainsText" dxfId="484" priority="1191" operator="notContains" text="Caida">
      <formula>ISERROR(SEARCH("Caida",Q370))</formula>
    </cfRule>
    <cfRule type="containsText" dxfId="483" priority="1192" operator="containsText" text="Caida">
      <formula>NOT(ISERROR(SEARCH("Caida",Q370)))</formula>
    </cfRule>
  </conditionalFormatting>
  <conditionalFormatting sqref="R370:T370">
    <cfRule type="cellIs" dxfId="482" priority="1189" operator="lessThan">
      <formula>0.8</formula>
    </cfRule>
    <cfRule type="cellIs" dxfId="481" priority="1190" operator="greaterThan">
      <formula>0.8</formula>
    </cfRule>
  </conditionalFormatting>
  <conditionalFormatting sqref="R370:T370">
    <cfRule type="notContainsText" dxfId="480" priority="1187" operator="notContains" text="Caida">
      <formula>ISERROR(SEARCH("Caida",R370))</formula>
    </cfRule>
    <cfRule type="containsText" dxfId="479" priority="1188" operator="containsText" text="Caida">
      <formula>NOT(ISERROR(SEARCH("Caida",R370)))</formula>
    </cfRule>
  </conditionalFormatting>
  <conditionalFormatting sqref="U368">
    <cfRule type="cellIs" dxfId="478" priority="1120" operator="lessThan">
      <formula>0.8</formula>
    </cfRule>
    <cfRule type="cellIs" dxfId="477" priority="1121" operator="greaterThan">
      <formula>0.8</formula>
    </cfRule>
  </conditionalFormatting>
  <conditionalFormatting sqref="U368">
    <cfRule type="notContainsText" dxfId="476" priority="1118" operator="notContains" text="Caida">
      <formula>ISERROR(SEARCH("Caida",U368))</formula>
    </cfRule>
    <cfRule type="containsText" dxfId="475" priority="1119" operator="containsText" text="Caida">
      <formula>NOT(ISERROR(SEARCH("Caida",U368)))</formula>
    </cfRule>
  </conditionalFormatting>
  <conditionalFormatting sqref="U369">
    <cfRule type="cellIs" dxfId="474" priority="1116" operator="lessThan">
      <formula>0.8</formula>
    </cfRule>
    <cfRule type="cellIs" dxfId="473" priority="1117" operator="greaterThan">
      <formula>0.8</formula>
    </cfRule>
  </conditionalFormatting>
  <conditionalFormatting sqref="U369">
    <cfRule type="notContainsText" dxfId="472" priority="1114" operator="notContains" text="Caida">
      <formula>ISERROR(SEARCH("Caida",U369))</formula>
    </cfRule>
    <cfRule type="containsText" dxfId="471" priority="1115" operator="containsText" text="Caida">
      <formula>NOT(ISERROR(SEARCH("Caida",U369)))</formula>
    </cfRule>
  </conditionalFormatting>
  <conditionalFormatting sqref="U370:U372">
    <cfRule type="cellIs" dxfId="470" priority="1112" operator="lessThan">
      <formula>0.8</formula>
    </cfRule>
    <cfRule type="cellIs" dxfId="469" priority="1113" operator="greaterThan">
      <formula>0.8</formula>
    </cfRule>
  </conditionalFormatting>
  <conditionalFormatting sqref="U370:U372">
    <cfRule type="notContainsText" dxfId="468" priority="1110" operator="notContains" text="Caida">
      <formula>ISERROR(SEARCH("Caida",U370))</formula>
    </cfRule>
    <cfRule type="containsText" dxfId="467" priority="1111" operator="containsText" text="Caida">
      <formula>NOT(ISERROR(SEARCH("Caida",U370)))</formula>
    </cfRule>
  </conditionalFormatting>
  <conditionalFormatting sqref="U6:U92 U96:U230">
    <cfRule type="cellIs" dxfId="466" priority="1177" operator="lessThan">
      <formula>0.8</formula>
    </cfRule>
    <cfRule type="cellIs" dxfId="465" priority="1178" operator="greaterThan">
      <formula>0.8</formula>
    </cfRule>
  </conditionalFormatting>
  <conditionalFormatting sqref="U6:U92 U96:U230">
    <cfRule type="notContainsText" dxfId="464" priority="1175" operator="notContains" text="Caida">
      <formula>ISERROR(SEARCH("Caida",U6))</formula>
    </cfRule>
    <cfRule type="containsText" dxfId="463" priority="1176" operator="containsText" text="Caida">
      <formula>NOT(ISERROR(SEARCH("Caida",U6)))</formula>
    </cfRule>
  </conditionalFormatting>
  <conditionalFormatting sqref="U336">
    <cfRule type="cellIs" dxfId="462" priority="1132" operator="lessThan">
      <formula>0.8</formula>
    </cfRule>
    <cfRule type="cellIs" dxfId="461" priority="1133" operator="greaterThan">
      <formula>0.8</formula>
    </cfRule>
  </conditionalFormatting>
  <conditionalFormatting sqref="U336">
    <cfRule type="notContainsText" dxfId="460" priority="1130" operator="notContains" text="Caida">
      <formula>ISERROR(SEARCH("Caida",U336))</formula>
    </cfRule>
    <cfRule type="containsText" dxfId="459" priority="1131" operator="containsText" text="Caida">
      <formula>NOT(ISERROR(SEARCH("Caida",U336)))</formula>
    </cfRule>
  </conditionalFormatting>
  <conditionalFormatting sqref="U337:U366 U284:U334">
    <cfRule type="cellIs" dxfId="458" priority="1173" operator="lessThan">
      <formula>0.8</formula>
    </cfRule>
    <cfRule type="cellIs" dxfId="457" priority="1174" operator="greaterThan">
      <formula>0.8</formula>
    </cfRule>
  </conditionalFormatting>
  <conditionalFormatting sqref="U337:U366 U284:U334 U391:U1048576">
    <cfRule type="notContainsText" dxfId="456" priority="1171" operator="notContains" text="Caida">
      <formula>ISERROR(SEARCH("Caida",U284))</formula>
    </cfRule>
    <cfRule type="containsText" dxfId="455" priority="1172" operator="containsText" text="Caida">
      <formula>NOT(ISERROR(SEARCH("Caida",U284)))</formula>
    </cfRule>
  </conditionalFormatting>
  <conditionalFormatting sqref="U22">
    <cfRule type="containsText" dxfId="45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53" priority="1168" operator="lessThan">
      <formula>0.8</formula>
    </cfRule>
    <cfRule type="cellIs" dxfId="452" priority="1169" operator="greaterThan">
      <formula>0.8</formula>
    </cfRule>
  </conditionalFormatting>
  <conditionalFormatting sqref="U282">
    <cfRule type="notContainsText" dxfId="451" priority="1166" operator="notContains" text="Caida">
      <formula>ISERROR(SEARCH("Caida",U282))</formula>
    </cfRule>
    <cfRule type="containsText" dxfId="450" priority="1167" operator="containsText" text="Caida">
      <formula>NOT(ISERROR(SEARCH("Caida",U282)))</formula>
    </cfRule>
  </conditionalFormatting>
  <conditionalFormatting sqref="U283">
    <cfRule type="cellIs" dxfId="449" priority="1164" operator="lessThan">
      <formula>0.8</formula>
    </cfRule>
    <cfRule type="cellIs" dxfId="448" priority="1165" operator="greaterThan">
      <formula>0.8</formula>
    </cfRule>
  </conditionalFormatting>
  <conditionalFormatting sqref="U283">
    <cfRule type="notContainsText" dxfId="447" priority="1162" operator="notContains" text="Caida">
      <formula>ISERROR(SEARCH("Caida",U283))</formula>
    </cfRule>
    <cfRule type="containsText" dxfId="446" priority="1163" operator="containsText" text="Caida">
      <formula>NOT(ISERROR(SEARCH("Caida",U283)))</formula>
    </cfRule>
  </conditionalFormatting>
  <conditionalFormatting sqref="U5">
    <cfRule type="cellIs" dxfId="445" priority="1160" operator="lessThan">
      <formula>0.8</formula>
    </cfRule>
    <cfRule type="cellIs" dxfId="444" priority="1161" operator="greaterThan">
      <formula>0.8</formula>
    </cfRule>
  </conditionalFormatting>
  <conditionalFormatting sqref="U5">
    <cfRule type="notContainsText" dxfId="443" priority="1158" operator="notContains" text="Caida">
      <formula>ISERROR(SEARCH("Caida",U5))</formula>
    </cfRule>
    <cfRule type="containsText" dxfId="442" priority="1159" operator="containsText" text="Caida">
      <formula>NOT(ISERROR(SEARCH("Caida",U5)))</formula>
    </cfRule>
  </conditionalFormatting>
  <conditionalFormatting sqref="U233">
    <cfRule type="cellIs" dxfId="441" priority="1148" operator="lessThan">
      <formula>0.8</formula>
    </cfRule>
    <cfRule type="cellIs" dxfId="440" priority="1149" operator="greaterThan">
      <formula>0.8</formula>
    </cfRule>
  </conditionalFormatting>
  <conditionalFormatting sqref="U233">
    <cfRule type="notContainsText" dxfId="439" priority="1146" operator="notContains" text="Caida">
      <formula>ISERROR(SEARCH("Caida",U233))</formula>
    </cfRule>
    <cfRule type="containsText" dxfId="438" priority="1147" operator="containsText" text="Caida">
      <formula>NOT(ISERROR(SEARCH("Caida",U233)))</formula>
    </cfRule>
  </conditionalFormatting>
  <conditionalFormatting sqref="U234">
    <cfRule type="cellIs" dxfId="437" priority="1144" operator="lessThan">
      <formula>0.8</formula>
    </cfRule>
    <cfRule type="cellIs" dxfId="436" priority="1145" operator="greaterThan">
      <formula>0.8</formula>
    </cfRule>
  </conditionalFormatting>
  <conditionalFormatting sqref="U234">
    <cfRule type="notContainsText" dxfId="435" priority="1142" operator="notContains" text="Caida">
      <formula>ISERROR(SEARCH("Caida",U234))</formula>
    </cfRule>
    <cfRule type="containsText" dxfId="434" priority="1143" operator="containsText" text="Caida">
      <formula>NOT(ISERROR(SEARCH("Caida",U234)))</formula>
    </cfRule>
  </conditionalFormatting>
  <conditionalFormatting sqref="U235">
    <cfRule type="cellIs" dxfId="433" priority="1140" operator="lessThan">
      <formula>0.8</formula>
    </cfRule>
    <cfRule type="cellIs" dxfId="432" priority="1141" operator="greaterThan">
      <formula>0.8</formula>
    </cfRule>
  </conditionalFormatting>
  <conditionalFormatting sqref="U235">
    <cfRule type="notContainsText" dxfId="431" priority="1138" operator="notContains" text="Caida">
      <formula>ISERROR(SEARCH("Caida",U235))</formula>
    </cfRule>
    <cfRule type="containsText" dxfId="430" priority="1139" operator="containsText" text="Caida">
      <formula>NOT(ISERROR(SEARCH("Caida",U235)))</formula>
    </cfRule>
  </conditionalFormatting>
  <conditionalFormatting sqref="U335">
    <cfRule type="cellIs" dxfId="429" priority="1136" operator="lessThan">
      <formula>0.8</formula>
    </cfRule>
    <cfRule type="cellIs" dxfId="428" priority="1137" operator="greaterThan">
      <formula>0.8</formula>
    </cfRule>
  </conditionalFormatting>
  <conditionalFormatting sqref="U335">
    <cfRule type="notContainsText" dxfId="427" priority="1134" operator="notContains" text="Caida">
      <formula>ISERROR(SEARCH("Caida",U335))</formula>
    </cfRule>
    <cfRule type="containsText" dxfId="426" priority="1135" operator="containsText" text="Caida">
      <formula>NOT(ISERROR(SEARCH("Caida",U335)))</formula>
    </cfRule>
  </conditionalFormatting>
  <conditionalFormatting sqref="U93:U95">
    <cfRule type="cellIs" dxfId="425" priority="1128" operator="lessThan">
      <formula>0.8</formula>
    </cfRule>
    <cfRule type="cellIs" dxfId="424" priority="1129" operator="greaterThan">
      <formula>0.8</formula>
    </cfRule>
  </conditionalFormatting>
  <conditionalFormatting sqref="U93:U95">
    <cfRule type="notContainsText" dxfId="423" priority="1126" operator="notContains" text="Caida">
      <formula>ISERROR(SEARCH("Caida",U93))</formula>
    </cfRule>
    <cfRule type="containsText" dxfId="422" priority="1127" operator="containsText" text="Caida">
      <formula>NOT(ISERROR(SEARCH("Caida",U93)))</formula>
    </cfRule>
  </conditionalFormatting>
  <conditionalFormatting sqref="U367">
    <cfRule type="cellIs" dxfId="421" priority="1124" operator="lessThan">
      <formula>0.8</formula>
    </cfRule>
    <cfRule type="cellIs" dxfId="420" priority="1125" operator="greaterThan">
      <formula>0.8</formula>
    </cfRule>
  </conditionalFormatting>
  <conditionalFormatting sqref="U367">
    <cfRule type="notContainsText" dxfId="419" priority="1122" operator="notContains" text="Caida">
      <formula>ISERROR(SEARCH("Caida",U367))</formula>
    </cfRule>
    <cfRule type="containsText" dxfId="418" priority="1123" operator="containsText" text="Caida">
      <formula>NOT(ISERROR(SEARCH("Caida",U367)))</formula>
    </cfRule>
  </conditionalFormatting>
  <conditionalFormatting sqref="V6:X92">
    <cfRule type="cellIs" dxfId="417" priority="1108" operator="lessThan">
      <formula>0.8</formula>
    </cfRule>
    <cfRule type="cellIs" dxfId="416" priority="1109" operator="greaterThan">
      <formula>0.8</formula>
    </cfRule>
  </conditionalFormatting>
  <conditionalFormatting sqref="V6:X92">
    <cfRule type="notContainsText" dxfId="415" priority="1106" operator="notContains" text="Caida">
      <formula>ISERROR(SEARCH("Caida",V6))</formula>
    </cfRule>
    <cfRule type="containsText" dxfId="414" priority="1107" operator="containsText" text="Caida">
      <formula>NOT(ISERROR(SEARCH("Caida",V6)))</formula>
    </cfRule>
  </conditionalFormatting>
  <conditionalFormatting sqref="V22:X22 AA22:AJ22">
    <cfRule type="containsText" dxfId="41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12" priority="1103" operator="lessThan">
      <formula>0.8</formula>
    </cfRule>
    <cfRule type="cellIs" dxfId="411" priority="1104" operator="greaterThan">
      <formula>0.8</formula>
    </cfRule>
  </conditionalFormatting>
  <conditionalFormatting sqref="V5:X5 AA5:AJ5">
    <cfRule type="notContainsText" dxfId="410" priority="1101" operator="notContains" text="Caida">
      <formula>ISERROR(SEARCH("Caida",V5))</formula>
    </cfRule>
    <cfRule type="containsText" dxfId="409" priority="1102" operator="containsText" text="Caida">
      <formula>NOT(ISERROR(SEARCH("Caida",V5)))</formula>
    </cfRule>
  </conditionalFormatting>
  <conditionalFormatting sqref="V93:X95">
    <cfRule type="cellIs" dxfId="408" priority="1099" operator="lessThan">
      <formula>0.8</formula>
    </cfRule>
    <cfRule type="cellIs" dxfId="407" priority="1100" operator="greaterThan">
      <formula>0.8</formula>
    </cfRule>
  </conditionalFormatting>
  <conditionalFormatting sqref="V93:X95">
    <cfRule type="notContainsText" dxfId="406" priority="1097" operator="notContains" text="Caida">
      <formula>ISERROR(SEARCH("Caida",V93))</formula>
    </cfRule>
    <cfRule type="containsText" dxfId="405" priority="1098" operator="containsText" text="Caida">
      <formula>NOT(ISERROR(SEARCH("Caida",V93)))</formula>
    </cfRule>
  </conditionalFormatting>
  <conditionalFormatting sqref="E1:E372 E391:E1048576">
    <cfRule type="containsText" dxfId="404" priority="957" operator="containsText" text="fija">
      <formula>NOT(ISERROR(SEARCH("fija",E1)))</formula>
    </cfRule>
    <cfRule type="containsText" dxfId="403" priority="958" operator="containsText" text="domo">
      <formula>NOT(ISERROR(SEARCH("domo",E1)))</formula>
    </cfRule>
  </conditionalFormatting>
  <conditionalFormatting sqref="AK6:AP92">
    <cfRule type="cellIs" dxfId="402" priority="933" operator="lessThan">
      <formula>0.8</formula>
    </cfRule>
    <cfRule type="cellIs" dxfId="401" priority="934" operator="greaterThan">
      <formula>0.8</formula>
    </cfRule>
  </conditionalFormatting>
  <conditionalFormatting sqref="AK6:AP92">
    <cfRule type="notContainsText" dxfId="400" priority="931" operator="notContains" text="Caida">
      <formula>ISERROR(SEARCH("Caida",AK6))</formula>
    </cfRule>
    <cfRule type="containsText" dxfId="399" priority="932" operator="containsText" text="Caida">
      <formula>NOT(ISERROR(SEARCH("Caida",AK6)))</formula>
    </cfRule>
  </conditionalFormatting>
  <conditionalFormatting sqref="AK22:AR22">
    <cfRule type="containsText" dxfId="39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397" priority="928" operator="lessThan">
      <formula>0.8</formula>
    </cfRule>
    <cfRule type="cellIs" dxfId="396" priority="929" operator="greaterThan">
      <formula>0.8</formula>
    </cfRule>
  </conditionalFormatting>
  <conditionalFormatting sqref="AK5:AR5">
    <cfRule type="notContainsText" dxfId="395" priority="926" operator="notContains" text="Caida">
      <formula>ISERROR(SEARCH("Caida",AK5))</formula>
    </cfRule>
    <cfRule type="containsText" dxfId="394" priority="927" operator="containsText" text="Caida">
      <formula>NOT(ISERROR(SEARCH("Caida",AK5)))</formula>
    </cfRule>
  </conditionalFormatting>
  <conditionalFormatting sqref="AK93:AP94">
    <cfRule type="cellIs" dxfId="393" priority="924" operator="lessThan">
      <formula>0.8</formula>
    </cfRule>
    <cfRule type="cellIs" dxfId="392" priority="925" operator="greaterThan">
      <formula>0.8</formula>
    </cfRule>
  </conditionalFormatting>
  <conditionalFormatting sqref="AK93:AP94">
    <cfRule type="notContainsText" dxfId="391" priority="922" operator="notContains" text="Caida">
      <formula>ISERROR(SEARCH("Caida",AK93))</formula>
    </cfRule>
    <cfRule type="containsText" dxfId="39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389" priority="921" operator="equal">
      <formula>"APAGADO"</formula>
    </cfRule>
  </conditionalFormatting>
  <conditionalFormatting sqref="S6:S92 S96:S230">
    <cfRule type="cellIs" dxfId="388" priority="905" operator="lessThan">
      <formula>0.8</formula>
    </cfRule>
    <cfRule type="cellIs" dxfId="387" priority="906" operator="greaterThan">
      <formula>0.8</formula>
    </cfRule>
  </conditionalFormatting>
  <conditionalFormatting sqref="S6:S92 S96:S230">
    <cfRule type="notContainsText" dxfId="386" priority="903" operator="notContains" text="Caida">
      <formula>ISERROR(SEARCH("Caida",S6))</formula>
    </cfRule>
    <cfRule type="containsText" dxfId="385" priority="904" operator="containsText" text="Caida">
      <formula>NOT(ISERROR(SEARCH("Caida",S6)))</formula>
    </cfRule>
  </conditionalFormatting>
  <conditionalFormatting sqref="S337:S366 S284:S334">
    <cfRule type="cellIs" dxfId="384" priority="901" operator="lessThan">
      <formula>0.8</formula>
    </cfRule>
    <cfRule type="cellIs" dxfId="383" priority="902" operator="greaterThan">
      <formula>0.8</formula>
    </cfRule>
  </conditionalFormatting>
  <conditionalFormatting sqref="S337:S366 S284:S334">
    <cfRule type="notContainsText" dxfId="382" priority="899" operator="notContains" text="Caida">
      <formula>ISERROR(SEARCH("Caida",S284))</formula>
    </cfRule>
    <cfRule type="containsText" dxfId="381" priority="900" operator="containsText" text="Caida">
      <formula>NOT(ISERROR(SEARCH("Caida",S284)))</formula>
    </cfRule>
  </conditionalFormatting>
  <conditionalFormatting sqref="S93:S95">
    <cfRule type="cellIs" dxfId="380" priority="897" operator="lessThan">
      <formula>0.8</formula>
    </cfRule>
    <cfRule type="cellIs" dxfId="379" priority="898" operator="greaterThan">
      <formula>0.8</formula>
    </cfRule>
  </conditionalFormatting>
  <conditionalFormatting sqref="S93:S95">
    <cfRule type="notContainsText" dxfId="378" priority="895" operator="notContains" text="Caida">
      <formula>ISERROR(SEARCH("Caida",S93))</formula>
    </cfRule>
    <cfRule type="containsText" dxfId="377" priority="896" operator="containsText" text="Caida">
      <formula>NOT(ISERROR(SEARCH("Caida",S93)))</formula>
    </cfRule>
  </conditionalFormatting>
  <conditionalFormatting sqref="T6:T92 T96:T230">
    <cfRule type="cellIs" dxfId="376" priority="893" operator="lessThan">
      <formula>0.8</formula>
    </cfRule>
    <cfRule type="cellIs" dxfId="375" priority="894" operator="greaterThan">
      <formula>0.8</formula>
    </cfRule>
  </conditionalFormatting>
  <conditionalFormatting sqref="T6:T92 T96:T230">
    <cfRule type="notContainsText" dxfId="374" priority="891" operator="notContains" text="Caida">
      <formula>ISERROR(SEARCH("Caida",T6))</formula>
    </cfRule>
    <cfRule type="containsText" dxfId="373" priority="892" operator="containsText" text="Caida">
      <formula>NOT(ISERROR(SEARCH("Caida",T6)))</formula>
    </cfRule>
  </conditionalFormatting>
  <conditionalFormatting sqref="T337:T366 T284:T334">
    <cfRule type="cellIs" dxfId="372" priority="889" operator="lessThan">
      <formula>0.8</formula>
    </cfRule>
    <cfRule type="cellIs" dxfId="371" priority="890" operator="greaterThan">
      <formula>0.8</formula>
    </cfRule>
  </conditionalFormatting>
  <conditionalFormatting sqref="T337:T366 T284:T334">
    <cfRule type="notContainsText" dxfId="370" priority="887" operator="notContains" text="Caida">
      <formula>ISERROR(SEARCH("Caida",T284))</formula>
    </cfRule>
    <cfRule type="containsText" dxfId="369" priority="888" operator="containsText" text="Caida">
      <formula>NOT(ISERROR(SEARCH("Caida",T284)))</formula>
    </cfRule>
  </conditionalFormatting>
  <conditionalFormatting sqref="T93:T95">
    <cfRule type="cellIs" dxfId="368" priority="885" operator="lessThan">
      <formula>0.8</formula>
    </cfRule>
    <cfRule type="cellIs" dxfId="367" priority="886" operator="greaterThan">
      <formula>0.8</formula>
    </cfRule>
  </conditionalFormatting>
  <conditionalFormatting sqref="T93:T95">
    <cfRule type="notContainsText" dxfId="366" priority="883" operator="notContains" text="Caida">
      <formula>ISERROR(SEARCH("Caida",T93))</formula>
    </cfRule>
    <cfRule type="containsText" dxfId="365" priority="884" operator="containsText" text="Caida">
      <formula>NOT(ISERROR(SEARCH("Caida",T93)))</formula>
    </cfRule>
  </conditionalFormatting>
  <conditionalFormatting sqref="F1:F372 F391:F1048576">
    <cfRule type="cellIs" dxfId="364" priority="812" operator="equal">
      <formula>"PTP A FO"</formula>
    </cfRule>
  </conditionalFormatting>
  <conditionalFormatting sqref="R371:T372">
    <cfRule type="cellIs" dxfId="363" priority="441" operator="lessThan">
      <formula>0.8</formula>
    </cfRule>
    <cfRule type="cellIs" dxfId="362" priority="442" operator="greaterThan">
      <formula>0.8</formula>
    </cfRule>
  </conditionalFormatting>
  <conditionalFormatting sqref="R371:T372">
    <cfRule type="notContainsText" dxfId="361" priority="439" operator="notContains" text="Caida">
      <formula>ISERROR(SEARCH("Caida",R371))</formula>
    </cfRule>
    <cfRule type="containsText" dxfId="360" priority="440" operator="containsText" text="Caida">
      <formula>NOT(ISERROR(SEARCH("Caida",R371)))</formula>
    </cfRule>
  </conditionalFormatting>
  <conditionalFormatting sqref="O6:O92">
    <cfRule type="cellIs" dxfId="359" priority="429" operator="lessThan">
      <formula>0.8</formula>
    </cfRule>
    <cfRule type="cellIs" dxfId="358" priority="430" operator="greaterThan">
      <formula>0.8</formula>
    </cfRule>
  </conditionalFormatting>
  <conditionalFormatting sqref="O6:O92">
    <cfRule type="notContainsText" dxfId="357" priority="427" operator="notContains" text="Caida">
      <formula>ISERROR(SEARCH("Caida",O6))</formula>
    </cfRule>
    <cfRule type="containsText" dxfId="356" priority="428" operator="containsText" text="Caida">
      <formula>NOT(ISERROR(SEARCH("Caida",O6)))</formula>
    </cfRule>
  </conditionalFormatting>
  <conditionalFormatting sqref="O22">
    <cfRule type="containsText" dxfId="35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54" priority="424" operator="lessThan">
      <formula>0.8</formula>
    </cfRule>
    <cfRule type="cellIs" dxfId="353" priority="425" operator="greaterThan">
      <formula>0.8</formula>
    </cfRule>
  </conditionalFormatting>
  <conditionalFormatting sqref="O5">
    <cfRule type="notContainsText" dxfId="352" priority="422" operator="notContains" text="Caida">
      <formula>ISERROR(SEARCH("Caida",O5))</formula>
    </cfRule>
    <cfRule type="containsText" dxfId="351" priority="423" operator="containsText" text="Caida">
      <formula>NOT(ISERROR(SEARCH("Caida",O5)))</formula>
    </cfRule>
  </conditionalFormatting>
  <conditionalFormatting sqref="O93:O94">
    <cfRule type="cellIs" dxfId="350" priority="420" operator="lessThan">
      <formula>0.8</formula>
    </cfRule>
    <cfRule type="cellIs" dxfId="349" priority="421" operator="greaterThan">
      <formula>0.8</formula>
    </cfRule>
  </conditionalFormatting>
  <conditionalFormatting sqref="O93:O94">
    <cfRule type="notContainsText" dxfId="348" priority="418" operator="notContains" text="Caida">
      <formula>ISERROR(SEARCH("Caida",O93))</formula>
    </cfRule>
    <cfRule type="containsText" dxfId="347" priority="419" operator="containsText" text="Caida">
      <formula>NOT(ISERROR(SEARCH("Caida",O93)))</formula>
    </cfRule>
  </conditionalFormatting>
  <conditionalFormatting sqref="AR6:AR92">
    <cfRule type="cellIs" dxfId="346" priority="411" operator="lessThan">
      <formula>0.8</formula>
    </cfRule>
    <cfRule type="cellIs" dxfId="345" priority="412" operator="greaterThan">
      <formula>0.8</formula>
    </cfRule>
  </conditionalFormatting>
  <conditionalFormatting sqref="AR6:AR92">
    <cfRule type="notContainsText" dxfId="344" priority="409" operator="notContains" text="Caida">
      <formula>ISERROR(SEARCH("Caida",AR6))</formula>
    </cfRule>
    <cfRule type="containsText" dxfId="343" priority="410" operator="containsText" text="Caida">
      <formula>NOT(ISERROR(SEARCH("Caida",AR6)))</formula>
    </cfRule>
  </conditionalFormatting>
  <conditionalFormatting sqref="AR93:AR94">
    <cfRule type="cellIs" dxfId="342" priority="407" operator="lessThan">
      <formula>0.8</formula>
    </cfRule>
    <cfRule type="cellIs" dxfId="341" priority="408" operator="greaterThan">
      <formula>0.8</formula>
    </cfRule>
  </conditionalFormatting>
  <conditionalFormatting sqref="AR93:AR94">
    <cfRule type="notContainsText" dxfId="340" priority="405" operator="notContains" text="Caida">
      <formula>ISERROR(SEARCH("Caida",AR93))</formula>
    </cfRule>
    <cfRule type="containsText" dxfId="339" priority="406" operator="containsText" text="Caida">
      <formula>NOT(ISERROR(SEARCH("Caida",AR93)))</formula>
    </cfRule>
  </conditionalFormatting>
  <conditionalFormatting sqref="AA6:AF92">
    <cfRule type="cellIs" dxfId="338" priority="346" operator="lessThan">
      <formula>0.8</formula>
    </cfRule>
    <cfRule type="cellIs" dxfId="337" priority="347" operator="greaterThan">
      <formula>0.8</formula>
    </cfRule>
  </conditionalFormatting>
  <conditionalFormatting sqref="AA6:AF92">
    <cfRule type="notContainsText" dxfId="336" priority="344" operator="notContains" text="Caida">
      <formula>ISERROR(SEARCH("Caida",AA6))</formula>
    </cfRule>
    <cfRule type="containsText" dxfId="335" priority="345" operator="containsText" text="Caida">
      <formula>NOT(ISERROR(SEARCH("Caida",AA6)))</formula>
    </cfRule>
  </conditionalFormatting>
  <conditionalFormatting sqref="AA93:AF95">
    <cfRule type="cellIs" dxfId="334" priority="342" operator="lessThan">
      <formula>0.8</formula>
    </cfRule>
    <cfRule type="cellIs" dxfId="333" priority="343" operator="greaterThan">
      <formula>0.8</formula>
    </cfRule>
  </conditionalFormatting>
  <conditionalFormatting sqref="AA93:AF95">
    <cfRule type="notContainsText" dxfId="332" priority="340" operator="notContains" text="Caida">
      <formula>ISERROR(SEARCH("Caida",AA93))</formula>
    </cfRule>
    <cfRule type="containsText" dxfId="331" priority="341" operator="containsText" text="Caida">
      <formula>NOT(ISERROR(SEARCH("Caida",AA93)))</formula>
    </cfRule>
  </conditionalFormatting>
  <conditionalFormatting sqref="AF1 AF5:AF372 AF380:AF1048576 AF3">
    <cfRule type="cellIs" dxfId="330" priority="339" operator="equal">
      <formula>"apagado"</formula>
    </cfRule>
  </conditionalFormatting>
  <conditionalFormatting sqref="AE1 AE5:AE372 AE380:AE1048576 AE3">
    <cfRule type="cellIs" dxfId="329" priority="338" operator="equal">
      <formula>"apagado"</formula>
    </cfRule>
  </conditionalFormatting>
  <conditionalFormatting sqref="AD1 AD5:AD372 AD380:AD1048576 AD3">
    <cfRule type="cellIs" dxfId="328" priority="337" operator="equal">
      <formula>"apagado"</formula>
    </cfRule>
  </conditionalFormatting>
  <conditionalFormatting sqref="AC1 AC5:AC372 AC380:AC1048576 AC3">
    <cfRule type="cellIs" dxfId="327" priority="336" operator="equal">
      <formula>"apagado"</formula>
    </cfRule>
  </conditionalFormatting>
  <conditionalFormatting sqref="AB1 AB5:AB372 AB380:AB1048576 AB3">
    <cfRule type="cellIs" dxfId="326" priority="335" operator="equal">
      <formula>"apagado"</formula>
    </cfRule>
  </conditionalFormatting>
  <conditionalFormatting sqref="AA1 AA5:AA372 AA380:AA1048576 AA3">
    <cfRule type="cellIs" dxfId="325" priority="334" operator="equal">
      <formula>"apagado"</formula>
    </cfRule>
  </conditionalFormatting>
  <conditionalFormatting sqref="Z1 Z380:Z1048576 Z3">
    <cfRule type="cellIs" dxfId="324" priority="333" operator="equal">
      <formula>"apagado"</formula>
    </cfRule>
  </conditionalFormatting>
  <conditionalFormatting sqref="Y1 Y380:Y1048576 Y3">
    <cfRule type="cellIs" dxfId="323" priority="332" operator="equal">
      <formula>"apagado"</formula>
    </cfRule>
  </conditionalFormatting>
  <conditionalFormatting sqref="AG6:AG92">
    <cfRule type="cellIs" dxfId="322" priority="330" operator="lessThan">
      <formula>0.8</formula>
    </cfRule>
    <cfRule type="cellIs" dxfId="321" priority="331" operator="greaterThan">
      <formula>0.8</formula>
    </cfRule>
  </conditionalFormatting>
  <conditionalFormatting sqref="AG6:AG92">
    <cfRule type="notContainsText" dxfId="320" priority="328" operator="notContains" text="Caida">
      <formula>ISERROR(SEARCH("Caida",AG6))</formula>
    </cfRule>
    <cfRule type="containsText" dxfId="319" priority="329" operator="containsText" text="Caida">
      <formula>NOT(ISERROR(SEARCH("Caida",AG6)))</formula>
    </cfRule>
  </conditionalFormatting>
  <conditionalFormatting sqref="AG93:AG95">
    <cfRule type="cellIs" dxfId="318" priority="326" operator="lessThan">
      <formula>0.8</formula>
    </cfRule>
    <cfRule type="cellIs" dxfId="317" priority="327" operator="greaterThan">
      <formula>0.8</formula>
    </cfRule>
  </conditionalFormatting>
  <conditionalFormatting sqref="AG93:AG95">
    <cfRule type="notContainsText" dxfId="316" priority="324" operator="notContains" text="Caida">
      <formula>ISERROR(SEARCH("Caida",AG93))</formula>
    </cfRule>
    <cfRule type="containsText" dxfId="315" priority="325" operator="containsText" text="Caida">
      <formula>NOT(ISERROR(SEARCH("Caida",AG93)))</formula>
    </cfRule>
  </conditionalFormatting>
  <conditionalFormatting sqref="AG1 AG5:AG372 AG380:AG1048576 AG3">
    <cfRule type="cellIs" dxfId="314" priority="323" operator="equal">
      <formula>"apagado"</formula>
    </cfRule>
  </conditionalFormatting>
  <conditionalFormatting sqref="AH6:AH92">
    <cfRule type="cellIs" dxfId="313" priority="321" operator="lessThan">
      <formula>0.8</formula>
    </cfRule>
    <cfRule type="cellIs" dxfId="312" priority="322" operator="greaterThan">
      <formula>0.8</formula>
    </cfRule>
  </conditionalFormatting>
  <conditionalFormatting sqref="AH6:AH92">
    <cfRule type="notContainsText" dxfId="311" priority="319" operator="notContains" text="Caida">
      <formula>ISERROR(SEARCH("Caida",AH6))</formula>
    </cfRule>
    <cfRule type="containsText" dxfId="310" priority="320" operator="containsText" text="Caida">
      <formula>NOT(ISERROR(SEARCH("Caida",AH6)))</formula>
    </cfRule>
  </conditionalFormatting>
  <conditionalFormatting sqref="AH93:AH95">
    <cfRule type="cellIs" dxfId="309" priority="317" operator="lessThan">
      <formula>0.8</formula>
    </cfRule>
    <cfRule type="cellIs" dxfId="308" priority="318" operator="greaterThan">
      <formula>0.8</formula>
    </cfRule>
  </conditionalFormatting>
  <conditionalFormatting sqref="AH93:AH95">
    <cfRule type="notContainsText" dxfId="307" priority="315" operator="notContains" text="Caida">
      <formula>ISERROR(SEARCH("Caida",AH93))</formula>
    </cfRule>
    <cfRule type="containsText" dxfId="306" priority="316" operator="containsText" text="Caida">
      <formula>NOT(ISERROR(SEARCH("Caida",AH93)))</formula>
    </cfRule>
  </conditionalFormatting>
  <conditionalFormatting sqref="AH1 AH380:AH1048576 AH3 AH5:AH372">
    <cfRule type="cellIs" dxfId="305" priority="314" operator="equal">
      <formula>"apagado"</formula>
    </cfRule>
  </conditionalFormatting>
  <conditionalFormatting sqref="AI6:AI92">
    <cfRule type="cellIs" dxfId="304" priority="312" operator="lessThan">
      <formula>0.8</formula>
    </cfRule>
    <cfRule type="cellIs" dxfId="303" priority="313" operator="greaterThan">
      <formula>0.8</formula>
    </cfRule>
  </conditionalFormatting>
  <conditionalFormatting sqref="AI6:AI92">
    <cfRule type="notContainsText" dxfId="302" priority="310" operator="notContains" text="Caida">
      <formula>ISERROR(SEARCH("Caida",AI6))</formula>
    </cfRule>
    <cfRule type="containsText" dxfId="301" priority="311" operator="containsText" text="Caida">
      <formula>NOT(ISERROR(SEARCH("Caida",AI6)))</formula>
    </cfRule>
  </conditionalFormatting>
  <conditionalFormatting sqref="AI93:AI95">
    <cfRule type="cellIs" dxfId="300" priority="308" operator="lessThan">
      <formula>0.8</formula>
    </cfRule>
    <cfRule type="cellIs" dxfId="299" priority="309" operator="greaterThan">
      <formula>0.8</formula>
    </cfRule>
  </conditionalFormatting>
  <conditionalFormatting sqref="AI93:AI95">
    <cfRule type="notContainsText" dxfId="298" priority="306" operator="notContains" text="Caida">
      <formula>ISERROR(SEARCH("Caida",AI93))</formula>
    </cfRule>
    <cfRule type="containsText" dxfId="297" priority="307" operator="containsText" text="Caida">
      <formula>NOT(ISERROR(SEARCH("Caida",AI93)))</formula>
    </cfRule>
  </conditionalFormatting>
  <conditionalFormatting sqref="AI1 AI5:AI372 AI380:AI1048576 AI3">
    <cfRule type="cellIs" dxfId="296" priority="305" operator="equal">
      <formula>"apagado"</formula>
    </cfRule>
  </conditionalFormatting>
  <conditionalFormatting sqref="AJ6:AJ92">
    <cfRule type="cellIs" dxfId="295" priority="303" operator="lessThan">
      <formula>0.8</formula>
    </cfRule>
    <cfRule type="cellIs" dxfId="294" priority="304" operator="greaterThan">
      <formula>0.8</formula>
    </cfRule>
  </conditionalFormatting>
  <conditionalFormatting sqref="AJ6:AJ92">
    <cfRule type="notContainsText" dxfId="293" priority="301" operator="notContains" text="Caida">
      <formula>ISERROR(SEARCH("Caida",AJ6))</formula>
    </cfRule>
    <cfRule type="containsText" dxfId="292" priority="302" operator="containsText" text="Caida">
      <formula>NOT(ISERROR(SEARCH("Caida",AJ6)))</formula>
    </cfRule>
  </conditionalFormatting>
  <conditionalFormatting sqref="AJ93:AJ95">
    <cfRule type="cellIs" dxfId="291" priority="299" operator="lessThan">
      <formula>0.8</formula>
    </cfRule>
    <cfRule type="cellIs" dxfId="290" priority="300" operator="greaterThan">
      <formula>0.8</formula>
    </cfRule>
  </conditionalFormatting>
  <conditionalFormatting sqref="AJ93:AJ95">
    <cfRule type="notContainsText" dxfId="289" priority="297" operator="notContains" text="Caida">
      <formula>ISERROR(SEARCH("Caida",AJ93))</formula>
    </cfRule>
    <cfRule type="containsText" dxfId="288" priority="298" operator="containsText" text="Caida">
      <formula>NOT(ISERROR(SEARCH("Caida",AJ93)))</formula>
    </cfRule>
  </conditionalFormatting>
  <conditionalFormatting sqref="AJ1 AJ5:AJ372 AJ380:AJ1048576 AJ3">
    <cfRule type="cellIs" dxfId="287" priority="296" operator="equal">
      <formula>"apagado"</formula>
    </cfRule>
  </conditionalFormatting>
  <conditionalFormatting sqref="AQ95:AQ369">
    <cfRule type="cellIs" dxfId="286" priority="277" operator="lessThan">
      <formula>0.8</formula>
    </cfRule>
    <cfRule type="cellIs" dxfId="285" priority="278" operator="greaterThan">
      <formula>0.8</formula>
    </cfRule>
  </conditionalFormatting>
  <conditionalFormatting sqref="AQ95:AQ372 AQ391:AQ1048576">
    <cfRule type="notContainsText" dxfId="284" priority="275" operator="notContains" text="Caida">
      <formula>ISERROR(SEARCH("Caida",AQ95))</formula>
    </cfRule>
    <cfRule type="containsText" dxfId="283" priority="276" operator="containsText" text="Caida">
      <formula>NOT(ISERROR(SEARCH("Caida",AQ95)))</formula>
    </cfRule>
  </conditionalFormatting>
  <conditionalFormatting sqref="AQ6:AQ92">
    <cfRule type="cellIs" dxfId="282" priority="273" operator="lessThan">
      <formula>0.8</formula>
    </cfRule>
    <cfRule type="cellIs" dxfId="281" priority="274" operator="greaterThan">
      <formula>0.8</formula>
    </cfRule>
  </conditionalFormatting>
  <conditionalFormatting sqref="AQ6:AQ92">
    <cfRule type="notContainsText" dxfId="280" priority="271" operator="notContains" text="Caida">
      <formula>ISERROR(SEARCH("Caida",AQ6))</formula>
    </cfRule>
    <cfRule type="containsText" dxfId="279" priority="272" operator="containsText" text="Caida">
      <formula>NOT(ISERROR(SEARCH("Caida",AQ6)))</formula>
    </cfRule>
  </conditionalFormatting>
  <conditionalFormatting sqref="AQ93:AQ94">
    <cfRule type="cellIs" dxfId="278" priority="269" operator="lessThan">
      <formula>0.8</formula>
    </cfRule>
    <cfRule type="cellIs" dxfId="277" priority="270" operator="greaterThan">
      <formula>0.8</formula>
    </cfRule>
  </conditionalFormatting>
  <conditionalFormatting sqref="AQ93:AQ94">
    <cfRule type="notContainsText" dxfId="276" priority="267" operator="notContains" text="Caida">
      <formula>ISERROR(SEARCH("Caida",AQ93))</formula>
    </cfRule>
    <cfRule type="containsText" dxfId="275" priority="268" operator="containsText" text="Caida">
      <formula>NOT(ISERROR(SEARCH("Caida",AQ93)))</formula>
    </cfRule>
  </conditionalFormatting>
  <conditionalFormatting sqref="AQ10">
    <cfRule type="cellIs" dxfId="274" priority="262" operator="equal">
      <formula>"apagado"</formula>
    </cfRule>
    <cfRule type="cellIs" dxfId="273" priority="265" operator="lessThan">
      <formula>0.8</formula>
    </cfRule>
    <cfRule type="cellIs" dxfId="272" priority="266" operator="greaterThan">
      <formula>0.8</formula>
    </cfRule>
  </conditionalFormatting>
  <conditionalFormatting sqref="AQ10">
    <cfRule type="notContainsText" dxfId="271" priority="263" operator="notContains" text="Caida">
      <formula>ISERROR(SEARCH("Caida",AQ10))</formula>
    </cfRule>
    <cfRule type="containsText" dxfId="270" priority="264" operator="containsText" text="Caida">
      <formula>NOT(ISERROR(SEARCH("Caida",AQ10)))</formula>
    </cfRule>
  </conditionalFormatting>
  <conditionalFormatting sqref="AQ1 AQ5:AQ372 AQ380:AQ1048576 AQ3">
    <cfRule type="cellIs" dxfId="269" priority="261" operator="equal">
      <formula>"apagado"</formula>
    </cfRule>
  </conditionalFormatting>
  <conditionalFormatting sqref="O5:X372 AA5:AR372">
    <cfRule type="cellIs" dxfId="268" priority="260" operator="equal">
      <formula>"APAGADO"</formula>
    </cfRule>
  </conditionalFormatting>
  <conditionalFormatting sqref="Y96:Y372">
    <cfRule type="cellIs" dxfId="267" priority="222" operator="lessThan">
      <formula>0.8</formula>
    </cfRule>
    <cfRule type="cellIs" dxfId="266" priority="223" operator="greaterThan">
      <formula>0.8</formula>
    </cfRule>
  </conditionalFormatting>
  <conditionalFormatting sqref="Y96:Y372">
    <cfRule type="notContainsText" dxfId="265" priority="220" operator="notContains" text="Caida">
      <formula>ISERROR(SEARCH("Caida",Y96))</formula>
    </cfRule>
    <cfRule type="containsText" dxfId="264" priority="221" operator="containsText" text="Caida">
      <formula>NOT(ISERROR(SEARCH("Caida",Y96)))</formula>
    </cfRule>
  </conditionalFormatting>
  <conditionalFormatting sqref="Y22">
    <cfRule type="containsText" dxfId="26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62" priority="217" operator="lessThan">
      <formula>0.8</formula>
    </cfRule>
    <cfRule type="cellIs" dxfId="261" priority="218" operator="greaterThan">
      <formula>0.8</formula>
    </cfRule>
  </conditionalFormatting>
  <conditionalFormatting sqref="Y5">
    <cfRule type="notContainsText" dxfId="260" priority="215" operator="notContains" text="Caida">
      <formula>ISERROR(SEARCH("Caida",Y5))</formula>
    </cfRule>
    <cfRule type="containsText" dxfId="259" priority="216" operator="containsText" text="Caida">
      <formula>NOT(ISERROR(SEARCH("Caida",Y5)))</formula>
    </cfRule>
  </conditionalFormatting>
  <conditionalFormatting sqref="Y5:Y372">
    <cfRule type="cellIs" dxfId="258" priority="214" operator="equal">
      <formula>"APAGADO"</formula>
    </cfRule>
  </conditionalFormatting>
  <conditionalFormatting sqref="Y6:Y92">
    <cfRule type="cellIs" dxfId="257" priority="212" operator="lessThan">
      <formula>0.8</formula>
    </cfRule>
    <cfRule type="cellIs" dxfId="256" priority="213" operator="greaterThan">
      <formula>0.8</formula>
    </cfRule>
  </conditionalFormatting>
  <conditionalFormatting sqref="Y6:Y92">
    <cfRule type="notContainsText" dxfId="255" priority="210" operator="notContains" text="Caida">
      <formula>ISERROR(SEARCH("Caida",Y6))</formula>
    </cfRule>
    <cfRule type="containsText" dxfId="254" priority="211" operator="containsText" text="Caida">
      <formula>NOT(ISERROR(SEARCH("Caida",Y6)))</formula>
    </cfRule>
  </conditionalFormatting>
  <conditionalFormatting sqref="Y93:Y95">
    <cfRule type="cellIs" dxfId="253" priority="208" operator="lessThan">
      <formula>0.8</formula>
    </cfRule>
    <cfRule type="cellIs" dxfId="252" priority="209" operator="greaterThan">
      <formula>0.8</formula>
    </cfRule>
  </conditionalFormatting>
  <conditionalFormatting sqref="Y93:Y95">
    <cfRule type="notContainsText" dxfId="251" priority="206" operator="notContains" text="Caida">
      <formula>ISERROR(SEARCH("Caida",Y93))</formula>
    </cfRule>
    <cfRule type="containsText" dxfId="250" priority="207" operator="containsText" text="Caida">
      <formula>NOT(ISERROR(SEARCH("Caida",Y93)))</formula>
    </cfRule>
  </conditionalFormatting>
  <conditionalFormatting sqref="Y5:Y372">
    <cfRule type="cellIs" dxfId="249" priority="205" operator="equal">
      <formula>"apagado"</formula>
    </cfRule>
  </conditionalFormatting>
  <conditionalFormatting sqref="Z96:Z372">
    <cfRule type="cellIs" dxfId="248" priority="202" operator="lessThan">
      <formula>0.8</formula>
    </cfRule>
    <cfRule type="cellIs" dxfId="247" priority="203" operator="greaterThan">
      <formula>0.8</formula>
    </cfRule>
  </conditionalFormatting>
  <conditionalFormatting sqref="Z96:Z372">
    <cfRule type="notContainsText" dxfId="246" priority="200" operator="notContains" text="Caida">
      <formula>ISERROR(SEARCH("Caida",Z96))</formula>
    </cfRule>
    <cfRule type="containsText" dxfId="245" priority="201" operator="containsText" text="Caida">
      <formula>NOT(ISERROR(SEARCH("Caida",Z96)))</formula>
    </cfRule>
  </conditionalFormatting>
  <conditionalFormatting sqref="Z22">
    <cfRule type="containsText" dxfId="24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43" priority="197" operator="lessThan">
      <formula>0.8</formula>
    </cfRule>
    <cfRule type="cellIs" dxfId="242" priority="198" operator="greaterThan">
      <formula>0.8</formula>
    </cfRule>
  </conditionalFormatting>
  <conditionalFormatting sqref="Z5">
    <cfRule type="notContainsText" dxfId="241" priority="195" operator="notContains" text="Caida">
      <formula>ISERROR(SEARCH("Caida",Z5))</formula>
    </cfRule>
    <cfRule type="containsText" dxfId="240" priority="196" operator="containsText" text="Caida">
      <formula>NOT(ISERROR(SEARCH("Caida",Z5)))</formula>
    </cfRule>
  </conditionalFormatting>
  <conditionalFormatting sqref="Z5:Z372">
    <cfRule type="cellIs" dxfId="239" priority="194" operator="equal">
      <formula>"APAGADO"</formula>
    </cfRule>
  </conditionalFormatting>
  <conditionalFormatting sqref="Z6:Z92">
    <cfRule type="cellIs" dxfId="238" priority="192" operator="lessThan">
      <formula>0.8</formula>
    </cfRule>
    <cfRule type="cellIs" dxfId="237" priority="193" operator="greaterThan">
      <formula>0.8</formula>
    </cfRule>
  </conditionalFormatting>
  <conditionalFormatting sqref="Z6:Z92">
    <cfRule type="notContainsText" dxfId="236" priority="190" operator="notContains" text="Caida">
      <formula>ISERROR(SEARCH("Caida",Z6))</formula>
    </cfRule>
    <cfRule type="containsText" dxfId="235" priority="191" operator="containsText" text="Caida">
      <formula>NOT(ISERROR(SEARCH("Caida",Z6)))</formula>
    </cfRule>
  </conditionalFormatting>
  <conditionalFormatting sqref="Z93:Z95">
    <cfRule type="cellIs" dxfId="234" priority="188" operator="lessThan">
      <formula>0.8</formula>
    </cfRule>
    <cfRule type="cellIs" dxfId="233" priority="189" operator="greaterThan">
      <formula>0.8</formula>
    </cfRule>
  </conditionalFormatting>
  <conditionalFormatting sqref="Z93:Z95">
    <cfRule type="notContainsText" dxfId="232" priority="186" operator="notContains" text="Caida">
      <formula>ISERROR(SEARCH("Caida",Z93))</formula>
    </cfRule>
    <cfRule type="containsText" dxfId="231" priority="187" operator="containsText" text="Caida">
      <formula>NOT(ISERROR(SEARCH("Caida",Z93)))</formula>
    </cfRule>
  </conditionalFormatting>
  <conditionalFormatting sqref="Z5:Z372">
    <cfRule type="cellIs" dxfId="230" priority="185" operator="equal">
      <formula>"apagado"</formula>
    </cfRule>
  </conditionalFormatting>
  <conditionalFormatting sqref="AH94">
    <cfRule type="cellIs" dxfId="229" priority="182" operator="lessThan">
      <formula>0.8</formula>
    </cfRule>
    <cfRule type="cellIs" dxfId="228" priority="183" operator="greaterThan">
      <formula>0.8</formula>
    </cfRule>
  </conditionalFormatting>
  <conditionalFormatting sqref="AH94">
    <cfRule type="notContainsText" dxfId="227" priority="180" operator="notContains" text="Caida">
      <formula>ISERROR(SEARCH("Caida",AH94))</formula>
    </cfRule>
    <cfRule type="containsText" dxfId="226" priority="181" operator="containsText" text="Caida">
      <formula>NOT(ISERROR(SEARCH("Caida",AH94)))</formula>
    </cfRule>
  </conditionalFormatting>
  <conditionalFormatting sqref="AH96">
    <cfRule type="cellIs" dxfId="225" priority="178" operator="lessThan">
      <formula>0.8</formula>
    </cfRule>
    <cfRule type="cellIs" dxfId="224" priority="179" operator="greaterThan">
      <formula>0.8</formula>
    </cfRule>
  </conditionalFormatting>
  <conditionalFormatting sqref="AH96">
    <cfRule type="notContainsText" dxfId="223" priority="176" operator="notContains" text="Caida">
      <formula>ISERROR(SEARCH("Caida",AH96))</formula>
    </cfRule>
    <cfRule type="containsText" dxfId="222" priority="177" operator="containsText" text="Caida">
      <formula>NOT(ISERROR(SEARCH("Caida",AH96)))</formula>
    </cfRule>
  </conditionalFormatting>
  <conditionalFormatting sqref="AH99">
    <cfRule type="cellIs" dxfId="221" priority="174" operator="lessThan">
      <formula>0.8</formula>
    </cfRule>
    <cfRule type="cellIs" dxfId="220" priority="175" operator="greaterThan">
      <formula>0.8</formula>
    </cfRule>
  </conditionalFormatting>
  <conditionalFormatting sqref="AH99">
    <cfRule type="notContainsText" dxfId="219" priority="172" operator="notContains" text="Caida">
      <formula>ISERROR(SEARCH("Caida",AH99))</formula>
    </cfRule>
    <cfRule type="containsText" dxfId="218" priority="173" operator="containsText" text="Caida">
      <formula>NOT(ISERROR(SEARCH("Caida",AH99)))</formula>
    </cfRule>
  </conditionalFormatting>
  <conditionalFormatting sqref="AH115">
    <cfRule type="cellIs" dxfId="217" priority="170" operator="lessThan">
      <formula>0.8</formula>
    </cfRule>
    <cfRule type="cellIs" dxfId="216" priority="171" operator="greaterThan">
      <formula>0.8</formula>
    </cfRule>
  </conditionalFormatting>
  <conditionalFormatting sqref="AH115">
    <cfRule type="notContainsText" dxfId="215" priority="168" operator="notContains" text="Caida">
      <formula>ISERROR(SEARCH("Caida",AH115))</formula>
    </cfRule>
    <cfRule type="containsText" dxfId="214" priority="169" operator="containsText" text="Caida">
      <formula>NOT(ISERROR(SEARCH("Caida",AH115)))</formula>
    </cfRule>
  </conditionalFormatting>
  <conditionalFormatting sqref="AH116">
    <cfRule type="cellIs" dxfId="213" priority="166" operator="lessThan">
      <formula>0.8</formula>
    </cfRule>
    <cfRule type="cellIs" dxfId="212" priority="167" operator="greaterThan">
      <formula>0.8</formula>
    </cfRule>
  </conditionalFormatting>
  <conditionalFormatting sqref="AH116">
    <cfRule type="notContainsText" dxfId="211" priority="164" operator="notContains" text="Caida">
      <formula>ISERROR(SEARCH("Caida",AH116))</formula>
    </cfRule>
    <cfRule type="containsText" dxfId="210" priority="165" operator="containsText" text="Caida">
      <formula>NOT(ISERROR(SEARCH("Caida",AH116)))</formula>
    </cfRule>
  </conditionalFormatting>
  <conditionalFormatting sqref="AH120">
    <cfRule type="cellIs" dxfId="209" priority="162" operator="lessThan">
      <formula>0.8</formula>
    </cfRule>
    <cfRule type="cellIs" dxfId="208" priority="163" operator="greaterThan">
      <formula>0.8</formula>
    </cfRule>
  </conditionalFormatting>
  <conditionalFormatting sqref="AH120">
    <cfRule type="notContainsText" dxfId="207" priority="160" operator="notContains" text="Caida">
      <formula>ISERROR(SEARCH("Caida",AH120))</formula>
    </cfRule>
    <cfRule type="containsText" dxfId="206" priority="161" operator="containsText" text="Caida">
      <formula>NOT(ISERROR(SEARCH("Caida",AH120)))</formula>
    </cfRule>
  </conditionalFormatting>
  <conditionalFormatting sqref="AH121">
    <cfRule type="cellIs" dxfId="205" priority="158" operator="lessThan">
      <formula>0.8</formula>
    </cfRule>
    <cfRule type="cellIs" dxfId="204" priority="159" operator="greaterThan">
      <formula>0.8</formula>
    </cfRule>
  </conditionalFormatting>
  <conditionalFormatting sqref="AH121">
    <cfRule type="notContainsText" dxfId="203" priority="156" operator="notContains" text="Caida">
      <formula>ISERROR(SEARCH("Caida",AH121))</formula>
    </cfRule>
    <cfRule type="containsText" dxfId="202" priority="157" operator="containsText" text="Caida">
      <formula>NOT(ISERROR(SEARCH("Caida",AH121)))</formula>
    </cfRule>
  </conditionalFormatting>
  <conditionalFormatting sqref="AH133">
    <cfRule type="cellIs" dxfId="201" priority="154" operator="lessThan">
      <formula>0.8</formula>
    </cfRule>
    <cfRule type="cellIs" dxfId="200" priority="155" operator="greaterThan">
      <formula>0.8</formula>
    </cfRule>
  </conditionalFormatting>
  <conditionalFormatting sqref="AH133">
    <cfRule type="notContainsText" dxfId="199" priority="152" operator="notContains" text="Caida">
      <formula>ISERROR(SEARCH("Caida",AH133))</formula>
    </cfRule>
    <cfRule type="containsText" dxfId="198" priority="153" operator="containsText" text="Caida">
      <formula>NOT(ISERROR(SEARCH("Caida",AH133)))</formula>
    </cfRule>
  </conditionalFormatting>
  <conditionalFormatting sqref="AH135">
    <cfRule type="cellIs" dxfId="197" priority="150" operator="lessThan">
      <formula>0.8</formula>
    </cfRule>
    <cfRule type="cellIs" dxfId="196" priority="151" operator="greaterThan">
      <formula>0.8</formula>
    </cfRule>
  </conditionalFormatting>
  <conditionalFormatting sqref="AH135">
    <cfRule type="notContainsText" dxfId="195" priority="148" operator="notContains" text="Caida">
      <formula>ISERROR(SEARCH("Caida",AH135))</formula>
    </cfRule>
    <cfRule type="containsText" dxfId="194" priority="149" operator="containsText" text="Caida">
      <formula>NOT(ISERROR(SEARCH("Caida",AH135)))</formula>
    </cfRule>
  </conditionalFormatting>
  <conditionalFormatting sqref="AH142">
    <cfRule type="cellIs" dxfId="193" priority="146" operator="lessThan">
      <formula>0.8</formula>
    </cfRule>
    <cfRule type="cellIs" dxfId="192" priority="147" operator="greaterThan">
      <formula>0.8</formula>
    </cfRule>
  </conditionalFormatting>
  <conditionalFormatting sqref="AH142">
    <cfRule type="notContainsText" dxfId="191" priority="144" operator="notContains" text="Caida">
      <formula>ISERROR(SEARCH("Caida",AH142))</formula>
    </cfRule>
    <cfRule type="containsText" dxfId="190" priority="145" operator="containsText" text="Caida">
      <formula>NOT(ISERROR(SEARCH("Caida",AH142)))</formula>
    </cfRule>
  </conditionalFormatting>
  <conditionalFormatting sqref="AH143">
    <cfRule type="cellIs" dxfId="189" priority="142" operator="lessThan">
      <formula>0.8</formula>
    </cfRule>
    <cfRule type="cellIs" dxfId="188" priority="143" operator="greaterThan">
      <formula>0.8</formula>
    </cfRule>
  </conditionalFormatting>
  <conditionalFormatting sqref="AH143">
    <cfRule type="notContainsText" dxfId="187" priority="140" operator="notContains" text="Caida">
      <formula>ISERROR(SEARCH("Caida",AH143))</formula>
    </cfRule>
    <cfRule type="containsText" dxfId="186" priority="141" operator="containsText" text="Caida">
      <formula>NOT(ISERROR(SEARCH("Caida",AH143)))</formula>
    </cfRule>
  </conditionalFormatting>
  <conditionalFormatting sqref="AH144">
    <cfRule type="cellIs" dxfId="185" priority="138" operator="lessThan">
      <formula>0.8</formula>
    </cfRule>
    <cfRule type="cellIs" dxfId="184" priority="139" operator="greaterThan">
      <formula>0.8</formula>
    </cfRule>
  </conditionalFormatting>
  <conditionalFormatting sqref="AH144">
    <cfRule type="notContainsText" dxfId="183" priority="136" operator="notContains" text="Caida">
      <formula>ISERROR(SEARCH("Caida",AH144))</formula>
    </cfRule>
    <cfRule type="containsText" dxfId="182" priority="137" operator="containsText" text="Caida">
      <formula>NOT(ISERROR(SEARCH("Caida",AH144)))</formula>
    </cfRule>
  </conditionalFormatting>
  <conditionalFormatting sqref="AH163">
    <cfRule type="cellIs" dxfId="181" priority="134" operator="lessThan">
      <formula>0.8</formula>
    </cfRule>
    <cfRule type="cellIs" dxfId="180" priority="135" operator="greaterThan">
      <formula>0.8</formula>
    </cfRule>
  </conditionalFormatting>
  <conditionalFormatting sqref="AH163">
    <cfRule type="notContainsText" dxfId="179" priority="132" operator="notContains" text="Caida">
      <formula>ISERROR(SEARCH("Caida",AH163))</formula>
    </cfRule>
    <cfRule type="containsText" dxfId="178" priority="133" operator="containsText" text="Caida">
      <formula>NOT(ISERROR(SEARCH("Caida",AH163)))</formula>
    </cfRule>
  </conditionalFormatting>
  <conditionalFormatting sqref="AH164">
    <cfRule type="cellIs" dxfId="177" priority="130" operator="lessThan">
      <formula>0.8</formula>
    </cfRule>
    <cfRule type="cellIs" dxfId="176" priority="131" operator="greaterThan">
      <formula>0.8</formula>
    </cfRule>
  </conditionalFormatting>
  <conditionalFormatting sqref="AH164">
    <cfRule type="notContainsText" dxfId="175" priority="128" operator="notContains" text="Caida">
      <formula>ISERROR(SEARCH("Caida",AH164))</formula>
    </cfRule>
    <cfRule type="containsText" dxfId="174" priority="129" operator="containsText" text="Caida">
      <formula>NOT(ISERROR(SEARCH("Caida",AH164)))</formula>
    </cfRule>
  </conditionalFormatting>
  <conditionalFormatting sqref="AH166">
    <cfRule type="cellIs" dxfId="173" priority="126" operator="lessThan">
      <formula>0.8</formula>
    </cfRule>
    <cfRule type="cellIs" dxfId="172" priority="127" operator="greaterThan">
      <formula>0.8</formula>
    </cfRule>
  </conditionalFormatting>
  <conditionalFormatting sqref="AH166">
    <cfRule type="notContainsText" dxfId="171" priority="124" operator="notContains" text="Caida">
      <formula>ISERROR(SEARCH("Caida",AH166))</formula>
    </cfRule>
    <cfRule type="containsText" dxfId="170" priority="125" operator="containsText" text="Caida">
      <formula>NOT(ISERROR(SEARCH("Caida",AH166)))</formula>
    </cfRule>
  </conditionalFormatting>
  <conditionalFormatting sqref="AH177">
    <cfRule type="cellIs" dxfId="169" priority="122" operator="lessThan">
      <formula>0.8</formula>
    </cfRule>
    <cfRule type="cellIs" dxfId="168" priority="123" operator="greaterThan">
      <formula>0.8</formula>
    </cfRule>
  </conditionalFormatting>
  <conditionalFormatting sqref="AH177">
    <cfRule type="notContainsText" dxfId="167" priority="120" operator="notContains" text="Caida">
      <formula>ISERROR(SEARCH("Caida",AH177))</formula>
    </cfRule>
    <cfRule type="containsText" dxfId="166" priority="121" operator="containsText" text="Caida">
      <formula>NOT(ISERROR(SEARCH("Caida",AH177)))</formula>
    </cfRule>
  </conditionalFormatting>
  <conditionalFormatting sqref="AH191">
    <cfRule type="cellIs" dxfId="165" priority="118" operator="lessThan">
      <formula>0.8</formula>
    </cfRule>
    <cfRule type="cellIs" dxfId="164" priority="119" operator="greaterThan">
      <formula>0.8</formula>
    </cfRule>
  </conditionalFormatting>
  <conditionalFormatting sqref="AH191">
    <cfRule type="notContainsText" dxfId="163" priority="116" operator="notContains" text="Caida">
      <formula>ISERROR(SEARCH("Caida",AH191))</formula>
    </cfRule>
    <cfRule type="containsText" dxfId="162" priority="117" operator="containsText" text="Caida">
      <formula>NOT(ISERROR(SEARCH("Caida",AH191)))</formula>
    </cfRule>
  </conditionalFormatting>
  <conditionalFormatting sqref="AH192">
    <cfRule type="cellIs" dxfId="161" priority="114" operator="lessThan">
      <formula>0.8</formula>
    </cfRule>
    <cfRule type="cellIs" dxfId="160" priority="115" operator="greaterThan">
      <formula>0.8</formula>
    </cfRule>
  </conditionalFormatting>
  <conditionalFormatting sqref="AH192">
    <cfRule type="notContainsText" dxfId="159" priority="112" operator="notContains" text="Caida">
      <formula>ISERROR(SEARCH("Caida",AH192))</formula>
    </cfRule>
    <cfRule type="containsText" dxfId="158" priority="113" operator="containsText" text="Caida">
      <formula>NOT(ISERROR(SEARCH("Caida",AH192)))</formula>
    </cfRule>
  </conditionalFormatting>
  <conditionalFormatting sqref="AH198">
    <cfRule type="cellIs" dxfId="157" priority="110" operator="lessThan">
      <formula>0.8</formula>
    </cfRule>
    <cfRule type="cellIs" dxfId="156" priority="111" operator="greaterThan">
      <formula>0.8</formula>
    </cfRule>
  </conditionalFormatting>
  <conditionalFormatting sqref="AH198">
    <cfRule type="notContainsText" dxfId="155" priority="108" operator="notContains" text="Caida">
      <formula>ISERROR(SEARCH("Caida",AH198))</formula>
    </cfRule>
    <cfRule type="containsText" dxfId="154" priority="109" operator="containsText" text="Caida">
      <formula>NOT(ISERROR(SEARCH("Caida",AH198)))</formula>
    </cfRule>
  </conditionalFormatting>
  <conditionalFormatting sqref="AH206">
    <cfRule type="cellIs" dxfId="153" priority="106" operator="lessThan">
      <formula>0.8</formula>
    </cfRule>
    <cfRule type="cellIs" dxfId="152" priority="107" operator="greaterThan">
      <formula>0.8</formula>
    </cfRule>
  </conditionalFormatting>
  <conditionalFormatting sqref="AH206">
    <cfRule type="notContainsText" dxfId="151" priority="104" operator="notContains" text="Caida">
      <formula>ISERROR(SEARCH("Caida",AH206))</formula>
    </cfRule>
    <cfRule type="containsText" dxfId="150" priority="105" operator="containsText" text="Caida">
      <formula>NOT(ISERROR(SEARCH("Caida",AH206)))</formula>
    </cfRule>
  </conditionalFormatting>
  <conditionalFormatting sqref="AH211">
    <cfRule type="cellIs" dxfId="149" priority="102" operator="lessThan">
      <formula>0.8</formula>
    </cfRule>
    <cfRule type="cellIs" dxfId="148" priority="103" operator="greaterThan">
      <formula>0.8</formula>
    </cfRule>
  </conditionalFormatting>
  <conditionalFormatting sqref="AH211">
    <cfRule type="notContainsText" dxfId="147" priority="100" operator="notContains" text="Caida">
      <formula>ISERROR(SEARCH("Caida",AH211))</formula>
    </cfRule>
    <cfRule type="containsText" dxfId="146" priority="101" operator="containsText" text="Caida">
      <formula>NOT(ISERROR(SEARCH("Caida",AH211)))</formula>
    </cfRule>
  </conditionalFormatting>
  <conditionalFormatting sqref="AH212">
    <cfRule type="cellIs" dxfId="145" priority="98" operator="lessThan">
      <formula>0.8</formula>
    </cfRule>
    <cfRule type="cellIs" dxfId="144" priority="99" operator="greaterThan">
      <formula>0.8</formula>
    </cfRule>
  </conditionalFormatting>
  <conditionalFormatting sqref="AH212">
    <cfRule type="notContainsText" dxfId="143" priority="96" operator="notContains" text="Caida">
      <formula>ISERROR(SEARCH("Caida",AH212))</formula>
    </cfRule>
    <cfRule type="containsText" dxfId="142" priority="97" operator="containsText" text="Caida">
      <formula>NOT(ISERROR(SEARCH("Caida",AH212)))</formula>
    </cfRule>
  </conditionalFormatting>
  <conditionalFormatting sqref="AH359">
    <cfRule type="cellIs" dxfId="141" priority="95" operator="equal">
      <formula>"apagado"</formula>
    </cfRule>
  </conditionalFormatting>
  <conditionalFormatting sqref="AH360">
    <cfRule type="cellIs" dxfId="140" priority="94" operator="equal">
      <formula>"apagado"</formula>
    </cfRule>
  </conditionalFormatting>
  <conditionalFormatting sqref="AH361">
    <cfRule type="cellIs" dxfId="139" priority="93" operator="equal">
      <formula>"apagado"</formula>
    </cfRule>
  </conditionalFormatting>
  <conditionalFormatting sqref="AH362">
    <cfRule type="cellIs" dxfId="138" priority="92" operator="equal">
      <formula>"apagado"</formula>
    </cfRule>
  </conditionalFormatting>
  <conditionalFormatting sqref="AH206">
    <cfRule type="cellIs" dxfId="137" priority="91" operator="equal">
      <formula>"apagado"</formula>
    </cfRule>
  </conditionalFormatting>
  <conditionalFormatting sqref="AH211">
    <cfRule type="cellIs" dxfId="136" priority="90" operator="equal">
      <formula>"apagado"</formula>
    </cfRule>
  </conditionalFormatting>
  <conditionalFormatting sqref="AH212">
    <cfRule type="cellIs" dxfId="135" priority="89" operator="equal">
      <formula>"apagado"</formula>
    </cfRule>
  </conditionalFormatting>
  <conditionalFormatting sqref="AH198">
    <cfRule type="cellIs" dxfId="134" priority="88" operator="equal">
      <formula>"apagado"</formula>
    </cfRule>
  </conditionalFormatting>
  <conditionalFormatting sqref="AH192">
    <cfRule type="cellIs" dxfId="133" priority="87" operator="equal">
      <formula>"apagado"</formula>
    </cfRule>
  </conditionalFormatting>
  <conditionalFormatting sqref="AH191">
    <cfRule type="cellIs" dxfId="132" priority="86" operator="equal">
      <formula>"apagado"</formula>
    </cfRule>
  </conditionalFormatting>
  <conditionalFormatting sqref="AH177">
    <cfRule type="cellIs" dxfId="131" priority="85" operator="equal">
      <formula>"apagado"</formula>
    </cfRule>
  </conditionalFormatting>
  <conditionalFormatting sqref="AH166">
    <cfRule type="cellIs" dxfId="130" priority="84" operator="equal">
      <formula>"apagado"</formula>
    </cfRule>
  </conditionalFormatting>
  <conditionalFormatting sqref="AH163">
    <cfRule type="cellIs" dxfId="129" priority="83" operator="equal">
      <formula>"apagado"</formula>
    </cfRule>
  </conditionalFormatting>
  <conditionalFormatting sqref="AH164">
    <cfRule type="cellIs" dxfId="128" priority="82" operator="equal">
      <formula>"apagado"</formula>
    </cfRule>
  </conditionalFormatting>
  <conditionalFormatting sqref="AH142">
    <cfRule type="cellIs" dxfId="127" priority="81" operator="equal">
      <formula>"apagado"</formula>
    </cfRule>
  </conditionalFormatting>
  <conditionalFormatting sqref="AH143">
    <cfRule type="cellIs" dxfId="126" priority="80" operator="equal">
      <formula>"apagado"</formula>
    </cfRule>
  </conditionalFormatting>
  <conditionalFormatting sqref="AH144">
    <cfRule type="cellIs" dxfId="125" priority="79" operator="equal">
      <formula>"apagado"</formula>
    </cfRule>
  </conditionalFormatting>
  <conditionalFormatting sqref="AH133">
    <cfRule type="cellIs" dxfId="124" priority="78" operator="equal">
      <formula>"apagado"</formula>
    </cfRule>
  </conditionalFormatting>
  <conditionalFormatting sqref="AH135">
    <cfRule type="cellIs" dxfId="123" priority="77" operator="equal">
      <formula>"apagado"</formula>
    </cfRule>
  </conditionalFormatting>
  <conditionalFormatting sqref="AH115">
    <cfRule type="cellIs" dxfId="122" priority="76" operator="equal">
      <formula>"apagado"</formula>
    </cfRule>
  </conditionalFormatting>
  <conditionalFormatting sqref="AH116">
    <cfRule type="cellIs" dxfId="121" priority="75" operator="equal">
      <formula>"apagado"</formula>
    </cfRule>
  </conditionalFormatting>
  <conditionalFormatting sqref="AH120">
    <cfRule type="cellIs" dxfId="120" priority="74" operator="equal">
      <formula>"apagado"</formula>
    </cfRule>
  </conditionalFormatting>
  <conditionalFormatting sqref="AH121">
    <cfRule type="cellIs" dxfId="119" priority="73" operator="equal">
      <formula>"apagado"</formula>
    </cfRule>
  </conditionalFormatting>
  <conditionalFormatting sqref="AH99">
    <cfRule type="cellIs" dxfId="118" priority="72" operator="equal">
      <formula>"apagado"</formula>
    </cfRule>
  </conditionalFormatting>
  <conditionalFormatting sqref="AH94">
    <cfRule type="cellIs" dxfId="117" priority="70" operator="lessThan">
      <formula>0.8</formula>
    </cfRule>
    <cfRule type="cellIs" dxfId="116" priority="71" operator="greaterThan">
      <formula>0.8</formula>
    </cfRule>
  </conditionalFormatting>
  <conditionalFormatting sqref="AH94">
    <cfRule type="notContainsText" dxfId="115" priority="68" operator="notContains" text="Caida">
      <formula>ISERROR(SEARCH("Caida",AH94))</formula>
    </cfRule>
    <cfRule type="containsText" dxfId="114" priority="69" operator="containsText" text="Caida">
      <formula>NOT(ISERROR(SEARCH("Caida",AH94)))</formula>
    </cfRule>
  </conditionalFormatting>
  <conditionalFormatting sqref="AH94">
    <cfRule type="cellIs" dxfId="113" priority="67" operator="equal">
      <formula>"apagado"</formula>
    </cfRule>
  </conditionalFormatting>
  <conditionalFormatting sqref="AH96">
    <cfRule type="cellIs" dxfId="112" priority="66" operator="equal">
      <formula>"apagado"</formula>
    </cfRule>
  </conditionalFormatting>
  <conditionalFormatting sqref="V373:X379 AA373:AJ379 N373:N379">
    <cfRule type="cellIs" dxfId="111" priority="50" operator="lessThan">
      <formula>0.8</formula>
    </cfRule>
    <cfRule type="cellIs" dxfId="110" priority="51" operator="greaterThan">
      <formula>0.8</formula>
    </cfRule>
  </conditionalFormatting>
  <conditionalFormatting sqref="E373:K379">
    <cfRule type="containsText" dxfId="109" priority="49" operator="containsText" text="Radio">
      <formula>NOT(ISERROR(SEARCH("Radio",E373)))</formula>
    </cfRule>
  </conditionalFormatting>
  <conditionalFormatting sqref="O373:O379 V373:X379 AA373:AP379 AR373:AR379">
    <cfRule type="notContainsText" dxfId="108" priority="47" operator="notContains" text="Caida">
      <formula>ISERROR(SEARCH("Caida",O373))</formula>
    </cfRule>
    <cfRule type="containsText" dxfId="107" priority="48" operator="containsText" text="Caida">
      <formula>NOT(ISERROR(SEARCH("Caida",O373)))</formula>
    </cfRule>
  </conditionalFormatting>
  <conditionalFormatting sqref="P373:P379">
    <cfRule type="cellIs" dxfId="106" priority="45" operator="lessThan">
      <formula>0.8</formula>
    </cfRule>
    <cfRule type="cellIs" dxfId="105" priority="46" operator="greaterThan">
      <formula>0.8</formula>
    </cfRule>
  </conditionalFormatting>
  <conditionalFormatting sqref="P373:P379">
    <cfRule type="notContainsText" dxfId="104" priority="43" operator="notContains" text="Caida">
      <formula>ISERROR(SEARCH("Caida",P373))</formula>
    </cfRule>
    <cfRule type="containsText" dxfId="103" priority="44" operator="containsText" text="Caida">
      <formula>NOT(ISERROR(SEARCH("Caida",P373)))</formula>
    </cfRule>
  </conditionalFormatting>
  <conditionalFormatting sqref="Q373:Q379">
    <cfRule type="cellIs" dxfId="102" priority="41" operator="lessThan">
      <formula>0.8</formula>
    </cfRule>
    <cfRule type="cellIs" dxfId="101" priority="42" operator="greaterThan">
      <formula>0.8</formula>
    </cfRule>
  </conditionalFormatting>
  <conditionalFormatting sqref="Q373:Q379">
    <cfRule type="notContainsText" dxfId="100" priority="39" operator="notContains" text="Caida">
      <formula>ISERROR(SEARCH("Caida",Q373))</formula>
    </cfRule>
    <cfRule type="containsText" dxfId="99" priority="40" operator="containsText" text="Caida">
      <formula>NOT(ISERROR(SEARCH("Caida",Q373)))</formula>
    </cfRule>
  </conditionalFormatting>
  <conditionalFormatting sqref="U373:U379">
    <cfRule type="cellIs" dxfId="98" priority="37" operator="lessThan">
      <formula>0.8</formula>
    </cfRule>
    <cfRule type="cellIs" dxfId="97" priority="38" operator="greaterThan">
      <formula>0.8</formula>
    </cfRule>
  </conditionalFormatting>
  <conditionalFormatting sqref="U373:U379">
    <cfRule type="notContainsText" dxfId="96" priority="35" operator="notContains" text="Caida">
      <formula>ISERROR(SEARCH("Caida",U373))</formula>
    </cfRule>
    <cfRule type="containsText" dxfId="95" priority="36" operator="containsText" text="Caida">
      <formula>NOT(ISERROR(SEARCH("Caida",U373)))</formula>
    </cfRule>
  </conditionalFormatting>
  <conditionalFormatting sqref="E373:E379">
    <cfRule type="containsText" dxfId="94" priority="33" operator="containsText" text="fija">
      <formula>NOT(ISERROR(SEARCH("fija",E373)))</formula>
    </cfRule>
    <cfRule type="containsText" dxfId="93" priority="34" operator="containsText" text="domo">
      <formula>NOT(ISERROR(SEARCH("domo",E373)))</formula>
    </cfRule>
  </conditionalFormatting>
  <conditionalFormatting sqref="O373:O379 AK373:AR379">
    <cfRule type="cellIs" dxfId="92" priority="32" operator="equal">
      <formula>"APAGADO"</formula>
    </cfRule>
  </conditionalFormatting>
  <conditionalFormatting sqref="F373:F379">
    <cfRule type="cellIs" dxfId="91" priority="31" operator="equal">
      <formula>"PTP A FO"</formula>
    </cfRule>
  </conditionalFormatting>
  <conditionalFormatting sqref="R373:T379">
    <cfRule type="cellIs" dxfId="90" priority="29" operator="lessThan">
      <formula>0.8</formula>
    </cfRule>
    <cfRule type="cellIs" dxfId="89" priority="30" operator="greaterThan">
      <formula>0.8</formula>
    </cfRule>
  </conditionalFormatting>
  <conditionalFormatting sqref="R373:T379">
    <cfRule type="notContainsText" dxfId="88" priority="27" operator="notContains" text="Caida">
      <formula>ISERROR(SEARCH("Caida",R373))</formula>
    </cfRule>
    <cfRule type="containsText" dxfId="87" priority="28" operator="containsText" text="Caida">
      <formula>NOT(ISERROR(SEARCH("Caida",R373)))</formula>
    </cfRule>
  </conditionalFormatting>
  <conditionalFormatting sqref="AF373:AF379">
    <cfRule type="cellIs" dxfId="86" priority="26" operator="equal">
      <formula>"apagado"</formula>
    </cfRule>
  </conditionalFormatting>
  <conditionalFormatting sqref="AE373:AE379">
    <cfRule type="cellIs" dxfId="85" priority="25" operator="equal">
      <formula>"apagado"</formula>
    </cfRule>
  </conditionalFormatting>
  <conditionalFormatting sqref="AD373:AD379">
    <cfRule type="cellIs" dxfId="84" priority="24" operator="equal">
      <formula>"apagado"</formula>
    </cfRule>
  </conditionalFormatting>
  <conditionalFormatting sqref="AC373:AC379">
    <cfRule type="cellIs" dxfId="83" priority="23" operator="equal">
      <formula>"apagado"</formula>
    </cfRule>
  </conditionalFormatting>
  <conditionalFormatting sqref="AB373:AB379">
    <cfRule type="cellIs" dxfId="82" priority="22" operator="equal">
      <formula>"apagado"</formula>
    </cfRule>
  </conditionalFormatting>
  <conditionalFormatting sqref="AA373:AA379">
    <cfRule type="cellIs" dxfId="81" priority="21" operator="equal">
      <formula>"apagado"</formula>
    </cfRule>
  </conditionalFormatting>
  <conditionalFormatting sqref="AG373:AG379">
    <cfRule type="cellIs" dxfId="80" priority="20" operator="equal">
      <formula>"apagado"</formula>
    </cfRule>
  </conditionalFormatting>
  <conditionalFormatting sqref="AH373:AH379">
    <cfRule type="cellIs" dxfId="79" priority="19" operator="equal">
      <formula>"apagado"</formula>
    </cfRule>
  </conditionalFormatting>
  <conditionalFormatting sqref="AI373:AI379">
    <cfRule type="cellIs" dxfId="78" priority="18" operator="equal">
      <formula>"apagado"</formula>
    </cfRule>
  </conditionalFormatting>
  <conditionalFormatting sqref="AJ373:AJ379">
    <cfRule type="cellIs" dxfId="77" priority="17" operator="equal">
      <formula>"apagado"</formula>
    </cfRule>
  </conditionalFormatting>
  <conditionalFormatting sqref="AQ373:AQ379">
    <cfRule type="notContainsText" dxfId="76" priority="15" operator="notContains" text="Caida">
      <formula>ISERROR(SEARCH("Caida",AQ373))</formula>
    </cfRule>
    <cfRule type="containsText" dxfId="75" priority="16" operator="containsText" text="Caida">
      <formula>NOT(ISERROR(SEARCH("Caida",AQ373)))</formula>
    </cfRule>
  </conditionalFormatting>
  <conditionalFormatting sqref="AQ373:AQ379">
    <cfRule type="cellIs" dxfId="74" priority="14" operator="equal">
      <formula>"apagado"</formula>
    </cfRule>
  </conditionalFormatting>
  <conditionalFormatting sqref="O373:X379 AA373:AR379">
    <cfRule type="cellIs" dxfId="73" priority="13" operator="equal">
      <formula>"APAGADO"</formula>
    </cfRule>
  </conditionalFormatting>
  <conditionalFormatting sqref="Y373:Y379">
    <cfRule type="cellIs" dxfId="72" priority="11" operator="lessThan">
      <formula>0.8</formula>
    </cfRule>
    <cfRule type="cellIs" dxfId="71" priority="12" operator="greaterThan">
      <formula>0.8</formula>
    </cfRule>
  </conditionalFormatting>
  <conditionalFormatting sqref="Y373:Y379">
    <cfRule type="notContainsText" dxfId="70" priority="9" operator="notContains" text="Caida">
      <formula>ISERROR(SEARCH("Caida",Y373))</formula>
    </cfRule>
    <cfRule type="containsText" dxfId="69" priority="10" operator="containsText" text="Caida">
      <formula>NOT(ISERROR(SEARCH("Caida",Y373)))</formula>
    </cfRule>
  </conditionalFormatting>
  <conditionalFormatting sqref="Y373:Y379">
    <cfRule type="cellIs" dxfId="68" priority="8" operator="equal">
      <formula>"APAGADO"</formula>
    </cfRule>
  </conditionalFormatting>
  <conditionalFormatting sqref="Y373:Y379">
    <cfRule type="cellIs" dxfId="67" priority="7" operator="equal">
      <formula>"apagado"</formula>
    </cfRule>
  </conditionalFormatting>
  <conditionalFormatting sqref="Z373:Z379">
    <cfRule type="cellIs" dxfId="66" priority="5" operator="lessThan">
      <formula>0.8</formula>
    </cfRule>
    <cfRule type="cellIs" dxfId="65" priority="6" operator="greaterThan">
      <formula>0.8</formula>
    </cfRule>
  </conditionalFormatting>
  <conditionalFormatting sqref="Z373:Z379">
    <cfRule type="notContainsText" dxfId="64" priority="3" operator="notContains" text="Caida">
      <formula>ISERROR(SEARCH("Caida",Z373))</formula>
    </cfRule>
    <cfRule type="containsText" dxfId="63" priority="4" operator="containsText" text="Caida">
      <formula>NOT(ISERROR(SEARCH("Caida",Z373)))</formula>
    </cfRule>
  </conditionalFormatting>
  <conditionalFormatting sqref="Z373:Z379">
    <cfRule type="cellIs" dxfId="62" priority="2" operator="equal">
      <formula>"APAGADO"</formula>
    </cfRule>
  </conditionalFormatting>
  <conditionalFormatting sqref="Z373:Z379">
    <cfRule type="cellIs" dxfId="6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AA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1319</v>
      </c>
      <c r="D1" s="49">
        <f>COUNTIFS(E4:E369,"=Fibra Optica")</f>
        <v>238</v>
      </c>
    </row>
    <row r="2" spans="1:35" ht="21" x14ac:dyDescent="0.35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5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COUNTIFS(E4:E367,"=PTP A FO")</f>
        <v>38</v>
      </c>
    </row>
    <row r="2" spans="1:35" ht="21" x14ac:dyDescent="0.35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57" priority="2" operator="containsText" text="APAGADO">
      <formula>NOT(ISERROR(SEARCH("APAGADO",AE3)))</formula>
    </cfRule>
  </conditionalFormatting>
  <conditionalFormatting sqref="F4:AG370 AH4:AI369">
    <cfRule type="containsText" dxfId="5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1321</v>
      </c>
      <c r="D1" s="50">
        <f>COUNTIFS(E4:E367,"=radio")</f>
        <v>88</v>
      </c>
    </row>
    <row r="2" spans="1:35" ht="21" x14ac:dyDescent="0.35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55" priority="2" operator="containsText" text="APAGADO">
      <formula>NOT(ISERROR(SEARCH("APAGADO",AE3)))</formula>
    </cfRule>
  </conditionalFormatting>
  <conditionalFormatting sqref="F4:AG370 AH4:AI369">
    <cfRule type="containsText" dxfId="5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5" sqref="F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/>
      <c r="C5" s="54"/>
      <c r="D5" s="54"/>
      <c r="E5" s="54"/>
    </row>
    <row r="6" spans="1:7" x14ac:dyDescent="0.25">
      <c r="A6" s="25">
        <f>'APAGADOS RADIO'!J3</f>
        <v>44717</v>
      </c>
      <c r="B6" s="54"/>
      <c r="C6" s="54"/>
      <c r="D6" s="54"/>
      <c r="E6" s="54"/>
    </row>
    <row r="7" spans="1:7" x14ac:dyDescent="0.25">
      <c r="A7" s="25">
        <f>'APAGADOS RADIO'!K3</f>
        <v>44718</v>
      </c>
      <c r="B7" s="54"/>
      <c r="C7" s="54"/>
      <c r="D7" s="54"/>
      <c r="E7" s="54"/>
    </row>
    <row r="8" spans="1:7" x14ac:dyDescent="0.25">
      <c r="A8" s="25">
        <f>'APAGADOS RADIO'!L3</f>
        <v>44719</v>
      </c>
      <c r="B8" s="54"/>
      <c r="C8" s="54"/>
      <c r="D8" s="54"/>
      <c r="E8" s="54"/>
    </row>
    <row r="9" spans="1:7" x14ac:dyDescent="0.25">
      <c r="A9" s="25">
        <f>'APAGADOS RADIO'!M3</f>
        <v>44720</v>
      </c>
      <c r="B9" s="54"/>
      <c r="C9" s="54"/>
      <c r="D9" s="54"/>
      <c r="E9" s="54"/>
    </row>
    <row r="10" spans="1:7" x14ac:dyDescent="0.25">
      <c r="A10" s="25">
        <f>'APAGADOS RADIO'!N3</f>
        <v>44721</v>
      </c>
      <c r="B10" s="54"/>
      <c r="C10" s="54"/>
      <c r="D10" s="54"/>
      <c r="E10" s="54"/>
    </row>
    <row r="11" spans="1:7" x14ac:dyDescent="0.25">
      <c r="A11" s="25">
        <f>'APAGADOS RADIO'!O3</f>
        <v>44722</v>
      </c>
      <c r="B11" s="54"/>
      <c r="C11" s="54"/>
      <c r="D11" s="54"/>
      <c r="E11" s="54"/>
    </row>
    <row r="12" spans="1:7" x14ac:dyDescent="0.25">
      <c r="A12" s="25">
        <f>'APAGADOS RADIO'!P3</f>
        <v>44723</v>
      </c>
      <c r="B12" s="54"/>
      <c r="C12" s="54"/>
      <c r="D12" s="54"/>
      <c r="E12" s="54"/>
    </row>
    <row r="13" spans="1:7" x14ac:dyDescent="0.25">
      <c r="A13" s="25">
        <f>'APAGADOS RADIO'!Q3</f>
        <v>44724</v>
      </c>
      <c r="B13" s="54"/>
      <c r="C13" s="54"/>
      <c r="D13" s="54"/>
      <c r="E13" s="54"/>
    </row>
    <row r="14" spans="1:7" x14ac:dyDescent="0.25">
      <c r="A14" s="25">
        <f>'APAGADOS RADIO'!R3</f>
        <v>44725</v>
      </c>
      <c r="B14" s="54"/>
      <c r="C14" s="54"/>
      <c r="D14" s="54"/>
      <c r="E14" s="54"/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A2" sqref="A2:E6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1351</v>
      </c>
      <c r="D1" s="69" t="s">
        <v>1352</v>
      </c>
    </row>
    <row r="2" spans="1:13" ht="16.5" thickTop="1" thickBot="1" x14ac:dyDescent="0.3">
      <c r="A2" s="66" t="s">
        <v>1348</v>
      </c>
      <c r="B2" s="77">
        <v>375</v>
      </c>
      <c r="C2" s="73"/>
      <c r="D2" s="70"/>
      <c r="E2" s="9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93"/>
      <c r="G3" s="80" t="s">
        <v>152</v>
      </c>
      <c r="H3" s="81" t="s">
        <v>153</v>
      </c>
      <c r="I3" s="81" t="s">
        <v>24</v>
      </c>
      <c r="J3" s="81" t="s">
        <v>36</v>
      </c>
      <c r="K3" s="82" t="s">
        <v>971</v>
      </c>
      <c r="L3" s="83" t="s">
        <v>1357</v>
      </c>
      <c r="M3" s="95">
        <v>44715</v>
      </c>
    </row>
    <row r="4" spans="1:13" x14ac:dyDescent="0.25">
      <c r="A4" s="67" t="s">
        <v>1350</v>
      </c>
      <c r="B4" s="78">
        <v>4</v>
      </c>
      <c r="C4" s="74">
        <f>B3-B4</f>
        <v>79</v>
      </c>
      <c r="D4" s="71">
        <f>C4/B2</f>
        <v>0.21066666666666667</v>
      </c>
      <c r="E4" s="93"/>
      <c r="G4" s="84" t="s">
        <v>552</v>
      </c>
      <c r="H4" s="85" t="s">
        <v>553</v>
      </c>
      <c r="I4" s="85" t="s">
        <v>19</v>
      </c>
      <c r="J4" s="85" t="s">
        <v>36</v>
      </c>
      <c r="K4" s="86" t="s">
        <v>1150</v>
      </c>
      <c r="L4" s="87" t="s">
        <v>1358</v>
      </c>
      <c r="M4" s="96"/>
    </row>
    <row r="5" spans="1:13" x14ac:dyDescent="0.25">
      <c r="A5" s="67" t="s">
        <v>1349</v>
      </c>
      <c r="B5" s="78">
        <v>3</v>
      </c>
      <c r="C5" s="74">
        <f>C4-B5</f>
        <v>76</v>
      </c>
      <c r="D5" s="71">
        <f>C5/B2</f>
        <v>0.20266666666666666</v>
      </c>
      <c r="E5" s="93"/>
      <c r="G5" s="84" t="s">
        <v>554</v>
      </c>
      <c r="H5" s="85" t="s">
        <v>553</v>
      </c>
      <c r="I5" s="85" t="s">
        <v>113</v>
      </c>
      <c r="J5" s="85" t="s">
        <v>36</v>
      </c>
      <c r="K5" s="86" t="s">
        <v>1149</v>
      </c>
      <c r="L5" s="87" t="s">
        <v>1358</v>
      </c>
      <c r="M5" s="96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94"/>
      <c r="G6" s="84" t="s">
        <v>519</v>
      </c>
      <c r="H6" s="85" t="s">
        <v>518</v>
      </c>
      <c r="I6" s="85" t="s">
        <v>113</v>
      </c>
      <c r="J6" s="85" t="s">
        <v>36</v>
      </c>
      <c r="K6" s="86" t="s">
        <v>1135</v>
      </c>
      <c r="L6" s="87" t="s">
        <v>1359</v>
      </c>
      <c r="M6" s="96"/>
    </row>
    <row r="7" spans="1:13" ht="15" customHeight="1" thickTop="1" x14ac:dyDescent="0.25">
      <c r="A7" s="66"/>
      <c r="B7" s="77"/>
      <c r="C7" s="73"/>
      <c r="D7" s="70"/>
      <c r="E7" s="92"/>
      <c r="G7" s="84"/>
      <c r="H7" s="85"/>
      <c r="I7" s="85"/>
      <c r="J7" s="85"/>
      <c r="K7" s="86"/>
      <c r="L7" s="87"/>
      <c r="M7" s="96"/>
    </row>
    <row r="8" spans="1:13" x14ac:dyDescent="0.25">
      <c r="A8" s="67"/>
      <c r="B8" s="78"/>
      <c r="C8" s="74"/>
      <c r="D8" s="71"/>
      <c r="E8" s="93"/>
      <c r="G8" s="84"/>
      <c r="H8" s="85"/>
      <c r="I8" s="85"/>
      <c r="J8" s="85"/>
      <c r="K8" s="86"/>
      <c r="L8" s="87"/>
      <c r="M8" s="96"/>
    </row>
    <row r="9" spans="1:13" x14ac:dyDescent="0.25">
      <c r="A9" s="67"/>
      <c r="B9" s="78"/>
      <c r="C9" s="74"/>
      <c r="D9" s="71"/>
      <c r="E9" s="93"/>
      <c r="G9" s="84"/>
      <c r="H9" s="85"/>
      <c r="I9" s="85"/>
      <c r="J9" s="85"/>
      <c r="K9" s="86"/>
      <c r="L9" s="87"/>
      <c r="M9" s="96"/>
    </row>
    <row r="10" spans="1:13" x14ac:dyDescent="0.25">
      <c r="A10" s="67"/>
      <c r="B10" s="78"/>
      <c r="C10" s="74"/>
      <c r="D10" s="71"/>
      <c r="E10" s="93"/>
      <c r="G10" s="84"/>
      <c r="H10" s="85"/>
      <c r="I10" s="85"/>
      <c r="J10" s="85"/>
      <c r="K10" s="86"/>
      <c r="L10" s="87"/>
      <c r="M10" s="96"/>
    </row>
    <row r="11" spans="1:13" ht="15.75" thickBot="1" x14ac:dyDescent="0.3">
      <c r="A11" s="68"/>
      <c r="B11" s="79"/>
      <c r="C11" s="75"/>
      <c r="D11" s="72"/>
      <c r="E11" s="94"/>
      <c r="G11" s="84"/>
      <c r="H11" s="85"/>
      <c r="I11" s="85"/>
      <c r="J11" s="85"/>
      <c r="K11" s="86"/>
      <c r="L11" s="87"/>
      <c r="M11" s="96"/>
    </row>
    <row r="12" spans="1:13" ht="15.75" thickTop="1" x14ac:dyDescent="0.25">
      <c r="A12" s="66"/>
      <c r="B12" s="77"/>
      <c r="C12" s="73"/>
      <c r="D12" s="70"/>
      <c r="E12" s="92"/>
      <c r="G12" s="84"/>
      <c r="H12" s="85"/>
      <c r="I12" s="85"/>
      <c r="J12" s="85"/>
      <c r="K12" s="86"/>
      <c r="L12" s="87"/>
      <c r="M12" s="96"/>
    </row>
    <row r="13" spans="1:13" ht="15.75" thickBot="1" x14ac:dyDescent="0.3">
      <c r="A13" s="67"/>
      <c r="B13" s="78"/>
      <c r="C13" s="74"/>
      <c r="D13" s="71"/>
      <c r="E13" s="93"/>
      <c r="G13" s="88"/>
      <c r="H13" s="89"/>
      <c r="I13" s="89"/>
      <c r="J13" s="89"/>
      <c r="K13" s="90"/>
      <c r="L13" s="91"/>
      <c r="M13" s="97"/>
    </row>
    <row r="14" spans="1:13" ht="15.75" thickBot="1" x14ac:dyDescent="0.3">
      <c r="A14" s="67"/>
      <c r="B14" s="78"/>
      <c r="C14" s="74"/>
      <c r="D14" s="71"/>
      <c r="E14" s="93"/>
    </row>
    <row r="15" spans="1:13" ht="15.75" thickTop="1" x14ac:dyDescent="0.25">
      <c r="A15" s="67"/>
      <c r="B15" s="78"/>
      <c r="C15" s="74"/>
      <c r="D15" s="71"/>
      <c r="E15" s="93"/>
      <c r="G15" s="80"/>
      <c r="H15" s="81"/>
      <c r="I15" s="81"/>
      <c r="J15" s="81"/>
      <c r="K15" s="82"/>
      <c r="L15" s="83"/>
      <c r="M15" s="95">
        <v>44712</v>
      </c>
    </row>
    <row r="16" spans="1:13" ht="15.75" thickBot="1" x14ac:dyDescent="0.3">
      <c r="A16" s="68"/>
      <c r="B16" s="79"/>
      <c r="C16" s="75"/>
      <c r="D16" s="72"/>
      <c r="E16" s="94"/>
      <c r="G16" s="84"/>
      <c r="H16" s="85"/>
      <c r="I16" s="85"/>
      <c r="J16" s="85"/>
      <c r="K16" s="86"/>
      <c r="L16" s="87"/>
      <c r="M16" s="96"/>
    </row>
    <row r="17" spans="1:13" ht="15.75" thickTop="1" x14ac:dyDescent="0.25">
      <c r="A17" s="66"/>
      <c r="B17" s="77"/>
      <c r="C17" s="73"/>
      <c r="D17" s="70"/>
      <c r="E17" s="92"/>
      <c r="G17" s="84"/>
      <c r="H17" s="85"/>
      <c r="I17" s="85"/>
      <c r="J17" s="85"/>
      <c r="K17" s="86"/>
      <c r="L17" s="87"/>
      <c r="M17" s="96"/>
    </row>
    <row r="18" spans="1:13" x14ac:dyDescent="0.25">
      <c r="A18" s="67"/>
      <c r="B18" s="78"/>
      <c r="C18" s="74"/>
      <c r="D18" s="71"/>
      <c r="E18" s="93"/>
      <c r="G18" s="84"/>
      <c r="H18" s="85"/>
      <c r="I18" s="85"/>
      <c r="J18" s="85"/>
      <c r="K18" s="86"/>
      <c r="L18" s="87"/>
      <c r="M18" s="96"/>
    </row>
    <row r="19" spans="1:13" x14ac:dyDescent="0.25">
      <c r="A19" s="67"/>
      <c r="B19" s="78"/>
      <c r="C19" s="74"/>
      <c r="D19" s="71"/>
      <c r="E19" s="93"/>
      <c r="G19" s="84"/>
      <c r="H19" s="85"/>
      <c r="I19" s="85"/>
      <c r="J19" s="85"/>
      <c r="K19" s="86"/>
      <c r="L19" s="87"/>
      <c r="M19" s="96"/>
    </row>
    <row r="20" spans="1:13" x14ac:dyDescent="0.25">
      <c r="A20" s="67"/>
      <c r="B20" s="78"/>
      <c r="C20" s="74"/>
      <c r="D20" s="71"/>
      <c r="E20" s="93"/>
      <c r="G20" s="84"/>
      <c r="H20" s="85"/>
      <c r="I20" s="85"/>
      <c r="J20" s="85"/>
      <c r="K20" s="86"/>
      <c r="L20" s="87"/>
      <c r="M20" s="96"/>
    </row>
    <row r="21" spans="1:13" ht="15.75" thickBot="1" x14ac:dyDescent="0.3">
      <c r="A21" s="68"/>
      <c r="B21" s="79"/>
      <c r="C21" s="75"/>
      <c r="D21" s="72"/>
      <c r="E21" s="94"/>
      <c r="G21" s="84"/>
      <c r="H21" s="85"/>
      <c r="I21" s="85"/>
      <c r="J21" s="85"/>
      <c r="K21" s="86"/>
      <c r="L21" s="87"/>
      <c r="M21" s="96"/>
    </row>
    <row r="22" spans="1:13" ht="15.75" thickTop="1" x14ac:dyDescent="0.25">
      <c r="A22" s="66"/>
      <c r="B22" s="77"/>
      <c r="C22" s="73"/>
      <c r="D22" s="70"/>
      <c r="E22" s="92"/>
      <c r="G22" s="84"/>
      <c r="H22" s="85"/>
      <c r="I22" s="85"/>
      <c r="J22" s="85"/>
      <c r="K22" s="86"/>
      <c r="L22" s="87"/>
      <c r="M22" s="96"/>
    </row>
    <row r="23" spans="1:13" x14ac:dyDescent="0.25">
      <c r="A23" s="67"/>
      <c r="B23" s="78"/>
      <c r="C23" s="74"/>
      <c r="D23" s="71"/>
      <c r="E23" s="93"/>
      <c r="G23" s="84"/>
      <c r="H23" s="85"/>
      <c r="I23" s="85"/>
      <c r="J23" s="85"/>
      <c r="K23" s="86"/>
      <c r="L23" s="87"/>
      <c r="M23" s="96"/>
    </row>
    <row r="24" spans="1:13" x14ac:dyDescent="0.25">
      <c r="A24" s="67"/>
      <c r="B24" s="78"/>
      <c r="C24" s="74"/>
      <c r="D24" s="71"/>
      <c r="E24" s="93"/>
      <c r="G24" s="84"/>
      <c r="H24" s="85"/>
      <c r="I24" s="85"/>
      <c r="J24" s="85"/>
      <c r="K24" s="86"/>
      <c r="L24" s="87"/>
      <c r="M24" s="96"/>
    </row>
    <row r="25" spans="1:13" ht="15.75" thickBot="1" x14ac:dyDescent="0.3">
      <c r="A25" s="67"/>
      <c r="B25" s="78"/>
      <c r="C25" s="74"/>
      <c r="D25" s="71"/>
      <c r="E25" s="93"/>
      <c r="G25" s="88"/>
      <c r="H25" s="89"/>
      <c r="I25" s="89"/>
      <c r="J25" s="89"/>
      <c r="K25" s="90"/>
      <c r="L25" s="91"/>
      <c r="M25" s="97"/>
    </row>
    <row r="26" spans="1:13" ht="15.75" thickBot="1" x14ac:dyDescent="0.3">
      <c r="A26" s="68"/>
      <c r="B26" s="79"/>
      <c r="C26" s="75"/>
      <c r="D26" s="72"/>
      <c r="E26" s="94"/>
    </row>
    <row r="27" spans="1:13" ht="15.75" thickTop="1" x14ac:dyDescent="0.25"/>
  </sheetData>
  <mergeCells count="7">
    <mergeCell ref="E22:E26"/>
    <mergeCell ref="M3:M13"/>
    <mergeCell ref="E2:E6"/>
    <mergeCell ref="E7:E11"/>
    <mergeCell ref="E12:E16"/>
    <mergeCell ref="E17:E21"/>
    <mergeCell ref="M15:M25"/>
  </mergeCells>
  <conditionalFormatting sqref="I15:L18 L19 I20:L20 L21 I22:L25">
    <cfRule type="containsText" dxfId="53" priority="66" operator="containsText" text="Radio">
      <formula>NOT(ISERROR(SEARCH("Radio",I15)))</formula>
    </cfRule>
  </conditionalFormatting>
  <conditionalFormatting sqref="I18 I20">
    <cfRule type="containsText" dxfId="52" priority="64" operator="containsText" text="fija">
      <formula>NOT(ISERROR(SEARCH("fija",I18)))</formula>
    </cfRule>
    <cfRule type="containsText" dxfId="51" priority="65" operator="containsText" text="domo">
      <formula>NOT(ISERROR(SEARCH("domo",I18)))</formula>
    </cfRule>
  </conditionalFormatting>
  <conditionalFormatting sqref="J18 J20">
    <cfRule type="cellIs" dxfId="50" priority="63" operator="equal">
      <formula>"PTP A FO"</formula>
    </cfRule>
  </conditionalFormatting>
  <conditionalFormatting sqref="I15">
    <cfRule type="containsText" dxfId="49" priority="61" operator="containsText" text="fija">
      <formula>NOT(ISERROR(SEARCH("fija",I15)))</formula>
    </cfRule>
    <cfRule type="containsText" dxfId="48" priority="62" operator="containsText" text="domo">
      <formula>NOT(ISERROR(SEARCH("domo",I15)))</formula>
    </cfRule>
  </conditionalFormatting>
  <conditionalFormatting sqref="J15">
    <cfRule type="cellIs" dxfId="47" priority="60" operator="equal">
      <formula>"PTP A FO"</formula>
    </cfRule>
  </conditionalFormatting>
  <conditionalFormatting sqref="I16:I17">
    <cfRule type="containsText" dxfId="46" priority="58" operator="containsText" text="fija">
      <formula>NOT(ISERROR(SEARCH("fija",I16)))</formula>
    </cfRule>
    <cfRule type="containsText" dxfId="45" priority="59" operator="containsText" text="domo">
      <formula>NOT(ISERROR(SEARCH("domo",I16)))</formula>
    </cfRule>
  </conditionalFormatting>
  <conditionalFormatting sqref="J16:J17">
    <cfRule type="cellIs" dxfId="44" priority="57" operator="equal">
      <formula>"PTP A FO"</formula>
    </cfRule>
  </conditionalFormatting>
  <conditionalFormatting sqref="I19:K19">
    <cfRule type="containsText" dxfId="43" priority="56" operator="containsText" text="Radio">
      <formula>NOT(ISERROR(SEARCH("Radio",I19)))</formula>
    </cfRule>
  </conditionalFormatting>
  <conditionalFormatting sqref="I19">
    <cfRule type="containsText" dxfId="42" priority="54" operator="containsText" text="fija">
      <formula>NOT(ISERROR(SEARCH("fija",I19)))</formula>
    </cfRule>
    <cfRule type="containsText" dxfId="41" priority="55" operator="containsText" text="domo">
      <formula>NOT(ISERROR(SEARCH("domo",I19)))</formula>
    </cfRule>
  </conditionalFormatting>
  <conditionalFormatting sqref="J19">
    <cfRule type="cellIs" dxfId="40" priority="53" operator="equal">
      <formula>"PTP A FO"</formula>
    </cfRule>
  </conditionalFormatting>
  <conditionalFormatting sqref="I21:K21">
    <cfRule type="containsText" dxfId="39" priority="52" operator="containsText" text="Radio">
      <formula>NOT(ISERROR(SEARCH("Radio",I21)))</formula>
    </cfRule>
  </conditionalFormatting>
  <conditionalFormatting sqref="I21">
    <cfRule type="containsText" dxfId="38" priority="50" operator="containsText" text="fija">
      <formula>NOT(ISERROR(SEARCH("fija",I21)))</formula>
    </cfRule>
    <cfRule type="containsText" dxfId="37" priority="51" operator="containsText" text="domo">
      <formula>NOT(ISERROR(SEARCH("domo",I21)))</formula>
    </cfRule>
  </conditionalFormatting>
  <conditionalFormatting sqref="J21">
    <cfRule type="cellIs" dxfId="36" priority="49" operator="equal">
      <formula>"PTP A FO"</formula>
    </cfRule>
  </conditionalFormatting>
  <conditionalFormatting sqref="I22">
    <cfRule type="containsText" dxfId="35" priority="47" operator="containsText" text="fija">
      <formula>NOT(ISERROR(SEARCH("fija",I22)))</formula>
    </cfRule>
    <cfRule type="containsText" dxfId="34" priority="48" operator="containsText" text="domo">
      <formula>NOT(ISERROR(SEARCH("domo",I22)))</formula>
    </cfRule>
  </conditionalFormatting>
  <conditionalFormatting sqref="J22">
    <cfRule type="cellIs" dxfId="33" priority="46" operator="equal">
      <formula>"PTP A FO"</formula>
    </cfRule>
  </conditionalFormatting>
  <conditionalFormatting sqref="I23">
    <cfRule type="containsText" dxfId="32" priority="44" operator="containsText" text="fija">
      <formula>NOT(ISERROR(SEARCH("fija",I23)))</formula>
    </cfRule>
    <cfRule type="containsText" dxfId="31" priority="45" operator="containsText" text="domo">
      <formula>NOT(ISERROR(SEARCH("domo",I23)))</formula>
    </cfRule>
  </conditionalFormatting>
  <conditionalFormatting sqref="J23">
    <cfRule type="cellIs" dxfId="30" priority="43" operator="equal">
      <formula>"PTP A FO"</formula>
    </cfRule>
  </conditionalFormatting>
  <conditionalFormatting sqref="I24:I25">
    <cfRule type="containsText" dxfId="29" priority="41" operator="containsText" text="fija">
      <formula>NOT(ISERROR(SEARCH("fija",I24)))</formula>
    </cfRule>
    <cfRule type="containsText" dxfId="28" priority="42" operator="containsText" text="domo">
      <formula>NOT(ISERROR(SEARCH("domo",I24)))</formula>
    </cfRule>
  </conditionalFormatting>
  <conditionalFormatting sqref="J24:J25">
    <cfRule type="cellIs" dxfId="27" priority="40" operator="equal">
      <formula>"PTP A FO"</formula>
    </cfRule>
  </conditionalFormatting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2022-06-06T10:35:43Z</dcterms:modified>
</cp:coreProperties>
</file>