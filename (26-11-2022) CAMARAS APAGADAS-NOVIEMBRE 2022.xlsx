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A5500BFB-EB41-41EE-A6E9-E00244ECD5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2" i="14" l="1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Y2" i="21" l="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Y2" i="11" l="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X385" i="11" l="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<sst xmlns="http://schemas.openxmlformats.org/spreadsheetml/2006/main" count="4337" uniqueCount="1294">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</sst>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33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0.14666666666666667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3.9024390243902439E-2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0.14666666666666667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3.9024390243902439E-2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33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J217" activePane="bottomRight" state="frozen"/>
      <selection pane="topRight" activeCell="M1" sqref="M1"/>
      <selection pane="bottomLeft" activeCell="A5" sqref="A5"/>
      <selection pane="bottomRight" activeCell="AJ230" sqref="AJ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9.5348837209302331E-2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389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41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6</v>
      </c>
      <c r="I16" s="42">
        <f t="shared" si="3"/>
        <v>24</v>
      </c>
      <c r="J16" s="43">
        <f t="shared" si="4"/>
        <v>0.2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 t="s">
        <v>1274</v>
      </c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26</v>
      </c>
      <c r="I27" s="42">
        <f>COUNTIF(K27:AL27,"APAGADO")</f>
        <v>4</v>
      </c>
      <c r="J27" s="43">
        <f>(H27)/(I27+H27)</f>
        <v>0.8666666666666667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 t="s">
        <v>1274</v>
      </c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5</v>
      </c>
      <c r="I34" s="42">
        <f>COUNTIF(K34:AL34,"APAGADO")</f>
        <v>25</v>
      </c>
      <c r="J34" s="43">
        <f>(H34)/(I34+H34)</f>
        <v>0.16666666666666666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 t="s">
        <v>1274</v>
      </c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4</v>
      </c>
      <c r="I40" s="42">
        <f t="shared" si="3"/>
        <v>26</v>
      </c>
      <c r="J40" s="43">
        <f t="shared" si="4"/>
        <v>0.13333333333333333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 t="s">
        <v>1274</v>
      </c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4</v>
      </c>
      <c r="I48" s="42">
        <f t="shared" si="3"/>
        <v>26</v>
      </c>
      <c r="J48" s="43">
        <f t="shared" si="4"/>
        <v>0.13333333333333333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 t="s">
        <v>1274</v>
      </c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5</v>
      </c>
      <c r="I49" s="42">
        <f t="shared" si="3"/>
        <v>25</v>
      </c>
      <c r="J49" s="43">
        <f t="shared" si="4"/>
        <v>0.16666666666666666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 t="s">
        <v>1274</v>
      </c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4</v>
      </c>
      <c r="I51" s="42">
        <f t="shared" si="3"/>
        <v>26</v>
      </c>
      <c r="J51" s="43">
        <f t="shared" si="4"/>
        <v>0.13333333333333333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 t="s">
        <v>1274</v>
      </c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4</v>
      </c>
      <c r="I54" s="42">
        <f t="shared" si="3"/>
        <v>26</v>
      </c>
      <c r="J54" s="43">
        <f t="shared" si="4"/>
        <v>0.13333333333333333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 t="s">
        <v>1274</v>
      </c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4</v>
      </c>
      <c r="I56" s="42">
        <f t="shared" si="3"/>
        <v>26</v>
      </c>
      <c r="J56" s="43">
        <f t="shared" si="4"/>
        <v>0.13333333333333333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 t="s">
        <v>1274</v>
      </c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6</v>
      </c>
      <c r="I75" s="42">
        <f t="shared" si="3"/>
        <v>24</v>
      </c>
      <c r="J75" s="43">
        <f t="shared" si="4"/>
        <v>0.2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 t="s">
        <v>1274</v>
      </c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24</v>
      </c>
      <c r="I77" s="42">
        <f t="shared" ref="I77:I140" si="10">COUNTIF(K77:AL77,"APAGADO")</f>
        <v>6</v>
      </c>
      <c r="J77" s="43">
        <f t="shared" ref="J77:J140" si="11">(H77)/(I77+H77)</f>
        <v>0.8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 t="s">
        <v>1274</v>
      </c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16</v>
      </c>
      <c r="I87" s="42">
        <f>COUNTIF(K87:AL87,"APAGADO")</f>
        <v>14</v>
      </c>
      <c r="J87" s="43">
        <f>(H87)/(I87+H87)</f>
        <v>0.53333333333333333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16</v>
      </c>
      <c r="I88" s="42">
        <f t="shared" si="10"/>
        <v>14</v>
      </c>
      <c r="J88" s="43">
        <f t="shared" si="11"/>
        <v>0.53333333333333333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5</v>
      </c>
      <c r="I94" s="42">
        <f>COUNTIF(K94:AL94,"APAGADO")</f>
        <v>25</v>
      </c>
      <c r="J94" s="43">
        <f>(H94)/(I94+H94)</f>
        <v>0.16666666666666666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 t="s">
        <v>1274</v>
      </c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4</v>
      </c>
      <c r="I98" s="42">
        <f>COUNTIF(K98:AL98,"APAGADO")</f>
        <v>26</v>
      </c>
      <c r="J98" s="43">
        <f>(H98)/(I98+H98)</f>
        <v>0.13333333333333333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 t="s">
        <v>1274</v>
      </c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5</v>
      </c>
      <c r="I101" s="42">
        <f t="shared" si="10"/>
        <v>25</v>
      </c>
      <c r="J101" s="43">
        <f t="shared" si="11"/>
        <v>0.16666666666666666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 t="s">
        <v>1274</v>
      </c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5</v>
      </c>
      <c r="I102" s="42">
        <f t="shared" si="10"/>
        <v>25</v>
      </c>
      <c r="J102" s="43">
        <f t="shared" si="11"/>
        <v>0.16666666666666666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 t="s">
        <v>1274</v>
      </c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17</v>
      </c>
      <c r="I122" s="42">
        <f t="shared" si="10"/>
        <v>13</v>
      </c>
      <c r="J122" s="43">
        <f t="shared" si="11"/>
        <v>0.56666666666666665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 t="s">
        <v>1274</v>
      </c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5</v>
      </c>
      <c r="I175" s="42">
        <f t="shared" si="12"/>
        <v>25</v>
      </c>
      <c r="J175" s="43">
        <f t="shared" si="13"/>
        <v>0.16666666666666666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 t="s">
        <v>1274</v>
      </c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29</v>
      </c>
      <c r="I176" s="42">
        <f t="shared" si="12"/>
        <v>1</v>
      </c>
      <c r="J176" s="43">
        <f t="shared" si="13"/>
        <v>0.96666666666666667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5</v>
      </c>
      <c r="I177" s="42">
        <f t="shared" si="12"/>
        <v>25</v>
      </c>
      <c r="J177" s="43">
        <f t="shared" si="13"/>
        <v>0.16666666666666666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 t="s">
        <v>1274</v>
      </c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5</v>
      </c>
      <c r="I182" s="42">
        <f t="shared" si="12"/>
        <v>25</v>
      </c>
      <c r="J182" s="43">
        <f t="shared" si="13"/>
        <v>0.16666666666666666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 t="s">
        <v>1274</v>
      </c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23</v>
      </c>
      <c r="I184" s="42">
        <f t="shared" si="12"/>
        <v>7</v>
      </c>
      <c r="J184" s="43">
        <f t="shared" si="13"/>
        <v>0.76666666666666672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 t="s">
        <v>1274</v>
      </c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4</v>
      </c>
      <c r="I185" s="42">
        <f t="shared" si="12"/>
        <v>26</v>
      </c>
      <c r="J185" s="43">
        <f t="shared" si="13"/>
        <v>0.13333333333333333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 t="s">
        <v>1274</v>
      </c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4</v>
      </c>
      <c r="I187" s="42">
        <f t="shared" si="12"/>
        <v>26</v>
      </c>
      <c r="J187" s="43">
        <f t="shared" si="13"/>
        <v>0.13333333333333333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 t="s">
        <v>1274</v>
      </c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4</v>
      </c>
      <c r="I198" s="42">
        <f>COUNTIF(K198:AL198,"APAGADO")</f>
        <v>26</v>
      </c>
      <c r="J198" s="43">
        <f>(H198)/(I198+H198)</f>
        <v>0.13333333333333333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 t="s">
        <v>1274</v>
      </c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27</v>
      </c>
      <c r="I212" s="42">
        <f t="shared" si="12"/>
        <v>3</v>
      </c>
      <c r="J212" s="43">
        <f t="shared" si="13"/>
        <v>0.9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 t="s">
        <v>1274</v>
      </c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5</v>
      </c>
      <c r="I229" s="42">
        <f t="shared" si="12"/>
        <v>25</v>
      </c>
      <c r="J229" s="43">
        <f t="shared" si="13"/>
        <v>0.16666666666666666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 t="s">
        <v>1274</v>
      </c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6</v>
      </c>
      <c r="I236" s="42">
        <f t="shared" si="19"/>
        <v>24</v>
      </c>
      <c r="J236" s="43">
        <f t="shared" si="20"/>
        <v>0.2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 t="s">
        <v>1274</v>
      </c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27</v>
      </c>
      <c r="I241" s="42">
        <f t="shared" si="19"/>
        <v>3</v>
      </c>
      <c r="J241" s="43">
        <f t="shared" si="20"/>
        <v>0.9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4</v>
      </c>
      <c r="I256" s="42">
        <f t="shared" si="19"/>
        <v>26</v>
      </c>
      <c r="J256" s="43">
        <f t="shared" si="20"/>
        <v>0.13333333333333333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 t="s">
        <v>1274</v>
      </c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28</v>
      </c>
      <c r="I267" s="42">
        <f t="shared" si="19"/>
        <v>2</v>
      </c>
      <c r="J267" s="43">
        <f t="shared" si="20"/>
        <v>0.93333333333333335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 t="s">
        <v>1274</v>
      </c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28</v>
      </c>
      <c r="I268" s="42">
        <f t="shared" si="19"/>
        <v>2</v>
      </c>
      <c r="J268" s="43">
        <f t="shared" si="20"/>
        <v>0.93333333333333335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 t="s">
        <v>1274</v>
      </c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25</v>
      </c>
      <c r="I275" s="42">
        <f t="shared" si="19"/>
        <v>5</v>
      </c>
      <c r="J275" s="43">
        <f t="shared" si="20"/>
        <v>0.83333333333333337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 t="s">
        <v>1274</v>
      </c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20</v>
      </c>
      <c r="I302" s="42">
        <f t="shared" si="22"/>
        <v>10</v>
      </c>
      <c r="J302" s="43">
        <f t="shared" si="23"/>
        <v>0.66666666666666663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 t="s">
        <v>1274</v>
      </c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23</v>
      </c>
      <c r="I345" s="42">
        <f t="shared" si="22"/>
        <v>7</v>
      </c>
      <c r="J345" s="43">
        <f t="shared" si="23"/>
        <v>0.76666666666666672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 t="s">
        <v>1274</v>
      </c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24</v>
      </c>
      <c r="I347" s="42">
        <f t="shared" si="22"/>
        <v>6</v>
      </c>
      <c r="J347" s="43">
        <f t="shared" si="23"/>
        <v>0.8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 t="s">
        <v>1274</v>
      </c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26</v>
      </c>
      <c r="I348" s="42">
        <f t="shared" si="22"/>
        <v>4</v>
      </c>
      <c r="J348" s="43">
        <f t="shared" si="23"/>
        <v>0.8666666666666667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 t="s">
        <v>1274</v>
      </c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26</v>
      </c>
      <c r="I349" s="42">
        <f t="shared" si="22"/>
        <v>4</v>
      </c>
      <c r="J349" s="43">
        <f t="shared" si="23"/>
        <v>0.8666666666666667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 t="s">
        <v>1274</v>
      </c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26</v>
      </c>
      <c r="I350" s="42">
        <f t="shared" si="22"/>
        <v>4</v>
      </c>
      <c r="J350" s="43">
        <f t="shared" si="23"/>
        <v>0.8666666666666667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 t="s">
        <v>1274</v>
      </c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26</v>
      </c>
      <c r="I351" s="42">
        <f t="shared" si="22"/>
        <v>4</v>
      </c>
      <c r="J351" s="43">
        <f t="shared" si="23"/>
        <v>0.8666666666666667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 t="s">
        <v>1274</v>
      </c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10</v>
      </c>
      <c r="I374" s="42">
        <f t="shared" si="22"/>
        <v>20</v>
      </c>
      <c r="J374" s="43">
        <f t="shared" si="23"/>
        <v>0.33333333333333331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 t="s">
        <v>1274</v>
      </c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4</v>
      </c>
      <c r="I379" s="42">
        <f t="shared" si="28"/>
        <v>26</v>
      </c>
      <c r="J379" s="43">
        <f t="shared" si="29"/>
        <v>0.13333333333333333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 t="s">
        <v>1274</v>
      </c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17</v>
      </c>
      <c r="I390" s="42">
        <f t="shared" si="28"/>
        <v>13</v>
      </c>
      <c r="J390" s="43">
        <f t="shared" si="29"/>
        <v>0.56666666666666665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17</v>
      </c>
      <c r="I391" s="42">
        <f t="shared" si="28"/>
        <v>13</v>
      </c>
      <c r="J391" s="43">
        <f t="shared" si="29"/>
        <v>0.56666666666666665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26</v>
      </c>
      <c r="I405" s="42">
        <f t="shared" si="28"/>
        <v>4</v>
      </c>
      <c r="J405" s="43">
        <f t="shared" si="29"/>
        <v>0.8666666666666667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 t="s">
        <v>1274</v>
      </c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4</v>
      </c>
      <c r="I420" s="42">
        <f t="shared" si="28"/>
        <v>26</v>
      </c>
      <c r="J420" s="43">
        <f t="shared" si="29"/>
        <v>0.13333333333333333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 t="s">
        <v>1274</v>
      </c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J104:J115 J308:K353 L409:AF434 J396:J434 J4:J22 AO264:AO405 J264:AN307 J261:AO263 L317:AN353 J354:AN377 R378:AN391 AG396:AN405 R205:AN260 J23:AO103 AO106:AO260 J116:AN204 K8:AO22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308:K353 L161:AN204 K161:K260 K435:AO1048576 AO264:AO434 K261:AO263 L317:AN353 K354:AN377 R378:AN391 K409:AN434 R205:AN260 R394:AN408 K116:AN160 AO106:AO260 K8:AO103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AG435:AO1048576 K5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 t="str">
        <f>'RESUMEN TOTAL'!AJ16</f>
        <v>APAGADO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 t="str">
        <f>'RESUMEN TOTAL'!AJ27</f>
        <v>APAGADO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 t="str">
        <f>'RESUMEN TOTAL'!AJ34</f>
        <v>APAGADO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 t="str">
        <f>'RESUMEN TOTAL'!AJ40</f>
        <v>APAGADO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 t="str">
        <f>'RESUMEN TOTAL'!AJ48</f>
        <v>APAGADO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 t="str">
        <f>'RESUMEN TOTAL'!AJ49</f>
        <v>APAGADO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 t="str">
        <f>'RESUMEN TOTAL'!AJ51</f>
        <v>APAGADO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 t="str">
        <f>'RESUMEN TOTAL'!AJ54</f>
        <v>APAGADO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 t="str">
        <f>'RESUMEN TOTAL'!AJ56</f>
        <v>APAGADO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 t="str">
        <f>'RESUMEN TOTAL'!AJ75</f>
        <v>APAGADO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 t="str">
        <f>'RESUMEN TOTAL'!AJ77</f>
        <v>APAGADO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 t="str">
        <f>'RESUMEN TOTAL'!AJ94</f>
        <v>APAGADO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 t="str">
        <f>'RESUMEN TOTAL'!AJ98</f>
        <v>APAGADO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 t="str">
        <f>'RESUMEN TOTAL'!AJ101</f>
        <v>APAGADO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 t="str">
        <f>'RESUMEN TOTAL'!AJ102</f>
        <v>APAGADO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 t="str">
        <f>'RESUMEN TOTAL'!AJ122</f>
        <v>APAGADO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 t="str">
        <f>'RESUMEN TOTAL'!AJ175</f>
        <v>APAGADO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 t="str">
        <f>'RESUMEN TOTAL'!AJ177</f>
        <v>APAGADO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 t="str">
        <f>'RESUMEN TOTAL'!AJ182</f>
        <v>APAGADO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 t="str">
        <f>'RESUMEN TOTAL'!AJ184</f>
        <v>APAGADO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 t="str">
        <f>'RESUMEN TOTAL'!AJ185</f>
        <v>APAGADO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 t="str">
        <f>'RESUMEN TOTAL'!AJ187</f>
        <v>APAGADO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 t="str">
        <f>'RESUMEN TOTAL'!AJ198</f>
        <v>APAGADO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 t="str">
        <f>'RESUMEN TOTAL'!AJ212</f>
        <v>APAGADO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 t="str">
        <f>'RESUMEN TOTAL'!AJ229</f>
        <v>APAGADO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 t="str">
        <f>'RESUMEN TOTAL'!AJ236</f>
        <v>APAGADO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 t="str">
        <f>'RESUMEN TOTAL'!AJ256</f>
        <v>APAGADO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 t="str">
        <f>'RESUMEN TOTAL'!AJ267</f>
        <v>APAGADO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 t="str">
        <f>'RESUMEN TOTAL'!AJ268</f>
        <v>APAGADO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 t="str">
        <f>'RESUMEN TOTAL'!AJ275</f>
        <v>APAGADO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 t="str">
        <f>'RESUMEN TOTAL'!AJ302</f>
        <v>APAGADO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 t="str">
        <f>'RESUMEN TOTAL'!AJ345</f>
        <v>APAGADO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 t="str">
        <f>'RESUMEN TOTAL'!AJ347</f>
        <v>APAGADO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 t="str">
        <f>'RESUMEN TOTAL'!AJ348</f>
        <v>APAGADO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 t="str">
        <f>'RESUMEN TOTAL'!AJ349</f>
        <v>APAGADO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 t="str">
        <f>'RESUMEN TOTAL'!AJ350</f>
        <v>APAGADO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 t="str">
        <f>'RESUMEN TOTAL'!AJ351</f>
        <v>APAGADO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 t="str">
        <f>'RESUMEN TOTAL'!AJ374</f>
        <v>APAGADO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 t="str">
        <f>'RESUMEN TOTAL'!AJ379</f>
        <v>APAGADO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 t="str">
        <f>'RESUMEN TOTAL'!AJ405</f>
        <v>APAGADO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 t="str">
        <f>'RESUMEN TOTAL'!AJ420</f>
        <v>APAGADO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39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 t="str">
        <f>ESTADISTICA!AE73</f>
        <v>APAGADO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 t="str">
        <f>ESTADISTICA!AE75</f>
        <v>APAGADO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 t="str">
        <f>ESTADISTICA!AE180</f>
        <v>APAGADO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 t="str">
        <f>ESTADISTICA!AE254</f>
        <v>APAGADO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 t="str">
        <f>ESTADISTICA!AE265</f>
        <v>APAGADO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 t="str">
        <f>ESTADISTICA!AE402</f>
        <v>APAGADO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 t="str">
        <f>ESTADISTICA!AE417</f>
        <v>APAGADO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38</v>
      </c>
      <c r="AC2" s="19">
        <f>COUNTIFS(AC4:AC400, "=APAGADO",E4:E400,"=Fibra Optica")</f>
        <v>32</v>
      </c>
      <c r="AD2" s="19">
        <f>COUNTIFS(AD4:AD400, "=APAGADO",E4:E400,"=Fibra Optica")</f>
        <v>49</v>
      </c>
      <c r="AE2" s="19">
        <f>COUNTIFS(AE4:AE500, "=APAGADO",E4:E500,"=Fibra Optica")</f>
        <v>32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 t="str">
        <f>ESTADISTICA!AE13</f>
        <v>APAGADO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 t="str">
        <f>ESTADISTICA!AE25</f>
        <v>APAGADO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 t="str">
        <f>ESTADISTICA!AE32</f>
        <v>APAGADO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 t="str">
        <f>ESTADISTICA!AE38</f>
        <v>APAGADO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 t="str">
        <f>ESTADISTICA!AE46</f>
        <v>APAGADO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 t="str">
        <f>ESTADISTICA!AE47</f>
        <v>APAGADO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 t="str">
        <f>ESTADISTICA!AE49</f>
        <v>APAGADO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 t="str">
        <f>ESTADISTICA!AE52</f>
        <v>APAGADO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 t="str">
        <f>ESTADISTICA!AE54</f>
        <v>APAGADO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 t="str">
        <f>ESTADISTICA!AE73</f>
        <v>APAGADO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 t="str">
        <f>ESTADISTICA!AE75</f>
        <v>APAGADO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 t="str">
        <f>ESTADISTICA!AE92</f>
        <v>APAGADO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 t="str">
        <f>ESTADISTICA!AE96</f>
        <v>APAGADO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 t="str">
        <f>ESTADISTICA!AE99</f>
        <v>APAGADO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 t="str">
        <f>ESTADISTICA!AE100</f>
        <v>APAGADO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 t="str">
        <f>ESTADISTICA!AE121</f>
        <v>APAGADO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 t="str">
        <f>ESTADISTICA!AE173</f>
        <v>APAGADO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 t="str">
        <f>ESTADISTICA!AE175</f>
        <v>APAGADO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 t="str">
        <f>ESTADISTICA!AE180</f>
        <v>APAGADO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 t="str">
        <f>ESTADISTICA!AE182</f>
        <v>APAGADO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 t="str">
        <f>ESTADISTICA!AE183</f>
        <v>APAGADO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 t="str">
        <f>ESTADISTICA!AE185</f>
        <v>APAGADO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 t="str">
        <f>ESTADISTICA!AE196</f>
        <v>APAGADO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 t="str">
        <f>ESTADISTICA!AE210</f>
        <v>APAGADO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 t="str">
        <f>ESTADISTICA!AE227</f>
        <v>APAGADO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 t="str">
        <f>ESTADISTICA!AE234</f>
        <v>APAGADO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 t="str">
        <f>ESTADISTICA!AE254</f>
        <v>APAGADO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 t="str">
        <f>ESTADISTICA!AE264</f>
        <v>APAGADO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 t="str">
        <f>ESTADISTICA!AE265</f>
        <v>APAGADO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 t="str">
        <f>ESTADISTICA!AE272</f>
        <v>APAGADO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 t="str">
        <f>ESTADISTICA!AE299</f>
        <v>APAGADO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 t="str">
        <f>ESTADISTICA!AE342</f>
        <v>APAGADO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 t="str">
        <f>ESTADISTICA!AE344</f>
        <v>APAGADO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 t="str">
        <f>ESTADISTICA!AE345</f>
        <v>APAGADO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 t="str">
        <f>ESTADISTICA!AE346</f>
        <v>APAGADO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 t="str">
        <f>ESTADISTICA!AE347</f>
        <v>APAGADO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 t="str">
        <f>ESTADISTICA!AE348</f>
        <v>APAGADO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3</v>
      </c>
      <c r="AC2" s="19">
        <f>COUNTIFS(AC4:AC400, "=APAGADO",E4:E400,"=PTO A FO")</f>
        <v>3</v>
      </c>
      <c r="AD2" s="19">
        <f>COUNTIFS(AD4:AD400, "=APAGADO",E4:E400,"=PTO A FO")</f>
        <v>3</v>
      </c>
      <c r="AE2" s="19">
        <f>COUNTIFS(AE4:AE500, "=APAGADO",E4:E500,"=PTO A FO")</f>
        <v>4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8</v>
      </c>
      <c r="AC2" s="19">
        <f>COUNTIFS(AC4:AC367, "=APAGADO",E4:E367,"=radio")</f>
        <v>4</v>
      </c>
      <c r="AD2" s="19">
        <f>COUNTIFS(AD4:AD367, "=APAGADO",E4:E367,"=radio")</f>
        <v>2</v>
      </c>
      <c r="AE2" s="19">
        <f>COUNTIFS(AE4:AE500, "=APAGADO",E4:E500,"=radio")</f>
        <v>5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B45" sqref="B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36">
        <v>44879</v>
      </c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37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36">
        <v>44882</v>
      </c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37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37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38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36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37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36">
        <v>44887</v>
      </c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33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0.14666666666666667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8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3.9024390243902439E-2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2022-11-28T10:28:40Z</dcterms:modified>
</cp:coreProperties>
</file>