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3C22EE84-308B-4028-8E1A-A3774606596D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H2" i="9"/>
  <c r="AI2" i="9"/>
  <c r="AI377" i="9"/>
  <c r="AI381" i="9"/>
  <c r="AI393" i="9"/>
  <c r="AH395" i="9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D38" i="24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F378" i="10"/>
  <c r="H380" i="10"/>
  <c r="G383" i="10"/>
  <c r="L384" i="10"/>
  <c r="F386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D383" i="9"/>
  <c r="A384" i="9"/>
  <c r="N385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I377" i="21"/>
  <c r="F378" i="21"/>
  <c r="H380" i="21"/>
  <c r="O391" i="21"/>
  <c r="C393" i="21"/>
  <c r="N394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N378" i="11"/>
  <c r="P378" i="11"/>
  <c r="C379" i="11"/>
  <c r="E381" i="11"/>
  <c r="B382" i="11"/>
  <c r="D382" i="11"/>
  <c r="G382" i="11"/>
  <c r="A383" i="11"/>
  <c r="N386" i="11"/>
  <c r="P386" i="11"/>
  <c r="P388" i="11"/>
  <c r="A391" i="11"/>
  <c r="Q392" i="11"/>
  <c r="N394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S385" i="2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AI389" i="9" l="1"/>
  <c r="AI385" i="9"/>
  <c r="C45" i="24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I1" i="8"/>
  <c r="AQ3" i="2"/>
  <c r="AR3" i="2"/>
  <c r="C46" i="24" l="1"/>
  <c r="D46" i="24" s="1"/>
  <c r="D45" i="24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" i="9" s="1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AH1" i="9" s="1"/>
  <c r="S367" i="9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I2" i="21" l="1"/>
  <c r="AI2" i="10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30" i="14" s="1"/>
  <c r="AH2" i="21" l="1"/>
  <c r="D30" i="14" s="1"/>
  <c r="F29" i="14"/>
  <c r="F28" i="14"/>
  <c r="F22" i="14"/>
  <c r="F27" i="14"/>
  <c r="F26" i="14"/>
  <c r="F23" i="14"/>
  <c r="F25" i="14"/>
  <c r="F24" i="14"/>
  <c r="F17" i="14"/>
  <c r="F21" i="14"/>
  <c r="F20" i="14"/>
  <c r="F19" i="14"/>
  <c r="F18" i="14"/>
  <c r="F16" i="14"/>
  <c r="AC2" i="21"/>
  <c r="D25" i="14" s="1"/>
  <c r="U2" i="21"/>
  <c r="D17" i="14" s="1"/>
  <c r="M2" i="21"/>
  <c r="D1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AA2" i="21"/>
  <c r="D23" i="14" s="1"/>
  <c r="Y2" i="21"/>
  <c r="D21" i="14" s="1"/>
  <c r="Q2" i="21"/>
  <c r="I2" i="21"/>
  <c r="D5" i="14" s="1"/>
  <c r="K2" i="21"/>
  <c r="X2" i="21"/>
  <c r="D20" i="14" s="1"/>
  <c r="P2" i="21"/>
  <c r="D12" i="14" s="1"/>
  <c r="H2" i="21"/>
  <c r="D4" i="14" s="1"/>
  <c r="W2" i="21"/>
  <c r="D19" i="14" s="1"/>
  <c r="O2" i="21"/>
  <c r="D11" i="14" s="1"/>
  <c r="G2" i="21"/>
  <c r="D3" i="14" s="1"/>
  <c r="AD2" i="21"/>
  <c r="D26" i="14" s="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D13" i="14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0" l="1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B30" i="14" s="1"/>
  <c r="E30" i="14" s="1"/>
  <c r="G30" i="14" s="1"/>
  <c r="O2" i="11"/>
  <c r="B11" i="14" s="1"/>
  <c r="AG2" i="11"/>
  <c r="R2" i="11"/>
  <c r="B14" i="14" s="1"/>
  <c r="C12" i="14"/>
  <c r="P2" i="11"/>
  <c r="B12" i="14" s="1"/>
  <c r="AB2" i="11"/>
  <c r="B24" i="14" s="1"/>
  <c r="E24" i="14" s="1"/>
  <c r="G24" i="14" s="1"/>
  <c r="V2" i="11"/>
  <c r="B18" i="14" s="1"/>
  <c r="G2" i="11"/>
  <c r="B3" i="14" s="1"/>
  <c r="Q2" i="11"/>
  <c r="B13" i="14" s="1"/>
  <c r="K2" i="11"/>
  <c r="AA2" i="11"/>
  <c r="B23" i="14" s="1"/>
  <c r="L2" i="11"/>
  <c r="B8" i="14" s="1"/>
  <c r="AC2" i="11"/>
  <c r="B25" i="14" s="1"/>
  <c r="F2" i="1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B27" i="14" l="1"/>
  <c r="E27" i="14" s="1"/>
  <c r="G27" i="14" s="1"/>
  <c r="E26" i="14"/>
  <c r="G26" i="14" s="1"/>
  <c r="E25" i="14"/>
  <c r="G25" i="14" s="1"/>
  <c r="E23" i="14"/>
  <c r="G23" i="14" s="1"/>
  <c r="B28" i="14"/>
  <c r="E28" i="14" s="1"/>
  <c r="G28" i="14" s="1"/>
  <c r="B29" i="14"/>
  <c r="E29" i="14" s="1"/>
  <c r="G29" i="14" s="1"/>
  <c r="E22" i="14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<sst xmlns="http://schemas.openxmlformats.org/spreadsheetml/2006/main" count="4416" uniqueCount="1403">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</sst>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  <c:pt idx="2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  <c:pt idx="2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  <c:pt idx="22">
                  <c:v>8.9285714285714288E-2</c:v>
                </c:pt>
                <c:pt idx="23">
                  <c:v>9.1836734693877556E-2</c:v>
                </c:pt>
                <c:pt idx="24">
                  <c:v>9.6938775510204078E-2</c:v>
                </c:pt>
                <c:pt idx="25">
                  <c:v>0.10204081632653061</c:v>
                </c:pt>
                <c:pt idx="26">
                  <c:v>0.14030612244897958</c:v>
                </c:pt>
                <c:pt idx="27">
                  <c:v>0.12755102040816327</c:v>
                </c:pt>
                <c:pt idx="28">
                  <c:v>0.11479591836734694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  <c:pt idx="2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  <c:pt idx="2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  <c:pt idx="22">
                  <c:v>8.9285714285714288E-2</c:v>
                </c:pt>
                <c:pt idx="23">
                  <c:v>9.1836734693877556E-2</c:v>
                </c:pt>
                <c:pt idx="24">
                  <c:v>9.6938775510204078E-2</c:v>
                </c:pt>
                <c:pt idx="25">
                  <c:v>0.10204081632653061</c:v>
                </c:pt>
                <c:pt idx="26">
                  <c:v>0.14030612244897958</c:v>
                </c:pt>
                <c:pt idx="27">
                  <c:v>0.12755102040816327</c:v>
                </c:pt>
                <c:pt idx="28">
                  <c:v>0.11479591836734694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R214" activePane="bottomRight" state="frozen"/>
      <selection pane="topRight" activeCell="M1" sqref="M1"/>
      <selection pane="bottomLeft" activeCell="A5" sqref="A5"/>
      <selection pane="bottomRight" activeCell="AR218" sqref="AR218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7.1999999999999995E-2</v>
      </c>
      <c r="AH1" s="4">
        <f t="shared" si="0"/>
        <v>6.3324538258575203E-2</v>
      </c>
      <c r="AI1" s="4">
        <f t="shared" si="0"/>
        <v>6.0686015831134567E-2</v>
      </c>
      <c r="AJ1" s="4">
        <f t="shared" si="0"/>
        <v>6.5963060686015831E-2</v>
      </c>
      <c r="AK1" s="4">
        <f t="shared" si="0"/>
        <v>9.2348284960422161E-2</v>
      </c>
      <c r="AL1" s="4">
        <f t="shared" si="0"/>
        <v>9.498680738786279E-2</v>
      </c>
      <c r="AM1" s="4">
        <f t="shared" si="0"/>
        <v>0.10026385224274406</v>
      </c>
      <c r="AN1" s="4">
        <f t="shared" si="0"/>
        <v>0.10554089709762533</v>
      </c>
      <c r="AO1" s="4">
        <f t="shared" si="0"/>
        <v>0.14511873350923482</v>
      </c>
      <c r="AP1" s="4">
        <f t="shared" si="0"/>
        <v>0.13192612137203166</v>
      </c>
      <c r="AQ1" s="4">
        <f t="shared" ref="AQ1:AR1" si="1">(AQ3)/(AQ2+AQ3)</f>
        <v>0.15039577836411611</v>
      </c>
      <c r="AR1" s="4">
        <f t="shared" si="1"/>
        <v>0.2283464566929134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348</v>
      </c>
      <c r="AH2" s="10">
        <f t="shared" si="3"/>
        <v>355</v>
      </c>
      <c r="AI2" s="10">
        <f>COUNTIF(AI5:AI379, "")</f>
        <v>356</v>
      </c>
      <c r="AJ2" s="10">
        <f>COUNTIF(AJ5:AJ379, "")</f>
        <v>354</v>
      </c>
      <c r="AK2" s="10">
        <f>COUNTIF(AK5:AK379, "")</f>
        <v>344</v>
      </c>
      <c r="AL2" s="10">
        <f>COUNTIF(AL5:AL379, "")</f>
        <v>343</v>
      </c>
      <c r="AM2" s="10">
        <f t="shared" ref="AM2:AQ2" si="4">COUNTIF(AM5:AM379, "")</f>
        <v>341</v>
      </c>
      <c r="AN2" s="10">
        <f t="shared" si="4"/>
        <v>339</v>
      </c>
      <c r="AO2" s="10">
        <f t="shared" si="4"/>
        <v>324</v>
      </c>
      <c r="AP2" s="10">
        <f t="shared" si="4"/>
        <v>329</v>
      </c>
      <c r="AQ2" s="10">
        <f t="shared" si="4"/>
        <v>322</v>
      </c>
      <c r="AR2" s="10">
        <f>COUNTIF(AR5:AR379, "")</f>
        <v>294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27</v>
      </c>
      <c r="AH3" s="14">
        <f t="shared" si="5"/>
        <v>24</v>
      </c>
      <c r="AI3" s="14">
        <f t="shared" si="5"/>
        <v>23</v>
      </c>
      <c r="AJ3" s="14">
        <f t="shared" si="5"/>
        <v>25</v>
      </c>
      <c r="AK3" s="14">
        <f t="shared" si="5"/>
        <v>35</v>
      </c>
      <c r="AL3" s="14">
        <f t="shared" si="5"/>
        <v>36</v>
      </c>
      <c r="AM3" s="14">
        <f t="shared" si="5"/>
        <v>38</v>
      </c>
      <c r="AN3" s="14">
        <f t="shared" si="5"/>
        <v>40</v>
      </c>
      <c r="AO3" s="14">
        <f t="shared" si="5"/>
        <v>55</v>
      </c>
      <c r="AP3" s="14">
        <f t="shared" si="5"/>
        <v>50</v>
      </c>
      <c r="AQ3" s="14">
        <f t="shared" ref="AQ3:AR3" si="6">COUNTIF(AQ4:AQ447, "apagado")</f>
        <v>57</v>
      </c>
      <c r="AR3" s="14">
        <f t="shared" si="6"/>
        <v>87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1396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s="51" t="s">
        <v>34</v>
      </c>
      <c r="B5" s="51" t="s">
        <v>1214</v>
      </c>
      <c r="C5" s="51" t="s">
        <v>1397</v>
      </c>
      <c r="D5" s="51" t="s">
        <v>44</v>
      </c>
      <c r="E5" s="51" t="s">
        <v>24</v>
      </c>
      <c r="F5" s="51" t="s">
        <v>1388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1209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1215</v>
      </c>
      <c r="C6" s="51" t="s">
        <v>1397</v>
      </c>
      <c r="D6" s="51" t="s">
        <v>46</v>
      </c>
      <c r="E6" s="51" t="s">
        <v>24</v>
      </c>
      <c r="F6" s="51" t="s">
        <v>1388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1216</v>
      </c>
      <c r="C7" s="51" t="s">
        <v>1397</v>
      </c>
      <c r="D7" s="51" t="s">
        <v>35</v>
      </c>
      <c r="E7" s="51" t="s">
        <v>24</v>
      </c>
      <c r="F7" s="51" t="s">
        <v>1389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11</v>
      </c>
      <c r="M7" s="17">
        <f t="shared" si="8"/>
        <v>19</v>
      </c>
      <c r="N7" s="18">
        <f t="shared" si="9"/>
        <v>0.36666666666666664</v>
      </c>
      <c r="O7" s="27" t="s">
        <v>1209</v>
      </c>
      <c r="P7" s="8" t="s">
        <v>1209</v>
      </c>
      <c r="Q7" s="8" t="s">
        <v>1209</v>
      </c>
      <c r="R7" s="8" t="s">
        <v>1209</v>
      </c>
      <c r="S7" s="27" t="s">
        <v>1209</v>
      </c>
      <c r="T7" s="27"/>
      <c r="U7" s="8" t="s">
        <v>1209</v>
      </c>
      <c r="V7" s="8" t="s">
        <v>1209</v>
      </c>
      <c r="W7" s="8" t="s">
        <v>1209</v>
      </c>
      <c r="X7" s="27" t="s">
        <v>1209</v>
      </c>
      <c r="Y7" s="27" t="s">
        <v>1209</v>
      </c>
      <c r="Z7" s="27" t="s">
        <v>1209</v>
      </c>
      <c r="AA7" s="27" t="s">
        <v>1209</v>
      </c>
      <c r="AB7" s="27" t="s">
        <v>1209</v>
      </c>
      <c r="AC7" s="27" t="s">
        <v>1209</v>
      </c>
      <c r="AD7" s="27" t="s">
        <v>1209</v>
      </c>
      <c r="AE7" s="27" t="s">
        <v>1209</v>
      </c>
      <c r="AF7" s="27" t="s">
        <v>1209</v>
      </c>
      <c r="AG7" s="27" t="s">
        <v>1209</v>
      </c>
      <c r="AH7" s="27" t="s">
        <v>1209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1217</v>
      </c>
      <c r="C8" s="51" t="s">
        <v>1397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1209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1218</v>
      </c>
      <c r="C9" s="51" t="s">
        <v>1397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1219</v>
      </c>
      <c r="C10" s="51" t="s">
        <v>1397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1209</v>
      </c>
      <c r="V10" s="8" t="s">
        <v>1209</v>
      </c>
      <c r="W10" s="8"/>
      <c r="X10" s="27"/>
      <c r="Y10" s="27"/>
      <c r="Z10" s="27" t="s">
        <v>1209</v>
      </c>
      <c r="AA10" s="27" t="s">
        <v>1209</v>
      </c>
      <c r="AB10" s="27" t="s">
        <v>1209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1397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1397</v>
      </c>
      <c r="D12" s="51" t="s">
        <v>42</v>
      </c>
      <c r="E12" s="51" t="s">
        <v>24</v>
      </c>
      <c r="F12" s="51" t="s">
        <v>1389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1397</v>
      </c>
      <c r="D13" s="51" t="s">
        <v>49</v>
      </c>
      <c r="E13" s="51" t="s">
        <v>24</v>
      </c>
      <c r="F13" s="51" t="s">
        <v>1389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1209</v>
      </c>
      <c r="V13" s="8" t="s">
        <v>1209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1397</v>
      </c>
      <c r="D14" s="51" t="s">
        <v>52</v>
      </c>
      <c r="E14" s="51" t="s">
        <v>19</v>
      </c>
      <c r="F14" s="51" t="s">
        <v>1389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1209</v>
      </c>
      <c r="V14" s="8" t="s">
        <v>1209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1221</v>
      </c>
      <c r="C15" s="51" t="s">
        <v>1398</v>
      </c>
      <c r="D15" s="51" t="s">
        <v>59</v>
      </c>
      <c r="E15" s="51" t="s">
        <v>24</v>
      </c>
      <c r="F15" s="51" t="s">
        <v>1388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29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 t="s">
        <v>1209</v>
      </c>
      <c r="AR15" s="27"/>
      <c r="AS15" s="27"/>
    </row>
    <row r="16" spans="1:45" ht="15.75" thickBot="1" x14ac:dyDescent="0.3">
      <c r="A16" s="51" t="s">
        <v>61</v>
      </c>
      <c r="B16" s="51" t="s">
        <v>1222</v>
      </c>
      <c r="C16" s="51" t="s">
        <v>1397</v>
      </c>
      <c r="D16" s="51" t="s">
        <v>62</v>
      </c>
      <c r="E16" s="51" t="s">
        <v>19</v>
      </c>
      <c r="F16" s="51" t="s">
        <v>1388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26</v>
      </c>
      <c r="M16" s="17">
        <f t="shared" si="8"/>
        <v>4</v>
      </c>
      <c r="N16" s="18">
        <f t="shared" si="9"/>
        <v>0.8666666666666667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 t="s">
        <v>1209</v>
      </c>
      <c r="AL16" s="8"/>
      <c r="AM16" s="8" t="s">
        <v>1209</v>
      </c>
      <c r="AN16" s="27" t="s">
        <v>1209</v>
      </c>
      <c r="AO16" s="8" t="s">
        <v>1209</v>
      </c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1223</v>
      </c>
      <c r="C17" s="51" t="s">
        <v>1397</v>
      </c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1209</v>
      </c>
      <c r="V17" s="8" t="s">
        <v>1209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1225</v>
      </c>
      <c r="C18" s="51" t="s">
        <v>1397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1209</v>
      </c>
      <c r="V18" s="8" t="s">
        <v>1209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1226</v>
      </c>
      <c r="C19" s="51" t="s">
        <v>1397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1227</v>
      </c>
      <c r="C20" s="51" t="s">
        <v>1397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1228</v>
      </c>
      <c r="C21" s="51" t="s">
        <v>1397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27</v>
      </c>
      <c r="M21" s="17">
        <f t="shared" si="8"/>
        <v>2</v>
      </c>
      <c r="N21" s="18">
        <f t="shared" si="9"/>
        <v>0.93103448275862066</v>
      </c>
      <c r="O21" s="27"/>
      <c r="P21" s="8"/>
      <c r="Q21" s="8"/>
      <c r="R21" s="8"/>
      <c r="S21" s="27"/>
      <c r="T21" s="27"/>
      <c r="U21" s="8"/>
      <c r="V21" s="8"/>
      <c r="W21" s="8" t="s">
        <v>1209</v>
      </c>
      <c r="X21" s="27" t="s">
        <v>1209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 t="s">
        <v>1209</v>
      </c>
      <c r="AS21" s="27"/>
    </row>
    <row r="22" spans="1:45" ht="15.75" thickBot="1" x14ac:dyDescent="0.3">
      <c r="A22" s="51" t="s">
        <v>72</v>
      </c>
      <c r="B22" s="51" t="s">
        <v>1229</v>
      </c>
      <c r="C22" s="51" t="s">
        <v>1397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23</v>
      </c>
      <c r="M22" s="17">
        <f t="shared" si="8"/>
        <v>6</v>
      </c>
      <c r="N22" s="18">
        <f t="shared" si="9"/>
        <v>0.7931034482758621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 t="s">
        <v>1209</v>
      </c>
      <c r="AL22" s="8" t="s">
        <v>1209</v>
      </c>
      <c r="AM22" s="8" t="s">
        <v>1209</v>
      </c>
      <c r="AN22" s="27" t="s">
        <v>1209</v>
      </c>
      <c r="AO22" s="8" t="s">
        <v>1209</v>
      </c>
      <c r="AP22" s="8" t="s">
        <v>1209</v>
      </c>
      <c r="AQ22" s="27" t="s">
        <v>1209</v>
      </c>
      <c r="AR22" s="27"/>
      <c r="AS22" s="27"/>
    </row>
    <row r="23" spans="1:45" ht="15.75" thickBot="1" x14ac:dyDescent="0.3">
      <c r="A23" s="51" t="s">
        <v>72</v>
      </c>
      <c r="B23" s="51" t="s">
        <v>1230</v>
      </c>
      <c r="C23" s="51" t="s">
        <v>1397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1397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 t="s">
        <v>1397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 t="s">
        <v>1397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1397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 t="s">
        <v>1397</v>
      </c>
      <c r="D28" s="51" t="s">
        <v>79</v>
      </c>
      <c r="E28" s="51" t="s">
        <v>19</v>
      </c>
      <c r="F28" s="51" t="s">
        <v>1388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1397</v>
      </c>
      <c r="D29" s="51" t="s">
        <v>84</v>
      </c>
      <c r="E29" s="51" t="s">
        <v>19</v>
      </c>
      <c r="F29" s="51" t="s">
        <v>1389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23</v>
      </c>
      <c r="M29" s="17">
        <f t="shared" si="8"/>
        <v>6</v>
      </c>
      <c r="N29" s="18">
        <f t="shared" si="9"/>
        <v>0.7931034482758621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 t="s">
        <v>1209</v>
      </c>
      <c r="AL29" s="8" t="s">
        <v>1209</v>
      </c>
      <c r="AM29" s="8" t="s">
        <v>1209</v>
      </c>
      <c r="AN29" s="27" t="s">
        <v>1209</v>
      </c>
      <c r="AO29" s="8" t="s">
        <v>1209</v>
      </c>
      <c r="AP29" s="8" t="s">
        <v>1209</v>
      </c>
      <c r="AQ29" s="27" t="s">
        <v>1209</v>
      </c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 t="s">
        <v>1397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1231</v>
      </c>
      <c r="C31" s="51" t="s">
        <v>1397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1393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 t="s">
        <v>1397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1397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1397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19</v>
      </c>
      <c r="M34" s="17">
        <f t="shared" si="8"/>
        <v>9</v>
      </c>
      <c r="N34" s="18">
        <f t="shared" si="9"/>
        <v>0.6785714285714286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1209</v>
      </c>
      <c r="AI34" s="27" t="s">
        <v>1209</v>
      </c>
      <c r="AJ34" s="27" t="s">
        <v>1209</v>
      </c>
      <c r="AK34" s="8" t="s">
        <v>1209</v>
      </c>
      <c r="AL34" s="8" t="s">
        <v>1209</v>
      </c>
      <c r="AM34" s="8" t="s">
        <v>1209</v>
      </c>
      <c r="AN34" s="27" t="s">
        <v>1209</v>
      </c>
      <c r="AO34" s="8" t="s">
        <v>1209</v>
      </c>
      <c r="AP34" s="8" t="s">
        <v>1209</v>
      </c>
      <c r="AQ34" s="27" t="s">
        <v>1209</v>
      </c>
      <c r="AR34" s="27" t="s">
        <v>1209</v>
      </c>
      <c r="AS34" s="27"/>
    </row>
    <row r="35" spans="1:45" ht="15.75" thickBot="1" x14ac:dyDescent="0.3">
      <c r="A35" s="51" t="s">
        <v>72</v>
      </c>
      <c r="B35" s="51" t="s">
        <v>1232</v>
      </c>
      <c r="C35" s="51" t="s">
        <v>1397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1234</v>
      </c>
      <c r="C36" s="51" t="s">
        <v>1397</v>
      </c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1209</v>
      </c>
      <c r="Q36" s="8" t="s">
        <v>1209</v>
      </c>
      <c r="R36" s="8" t="s">
        <v>1209</v>
      </c>
      <c r="S36" s="27" t="s">
        <v>1209</v>
      </c>
      <c r="T36" s="27"/>
      <c r="U36" s="8" t="s">
        <v>1209</v>
      </c>
      <c r="V36" s="8" t="s">
        <v>1209</v>
      </c>
      <c r="W36" s="8" t="s">
        <v>1209</v>
      </c>
      <c r="X36" s="27" t="s">
        <v>1209</v>
      </c>
      <c r="Y36" s="27" t="s">
        <v>1209</v>
      </c>
      <c r="Z36" s="27" t="s">
        <v>1209</v>
      </c>
      <c r="AA36" s="27" t="s">
        <v>1209</v>
      </c>
      <c r="AB36" s="27" t="s">
        <v>1209</v>
      </c>
      <c r="AC36" s="27" t="s">
        <v>1209</v>
      </c>
      <c r="AD36" s="27" t="s">
        <v>1209</v>
      </c>
      <c r="AE36" s="27" t="s">
        <v>1209</v>
      </c>
      <c r="AF36" s="27" t="s">
        <v>1209</v>
      </c>
      <c r="AG36" s="27" t="s">
        <v>1209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1397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1397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29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 t="s">
        <v>1209</v>
      </c>
      <c r="AS38" s="27"/>
    </row>
    <row r="39" spans="1:45" ht="15.75" thickBot="1" x14ac:dyDescent="0.3">
      <c r="A39" s="51" t="s">
        <v>72</v>
      </c>
      <c r="B39" s="51" t="s">
        <v>107</v>
      </c>
      <c r="C39" s="51" t="s">
        <v>1397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 t="s">
        <v>1397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 t="s">
        <v>1397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 t="s">
        <v>1397</v>
      </c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29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 t="s">
        <v>1209</v>
      </c>
      <c r="AS42" s="27"/>
    </row>
    <row r="43" spans="1:45" ht="15.75" thickBot="1" x14ac:dyDescent="0.3">
      <c r="A43" s="51" t="s">
        <v>72</v>
      </c>
      <c r="B43" s="51" t="s">
        <v>121</v>
      </c>
      <c r="C43" s="51" t="s">
        <v>1397</v>
      </c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 t="s">
        <v>1397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 t="s">
        <v>1397</v>
      </c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 t="s">
        <v>1397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 t="s">
        <v>1397</v>
      </c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1397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1397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 t="s">
        <v>1397</v>
      </c>
      <c r="D50" s="51" t="s">
        <v>145</v>
      </c>
      <c r="E50" s="51" t="s">
        <v>24</v>
      </c>
      <c r="F50" s="51" t="s">
        <v>1389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28</v>
      </c>
      <c r="M50" s="17">
        <f t="shared" si="8"/>
        <v>1</v>
      </c>
      <c r="N50" s="18">
        <f t="shared" si="9"/>
        <v>0.96551724137931039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1209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 t="s">
        <v>1209</v>
      </c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1397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 t="s">
        <v>1397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1397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23</v>
      </c>
      <c r="M53" s="17">
        <f t="shared" si="8"/>
        <v>6</v>
      </c>
      <c r="N53" s="18">
        <f t="shared" si="9"/>
        <v>0.7931034482758621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 t="s">
        <v>1209</v>
      </c>
      <c r="AL53" s="8" t="s">
        <v>1209</v>
      </c>
      <c r="AM53" s="8" t="s">
        <v>1209</v>
      </c>
      <c r="AN53" s="27" t="s">
        <v>1209</v>
      </c>
      <c r="AO53" s="8" t="s">
        <v>1209</v>
      </c>
      <c r="AP53" s="8" t="s">
        <v>1209</v>
      </c>
      <c r="AQ53" s="27" t="s">
        <v>1209</v>
      </c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 t="s">
        <v>1397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29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 t="s">
        <v>1209</v>
      </c>
      <c r="AS54" s="27"/>
    </row>
    <row r="55" spans="1:45" ht="15.75" thickBot="1" x14ac:dyDescent="0.3">
      <c r="A55" s="51" t="s">
        <v>72</v>
      </c>
      <c r="B55" s="51" t="s">
        <v>158</v>
      </c>
      <c r="C55" s="51" t="s">
        <v>1397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 t="s">
        <v>1397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 t="s">
        <v>1397</v>
      </c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1397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29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 t="s">
        <v>1209</v>
      </c>
      <c r="AS58" s="27"/>
    </row>
    <row r="59" spans="1:45" ht="15.75" thickBot="1" x14ac:dyDescent="0.3">
      <c r="A59" s="51" t="s">
        <v>72</v>
      </c>
      <c r="B59" s="51" t="s">
        <v>169</v>
      </c>
      <c r="C59" s="51" t="s">
        <v>1397</v>
      </c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 t="s">
        <v>1397</v>
      </c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 t="s">
        <v>1397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 t="s">
        <v>1397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29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 t="s">
        <v>1209</v>
      </c>
      <c r="AS62" s="27"/>
    </row>
    <row r="63" spans="1:45" ht="15.75" thickBot="1" x14ac:dyDescent="0.3">
      <c r="A63" s="51" t="s">
        <v>72</v>
      </c>
      <c r="B63" s="51" t="s">
        <v>176</v>
      </c>
      <c r="C63" s="51" t="s">
        <v>1397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29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 t="s">
        <v>1209</v>
      </c>
      <c r="AS63" s="27"/>
    </row>
    <row r="64" spans="1:45" ht="15.75" thickBot="1" x14ac:dyDescent="0.3">
      <c r="A64" s="51" t="s">
        <v>72</v>
      </c>
      <c r="B64" s="51" t="s">
        <v>179</v>
      </c>
      <c r="C64" s="51" t="s">
        <v>1397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 t="s">
        <v>1397</v>
      </c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29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 t="s">
        <v>1209</v>
      </c>
      <c r="AS65" s="27"/>
    </row>
    <row r="66" spans="1:45" ht="15.75" thickBot="1" x14ac:dyDescent="0.3">
      <c r="A66" s="51" t="s">
        <v>72</v>
      </c>
      <c r="B66" s="51" t="s">
        <v>183</v>
      </c>
      <c r="C66" s="51" t="s">
        <v>1397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 t="s">
        <v>1397</v>
      </c>
      <c r="D67" s="51" t="s">
        <v>1244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28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 t="s">
        <v>1209</v>
      </c>
      <c r="AR67" s="27" t="s">
        <v>1209</v>
      </c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1397</v>
      </c>
      <c r="D68" s="51" t="s">
        <v>1245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1397</v>
      </c>
      <c r="D69" s="51" t="s">
        <v>1246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1397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27</v>
      </c>
      <c r="M70" s="17">
        <f t="shared" si="11"/>
        <v>3</v>
      </c>
      <c r="N70" s="18">
        <f t="shared" si="12"/>
        <v>0.9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1209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 t="s">
        <v>1209</v>
      </c>
      <c r="AP70" s="8" t="s">
        <v>1209</v>
      </c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 t="s">
        <v>1397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 t="s">
        <v>1397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1397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1397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1209</v>
      </c>
      <c r="P74" s="8" t="s">
        <v>1209</v>
      </c>
      <c r="Q74" s="8" t="s">
        <v>1209</v>
      </c>
      <c r="R74" s="8" t="s">
        <v>1209</v>
      </c>
      <c r="S74" s="27" t="s">
        <v>1209</v>
      </c>
      <c r="T74" s="27"/>
      <c r="U74" s="8" t="s">
        <v>1209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 t="s">
        <v>1397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1397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 t="s">
        <v>1397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 t="s">
        <v>1397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1397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 t="s">
        <v>1397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1209</v>
      </c>
      <c r="R80" s="8" t="s">
        <v>1209</v>
      </c>
      <c r="S80" s="27" t="s">
        <v>1209</v>
      </c>
      <c r="T80" s="27"/>
      <c r="U80" s="8"/>
      <c r="V80" s="8"/>
      <c r="W80" s="8"/>
      <c r="X80" s="27"/>
      <c r="Y80" s="27"/>
      <c r="Z80" s="27" t="s">
        <v>1209</v>
      </c>
      <c r="AA80" s="27" t="s">
        <v>1209</v>
      </c>
      <c r="AB80" s="27" t="s">
        <v>1209</v>
      </c>
      <c r="AC80" s="27" t="s">
        <v>1209</v>
      </c>
      <c r="AD80" s="27" t="s">
        <v>1209</v>
      </c>
      <c r="AE80" s="27" t="s">
        <v>1209</v>
      </c>
      <c r="AF80" s="27" t="s">
        <v>1209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 t="s">
        <v>1397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1397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1247</v>
      </c>
      <c r="C83" s="51" t="s">
        <v>1397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1209</v>
      </c>
      <c r="R83" s="8" t="s">
        <v>1209</v>
      </c>
      <c r="S83" s="27" t="s">
        <v>1209</v>
      </c>
      <c r="T83" s="27"/>
      <c r="U83" s="8"/>
      <c r="V83" s="8"/>
      <c r="W83" s="8"/>
      <c r="X83" s="27"/>
      <c r="Y83" s="27"/>
      <c r="Z83" s="27" t="s">
        <v>1209</v>
      </c>
      <c r="AA83" s="27" t="s">
        <v>1209</v>
      </c>
      <c r="AB83" s="27" t="s">
        <v>1209</v>
      </c>
      <c r="AC83" s="27" t="s">
        <v>1209</v>
      </c>
      <c r="AD83" s="27" t="s">
        <v>1209</v>
      </c>
      <c r="AE83" s="27" t="s">
        <v>1209</v>
      </c>
      <c r="AF83" s="27" t="s">
        <v>1209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1248</v>
      </c>
      <c r="C84" s="51" t="s">
        <v>1397</v>
      </c>
      <c r="D84" s="51" t="s">
        <v>1249</v>
      </c>
      <c r="E84" s="51" t="s">
        <v>19</v>
      </c>
      <c r="F84" s="51" t="s">
        <v>1389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1250</v>
      </c>
      <c r="C85" s="51" t="s">
        <v>1397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 t="s">
        <v>1397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1397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 t="s">
        <v>1397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1397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 t="s">
        <v>1397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1397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22</v>
      </c>
      <c r="M91" s="17">
        <f t="shared" si="11"/>
        <v>6</v>
      </c>
      <c r="N91" s="18">
        <f t="shared" si="12"/>
        <v>0.7857142857142857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 t="s">
        <v>1209</v>
      </c>
      <c r="AL91" s="8" t="s">
        <v>1209</v>
      </c>
      <c r="AM91" s="8" t="s">
        <v>1209</v>
      </c>
      <c r="AN91" s="27" t="s">
        <v>1209</v>
      </c>
      <c r="AO91" s="8" t="s">
        <v>1209</v>
      </c>
      <c r="AP91" s="8" t="s">
        <v>1209</v>
      </c>
      <c r="AQ91" s="27" t="s">
        <v>1209</v>
      </c>
      <c r="AR91" s="27" t="s">
        <v>1209</v>
      </c>
      <c r="AS91" s="27"/>
    </row>
    <row r="92" spans="1:45" ht="15.75" thickBot="1" x14ac:dyDescent="0.3">
      <c r="A92" s="51" t="s">
        <v>72</v>
      </c>
      <c r="B92" s="51" t="s">
        <v>238</v>
      </c>
      <c r="C92" s="51" t="s">
        <v>1397</v>
      </c>
      <c r="D92" s="51" t="s">
        <v>239</v>
      </c>
      <c r="E92" s="51" t="s">
        <v>24</v>
      </c>
      <c r="F92" s="51" t="s">
        <v>1388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1397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28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 t="s">
        <v>1209</v>
      </c>
      <c r="AR93" s="27" t="s">
        <v>1209</v>
      </c>
      <c r="AS93" s="27"/>
    </row>
    <row r="94" spans="1:45" ht="15.75" thickBot="1" x14ac:dyDescent="0.3">
      <c r="A94" s="51" t="s">
        <v>243</v>
      </c>
      <c r="B94" s="51" t="s">
        <v>244</v>
      </c>
      <c r="C94" s="51" t="s">
        <v>1397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 t="s">
        <v>1397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1397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23</v>
      </c>
      <c r="M96" s="17">
        <f t="shared" si="11"/>
        <v>6</v>
      </c>
      <c r="N96" s="18">
        <f t="shared" si="12"/>
        <v>0.7931034482758621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 t="s">
        <v>1209</v>
      </c>
      <c r="AL96" s="8" t="s">
        <v>1209</v>
      </c>
      <c r="AM96" s="8" t="s">
        <v>1209</v>
      </c>
      <c r="AN96" s="27" t="s">
        <v>1209</v>
      </c>
      <c r="AO96" s="8" t="s">
        <v>1209</v>
      </c>
      <c r="AP96" s="8" t="s">
        <v>1209</v>
      </c>
      <c r="AQ96" s="27" t="s">
        <v>1209</v>
      </c>
      <c r="AR96" s="27"/>
      <c r="AS96" s="27"/>
    </row>
    <row r="97" spans="1:45" ht="15.75" thickBot="1" x14ac:dyDescent="0.3">
      <c r="A97" s="51" t="s">
        <v>256</v>
      </c>
      <c r="B97" s="51" t="s">
        <v>1251</v>
      </c>
      <c r="C97" s="51" t="s">
        <v>1398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1398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1398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1252</v>
      </c>
      <c r="C100" s="51" t="s">
        <v>1397</v>
      </c>
      <c r="D100" s="51" t="s">
        <v>265</v>
      </c>
      <c r="E100" s="51" t="s">
        <v>102</v>
      </c>
      <c r="F100" s="51" t="s">
        <v>1389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1253</v>
      </c>
      <c r="C101" s="51" t="s">
        <v>1397</v>
      </c>
      <c r="D101" s="51" t="s">
        <v>265</v>
      </c>
      <c r="E101" s="51" t="s">
        <v>102</v>
      </c>
      <c r="F101" s="51" t="s">
        <v>1389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1254</v>
      </c>
      <c r="C102" s="51" t="s">
        <v>1397</v>
      </c>
      <c r="D102" s="51" t="s">
        <v>1255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27</v>
      </c>
      <c r="M102" s="17">
        <f t="shared" si="11"/>
        <v>2</v>
      </c>
      <c r="N102" s="18">
        <f t="shared" si="12"/>
        <v>0.93103448275862066</v>
      </c>
      <c r="O102" s="27"/>
      <c r="P102" s="8"/>
      <c r="Q102" s="8"/>
      <c r="R102" s="8" t="s">
        <v>1209</v>
      </c>
      <c r="S102" s="27"/>
      <c r="T102" s="27"/>
      <c r="U102" s="8"/>
      <c r="V102" s="8" t="s">
        <v>1209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 t="s">
        <v>1209</v>
      </c>
      <c r="AS102" s="27"/>
    </row>
    <row r="103" spans="1:45" ht="15.75" thickBot="1" x14ac:dyDescent="0.3">
      <c r="A103" s="51" t="s">
        <v>264</v>
      </c>
      <c r="B103" s="51" t="s">
        <v>1256</v>
      </c>
      <c r="C103" s="51" t="s">
        <v>1397</v>
      </c>
      <c r="D103" s="51" t="s">
        <v>1255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29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 t="s">
        <v>1209</v>
      </c>
      <c r="AS103" s="27"/>
    </row>
    <row r="104" spans="1:45" ht="15.75" thickBot="1" x14ac:dyDescent="0.3">
      <c r="A104" s="51" t="s">
        <v>264</v>
      </c>
      <c r="B104" s="51" t="s">
        <v>262</v>
      </c>
      <c r="C104" s="51" t="s">
        <v>1397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1209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1257</v>
      </c>
      <c r="C105" s="51" t="s">
        <v>1398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28</v>
      </c>
      <c r="M105" s="17">
        <f t="shared" si="11"/>
        <v>1</v>
      </c>
      <c r="N105" s="18">
        <f t="shared" si="12"/>
        <v>0.96551724137931039</v>
      </c>
      <c r="O105" s="27"/>
      <c r="P105" s="8"/>
      <c r="Q105" s="8"/>
      <c r="R105" s="8"/>
      <c r="S105" s="27"/>
      <c r="T105" s="27"/>
      <c r="U105" s="8" t="s">
        <v>1209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 t="s">
        <v>1209</v>
      </c>
      <c r="AR105" s="27"/>
      <c r="AS105" s="27"/>
    </row>
    <row r="106" spans="1:45" ht="15.75" thickBot="1" x14ac:dyDescent="0.3">
      <c r="A106" s="51" t="s">
        <v>268</v>
      </c>
      <c r="B106" s="51" t="s">
        <v>1258</v>
      </c>
      <c r="C106" s="51" t="s">
        <v>1398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27</v>
      </c>
      <c r="M106" s="17">
        <f t="shared" si="11"/>
        <v>2</v>
      </c>
      <c r="N106" s="18">
        <f t="shared" si="12"/>
        <v>0.93103448275862066</v>
      </c>
      <c r="O106" s="27"/>
      <c r="P106" s="8"/>
      <c r="Q106" s="8"/>
      <c r="R106" s="8"/>
      <c r="S106" s="27"/>
      <c r="T106" s="27"/>
      <c r="U106" s="8" t="s">
        <v>1209</v>
      </c>
      <c r="V106" s="8" t="s">
        <v>1209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 t="s">
        <v>1209</v>
      </c>
      <c r="AR106" s="27"/>
      <c r="AS106" s="27"/>
    </row>
    <row r="107" spans="1:45" ht="15.75" thickBot="1" x14ac:dyDescent="0.3">
      <c r="A107" s="51" t="s">
        <v>268</v>
      </c>
      <c r="B107" s="51" t="s">
        <v>1259</v>
      </c>
      <c r="C107" s="51" t="s">
        <v>1398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27</v>
      </c>
      <c r="M107" s="17">
        <f t="shared" si="11"/>
        <v>2</v>
      </c>
      <c r="N107" s="18">
        <f t="shared" si="12"/>
        <v>0.93103448275862066</v>
      </c>
      <c r="O107" s="27"/>
      <c r="P107" s="8"/>
      <c r="Q107" s="8"/>
      <c r="R107" s="8"/>
      <c r="S107" s="27"/>
      <c r="T107" s="27"/>
      <c r="U107" s="8" t="s">
        <v>1209</v>
      </c>
      <c r="V107" s="8" t="s">
        <v>1209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 t="s">
        <v>1209</v>
      </c>
      <c r="AR107" s="27"/>
      <c r="AS107" s="27"/>
    </row>
    <row r="108" spans="1:45" ht="15.75" thickBot="1" x14ac:dyDescent="0.3">
      <c r="A108" s="51" t="s">
        <v>268</v>
      </c>
      <c r="B108" s="51" t="s">
        <v>1260</v>
      </c>
      <c r="C108" s="51" t="s">
        <v>1398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27</v>
      </c>
      <c r="M108" s="17">
        <f t="shared" si="11"/>
        <v>2</v>
      </c>
      <c r="N108" s="18">
        <f t="shared" si="12"/>
        <v>0.93103448275862066</v>
      </c>
      <c r="O108" s="27"/>
      <c r="P108" s="8"/>
      <c r="Q108" s="8"/>
      <c r="R108" s="8"/>
      <c r="S108" s="27"/>
      <c r="T108" s="27"/>
      <c r="U108" s="8" t="s">
        <v>1209</v>
      </c>
      <c r="V108" s="8" t="s">
        <v>1209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 t="s">
        <v>1209</v>
      </c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 t="s">
        <v>1398</v>
      </c>
      <c r="D109" s="51" t="s">
        <v>1261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27</v>
      </c>
      <c r="M109" s="17">
        <f t="shared" si="11"/>
        <v>2</v>
      </c>
      <c r="N109" s="18">
        <f t="shared" si="12"/>
        <v>0.93103448275862066</v>
      </c>
      <c r="O109" s="27"/>
      <c r="P109" s="8"/>
      <c r="Q109" s="8"/>
      <c r="R109" s="8"/>
      <c r="S109" s="27"/>
      <c r="T109" s="27"/>
      <c r="U109" s="8" t="s">
        <v>1209</v>
      </c>
      <c r="V109" s="8" t="s">
        <v>1209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 t="s">
        <v>1209</v>
      </c>
      <c r="AS109" s="27"/>
    </row>
    <row r="110" spans="1:45" ht="15.75" thickBot="1" x14ac:dyDescent="0.3">
      <c r="A110" s="51" t="s">
        <v>276</v>
      </c>
      <c r="B110" s="51" t="s">
        <v>281</v>
      </c>
      <c r="C110" s="51" t="s">
        <v>1398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 t="s">
        <v>1398</v>
      </c>
      <c r="D111" s="51" t="s">
        <v>285</v>
      </c>
      <c r="E111" s="51" t="s">
        <v>24</v>
      </c>
      <c r="F111" s="51" t="s">
        <v>1389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1209</v>
      </c>
      <c r="P111" s="8" t="s">
        <v>1209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1398</v>
      </c>
      <c r="D112" s="51" t="s">
        <v>288</v>
      </c>
      <c r="E112" s="51" t="s">
        <v>19</v>
      </c>
      <c r="F112" s="51" t="s">
        <v>1389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29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 t="s">
        <v>1209</v>
      </c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1398</v>
      </c>
      <c r="D113" s="51" t="s">
        <v>291</v>
      </c>
      <c r="E113" s="51" t="s">
        <v>24</v>
      </c>
      <c r="F113" s="51" t="s">
        <v>1388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27</v>
      </c>
      <c r="M113" s="17">
        <f t="shared" si="11"/>
        <v>3</v>
      </c>
      <c r="N113" s="18">
        <f t="shared" si="12"/>
        <v>0.9</v>
      </c>
      <c r="O113" s="27" t="s">
        <v>1209</v>
      </c>
      <c r="P113" s="8" t="s">
        <v>1209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 t="s">
        <v>1209</v>
      </c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1398</v>
      </c>
      <c r="D114" s="51" t="s">
        <v>293</v>
      </c>
      <c r="E114" s="51" t="s">
        <v>24</v>
      </c>
      <c r="F114" s="51" t="s">
        <v>1388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 t="s">
        <v>1398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1209</v>
      </c>
      <c r="AA115" s="27" t="s">
        <v>1209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1262</v>
      </c>
      <c r="C116" s="51" t="s">
        <v>1398</v>
      </c>
      <c r="D116" s="51" t="s">
        <v>277</v>
      </c>
      <c r="E116" s="51" t="s">
        <v>19</v>
      </c>
      <c r="F116" s="51" t="s">
        <v>1389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 t="s">
        <v>1398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 t="s">
        <v>1398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1398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1398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1209</v>
      </c>
      <c r="P120" s="8" t="s">
        <v>1209</v>
      </c>
      <c r="Q120" s="8" t="s">
        <v>1209</v>
      </c>
      <c r="R120" s="8" t="s">
        <v>1209</v>
      </c>
      <c r="S120" s="27" t="s">
        <v>1209</v>
      </c>
      <c r="T120" s="27"/>
      <c r="U120" s="8" t="s">
        <v>1209</v>
      </c>
      <c r="V120" s="8" t="s">
        <v>1209</v>
      </c>
      <c r="W120" s="8" t="s">
        <v>1209</v>
      </c>
      <c r="X120" s="27" t="s">
        <v>1209</v>
      </c>
      <c r="Y120" s="27" t="s">
        <v>1209</v>
      </c>
      <c r="Z120" s="27" t="s">
        <v>1209</v>
      </c>
      <c r="AA120" s="27" t="s">
        <v>1209</v>
      </c>
      <c r="AB120" s="27" t="s">
        <v>1209</v>
      </c>
      <c r="AC120" s="27" t="s">
        <v>1209</v>
      </c>
      <c r="AD120" s="27" t="s">
        <v>1209</v>
      </c>
      <c r="AE120" s="27" t="s">
        <v>1209</v>
      </c>
      <c r="AF120" s="27" t="s">
        <v>1209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1263</v>
      </c>
      <c r="C121" s="51" t="s">
        <v>1398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12</v>
      </c>
      <c r="M121" s="17">
        <f t="shared" si="11"/>
        <v>17</v>
      </c>
      <c r="N121" s="18">
        <f t="shared" si="12"/>
        <v>0.41379310344827586</v>
      </c>
      <c r="O121" s="27" t="s">
        <v>1209</v>
      </c>
      <c r="P121" s="8" t="s">
        <v>1209</v>
      </c>
      <c r="Q121" s="8" t="s">
        <v>1209</v>
      </c>
      <c r="R121" s="8" t="s">
        <v>1209</v>
      </c>
      <c r="S121" s="27" t="s">
        <v>1209</v>
      </c>
      <c r="T121" s="27"/>
      <c r="U121" s="8" t="s">
        <v>1209</v>
      </c>
      <c r="V121" s="8" t="s">
        <v>1209</v>
      </c>
      <c r="W121" s="8" t="s">
        <v>1209</v>
      </c>
      <c r="X121" s="27" t="s">
        <v>1209</v>
      </c>
      <c r="Y121" s="27" t="s">
        <v>1209</v>
      </c>
      <c r="Z121" s="27" t="s">
        <v>1209</v>
      </c>
      <c r="AA121" s="27" t="s">
        <v>1209</v>
      </c>
      <c r="AB121" s="27" t="s">
        <v>1209</v>
      </c>
      <c r="AC121" s="27" t="s">
        <v>1209</v>
      </c>
      <c r="AD121" s="27" t="s">
        <v>1209</v>
      </c>
      <c r="AE121" s="27" t="s">
        <v>1209</v>
      </c>
      <c r="AF121" s="27" t="s">
        <v>1209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 t="s">
        <v>1209</v>
      </c>
      <c r="AR121" s="27"/>
      <c r="AS121" s="27"/>
    </row>
    <row r="122" spans="1:45" ht="15.75" thickBot="1" x14ac:dyDescent="0.3">
      <c r="A122" s="51" t="s">
        <v>306</v>
      </c>
      <c r="B122" s="51" t="s">
        <v>1264</v>
      </c>
      <c r="C122" s="51" t="s">
        <v>1398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26</v>
      </c>
      <c r="M122" s="17">
        <f t="shared" si="11"/>
        <v>3</v>
      </c>
      <c r="N122" s="18">
        <f t="shared" si="12"/>
        <v>0.89655172413793105</v>
      </c>
      <c r="O122" s="27"/>
      <c r="P122" s="8"/>
      <c r="Q122" s="8"/>
      <c r="R122" s="8"/>
      <c r="S122" s="27"/>
      <c r="T122" s="27"/>
      <c r="U122" s="8" t="s">
        <v>1209</v>
      </c>
      <c r="V122" s="8" t="s">
        <v>1209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 t="s">
        <v>1209</v>
      </c>
      <c r="AQ122" s="27" t="s">
        <v>1209</v>
      </c>
      <c r="AR122" s="27"/>
      <c r="AS122" s="27"/>
    </row>
    <row r="123" spans="1:45" ht="15.75" thickBot="1" x14ac:dyDescent="0.3">
      <c r="A123" s="51" t="s">
        <v>309</v>
      </c>
      <c r="B123" s="51" t="s">
        <v>1265</v>
      </c>
      <c r="C123" s="51" t="s">
        <v>1398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1209</v>
      </c>
      <c r="V123" s="8" t="s">
        <v>1209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1397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1397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 t="s">
        <v>1397</v>
      </c>
      <c r="D126" s="51" t="s">
        <v>324</v>
      </c>
      <c r="E126" s="51" t="s">
        <v>102</v>
      </c>
      <c r="F126" s="51" t="s">
        <v>1389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 t="s">
        <v>1397</v>
      </c>
      <c r="D127" s="51" t="s">
        <v>324</v>
      </c>
      <c r="E127" s="51" t="s">
        <v>102</v>
      </c>
      <c r="F127" s="51" t="s">
        <v>1389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1266</v>
      </c>
      <c r="C128" s="51" t="s">
        <v>1397</v>
      </c>
      <c r="D128" s="51" t="s">
        <v>346</v>
      </c>
      <c r="E128" s="51" t="s">
        <v>102</v>
      </c>
      <c r="F128" s="51" t="s">
        <v>1389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19</v>
      </c>
      <c r="M128" s="17">
        <f t="shared" si="11"/>
        <v>9</v>
      </c>
      <c r="N128" s="18">
        <f t="shared" si="12"/>
        <v>0.6785714285714286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 t="s">
        <v>1209</v>
      </c>
      <c r="AI128" s="27" t="s">
        <v>1209</v>
      </c>
      <c r="AJ128" s="27" t="s">
        <v>1209</v>
      </c>
      <c r="AK128" s="8" t="s">
        <v>1209</v>
      </c>
      <c r="AL128" s="8" t="s">
        <v>1209</v>
      </c>
      <c r="AM128" s="8" t="s">
        <v>1209</v>
      </c>
      <c r="AN128" s="27" t="s">
        <v>1209</v>
      </c>
      <c r="AO128" s="8" t="s">
        <v>1209</v>
      </c>
      <c r="AP128" s="8" t="s">
        <v>1209</v>
      </c>
      <c r="AQ128" s="27" t="s">
        <v>1209</v>
      </c>
      <c r="AR128" s="27" t="s">
        <v>1209</v>
      </c>
      <c r="AS128" s="27"/>
    </row>
    <row r="129" spans="1:45" ht="15.75" thickBot="1" x14ac:dyDescent="0.3">
      <c r="A129" s="51" t="s">
        <v>312</v>
      </c>
      <c r="B129" s="51" t="s">
        <v>1267</v>
      </c>
      <c r="C129" s="51" t="s">
        <v>1397</v>
      </c>
      <c r="D129" s="51" t="s">
        <v>346</v>
      </c>
      <c r="E129" s="51" t="s">
        <v>102</v>
      </c>
      <c r="F129" s="51" t="s">
        <v>1389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18</v>
      </c>
      <c r="M129" s="17">
        <f t="shared" si="11"/>
        <v>10</v>
      </c>
      <c r="N129" s="18">
        <f t="shared" si="12"/>
        <v>0.6428571428571429</v>
      </c>
      <c r="O129" s="27"/>
      <c r="P129" s="8"/>
      <c r="Q129" s="8"/>
      <c r="R129" s="8"/>
      <c r="S129" s="27"/>
      <c r="T129" s="27"/>
      <c r="U129" s="8" t="s">
        <v>1209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 t="s">
        <v>1209</v>
      </c>
      <c r="AI129" s="27" t="s">
        <v>1209</v>
      </c>
      <c r="AJ129" s="27" t="s">
        <v>1209</v>
      </c>
      <c r="AK129" s="8" t="s">
        <v>1209</v>
      </c>
      <c r="AL129" s="8" t="s">
        <v>1209</v>
      </c>
      <c r="AM129" s="8" t="s">
        <v>1209</v>
      </c>
      <c r="AN129" s="27" t="s">
        <v>1209</v>
      </c>
      <c r="AO129" s="8" t="s">
        <v>1209</v>
      </c>
      <c r="AP129" s="8" t="s">
        <v>1209</v>
      </c>
      <c r="AQ129" s="27" t="s">
        <v>1209</v>
      </c>
      <c r="AR129" s="27" t="s">
        <v>1209</v>
      </c>
      <c r="AS129" s="27"/>
    </row>
    <row r="130" spans="1:45" ht="15.75" thickBot="1" x14ac:dyDescent="0.3">
      <c r="A130" s="51" t="s">
        <v>312</v>
      </c>
      <c r="B130" s="51" t="s">
        <v>1268</v>
      </c>
      <c r="C130" s="51" t="s">
        <v>1397</v>
      </c>
      <c r="D130" s="51" t="s">
        <v>349</v>
      </c>
      <c r="E130" s="51" t="s">
        <v>102</v>
      </c>
      <c r="F130" s="51" t="s">
        <v>1389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1209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1269</v>
      </c>
      <c r="C131" s="51" t="s">
        <v>1397</v>
      </c>
      <c r="D131" s="51" t="s">
        <v>349</v>
      </c>
      <c r="E131" s="51" t="s">
        <v>102</v>
      </c>
      <c r="F131" s="51" t="s">
        <v>1389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1397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29</v>
      </c>
      <c r="M132" s="17">
        <f t="shared" si="11"/>
        <v>1</v>
      </c>
      <c r="N132" s="18">
        <f t="shared" si="12"/>
        <v>0.96666666666666667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 t="s">
        <v>1209</v>
      </c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1397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1209</v>
      </c>
      <c r="P133" s="8" t="s">
        <v>1209</v>
      </c>
      <c r="Q133" s="8" t="s">
        <v>1209</v>
      </c>
      <c r="R133" s="8" t="s">
        <v>1209</v>
      </c>
      <c r="S133" s="27" t="s">
        <v>1209</v>
      </c>
      <c r="T133" s="27"/>
      <c r="U133" s="8" t="s">
        <v>1209</v>
      </c>
      <c r="V133" s="8" t="s">
        <v>1209</v>
      </c>
      <c r="W133" s="8" t="s">
        <v>1209</v>
      </c>
      <c r="X133" s="27" t="s">
        <v>1209</v>
      </c>
      <c r="Y133" s="27" t="s">
        <v>1209</v>
      </c>
      <c r="Z133" s="27" t="s">
        <v>1209</v>
      </c>
      <c r="AA133" s="27" t="s">
        <v>1209</v>
      </c>
      <c r="AB133" s="27" t="s">
        <v>1209</v>
      </c>
      <c r="AC133" s="27" t="s">
        <v>1209</v>
      </c>
      <c r="AD133" s="27" t="s">
        <v>1209</v>
      </c>
      <c r="AE133" s="27" t="s">
        <v>1209</v>
      </c>
      <c r="AF133" s="27" t="s">
        <v>1209</v>
      </c>
      <c r="AG133" s="27" t="s">
        <v>1209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1397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18</v>
      </c>
      <c r="M134" s="17">
        <f t="shared" si="14"/>
        <v>10</v>
      </c>
      <c r="N134" s="18">
        <f t="shared" si="15"/>
        <v>0.6428571428571429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 t="s">
        <v>1209</v>
      </c>
      <c r="AH134" s="27" t="s">
        <v>1209</v>
      </c>
      <c r="AI134" s="27" t="s">
        <v>1209</v>
      </c>
      <c r="AJ134" s="27" t="s">
        <v>1209</v>
      </c>
      <c r="AK134" s="8" t="s">
        <v>1209</v>
      </c>
      <c r="AL134" s="8" t="s">
        <v>1209</v>
      </c>
      <c r="AM134" s="8" t="s">
        <v>1209</v>
      </c>
      <c r="AN134" s="27" t="s">
        <v>1209</v>
      </c>
      <c r="AO134" s="8" t="s">
        <v>1209</v>
      </c>
      <c r="AP134" s="8" t="s">
        <v>1209</v>
      </c>
      <c r="AQ134" s="27" t="s">
        <v>1209</v>
      </c>
      <c r="AR134" s="27" t="s">
        <v>1209</v>
      </c>
      <c r="AS134" s="27"/>
    </row>
    <row r="135" spans="1:45" ht="15.75" thickBot="1" x14ac:dyDescent="0.3">
      <c r="A135" s="51" t="s">
        <v>312</v>
      </c>
      <c r="B135" s="51" t="s">
        <v>336</v>
      </c>
      <c r="C135" s="51" t="s">
        <v>1397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28</v>
      </c>
      <c r="M135" s="17">
        <f t="shared" si="14"/>
        <v>2</v>
      </c>
      <c r="N135" s="18">
        <f t="shared" si="15"/>
        <v>0.93333333333333335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 t="s">
        <v>1209</v>
      </c>
      <c r="AM135" s="8"/>
      <c r="AN135" s="27"/>
      <c r="AO135" s="8"/>
      <c r="AP135" s="8" t="s">
        <v>1209</v>
      </c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1397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1209</v>
      </c>
      <c r="P136" s="8" t="s">
        <v>1209</v>
      </c>
      <c r="Q136" s="8" t="s">
        <v>1209</v>
      </c>
      <c r="R136" s="8" t="s">
        <v>1209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1209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1397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23</v>
      </c>
      <c r="M137" s="17">
        <f t="shared" si="14"/>
        <v>7</v>
      </c>
      <c r="N137" s="18">
        <f t="shared" si="15"/>
        <v>0.76666666666666672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 t="s">
        <v>1209</v>
      </c>
      <c r="AK137" s="8" t="s">
        <v>1209</v>
      </c>
      <c r="AL137" s="8" t="s">
        <v>1209</v>
      </c>
      <c r="AM137" s="8" t="s">
        <v>1209</v>
      </c>
      <c r="AN137" s="27" t="s">
        <v>1209</v>
      </c>
      <c r="AO137" s="8" t="s">
        <v>1209</v>
      </c>
      <c r="AP137" s="8" t="s">
        <v>1209</v>
      </c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1270</v>
      </c>
      <c r="C138" s="51" t="s">
        <v>1397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1209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1209</v>
      </c>
      <c r="AF138" s="27" t="s">
        <v>1209</v>
      </c>
      <c r="AG138" s="27" t="s">
        <v>1209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1271</v>
      </c>
      <c r="C139" s="51" t="s">
        <v>1397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24</v>
      </c>
      <c r="M139" s="17">
        <f t="shared" si="14"/>
        <v>4</v>
      </c>
      <c r="N139" s="18">
        <f t="shared" si="15"/>
        <v>0.8571428571428571</v>
      </c>
      <c r="O139" s="27"/>
      <c r="P139" s="8"/>
      <c r="Q139" s="8"/>
      <c r="R139" s="8"/>
      <c r="S139" s="27"/>
      <c r="T139" s="27"/>
      <c r="U139" s="8" t="s">
        <v>1209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1209</v>
      </c>
      <c r="AF139" s="27" t="s">
        <v>1209</v>
      </c>
      <c r="AG139" s="27" t="s">
        <v>1209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 t="s">
        <v>1209</v>
      </c>
      <c r="AR139" s="27" t="s">
        <v>1209</v>
      </c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1397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1209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1397</v>
      </c>
      <c r="D141" s="51" t="s">
        <v>352</v>
      </c>
      <c r="E141" s="51" t="s">
        <v>19</v>
      </c>
      <c r="F141" s="51" t="s">
        <v>1389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21</v>
      </c>
      <c r="M141" s="17">
        <f t="shared" si="14"/>
        <v>7</v>
      </c>
      <c r="N141" s="18">
        <f t="shared" si="15"/>
        <v>0.75</v>
      </c>
      <c r="O141" s="27"/>
      <c r="P141" s="8"/>
      <c r="Q141" s="8"/>
      <c r="R141" s="8"/>
      <c r="S141" s="27"/>
      <c r="T141" s="27"/>
      <c r="U141" s="8" t="s">
        <v>1209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 t="s">
        <v>1209</v>
      </c>
      <c r="AL141" s="8" t="s">
        <v>1209</v>
      </c>
      <c r="AM141" s="8" t="s">
        <v>1209</v>
      </c>
      <c r="AN141" s="27" t="s">
        <v>1209</v>
      </c>
      <c r="AO141" s="8" t="s">
        <v>1209</v>
      </c>
      <c r="AP141" s="8" t="s">
        <v>1209</v>
      </c>
      <c r="AQ141" s="27" t="s">
        <v>1209</v>
      </c>
      <c r="AR141" s="27" t="s">
        <v>1209</v>
      </c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1397</v>
      </c>
      <c r="D142" s="51" t="s">
        <v>355</v>
      </c>
      <c r="E142" s="51" t="s">
        <v>19</v>
      </c>
      <c r="F142" s="51" t="s">
        <v>1389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22</v>
      </c>
      <c r="M142" s="17">
        <f t="shared" si="14"/>
        <v>6</v>
      </c>
      <c r="N142" s="18">
        <f t="shared" si="15"/>
        <v>0.7857142857142857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 t="s">
        <v>1209</v>
      </c>
      <c r="AL142" s="8" t="s">
        <v>1209</v>
      </c>
      <c r="AM142" s="8" t="s">
        <v>1209</v>
      </c>
      <c r="AN142" s="27" t="s">
        <v>1209</v>
      </c>
      <c r="AO142" s="8" t="s">
        <v>1209</v>
      </c>
      <c r="AP142" s="8" t="s">
        <v>1209</v>
      </c>
      <c r="AQ142" s="27" t="s">
        <v>1209</v>
      </c>
      <c r="AR142" s="27" t="s">
        <v>1209</v>
      </c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1397</v>
      </c>
      <c r="D143" s="51" t="s">
        <v>357</v>
      </c>
      <c r="E143" s="51" t="s">
        <v>19</v>
      </c>
      <c r="F143" s="51" t="s">
        <v>1389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20</v>
      </c>
      <c r="M143" s="17">
        <f t="shared" si="14"/>
        <v>8</v>
      </c>
      <c r="N143" s="18">
        <f t="shared" si="15"/>
        <v>0.7142857142857143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1209</v>
      </c>
      <c r="AC143" s="27" t="s">
        <v>1209</v>
      </c>
      <c r="AD143" s="27"/>
      <c r="AE143" s="27"/>
      <c r="AF143" s="27"/>
      <c r="AG143" s="27"/>
      <c r="AH143" s="27"/>
      <c r="AI143" s="27"/>
      <c r="AJ143" s="27"/>
      <c r="AK143" s="8" t="s">
        <v>1209</v>
      </c>
      <c r="AL143" s="8" t="s">
        <v>1209</v>
      </c>
      <c r="AM143" s="8" t="s">
        <v>1209</v>
      </c>
      <c r="AN143" s="27" t="s">
        <v>1209</v>
      </c>
      <c r="AO143" s="8" t="s">
        <v>1209</v>
      </c>
      <c r="AP143" s="8" t="s">
        <v>1209</v>
      </c>
      <c r="AQ143" s="27" t="s">
        <v>1209</v>
      </c>
      <c r="AR143" s="27" t="s">
        <v>1209</v>
      </c>
      <c r="AS143" s="27"/>
    </row>
    <row r="144" spans="1:45" ht="15.75" thickBot="1" x14ac:dyDescent="0.3">
      <c r="A144" s="51" t="s">
        <v>243</v>
      </c>
      <c r="B144" s="51" t="s">
        <v>1272</v>
      </c>
      <c r="C144" s="51" t="s">
        <v>1397</v>
      </c>
      <c r="D144" s="51" t="s">
        <v>1273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 t="s">
        <v>1397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1209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1397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1397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1209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1274</v>
      </c>
      <c r="C148" s="51" t="s">
        <v>1398</v>
      </c>
      <c r="D148" s="51" t="s">
        <v>367</v>
      </c>
      <c r="E148" s="51" t="s">
        <v>19</v>
      </c>
      <c r="F148" s="51" t="s">
        <v>1388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28</v>
      </c>
      <c r="M148" s="17">
        <f t="shared" si="14"/>
        <v>2</v>
      </c>
      <c r="N148" s="18">
        <f t="shared" si="15"/>
        <v>0.93333333333333335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1209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 t="s">
        <v>1209</v>
      </c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 t="s">
        <v>1398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29</v>
      </c>
      <c r="M149" s="17">
        <f t="shared" si="14"/>
        <v>1</v>
      </c>
      <c r="N149" s="18">
        <f t="shared" si="15"/>
        <v>0.96666666666666667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 t="s">
        <v>1209</v>
      </c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1398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29</v>
      </c>
      <c r="M150" s="17">
        <f t="shared" si="14"/>
        <v>1</v>
      </c>
      <c r="N150" s="18">
        <f t="shared" si="15"/>
        <v>0.96666666666666667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 t="s">
        <v>1209</v>
      </c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1275</v>
      </c>
      <c r="C151" s="51" t="s">
        <v>1397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1276</v>
      </c>
      <c r="C152" s="51" t="s">
        <v>1397</v>
      </c>
      <c r="D152" s="51" t="s">
        <v>1277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1209</v>
      </c>
      <c r="AA152" s="27" t="s">
        <v>1209</v>
      </c>
      <c r="AB152" s="27" t="s">
        <v>1209</v>
      </c>
      <c r="AC152" s="27" t="s">
        <v>1209</v>
      </c>
      <c r="AD152" s="27" t="s">
        <v>1209</v>
      </c>
      <c r="AE152" s="27" t="s">
        <v>1209</v>
      </c>
      <c r="AF152" s="27" t="s">
        <v>1209</v>
      </c>
      <c r="AG152" s="27" t="s">
        <v>1209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1278</v>
      </c>
      <c r="C153" s="51" t="s">
        <v>1397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1279</v>
      </c>
      <c r="C154" s="51" t="s">
        <v>1397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1280</v>
      </c>
      <c r="C155" s="51" t="s">
        <v>1397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1281</v>
      </c>
      <c r="C156" s="51" t="s">
        <v>1397</v>
      </c>
      <c r="D156" s="51" t="s">
        <v>372</v>
      </c>
      <c r="E156" s="51" t="s">
        <v>65</v>
      </c>
      <c r="F156" s="51" t="s">
        <v>1388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28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 t="s">
        <v>1209</v>
      </c>
      <c r="AR156" s="27" t="s">
        <v>1209</v>
      </c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1397</v>
      </c>
      <c r="D157" s="51" t="s">
        <v>376</v>
      </c>
      <c r="E157" s="51" t="s">
        <v>24</v>
      </c>
      <c r="F157" s="51" t="s">
        <v>1388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28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 t="s">
        <v>1209</v>
      </c>
      <c r="AR157" s="27" t="s">
        <v>1209</v>
      </c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1397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28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 t="s">
        <v>1209</v>
      </c>
      <c r="AR158" s="27" t="s">
        <v>1209</v>
      </c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1397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29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 t="s">
        <v>1209</v>
      </c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1397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1397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1397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1397</v>
      </c>
      <c r="D163" s="51" t="s">
        <v>393</v>
      </c>
      <c r="E163" s="51" t="s">
        <v>24</v>
      </c>
      <c r="F163" s="51" t="s">
        <v>1388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28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 t="s">
        <v>1209</v>
      </c>
      <c r="AR163" s="27" t="s">
        <v>1209</v>
      </c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1397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1282</v>
      </c>
      <c r="C165" s="51" t="s">
        <v>1397</v>
      </c>
      <c r="D165" s="51" t="s">
        <v>1283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29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 t="s">
        <v>1209</v>
      </c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1398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1402</v>
      </c>
      <c r="L166" s="53">
        <f t="shared" si="16"/>
        <v>18</v>
      </c>
      <c r="M166" s="17">
        <f t="shared" si="14"/>
        <v>10</v>
      </c>
      <c r="N166" s="18">
        <f t="shared" si="15"/>
        <v>0.6428571428571429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1209</v>
      </c>
      <c r="AH166" s="27" t="s">
        <v>1209</v>
      </c>
      <c r="AI166" s="27" t="s">
        <v>1209</v>
      </c>
      <c r="AJ166" s="27" t="s">
        <v>1209</v>
      </c>
      <c r="AK166" s="8" t="s">
        <v>1209</v>
      </c>
      <c r="AL166" s="8" t="s">
        <v>1209</v>
      </c>
      <c r="AM166" s="8" t="s">
        <v>1209</v>
      </c>
      <c r="AN166" s="27" t="s">
        <v>1209</v>
      </c>
      <c r="AO166" s="8" t="s">
        <v>1209</v>
      </c>
      <c r="AP166" s="8" t="s">
        <v>1209</v>
      </c>
      <c r="AQ166" s="27" t="s">
        <v>1209</v>
      </c>
      <c r="AR166" s="27" t="s">
        <v>1209</v>
      </c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1398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29</v>
      </c>
      <c r="M167" s="17">
        <f t="shared" si="14"/>
        <v>1</v>
      </c>
      <c r="N167" s="18">
        <f t="shared" si="15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 t="s">
        <v>1209</v>
      </c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1398</v>
      </c>
      <c r="D168" s="51" t="s">
        <v>18</v>
      </c>
      <c r="E168" s="51" t="s">
        <v>19</v>
      </c>
      <c r="F168" s="51" t="s">
        <v>1388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1209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1284</v>
      </c>
      <c r="C169" s="51" t="s">
        <v>1398</v>
      </c>
      <c r="D169" s="51" t="s">
        <v>1285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1209</v>
      </c>
      <c r="V169" s="8" t="s">
        <v>1209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1286</v>
      </c>
      <c r="B170" s="51" t="s">
        <v>1287</v>
      </c>
      <c r="C170" s="51" t="s">
        <v>1398</v>
      </c>
      <c r="D170" s="51" t="s">
        <v>1285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1398</v>
      </c>
      <c r="D171" s="51" t="s">
        <v>1288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1209</v>
      </c>
      <c r="V171" s="8" t="s">
        <v>1209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1398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1398</v>
      </c>
      <c r="D173" s="51" t="s">
        <v>1289</v>
      </c>
      <c r="E173" s="51" t="s">
        <v>19</v>
      </c>
      <c r="F173" s="51" t="s">
        <v>1389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1209</v>
      </c>
      <c r="V173" s="8" t="s">
        <v>1209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1398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27</v>
      </c>
      <c r="M174" s="17">
        <f t="shared" si="14"/>
        <v>2</v>
      </c>
      <c r="N174" s="18">
        <f t="shared" si="15"/>
        <v>0.93103448275862066</v>
      </c>
      <c r="O174" s="27"/>
      <c r="P174" s="8"/>
      <c r="Q174" s="8"/>
      <c r="R174" s="8"/>
      <c r="S174" s="27"/>
      <c r="T174" s="27"/>
      <c r="U174" s="8" t="s">
        <v>1209</v>
      </c>
      <c r="V174" s="8" t="s">
        <v>1209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 t="s">
        <v>1209</v>
      </c>
      <c r="AS174" s="27"/>
    </row>
    <row r="175" spans="1:45" ht="15.75" thickBot="1" x14ac:dyDescent="0.3">
      <c r="A175" s="51" t="s">
        <v>406</v>
      </c>
      <c r="B175" s="51" t="s">
        <v>1290</v>
      </c>
      <c r="C175" s="51" t="s">
        <v>1397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29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 t="s">
        <v>1209</v>
      </c>
      <c r="AS175" s="27"/>
    </row>
    <row r="176" spans="1:45" ht="15.75" thickBot="1" x14ac:dyDescent="0.3">
      <c r="A176" s="51" t="s">
        <v>411</v>
      </c>
      <c r="B176" s="51" t="s">
        <v>1291</v>
      </c>
      <c r="C176" s="51" t="s">
        <v>1397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1292</v>
      </c>
      <c r="C177" s="51" t="s">
        <v>1397</v>
      </c>
      <c r="D177" s="51" t="s">
        <v>417</v>
      </c>
      <c r="E177" s="51" t="s">
        <v>24</v>
      </c>
      <c r="F177" s="51" t="s">
        <v>1388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1209</v>
      </c>
      <c r="P177" s="8" t="s">
        <v>1209</v>
      </c>
      <c r="Q177" s="8" t="s">
        <v>1209</v>
      </c>
      <c r="R177" s="8" t="s">
        <v>1209</v>
      </c>
      <c r="S177" s="27" t="s">
        <v>1209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1397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1394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1397</v>
      </c>
      <c r="D179" s="51" t="s">
        <v>415</v>
      </c>
      <c r="E179" s="51" t="s">
        <v>24</v>
      </c>
      <c r="F179" s="51" t="s">
        <v>1388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29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 t="s">
        <v>1209</v>
      </c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1397</v>
      </c>
      <c r="D180" s="51" t="s">
        <v>420</v>
      </c>
      <c r="E180" s="51" t="s">
        <v>19</v>
      </c>
      <c r="F180" s="51" t="s">
        <v>1388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1397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1397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20</v>
      </c>
      <c r="M182" s="17">
        <f t="shared" si="14"/>
        <v>9</v>
      </c>
      <c r="N182" s="18">
        <f t="shared" si="15"/>
        <v>0.68965517241379315</v>
      </c>
      <c r="O182" s="27"/>
      <c r="P182" s="8" t="s">
        <v>1209</v>
      </c>
      <c r="Q182" s="8" t="s">
        <v>1209</v>
      </c>
      <c r="R182" s="8" t="s">
        <v>1209</v>
      </c>
      <c r="S182" s="27" t="s">
        <v>1209</v>
      </c>
      <c r="T182" s="27"/>
      <c r="U182" s="8" t="s">
        <v>1209</v>
      </c>
      <c r="V182" s="8" t="s">
        <v>1209</v>
      </c>
      <c r="W182" s="8" t="s">
        <v>1209</v>
      </c>
      <c r="X182" s="27" t="s">
        <v>1209</v>
      </c>
      <c r="Y182" s="27" t="s">
        <v>1209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 t="s">
        <v>1209</v>
      </c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1397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29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 t="s">
        <v>1209</v>
      </c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1397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1293</v>
      </c>
      <c r="C185" s="51" t="s">
        <v>1397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19</v>
      </c>
      <c r="M185" s="17">
        <f t="shared" si="14"/>
        <v>10</v>
      </c>
      <c r="N185" s="18">
        <f t="shared" si="15"/>
        <v>0.65517241379310343</v>
      </c>
      <c r="O185" s="27"/>
      <c r="P185" s="8"/>
      <c r="Q185" s="8" t="s">
        <v>1209</v>
      </c>
      <c r="R185" s="8" t="s">
        <v>1209</v>
      </c>
      <c r="S185" s="27" t="s">
        <v>1209</v>
      </c>
      <c r="T185" s="27"/>
      <c r="U185" s="8"/>
      <c r="V185" s="8"/>
      <c r="W185" s="8"/>
      <c r="X185" s="27"/>
      <c r="Y185" s="27"/>
      <c r="Z185" s="27" t="s">
        <v>1209</v>
      </c>
      <c r="AA185" s="27" t="s">
        <v>1209</v>
      </c>
      <c r="AB185" s="27" t="s">
        <v>1209</v>
      </c>
      <c r="AC185" s="27" t="s">
        <v>1209</v>
      </c>
      <c r="AD185" s="27" t="s">
        <v>1209</v>
      </c>
      <c r="AE185" s="27" t="s">
        <v>1209</v>
      </c>
      <c r="AF185" s="27" t="s">
        <v>1209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 t="s">
        <v>1209</v>
      </c>
      <c r="AS185" s="27"/>
    </row>
    <row r="186" spans="1:45" ht="15.75" thickBot="1" x14ac:dyDescent="0.3">
      <c r="A186" s="51" t="s">
        <v>433</v>
      </c>
      <c r="B186" s="51" t="s">
        <v>434</v>
      </c>
      <c r="C186" s="51" t="s">
        <v>1397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26</v>
      </c>
      <c r="M186" s="17">
        <f t="shared" si="14"/>
        <v>3</v>
      </c>
      <c r="N186" s="18">
        <f t="shared" si="15"/>
        <v>0.89655172413793105</v>
      </c>
      <c r="O186" s="27"/>
      <c r="P186" s="8"/>
      <c r="Q186" s="8" t="s">
        <v>1209</v>
      </c>
      <c r="R186" s="8" t="s">
        <v>1209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1209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 t="s">
        <v>1209</v>
      </c>
      <c r="AS186" s="27"/>
    </row>
    <row r="187" spans="1:45" ht="15.75" thickBot="1" x14ac:dyDescent="0.3">
      <c r="A187" s="51" t="s">
        <v>433</v>
      </c>
      <c r="B187" s="51" t="s">
        <v>438</v>
      </c>
      <c r="C187" s="51" t="s">
        <v>1397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24</v>
      </c>
      <c r="M187" s="17">
        <f t="shared" si="14"/>
        <v>5</v>
      </c>
      <c r="N187" s="18">
        <f t="shared" si="15"/>
        <v>0.82758620689655171</v>
      </c>
      <c r="O187" s="27" t="s">
        <v>1209</v>
      </c>
      <c r="P187" s="8" t="s">
        <v>1209</v>
      </c>
      <c r="Q187" s="8" t="s">
        <v>1209</v>
      </c>
      <c r="R187" s="8" t="s">
        <v>1209</v>
      </c>
      <c r="S187" s="27" t="s">
        <v>1209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 t="s">
        <v>1209</v>
      </c>
      <c r="AS187" s="27"/>
    </row>
    <row r="188" spans="1:45" ht="15.75" thickBot="1" x14ac:dyDescent="0.3">
      <c r="A188" s="51" t="s">
        <v>433</v>
      </c>
      <c r="B188" s="51" t="s">
        <v>441</v>
      </c>
      <c r="C188" s="51" t="s">
        <v>1397</v>
      </c>
      <c r="D188" s="51" t="s">
        <v>442</v>
      </c>
      <c r="E188" s="51" t="s">
        <v>24</v>
      </c>
      <c r="F188" s="51" t="s">
        <v>1389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28</v>
      </c>
      <c r="M188" s="17">
        <f t="shared" si="14"/>
        <v>1</v>
      </c>
      <c r="N188" s="18">
        <f t="shared" si="15"/>
        <v>0.96551724137931039</v>
      </c>
      <c r="O188" s="27" t="s">
        <v>1209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 t="s">
        <v>1209</v>
      </c>
      <c r="AS188" s="27"/>
    </row>
    <row r="189" spans="1:45" ht="15.75" thickBot="1" x14ac:dyDescent="0.3">
      <c r="A189" s="51" t="s">
        <v>433</v>
      </c>
      <c r="B189" s="51" t="s">
        <v>445</v>
      </c>
      <c r="C189" s="51" t="s">
        <v>1397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 t="s">
        <v>1397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1395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1397</v>
      </c>
      <c r="D191" s="51" t="s">
        <v>451</v>
      </c>
      <c r="E191" s="51" t="s">
        <v>24</v>
      </c>
      <c r="F191" s="51" t="s">
        <v>1388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7</v>
      </c>
      <c r="M191" s="17">
        <f t="shared" si="14"/>
        <v>21</v>
      </c>
      <c r="N191" s="18">
        <f t="shared" si="15"/>
        <v>0.25</v>
      </c>
      <c r="O191" s="27" t="s">
        <v>1209</v>
      </c>
      <c r="P191" s="8" t="s">
        <v>1209</v>
      </c>
      <c r="Q191" s="8" t="s">
        <v>1209</v>
      </c>
      <c r="R191" s="8" t="s">
        <v>1209</v>
      </c>
      <c r="S191" s="27" t="s">
        <v>1209</v>
      </c>
      <c r="T191" s="27"/>
      <c r="U191" s="8" t="s">
        <v>1209</v>
      </c>
      <c r="V191" s="8" t="s">
        <v>1209</v>
      </c>
      <c r="W191" s="8" t="s">
        <v>1209</v>
      </c>
      <c r="X191" s="27" t="s">
        <v>1209</v>
      </c>
      <c r="Y191" s="27" t="s">
        <v>1209</v>
      </c>
      <c r="Z191" s="27" t="s">
        <v>1209</v>
      </c>
      <c r="AA191" s="27" t="s">
        <v>1209</v>
      </c>
      <c r="AB191" s="27" t="s">
        <v>1209</v>
      </c>
      <c r="AC191" s="27" t="s">
        <v>1209</v>
      </c>
      <c r="AD191" s="27" t="s">
        <v>1209</v>
      </c>
      <c r="AE191" s="27" t="s">
        <v>1209</v>
      </c>
      <c r="AF191" s="27" t="s">
        <v>1209</v>
      </c>
      <c r="AG191" s="27" t="s">
        <v>1209</v>
      </c>
      <c r="AH191" s="27"/>
      <c r="AI191" s="27"/>
      <c r="AJ191" s="27"/>
      <c r="AK191" s="8"/>
      <c r="AL191" s="8"/>
      <c r="AM191" s="8"/>
      <c r="AN191" s="27" t="s">
        <v>1209</v>
      </c>
      <c r="AO191" s="8" t="s">
        <v>1209</v>
      </c>
      <c r="AP191" s="8" t="s">
        <v>1209</v>
      </c>
      <c r="AQ191" s="27" t="s">
        <v>1209</v>
      </c>
      <c r="AR191" s="27" t="s">
        <v>1209</v>
      </c>
      <c r="AS191" s="27"/>
    </row>
    <row r="192" spans="1:45" ht="15.75" thickBot="1" x14ac:dyDescent="0.3">
      <c r="A192" s="51" t="s">
        <v>433</v>
      </c>
      <c r="B192" s="51" t="s">
        <v>452</v>
      </c>
      <c r="C192" s="51" t="s">
        <v>1397</v>
      </c>
      <c r="D192" s="51" t="s">
        <v>453</v>
      </c>
      <c r="E192" s="51" t="s">
        <v>24</v>
      </c>
      <c r="F192" s="51" t="s">
        <v>1388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1209</v>
      </c>
      <c r="P192" s="8" t="s">
        <v>1209</v>
      </c>
      <c r="Q192" s="8" t="s">
        <v>1209</v>
      </c>
      <c r="R192" s="8" t="s">
        <v>1209</v>
      </c>
      <c r="S192" s="27" t="s">
        <v>1209</v>
      </c>
      <c r="T192" s="27"/>
      <c r="U192" s="8" t="s">
        <v>1209</v>
      </c>
      <c r="V192" s="8" t="s">
        <v>1209</v>
      </c>
      <c r="W192" s="8" t="s">
        <v>1209</v>
      </c>
      <c r="X192" s="27" t="s">
        <v>1209</v>
      </c>
      <c r="Y192" s="27" t="s">
        <v>1209</v>
      </c>
      <c r="Z192" s="27" t="s">
        <v>1209</v>
      </c>
      <c r="AA192" s="27" t="s">
        <v>1209</v>
      </c>
      <c r="AB192" s="27" t="s">
        <v>1209</v>
      </c>
      <c r="AC192" s="27" t="s">
        <v>1209</v>
      </c>
      <c r="AD192" s="27" t="s">
        <v>1209</v>
      </c>
      <c r="AE192" s="27" t="s">
        <v>1209</v>
      </c>
      <c r="AF192" s="27" t="s">
        <v>1209</v>
      </c>
      <c r="AG192" s="27" t="s">
        <v>1209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 t="s">
        <v>1397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1209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460</v>
      </c>
      <c r="B194" s="51" t="s">
        <v>458</v>
      </c>
      <c r="C194" s="51" t="s">
        <v>1398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1209</v>
      </c>
      <c r="X194" s="27" t="s">
        <v>1209</v>
      </c>
      <c r="Y194" s="27" t="s">
        <v>1209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1398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 t="s">
        <v>1398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1398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19</v>
      </c>
      <c r="M197" s="17">
        <f t="shared" ref="M197:M262" si="17">COUNTIF(O197:AP197,"APAGADO")</f>
        <v>11</v>
      </c>
      <c r="N197" s="18">
        <f t="shared" ref="N197:N262" si="18">(L197)/(M197+L197)</f>
        <v>0.6333333333333333</v>
      </c>
      <c r="O197" s="27"/>
      <c r="P197" s="8"/>
      <c r="Q197" s="8"/>
      <c r="R197" s="8"/>
      <c r="S197" s="27"/>
      <c r="T197" s="27"/>
      <c r="U197" s="8" t="s">
        <v>1209</v>
      </c>
      <c r="V197" s="8" t="s">
        <v>1209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 t="s">
        <v>1209</v>
      </c>
      <c r="AI197" s="27" t="s">
        <v>1209</v>
      </c>
      <c r="AJ197" s="27" t="s">
        <v>1209</v>
      </c>
      <c r="AK197" s="8" t="s">
        <v>1209</v>
      </c>
      <c r="AL197" s="8" t="s">
        <v>1209</v>
      </c>
      <c r="AM197" s="8" t="s">
        <v>1209</v>
      </c>
      <c r="AN197" s="27" t="s">
        <v>1209</v>
      </c>
      <c r="AO197" s="8" t="s">
        <v>1209</v>
      </c>
      <c r="AP197" s="8" t="s">
        <v>1209</v>
      </c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1398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19</v>
      </c>
      <c r="M198" s="17">
        <f t="shared" si="17"/>
        <v>11</v>
      </c>
      <c r="N198" s="18">
        <f t="shared" si="18"/>
        <v>0.6333333333333333</v>
      </c>
      <c r="O198" s="27"/>
      <c r="P198" s="8"/>
      <c r="Q198" s="8"/>
      <c r="R198" s="8"/>
      <c r="S198" s="27"/>
      <c r="T198" s="27"/>
      <c r="U198" s="8" t="s">
        <v>1209</v>
      </c>
      <c r="V198" s="8" t="s">
        <v>1209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 t="s">
        <v>1209</v>
      </c>
      <c r="AI198" s="27" t="s">
        <v>1209</v>
      </c>
      <c r="AJ198" s="27" t="s">
        <v>1209</v>
      </c>
      <c r="AK198" s="8" t="s">
        <v>1209</v>
      </c>
      <c r="AL198" s="8" t="s">
        <v>1209</v>
      </c>
      <c r="AM198" s="8" t="s">
        <v>1209</v>
      </c>
      <c r="AN198" s="27" t="s">
        <v>1209</v>
      </c>
      <c r="AO198" s="8" t="s">
        <v>1209</v>
      </c>
      <c r="AP198" s="8" t="s">
        <v>1209</v>
      </c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 t="s">
        <v>1398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28</v>
      </c>
      <c r="M199" s="17">
        <f t="shared" si="17"/>
        <v>1</v>
      </c>
      <c r="N199" s="18">
        <f t="shared" si="18"/>
        <v>0.96551724137931039</v>
      </c>
      <c r="O199" s="27"/>
      <c r="P199" s="8"/>
      <c r="Q199" s="8"/>
      <c r="R199" s="8"/>
      <c r="S199" s="27"/>
      <c r="T199" s="27"/>
      <c r="U199" s="8"/>
      <c r="V199" s="8" t="s">
        <v>1209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 t="s">
        <v>1209</v>
      </c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 t="s">
        <v>1398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28</v>
      </c>
      <c r="M200" s="17">
        <f t="shared" si="17"/>
        <v>1</v>
      </c>
      <c r="N200" s="18">
        <f t="shared" si="18"/>
        <v>0.96551724137931039</v>
      </c>
      <c r="O200" s="27"/>
      <c r="P200" s="8"/>
      <c r="Q200" s="8"/>
      <c r="R200" s="8"/>
      <c r="S200" s="27"/>
      <c r="T200" s="27"/>
      <c r="U200" s="8"/>
      <c r="V200" s="8" t="s">
        <v>1209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 t="s">
        <v>1209</v>
      </c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 t="s">
        <v>1398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26</v>
      </c>
      <c r="M201" s="17">
        <f t="shared" si="17"/>
        <v>3</v>
      </c>
      <c r="N201" s="18">
        <f t="shared" si="18"/>
        <v>0.89655172413793105</v>
      </c>
      <c r="O201" s="27"/>
      <c r="P201" s="8"/>
      <c r="Q201" s="8"/>
      <c r="R201" s="8" t="s">
        <v>1209</v>
      </c>
      <c r="S201" s="27"/>
      <c r="T201" s="27"/>
      <c r="U201" s="8"/>
      <c r="V201" s="8" t="s">
        <v>1209</v>
      </c>
      <c r="W201" s="8" t="s">
        <v>1209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 t="s">
        <v>1209</v>
      </c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1398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27</v>
      </c>
      <c r="M202" s="17">
        <f t="shared" si="17"/>
        <v>2</v>
      </c>
      <c r="N202" s="18">
        <f t="shared" si="18"/>
        <v>0.93103448275862066</v>
      </c>
      <c r="O202" s="27"/>
      <c r="P202" s="8"/>
      <c r="Q202" s="8"/>
      <c r="R202" s="8" t="s">
        <v>1209</v>
      </c>
      <c r="S202" s="27"/>
      <c r="T202" s="27"/>
      <c r="U202" s="8"/>
      <c r="V202" s="8"/>
      <c r="W202" s="8" t="s">
        <v>1209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 t="s">
        <v>1209</v>
      </c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 t="s">
        <v>1398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1209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1398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1294</v>
      </c>
      <c r="C205" s="51" t="s">
        <v>1398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1398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1209</v>
      </c>
      <c r="P206" s="8" t="s">
        <v>1209</v>
      </c>
      <c r="Q206" s="8" t="s">
        <v>1209</v>
      </c>
      <c r="R206" s="8" t="s">
        <v>1209</v>
      </c>
      <c r="S206" s="27" t="s">
        <v>1209</v>
      </c>
      <c r="T206" s="27"/>
      <c r="U206" s="8" t="s">
        <v>1209</v>
      </c>
      <c r="V206" s="8" t="s">
        <v>1209</v>
      </c>
      <c r="W206" s="8" t="s">
        <v>1209</v>
      </c>
      <c r="X206" s="27" t="s">
        <v>1209</v>
      </c>
      <c r="Y206" s="27" t="s">
        <v>1209</v>
      </c>
      <c r="Z206" s="27" t="s">
        <v>1209</v>
      </c>
      <c r="AA206" s="27" t="s">
        <v>1209</v>
      </c>
      <c r="AB206" s="27" t="s">
        <v>1209</v>
      </c>
      <c r="AC206" s="27" t="s">
        <v>1209</v>
      </c>
      <c r="AD206" s="27" t="s">
        <v>1209</v>
      </c>
      <c r="AE206" s="27" t="s">
        <v>1209</v>
      </c>
      <c r="AF206" s="27" t="s">
        <v>1209</v>
      </c>
      <c r="AG206" s="27" t="s">
        <v>1209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1397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18</v>
      </c>
      <c r="M207" s="17">
        <f t="shared" si="17"/>
        <v>12</v>
      </c>
      <c r="N207" s="18">
        <f t="shared" si="18"/>
        <v>0.6</v>
      </c>
      <c r="O207" s="27" t="s">
        <v>1209</v>
      </c>
      <c r="P207" s="8" t="s">
        <v>1209</v>
      </c>
      <c r="Q207" s="8" t="s">
        <v>1209</v>
      </c>
      <c r="R207" s="8" t="s">
        <v>1209</v>
      </c>
      <c r="S207" s="27" t="s">
        <v>1209</v>
      </c>
      <c r="T207" s="27"/>
      <c r="U207" s="8" t="s">
        <v>1209</v>
      </c>
      <c r="V207" s="8" t="s">
        <v>1209</v>
      </c>
      <c r="W207" s="8" t="s">
        <v>1209</v>
      </c>
      <c r="X207" s="27" t="s">
        <v>1209</v>
      </c>
      <c r="Y207" s="27" t="s">
        <v>1209</v>
      </c>
      <c r="Z207" s="27" t="s">
        <v>1209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 t="s">
        <v>1209</v>
      </c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1398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26</v>
      </c>
      <c r="M208" s="17">
        <f t="shared" si="17"/>
        <v>4</v>
      </c>
      <c r="N208" s="18">
        <f t="shared" si="18"/>
        <v>0.8666666666666667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1209</v>
      </c>
      <c r="AB208" s="27" t="s">
        <v>1209</v>
      </c>
      <c r="AC208" s="27" t="s">
        <v>1209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 t="s">
        <v>1209</v>
      </c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1398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29</v>
      </c>
      <c r="M209" s="17">
        <f t="shared" si="17"/>
        <v>1</v>
      </c>
      <c r="N209" s="18">
        <f t="shared" si="18"/>
        <v>0.96666666666666667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 t="s">
        <v>1209</v>
      </c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1295</v>
      </c>
      <c r="C210" s="51" t="s">
        <v>1398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19</v>
      </c>
      <c r="M210" s="17">
        <f t="shared" si="17"/>
        <v>9</v>
      </c>
      <c r="N210" s="18">
        <f t="shared" si="18"/>
        <v>0.6785714285714286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 t="s">
        <v>1209</v>
      </c>
      <c r="AI210" s="27" t="s">
        <v>1209</v>
      </c>
      <c r="AJ210" s="27" t="s">
        <v>1209</v>
      </c>
      <c r="AK210" s="8" t="s">
        <v>1209</v>
      </c>
      <c r="AL210" s="8" t="s">
        <v>1209</v>
      </c>
      <c r="AM210" s="8" t="s">
        <v>1209</v>
      </c>
      <c r="AN210" s="27" t="s">
        <v>1209</v>
      </c>
      <c r="AO210" s="8" t="s">
        <v>1209</v>
      </c>
      <c r="AP210" s="8" t="s">
        <v>1209</v>
      </c>
      <c r="AQ210" s="27" t="s">
        <v>1209</v>
      </c>
      <c r="AR210" s="27" t="s">
        <v>1209</v>
      </c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1398</v>
      </c>
      <c r="D211" s="51" t="s">
        <v>495</v>
      </c>
      <c r="E211" s="51" t="s">
        <v>19</v>
      </c>
      <c r="F211" s="51" t="s">
        <v>1389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10</v>
      </c>
      <c r="M211" s="17">
        <f t="shared" si="17"/>
        <v>20</v>
      </c>
      <c r="N211" s="18">
        <f t="shared" si="18"/>
        <v>0.33333333333333331</v>
      </c>
      <c r="O211" s="27" t="s">
        <v>1209</v>
      </c>
      <c r="P211" s="8" t="s">
        <v>1209</v>
      </c>
      <c r="Q211" s="8" t="s">
        <v>1209</v>
      </c>
      <c r="R211" s="8" t="s">
        <v>1209</v>
      </c>
      <c r="S211" s="27" t="s">
        <v>1209</v>
      </c>
      <c r="T211" s="27"/>
      <c r="U211" s="8" t="s">
        <v>1209</v>
      </c>
      <c r="V211" s="8" t="s">
        <v>1209</v>
      </c>
      <c r="W211" s="8" t="s">
        <v>1209</v>
      </c>
      <c r="X211" s="27" t="s">
        <v>1209</v>
      </c>
      <c r="Y211" s="27" t="s">
        <v>1209</v>
      </c>
      <c r="Z211" s="27" t="s">
        <v>1209</v>
      </c>
      <c r="AA211" s="27" t="s">
        <v>1209</v>
      </c>
      <c r="AB211" s="27" t="s">
        <v>1209</v>
      </c>
      <c r="AC211" s="27" t="s">
        <v>1209</v>
      </c>
      <c r="AD211" s="27" t="s">
        <v>1209</v>
      </c>
      <c r="AE211" s="27" t="s">
        <v>1209</v>
      </c>
      <c r="AF211" s="27" t="s">
        <v>1209</v>
      </c>
      <c r="AG211" s="27" t="s">
        <v>1209</v>
      </c>
      <c r="AH211" s="27"/>
      <c r="AI211" s="27"/>
      <c r="AJ211" s="27"/>
      <c r="AK211" s="8"/>
      <c r="AL211" s="8"/>
      <c r="AM211" s="8"/>
      <c r="AN211" s="27"/>
      <c r="AO211" s="8" t="s">
        <v>1209</v>
      </c>
      <c r="AP211" s="8" t="s">
        <v>1209</v>
      </c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 t="s">
        <v>1398</v>
      </c>
      <c r="D212" s="51" t="s">
        <v>495</v>
      </c>
      <c r="E212" s="51" t="s">
        <v>102</v>
      </c>
      <c r="F212" s="51" t="s">
        <v>1389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10</v>
      </c>
      <c r="M212" s="17">
        <f t="shared" si="17"/>
        <v>20</v>
      </c>
      <c r="N212" s="18">
        <f t="shared" si="18"/>
        <v>0.33333333333333331</v>
      </c>
      <c r="O212" s="27" t="s">
        <v>1209</v>
      </c>
      <c r="P212" s="8" t="s">
        <v>1209</v>
      </c>
      <c r="Q212" s="8" t="s">
        <v>1209</v>
      </c>
      <c r="R212" s="8" t="s">
        <v>1209</v>
      </c>
      <c r="S212" s="27" t="s">
        <v>1209</v>
      </c>
      <c r="T212" s="27"/>
      <c r="U212" s="8" t="s">
        <v>1209</v>
      </c>
      <c r="V212" s="8" t="s">
        <v>1209</v>
      </c>
      <c r="W212" s="8" t="s">
        <v>1209</v>
      </c>
      <c r="X212" s="27" t="s">
        <v>1209</v>
      </c>
      <c r="Y212" s="27" t="s">
        <v>1209</v>
      </c>
      <c r="Z212" s="27" t="s">
        <v>1209</v>
      </c>
      <c r="AA212" s="27" t="s">
        <v>1209</v>
      </c>
      <c r="AB212" s="27" t="s">
        <v>1209</v>
      </c>
      <c r="AC212" s="27" t="s">
        <v>1209</v>
      </c>
      <c r="AD212" s="27" t="s">
        <v>1209</v>
      </c>
      <c r="AE212" s="27" t="s">
        <v>1209</v>
      </c>
      <c r="AF212" s="27" t="s">
        <v>1209</v>
      </c>
      <c r="AG212" s="27" t="s">
        <v>1209</v>
      </c>
      <c r="AH212" s="27"/>
      <c r="AI212" s="27"/>
      <c r="AJ212" s="27"/>
      <c r="AK212" s="8"/>
      <c r="AL212" s="8"/>
      <c r="AM212" s="8"/>
      <c r="AN212" s="27"/>
      <c r="AO212" s="8" t="s">
        <v>1209</v>
      </c>
      <c r="AP212" s="8" t="s">
        <v>1209</v>
      </c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1398</v>
      </c>
      <c r="D213" s="51" t="s">
        <v>1296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28</v>
      </c>
      <c r="M213" s="17">
        <f t="shared" si="17"/>
        <v>1</v>
      </c>
      <c r="N213" s="18">
        <f t="shared" si="18"/>
        <v>0.96551724137931039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1209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 t="s">
        <v>1209</v>
      </c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1398</v>
      </c>
      <c r="D214" s="51" t="s">
        <v>1296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1209</v>
      </c>
      <c r="X214" s="27" t="s">
        <v>1209</v>
      </c>
      <c r="Y214" s="27" t="s">
        <v>1209</v>
      </c>
      <c r="Z214" s="27" t="s">
        <v>1209</v>
      </c>
      <c r="AA214" s="27"/>
      <c r="AB214" s="27"/>
      <c r="AC214" s="27"/>
      <c r="AD214" s="27"/>
      <c r="AE214" s="27" t="s">
        <v>1209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1398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25</v>
      </c>
      <c r="M215" s="17">
        <f t="shared" si="17"/>
        <v>3</v>
      </c>
      <c r="N215" s="18">
        <f t="shared" si="18"/>
        <v>0.8928571428571429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1209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1209</v>
      </c>
      <c r="AP215" s="8" t="s">
        <v>1209</v>
      </c>
      <c r="AQ215" s="27" t="s">
        <v>1209</v>
      </c>
      <c r="AR215" s="27" t="s">
        <v>1209</v>
      </c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1398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18</v>
      </c>
      <c r="M216" s="17">
        <f t="shared" si="17"/>
        <v>10</v>
      </c>
      <c r="N216" s="18">
        <f t="shared" si="18"/>
        <v>0.6428571428571429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1209</v>
      </c>
      <c r="AF216" s="27"/>
      <c r="AG216" s="27"/>
      <c r="AH216" s="27" t="s">
        <v>1209</v>
      </c>
      <c r="AI216" s="27" t="s">
        <v>1209</v>
      </c>
      <c r="AJ216" s="27" t="s">
        <v>1209</v>
      </c>
      <c r="AK216" s="8" t="s">
        <v>1209</v>
      </c>
      <c r="AL216" s="8" t="s">
        <v>1209</v>
      </c>
      <c r="AM216" s="8" t="s">
        <v>1209</v>
      </c>
      <c r="AN216" s="27" t="s">
        <v>1209</v>
      </c>
      <c r="AO216" s="8" t="s">
        <v>1209</v>
      </c>
      <c r="AP216" s="8" t="s">
        <v>1209</v>
      </c>
      <c r="AQ216" s="27" t="s">
        <v>1209</v>
      </c>
      <c r="AR216" s="27" t="s">
        <v>1209</v>
      </c>
      <c r="AS216" s="27"/>
    </row>
    <row r="217" spans="1:45" ht="15.75" thickBot="1" x14ac:dyDescent="0.3">
      <c r="A217" s="51" t="s">
        <v>264</v>
      </c>
      <c r="B217" s="51" t="s">
        <v>1297</v>
      </c>
      <c r="C217" s="51" t="s">
        <v>1397</v>
      </c>
      <c r="D217" s="51" t="s">
        <v>1298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19</v>
      </c>
      <c r="M217" s="17">
        <f t="shared" si="17"/>
        <v>10</v>
      </c>
      <c r="N217" s="18">
        <f t="shared" si="18"/>
        <v>0.65517241379310343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1209</v>
      </c>
      <c r="AF217" s="27"/>
      <c r="AG217" s="27"/>
      <c r="AH217" s="27" t="s">
        <v>1209</v>
      </c>
      <c r="AI217" s="27" t="s">
        <v>1209</v>
      </c>
      <c r="AJ217" s="27" t="s">
        <v>1209</v>
      </c>
      <c r="AK217" s="8" t="s">
        <v>1209</v>
      </c>
      <c r="AL217" s="8" t="s">
        <v>1209</v>
      </c>
      <c r="AM217" s="8" t="s">
        <v>1209</v>
      </c>
      <c r="AN217" s="27" t="s">
        <v>1209</v>
      </c>
      <c r="AO217" s="8" t="s">
        <v>1209</v>
      </c>
      <c r="AP217" s="8" t="s">
        <v>1209</v>
      </c>
      <c r="AQ217" s="27"/>
      <c r="AR217" s="27" t="s">
        <v>1209</v>
      </c>
      <c r="AS217" s="27"/>
    </row>
    <row r="218" spans="1:45" ht="15.75" thickBot="1" x14ac:dyDescent="0.3">
      <c r="A218" s="51" t="s">
        <v>268</v>
      </c>
      <c r="B218" s="51" t="s">
        <v>1299</v>
      </c>
      <c r="C218" s="51" t="s">
        <v>1398</v>
      </c>
      <c r="D218" s="51" t="s">
        <v>1300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28</v>
      </c>
      <c r="M218" s="17">
        <f t="shared" si="17"/>
        <v>1</v>
      </c>
      <c r="N218" s="18">
        <f t="shared" si="18"/>
        <v>0.96551724137931039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1209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 t="s">
        <v>1209</v>
      </c>
      <c r="AR218" s="27"/>
      <c r="AS218" s="27"/>
    </row>
    <row r="219" spans="1:45" ht="15.75" thickBot="1" x14ac:dyDescent="0.3">
      <c r="A219" s="51" t="s">
        <v>306</v>
      </c>
      <c r="B219" s="51" t="s">
        <v>1301</v>
      </c>
      <c r="C219" s="51" t="s">
        <v>1398</v>
      </c>
      <c r="D219" s="51" t="s">
        <v>1302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1209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1398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28</v>
      </c>
      <c r="M220" s="17">
        <f t="shared" si="17"/>
        <v>2</v>
      </c>
      <c r="N220" s="18">
        <f t="shared" si="18"/>
        <v>0.93333333333333335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1209</v>
      </c>
      <c r="AF220" s="27"/>
      <c r="AG220" s="27"/>
      <c r="AH220" s="27"/>
      <c r="AI220" s="27"/>
      <c r="AJ220" s="27"/>
      <c r="AK220" s="8"/>
      <c r="AL220" s="8"/>
      <c r="AM220" s="8"/>
      <c r="AN220" s="27" t="s">
        <v>1209</v>
      </c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1303</v>
      </c>
      <c r="C221" s="51" t="s">
        <v>1398</v>
      </c>
      <c r="D221" s="51" t="s">
        <v>1304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28</v>
      </c>
      <c r="M221" s="17">
        <f t="shared" si="17"/>
        <v>2</v>
      </c>
      <c r="N221" s="18">
        <f t="shared" si="18"/>
        <v>0.93333333333333335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1209</v>
      </c>
      <c r="AF221" s="27"/>
      <c r="AG221" s="27"/>
      <c r="AH221" s="27"/>
      <c r="AI221" s="27"/>
      <c r="AJ221" s="27"/>
      <c r="AK221" s="8"/>
      <c r="AL221" s="8"/>
      <c r="AM221" s="8"/>
      <c r="AN221" s="27" t="s">
        <v>1209</v>
      </c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1305</v>
      </c>
      <c r="C222" s="51" t="s">
        <v>1398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28</v>
      </c>
      <c r="M222" s="17">
        <f t="shared" si="17"/>
        <v>2</v>
      </c>
      <c r="N222" s="18">
        <f t="shared" si="18"/>
        <v>0.93333333333333335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1209</v>
      </c>
      <c r="AF222" s="27"/>
      <c r="AG222" s="27"/>
      <c r="AH222" s="27"/>
      <c r="AI222" s="27"/>
      <c r="AJ222" s="27"/>
      <c r="AK222" s="8"/>
      <c r="AL222" s="8"/>
      <c r="AM222" s="8" t="s">
        <v>1209</v>
      </c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1306</v>
      </c>
      <c r="C223" s="51" t="s">
        <v>1398</v>
      </c>
      <c r="D223" s="51" t="s">
        <v>1307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27</v>
      </c>
      <c r="M223" s="17">
        <f t="shared" si="17"/>
        <v>3</v>
      </c>
      <c r="N223" s="18">
        <f t="shared" si="18"/>
        <v>0.9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1209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1209</v>
      </c>
      <c r="AP223" s="8" t="s">
        <v>1209</v>
      </c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1308</v>
      </c>
      <c r="C224" s="51" t="s">
        <v>1398</v>
      </c>
      <c r="D224" s="51" t="s">
        <v>1309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1209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1310</v>
      </c>
      <c r="C225" s="51" t="s">
        <v>1398</v>
      </c>
      <c r="D225" s="51" t="s">
        <v>1311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27</v>
      </c>
      <c r="M225" s="17">
        <f t="shared" si="17"/>
        <v>2</v>
      </c>
      <c r="N225" s="18">
        <f t="shared" si="18"/>
        <v>0.93103448275862066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 t="s">
        <v>1209</v>
      </c>
      <c r="AP225" s="8" t="s">
        <v>1209</v>
      </c>
      <c r="AQ225" s="27" t="s">
        <v>1209</v>
      </c>
      <c r="AR225" s="27"/>
      <c r="AS225" s="27"/>
    </row>
    <row r="226" spans="1:45" ht="15.75" thickBot="1" x14ac:dyDescent="0.3">
      <c r="A226" s="51" t="s">
        <v>326</v>
      </c>
      <c r="B226" s="51" t="s">
        <v>1312</v>
      </c>
      <c r="C226" s="51" t="s">
        <v>1398</v>
      </c>
      <c r="D226" s="51" t="s">
        <v>1313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1398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1314</v>
      </c>
      <c r="C228" s="51" t="s">
        <v>1398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1398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1398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1209</v>
      </c>
      <c r="V230" s="8" t="s">
        <v>1209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1398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1209</v>
      </c>
      <c r="P231" s="8" t="s">
        <v>1209</v>
      </c>
      <c r="Q231" s="8" t="s">
        <v>1209</v>
      </c>
      <c r="R231" s="8" t="s">
        <v>1209</v>
      </c>
      <c r="S231" s="27" t="s">
        <v>1209</v>
      </c>
      <c r="T231" s="27"/>
      <c r="U231" s="8" t="s">
        <v>1209</v>
      </c>
      <c r="V231" s="8" t="s">
        <v>1209</v>
      </c>
      <c r="W231" s="8" t="s">
        <v>1209</v>
      </c>
      <c r="X231" s="27" t="s">
        <v>1209</v>
      </c>
      <c r="Y231" s="27" t="s">
        <v>1209</v>
      </c>
      <c r="Z231" s="27" t="s">
        <v>1209</v>
      </c>
      <c r="AA231" s="27" t="s">
        <v>1209</v>
      </c>
      <c r="AB231" s="27" t="s">
        <v>1209</v>
      </c>
      <c r="AC231" s="27" t="s">
        <v>1209</v>
      </c>
      <c r="AD231" s="27" t="s">
        <v>1209</v>
      </c>
      <c r="AE231" s="27" t="s">
        <v>1209</v>
      </c>
      <c r="AF231" s="27" t="s">
        <v>1209</v>
      </c>
      <c r="AG231" s="27" t="s">
        <v>1209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1398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11</v>
      </c>
      <c r="M232" s="17">
        <f t="shared" si="17"/>
        <v>18</v>
      </c>
      <c r="N232" s="18">
        <f t="shared" si="18"/>
        <v>0.37931034482758619</v>
      </c>
      <c r="O232" s="27" t="s">
        <v>1209</v>
      </c>
      <c r="P232" s="8" t="s">
        <v>1209</v>
      </c>
      <c r="Q232" s="8" t="s">
        <v>1209</v>
      </c>
      <c r="R232" s="8" t="s">
        <v>1209</v>
      </c>
      <c r="S232" s="27" t="s">
        <v>1209</v>
      </c>
      <c r="T232" s="27"/>
      <c r="U232" s="8" t="s">
        <v>1209</v>
      </c>
      <c r="V232" s="8" t="s">
        <v>1209</v>
      </c>
      <c r="W232" s="8" t="s">
        <v>1209</v>
      </c>
      <c r="X232" s="27" t="s">
        <v>1209</v>
      </c>
      <c r="Y232" s="27" t="s">
        <v>1209</v>
      </c>
      <c r="Z232" s="27" t="s">
        <v>1209</v>
      </c>
      <c r="AA232" s="27" t="s">
        <v>1209</v>
      </c>
      <c r="AB232" s="27" t="s">
        <v>1209</v>
      </c>
      <c r="AC232" s="27" t="s">
        <v>1209</v>
      </c>
      <c r="AD232" s="27" t="s">
        <v>1209</v>
      </c>
      <c r="AE232" s="27" t="s">
        <v>1209</v>
      </c>
      <c r="AF232" s="27" t="s">
        <v>1209</v>
      </c>
      <c r="AG232" s="27" t="s">
        <v>1209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 t="s">
        <v>1209</v>
      </c>
      <c r="AS232" s="27"/>
    </row>
    <row r="233" spans="1:45" ht="15.75" thickBot="1" x14ac:dyDescent="0.3">
      <c r="A233" s="51" t="s">
        <v>518</v>
      </c>
      <c r="B233" s="51" t="s">
        <v>1315</v>
      </c>
      <c r="C233" s="51" t="s">
        <v>1398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1316</v>
      </c>
      <c r="C234" s="51" t="s">
        <v>1398</v>
      </c>
      <c r="D234" s="51" t="s">
        <v>1317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1318</v>
      </c>
      <c r="C235" s="51" t="s">
        <v>1398</v>
      </c>
      <c r="D235" s="51" t="s">
        <v>1319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1320</v>
      </c>
      <c r="C236" s="51" t="s">
        <v>1398</v>
      </c>
      <c r="D236" s="51" t="s">
        <v>1321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1322</v>
      </c>
      <c r="C237" s="51" t="s">
        <v>1398</v>
      </c>
      <c r="D237" s="51" t="s">
        <v>1323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1324</v>
      </c>
      <c r="C238" s="51" t="s">
        <v>1398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1325</v>
      </c>
      <c r="C239" s="51" t="s">
        <v>1398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1209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1398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1209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1398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29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 t="s">
        <v>1209</v>
      </c>
      <c r="AS241" s="27"/>
    </row>
    <row r="242" spans="1:45" ht="15.75" thickBot="1" x14ac:dyDescent="0.3">
      <c r="A242" s="51" t="s">
        <v>1187</v>
      </c>
      <c r="B242" s="51" t="s">
        <v>1326</v>
      </c>
      <c r="C242" s="51" t="s">
        <v>1398</v>
      </c>
      <c r="D242" s="51" t="s">
        <v>1327</v>
      </c>
      <c r="E242" s="51" t="s">
        <v>1390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1187</v>
      </c>
      <c r="B243" s="51" t="s">
        <v>1186</v>
      </c>
      <c r="C243" s="51" t="s">
        <v>1398</v>
      </c>
      <c r="D243" s="51" t="s">
        <v>1327</v>
      </c>
      <c r="E243" s="51" t="s">
        <v>1391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1328</v>
      </c>
      <c r="C244" s="51" t="s">
        <v>1397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28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 t="s">
        <v>1209</v>
      </c>
      <c r="AR244" s="27" t="s">
        <v>1209</v>
      </c>
      <c r="AS244" s="27"/>
    </row>
    <row r="245" spans="1:45" ht="15.75" thickBot="1" x14ac:dyDescent="0.3">
      <c r="A245" s="51" t="s">
        <v>374</v>
      </c>
      <c r="B245" s="51" t="s">
        <v>1329</v>
      </c>
      <c r="C245" s="51" t="s">
        <v>1397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27</v>
      </c>
      <c r="M245" s="17">
        <f t="shared" si="17"/>
        <v>1</v>
      </c>
      <c r="N245" s="18">
        <f t="shared" si="18"/>
        <v>0.9642857142857143</v>
      </c>
      <c r="O245" s="27" t="s">
        <v>1209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 t="s">
        <v>1209</v>
      </c>
      <c r="AR245" s="27" t="s">
        <v>1209</v>
      </c>
      <c r="AS245" s="27"/>
    </row>
    <row r="246" spans="1:45" ht="15.75" thickBot="1" x14ac:dyDescent="0.3">
      <c r="A246" s="51" t="s">
        <v>374</v>
      </c>
      <c r="B246" s="51" t="s">
        <v>1330</v>
      </c>
      <c r="C246" s="51" t="s">
        <v>1397</v>
      </c>
      <c r="D246" s="51" t="s">
        <v>1331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1332</v>
      </c>
      <c r="C247" s="51" t="s">
        <v>1397</v>
      </c>
      <c r="D247" s="51" t="s">
        <v>1333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1209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1397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1209</v>
      </c>
      <c r="X248" s="27" t="s">
        <v>1209</v>
      </c>
      <c r="Y248" s="27" t="s">
        <v>1209</v>
      </c>
      <c r="Z248" s="27" t="s">
        <v>1209</v>
      </c>
      <c r="AA248" s="27" t="s">
        <v>1209</v>
      </c>
      <c r="AB248" s="27" t="s">
        <v>1209</v>
      </c>
      <c r="AC248" s="27" t="s">
        <v>1209</v>
      </c>
      <c r="AD248" s="27" t="s">
        <v>1209</v>
      </c>
      <c r="AE248" s="27" t="s">
        <v>1209</v>
      </c>
      <c r="AF248" s="27" t="s">
        <v>1209</v>
      </c>
      <c r="AG248" s="27" t="s">
        <v>1209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1397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29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 t="s">
        <v>1209</v>
      </c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1397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1209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1397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1334</v>
      </c>
      <c r="C252" s="51" t="s">
        <v>1397</v>
      </c>
      <c r="D252" s="51" t="s">
        <v>543</v>
      </c>
      <c r="E252" s="51" t="s">
        <v>24</v>
      </c>
      <c r="F252" s="51" t="s">
        <v>1388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1397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29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 t="s">
        <v>1209</v>
      </c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1397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19</v>
      </c>
      <c r="M254" s="17">
        <f t="shared" si="17"/>
        <v>9</v>
      </c>
      <c r="N254" s="18">
        <f t="shared" si="18"/>
        <v>0.6785714285714286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 t="s">
        <v>1209</v>
      </c>
      <c r="AI254" s="27" t="s">
        <v>1209</v>
      </c>
      <c r="AJ254" s="27" t="s">
        <v>1209</v>
      </c>
      <c r="AK254" s="8" t="s">
        <v>1209</v>
      </c>
      <c r="AL254" s="8" t="s">
        <v>1209</v>
      </c>
      <c r="AM254" s="8" t="s">
        <v>1209</v>
      </c>
      <c r="AN254" s="27" t="s">
        <v>1209</v>
      </c>
      <c r="AO254" s="8" t="s">
        <v>1209</v>
      </c>
      <c r="AP254" s="8" t="s">
        <v>1209</v>
      </c>
      <c r="AQ254" s="27" t="s">
        <v>1209</v>
      </c>
      <c r="AR254" s="27" t="s">
        <v>1209</v>
      </c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1397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19</v>
      </c>
      <c r="M255" s="17">
        <f t="shared" si="17"/>
        <v>9</v>
      </c>
      <c r="N255" s="18">
        <f t="shared" si="18"/>
        <v>0.6785714285714286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 t="s">
        <v>1209</v>
      </c>
      <c r="AI255" s="27" t="s">
        <v>1209</v>
      </c>
      <c r="AJ255" s="27" t="s">
        <v>1209</v>
      </c>
      <c r="AK255" s="8" t="s">
        <v>1209</v>
      </c>
      <c r="AL255" s="8" t="s">
        <v>1209</v>
      </c>
      <c r="AM255" s="8" t="s">
        <v>1209</v>
      </c>
      <c r="AN255" s="27" t="s">
        <v>1209</v>
      </c>
      <c r="AO255" s="8" t="s">
        <v>1209</v>
      </c>
      <c r="AP255" s="8" t="s">
        <v>1209</v>
      </c>
      <c r="AQ255" s="27" t="s">
        <v>1209</v>
      </c>
      <c r="AR255" s="27" t="s">
        <v>1209</v>
      </c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1397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1397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 t="s">
        <v>1397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 t="s">
        <v>1397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1397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1192</v>
      </c>
      <c r="C261" s="51" t="s">
        <v>1397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1194</v>
      </c>
      <c r="C262" s="51" t="s">
        <v>1397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1335</v>
      </c>
      <c r="C263" s="51" t="s">
        <v>1397</v>
      </c>
      <c r="D263" s="51" t="s">
        <v>1336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29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 t="s">
        <v>1209</v>
      </c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1397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1397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1397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1397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1397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1397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1397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1398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29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 t="s">
        <v>1209</v>
      </c>
      <c r="AS271" s="27"/>
    </row>
    <row r="272" spans="1:45" ht="15.75" thickBot="1" x14ac:dyDescent="0.3">
      <c r="A272" s="51" t="s">
        <v>283</v>
      </c>
      <c r="B272" s="51" t="s">
        <v>577</v>
      </c>
      <c r="C272" s="51" t="s">
        <v>1398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26</v>
      </c>
      <c r="M272" s="17">
        <f t="shared" si="21"/>
        <v>3</v>
      </c>
      <c r="N272" s="18">
        <f t="shared" si="22"/>
        <v>0.89655172413793105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 t="s">
        <v>1209</v>
      </c>
      <c r="AI272" s="27" t="s">
        <v>1209</v>
      </c>
      <c r="AJ272" s="27" t="s">
        <v>1209</v>
      </c>
      <c r="AK272" s="8"/>
      <c r="AL272" s="8"/>
      <c r="AM272" s="8"/>
      <c r="AN272" s="27"/>
      <c r="AO272" s="8"/>
      <c r="AP272" s="8"/>
      <c r="AQ272" s="27"/>
      <c r="AR272" s="27" t="s">
        <v>1209</v>
      </c>
      <c r="AS272" s="27"/>
    </row>
    <row r="273" spans="1:45" ht="15.75" thickBot="1" x14ac:dyDescent="0.3">
      <c r="A273" s="51" t="s">
        <v>283</v>
      </c>
      <c r="B273" s="51" t="s">
        <v>1337</v>
      </c>
      <c r="C273" s="51" t="s">
        <v>1398</v>
      </c>
      <c r="D273" s="51" t="s">
        <v>1338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1339</v>
      </c>
      <c r="C274" s="51" t="s">
        <v>1398</v>
      </c>
      <c r="D274" s="51" t="s">
        <v>1338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 t="s">
        <v>1398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28</v>
      </c>
      <c r="M275" s="17">
        <f t="shared" si="21"/>
        <v>2</v>
      </c>
      <c r="N275" s="18">
        <f t="shared" si="22"/>
        <v>0.93333333333333335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 t="s">
        <v>1209</v>
      </c>
      <c r="AM275" s="8"/>
      <c r="AN275" s="27" t="s">
        <v>1209</v>
      </c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 t="s">
        <v>1398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29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 t="s">
        <v>1209</v>
      </c>
      <c r="AS276" s="27"/>
    </row>
    <row r="277" spans="1:45" ht="15.75" thickBot="1" x14ac:dyDescent="0.3">
      <c r="A277" s="51" t="s">
        <v>283</v>
      </c>
      <c r="B277" s="51" t="s">
        <v>584</v>
      </c>
      <c r="C277" s="51" t="s">
        <v>1398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28</v>
      </c>
      <c r="M277" s="17">
        <f t="shared" si="21"/>
        <v>2</v>
      </c>
      <c r="N277" s="18">
        <f t="shared" si="22"/>
        <v>0.93333333333333335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 t="s">
        <v>1209</v>
      </c>
      <c r="AP277" s="8" t="s">
        <v>1209</v>
      </c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 t="s">
        <v>1398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28</v>
      </c>
      <c r="M278" s="17">
        <f t="shared" si="21"/>
        <v>2</v>
      </c>
      <c r="N278" s="18">
        <f t="shared" si="22"/>
        <v>0.93333333333333335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 t="s">
        <v>1209</v>
      </c>
      <c r="AP278" s="8" t="s">
        <v>1209</v>
      </c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 t="s">
        <v>1398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27</v>
      </c>
      <c r="M279" s="17">
        <f t="shared" si="21"/>
        <v>3</v>
      </c>
      <c r="N279" s="18">
        <f t="shared" si="22"/>
        <v>0.9</v>
      </c>
      <c r="O279" s="27"/>
      <c r="P279" s="8"/>
      <c r="Q279" s="8" t="s">
        <v>1209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 t="s">
        <v>1209</v>
      </c>
      <c r="AP279" s="8" t="s">
        <v>1209</v>
      </c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 t="s">
        <v>1398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28</v>
      </c>
      <c r="M280" s="17">
        <f t="shared" si="21"/>
        <v>2</v>
      </c>
      <c r="N280" s="18">
        <f t="shared" si="22"/>
        <v>0.93333333333333335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 t="s">
        <v>1209</v>
      </c>
      <c r="AP280" s="8" t="s">
        <v>1209</v>
      </c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 t="s">
        <v>1398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21</v>
      </c>
      <c r="M281" s="17">
        <f t="shared" si="21"/>
        <v>7</v>
      </c>
      <c r="N281" s="18">
        <f t="shared" si="22"/>
        <v>0.75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1209</v>
      </c>
      <c r="AJ281" s="27" t="s">
        <v>1209</v>
      </c>
      <c r="AK281" s="8" t="s">
        <v>1209</v>
      </c>
      <c r="AL281" s="8" t="s">
        <v>1209</v>
      </c>
      <c r="AM281" s="8" t="s">
        <v>1209</v>
      </c>
      <c r="AN281" s="27"/>
      <c r="AO281" s="8" t="s">
        <v>1209</v>
      </c>
      <c r="AP281" s="8" t="s">
        <v>1209</v>
      </c>
      <c r="AQ281" s="27" t="s">
        <v>1209</v>
      </c>
      <c r="AR281" s="27" t="s">
        <v>1209</v>
      </c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1398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1398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1209</v>
      </c>
      <c r="P283" s="8" t="s">
        <v>1209</v>
      </c>
      <c r="Q283" s="8" t="s">
        <v>1209</v>
      </c>
      <c r="R283" s="8" t="s">
        <v>1209</v>
      </c>
      <c r="S283" s="27" t="s">
        <v>1209</v>
      </c>
      <c r="T283" s="27"/>
      <c r="U283" s="8" t="s">
        <v>1209</v>
      </c>
      <c r="V283" s="8" t="s">
        <v>1209</v>
      </c>
      <c r="W283" s="8" t="s">
        <v>1209</v>
      </c>
      <c r="X283" s="27" t="s">
        <v>1209</v>
      </c>
      <c r="Y283" s="27" t="s">
        <v>1209</v>
      </c>
      <c r="Z283" s="27" t="s">
        <v>1209</v>
      </c>
      <c r="AA283" s="27" t="s">
        <v>1209</v>
      </c>
      <c r="AB283" s="27" t="s">
        <v>1209</v>
      </c>
      <c r="AC283" s="27" t="s">
        <v>1209</v>
      </c>
      <c r="AD283" s="27" t="s">
        <v>1209</v>
      </c>
      <c r="AE283" s="27" t="s">
        <v>1209</v>
      </c>
      <c r="AF283" s="27" t="s">
        <v>1209</v>
      </c>
      <c r="AG283" s="27" t="s">
        <v>1209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1398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1398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1398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1209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1398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1209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 t="s">
        <v>1398</v>
      </c>
      <c r="D288" s="51" t="s">
        <v>611</v>
      </c>
      <c r="E288" s="51" t="s">
        <v>19</v>
      </c>
      <c r="F288" s="51" t="s">
        <v>1389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1340</v>
      </c>
      <c r="C289" s="51" t="s">
        <v>1397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23</v>
      </c>
      <c r="M289" s="17">
        <f t="shared" si="21"/>
        <v>6</v>
      </c>
      <c r="N289" s="18">
        <f t="shared" si="22"/>
        <v>0.7931034482758621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 t="s">
        <v>1209</v>
      </c>
      <c r="AL289" s="8" t="s">
        <v>1209</v>
      </c>
      <c r="AM289" s="8" t="s">
        <v>1209</v>
      </c>
      <c r="AN289" s="27" t="s">
        <v>1209</v>
      </c>
      <c r="AO289" s="8" t="s">
        <v>1209</v>
      </c>
      <c r="AP289" s="8" t="s">
        <v>1209</v>
      </c>
      <c r="AQ289" s="27" t="s">
        <v>1209</v>
      </c>
      <c r="AR289" s="27"/>
      <c r="AS289" s="27"/>
    </row>
    <row r="290" spans="1:45" ht="15.75" thickBot="1" x14ac:dyDescent="0.3">
      <c r="A290" s="51" t="s">
        <v>240</v>
      </c>
      <c r="B290" s="51" t="s">
        <v>1341</v>
      </c>
      <c r="C290" s="51" t="s">
        <v>1397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23</v>
      </c>
      <c r="M290" s="17">
        <f t="shared" si="21"/>
        <v>6</v>
      </c>
      <c r="N290" s="18">
        <f t="shared" si="22"/>
        <v>0.7931034482758621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 t="s">
        <v>1209</v>
      </c>
      <c r="AL290" s="8" t="s">
        <v>1209</v>
      </c>
      <c r="AM290" s="8" t="s">
        <v>1209</v>
      </c>
      <c r="AN290" s="27" t="s">
        <v>1209</v>
      </c>
      <c r="AO290" s="8" t="s">
        <v>1209</v>
      </c>
      <c r="AP290" s="8" t="s">
        <v>1209</v>
      </c>
      <c r="AQ290" s="27" t="s">
        <v>1209</v>
      </c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1397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23</v>
      </c>
      <c r="M291" s="17">
        <f t="shared" si="21"/>
        <v>6</v>
      </c>
      <c r="N291" s="18">
        <f t="shared" si="22"/>
        <v>0.7931034482758621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 t="s">
        <v>1209</v>
      </c>
      <c r="AL291" s="8" t="s">
        <v>1209</v>
      </c>
      <c r="AM291" s="8" t="s">
        <v>1209</v>
      </c>
      <c r="AN291" s="27" t="s">
        <v>1209</v>
      </c>
      <c r="AO291" s="8" t="s">
        <v>1209</v>
      </c>
      <c r="AP291" s="8" t="s">
        <v>1209</v>
      </c>
      <c r="AQ291" s="27" t="s">
        <v>1209</v>
      </c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1397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23</v>
      </c>
      <c r="M292" s="17">
        <f t="shared" si="21"/>
        <v>6</v>
      </c>
      <c r="N292" s="18">
        <f t="shared" si="22"/>
        <v>0.7931034482758621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 t="s">
        <v>1209</v>
      </c>
      <c r="AL292" s="8" t="s">
        <v>1209</v>
      </c>
      <c r="AM292" s="8" t="s">
        <v>1209</v>
      </c>
      <c r="AN292" s="27" t="s">
        <v>1209</v>
      </c>
      <c r="AO292" s="8" t="s">
        <v>1209</v>
      </c>
      <c r="AP292" s="8" t="s">
        <v>1209</v>
      </c>
      <c r="AQ292" s="27" t="s">
        <v>1209</v>
      </c>
      <c r="AR292" s="27"/>
      <c r="AS292" s="27"/>
    </row>
    <row r="293" spans="1:45" ht="15.75" thickBot="1" x14ac:dyDescent="0.3">
      <c r="A293" s="51" t="s">
        <v>618</v>
      </c>
      <c r="B293" s="51" t="s">
        <v>1342</v>
      </c>
      <c r="C293" s="51" t="s">
        <v>1398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1398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29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 t="s">
        <v>1209</v>
      </c>
      <c r="AS294" s="27"/>
    </row>
    <row r="295" spans="1:45" ht="15.75" thickBot="1" x14ac:dyDescent="0.3">
      <c r="A295" s="51" t="s">
        <v>618</v>
      </c>
      <c r="B295" s="51" t="s">
        <v>1343</v>
      </c>
      <c r="C295" s="51" t="s">
        <v>1398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29</v>
      </c>
      <c r="M295" s="17">
        <f t="shared" si="21"/>
        <v>1</v>
      </c>
      <c r="N295" s="18">
        <f t="shared" si="22"/>
        <v>0.96666666666666667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 t="s">
        <v>1209</v>
      </c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1344</v>
      </c>
      <c r="C296" s="51" t="s">
        <v>1398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1345</v>
      </c>
      <c r="C297" s="51" t="s">
        <v>1398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1346</v>
      </c>
      <c r="C298" s="51" t="s">
        <v>1398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28</v>
      </c>
      <c r="M298" s="17">
        <f t="shared" si="21"/>
        <v>1</v>
      </c>
      <c r="N298" s="18">
        <f t="shared" si="22"/>
        <v>0.96551724137931039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 t="s">
        <v>1209</v>
      </c>
      <c r="AP298" s="8"/>
      <c r="AQ298" s="27" t="s">
        <v>1209</v>
      </c>
      <c r="AR298" s="27"/>
      <c r="AS298" s="27"/>
    </row>
    <row r="299" spans="1:45" ht="15.75" thickBot="1" x14ac:dyDescent="0.3">
      <c r="A299" s="51" t="s">
        <v>618</v>
      </c>
      <c r="B299" s="51" t="s">
        <v>1347</v>
      </c>
      <c r="C299" s="51" t="s">
        <v>1398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10</v>
      </c>
      <c r="M299" s="17">
        <f t="shared" si="21"/>
        <v>19</v>
      </c>
      <c r="N299" s="18">
        <f t="shared" si="22"/>
        <v>0.34482758620689657</v>
      </c>
      <c r="O299" s="27"/>
      <c r="P299" s="8" t="s">
        <v>1209</v>
      </c>
      <c r="Q299" s="8" t="s">
        <v>1209</v>
      </c>
      <c r="R299" s="8" t="s">
        <v>1209</v>
      </c>
      <c r="S299" s="27" t="s">
        <v>1209</v>
      </c>
      <c r="T299" s="27"/>
      <c r="U299" s="8" t="s">
        <v>1209</v>
      </c>
      <c r="V299" s="8" t="s">
        <v>1209</v>
      </c>
      <c r="W299" s="8" t="s">
        <v>1209</v>
      </c>
      <c r="X299" s="27" t="s">
        <v>1209</v>
      </c>
      <c r="Y299" s="27" t="s">
        <v>1209</v>
      </c>
      <c r="Z299" s="27" t="s">
        <v>1209</v>
      </c>
      <c r="AA299" s="27" t="s">
        <v>1209</v>
      </c>
      <c r="AB299" s="27" t="s">
        <v>1209</v>
      </c>
      <c r="AC299" s="27" t="s">
        <v>1209</v>
      </c>
      <c r="AD299" s="27" t="s">
        <v>1209</v>
      </c>
      <c r="AE299" s="27" t="s">
        <v>1209</v>
      </c>
      <c r="AF299" s="27" t="s">
        <v>1209</v>
      </c>
      <c r="AG299" s="27" t="s">
        <v>1209</v>
      </c>
      <c r="AH299" s="27"/>
      <c r="AI299" s="27"/>
      <c r="AJ299" s="27"/>
      <c r="AK299" s="8"/>
      <c r="AL299" s="8"/>
      <c r="AM299" s="8"/>
      <c r="AN299" s="27"/>
      <c r="AO299" s="8" t="s">
        <v>1209</v>
      </c>
      <c r="AP299" s="8" t="s">
        <v>1209</v>
      </c>
      <c r="AQ299" s="27" t="s">
        <v>1209</v>
      </c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1398</v>
      </c>
      <c r="D300" s="51" t="s">
        <v>1348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11</v>
      </c>
      <c r="M300" s="17">
        <f t="shared" si="21"/>
        <v>18</v>
      </c>
      <c r="N300" s="18">
        <f t="shared" si="22"/>
        <v>0.37931034482758619</v>
      </c>
      <c r="O300" s="27"/>
      <c r="P300" s="8" t="s">
        <v>1209</v>
      </c>
      <c r="Q300" s="8" t="s">
        <v>1209</v>
      </c>
      <c r="R300" s="8" t="s">
        <v>1209</v>
      </c>
      <c r="S300" s="27" t="s">
        <v>1209</v>
      </c>
      <c r="T300" s="27"/>
      <c r="U300" s="8" t="s">
        <v>1209</v>
      </c>
      <c r="V300" s="8" t="s">
        <v>1209</v>
      </c>
      <c r="W300" s="8" t="s">
        <v>1209</v>
      </c>
      <c r="X300" s="27" t="s">
        <v>1209</v>
      </c>
      <c r="Y300" s="27" t="s">
        <v>1209</v>
      </c>
      <c r="Z300" s="27" t="s">
        <v>1209</v>
      </c>
      <c r="AA300" s="27" t="s">
        <v>1209</v>
      </c>
      <c r="AB300" s="27" t="s">
        <v>1209</v>
      </c>
      <c r="AC300" s="27" t="s">
        <v>1209</v>
      </c>
      <c r="AD300" s="27" t="s">
        <v>1209</v>
      </c>
      <c r="AE300" s="27" t="s">
        <v>1209</v>
      </c>
      <c r="AF300" s="27" t="s">
        <v>1209</v>
      </c>
      <c r="AG300" s="27" t="s">
        <v>1209</v>
      </c>
      <c r="AH300" s="27"/>
      <c r="AI300" s="27"/>
      <c r="AJ300" s="27"/>
      <c r="AK300" s="8"/>
      <c r="AL300" s="8"/>
      <c r="AM300" s="8"/>
      <c r="AN300" s="27"/>
      <c r="AO300" s="8"/>
      <c r="AP300" s="8" t="s">
        <v>1209</v>
      </c>
      <c r="AQ300" s="27"/>
      <c r="AR300" s="27" t="s">
        <v>1209</v>
      </c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1398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1209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1398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25</v>
      </c>
      <c r="M302" s="17">
        <f t="shared" si="21"/>
        <v>3</v>
      </c>
      <c r="N302" s="18">
        <f t="shared" si="22"/>
        <v>0.8928571428571429</v>
      </c>
      <c r="O302" s="27"/>
      <c r="P302" s="8"/>
      <c r="Q302" s="8"/>
      <c r="R302" s="8" t="s">
        <v>1209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 t="s">
        <v>1209</v>
      </c>
      <c r="AP302" s="8" t="s">
        <v>1209</v>
      </c>
      <c r="AQ302" s="27" t="s">
        <v>1209</v>
      </c>
      <c r="AR302" s="27" t="s">
        <v>1209</v>
      </c>
      <c r="AS302" s="27"/>
    </row>
    <row r="303" spans="1:45" ht="15.75" thickBot="1" x14ac:dyDescent="0.3">
      <c r="A303" s="51" t="s">
        <v>618</v>
      </c>
      <c r="B303" s="51" t="s">
        <v>1349</v>
      </c>
      <c r="C303" s="51" t="s">
        <v>1398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20</v>
      </c>
      <c r="M303" s="17">
        <f t="shared" si="21"/>
        <v>9</v>
      </c>
      <c r="N303" s="18">
        <f t="shared" si="22"/>
        <v>0.68965517241379315</v>
      </c>
      <c r="O303" s="27" t="s">
        <v>1209</v>
      </c>
      <c r="P303" s="8" t="s">
        <v>1209</v>
      </c>
      <c r="Q303" s="8" t="s">
        <v>1209</v>
      </c>
      <c r="R303" s="8" t="s">
        <v>1209</v>
      </c>
      <c r="S303" s="27" t="s">
        <v>1209</v>
      </c>
      <c r="T303" s="27"/>
      <c r="U303" s="8" t="s">
        <v>1209</v>
      </c>
      <c r="V303" s="8"/>
      <c r="W303" s="8" t="s">
        <v>1209</v>
      </c>
      <c r="X303" s="27"/>
      <c r="Y303" s="27"/>
      <c r="Z303" s="27"/>
      <c r="AA303" s="27" t="s">
        <v>1209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 t="s">
        <v>1209</v>
      </c>
      <c r="AP303" s="8"/>
      <c r="AQ303" s="27"/>
      <c r="AR303" s="27" t="s">
        <v>1209</v>
      </c>
      <c r="AS303" s="27"/>
    </row>
    <row r="304" spans="1:45" ht="15.75" thickBot="1" x14ac:dyDescent="0.3">
      <c r="A304" s="51" t="s">
        <v>618</v>
      </c>
      <c r="B304" s="51" t="s">
        <v>1350</v>
      </c>
      <c r="C304" s="51" t="s">
        <v>1398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28</v>
      </c>
      <c r="M304" s="17">
        <f t="shared" si="21"/>
        <v>1</v>
      </c>
      <c r="N304" s="18">
        <f t="shared" si="22"/>
        <v>0.96551724137931039</v>
      </c>
      <c r="O304" s="27"/>
      <c r="P304" s="8"/>
      <c r="Q304" s="8"/>
      <c r="R304" s="8"/>
      <c r="S304" s="27"/>
      <c r="T304" s="27"/>
      <c r="U304" s="8" t="s">
        <v>1209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 t="s">
        <v>1209</v>
      </c>
      <c r="AS304" s="27"/>
    </row>
    <row r="305" spans="1:45" ht="15.75" thickBot="1" x14ac:dyDescent="0.3">
      <c r="A305" s="51" t="s">
        <v>618</v>
      </c>
      <c r="B305" s="51" t="s">
        <v>1351</v>
      </c>
      <c r="C305" s="51" t="s">
        <v>1398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28</v>
      </c>
      <c r="M305" s="17">
        <f t="shared" si="21"/>
        <v>1</v>
      </c>
      <c r="N305" s="18">
        <f t="shared" si="22"/>
        <v>0.96551724137931039</v>
      </c>
      <c r="O305" s="27"/>
      <c r="P305" s="8"/>
      <c r="Q305" s="8"/>
      <c r="R305" s="8"/>
      <c r="S305" s="27"/>
      <c r="T305" s="27"/>
      <c r="U305" s="8" t="s">
        <v>1209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 t="s">
        <v>1209</v>
      </c>
      <c r="AS305" s="27"/>
    </row>
    <row r="306" spans="1:45" ht="15.75" thickBot="1" x14ac:dyDescent="0.3">
      <c r="A306" s="51" t="s">
        <v>618</v>
      </c>
      <c r="B306" s="51" t="s">
        <v>1352</v>
      </c>
      <c r="C306" s="51" t="s">
        <v>1398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1209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1353</v>
      </c>
      <c r="C307" s="51" t="s">
        <v>1398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1209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1398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1209</v>
      </c>
      <c r="P308" s="8" t="s">
        <v>1209</v>
      </c>
      <c r="Q308" s="8" t="s">
        <v>1209</v>
      </c>
      <c r="R308" s="8" t="s">
        <v>1209</v>
      </c>
      <c r="S308" s="27" t="s">
        <v>1209</v>
      </c>
      <c r="T308" s="27"/>
      <c r="U308" s="8" t="s">
        <v>1209</v>
      </c>
      <c r="V308" s="8" t="s">
        <v>1209</v>
      </c>
      <c r="W308" s="8" t="s">
        <v>1209</v>
      </c>
      <c r="X308" s="27"/>
      <c r="Y308" s="27" t="s">
        <v>1209</v>
      </c>
      <c r="Z308" s="27" t="s">
        <v>1209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1398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1209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1354</v>
      </c>
      <c r="C310" s="51" t="s">
        <v>1398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1355</v>
      </c>
      <c r="C311" s="51" t="s">
        <v>1398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 t="s">
        <v>1398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1398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1356</v>
      </c>
      <c r="C314" s="51" t="s">
        <v>1397</v>
      </c>
      <c r="D314" s="51" t="s">
        <v>674</v>
      </c>
      <c r="E314" s="51" t="s">
        <v>24</v>
      </c>
      <c r="F314" s="51" t="s">
        <v>1389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29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 t="s">
        <v>1209</v>
      </c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1397</v>
      </c>
      <c r="D315" s="51" t="s">
        <v>654</v>
      </c>
      <c r="E315" s="51" t="s">
        <v>24</v>
      </c>
      <c r="F315" s="51" t="s">
        <v>1389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 t="s">
        <v>1397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 t="s">
        <v>1397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 t="s">
        <v>1397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 t="s">
        <v>1397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 t="s">
        <v>1397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 t="s">
        <v>1397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 t="s">
        <v>1397</v>
      </c>
      <c r="D322" s="51" t="s">
        <v>673</v>
      </c>
      <c r="E322" s="51" t="s">
        <v>24</v>
      </c>
      <c r="F322" s="51" t="s">
        <v>1389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 t="s">
        <v>1398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1398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29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 t="s">
        <v>1209</v>
      </c>
      <c r="AS324" s="27"/>
    </row>
    <row r="325" spans="1:45" ht="15.75" thickBot="1" x14ac:dyDescent="0.3">
      <c r="A325" s="51" t="s">
        <v>326</v>
      </c>
      <c r="B325" s="51" t="s">
        <v>1357</v>
      </c>
      <c r="C325" s="51" t="s">
        <v>1398</v>
      </c>
      <c r="D325" s="51" t="s">
        <v>688</v>
      </c>
      <c r="E325" s="51" t="s">
        <v>102</v>
      </c>
      <c r="F325" s="51" t="s">
        <v>1388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1358</v>
      </c>
      <c r="C326" s="51" t="s">
        <v>1398</v>
      </c>
      <c r="D326" s="51" t="s">
        <v>688</v>
      </c>
      <c r="E326" s="51" t="s">
        <v>102</v>
      </c>
      <c r="F326" s="51" t="s">
        <v>1388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 t="s">
        <v>1398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19</v>
      </c>
      <c r="M327" s="17">
        <f t="shared" ref="M327:M372" si="24">COUNTIF(O327:AP327,"APAGADO")</f>
        <v>9</v>
      </c>
      <c r="N327" s="18">
        <f t="shared" ref="N327:N372" si="25">(L327)/(M327+L327)</f>
        <v>0.6785714285714286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 t="s">
        <v>1209</v>
      </c>
      <c r="AI327" s="27" t="s">
        <v>1209</v>
      </c>
      <c r="AJ327" s="27" t="s">
        <v>1209</v>
      </c>
      <c r="AK327" s="8" t="s">
        <v>1209</v>
      </c>
      <c r="AL327" s="8" t="s">
        <v>1209</v>
      </c>
      <c r="AM327" s="8" t="s">
        <v>1209</v>
      </c>
      <c r="AN327" s="27" t="s">
        <v>1209</v>
      </c>
      <c r="AO327" s="8" t="s">
        <v>1209</v>
      </c>
      <c r="AP327" s="8" t="s">
        <v>1209</v>
      </c>
      <c r="AQ327" s="27" t="s">
        <v>1209</v>
      </c>
      <c r="AR327" s="27" t="s">
        <v>1209</v>
      </c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1398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19</v>
      </c>
      <c r="M328" s="17">
        <f t="shared" si="24"/>
        <v>9</v>
      </c>
      <c r="N328" s="18">
        <f t="shared" si="25"/>
        <v>0.6785714285714286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 t="s">
        <v>1209</v>
      </c>
      <c r="AI328" s="27" t="s">
        <v>1209</v>
      </c>
      <c r="AJ328" s="27" t="s">
        <v>1209</v>
      </c>
      <c r="AK328" s="8" t="s">
        <v>1209</v>
      </c>
      <c r="AL328" s="8" t="s">
        <v>1209</v>
      </c>
      <c r="AM328" s="8" t="s">
        <v>1209</v>
      </c>
      <c r="AN328" s="27" t="s">
        <v>1209</v>
      </c>
      <c r="AO328" s="8" t="s">
        <v>1209</v>
      </c>
      <c r="AP328" s="8" t="s">
        <v>1209</v>
      </c>
      <c r="AQ328" s="27" t="s">
        <v>1209</v>
      </c>
      <c r="AR328" s="27" t="s">
        <v>1209</v>
      </c>
      <c r="AS328" s="27"/>
    </row>
    <row r="329" spans="1:45" ht="15.75" thickBot="1" x14ac:dyDescent="0.3">
      <c r="A329" s="51" t="s">
        <v>326</v>
      </c>
      <c r="B329" s="51" t="s">
        <v>683</v>
      </c>
      <c r="C329" s="51" t="s">
        <v>1398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 t="s">
        <v>1398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1398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 t="s">
        <v>1398</v>
      </c>
      <c r="D332" s="51" t="s">
        <v>691</v>
      </c>
      <c r="E332" s="51" t="s">
        <v>102</v>
      </c>
      <c r="F332" s="51" t="s">
        <v>1388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 t="s">
        <v>1398</v>
      </c>
      <c r="D333" s="51" t="s">
        <v>691</v>
      </c>
      <c r="E333" s="51" t="s">
        <v>102</v>
      </c>
      <c r="F333" s="51" t="s">
        <v>1388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1209</v>
      </c>
      <c r="AA333" s="27" t="s">
        <v>1209</v>
      </c>
      <c r="AB333" s="27" t="s">
        <v>1209</v>
      </c>
      <c r="AC333" s="27" t="s">
        <v>1209</v>
      </c>
      <c r="AD333" s="27" t="s">
        <v>1209</v>
      </c>
      <c r="AE333" s="27" t="s">
        <v>1209</v>
      </c>
      <c r="AF333" s="27" t="s">
        <v>1209</v>
      </c>
      <c r="AG333" s="27" t="s">
        <v>1209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1359</v>
      </c>
      <c r="C334" s="51" t="s">
        <v>1398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1360</v>
      </c>
      <c r="C335" s="51" t="s">
        <v>1398</v>
      </c>
      <c r="D335" s="51" t="s">
        <v>735</v>
      </c>
      <c r="E335" s="51" t="s">
        <v>19</v>
      </c>
      <c r="F335" s="51" t="s">
        <v>1388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1209</v>
      </c>
      <c r="P335" s="8" t="s">
        <v>1209</v>
      </c>
      <c r="Q335" s="8" t="s">
        <v>1209</v>
      </c>
      <c r="R335" s="8" t="s">
        <v>1209</v>
      </c>
      <c r="S335" s="27" t="s">
        <v>1209</v>
      </c>
      <c r="T335" s="27"/>
      <c r="U335" s="8" t="s">
        <v>1209</v>
      </c>
      <c r="V335" s="8" t="s">
        <v>1209</v>
      </c>
      <c r="W335" s="8" t="s">
        <v>1209</v>
      </c>
      <c r="X335" s="27" t="s">
        <v>1209</v>
      </c>
      <c r="Y335" s="27" t="s">
        <v>1209</v>
      </c>
      <c r="Z335" s="27" t="s">
        <v>1209</v>
      </c>
      <c r="AA335" s="27" t="s">
        <v>1209</v>
      </c>
      <c r="AB335" s="27" t="s">
        <v>1209</v>
      </c>
      <c r="AC335" s="27" t="s">
        <v>1209</v>
      </c>
      <c r="AD335" s="27" t="s">
        <v>1209</v>
      </c>
      <c r="AE335" s="27" t="s">
        <v>1209</v>
      </c>
      <c r="AF335" s="27" t="s">
        <v>1209</v>
      </c>
      <c r="AG335" s="27" t="s">
        <v>1209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 t="s">
        <v>1398</v>
      </c>
      <c r="D336" s="51" t="s">
        <v>701</v>
      </c>
      <c r="E336" s="51" t="s">
        <v>19</v>
      </c>
      <c r="F336" s="51" t="s">
        <v>1389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11</v>
      </c>
      <c r="M336" s="17">
        <f t="shared" si="24"/>
        <v>18</v>
      </c>
      <c r="N336" s="18">
        <f t="shared" si="25"/>
        <v>0.37931034482758619</v>
      </c>
      <c r="O336" s="27" t="s">
        <v>1209</v>
      </c>
      <c r="P336" s="8" t="s">
        <v>1209</v>
      </c>
      <c r="Q336" s="8" t="s">
        <v>1209</v>
      </c>
      <c r="R336" s="8" t="s">
        <v>1209</v>
      </c>
      <c r="S336" s="27" t="s">
        <v>1209</v>
      </c>
      <c r="T336" s="27"/>
      <c r="U336" s="8" t="s">
        <v>1209</v>
      </c>
      <c r="V336" s="8" t="s">
        <v>1209</v>
      </c>
      <c r="W336" s="8" t="s">
        <v>1209</v>
      </c>
      <c r="X336" s="27" t="s">
        <v>1209</v>
      </c>
      <c r="Y336" s="27" t="s">
        <v>1209</v>
      </c>
      <c r="Z336" s="27" t="s">
        <v>1209</v>
      </c>
      <c r="AA336" s="27" t="s">
        <v>1209</v>
      </c>
      <c r="AB336" s="27" t="s">
        <v>1209</v>
      </c>
      <c r="AC336" s="27" t="s">
        <v>1209</v>
      </c>
      <c r="AD336" s="27" t="s">
        <v>1209</v>
      </c>
      <c r="AE336" s="27" t="s">
        <v>1209</v>
      </c>
      <c r="AF336" s="27" t="s">
        <v>1209</v>
      </c>
      <c r="AG336" s="27" t="s">
        <v>1209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 t="s">
        <v>1209</v>
      </c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1398</v>
      </c>
      <c r="D337" s="51" t="s">
        <v>705</v>
      </c>
      <c r="E337" s="51" t="s">
        <v>19</v>
      </c>
      <c r="F337" s="51" t="s">
        <v>1389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28</v>
      </c>
      <c r="M337" s="17">
        <f t="shared" si="24"/>
        <v>1</v>
      </c>
      <c r="N337" s="18">
        <f t="shared" si="25"/>
        <v>0.96551724137931039</v>
      </c>
      <c r="O337" s="27" t="s">
        <v>1209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 t="s">
        <v>1209</v>
      </c>
      <c r="AS337" s="27"/>
    </row>
    <row r="338" spans="1:45" ht="15.75" thickBot="1" x14ac:dyDescent="0.3">
      <c r="A338" s="51" t="s">
        <v>703</v>
      </c>
      <c r="B338" s="51" t="s">
        <v>707</v>
      </c>
      <c r="C338" s="51" t="s">
        <v>1398</v>
      </c>
      <c r="D338" s="51" t="s">
        <v>1361</v>
      </c>
      <c r="E338" s="51" t="s">
        <v>19</v>
      </c>
      <c r="F338" s="51" t="s">
        <v>1389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1209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1398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29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 t="s">
        <v>1209</v>
      </c>
      <c r="AS339" s="27"/>
    </row>
    <row r="340" spans="1:45" ht="15.75" thickBot="1" x14ac:dyDescent="0.3">
      <c r="A340" s="51" t="s">
        <v>697</v>
      </c>
      <c r="B340" s="51" t="s">
        <v>1362</v>
      </c>
      <c r="C340" s="51" t="s">
        <v>1398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1363</v>
      </c>
      <c r="C341" s="51" t="s">
        <v>1398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 t="s">
        <v>1398</v>
      </c>
      <c r="D342" s="51" t="s">
        <v>1364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1398</v>
      </c>
      <c r="D343" s="51" t="s">
        <v>1365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29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 t="s">
        <v>1209</v>
      </c>
      <c r="AS343" s="27"/>
    </row>
    <row r="344" spans="1:45" ht="15.75" thickBot="1" x14ac:dyDescent="0.3">
      <c r="A344" s="51" t="s">
        <v>697</v>
      </c>
      <c r="B344" s="51" t="s">
        <v>715</v>
      </c>
      <c r="C344" s="51" t="s">
        <v>1398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 t="s">
        <v>1398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1209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 t="s">
        <v>1398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1209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 t="s">
        <v>1398</v>
      </c>
      <c r="D347" s="51" t="s">
        <v>1366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28</v>
      </c>
      <c r="M347" s="17">
        <f t="shared" si="24"/>
        <v>1</v>
      </c>
      <c r="N347" s="18">
        <f t="shared" si="25"/>
        <v>0.96551724137931039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1209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 t="s">
        <v>1209</v>
      </c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1397</v>
      </c>
      <c r="D348" s="51" t="s">
        <v>1367</v>
      </c>
      <c r="E348" s="51" t="s">
        <v>1392</v>
      </c>
      <c r="F348" s="51" t="s">
        <v>1389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28</v>
      </c>
      <c r="M348" s="17">
        <f t="shared" si="24"/>
        <v>1</v>
      </c>
      <c r="N348" s="18">
        <f t="shared" si="25"/>
        <v>0.96551724137931039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1209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 t="s">
        <v>1209</v>
      </c>
      <c r="AS348" s="27"/>
    </row>
    <row r="349" spans="1:45" ht="15.75" thickBot="1" x14ac:dyDescent="0.3">
      <c r="A349" s="51" t="s">
        <v>703</v>
      </c>
      <c r="B349" s="51" t="s">
        <v>727</v>
      </c>
      <c r="C349" s="51" t="s">
        <v>1398</v>
      </c>
      <c r="D349" s="51" t="s">
        <v>728</v>
      </c>
      <c r="E349" s="51" t="s">
        <v>24</v>
      </c>
      <c r="F349" s="51" t="s">
        <v>1388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 t="s">
        <v>1398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 t="s">
        <v>1398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29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 t="s">
        <v>1209</v>
      </c>
      <c r="AS351" s="27"/>
    </row>
    <row r="352" spans="1:45" ht="15.75" thickBot="1" x14ac:dyDescent="0.3">
      <c r="A352" s="51" t="s">
        <v>703</v>
      </c>
      <c r="B352" s="51" t="s">
        <v>1368</v>
      </c>
      <c r="C352" s="51" t="s">
        <v>1398</v>
      </c>
      <c r="D352" s="51" t="s">
        <v>695</v>
      </c>
      <c r="E352" s="51" t="s">
        <v>19</v>
      </c>
      <c r="F352" s="51" t="s">
        <v>1389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10</v>
      </c>
      <c r="M352" s="17">
        <f t="shared" si="24"/>
        <v>19</v>
      </c>
      <c r="N352" s="18">
        <f t="shared" si="25"/>
        <v>0.34482758620689657</v>
      </c>
      <c r="O352" s="27" t="s">
        <v>1209</v>
      </c>
      <c r="P352" s="8" t="s">
        <v>1209</v>
      </c>
      <c r="Q352" s="8" t="s">
        <v>1209</v>
      </c>
      <c r="R352" s="8" t="s">
        <v>1209</v>
      </c>
      <c r="S352" s="27" t="s">
        <v>1209</v>
      </c>
      <c r="T352" s="27"/>
      <c r="U352" s="8" t="s">
        <v>1209</v>
      </c>
      <c r="V352" s="8" t="s">
        <v>1209</v>
      </c>
      <c r="W352" s="8" t="s">
        <v>1209</v>
      </c>
      <c r="X352" s="27" t="s">
        <v>1209</v>
      </c>
      <c r="Y352" s="27" t="s">
        <v>1209</v>
      </c>
      <c r="Z352" s="27" t="s">
        <v>1209</v>
      </c>
      <c r="AA352" s="27" t="s">
        <v>1209</v>
      </c>
      <c r="AB352" s="27" t="s">
        <v>1209</v>
      </c>
      <c r="AC352" s="27" t="s">
        <v>1209</v>
      </c>
      <c r="AD352" s="27" t="s">
        <v>1209</v>
      </c>
      <c r="AE352" s="27" t="s">
        <v>1209</v>
      </c>
      <c r="AF352" s="27" t="s">
        <v>1209</v>
      </c>
      <c r="AG352" s="27" t="s">
        <v>1209</v>
      </c>
      <c r="AH352" s="27"/>
      <c r="AI352" s="27"/>
      <c r="AJ352" s="27"/>
      <c r="AK352" s="8"/>
      <c r="AL352" s="8"/>
      <c r="AM352" s="8"/>
      <c r="AN352" s="27"/>
      <c r="AO352" s="8" t="s">
        <v>1209</v>
      </c>
      <c r="AP352" s="8"/>
      <c r="AQ352" s="27"/>
      <c r="AR352" s="27" t="s">
        <v>1209</v>
      </c>
      <c r="AS352" s="27"/>
    </row>
    <row r="353" spans="1:45" ht="15.75" thickBot="1" x14ac:dyDescent="0.3">
      <c r="A353" s="51" t="s">
        <v>697</v>
      </c>
      <c r="B353" s="51" t="s">
        <v>1369</v>
      </c>
      <c r="C353" s="51" t="s">
        <v>1398</v>
      </c>
      <c r="D353" s="51" t="s">
        <v>698</v>
      </c>
      <c r="E353" s="51" t="s">
        <v>24</v>
      </c>
      <c r="F353" s="51" t="s">
        <v>1389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1370</v>
      </c>
      <c r="C354" s="51" t="s">
        <v>1398</v>
      </c>
      <c r="D354" s="51" t="s">
        <v>708</v>
      </c>
      <c r="E354" s="51" t="s">
        <v>19</v>
      </c>
      <c r="F354" s="51" t="s">
        <v>1389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1371</v>
      </c>
      <c r="C355" s="51" t="s">
        <v>1398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1397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1397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1372</v>
      </c>
      <c r="C358" s="51" t="s">
        <v>1397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29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 t="s">
        <v>1209</v>
      </c>
      <c r="AS358" s="27"/>
    </row>
    <row r="359" spans="1:45" ht="15.75" thickBot="1" x14ac:dyDescent="0.3">
      <c r="A359" s="51" t="s">
        <v>411</v>
      </c>
      <c r="B359" s="51" t="s">
        <v>1373</v>
      </c>
      <c r="C359" s="51" t="s">
        <v>1397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11</v>
      </c>
      <c r="M359" s="17">
        <f t="shared" si="24"/>
        <v>18</v>
      </c>
      <c r="N359" s="18">
        <f t="shared" si="25"/>
        <v>0.37931034482758619</v>
      </c>
      <c r="O359" s="27" t="s">
        <v>1209</v>
      </c>
      <c r="P359" s="8" t="s">
        <v>1209</v>
      </c>
      <c r="Q359" s="8" t="s">
        <v>1209</v>
      </c>
      <c r="R359" s="8" t="s">
        <v>1209</v>
      </c>
      <c r="S359" s="27" t="s">
        <v>1209</v>
      </c>
      <c r="T359" s="27"/>
      <c r="U359" s="8" t="s">
        <v>1209</v>
      </c>
      <c r="V359" s="8" t="s">
        <v>1209</v>
      </c>
      <c r="W359" s="8" t="s">
        <v>1209</v>
      </c>
      <c r="X359" s="27" t="s">
        <v>1209</v>
      </c>
      <c r="Y359" s="27" t="s">
        <v>1209</v>
      </c>
      <c r="Z359" s="27" t="s">
        <v>1209</v>
      </c>
      <c r="AA359" s="27" t="s">
        <v>1209</v>
      </c>
      <c r="AB359" s="27" t="s">
        <v>1209</v>
      </c>
      <c r="AC359" s="27" t="s">
        <v>1209</v>
      </c>
      <c r="AD359" s="27" t="s">
        <v>1209</v>
      </c>
      <c r="AE359" s="27" t="s">
        <v>1209</v>
      </c>
      <c r="AF359" s="27" t="s">
        <v>1209</v>
      </c>
      <c r="AG359" s="27" t="s">
        <v>1209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 t="s">
        <v>1209</v>
      </c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1397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1209</v>
      </c>
      <c r="P360" s="8" t="s">
        <v>1209</v>
      </c>
      <c r="Q360" s="8" t="s">
        <v>1209</v>
      </c>
      <c r="R360" s="8" t="s">
        <v>1209</v>
      </c>
      <c r="S360" s="27" t="s">
        <v>1209</v>
      </c>
      <c r="T360" s="27"/>
      <c r="U360" s="8" t="s">
        <v>1209</v>
      </c>
      <c r="V360" s="8" t="s">
        <v>1209</v>
      </c>
      <c r="W360" s="8" t="s">
        <v>1209</v>
      </c>
      <c r="X360" s="27" t="s">
        <v>1209</v>
      </c>
      <c r="Y360" s="27" t="s">
        <v>1209</v>
      </c>
      <c r="Z360" s="27" t="s">
        <v>1209</v>
      </c>
      <c r="AA360" s="27" t="s">
        <v>1209</v>
      </c>
      <c r="AB360" s="27" t="s">
        <v>1209</v>
      </c>
      <c r="AC360" s="27" t="s">
        <v>1209</v>
      </c>
      <c r="AD360" s="27" t="s">
        <v>1209</v>
      </c>
      <c r="AE360" s="27" t="s">
        <v>1209</v>
      </c>
      <c r="AF360" s="27" t="s">
        <v>1209</v>
      </c>
      <c r="AG360" s="27" t="s">
        <v>1209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 t="s">
        <v>1397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1</v>
      </c>
      <c r="M361" s="17">
        <f t="shared" si="24"/>
        <v>27</v>
      </c>
      <c r="N361" s="18">
        <f t="shared" si="25"/>
        <v>3.5714285714285712E-2</v>
      </c>
      <c r="O361" s="27" t="s">
        <v>1209</v>
      </c>
      <c r="P361" s="8" t="s">
        <v>1209</v>
      </c>
      <c r="Q361" s="8" t="s">
        <v>1209</v>
      </c>
      <c r="R361" s="8" t="s">
        <v>1209</v>
      </c>
      <c r="S361" s="27" t="s">
        <v>1209</v>
      </c>
      <c r="T361" s="27"/>
      <c r="U361" s="8" t="s">
        <v>1209</v>
      </c>
      <c r="V361" s="8" t="s">
        <v>1209</v>
      </c>
      <c r="W361" s="8" t="s">
        <v>1209</v>
      </c>
      <c r="X361" s="27" t="s">
        <v>1209</v>
      </c>
      <c r="Y361" s="27" t="s">
        <v>1209</v>
      </c>
      <c r="Z361" s="27" t="s">
        <v>1209</v>
      </c>
      <c r="AA361" s="27" t="s">
        <v>1209</v>
      </c>
      <c r="AB361" s="27" t="s">
        <v>1209</v>
      </c>
      <c r="AC361" s="27" t="s">
        <v>1209</v>
      </c>
      <c r="AD361" s="27" t="s">
        <v>1209</v>
      </c>
      <c r="AE361" s="27" t="s">
        <v>1209</v>
      </c>
      <c r="AF361" s="27" t="s">
        <v>1209</v>
      </c>
      <c r="AG361" s="27" t="s">
        <v>1209</v>
      </c>
      <c r="AH361" s="27" t="s">
        <v>1209</v>
      </c>
      <c r="AI361" s="27" t="s">
        <v>1209</v>
      </c>
      <c r="AJ361" s="27" t="s">
        <v>1209</v>
      </c>
      <c r="AK361" s="8" t="s">
        <v>1209</v>
      </c>
      <c r="AL361" s="8" t="s">
        <v>1209</v>
      </c>
      <c r="AM361" s="8" t="s">
        <v>1209</v>
      </c>
      <c r="AN361" s="27" t="s">
        <v>1209</v>
      </c>
      <c r="AO361" s="8" t="s">
        <v>1209</v>
      </c>
      <c r="AP361" s="8" t="s">
        <v>1209</v>
      </c>
      <c r="AQ361" s="27" t="s">
        <v>1209</v>
      </c>
      <c r="AR361" s="27" t="s">
        <v>1209</v>
      </c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1397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1</v>
      </c>
      <c r="M362" s="17">
        <f t="shared" si="24"/>
        <v>27</v>
      </c>
      <c r="N362" s="18">
        <f t="shared" si="25"/>
        <v>3.5714285714285712E-2</v>
      </c>
      <c r="O362" s="27" t="s">
        <v>1209</v>
      </c>
      <c r="P362" s="8" t="s">
        <v>1209</v>
      </c>
      <c r="Q362" s="8" t="s">
        <v>1209</v>
      </c>
      <c r="R362" s="8" t="s">
        <v>1209</v>
      </c>
      <c r="S362" s="27" t="s">
        <v>1209</v>
      </c>
      <c r="T362" s="27"/>
      <c r="U362" s="8" t="s">
        <v>1209</v>
      </c>
      <c r="V362" s="8" t="s">
        <v>1209</v>
      </c>
      <c r="W362" s="8" t="s">
        <v>1209</v>
      </c>
      <c r="X362" s="27" t="s">
        <v>1209</v>
      </c>
      <c r="Y362" s="27" t="s">
        <v>1209</v>
      </c>
      <c r="Z362" s="27" t="s">
        <v>1209</v>
      </c>
      <c r="AA362" s="27" t="s">
        <v>1209</v>
      </c>
      <c r="AB362" s="27" t="s">
        <v>1209</v>
      </c>
      <c r="AC362" s="27" t="s">
        <v>1209</v>
      </c>
      <c r="AD362" s="27" t="s">
        <v>1209</v>
      </c>
      <c r="AE362" s="27" t="s">
        <v>1209</v>
      </c>
      <c r="AF362" s="27" t="s">
        <v>1209</v>
      </c>
      <c r="AG362" s="27" t="s">
        <v>1209</v>
      </c>
      <c r="AH362" s="27" t="s">
        <v>1209</v>
      </c>
      <c r="AI362" s="27" t="s">
        <v>1209</v>
      </c>
      <c r="AJ362" s="27" t="s">
        <v>1209</v>
      </c>
      <c r="AK362" s="8" t="s">
        <v>1209</v>
      </c>
      <c r="AL362" s="8" t="s">
        <v>1209</v>
      </c>
      <c r="AM362" s="8" t="s">
        <v>1209</v>
      </c>
      <c r="AN362" s="27" t="s">
        <v>1209</v>
      </c>
      <c r="AO362" s="8" t="s">
        <v>1209</v>
      </c>
      <c r="AP362" s="8" t="s">
        <v>1209</v>
      </c>
      <c r="AQ362" s="27" t="s">
        <v>1209</v>
      </c>
      <c r="AR362" s="27" t="s">
        <v>1209</v>
      </c>
      <c r="AS362" s="27"/>
    </row>
    <row r="363" spans="1:45" ht="15.75" thickBot="1" x14ac:dyDescent="0.3">
      <c r="A363" s="51" t="s">
        <v>562</v>
      </c>
      <c r="B363" s="51" t="s">
        <v>752</v>
      </c>
      <c r="C363" s="51" t="s">
        <v>1397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1209</v>
      </c>
      <c r="P363" s="8" t="s">
        <v>1209</v>
      </c>
      <c r="Q363" s="8" t="s">
        <v>1209</v>
      </c>
      <c r="R363" s="8" t="s">
        <v>1209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 t="s">
        <v>1397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 t="s">
        <v>1397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 t="s">
        <v>1397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 t="s">
        <v>1397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 t="s">
        <v>1397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 t="s">
        <v>1397</v>
      </c>
      <c r="D369" s="51" t="s">
        <v>766</v>
      </c>
      <c r="E369" s="51" t="s">
        <v>24</v>
      </c>
      <c r="F369" s="51" t="s">
        <v>1389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 t="s">
        <v>1397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1398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1398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1374</v>
      </c>
      <c r="C373" s="51" t="s">
        <v>1398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1209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1375</v>
      </c>
      <c r="C374" s="51" t="s">
        <v>1398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1209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1376</v>
      </c>
      <c r="C375" s="51" t="s">
        <v>1398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1209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1377</v>
      </c>
      <c r="C376" s="51" t="s">
        <v>1398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1209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1398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1398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26</v>
      </c>
      <c r="M378" s="53">
        <f t="shared" si="26"/>
        <v>4</v>
      </c>
      <c r="N378" s="54">
        <f t="shared" si="27"/>
        <v>0.8666666666666667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1209</v>
      </c>
      <c r="AF378" s="27"/>
      <c r="AG378" s="27"/>
      <c r="AH378" s="27" t="s">
        <v>1209</v>
      </c>
      <c r="AI378" s="27" t="s">
        <v>1209</v>
      </c>
      <c r="AJ378" s="27" t="s">
        <v>1209</v>
      </c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1398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1209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1398</v>
      </c>
      <c r="D380" s="51" t="s">
        <v>1378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1209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1379</v>
      </c>
      <c r="C381" s="51" t="s">
        <v>1398</v>
      </c>
      <c r="D381" s="51" t="s">
        <v>1380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1209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1381</v>
      </c>
      <c r="C382" s="51" t="s">
        <v>1398</v>
      </c>
      <c r="D382" s="51" t="s">
        <v>1380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1209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1382</v>
      </c>
      <c r="C383" s="51" t="s">
        <v>1398</v>
      </c>
      <c r="D383" s="51" t="s">
        <v>1383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1209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1398</v>
      </c>
      <c r="D384" s="51" t="s">
        <v>1384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28</v>
      </c>
      <c r="M384" s="53">
        <f t="shared" si="29"/>
        <v>2</v>
      </c>
      <c r="N384" s="54">
        <f t="shared" si="30"/>
        <v>0.93333333333333335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1209</v>
      </c>
      <c r="AF384" s="27"/>
      <c r="AG384" s="27"/>
      <c r="AH384" s="27" t="s">
        <v>1209</v>
      </c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1385</v>
      </c>
      <c r="C385" s="51" t="s">
        <v>1398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18</v>
      </c>
      <c r="M385" s="53">
        <f t="shared" si="29"/>
        <v>10</v>
      </c>
      <c r="N385" s="54">
        <f t="shared" si="30"/>
        <v>0.6428571428571429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1209</v>
      </c>
      <c r="AF385" s="27"/>
      <c r="AG385" s="27"/>
      <c r="AH385" s="27" t="s">
        <v>1209</v>
      </c>
      <c r="AI385" s="27" t="s">
        <v>1209</v>
      </c>
      <c r="AJ385" s="27" t="s">
        <v>1209</v>
      </c>
      <c r="AK385" s="27" t="s">
        <v>1209</v>
      </c>
      <c r="AL385" s="27" t="s">
        <v>1209</v>
      </c>
      <c r="AM385" s="27" t="s">
        <v>1209</v>
      </c>
      <c r="AN385" s="27" t="s">
        <v>1209</v>
      </c>
      <c r="AO385" s="27" t="s">
        <v>1209</v>
      </c>
      <c r="AP385" s="27" t="s">
        <v>1209</v>
      </c>
      <c r="AQ385" s="27" t="s">
        <v>1209</v>
      </c>
      <c r="AR385" s="27" t="s">
        <v>1209</v>
      </c>
      <c r="AS385" s="27"/>
    </row>
    <row r="386" spans="1:45" ht="15.75" thickBot="1" x14ac:dyDescent="0.3">
      <c r="A386" s="51" t="s">
        <v>794</v>
      </c>
      <c r="B386" s="51" t="s">
        <v>1386</v>
      </c>
      <c r="C386" s="51" t="s">
        <v>1398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18</v>
      </c>
      <c r="M386" s="53">
        <f t="shared" si="29"/>
        <v>10</v>
      </c>
      <c r="N386" s="54">
        <f t="shared" si="30"/>
        <v>0.6428571428571429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1209</v>
      </c>
      <c r="AF386" s="27"/>
      <c r="AG386" s="27"/>
      <c r="AH386" s="27" t="s">
        <v>1209</v>
      </c>
      <c r="AI386" s="27" t="s">
        <v>1209</v>
      </c>
      <c r="AJ386" s="27" t="s">
        <v>1209</v>
      </c>
      <c r="AK386" s="27" t="s">
        <v>1209</v>
      </c>
      <c r="AL386" s="27" t="s">
        <v>1209</v>
      </c>
      <c r="AM386" s="27" t="s">
        <v>1209</v>
      </c>
      <c r="AN386" s="27" t="s">
        <v>1209</v>
      </c>
      <c r="AO386" s="27" t="s">
        <v>1209</v>
      </c>
      <c r="AP386" s="27" t="s">
        <v>1209</v>
      </c>
      <c r="AQ386" s="27" t="s">
        <v>1209</v>
      </c>
      <c r="AR386" s="27" t="s">
        <v>1209</v>
      </c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1398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18</v>
      </c>
      <c r="M387" s="53">
        <f t="shared" si="29"/>
        <v>10</v>
      </c>
      <c r="N387" s="54">
        <f t="shared" si="30"/>
        <v>0.6428571428571429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1209</v>
      </c>
      <c r="AF387" s="27"/>
      <c r="AG387" s="27"/>
      <c r="AH387" s="27" t="s">
        <v>1209</v>
      </c>
      <c r="AI387" s="27" t="s">
        <v>1209</v>
      </c>
      <c r="AJ387" s="27" t="s">
        <v>1209</v>
      </c>
      <c r="AK387" s="27" t="s">
        <v>1209</v>
      </c>
      <c r="AL387" s="27" t="s">
        <v>1209</v>
      </c>
      <c r="AM387" s="27" t="s">
        <v>1209</v>
      </c>
      <c r="AN387" s="27" t="s">
        <v>1209</v>
      </c>
      <c r="AO387" s="27" t="s">
        <v>1209</v>
      </c>
      <c r="AP387" s="27" t="s">
        <v>1209</v>
      </c>
      <c r="AQ387" s="27" t="s">
        <v>1209</v>
      </c>
      <c r="AR387" s="27" t="s">
        <v>1209</v>
      </c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1398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19</v>
      </c>
      <c r="M388" s="53">
        <f t="shared" si="29"/>
        <v>9</v>
      </c>
      <c r="N388" s="54">
        <f t="shared" si="30"/>
        <v>0.6785714285714286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1209</v>
      </c>
      <c r="AF388" s="27"/>
      <c r="AG388" s="27"/>
      <c r="AH388" s="27"/>
      <c r="AI388" s="27" t="s">
        <v>1209</v>
      </c>
      <c r="AJ388" s="27" t="s">
        <v>1209</v>
      </c>
      <c r="AK388" s="27" t="s">
        <v>1209</v>
      </c>
      <c r="AL388" s="27" t="s">
        <v>1209</v>
      </c>
      <c r="AM388" s="27" t="s">
        <v>1209</v>
      </c>
      <c r="AN388" s="27" t="s">
        <v>1209</v>
      </c>
      <c r="AO388" s="27" t="s">
        <v>1209</v>
      </c>
      <c r="AP388" s="27" t="s">
        <v>1209</v>
      </c>
      <c r="AQ388" s="27" t="s">
        <v>1209</v>
      </c>
      <c r="AR388" s="27" t="s">
        <v>1209</v>
      </c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1398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1209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 t="s">
        <v>1398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1209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 t="s">
        <v>1398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28</v>
      </c>
      <c r="M391" s="53">
        <f t="shared" si="29"/>
        <v>1</v>
      </c>
      <c r="N391" s="54">
        <f t="shared" si="30"/>
        <v>0.96551724137931039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1209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 t="s">
        <v>1209</v>
      </c>
      <c r="AS391" s="27"/>
    </row>
    <row r="392" spans="1:45" ht="15.75" thickBot="1" x14ac:dyDescent="0.3">
      <c r="A392" s="51" t="s">
        <v>803</v>
      </c>
      <c r="B392" s="51" t="s">
        <v>1387</v>
      </c>
      <c r="C392" s="51" t="s">
        <v>1398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1209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 t="s">
        <v>1398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1209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 t="s">
        <v>1398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28</v>
      </c>
      <c r="M394" s="53">
        <f t="shared" si="29"/>
        <v>1</v>
      </c>
      <c r="N394" s="54">
        <f t="shared" si="30"/>
        <v>0.96551724137931039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1209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 t="s">
        <v>1209</v>
      </c>
      <c r="AS394" s="27"/>
    </row>
    <row r="395" spans="1:45" ht="15.75" thickBot="1" x14ac:dyDescent="0.3">
      <c r="A395" s="51" t="s">
        <v>433</v>
      </c>
      <c r="B395" s="51" t="s">
        <v>815</v>
      </c>
      <c r="C395" s="51" t="s">
        <v>1398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1209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 t="s">
        <v>1398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1209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 t="str">
        <f>'RESUMEN TOTAL'!AQ15</f>
        <v>APAGADO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 t="str">
        <f>'RESUMEN TOTAL'!AK16</f>
        <v>APAGADO</v>
      </c>
      <c r="AC13">
        <f>'RESUMEN TOTAL'!AL16</f>
        <v>0</v>
      </c>
      <c r="AD13" t="str">
        <f>'RESUMEN TOTAL'!AM16</f>
        <v>APAGADO</v>
      </c>
      <c r="AE13" t="str">
        <f>'RESUMEN TOTAL'!AN16</f>
        <v>APAGADO</v>
      </c>
      <c r="AF13" t="str">
        <f>'RESUMEN TOTAL'!AO16</f>
        <v>APAGADO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 t="str">
        <f>'RESUMEN TOTAL'!AR21</f>
        <v>APAGADO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 t="str">
        <f>'RESUMEN TOTAL'!AN22</f>
        <v>APAGADO</v>
      </c>
      <c r="AF19" t="str">
        <f>'RESUMEN TOTAL'!AO22</f>
        <v>APAGADO</v>
      </c>
      <c r="AG19" t="str">
        <f>'RESUMEN TOTAL'!AP22</f>
        <v>APAGADO</v>
      </c>
      <c r="AH19" t="str">
        <f>'RESUMEN TOTAL'!AQ22</f>
        <v>APAGADO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 t="str">
        <f>'RESUMEN TOTAL'!AK29</f>
        <v>APAGADO</v>
      </c>
      <c r="AC26" t="str">
        <f>'RESUMEN TOTAL'!AL29</f>
        <v>APAGADO</v>
      </c>
      <c r="AD26" t="str">
        <f>'RESUMEN TOTAL'!AM29</f>
        <v>APAGADO</v>
      </c>
      <c r="AE26" t="str">
        <f>'RESUMEN TOTAL'!AN29</f>
        <v>APAGADO</v>
      </c>
      <c r="AF26" t="str">
        <f>'RESUMEN TOTAL'!AO29</f>
        <v>APAGADO</v>
      </c>
      <c r="AG26" t="str">
        <f>'RESUMEN TOTAL'!AP29</f>
        <v>APAGADO</v>
      </c>
      <c r="AH26" t="str">
        <f>'RESUMEN TOTAL'!AQ29</f>
        <v>APAGADO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 t="str">
        <f>'RESUMEN TOTAL'!AH34</f>
        <v>APAGADO</v>
      </c>
      <c r="Z31" t="str">
        <f>'RESUMEN TOTAL'!AI34</f>
        <v>APAGADO</v>
      </c>
      <c r="AA31" t="str">
        <f>'RESUMEN TOTAL'!AJ34</f>
        <v>APAGADO</v>
      </c>
      <c r="AB31" t="str">
        <f>'RESUMEN TOTAL'!AK34</f>
        <v>APAGADO</v>
      </c>
      <c r="AC31" t="str">
        <f>'RESUMEN TOTAL'!AL34</f>
        <v>APAGADO</v>
      </c>
      <c r="AD31" t="str">
        <f>'RESUMEN TOTAL'!AM34</f>
        <v>APAGADO</v>
      </c>
      <c r="AE31" t="str">
        <f>'RESUMEN TOTAL'!AN34</f>
        <v>APAGADO</v>
      </c>
      <c r="AF31" t="str">
        <f>'RESUMEN TOTAL'!AO34</f>
        <v>APAGADO</v>
      </c>
      <c r="AG31" t="str">
        <f>'RESUMEN TOTAL'!AP34</f>
        <v>APAGADO</v>
      </c>
      <c r="AH31" t="str">
        <f>'RESUMEN TOTAL'!AQ34</f>
        <v>APAGADO</v>
      </c>
      <c r="AI31" t="str">
        <f>'RESUMEN TOTAL'!AR34</f>
        <v>APAGADO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 t="str">
        <f>'RESUMEN TOTAL'!AR38</f>
        <v>APAGADO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 t="str">
        <f>'RESUMEN TOTAL'!AR42</f>
        <v>APAGADO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 t="str">
        <f>'RESUMEN TOTAL'!AR50</f>
        <v>APAGADO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 t="str">
        <f>'RESUMEN TOTAL'!AK53</f>
        <v>APAGADO</v>
      </c>
      <c r="AC50" t="str">
        <f>'RESUMEN TOTAL'!AL53</f>
        <v>APAGADO</v>
      </c>
      <c r="AD50" t="str">
        <f>'RESUMEN TOTAL'!AM53</f>
        <v>APAGADO</v>
      </c>
      <c r="AE50" t="str">
        <f>'RESUMEN TOTAL'!AN53</f>
        <v>APAGADO</v>
      </c>
      <c r="AF50" t="str">
        <f>'RESUMEN TOTAL'!AO53</f>
        <v>APAGADO</v>
      </c>
      <c r="AG50" t="str">
        <f>'RESUMEN TOTAL'!AP53</f>
        <v>APAGADO</v>
      </c>
      <c r="AH50" t="str">
        <f>'RESUMEN TOTAL'!AQ53</f>
        <v>APAGADO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 t="str">
        <f>'RESUMEN TOTAL'!AR54</f>
        <v>APAGADO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 t="str">
        <f>'RESUMEN TOTAL'!AR58</f>
        <v>APAGADO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 t="str">
        <f>'RESUMEN TOTAL'!AR62</f>
        <v>APAGADO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 t="str">
        <f>'RESUMEN TOTAL'!AR63</f>
        <v>APAGADO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 t="str">
        <f>'RESUMEN TOTAL'!AR65</f>
        <v>APAGADO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 t="str">
        <f>'RESUMEN TOTAL'!AQ67</f>
        <v>APAGADO</v>
      </c>
      <c r="AI64" t="str">
        <f>'RESUMEN TOTAL'!AR67</f>
        <v>APAGADO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 t="str">
        <f>'RESUMEN TOTAL'!AO70</f>
        <v>APAGADO</v>
      </c>
      <c r="AG67" t="str">
        <f>'RESUMEN TOTAL'!AP70</f>
        <v>APAGADO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 t="str">
        <f>'RESUMEN TOTAL'!AN91</f>
        <v>APAGADO</v>
      </c>
      <c r="AF88" t="str">
        <f>'RESUMEN TOTAL'!AO91</f>
        <v>APAGADO</v>
      </c>
      <c r="AG88" t="str">
        <f>'RESUMEN TOTAL'!AP91</f>
        <v>APAGADO</v>
      </c>
      <c r="AH88" t="str">
        <f>'RESUMEN TOTAL'!AQ91</f>
        <v>APAGADO</v>
      </c>
      <c r="AI88" t="str">
        <f>'RESUMEN TOTAL'!AR91</f>
        <v>APAGADO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 t="str">
        <f>'RESUMEN TOTAL'!AQ93</f>
        <v>APAGADO</v>
      </c>
      <c r="AI90" t="str">
        <f>'RESUMEN TOTAL'!AR93</f>
        <v>APAGADO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 t="str">
        <f>'RESUMEN TOTAL'!AN96</f>
        <v>APAGADO</v>
      </c>
      <c r="AF93" t="str">
        <f>'RESUMEN TOTAL'!AO96</f>
        <v>APAGADO</v>
      </c>
      <c r="AG93" t="str">
        <f>'RESUMEN TOTAL'!AP96</f>
        <v>APAGADO</v>
      </c>
      <c r="AH93" t="str">
        <f>'RESUMEN TOTAL'!AQ96</f>
        <v>APAGADO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 t="str">
        <f>'RESUMEN TOTAL'!AR102</f>
        <v>APAGADO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 t="str">
        <f>'RESUMEN TOTAL'!AR103</f>
        <v>APAGADO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 t="str">
        <f>'RESUMEN TOTAL'!AQ105</f>
        <v>APAGADO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 t="str">
        <f>'RESUMEN TOTAL'!AQ106</f>
        <v>APAGADO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 t="str">
        <f>'RESUMEN TOTAL'!AQ107</f>
        <v>APAGADO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 t="str">
        <f>'RESUMEN TOTAL'!AQ108</f>
        <v>APAGADO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 t="str">
        <f>'RESUMEN TOTAL'!AR109</f>
        <v>APAGADO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 t="str">
        <f>'RESUMEN TOTAL'!AR112</f>
        <v>APAGADO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 t="str">
        <f>'RESUMEN TOTAL'!AH113</f>
        <v>APAGADO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 t="str">
        <f>'RESUMEN TOTAL'!AQ121</f>
        <v>APAGADO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 t="str">
        <f>'RESUMEN TOTAL'!AP122</f>
        <v>APAGADO</v>
      </c>
      <c r="AH119" t="str">
        <f>'RESUMEN TOTAL'!AQ122</f>
        <v>APAGADO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 t="str">
        <f>'RESUMEN TOTAL'!AH128</f>
        <v>APAGADO</v>
      </c>
      <c r="Z125" t="str">
        <f>'RESUMEN TOTAL'!AI128</f>
        <v>APAGADO</v>
      </c>
      <c r="AA125" t="str">
        <f>'RESUMEN TOTAL'!AJ128</f>
        <v>APAGADO</v>
      </c>
      <c r="AB125" t="str">
        <f>'RESUMEN TOTAL'!AK128</f>
        <v>APAGADO</v>
      </c>
      <c r="AC125" t="str">
        <f>'RESUMEN TOTAL'!AL128</f>
        <v>APAGADO</v>
      </c>
      <c r="AD125" t="str">
        <f>'RESUMEN TOTAL'!AM128</f>
        <v>APAGADO</v>
      </c>
      <c r="AE125" t="str">
        <f>'RESUMEN TOTAL'!AN128</f>
        <v>APAGADO</v>
      </c>
      <c r="AF125" t="str">
        <f>'RESUMEN TOTAL'!AO128</f>
        <v>APAGADO</v>
      </c>
      <c r="AG125" t="str">
        <f>'RESUMEN TOTAL'!AP128</f>
        <v>APAGADO</v>
      </c>
      <c r="AH125" t="str">
        <f>'RESUMEN TOTAL'!AQ128</f>
        <v>APAGADO</v>
      </c>
      <c r="AI125" t="str">
        <f>'RESUMEN TOTAL'!AR128</f>
        <v>APAGADO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 t="str">
        <f>'RESUMEN TOTAL'!AK129</f>
        <v>APAGADO</v>
      </c>
      <c r="AC126" t="str">
        <f>'RESUMEN TOTAL'!AL129</f>
        <v>APAGADO</v>
      </c>
      <c r="AD126" t="str">
        <f>'RESUMEN TOTAL'!AM129</f>
        <v>APAGADO</v>
      </c>
      <c r="AE126" t="str">
        <f>'RESUMEN TOTAL'!AN129</f>
        <v>APAGADO</v>
      </c>
      <c r="AF126" t="str">
        <f>'RESUMEN TOTAL'!AO129</f>
        <v>APAGADO</v>
      </c>
      <c r="AG126" t="str">
        <f>'RESUMEN TOTAL'!AP129</f>
        <v>APAGADO</v>
      </c>
      <c r="AH126" t="str">
        <f>'RESUMEN TOTAL'!AQ129</f>
        <v>APAGADO</v>
      </c>
      <c r="AI126" t="str">
        <f>'RESUMEN TOTAL'!AR129</f>
        <v>APAGADO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 t="str">
        <f>'RESUMEN TOTAL'!AJ132</f>
        <v>APAGADO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 t="str">
        <f>'RESUMEN TOTAL'!AG134</f>
        <v>APAGADO</v>
      </c>
      <c r="Y131" t="str">
        <f>'RESUMEN TOTAL'!AH134</f>
        <v>APAGADO</v>
      </c>
      <c r="Z131" t="str">
        <f>'RESUMEN TOTAL'!AI134</f>
        <v>APAGADO</v>
      </c>
      <c r="AA131" t="str">
        <f>'RESUMEN TOTAL'!AJ134</f>
        <v>APAGADO</v>
      </c>
      <c r="AB131" t="str">
        <f>'RESUMEN TOTAL'!AK134</f>
        <v>APAGADO</v>
      </c>
      <c r="AC131" t="str">
        <f>'RESUMEN TOTAL'!AL134</f>
        <v>APAGADO</v>
      </c>
      <c r="AD131" t="str">
        <f>'RESUMEN TOTAL'!AM134</f>
        <v>APAGADO</v>
      </c>
      <c r="AE131" t="str">
        <f>'RESUMEN TOTAL'!AN134</f>
        <v>APAGADO</v>
      </c>
      <c r="AF131" t="str">
        <f>'RESUMEN TOTAL'!AO134</f>
        <v>APAGADO</v>
      </c>
      <c r="AG131" t="str">
        <f>'RESUMEN TOTAL'!AP134</f>
        <v>APAGADO</v>
      </c>
      <c r="AH131" t="str">
        <f>'RESUMEN TOTAL'!AQ134</f>
        <v>APAGADO</v>
      </c>
      <c r="AI131" t="str">
        <f>'RESUMEN TOTAL'!AR134</f>
        <v>APAGADO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 t="str">
        <f>'RESUMEN TOTAL'!AL135</f>
        <v>APAGADO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 t="str">
        <f>'RESUMEN TOTAL'!AP135</f>
        <v>APAGADO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 t="str">
        <f>'RESUMEN TOTAL'!AJ137</f>
        <v>APAGADO</v>
      </c>
      <c r="AB134" t="str">
        <f>'RESUMEN TOTAL'!AK137</f>
        <v>APAGADO</v>
      </c>
      <c r="AC134" t="str">
        <f>'RESUMEN TOTAL'!AL137</f>
        <v>APAGADO</v>
      </c>
      <c r="AD134" t="str">
        <f>'RESUMEN TOTAL'!AM137</f>
        <v>APAGADO</v>
      </c>
      <c r="AE134" t="str">
        <f>'RESUMEN TOTAL'!AN137</f>
        <v>APAGADO</v>
      </c>
      <c r="AF134" t="str">
        <f>'RESUMEN TOTAL'!AO137</f>
        <v>APAGADO</v>
      </c>
      <c r="AG134" t="str">
        <f>'RESUMEN TOTAL'!AP137</f>
        <v>APAGADO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 t="str">
        <f>'RESUMEN TOTAL'!AQ139</f>
        <v>APAGADO</v>
      </c>
      <c r="AI136" t="str">
        <f>'RESUMEN TOTAL'!AR139</f>
        <v>APAGADO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 t="str">
        <f>'RESUMEN TOTAL'!AK141</f>
        <v>APAGADO</v>
      </c>
      <c r="AC138" t="str">
        <f>'RESUMEN TOTAL'!AL141</f>
        <v>APAGADO</v>
      </c>
      <c r="AD138" t="str">
        <f>'RESUMEN TOTAL'!AM141</f>
        <v>APAGADO</v>
      </c>
      <c r="AE138" t="str">
        <f>'RESUMEN TOTAL'!AN141</f>
        <v>APAGADO</v>
      </c>
      <c r="AF138" t="str">
        <f>'RESUMEN TOTAL'!AO141</f>
        <v>APAGADO</v>
      </c>
      <c r="AG138" t="str">
        <f>'RESUMEN TOTAL'!AP141</f>
        <v>APAGADO</v>
      </c>
      <c r="AH138" t="str">
        <f>'RESUMEN TOTAL'!AQ141</f>
        <v>APAGADO</v>
      </c>
      <c r="AI138" t="str">
        <f>'RESUMEN TOTAL'!AR141</f>
        <v>APAGADO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 t="str">
        <f>'RESUMEN TOTAL'!AN142</f>
        <v>APAGADO</v>
      </c>
      <c r="AF139" t="str">
        <f>'RESUMEN TOTAL'!AO142</f>
        <v>APAGADO</v>
      </c>
      <c r="AG139" t="str">
        <f>'RESUMEN TOTAL'!AP142</f>
        <v>APAGADO</v>
      </c>
      <c r="AH139" t="str">
        <f>'RESUMEN TOTAL'!AQ142</f>
        <v>APAGADO</v>
      </c>
      <c r="AI139" t="str">
        <f>'RESUMEN TOTAL'!AR142</f>
        <v>APAGADO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 t="str">
        <f>'RESUMEN TOTAL'!AN143</f>
        <v>APAGADO</v>
      </c>
      <c r="AF140" t="str">
        <f>'RESUMEN TOTAL'!AO143</f>
        <v>APAGADO</v>
      </c>
      <c r="AG140" t="str">
        <f>'RESUMEN TOTAL'!AP143</f>
        <v>APAGADO</v>
      </c>
      <c r="AH140" t="str">
        <f>'RESUMEN TOTAL'!AQ143</f>
        <v>APAGADO</v>
      </c>
      <c r="AI140" t="str">
        <f>'RESUMEN TOTAL'!AR143</f>
        <v>APAGADO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 t="str">
        <f>'RESUMEN TOTAL'!AO148</f>
        <v>APAGADO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 t="str">
        <f>'RESUMEN TOTAL'!AO149</f>
        <v>APAGADO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 t="str">
        <f>'RESUMEN TOTAL'!AO150</f>
        <v>APAGADO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 t="str">
        <f>'RESUMEN TOTAL'!AQ156</f>
        <v>APAGADO</v>
      </c>
      <c r="AI153" t="str">
        <f>'RESUMEN TOTAL'!AR156</f>
        <v>APAGADO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 t="str">
        <f>'RESUMEN TOTAL'!AQ157</f>
        <v>APAGADO</v>
      </c>
      <c r="AI154" t="str">
        <f>'RESUMEN TOTAL'!AR157</f>
        <v>APAGADO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 t="str">
        <f>'RESUMEN TOTAL'!AQ158</f>
        <v>APAGADO</v>
      </c>
      <c r="AI155" t="str">
        <f>'RESUMEN TOTAL'!AR158</f>
        <v>APAGADO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 t="str">
        <f>'RESUMEN TOTAL'!AR159</f>
        <v>APAGADO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 t="str">
        <f>'RESUMEN TOTAL'!AQ163</f>
        <v>APAGADO</v>
      </c>
      <c r="AI160" t="str">
        <f>'RESUMEN TOTAL'!AR163</f>
        <v>APAGADO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 t="str">
        <f>'RESUMEN TOTAL'!AR165</f>
        <v>APAGADO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 t="str">
        <f>'RESUMEN TOTAL'!AP166</f>
        <v>APAGADO</v>
      </c>
      <c r="AH163" t="str">
        <f>'RESUMEN TOTAL'!AQ166</f>
        <v>APAGADO</v>
      </c>
      <c r="AI163" t="str">
        <f>'RESUMEN TOTAL'!AR166</f>
        <v>APAGADO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 t="str">
        <f>'RESUMEN TOTAL'!AN167</f>
        <v>APAGADO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 t="str">
        <f>'RESUMEN TOTAL'!AR174</f>
        <v>APAGADO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 t="str">
        <f>'RESUMEN TOTAL'!AR175</f>
        <v>APAGADO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 t="str">
        <f>'RESUMEN TOTAL'!AR179</f>
        <v>APAGADO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 t="str">
        <f>'RESUMEN TOTAL'!AR182</f>
        <v>APAGADO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 t="str">
        <f>'RESUMEN TOTAL'!AR183</f>
        <v>APAGADO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 t="str">
        <f>'RESUMEN TOTAL'!AR185</f>
        <v>APAGADO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 t="str">
        <f>'RESUMEN TOTAL'!AR186</f>
        <v>APAGADO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 t="str">
        <f>'RESUMEN TOTAL'!AR187</f>
        <v>APAGADO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 t="str">
        <f>'RESUMEN TOTAL'!AR188</f>
        <v>APAGADO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 t="str">
        <f>'RESUMEN TOTAL'!AQ191</f>
        <v>APAGADO</v>
      </c>
      <c r="AI188" t="str">
        <f>'RESUMEN TOTAL'!AR191</f>
        <v>APAGADO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 t="str">
        <f>'RESUMEN TOTAL'!AH197</f>
        <v>APAGADO</v>
      </c>
      <c r="Z194" t="str">
        <f>'RESUMEN TOTAL'!AI197</f>
        <v>APAGADO</v>
      </c>
      <c r="AA194" t="str">
        <f>'RESUMEN TOTAL'!AJ197</f>
        <v>APAGADO</v>
      </c>
      <c r="AB194" t="str">
        <f>'RESUMEN TOTAL'!AK197</f>
        <v>APAGADO</v>
      </c>
      <c r="AC194" t="str">
        <f>'RESUMEN TOTAL'!AL197</f>
        <v>APAGADO</v>
      </c>
      <c r="AD194" t="str">
        <f>'RESUMEN TOTAL'!AM197</f>
        <v>APAGADO</v>
      </c>
      <c r="AE194" t="str">
        <f>'RESUMEN TOTAL'!AN197</f>
        <v>APAGADO</v>
      </c>
      <c r="AF194" t="str">
        <f>'RESUMEN TOTAL'!AO197</f>
        <v>APAGADO</v>
      </c>
      <c r="AG194" t="str">
        <f>'RESUMEN TOTAL'!AP197</f>
        <v>APAGADO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 t="str">
        <f>'RESUMEN TOTAL'!AM198</f>
        <v>APAGADO</v>
      </c>
      <c r="AE195" t="str">
        <f>'RESUMEN TOTAL'!AN198</f>
        <v>APAGADO</v>
      </c>
      <c r="AF195" t="str">
        <f>'RESUMEN TOTAL'!AO198</f>
        <v>APAGADO</v>
      </c>
      <c r="AG195" t="str">
        <f>'RESUMEN TOTAL'!AP198</f>
        <v>APAGADO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 t="str">
        <f>'RESUMEN TOTAL'!AQ199</f>
        <v>APAGADO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 t="str">
        <f>'RESUMEN TOTAL'!AQ200</f>
        <v>APAGADO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 t="str">
        <f>'RESUMEN TOTAL'!AQ201</f>
        <v>APAGADO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 t="str">
        <f>'RESUMEN TOTAL'!AQ202</f>
        <v>APAGADO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 t="str">
        <f>'RESUMEN TOTAL'!AN207</f>
        <v>APAGADO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 t="str">
        <f>'RESUMEN TOTAL'!AM208</f>
        <v>APAGADO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 t="str">
        <f>'RESUMEN TOTAL'!AO210</f>
        <v>APAGADO</v>
      </c>
      <c r="AG207" t="str">
        <f>'RESUMEN TOTAL'!AP210</f>
        <v>APAGADO</v>
      </c>
      <c r="AH207" t="str">
        <f>'RESUMEN TOTAL'!AQ210</f>
        <v>APAGADO</v>
      </c>
      <c r="AI207" t="str">
        <f>'RESUMEN TOTAL'!AR210</f>
        <v>APAGADO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 t="str">
        <f>'RESUMEN TOTAL'!AO211</f>
        <v>APAGADO</v>
      </c>
      <c r="AG208" t="str">
        <f>'RESUMEN TOTAL'!AP211</f>
        <v>APAGADO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 t="str">
        <f>'RESUMEN TOTAL'!AO212</f>
        <v>APAGADO</v>
      </c>
      <c r="AG209" t="str">
        <f>'RESUMEN TOTAL'!AP212</f>
        <v>APAGADO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 t="str">
        <f>'RESUMEN TOTAL'!AR213</f>
        <v>APAGADO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 t="str">
        <f>'RESUMEN TOTAL'!AP215</f>
        <v>APAGADO</v>
      </c>
      <c r="AH212" t="str">
        <f>'RESUMEN TOTAL'!AQ215</f>
        <v>APAGADO</v>
      </c>
      <c r="AI212" t="str">
        <f>'RESUMEN TOTAL'!AR215</f>
        <v>APAGADO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 t="str">
        <f>'RESUMEN TOTAL'!AM216</f>
        <v>APAGADO</v>
      </c>
      <c r="AE213" t="str">
        <f>'RESUMEN TOTAL'!AN216</f>
        <v>APAGADO</v>
      </c>
      <c r="AF213" t="str">
        <f>'RESUMEN TOTAL'!AO216</f>
        <v>APAGADO</v>
      </c>
      <c r="AG213" t="str">
        <f>'RESUMEN TOTAL'!AP216</f>
        <v>APAGADO</v>
      </c>
      <c r="AH213" t="str">
        <f>'RESUMEN TOTAL'!AQ216</f>
        <v>APAGADO</v>
      </c>
      <c r="AI213" t="str">
        <f>'RESUMEN TOTAL'!AR216</f>
        <v>APAGADO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 t="str">
        <f>'RESUMEN TOTAL'!AM217</f>
        <v>APAGADO</v>
      </c>
      <c r="AE214" t="str">
        <f>'RESUMEN TOTAL'!AN217</f>
        <v>APAGADO</v>
      </c>
      <c r="AF214" t="str">
        <f>'RESUMEN TOTAL'!AO217</f>
        <v>APAGADO</v>
      </c>
      <c r="AG214" t="str">
        <f>'RESUMEN TOTAL'!AP217</f>
        <v>APAGADO</v>
      </c>
      <c r="AH214">
        <f>'RESUMEN TOTAL'!AQ217</f>
        <v>0</v>
      </c>
      <c r="AI214" t="str">
        <f>'RESUMEN TOTAL'!AR217</f>
        <v>APAGADO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 t="str">
        <f>'RESUMEN TOTAL'!AQ218</f>
        <v>APAGADO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 t="str">
        <f>'RESUMEN TOTAL'!AN220</f>
        <v>APAGADO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 t="str">
        <f>'RESUMEN TOTAL'!AN221</f>
        <v>APAGADO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 t="str">
        <f>'RESUMEN TOTAL'!AM222</f>
        <v>APAGADO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 t="str">
        <f>'RESUMEN TOTAL'!AP223</f>
        <v>APAGADO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 t="str">
        <f>'RESUMEN TOTAL'!AO225</f>
        <v>APAGADO</v>
      </c>
      <c r="AG222" t="str">
        <f>'RESUMEN TOTAL'!AP225</f>
        <v>APAGADO</v>
      </c>
      <c r="AH222" t="str">
        <f>'RESUMEN TOTAL'!AQ225</f>
        <v>APAGADO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 t="str">
        <f>'RESUMEN TOTAL'!AR232</f>
        <v>APAGADO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 t="str">
        <f>'RESUMEN TOTAL'!AR241</f>
        <v>APAGADO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 t="str">
        <f>'RESUMEN TOTAL'!AQ244</f>
        <v>APAGADO</v>
      </c>
      <c r="AI241" t="str">
        <f>'RESUMEN TOTAL'!AR244</f>
        <v>APAGADO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 t="str">
        <f>'RESUMEN TOTAL'!AQ245</f>
        <v>APAGADO</v>
      </c>
      <c r="AI242" t="str">
        <f>'RESUMEN TOTAL'!AR245</f>
        <v>APAGADO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 t="str">
        <f>'RESUMEN TOTAL'!AR249</f>
        <v>APAGADO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 t="str">
        <f>'RESUMEN TOTAL'!AR253</f>
        <v>APAGADO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 t="str">
        <f>'RESUMEN TOTAL'!AK254</f>
        <v>APAGADO</v>
      </c>
      <c r="AC251" t="str">
        <f>'RESUMEN TOTAL'!AL254</f>
        <v>APAGADO</v>
      </c>
      <c r="AD251" t="str">
        <f>'RESUMEN TOTAL'!AM254</f>
        <v>APAGADO</v>
      </c>
      <c r="AE251" t="str">
        <f>'RESUMEN TOTAL'!AN254</f>
        <v>APAGADO</v>
      </c>
      <c r="AF251" t="str">
        <f>'RESUMEN TOTAL'!AO254</f>
        <v>APAGADO</v>
      </c>
      <c r="AG251" t="str">
        <f>'RESUMEN TOTAL'!AP254</f>
        <v>APAGADO</v>
      </c>
      <c r="AH251" t="str">
        <f>'RESUMEN TOTAL'!AQ254</f>
        <v>APAGADO</v>
      </c>
      <c r="AI251" t="str">
        <f>'RESUMEN TOTAL'!AR254</f>
        <v>APAGADO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 t="str">
        <f>'RESUMEN TOTAL'!AH255</f>
        <v>APAGADO</v>
      </c>
      <c r="Z252" t="str">
        <f>'RESUMEN TOTAL'!AI255</f>
        <v>APAGADO</v>
      </c>
      <c r="AA252" t="str">
        <f>'RESUMEN TOTAL'!AJ255</f>
        <v>APAGADO</v>
      </c>
      <c r="AB252" t="str">
        <f>'RESUMEN TOTAL'!AK255</f>
        <v>APAGADO</v>
      </c>
      <c r="AC252" t="str">
        <f>'RESUMEN TOTAL'!AL255</f>
        <v>APAGADO</v>
      </c>
      <c r="AD252" t="str">
        <f>'RESUMEN TOTAL'!AM255</f>
        <v>APAGADO</v>
      </c>
      <c r="AE252" t="str">
        <f>'RESUMEN TOTAL'!AN255</f>
        <v>APAGADO</v>
      </c>
      <c r="AF252" t="str">
        <f>'RESUMEN TOTAL'!AO255</f>
        <v>APAGADO</v>
      </c>
      <c r="AG252" t="str">
        <f>'RESUMEN TOTAL'!AP255</f>
        <v>APAGADO</v>
      </c>
      <c r="AH252" t="str">
        <f>'RESUMEN TOTAL'!AQ255</f>
        <v>APAGADO</v>
      </c>
      <c r="AI252" t="str">
        <f>'RESUMEN TOTAL'!AR255</f>
        <v>APAGADO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 t="str">
        <f>'RESUMEN TOTAL'!AR263</f>
        <v>APAGADO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 t="str">
        <f>'RESUMEN TOTAL'!AR271</f>
        <v>APAGADO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 t="str">
        <f>'RESUMEN TOTAL'!AH272</f>
        <v>APAGADO</v>
      </c>
      <c r="Z269" t="str">
        <f>'RESUMEN TOTAL'!AI272</f>
        <v>APAGADO</v>
      </c>
      <c r="AA269" t="str">
        <f>'RESUMEN TOTAL'!AJ272</f>
        <v>APAGADO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 t="str">
        <f>'RESUMEN TOTAL'!AR272</f>
        <v>APAGADO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 t="str">
        <f>'RESUMEN TOTAL'!AL275</f>
        <v>APAGADO</v>
      </c>
      <c r="AD272">
        <f>'RESUMEN TOTAL'!AM275</f>
        <v>0</v>
      </c>
      <c r="AE272" t="str">
        <f>'RESUMEN TOTAL'!AN275</f>
        <v>APAGADO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 t="str">
        <f>'RESUMEN TOTAL'!AR276</f>
        <v>APAGADO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 t="str">
        <f>'RESUMEN TOTAL'!AO277</f>
        <v>APAGADO</v>
      </c>
      <c r="AG274" t="str">
        <f>'RESUMEN TOTAL'!AP277</f>
        <v>APAGADO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 t="str">
        <f>'RESUMEN TOTAL'!AO278</f>
        <v>APAGADO</v>
      </c>
      <c r="AG275" t="str">
        <f>'RESUMEN TOTAL'!AP278</f>
        <v>APAGADO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 t="str">
        <f>'RESUMEN TOTAL'!AP279</f>
        <v>APAGADO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 t="str">
        <f>'RESUMEN TOTAL'!AO280</f>
        <v>APAGADO</v>
      </c>
      <c r="AG277" t="str">
        <f>'RESUMEN TOTAL'!AP280</f>
        <v>APAGADO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>
        <f>'RESUMEN TOTAL'!AN281</f>
        <v>0</v>
      </c>
      <c r="AF278" t="str">
        <f>'RESUMEN TOTAL'!AO281</f>
        <v>APAGADO</v>
      </c>
      <c r="AG278" t="str">
        <f>'RESUMEN TOTAL'!AP281</f>
        <v>APAGADO</v>
      </c>
      <c r="AH278" t="str">
        <f>'RESUMEN TOTAL'!AQ281</f>
        <v>APAGADO</v>
      </c>
      <c r="AI278" t="str">
        <f>'RESUMEN TOTAL'!AR281</f>
        <v>APAGADO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 t="str">
        <f>'RESUMEN TOTAL'!AN289</f>
        <v>APAGADO</v>
      </c>
      <c r="AF286" t="str">
        <f>'RESUMEN TOTAL'!AO289</f>
        <v>APAGADO</v>
      </c>
      <c r="AG286" t="str">
        <f>'RESUMEN TOTAL'!AP289</f>
        <v>APAGADO</v>
      </c>
      <c r="AH286" t="str">
        <f>'RESUMEN TOTAL'!AQ289</f>
        <v>APAGADO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 t="str">
        <f>'RESUMEN TOTAL'!AK290</f>
        <v>APAGADO</v>
      </c>
      <c r="AC287" t="str">
        <f>'RESUMEN TOTAL'!AL290</f>
        <v>APAGADO</v>
      </c>
      <c r="AD287" t="str">
        <f>'RESUMEN TOTAL'!AM290</f>
        <v>APAGADO</v>
      </c>
      <c r="AE287" t="str">
        <f>'RESUMEN TOTAL'!AN290</f>
        <v>APAGADO</v>
      </c>
      <c r="AF287" t="str">
        <f>'RESUMEN TOTAL'!AO290</f>
        <v>APAGADO</v>
      </c>
      <c r="AG287" t="str">
        <f>'RESUMEN TOTAL'!AP290</f>
        <v>APAGADO</v>
      </c>
      <c r="AH287" t="str">
        <f>'RESUMEN TOTAL'!AQ290</f>
        <v>APAGADO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 t="str">
        <f>'RESUMEN TOTAL'!AK291</f>
        <v>APAGADO</v>
      </c>
      <c r="AC288" t="str">
        <f>'RESUMEN TOTAL'!AL291</f>
        <v>APAGADO</v>
      </c>
      <c r="AD288" t="str">
        <f>'RESUMEN TOTAL'!AM291</f>
        <v>APAGADO</v>
      </c>
      <c r="AE288" t="str">
        <f>'RESUMEN TOTAL'!AN291</f>
        <v>APAGADO</v>
      </c>
      <c r="AF288" t="str">
        <f>'RESUMEN TOTAL'!AO291</f>
        <v>APAGADO</v>
      </c>
      <c r="AG288" t="str">
        <f>'RESUMEN TOTAL'!AP291</f>
        <v>APAGADO</v>
      </c>
      <c r="AH288" t="str">
        <f>'RESUMEN TOTAL'!AQ291</f>
        <v>APAGADO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 t="str">
        <f>'RESUMEN TOTAL'!AK292</f>
        <v>APAGADO</v>
      </c>
      <c r="AC289" t="str">
        <f>'RESUMEN TOTAL'!AL292</f>
        <v>APAGADO</v>
      </c>
      <c r="AD289" t="str">
        <f>'RESUMEN TOTAL'!AM292</f>
        <v>APAGADO</v>
      </c>
      <c r="AE289" t="str">
        <f>'RESUMEN TOTAL'!AN292</f>
        <v>APAGADO</v>
      </c>
      <c r="AF289" t="str">
        <f>'RESUMEN TOTAL'!AO292</f>
        <v>APAGADO</v>
      </c>
      <c r="AG289" t="str">
        <f>'RESUMEN TOTAL'!AP292</f>
        <v>APAGADO</v>
      </c>
      <c r="AH289" t="str">
        <f>'RESUMEN TOTAL'!AQ292</f>
        <v>APAGADO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 t="str">
        <f>'RESUMEN TOTAL'!AR294</f>
        <v>APAGADO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 t="str">
        <f>'RESUMEN TOTAL'!AO295</f>
        <v>APAGADO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 t="str">
        <f>'RESUMEN TOTAL'!AO298</f>
        <v>APAGADO</v>
      </c>
      <c r="AG295">
        <f>'RESUMEN TOTAL'!AP298</f>
        <v>0</v>
      </c>
      <c r="AH295" t="str">
        <f>'RESUMEN TOTAL'!AQ298</f>
        <v>APAGADO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 t="str">
        <f>'RESUMEN TOTAL'!AO299</f>
        <v>APAGADO</v>
      </c>
      <c r="AG296" t="str">
        <f>'RESUMEN TOTAL'!AP299</f>
        <v>APAGADO</v>
      </c>
      <c r="AH296" t="str">
        <f>'RESUMEN TOTAL'!AQ299</f>
        <v>APAGADO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 t="str">
        <f>'RESUMEN TOTAL'!AP300</f>
        <v>APAGADO</v>
      </c>
      <c r="AH297">
        <f>'RESUMEN TOTAL'!AQ300</f>
        <v>0</v>
      </c>
      <c r="AI297" t="str">
        <f>'RESUMEN TOTAL'!AR300</f>
        <v>APAGADO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 t="str">
        <f>'RESUMEN TOTAL'!AO302</f>
        <v>APAGADO</v>
      </c>
      <c r="AG299" t="str">
        <f>'RESUMEN TOTAL'!AP302</f>
        <v>APAGADO</v>
      </c>
      <c r="AH299" t="str">
        <f>'RESUMEN TOTAL'!AQ302</f>
        <v>APAGADO</v>
      </c>
      <c r="AI299" t="str">
        <f>'RESUMEN TOTAL'!AR302</f>
        <v>APAGADO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 t="str">
        <f>'RESUMEN TOTAL'!AO303</f>
        <v>APAGADO</v>
      </c>
      <c r="AG300">
        <f>'RESUMEN TOTAL'!AP303</f>
        <v>0</v>
      </c>
      <c r="AH300">
        <f>'RESUMEN TOTAL'!AQ303</f>
        <v>0</v>
      </c>
      <c r="AI300" t="str">
        <f>'RESUMEN TOTAL'!AR303</f>
        <v>APAGADO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 t="str">
        <f>'RESUMEN TOTAL'!AR304</f>
        <v>APAGADO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 t="str">
        <f>'RESUMEN TOTAL'!AR305</f>
        <v>APAGADO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 t="str">
        <f>'RESUMEN TOTAL'!AR314</f>
        <v>APAGADO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 t="str">
        <f>'RESUMEN TOTAL'!AR324</f>
        <v>APAGADO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 t="str">
        <f>'RESUMEN TOTAL'!AH327</f>
        <v>APAGADO</v>
      </c>
      <c r="Z324" t="str">
        <f>'RESUMEN TOTAL'!AI327</f>
        <v>APAGADO</v>
      </c>
      <c r="AA324" t="str">
        <f>'RESUMEN TOTAL'!AJ327</f>
        <v>APAGADO</v>
      </c>
      <c r="AB324" t="str">
        <f>'RESUMEN TOTAL'!AK327</f>
        <v>APAGADO</v>
      </c>
      <c r="AC324" t="str">
        <f>'RESUMEN TOTAL'!AL327</f>
        <v>APAGADO</v>
      </c>
      <c r="AD324" t="str">
        <f>'RESUMEN TOTAL'!AM327</f>
        <v>APAGADO</v>
      </c>
      <c r="AE324" t="str">
        <f>'RESUMEN TOTAL'!AN327</f>
        <v>APAGADO</v>
      </c>
      <c r="AF324" t="str">
        <f>'RESUMEN TOTAL'!AO327</f>
        <v>APAGADO</v>
      </c>
      <c r="AG324" t="str">
        <f>'RESUMEN TOTAL'!AP327</f>
        <v>APAGADO</v>
      </c>
      <c r="AH324" t="str">
        <f>'RESUMEN TOTAL'!AQ327</f>
        <v>APAGADO</v>
      </c>
      <c r="AI324" t="str">
        <f>'RESUMEN TOTAL'!AR327</f>
        <v>APAGADO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 t="str">
        <f>'RESUMEN TOTAL'!AL328</f>
        <v>APAGADO</v>
      </c>
      <c r="AD325" t="str">
        <f>'RESUMEN TOTAL'!AM328</f>
        <v>APAGADO</v>
      </c>
      <c r="AE325" t="str">
        <f>'RESUMEN TOTAL'!AN328</f>
        <v>APAGADO</v>
      </c>
      <c r="AF325" t="str">
        <f>'RESUMEN TOTAL'!AO328</f>
        <v>APAGADO</v>
      </c>
      <c r="AG325" t="str">
        <f>'RESUMEN TOTAL'!AP328</f>
        <v>APAGADO</v>
      </c>
      <c r="AH325" t="str">
        <f>'RESUMEN TOTAL'!AQ328</f>
        <v>APAGADO</v>
      </c>
      <c r="AI325" t="str">
        <f>'RESUMEN TOTAL'!AR328</f>
        <v>APAGADO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 t="str">
        <f>'RESUMEN TOTAL'!AR336</f>
        <v>APAGADO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 t="str">
        <f>'RESUMEN TOTAL'!AR337</f>
        <v>APAGADO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 t="str">
        <f>'RESUMEN TOTAL'!AR339</f>
        <v>APAGADO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 t="str">
        <f>'RESUMEN TOTAL'!AR343</f>
        <v>APAGADO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 t="str">
        <f>'RESUMEN TOTAL'!AR347</f>
        <v>APAGADO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 t="str">
        <f>'RESUMEN TOTAL'!AR348</f>
        <v>APAGADO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 t="str">
        <f>'RESUMEN TOTAL'!AR351</f>
        <v>APAGADO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 t="str">
        <f>'RESUMEN TOTAL'!AO352</f>
        <v>APAGADO</v>
      </c>
      <c r="AG349">
        <f>'RESUMEN TOTAL'!AP352</f>
        <v>0</v>
      </c>
      <c r="AH349">
        <f>'RESUMEN TOTAL'!AQ352</f>
        <v>0</v>
      </c>
      <c r="AI349" t="str">
        <f>'RESUMEN TOTAL'!AR352</f>
        <v>APAGADO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 t="str">
        <f>'RESUMEN TOTAL'!AR358</f>
        <v>APAGADO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 t="str">
        <f>'RESUMEN TOTAL'!AR359</f>
        <v>APAGADO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 t="str">
        <f>'RESUMEN TOTAL'!AP361</f>
        <v>APAGADO</v>
      </c>
      <c r="AH358" t="str">
        <f>'RESUMEN TOTAL'!AQ361</f>
        <v>APAGADO</v>
      </c>
      <c r="AI358" t="str">
        <f>'RESUMEN TOTAL'!AR361</f>
        <v>APAGADO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 t="str">
        <f>'RESUMEN TOTAL'!AP362</f>
        <v>APAGADO</v>
      </c>
      <c r="AH359" t="str">
        <f>'RESUMEN TOTAL'!AQ362</f>
        <v>APAGADO</v>
      </c>
      <c r="AI359" t="str">
        <f>'RESUMEN TOTAL'!AR362</f>
        <v>APAGADO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 t="str">
        <f>'RESUMEN TOTAL'!AE378</f>
        <v>APAGADO</v>
      </c>
      <c r="W375" s="51">
        <f>'RESUMEN TOTAL'!AF378</f>
        <v>0</v>
      </c>
      <c r="X375" s="51">
        <f>'RESUMEN TOTAL'!AG378</f>
        <v>0</v>
      </c>
      <c r="Y375" s="51" t="str">
        <f>'RESUMEN TOTAL'!AH378</f>
        <v>APAGADO</v>
      </c>
      <c r="Z375" s="51" t="str">
        <f>'RESUMEN TOTAL'!AI378</f>
        <v>APAGADO</v>
      </c>
      <c r="AA375" s="51" t="str">
        <f>'RESUMEN TOTAL'!AJ378</f>
        <v>APAGADO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 t="str">
        <f>'RESUMEN TOTAL'!AE379</f>
        <v>APAGADO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 t="str">
        <f>'RESUMEN TOTAL'!AE380</f>
        <v>APAGADO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 t="str">
        <f>'RESUMEN TOTAL'!AE381</f>
        <v>APAGADO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 t="str">
        <f>'RESUMEN TOTAL'!AE382</f>
        <v>APAGADO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 t="str">
        <f>'RESUMEN TOTAL'!AE383</f>
        <v>APAGADO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 t="str">
        <f>'RESUMEN TOTAL'!AE384</f>
        <v>APAGADO</v>
      </c>
      <c r="W381" s="51">
        <f>'RESUMEN TOTAL'!AF384</f>
        <v>0</v>
      </c>
      <c r="X381" s="51">
        <f>'RESUMEN TOTAL'!AG384</f>
        <v>0</v>
      </c>
      <c r="Y381" s="51" t="str">
        <f>'RESUMEN TOTAL'!AH384</f>
        <v>APAGADO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 t="str">
        <f>'RESUMEN TOTAL'!AE385</f>
        <v>APAGADO</v>
      </c>
      <c r="W382" s="51">
        <f>'RESUMEN TOTAL'!AF385</f>
        <v>0</v>
      </c>
      <c r="X382" s="51">
        <f>'RESUMEN TOTAL'!AG385</f>
        <v>0</v>
      </c>
      <c r="Y382" s="51" t="str">
        <f>'RESUMEN TOTAL'!AH385</f>
        <v>APAGADO</v>
      </c>
      <c r="Z382" s="51" t="str">
        <f>'RESUMEN TOTAL'!AI385</f>
        <v>APAGADO</v>
      </c>
      <c r="AA382" s="51" t="str">
        <f>'RESUMEN TOTAL'!AJ385</f>
        <v>APAGADO</v>
      </c>
      <c r="AB382" s="51" t="str">
        <f>'RESUMEN TOTAL'!AK385</f>
        <v>APAGADO</v>
      </c>
      <c r="AC382" s="51" t="str">
        <f>'RESUMEN TOTAL'!AL385</f>
        <v>APAGADO</v>
      </c>
      <c r="AD382" s="51" t="str">
        <f>'RESUMEN TOTAL'!AM385</f>
        <v>APAGADO</v>
      </c>
      <c r="AE382" s="51" t="str">
        <f>'RESUMEN TOTAL'!AN385</f>
        <v>APAGADO</v>
      </c>
      <c r="AF382" s="51" t="str">
        <f>'RESUMEN TOTAL'!AO385</f>
        <v>APAGADO</v>
      </c>
      <c r="AG382" s="51" t="str">
        <f>'RESUMEN TOTAL'!AP385</f>
        <v>APAGADO</v>
      </c>
      <c r="AH382" s="51" t="str">
        <f>'RESUMEN TOTAL'!AQ385</f>
        <v>APAGADO</v>
      </c>
      <c r="AI382" s="51" t="str">
        <f>'RESUMEN TOTAL'!AR385</f>
        <v>APAGADO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 t="str">
        <f>'RESUMEN TOTAL'!AE386</f>
        <v>APAGADO</v>
      </c>
      <c r="W383" s="51">
        <f>'RESUMEN TOTAL'!AF386</f>
        <v>0</v>
      </c>
      <c r="X383" s="51">
        <f>'RESUMEN TOTAL'!AG386</f>
        <v>0</v>
      </c>
      <c r="Y383" s="51" t="str">
        <f>'RESUMEN TOTAL'!AH386</f>
        <v>APAGADO</v>
      </c>
      <c r="Z383" s="51" t="str">
        <f>'RESUMEN TOTAL'!AI386</f>
        <v>APAGADO</v>
      </c>
      <c r="AA383" s="51" t="str">
        <f>'RESUMEN TOTAL'!AJ386</f>
        <v>APAGADO</v>
      </c>
      <c r="AB383" s="51" t="str">
        <f>'RESUMEN TOTAL'!AK386</f>
        <v>APAGADO</v>
      </c>
      <c r="AC383" s="51" t="str">
        <f>'RESUMEN TOTAL'!AL386</f>
        <v>APAGADO</v>
      </c>
      <c r="AD383" s="51" t="str">
        <f>'RESUMEN TOTAL'!AM386</f>
        <v>APAGADO</v>
      </c>
      <c r="AE383" s="51" t="str">
        <f>'RESUMEN TOTAL'!AN386</f>
        <v>APAGADO</v>
      </c>
      <c r="AF383" s="51" t="str">
        <f>'RESUMEN TOTAL'!AO386</f>
        <v>APAGADO</v>
      </c>
      <c r="AG383" s="51" t="str">
        <f>'RESUMEN TOTAL'!AP386</f>
        <v>APAGADO</v>
      </c>
      <c r="AH383" s="51" t="str">
        <f>'RESUMEN TOTAL'!AQ386</f>
        <v>APAGADO</v>
      </c>
      <c r="AI383" s="51" t="str">
        <f>'RESUMEN TOTAL'!AR386</f>
        <v>APAGADO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 t="str">
        <f>'RESUMEN TOTAL'!AE387</f>
        <v>APAGADO</v>
      </c>
      <c r="W384" s="51">
        <f>'RESUMEN TOTAL'!AF387</f>
        <v>0</v>
      </c>
      <c r="X384" s="51">
        <f>'RESUMEN TOTAL'!AG387</f>
        <v>0</v>
      </c>
      <c r="Y384" s="51" t="str">
        <f>'RESUMEN TOTAL'!AH387</f>
        <v>APAGADO</v>
      </c>
      <c r="Z384" s="51" t="str">
        <f>'RESUMEN TOTAL'!AI387</f>
        <v>APAGADO</v>
      </c>
      <c r="AA384" s="51" t="str">
        <f>'RESUMEN TOTAL'!AJ387</f>
        <v>APAGADO</v>
      </c>
      <c r="AB384" s="51" t="str">
        <f>'RESUMEN TOTAL'!AK387</f>
        <v>APAGADO</v>
      </c>
      <c r="AC384" s="51" t="str">
        <f>'RESUMEN TOTAL'!AL387</f>
        <v>APAGADO</v>
      </c>
      <c r="AD384" s="51" t="str">
        <f>'RESUMEN TOTAL'!AM387</f>
        <v>APAGADO</v>
      </c>
      <c r="AE384" s="51" t="str">
        <f>'RESUMEN TOTAL'!AN387</f>
        <v>APAGADO</v>
      </c>
      <c r="AF384" s="51" t="str">
        <f>'RESUMEN TOTAL'!AO387</f>
        <v>APAGADO</v>
      </c>
      <c r="AG384" s="51" t="str">
        <f>'RESUMEN TOTAL'!AP387</f>
        <v>APAGADO</v>
      </c>
      <c r="AH384" s="51" t="str">
        <f>'RESUMEN TOTAL'!AQ387</f>
        <v>APAGADO</v>
      </c>
      <c r="AI384" s="51" t="str">
        <f>'RESUMEN TOTAL'!AR387</f>
        <v>APAGADO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 t="str">
        <f>'RESUMEN TOTAL'!AE388</f>
        <v>APAGADO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 t="str">
        <f>'RESUMEN TOTAL'!AI388</f>
        <v>APAGADO</v>
      </c>
      <c r="AA385" s="51" t="str">
        <f>'RESUMEN TOTAL'!AJ388</f>
        <v>APAGADO</v>
      </c>
      <c r="AB385" s="51" t="str">
        <f>'RESUMEN TOTAL'!AK388</f>
        <v>APAGADO</v>
      </c>
      <c r="AC385" s="51" t="str">
        <f>'RESUMEN TOTAL'!AL388</f>
        <v>APAGADO</v>
      </c>
      <c r="AD385" s="51" t="str">
        <f>'RESUMEN TOTAL'!AM388</f>
        <v>APAGADO</v>
      </c>
      <c r="AE385" s="51" t="str">
        <f>'RESUMEN TOTAL'!AN388</f>
        <v>APAGADO</v>
      </c>
      <c r="AF385" s="51" t="str">
        <f>'RESUMEN TOTAL'!AO388</f>
        <v>APAGADO</v>
      </c>
      <c r="AG385" s="51" t="str">
        <f>'RESUMEN TOTAL'!AP388</f>
        <v>APAGADO</v>
      </c>
      <c r="AH385" s="51" t="str">
        <f>'RESUMEN TOTAL'!AQ388</f>
        <v>APAGADO</v>
      </c>
      <c r="AI385" s="51" t="str">
        <f>'RESUMEN TOTAL'!AR388</f>
        <v>APAGADO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 t="str">
        <f>'RESUMEN TOTAL'!AE389</f>
        <v>APAGADO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 t="str">
        <f>'RESUMEN TOTAL'!AE390</f>
        <v>APAGADO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 t="str">
        <f>'RESUMEN TOTAL'!AE391</f>
        <v>APAGADO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 t="str">
        <f>'RESUMEN TOTAL'!AR391</f>
        <v>APAGADO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 t="str">
        <f>'RESUMEN TOTAL'!AE392</f>
        <v>APAGADO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 t="str">
        <f>'RESUMEN TOTAL'!AE393</f>
        <v>APAGADO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 t="str">
        <f>'RESUMEN TOTAL'!AE394</f>
        <v>APAGADO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 t="str">
        <f>'RESUMEN TOTAL'!AR394</f>
        <v>APAGADO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 t="str">
        <f>'RESUMEN TOTAL'!AE395</f>
        <v>APAGADO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 t="str">
        <f>'RESUMEN TOTAL'!AE396</f>
        <v>APAGADO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35</v>
      </c>
      <c r="G1" s="26">
        <f t="shared" ref="G1:AG1" si="0">COUNTIF(G3:G400, "APAGADO")</f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71</v>
      </c>
      <c r="W1" s="26">
        <f t="shared" si="0"/>
        <v>30</v>
      </c>
      <c r="X1" s="26">
        <f t="shared" si="0"/>
        <v>27</v>
      </c>
      <c r="Y1" s="26">
        <f t="shared" si="0"/>
        <v>24</v>
      </c>
      <c r="Z1" s="26">
        <f t="shared" si="0"/>
        <v>23</v>
      </c>
      <c r="AA1" s="26">
        <f t="shared" si="0"/>
        <v>25</v>
      </c>
      <c r="AB1" s="26">
        <f t="shared" si="0"/>
        <v>35</v>
      </c>
      <c r="AC1" s="26">
        <f t="shared" si="0"/>
        <v>36</v>
      </c>
      <c r="AD1" s="26">
        <f t="shared" si="0"/>
        <v>38</v>
      </c>
      <c r="AE1" s="26">
        <f t="shared" si="0"/>
        <v>40</v>
      </c>
      <c r="AF1" s="26">
        <f t="shared" si="0"/>
        <v>55</v>
      </c>
      <c r="AG1" s="26">
        <f t="shared" si="0"/>
        <v>50</v>
      </c>
      <c r="AH1" s="26">
        <f t="shared" ref="AH1:AI1" si="1">COUNTIF(AH3:AH400, "APAGADO")</f>
        <v>57</v>
      </c>
      <c r="AI1" s="26">
        <f t="shared" si="1"/>
        <v>87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 t="str">
        <f>ESTADISTICA!AH12</f>
        <v>APAGADO</v>
      </c>
      <c r="AI13" s="51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 t="str">
        <f>ESTADISTICA!AB13</f>
        <v>APAGADO</v>
      </c>
      <c r="AC14">
        <f>ESTADISTICA!AC13</f>
        <v>0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 t="str">
        <f>ESTADISTICA!AI18</f>
        <v>APAGADO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 t="str">
        <f>ESTADISTICA!AF19</f>
        <v>APAGADO</v>
      </c>
      <c r="AG20" t="str">
        <f>ESTADISTICA!AG19</f>
        <v>APAGADO</v>
      </c>
      <c r="AH20" s="51" t="str">
        <f>ESTADISTICA!AH19</f>
        <v>APAGADO</v>
      </c>
      <c r="AI20" s="51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s="51" t="str">
        <f>ESTADISTICA!AH26</f>
        <v>APAGADO</v>
      </c>
      <c r="AI27" s="51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 t="str">
        <f>ESTADISTICA!AG31</f>
        <v>APAGADO</v>
      </c>
      <c r="AH32" s="51" t="str">
        <f>ESTADISTICA!AH31</f>
        <v>APAGADO</v>
      </c>
      <c r="AI32" s="51" t="str">
        <f>ESTADISTICA!AI31</f>
        <v>APAGADO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 t="str">
        <f>ESTADISTICA!AI35</f>
        <v>APAGADO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 t="str">
        <f>ESTADISTICA!AI39</f>
        <v>APAGADO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 t="str">
        <f>ESTADISTICA!AI47</f>
        <v>APAGADO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 t="str">
        <f>ESTADISTICA!AG50</f>
        <v>APAGADO</v>
      </c>
      <c r="AH51" s="51" t="str">
        <f>ESTADISTICA!AH50</f>
        <v>APAGADO</v>
      </c>
      <c r="AI51" s="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 t="str">
        <f>ESTADISTICA!AI51</f>
        <v>APAGADO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 t="str">
        <f>ESTADISTICA!AI55</f>
        <v>APAGADO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 t="str">
        <f>ESTADISTICA!AI59</f>
        <v>APAGADO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 t="str">
        <f>ESTADISTICA!AI60</f>
        <v>APAGADO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 t="str">
        <f>ESTADISTICA!AI62</f>
        <v>APAGADO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 t="str">
        <f>ESTADISTICA!AH64</f>
        <v>APAGADO</v>
      </c>
      <c r="AI65" s="51" t="str">
        <f>ESTADISTICA!AI64</f>
        <v>APAGADO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 t="str">
        <f>ESTADISTICA!AF67</f>
        <v>APAGADO</v>
      </c>
      <c r="AG68" t="str">
        <f>ESTADISTICA!AG67</f>
        <v>APAGADO</v>
      </c>
      <c r="AH68" s="51">
        <f>ESTADISTICA!AH67</f>
        <v>0</v>
      </c>
      <c r="AI68" s="51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 s="51" t="str">
        <f>ESTADISTICA!AH88</f>
        <v>APAGADO</v>
      </c>
      <c r="AI89" s="51" t="str">
        <f>ESTADISTICA!AI88</f>
        <v>APAGADO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 t="str">
        <f>ESTADISTICA!AH90</f>
        <v>APAGADO</v>
      </c>
      <c r="AI91" s="51" t="str">
        <f>ESTADISTICA!AI90</f>
        <v>APAGADO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 t="str">
        <f>ESTADISTICA!AG93</f>
        <v>APAGADO</v>
      </c>
      <c r="AH94" s="51" t="str">
        <f>ESTADISTICA!AH93</f>
        <v>APAGADO</v>
      </c>
      <c r="AI94" s="51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 t="str">
        <f>ESTADISTICA!AI99</f>
        <v>APAGADO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 t="str">
        <f>ESTADISTICA!AI100</f>
        <v>APAGADO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 t="str">
        <f>ESTADISTICA!AH102</f>
        <v>APAGADO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 t="str">
        <f>ESTADISTICA!AH103</f>
        <v>APAGADO</v>
      </c>
      <c r="AI104" s="51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 t="str">
        <f>ESTADISTICA!AH104</f>
        <v>APAGADO</v>
      </c>
      <c r="AI105" s="51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 t="str">
        <f>ESTADISTICA!AH105</f>
        <v>APAGADO</v>
      </c>
      <c r="AI106" s="51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 t="str">
        <f>ESTADISTICA!AI106</f>
        <v>APAGADO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 t="str">
        <f>ESTADISTICA!AI109</f>
        <v>APAGADO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 t="str">
        <f>ESTADISTICA!AH118</f>
        <v>APAGADO</v>
      </c>
      <c r="AI119" s="51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 t="str">
        <f>ESTADISTICA!AG119</f>
        <v>APAGADO</v>
      </c>
      <c r="AH120" s="51" t="str">
        <f>ESTADISTICA!AH119</f>
        <v>APAGADO</v>
      </c>
      <c r="AI120" s="51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 t="str">
        <f>ESTADISTICA!AE125</f>
        <v>APAGADO</v>
      </c>
      <c r="AF126" t="str">
        <f>ESTADISTICA!AF125</f>
        <v>APAGADO</v>
      </c>
      <c r="AG126" t="str">
        <f>ESTADISTICA!AG125</f>
        <v>APAGADO</v>
      </c>
      <c r="AH126" s="51" t="str">
        <f>ESTADISTICA!AH125</f>
        <v>APAGADO</v>
      </c>
      <c r="AI126" s="51" t="str">
        <f>ESTADISTICA!AI125</f>
        <v>APAGADO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 t="str">
        <f>ESTADISTICA!AG126</f>
        <v>APAGADO</v>
      </c>
      <c r="AH127" s="51" t="str">
        <f>ESTADISTICA!AH126</f>
        <v>APAGADO</v>
      </c>
      <c r="AI127" s="51" t="str">
        <f>ESTADISTICA!AI126</f>
        <v>APAGADO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 s="51" t="str">
        <f>ESTADISTICA!AH131</f>
        <v>APAGADO</v>
      </c>
      <c r="AI132" s="51" t="str">
        <f>ESTADISTICA!AI131</f>
        <v>APAGADO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 t="str">
        <f>ESTADISTICA!AC132</f>
        <v>APAGADO</v>
      </c>
      <c r="AD133">
        <f>ESTADISTICA!AD132</f>
        <v>0</v>
      </c>
      <c r="AE133">
        <f>ESTADISTICA!AE132</f>
        <v>0</v>
      </c>
      <c r="AF133">
        <f>ESTADISTICA!AF132</f>
        <v>0</v>
      </c>
      <c r="AG133" t="str">
        <f>ESTADISTICA!AG132</f>
        <v>APAGADO</v>
      </c>
      <c r="AH133" s="51">
        <f>ESTADISTICA!AH132</f>
        <v>0</v>
      </c>
      <c r="AI133" s="51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 t="str">
        <f>ESTADISTICA!AA134</f>
        <v>APAGADO</v>
      </c>
      <c r="AB135" t="str">
        <f>ESTADISTICA!AB134</f>
        <v>APAGADO</v>
      </c>
      <c r="AC135" t="str">
        <f>ESTADISTICA!AC134</f>
        <v>APAGADO</v>
      </c>
      <c r="AD135" t="str">
        <f>ESTADISTICA!AD134</f>
        <v>APAGADO</v>
      </c>
      <c r="AE135" t="str">
        <f>ESTADISTICA!AE134</f>
        <v>APAGADO</v>
      </c>
      <c r="AF135" t="str">
        <f>ESTADISTICA!AF134</f>
        <v>APAGADO</v>
      </c>
      <c r="AG135" t="str">
        <f>ESTADISTICA!AG134</f>
        <v>APAGADO</v>
      </c>
      <c r="AH135" s="51">
        <f>ESTADISTICA!AH134</f>
        <v>0</v>
      </c>
      <c r="AI135" s="51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 t="str">
        <f>ESTADISTICA!AH136</f>
        <v>APAGADO</v>
      </c>
      <c r="AI137" s="51" t="str">
        <f>ESTADISTICA!AI136</f>
        <v>APAGADO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 t="str">
        <f>ESTADISTICA!AG138</f>
        <v>APAGADO</v>
      </c>
      <c r="AH139" s="51" t="str">
        <f>ESTADISTICA!AH138</f>
        <v>APAGADO</v>
      </c>
      <c r="AI139" s="51" t="str">
        <f>ESTADISTICA!AI138</f>
        <v>APAGADO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 t="str">
        <f>ESTADISTICA!AG139</f>
        <v>APAGADO</v>
      </c>
      <c r="AH140" s="51" t="str">
        <f>ESTADISTICA!AH139</f>
        <v>APAGADO</v>
      </c>
      <c r="AI140" s="51" t="str">
        <f>ESTADISTICA!AI139</f>
        <v>APAGADO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 t="str">
        <f>ESTADISTICA!AE140</f>
        <v>APAGADO</v>
      </c>
      <c r="AF141" t="str">
        <f>ESTADISTICA!AF140</f>
        <v>APAGADO</v>
      </c>
      <c r="AG141" t="str">
        <f>ESTADISTICA!AG140</f>
        <v>APAGADO</v>
      </c>
      <c r="AH141" s="51" t="str">
        <f>ESTADISTICA!AH140</f>
        <v>APAGADO</v>
      </c>
      <c r="AI141" s="51" t="str">
        <f>ESTADISTICA!AI140</f>
        <v>APAGADO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 t="str">
        <f>ESTADISTICA!AF145</f>
        <v>APAGADO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 t="str">
        <f>ESTADISTICA!AF146</f>
        <v>APAGADO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 t="str">
        <f>ESTADISTICA!AF147</f>
        <v>APAGADO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 t="str">
        <f>ESTADISTICA!AH153</f>
        <v>APAGADO</v>
      </c>
      <c r="AI154" s="51" t="str">
        <f>ESTADISTICA!AI153</f>
        <v>APAGADO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 t="str">
        <f>ESTADISTICA!AH154</f>
        <v>APAGADO</v>
      </c>
      <c r="AI155" s="51" t="str">
        <f>ESTADISTICA!AI154</f>
        <v>APAGADO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 t="str">
        <f>ESTADISTICA!AH155</f>
        <v>APAGADO</v>
      </c>
      <c r="AI156" s="51" t="str">
        <f>ESTADISTICA!AI155</f>
        <v>APAGADO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 t="str">
        <f>ESTADISTICA!AI156</f>
        <v>APAGADO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 t="str">
        <f>ESTADISTICA!AH160</f>
        <v>APAGADO</v>
      </c>
      <c r="AI161" s="51" t="str">
        <f>ESTADISTICA!AI160</f>
        <v>APAGADO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 t="str">
        <f>ESTADISTICA!AI162</f>
        <v>APAGADO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 s="51" t="str">
        <f>ESTADISTICA!AH163</f>
        <v>APAGADO</v>
      </c>
      <c r="AI164" s="51" t="str">
        <f>ESTADISTICA!AI163</f>
        <v>APAGADO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 t="str">
        <f>ESTADISTICA!AI171</f>
        <v>APAGADO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 t="str">
        <f>ESTADISTICA!AI172</f>
        <v>APAGADO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 t="str">
        <f>ESTADISTICA!AI176</f>
        <v>APAGADO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 t="str">
        <f>ESTADISTICA!AI179</f>
        <v>APAGADO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 t="str">
        <f>ESTADISTICA!AI180</f>
        <v>APAGADO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 t="str">
        <f>ESTADISTICA!AI182</f>
        <v>APAGADO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 t="str">
        <f>ESTADISTICA!AI183</f>
        <v>APAGADO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 t="str">
        <f>ESTADISTICA!AI184</f>
        <v>APAGADO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 t="str">
        <f>ESTADISTICA!AI185</f>
        <v>APAGADO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  <c r="AH189" s="51" t="str">
        <f>ESTADISTICA!AH188</f>
        <v>APAGADO</v>
      </c>
      <c r="AI189" s="51" t="str">
        <f>ESTADISTICA!AI188</f>
        <v>APAGADO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 t="str">
        <f>ESTADISTICA!AG194</f>
        <v>APAGADO</v>
      </c>
      <c r="AH195" s="51">
        <f>ESTADISTICA!AH194</f>
        <v>0</v>
      </c>
      <c r="AI195" s="51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 t="str">
        <f>ESTADISTICA!AG195</f>
        <v>APAGADO</v>
      </c>
      <c r="AH196" s="51">
        <f>ESTADISTICA!AH195</f>
        <v>0</v>
      </c>
      <c r="AI196" s="51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 t="str">
        <f>ESTADISTICA!AH196</f>
        <v>APAGADO</v>
      </c>
      <c r="AI197" s="51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 t="str">
        <f>ESTADISTICA!AH197</f>
        <v>APAGADO</v>
      </c>
      <c r="AI198" s="51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 t="str">
        <f>ESTADISTICA!AH198</f>
        <v>APAGADO</v>
      </c>
      <c r="AI199" s="51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 t="str">
        <f>ESTADISTICA!AH199</f>
        <v>APAGADO</v>
      </c>
      <c r="AI200" s="51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  <c r="AH208" s="51" t="str">
        <f>ESTADISTICA!AH207</f>
        <v>APAGADO</v>
      </c>
      <c r="AI208" s="51" t="str">
        <f>ESTADISTICA!AI207</f>
        <v>APAGADO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 t="str">
        <f>ESTADISTICA!AF208</f>
        <v>APAGADO</v>
      </c>
      <c r="AG209" t="str">
        <f>ESTADISTICA!AG208</f>
        <v>APAGADO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 t="str">
        <f>ESTADISTICA!AG209</f>
        <v>APAGADO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 t="str">
        <f>ESTADISTICA!AI210</f>
        <v>APAGADO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 t="str">
        <f>ESTADISTICA!AG212</f>
        <v>APAGADO</v>
      </c>
      <c r="AH213" s="51" t="str">
        <f>ESTADISTICA!AH212</f>
        <v>APAGADO</v>
      </c>
      <c r="AI213" s="51" t="str">
        <f>ESTADISTICA!AI212</f>
        <v>APAGADO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  <c r="AH214" s="51" t="str">
        <f>ESTADISTICA!AH213</f>
        <v>APAGADO</v>
      </c>
      <c r="AI214" s="51" t="str">
        <f>ESTADISTICA!AI213</f>
        <v>APAGADO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 t="str">
        <f>ESTADISTICA!AE214</f>
        <v>APAGADO</v>
      </c>
      <c r="AF215" t="str">
        <f>ESTADISTICA!AF214</f>
        <v>APAGADO</v>
      </c>
      <c r="AG215" t="str">
        <f>ESTADISTICA!AG214</f>
        <v>APAGADO</v>
      </c>
      <c r="AH215" s="51">
        <f>ESTADISTICA!AH214</f>
        <v>0</v>
      </c>
      <c r="AI215" s="51" t="str">
        <f>ESTADISTICA!AI214</f>
        <v>APAGADO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 t="str">
        <f>ESTADISTICA!AH215</f>
        <v>APAGADO</v>
      </c>
      <c r="AI216" s="51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 t="str">
        <f>ESTADISTICA!AG220</f>
        <v>APAGADO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 t="str">
        <f>ESTADISTICA!AF222</f>
        <v>APAGADO</v>
      </c>
      <c r="AG223" t="str">
        <f>ESTADISTICA!AG222</f>
        <v>APAGADO</v>
      </c>
      <c r="AH223" s="51" t="str">
        <f>ESTADISTICA!AH222</f>
        <v>APAGADO</v>
      </c>
      <c r="AI223" s="51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 t="str">
        <f>ESTADISTICA!AI229</f>
        <v>APAGADO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 t="str">
        <f>ESTADISTICA!AI238</f>
        <v>APAGADO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 t="str">
        <f>ESTADISTICA!AH241</f>
        <v>APAGADO</v>
      </c>
      <c r="AI242" s="51" t="str">
        <f>ESTADISTICA!AI241</f>
        <v>APAGADO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 t="str">
        <f>ESTADISTICA!AH242</f>
        <v>APAGADO</v>
      </c>
      <c r="AI243" s="51" t="str">
        <f>ESTADISTICA!AI242</f>
        <v>APAGADO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 t="str">
        <f>ESTADISTICA!AI246</f>
        <v>APAGADO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 t="str">
        <f>ESTADISTICA!AI250</f>
        <v>APAGADO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 t="str">
        <f>ESTADISTICA!AG251</f>
        <v>APAGADO</v>
      </c>
      <c r="AH252" s="51" t="str">
        <f>ESTADISTICA!AH251</f>
        <v>APAGADO</v>
      </c>
      <c r="AI252" s="51" t="str">
        <f>ESTADISTICA!AI251</f>
        <v>APAGADO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 t="str">
        <f>ESTADISTICA!AG252</f>
        <v>APAGADO</v>
      </c>
      <c r="AH253" s="51" t="str">
        <f>ESTADISTICA!AH252</f>
        <v>APAGADO</v>
      </c>
      <c r="AI253" s="51" t="str">
        <f>ESTADISTICA!AI252</f>
        <v>APAGADO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 t="str">
        <f>ESTADISTICA!AI260</f>
        <v>APAGADO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 t="str">
        <f>ESTADISTICA!AI268</f>
        <v>APAGADO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 t="str">
        <f>ESTADISTICA!Y269</f>
        <v>APAGADO</v>
      </c>
      <c r="Z270" t="str">
        <f>ESTADISTICA!Z269</f>
        <v>APAGADO</v>
      </c>
      <c r="AA270" t="str">
        <f>ESTADISTICA!AA269</f>
        <v>APAGADO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 t="str">
        <f>ESTADISTICA!AI269</f>
        <v>APAGADO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 t="str">
        <f>ESTADISTICA!AE272</f>
        <v>APAGADO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 t="str">
        <f>ESTADISTICA!AI273</f>
        <v>APAGADO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 t="str">
        <f>ESTADISTICA!AG274</f>
        <v>APAGADO</v>
      </c>
      <c r="AH275" s="51">
        <f>ESTADISTICA!AH274</f>
        <v>0</v>
      </c>
      <c r="AI275" s="51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 t="str">
        <f>ESTADISTICA!AG275</f>
        <v>APAGADO</v>
      </c>
      <c r="AH276" s="51">
        <f>ESTADISTICA!AH275</f>
        <v>0</v>
      </c>
      <c r="AI276" s="51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 t="str">
        <f>ESTADISTICA!AG276</f>
        <v>APAGADO</v>
      </c>
      <c r="AH277" s="51">
        <f>ESTADISTICA!AH276</f>
        <v>0</v>
      </c>
      <c r="AI277" s="51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 t="str">
        <f>ESTADISTICA!AF277</f>
        <v>APAGADO</v>
      </c>
      <c r="AG278" t="str">
        <f>ESTADISTICA!AG277</f>
        <v>APAGADO</v>
      </c>
      <c r="AH278" s="51">
        <f>ESTADISTICA!AH277</f>
        <v>0</v>
      </c>
      <c r="AI278" s="51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>
        <f>ESTADISTICA!AE278</f>
        <v>0</v>
      </c>
      <c r="AF279" t="str">
        <f>ESTADISTICA!AF278</f>
        <v>APAGADO</v>
      </c>
      <c r="AG279" t="str">
        <f>ESTADISTICA!AG278</f>
        <v>APAGADO</v>
      </c>
      <c r="AH279" s="51" t="str">
        <f>ESTADISTICA!AH278</f>
        <v>APAGADO</v>
      </c>
      <c r="AI279" s="51" t="str">
        <f>ESTADISTICA!AI278</f>
        <v>APAGADO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 t="str">
        <f>ESTADISTICA!AG286</f>
        <v>APAGADO</v>
      </c>
      <c r="AH287" s="51" t="str">
        <f>ESTADISTICA!AH286</f>
        <v>APAGADO</v>
      </c>
      <c r="AI287" s="51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 t="str">
        <f>ESTADISTICA!AE287</f>
        <v>APAGADO</v>
      </c>
      <c r="AF288" t="str">
        <f>ESTADISTICA!AF287</f>
        <v>APAGADO</v>
      </c>
      <c r="AG288" t="str">
        <f>ESTADISTICA!AG287</f>
        <v>APAGADO</v>
      </c>
      <c r="AH288" s="51" t="str">
        <f>ESTADISTICA!AH287</f>
        <v>APAGADO</v>
      </c>
      <c r="AI288" s="51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 t="str">
        <f>ESTADISTICA!AF288</f>
        <v>APAGADO</v>
      </c>
      <c r="AG289" t="str">
        <f>ESTADISTICA!AG288</f>
        <v>APAGADO</v>
      </c>
      <c r="AH289" s="51" t="str">
        <f>ESTADISTICA!AH288</f>
        <v>APAGADO</v>
      </c>
      <c r="AI289" s="51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  <c r="AH290" s="51" t="str">
        <f>ESTADISTICA!AH289</f>
        <v>APAGADO</v>
      </c>
      <c r="AI290" s="51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 t="str">
        <f>ESTADISTICA!AI291</f>
        <v>APAGADO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 t="str">
        <f>ESTADISTICA!AF292</f>
        <v>APAGADO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 t="str">
        <f>ESTADISTICA!AF295</f>
        <v>APAGADO</v>
      </c>
      <c r="AG296">
        <f>ESTADISTICA!AG295</f>
        <v>0</v>
      </c>
      <c r="AH296" s="51" t="str">
        <f>ESTADISTICA!AH295</f>
        <v>APAGADO</v>
      </c>
      <c r="AI296" s="51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 t="str">
        <f>ESTADISTICA!AF296</f>
        <v>APAGADO</v>
      </c>
      <c r="AG297" t="str">
        <f>ESTADISTICA!AG296</f>
        <v>APAGADO</v>
      </c>
      <c r="AH297" s="51" t="str">
        <f>ESTADISTICA!AH296</f>
        <v>APAGADO</v>
      </c>
      <c r="AI297" s="51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 t="str">
        <f>ESTADISTICA!AG297</f>
        <v>APAGADO</v>
      </c>
      <c r="AH298" s="51">
        <f>ESTADISTICA!AH297</f>
        <v>0</v>
      </c>
      <c r="AI298" s="51" t="str">
        <f>ESTADISTICA!AI297</f>
        <v>APAGADO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 t="str">
        <f>ESTADISTICA!AF299</f>
        <v>APAGADO</v>
      </c>
      <c r="AG300" t="str">
        <f>ESTADISTICA!AG299</f>
        <v>APAGADO</v>
      </c>
      <c r="AH300" s="51" t="str">
        <f>ESTADISTICA!AH299</f>
        <v>APAGADO</v>
      </c>
      <c r="AI300" s="51" t="str">
        <f>ESTADISTICA!AI299</f>
        <v>APAGADO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 t="str">
        <f>ESTADISTICA!AF300</f>
        <v>APAGADO</v>
      </c>
      <c r="AG301">
        <f>ESTADISTICA!AG300</f>
        <v>0</v>
      </c>
      <c r="AH301" s="51">
        <f>ESTADISTICA!AH300</f>
        <v>0</v>
      </c>
      <c r="AI301" s="51" t="str">
        <f>ESTADISTICA!AI300</f>
        <v>APAGADO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 t="str">
        <f>ESTADISTICA!AI301</f>
        <v>APAGADO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 t="str">
        <f>ESTADISTICA!AI302</f>
        <v>APAGADO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 t="str">
        <f>ESTADISTICA!AI311</f>
        <v>APAGADO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 t="str">
        <f>ESTADISTICA!AI321</f>
        <v>APAGADO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 t="str">
        <f>ESTADISTICA!AF324</f>
        <v>APAGADO</v>
      </c>
      <c r="AG325" t="str">
        <f>ESTADISTICA!AG324</f>
        <v>APAGADO</v>
      </c>
      <c r="AH325" s="51" t="str">
        <f>ESTADISTICA!AH324</f>
        <v>APAGADO</v>
      </c>
      <c r="AI325" s="51" t="str">
        <f>ESTADISTICA!AI324</f>
        <v>APAGADO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 t="str">
        <f>ESTADISTICA!AE325</f>
        <v>APAGADO</v>
      </c>
      <c r="AF326" t="str">
        <f>ESTADISTICA!AF325</f>
        <v>APAGADO</v>
      </c>
      <c r="AG326" t="str">
        <f>ESTADISTICA!AG325</f>
        <v>APAGADO</v>
      </c>
      <c r="AH326" s="51" t="str">
        <f>ESTADISTICA!AH325</f>
        <v>APAGADO</v>
      </c>
      <c r="AI326" s="51" t="str">
        <f>ESTADISTICA!AI325</f>
        <v>APAGADO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 t="str">
        <f>ESTADISTICA!AI333</f>
        <v>APAGADO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 t="str">
        <f>ESTADISTICA!AI334</f>
        <v>APAGADO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 t="str">
        <f>ESTADISTICA!AI336</f>
        <v>APAGADO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 t="str">
        <f>ESTADISTICA!AI340</f>
        <v>APAGADO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 t="str">
        <f>ESTADISTICA!AI344</f>
        <v>APAGADO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 t="str">
        <f>ESTADISTICA!AI345</f>
        <v>APAGADO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 t="str">
        <f>ESTADISTICA!AI348</f>
        <v>APAGADO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 t="str">
        <f>ESTADISTICA!AF349</f>
        <v>APAGADO</v>
      </c>
      <c r="AG350">
        <f>ESTADISTICA!AG349</f>
        <v>0</v>
      </c>
      <c r="AH350" s="51">
        <f>ESTADISTICA!AH349</f>
        <v>0</v>
      </c>
      <c r="AI350" s="51" t="str">
        <f>ESTADISTICA!AI349</f>
        <v>APAGADO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 t="str">
        <f>ESTADISTICA!AI355</f>
        <v>APAGADO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 t="str">
        <f>ESTADISTICA!AI356</f>
        <v>APAGADO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  <c r="AH359" s="51" t="str">
        <f>ESTADISTICA!AH358</f>
        <v>APAGADO</v>
      </c>
      <c r="AI359" s="51" t="str">
        <f>ESTADISTICA!AI358</f>
        <v>APAGADO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  <c r="AH360" s="51" t="str">
        <f>ESTADISTICA!AH359</f>
        <v>APAGADO</v>
      </c>
      <c r="AI360" s="51" t="str">
        <f>ESTADISTICA!AI359</f>
        <v>APAGADO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>APAGADO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 t="str">
        <f>ESTADISTICA!V379</f>
        <v>APAGADO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 t="str">
        <f>ESTADISTICA!V380</f>
        <v>APAGADO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 t="str">
        <f>ESTADISTICA!V381</f>
        <v>APAGADO</v>
      </c>
      <c r="W382" s="51">
        <f>ESTADISTICA!W381</f>
        <v>0</v>
      </c>
      <c r="X382" s="51">
        <f>ESTADISTICA!X381</f>
        <v>0</v>
      </c>
      <c r="Y382" s="51" t="str">
        <f>ESTADISTICA!Y381</f>
        <v>APAGADO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 t="str">
        <f>ESTADISTICA!V382</f>
        <v>APAGADO</v>
      </c>
      <c r="W383" s="51">
        <f>ESTADISTICA!W382</f>
        <v>0</v>
      </c>
      <c r="X383" s="51">
        <f>ESTADISTICA!X382</f>
        <v>0</v>
      </c>
      <c r="Y383" s="51" t="str">
        <f>ESTADISTICA!Y382</f>
        <v>APAGADO</v>
      </c>
      <c r="Z383" s="51" t="str">
        <f>ESTADISTICA!Z382</f>
        <v>APAGADO</v>
      </c>
      <c r="AA383" s="51" t="str">
        <f>ESTADISTICA!AA382</f>
        <v>APAGADO</v>
      </c>
      <c r="AB383" s="51" t="str">
        <f>ESTADISTICA!AB382</f>
        <v>APAGADO</v>
      </c>
      <c r="AC383" s="51" t="str">
        <f>ESTADISTICA!AC382</f>
        <v>APAGADO</v>
      </c>
      <c r="AD383" s="51" t="str">
        <f>ESTADISTICA!AD382</f>
        <v>APAGADO</v>
      </c>
      <c r="AE383" s="51" t="str">
        <f>ESTADISTICA!AE382</f>
        <v>APAGADO</v>
      </c>
      <c r="AF383" s="51" t="str">
        <f>ESTADISTICA!AF382</f>
        <v>APAGADO</v>
      </c>
      <c r="AG383" s="51" t="str">
        <f>ESTADISTICA!AG382</f>
        <v>APAGADO</v>
      </c>
      <c r="AH383" s="51" t="str">
        <f>ESTADISTICA!AH382</f>
        <v>APAGADO</v>
      </c>
      <c r="AI383" s="51" t="str">
        <f>ESTADISTICA!AI382</f>
        <v>APAGADO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 t="str">
        <f>ESTADISTICA!V383</f>
        <v>APAGADO</v>
      </c>
      <c r="W384" s="51">
        <f>ESTADISTICA!W383</f>
        <v>0</v>
      </c>
      <c r="X384" s="51">
        <f>ESTADISTICA!X383</f>
        <v>0</v>
      </c>
      <c r="Y384" s="51" t="str">
        <f>ESTADISTICA!Y383</f>
        <v>APAGADO</v>
      </c>
      <c r="Z384" s="51" t="str">
        <f>ESTADISTICA!Z383</f>
        <v>APAGADO</v>
      </c>
      <c r="AA384" s="51" t="str">
        <f>ESTADISTICA!AA383</f>
        <v>APAGADO</v>
      </c>
      <c r="AB384" s="51" t="str">
        <f>ESTADISTICA!AB383</f>
        <v>APAGADO</v>
      </c>
      <c r="AC384" s="51" t="str">
        <f>ESTADISTICA!AC383</f>
        <v>APAGADO</v>
      </c>
      <c r="AD384" s="51" t="str">
        <f>ESTADISTICA!AD383</f>
        <v>APAGADO</v>
      </c>
      <c r="AE384" s="51" t="str">
        <f>ESTADISTICA!AE383</f>
        <v>APAGADO</v>
      </c>
      <c r="AF384" s="51" t="str">
        <f>ESTADISTICA!AF383</f>
        <v>APAGADO</v>
      </c>
      <c r="AG384" s="51" t="str">
        <f>ESTADISTICA!AG383</f>
        <v>APAGADO</v>
      </c>
      <c r="AH384" s="51" t="str">
        <f>ESTADISTICA!AH383</f>
        <v>APAGADO</v>
      </c>
      <c r="AI384" s="51" t="str">
        <f>ESTADISTICA!AI383</f>
        <v>APAGADO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 t="str">
        <f>ESTADISTICA!V384</f>
        <v>APAGADO</v>
      </c>
      <c r="W385" s="51">
        <f>ESTADISTICA!W384</f>
        <v>0</v>
      </c>
      <c r="X385" s="51">
        <f>ESTADISTICA!X384</f>
        <v>0</v>
      </c>
      <c r="Y385" s="51" t="str">
        <f>ESTADISTICA!Y384</f>
        <v>APAGADO</v>
      </c>
      <c r="Z385" s="51" t="str">
        <f>ESTADISTICA!Z384</f>
        <v>APAGADO</v>
      </c>
      <c r="AA385" s="51" t="str">
        <f>ESTADISTICA!AA384</f>
        <v>APAGADO</v>
      </c>
      <c r="AB385" s="51" t="str">
        <f>ESTADISTICA!AB384</f>
        <v>APAGADO</v>
      </c>
      <c r="AC385" s="51" t="str">
        <f>ESTADISTICA!AC384</f>
        <v>APAGADO</v>
      </c>
      <c r="AD385" s="51" t="str">
        <f>ESTADISTICA!AD384</f>
        <v>APAGADO</v>
      </c>
      <c r="AE385" s="51" t="str">
        <f>ESTADISTICA!AE384</f>
        <v>APAGADO</v>
      </c>
      <c r="AF385" s="51" t="str">
        <f>ESTADISTICA!AF384</f>
        <v>APAGADO</v>
      </c>
      <c r="AG385" s="51" t="str">
        <f>ESTADISTICA!AG384</f>
        <v>APAGADO</v>
      </c>
      <c r="AH385" s="51" t="str">
        <f>ESTADISTICA!AH384</f>
        <v>APAGADO</v>
      </c>
      <c r="AI385" s="51" t="str">
        <f>ESTADISTICA!AI384</f>
        <v>APAGADO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 t="str">
        <f>ESTADISTICA!V385</f>
        <v>APAGADO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 t="str">
        <f>ESTADISTICA!Z385</f>
        <v>APAGADO</v>
      </c>
      <c r="AA386" s="51" t="str">
        <f>ESTADISTICA!AA385</f>
        <v>APAGADO</v>
      </c>
      <c r="AB386" s="51" t="str">
        <f>ESTADISTICA!AB385</f>
        <v>APAGADO</v>
      </c>
      <c r="AC386" s="51" t="str">
        <f>ESTADISTICA!AC385</f>
        <v>APAGADO</v>
      </c>
      <c r="AD386" s="51" t="str">
        <f>ESTADISTICA!AD385</f>
        <v>APAGADO</v>
      </c>
      <c r="AE386" s="51" t="str">
        <f>ESTADISTICA!AE385</f>
        <v>APAGADO</v>
      </c>
      <c r="AF386" s="51" t="str">
        <f>ESTADISTICA!AF385</f>
        <v>APAGADO</v>
      </c>
      <c r="AG386" s="51" t="str">
        <f>ESTADISTICA!AG385</f>
        <v>APAGADO</v>
      </c>
      <c r="AH386" s="51" t="str">
        <f>ESTADISTICA!AH385</f>
        <v>APAGADO</v>
      </c>
      <c r="AI386" s="51" t="str">
        <f>ESTADISTICA!AI385</f>
        <v>APAGADO</v>
      </c>
    </row>
    <row r="387" spans="1:35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 t="str">
        <f>ESTADISTICA!V386</f>
        <v>APAGADO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 t="str">
        <f>ESTADISTICA!V387</f>
        <v>APAGADO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 t="str">
        <f>ESTADISTICA!V388</f>
        <v>APAGADO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 t="str">
        <f>ESTADISTICA!AI388</f>
        <v>APAGADO</v>
      </c>
    </row>
    <row r="390" spans="1:35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 t="str">
        <f>ESTADISTICA!V389</f>
        <v>APAGADO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 t="str">
        <f>ESTADISTICA!V390</f>
        <v>APAGADO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 t="str">
        <f>ESTADISTICA!V391</f>
        <v>APAGADO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 t="str">
        <f>ESTADISTICA!AI391</f>
        <v>APAGADO</v>
      </c>
    </row>
    <row r="393" spans="1:35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 t="str">
        <f>ESTADISTICA!V392</f>
        <v>APAGADO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 t="str">
        <f>ESTADISTICA!V393</f>
        <v>APAGADO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379" xr:uid="{2CD2C71F-307D-4E12-901F-A6B69A40CA8C}"/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1190</v>
      </c>
      <c r="D1" s="49">
        <f>COUNTIFS(E4:E400,"=Fibra Optica")</f>
        <v>261</v>
      </c>
    </row>
    <row r="2" spans="1:35" ht="21" x14ac:dyDescent="0.35">
      <c r="E2" s="26" t="s">
        <v>821</v>
      </c>
      <c r="F2" s="26">
        <f>COUNTIFS(F4:F400, "=APAGADO",E4:E400,"=Fibra Optica")</f>
        <v>20</v>
      </c>
      <c r="G2" s="26">
        <f>COUNTIFS(G4:G400, "=APAGADO",E4:E400,"=Fibra Optica")</f>
        <v>19</v>
      </c>
      <c r="H2" s="26">
        <f>COUNTIFS(H4:H400, "=APAGADO",E4:E400,"=Fibra Optica")</f>
        <v>20</v>
      </c>
      <c r="I2" s="26">
        <f>COUNTIFS(I4:I400, "=APAGADO",E4:E400,"=Fibra Optica")</f>
        <v>21</v>
      </c>
      <c r="J2" s="26">
        <f>COUNTIFS(J4:J400, "=APAGADO",E4:E400,"=Fibra Optica")</f>
        <v>18</v>
      </c>
      <c r="K2" s="26">
        <f>COUNTIFS(K4:K400, "=APAGADO",E4:E400,"=Fibra Optica")</f>
        <v>0</v>
      </c>
      <c r="L2" s="26">
        <f>COUNTIFS(L4:L400, "=APAGADO",E4:E400,"=Fibra Optica")</f>
        <v>31</v>
      </c>
      <c r="M2" s="26">
        <f>COUNTIFS(M4:M400, "=APAGADO",E4:E400,"=Fibra Optica")</f>
        <v>30</v>
      </c>
      <c r="N2" s="26">
        <f>COUNTIFS(N4:N400, "=APAGADO",E4:E400,"=Fibra Optica")</f>
        <v>22</v>
      </c>
      <c r="O2" s="26">
        <f>COUNTIFS(O4:O400, "=APAGADO",E4:E400,"=Fibra Optica")</f>
        <v>19</v>
      </c>
      <c r="P2" s="26">
        <f>COUNTIFS(P4:P400, "=APAGADO",E4:E400,"=Fibra Optica")</f>
        <v>19</v>
      </c>
      <c r="Q2" s="26">
        <f>COUNTIFS(Q4:Q400, "=APAGADO",E4:E400,"=Fibra Optica")</f>
        <v>20</v>
      </c>
      <c r="R2" s="26">
        <f>COUNTIFS(R4:R400, "=APAGADO",E4:E400,"=Fibra Optica")</f>
        <v>23</v>
      </c>
      <c r="S2" s="26">
        <f>COUNTIFS(S4:S400, "=APAGADO",E4:E400,"=Fibra Optica")</f>
        <v>21</v>
      </c>
      <c r="T2" s="26">
        <f>COUNTIFS(T4:T400, "=APAGADO",E4:E400,"=Fibra Optica")</f>
        <v>19</v>
      </c>
      <c r="U2" s="26">
        <f>COUNTIFS(U4:U400, "=APAGADO",E4:E400,"=Fibra Optica")</f>
        <v>18</v>
      </c>
      <c r="V2" s="26">
        <f>COUNTIFS(V4:V400, "=APAGADO",E4:E400,"=Fibra Optica")</f>
        <v>47</v>
      </c>
      <c r="W2" s="26">
        <f>COUNTIFS(W4:W400, "=APAGADO",E4:E400,"=Fibra Optica")</f>
        <v>18</v>
      </c>
      <c r="X2" s="26">
        <f>COUNTIFS(X4:X400, "=APAGADO",E4:E400,"=Fibra Optica")</f>
        <v>16</v>
      </c>
      <c r="Y2" s="26">
        <f>COUNTIFS(Y4:Y400, "=APAGADO",E4:E400,"=Fibra Optica")</f>
        <v>17</v>
      </c>
      <c r="Z2" s="26">
        <f>COUNTIFS(Z4:Z400, "=APAGADO",E4:E400,"=Fibra Optica")</f>
        <v>16</v>
      </c>
      <c r="AA2" s="26">
        <f>COUNTIFS(AA4:AA400, "=APAGADO",E4:E400,"=Fibra Optica")</f>
        <v>16</v>
      </c>
      <c r="AB2" s="26">
        <f>COUNTIFS(AB4:AB400, "=APAGADO",E4:E400,"=Fibra Optica")</f>
        <v>24</v>
      </c>
      <c r="AC2" s="26">
        <f>COUNTIFS(AC4:AC400, "=APAGADO",E4:E400,"=Fibra Optica")</f>
        <v>23</v>
      </c>
      <c r="AD2" s="26">
        <f>COUNTIFS(AD4:AD400, "=APAGADO",E4:E400,"=Fibra Optica")</f>
        <v>27</v>
      </c>
      <c r="AE2" s="26">
        <f>COUNTIFS(AE4:AE400, "=APAGADO",E4:E400,"=Fibra Optica")</f>
        <v>29</v>
      </c>
      <c r="AF2" s="26">
        <f>COUNTIFS(AF4:AF400, "=APAGADO",E4:E400,"=Fibra Optica")</f>
        <v>38</v>
      </c>
      <c r="AG2" s="26">
        <f>COUNTIFS(AG4:AG400, "=APAGADO",E4:E400,"=Fibra Optica")</f>
        <v>34</v>
      </c>
      <c r="AH2" s="26">
        <f>COUNTIFS(AH4:AH400, "=APAGADO",E4:E400,"=Fibra Optica")</f>
        <v>32</v>
      </c>
      <c r="AI2" s="26">
        <f>COUNTIFS(AI4:AI400, "=APAGADO",E4:E400,"=Fibra Optica")</f>
        <v>37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 t="str">
        <f>ESTADISTICA!AI18</f>
        <v>APAGADO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 t="str">
        <f>ESTADISTICA!AG26</f>
        <v>APAGADO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 t="str">
        <f>ESTADISTICA!AI31</f>
        <v>APAGADO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 t="str">
        <f>ESTADISTICA!AI35</f>
        <v>APAGADO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 t="str">
        <f>ESTADISTICA!AI39</f>
        <v>APAGADO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 t="str">
        <f>ESTADISTICA!AI47</f>
        <v>APAGADO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 t="str">
        <f>ESTADISTICA!AG50</f>
        <v>APAGADO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 t="str">
        <f>ESTADISTICA!AI51</f>
        <v>APAGADO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 t="str">
        <f>ESTADISTICA!AI59</f>
        <v>APAGADO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 t="str">
        <f>ESTADISTICA!AI60</f>
        <v>APAGADO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 t="str">
        <f>ESTADISTICA!AI62</f>
        <v>APAGADO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str">
        <f>ESTADISTICA!AH64</f>
        <v>APAGADO</v>
      </c>
      <c r="AI66" t="str">
        <f>ESTADISTICA!AI64</f>
        <v>APAGADO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 t="str">
        <f>ESTADISTICA!AI88</f>
        <v>APAGADO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str">
        <f>ESTADISTICA!AH90</f>
        <v>APAGADO</v>
      </c>
      <c r="AI92" t="str">
        <f>ESTADISTICA!AI90</f>
        <v>APAGADO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str">
        <f>ESTADISTICA!AH103</f>
        <v>APAGADO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str">
        <f>ESTADISTICA!AH104</f>
        <v>APAGADO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str">
        <f>ESTADISTICA!AH105</f>
        <v>APAGADO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 t="str">
        <f>ESTADISTICA!AI106</f>
        <v>APAGADO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str">
        <f>ESTADISTICA!AH118</f>
        <v>APAGADO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 t="str">
        <f>ESTADISTICA!AG119</f>
        <v>APAGADO</v>
      </c>
      <c r="AH121" t="str">
        <f>ESTADISTICA!AH119</f>
        <v>APAGADO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 t="str">
        <f>ESTADISTICA!AG125</f>
        <v>APAGADO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 t="str">
        <f>ESTADISTICA!AG138</f>
        <v>APAGADO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str">
        <f>ESTADISTICA!AH153</f>
        <v>APAGADO</v>
      </c>
      <c r="AI155" t="str">
        <f>ESTADISTICA!AI153</f>
        <v>APAGADO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str">
        <f>ESTADISTICA!AH154</f>
        <v>APAGADO</v>
      </c>
      <c r="AI156" t="str">
        <f>ESTADISTICA!AI154</f>
        <v>APAGADO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str">
        <f>ESTADISTICA!AH155</f>
        <v>APAGADO</v>
      </c>
      <c r="AI157" t="str">
        <f>ESTADISTICA!AI155</f>
        <v>APAGADO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 t="str">
        <f>ESTADISTICA!AI156</f>
        <v>APAGADO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str">
        <f>ESTADISTICA!AH160</f>
        <v>APAGADO</v>
      </c>
      <c r="AI162" t="str">
        <f>ESTADISTICA!AI160</f>
        <v>APAGADO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 t="str">
        <f>ESTADISTICA!AI162</f>
        <v>APAGADO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 t="str">
        <f>ESTADISTICA!AI171</f>
        <v>APAGADO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 t="str">
        <f>ESTADISTICA!AI172</f>
        <v>APAGADO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 t="str">
        <f>ESTADISTICA!AI183</f>
        <v>APAGADO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 t="str">
        <f>ESTADISTICA!AI184</f>
        <v>APAGADO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 t="str">
        <f>ESTADISTICA!AI185</f>
        <v>APAGADO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str">
        <f>ESTADISTICA!AH196</f>
        <v>APAGADO</v>
      </c>
      <c r="AI198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str">
        <f>ESTADISTICA!AH197</f>
        <v>APAGADO</v>
      </c>
      <c r="AI199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str">
        <f>ESTADISTICA!AH198</f>
        <v>APAGADO</v>
      </c>
      <c r="AI20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str">
        <f>ESTADISTICA!AH199</f>
        <v>APAGADO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 t="str">
        <f>ESTADISTICA!AI207</f>
        <v>APAGADO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 t="str">
        <f>ESTADISTICA!AI210</f>
        <v>APAGADO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 t="str">
        <f>ESTADISTICA!AH212</f>
        <v>APAGADO</v>
      </c>
      <c r="AI214" t="str">
        <f>ESTADISTICA!AI212</f>
        <v>APAGADO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 t="str">
        <f>ESTADISTICA!AI214</f>
        <v>APAGADO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str">
        <f>ESTADISTICA!AH215</f>
        <v>APAGADO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 t="str">
        <f>ESTADISTICA!AG222</f>
        <v>APAGADO</v>
      </c>
      <c r="AH224" t="str">
        <f>ESTADISTICA!AH222</f>
        <v>APAGADO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 t="str">
        <f>ESTADISTICA!AI229</f>
        <v>APAGADO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 t="str">
        <f>ESTADISTICA!AI238</f>
        <v>APAGADO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str">
        <f>ESTADISTICA!AH241</f>
        <v>APAGADO</v>
      </c>
      <c r="AI243" t="str">
        <f>ESTADISTICA!AI241</f>
        <v>APAGADO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str">
        <f>ESTADISTICA!AH242</f>
        <v>APAGADO</v>
      </c>
      <c r="AI244" t="str">
        <f>ESTADISTICA!AI242</f>
        <v>APAGADO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 t="str">
        <f>ESTADISTICA!AI250</f>
        <v>APAGADO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 t="str">
        <f>ESTADISTICA!AI251</f>
        <v>APAGADO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 t="str">
        <f>ESTADISTICA!AG252</f>
        <v>APAGADO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 t="str">
        <f>ESTADISTICA!AI260</f>
        <v>APAGADO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 t="str">
        <f>ESTADISTICA!AG275</f>
        <v>APAGADO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 t="str">
        <f>ESTADISTICA!AG276</f>
        <v>APAGADO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 t="str">
        <f>ESTADISTICA!AG277</f>
        <v>APAGADO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 t="str">
        <f>ESTADISTICA!AG278</f>
        <v>APAGADO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 t="str">
        <f>ESTADISTICA!AI291</f>
        <v>APAGADO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 t="str">
        <f>ESTADISTICA!AG296</f>
        <v>APAGADO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 t="str">
        <f>ESTADISTICA!AG297</f>
        <v>APAGADO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 t="str">
        <f>ESTADISTICA!AG299</f>
        <v>APAGADO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 t="str">
        <f>ESTADISTICA!AI300</f>
        <v>APAGADO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 t="str">
        <f>ESTADISTICA!AI301</f>
        <v>APAGADO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 t="str">
        <f>ESTADISTICA!AI302</f>
        <v>APAGADO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 t="str">
        <f>ESTADISTICA!AI321</f>
        <v>APAGADO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 t="str">
        <f>ESTADISTICA!AG324</f>
        <v>APAGADO</v>
      </c>
      <c r="AH326" t="str">
        <f>ESTADISTICA!AH324</f>
        <v>APAGADO</v>
      </c>
      <c r="AI326" t="str">
        <f>ESTADISTICA!AI324</f>
        <v>APAGADO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 t="str">
        <f>ESTADISTICA!AI325</f>
        <v>APAGADO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 t="str">
        <f>ESTADISTICA!AI333</f>
        <v>APAGADO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 t="str">
        <f>ESTADISTICA!AI334</f>
        <v>APAGADO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 t="str">
        <f>ESTADISTICA!AI336</f>
        <v>APAGADO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 t="str">
        <f>ESTADISTICA!AI344</f>
        <v>APAGADO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 t="str">
        <f>ESTADISTICA!AI345</f>
        <v>APAGADO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 t="str">
        <f>ESTADISTICA!AI348</f>
        <v>APAGADO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 t="str">
        <f>ESTADISTICA!AI349</f>
        <v>APAGADO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 t="str">
        <f>ESTADISTICA!AI355</f>
        <v>APAGADO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 t="str">
        <f>ESTADISTICA!AI356</f>
        <v>APAGADO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 t="str">
        <f>ESTADISTICA!AG382</f>
        <v>APAGADO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 t="str">
        <f>ESTADISTICA!AG383</f>
        <v>APAGADO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 t="str">
        <f>ESTADISTICA!AG384</f>
        <v>APAGADO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 t="str">
        <f>ESTADISTICA!AG385</f>
        <v>APAGADO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33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H142" sqref="AH14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1399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9</v>
      </c>
      <c r="G2" s="26">
        <f>COUNTIFS(G4:G400, "=APAGADO",E4:E400,"=PTO A FO")</f>
        <v>6</v>
      </c>
      <c r="H2" s="26">
        <f>COUNTIFS(H4:H400, "=APAGADO",E4:E400,"=PTO A FO")</f>
        <v>5</v>
      </c>
      <c r="I2" s="26">
        <f>COUNTIFS(I4:I400, "=APAGADO",E4:E400,"=PTO A FO")</f>
        <v>5</v>
      </c>
      <c r="J2" s="26">
        <f>COUNTIFS(J4:J400, "=APAGADO",E4:E400,"=PTO A FO")</f>
        <v>5</v>
      </c>
      <c r="K2" s="26">
        <f>COUNTIFS(K4:K400, "=APAGADO",E4:E400,"=PTO A FO")</f>
        <v>0</v>
      </c>
      <c r="L2" s="26">
        <f>COUNTIFS(L4:L400, "=APAGADO",E4:E400,"=PTO A FO")</f>
        <v>11</v>
      </c>
      <c r="M2" s="26">
        <f>COUNTIFS(M4:M400, "=APAGADO",E4:E400,"=PTO A FO")</f>
        <v>8</v>
      </c>
      <c r="N2" s="26">
        <f>COUNTIFS(N4:N400, "=APAGADO",E4:E400,"=PTO A FO")</f>
        <v>5</v>
      </c>
      <c r="O2" s="26">
        <f>COUNTIFS(O4:O400, "=APAGADO",E4:E400,"=PTO A FO")</f>
        <v>5</v>
      </c>
      <c r="P2" s="26">
        <f>COUNTIFS(P4:P400, "=APAGADO",E4:E400,"=PTO A FO")</f>
        <v>5</v>
      </c>
      <c r="Q2" s="26">
        <f>COUNTIFS(Q4:Q400, "=APAGADO",E4:E400,"=PTO A FO")</f>
        <v>5</v>
      </c>
      <c r="R2" s="26">
        <f>COUNTIFS(R4:R400, "=APAGADO",E4:E400,"=PTO A FO")</f>
        <v>5</v>
      </c>
      <c r="S2" s="26">
        <f>COUNTIFS(S4:S400, "=APAGADO",E4:E400,"=PTO A FO")</f>
        <v>6</v>
      </c>
      <c r="T2" s="26">
        <f>COUNTIFS(T4:T400, "=APAGADO",E4:E400,"=PTO A FO")</f>
        <v>7</v>
      </c>
      <c r="U2" s="26">
        <f>COUNTIFS(U4:U400, "=APAGADO",E4:E400,"=PTO A FO")</f>
        <v>5</v>
      </c>
      <c r="V2" s="26">
        <f>COUNTIFS(V4:V400, "=APAGADO",E4:E400,"=PTO A FO")</f>
        <v>6</v>
      </c>
      <c r="W2" s="26">
        <f>COUNTIFS(W4:W400, "=APAGADO",E4:E400,"=PTO A FO")</f>
        <v>5</v>
      </c>
      <c r="X2" s="26">
        <f>COUNTIFS(X4:X400, "=APAGADO",E4:E400,"=PTO A FO")</f>
        <v>5</v>
      </c>
      <c r="Y2" s="26">
        <f>COUNTIFS(Y4:Y400, "=APAGADO",E4:E400,"=PTO A FO")</f>
        <v>3</v>
      </c>
      <c r="Z2" s="26">
        <f>COUNTIFS(Z4:Z400, "=APAGADO",E4:E400,"=PTO A FO")</f>
        <v>2</v>
      </c>
      <c r="AA2" s="26">
        <f>COUNTIFS(AA4:AA400, "=APAGADO",E4:E400,"=PTO A FO")</f>
        <v>2</v>
      </c>
      <c r="AB2" s="26">
        <f>COUNTIFS(AB4:AB400, "=APAGADO",E4:E400,"=PTO A FO")</f>
        <v>6</v>
      </c>
      <c r="AC2" s="26">
        <f>COUNTIFS(AC4:AC400, "=APAGADO",E4:E400,"=PTO A FO")</f>
        <v>6</v>
      </c>
      <c r="AD2" s="26">
        <f>COUNTIFS(AD4:AD400, "=APAGADO",E4:E400,"=PTO A FO")</f>
        <v>6</v>
      </c>
      <c r="AE2" s="26">
        <f>COUNTIFS(AE4:AE400, "=APAGADO",E4:E400,"=PTO A FO")</f>
        <v>6</v>
      </c>
      <c r="AF2" s="26">
        <f>COUNTIFS(AF4:AF400, "=APAGADO",E4:E400,"=PTO A FO")</f>
        <v>9</v>
      </c>
      <c r="AG2" s="26">
        <f>COUNTIFS(AG4:AG400, "=APAGADO",E4:E400,"=PTO A FO")</f>
        <v>8</v>
      </c>
      <c r="AH2" s="26">
        <f>COUNTIFS(AH4:AH400, "=APAGADO",E4:E400,"=PTO A FO")</f>
        <v>6</v>
      </c>
      <c r="AI2" s="26">
        <f>COUNTIFS(AI4:AI400, "=APAGADO",E4:E400,"=PTO A FO")</f>
        <v>13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str">
        <f>ESTADISTICA!AH12</f>
        <v>APAGADO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 t="str">
        <f>ESTADISTICA!AI18</f>
        <v>APAGADO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 t="str">
        <f>ESTADISTICA!AG26</f>
        <v>APAGADO</v>
      </c>
      <c r="AH28" t="str">
        <f>ESTADISTICA!AH26</f>
        <v>APAGADO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 t="str">
        <f>ESTADISTICA!AI31</f>
        <v>APAGADO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 t="str">
        <f>ESTADISTICA!AI35</f>
        <v>APAGADO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 t="str">
        <f>ESTADISTICA!AI39</f>
        <v>APAGADO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 t="str">
        <f>ESTADISTICA!AI47</f>
        <v>APAGADO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 t="str">
        <f>ESTADISTICA!AG50</f>
        <v>APAGADO</v>
      </c>
      <c r="AH52" t="str">
        <f>ESTADISTICA!AH50</f>
        <v>APAGADO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 t="str">
        <f>ESTADISTICA!AI51</f>
        <v>APAGADO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 t="str">
        <f>ESTADISTICA!AI55</f>
        <v>APAGADO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 t="str">
        <f>ESTADISTICA!AI59</f>
        <v>APAGADO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 t="str">
        <f>ESTADISTICA!AI60</f>
        <v>APAGADO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 t="str">
        <f>ESTADISTICA!AI62</f>
        <v>APAGADO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str">
        <f>ESTADISTICA!AH64</f>
        <v>APAGADO</v>
      </c>
      <c r="AI66" t="str">
        <f>ESTADISTICA!AI64</f>
        <v>APAGADO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 t="str">
        <f>ESTADISTICA!AI88</f>
        <v>APAGADO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str">
        <f>ESTADISTICA!AH90</f>
        <v>APAGADO</v>
      </c>
      <c r="AI92" t="str">
        <f>ESTADISTICA!AI90</f>
        <v>APAGADO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 t="str">
        <f>ESTADISTICA!AI99</f>
        <v>APAGADO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 t="str">
        <f>ESTADISTICA!AI100</f>
        <v>APAGADO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str">
        <f>ESTADISTICA!AH102</f>
        <v>APAGADO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str">
        <f>ESTADISTICA!AH103</f>
        <v>APAGADO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str">
        <f>ESTADISTICA!AH104</f>
        <v>APAGADO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str">
        <f>ESTADISTICA!AH105</f>
        <v>APAGADO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 t="str">
        <f>ESTADISTICA!AI106</f>
        <v>APAGADO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 t="str">
        <f>ESTADISTICA!AI109</f>
        <v>APAGADO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str">
        <f>ESTADISTICA!AH118</f>
        <v>APAGADO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 t="str">
        <f>ESTADISTICA!AG119</f>
        <v>APAGADO</v>
      </c>
      <c r="AH121" t="str">
        <f>ESTADISTICA!AH119</f>
        <v>APAGADO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 t="str">
        <f>ESTADISTICA!AG125</f>
        <v>APAGADO</v>
      </c>
      <c r="AH127" t="str">
        <f>ESTADISTICA!AH125</f>
        <v>APAGADO</v>
      </c>
      <c r="AI127" t="str">
        <f>ESTADISTICA!AI125</f>
        <v>APAGADO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 t="str">
        <f>ESTADISTICA!AI126</f>
        <v>APAGADO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t="str">
        <f>ESTADISTICA!AH131</f>
        <v>APAGADO</v>
      </c>
      <c r="AI133" t="str">
        <f>ESTADISTICA!AI131</f>
        <v>APAGADO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str">
        <f>ESTADISTICA!AH136</f>
        <v>APAGADO</v>
      </c>
      <c r="AI138" t="str">
        <f>ESTADISTICA!AI136</f>
        <v>APAGADO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 t="str">
        <f>ESTADISTICA!AG138</f>
        <v>APAGADO</v>
      </c>
      <c r="AH140" t="str">
        <f>ESTADISTICA!AH138</f>
        <v>APAGADO</v>
      </c>
      <c r="AI140" t="str">
        <f>ESTADISTICA!AI138</f>
        <v>APAGADO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 t="str">
        <f>ESTADISTICA!AH139</f>
        <v>APAGADO</v>
      </c>
      <c r="AI141" t="str">
        <f>ESTADISTICA!AI139</f>
        <v>APAGADO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 t="str">
        <f>ESTADISTICA!AH140</f>
        <v>APAGADO</v>
      </c>
      <c r="AI142" t="str">
        <f>ESTADISTICA!AI140</f>
        <v>APAGADO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str">
        <f>ESTADISTICA!AH153</f>
        <v>APAGADO</v>
      </c>
      <c r="AI155" t="str">
        <f>ESTADISTICA!AI153</f>
        <v>APAGADO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str">
        <f>ESTADISTICA!AH154</f>
        <v>APAGADO</v>
      </c>
      <c r="AI156" t="str">
        <f>ESTADISTICA!AI154</f>
        <v>APAGADO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str">
        <f>ESTADISTICA!AH155</f>
        <v>APAGADO</v>
      </c>
      <c r="AI157" t="str">
        <f>ESTADISTICA!AI155</f>
        <v>APAGADO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 t="str">
        <f>ESTADISTICA!AI156</f>
        <v>APAGADO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str">
        <f>ESTADISTICA!AH160</f>
        <v>APAGADO</v>
      </c>
      <c r="AI162" t="str">
        <f>ESTADISTICA!AI160</f>
        <v>APAGADO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 t="str">
        <f>ESTADISTICA!AI162</f>
        <v>APAGADO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 t="str">
        <f>ESTADISTICA!AI163</f>
        <v>APAGADO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 t="str">
        <f>ESTADISTICA!AI171</f>
        <v>APAGADO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 t="str">
        <f>ESTADISTICA!AI172</f>
        <v>APAGADO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 t="str">
        <f>ESTADISTICA!AI176</f>
        <v>APAGADO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 t="str">
        <f>ESTADISTICA!AI179</f>
        <v>APAGADO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 t="str">
        <f>ESTADISTICA!AI180</f>
        <v>APAGADO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 t="str">
        <f>ESTADISTICA!AI183</f>
        <v>APAGADO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 t="str">
        <f>ESTADISTICA!AI184</f>
        <v>APAGADO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 t="str">
        <f>ESTADISTICA!AI185</f>
        <v>APAGADO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str">
        <f>ESTADISTICA!AH196</f>
        <v>APAGADO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str">
        <f>ESTADISTICA!AH197</f>
        <v>APAGADO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str">
        <f>ESTADISTICA!AH198</f>
        <v>APAGADO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str">
        <f>ESTADISTICA!AH199</f>
        <v>APAGADO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 t="str">
        <f>ESTADISTICA!AI207</f>
        <v>APAGADO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 t="str">
        <f>ESTADISTICA!AI210</f>
        <v>APAGADO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 t="str">
        <f>ESTADISTICA!AH212</f>
        <v>APAGADO</v>
      </c>
      <c r="AI214" t="str">
        <f>ESTADISTICA!AI212</f>
        <v>APAGADO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 t="str">
        <f>ESTADISTICA!AI214</f>
        <v>APAGADO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str">
        <f>ESTADISTICA!AH215</f>
        <v>APAGADO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 t="str">
        <f>ESTADISTICA!AG222</f>
        <v>APAGADO</v>
      </c>
      <c r="AH224" t="str">
        <f>ESTADISTICA!AH222</f>
        <v>APAGADO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 t="str">
        <f>ESTADISTICA!AI229</f>
        <v>APAGADO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 t="str">
        <f>ESTADISTICA!AI238</f>
        <v>APAGADO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str">
        <f>ESTADISTICA!AH241</f>
        <v>APAGADO</v>
      </c>
      <c r="AI243" t="str">
        <f>ESTADISTICA!AI241</f>
        <v>APAGADO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str">
        <f>ESTADISTICA!AH242</f>
        <v>APAGADO</v>
      </c>
      <c r="AI244" t="str">
        <f>ESTADISTICA!AI242</f>
        <v>APAGADO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 t="str">
        <f>ESTADISTICA!AI246</f>
        <v>APAGADO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 t="str">
        <f>ESTADISTICA!AI250</f>
        <v>APAGADO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 t="str">
        <f>ESTADISTICA!AI251</f>
        <v>APAGADO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 t="str">
        <f>ESTADISTICA!AG252</f>
        <v>APAGADO</v>
      </c>
      <c r="AH254" t="str">
        <f>ESTADISTICA!AH252</f>
        <v>APAGADO</v>
      </c>
      <c r="AI254" t="str">
        <f>ESTADISTICA!AI252</f>
        <v>APAGADO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 t="str">
        <f>ESTADISTICA!AI260</f>
        <v>APAGADO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 t="str">
        <f>ESTADISTICA!AI268</f>
        <v>APAGADO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 t="str">
        <f>ESTADISTICA!AI269</f>
        <v>APAGADO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 t="str">
        <f>ESTADISTICA!AI273</f>
        <v>APAGADO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 t="str">
        <f>ESTADISTICA!AG275</f>
        <v>APAGADO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 t="str">
        <f>ESTADISTICA!AG276</f>
        <v>APAGADO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 t="str">
        <f>ESTADISTICA!AG277</f>
        <v>APAGADO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 t="str">
        <f>ESTADISTICA!AG278</f>
        <v>APAGADO</v>
      </c>
      <c r="AH280" t="str">
        <f>ESTADISTICA!AH278</f>
        <v>APAGADO</v>
      </c>
      <c r="AI280" t="str">
        <f>ESTADISTICA!AI278</f>
        <v>APAGADO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 t="str">
        <f>ESTADISTICA!AI291</f>
        <v>APAGADO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  <c r="AH297" t="str">
        <f>ESTADISTICA!AH295</f>
        <v>APAGADO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 t="str">
        <f>ESTADISTICA!AG296</f>
        <v>APAGADO</v>
      </c>
      <c r="AH298" t="str">
        <f>ESTADISTICA!AH296</f>
        <v>APAGADO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 t="str">
        <f>ESTADISTICA!AG297</f>
        <v>APAGADO</v>
      </c>
      <c r="AH299">
        <f>ESTADISTICA!AH297</f>
        <v>0</v>
      </c>
      <c r="AI299" t="str">
        <f>ESTADISTICA!AI297</f>
        <v>APAGADO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 t="str">
        <f>ESTADISTICA!AG299</f>
        <v>APAGADO</v>
      </c>
      <c r="AH301" t="str">
        <f>ESTADISTICA!AH299</f>
        <v>APAGADO</v>
      </c>
      <c r="AI301" t="str">
        <f>ESTADISTICA!AI299</f>
        <v>APAGADO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 t="str">
        <f>ESTADISTICA!AI300</f>
        <v>APAGADO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 t="str">
        <f>ESTADISTICA!AI301</f>
        <v>APAGADO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 t="str">
        <f>ESTADISTICA!AI302</f>
        <v>APAGADO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 t="str">
        <f>ESTADISTICA!AI311</f>
        <v>APAGADO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 t="str">
        <f>ESTADISTICA!AI321</f>
        <v>APAGADO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 t="str">
        <f>ESTADISTICA!AG324</f>
        <v>APAGADO</v>
      </c>
      <c r="AH326" t="str">
        <f>ESTADISTICA!AH324</f>
        <v>APAGADO</v>
      </c>
      <c r="AI326" t="str">
        <f>ESTADISTICA!AI324</f>
        <v>APAGADO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 t="str">
        <f>ESTADISTICA!AI325</f>
        <v>APAGADO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 t="str">
        <f>ESTADISTICA!AI333</f>
        <v>APAGADO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 t="str">
        <f>ESTADISTICA!AI334</f>
        <v>APAGADO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 t="str">
        <f>ESTADISTICA!AI336</f>
        <v>APAGADO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 t="str">
        <f>ESTADISTICA!AI340</f>
        <v>APAGADO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 t="str">
        <f>ESTADISTICA!AI344</f>
        <v>APAGADO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 t="str">
        <f>ESTADISTICA!AI345</f>
        <v>APAGADO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 t="str">
        <f>ESTADISTICA!AI348</f>
        <v>APAGADO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 t="str">
        <f>ESTADISTICA!AI349</f>
        <v>APAGADO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 t="str">
        <f>ESTADISTICA!AI355</f>
        <v>APAGADO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 t="str">
        <f>ESTADISTICA!AI356</f>
        <v>APAGADO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 t="str">
        <f>ESTADISTICA!AI382</f>
        <v>APAGADO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 t="str">
        <f>ESTADISTICA!AI383</f>
        <v>APAGADO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 t="str">
        <f>ESTADISTICA!AI384</f>
        <v>APAGADO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 t="str">
        <f>ESTADISTICA!AI385</f>
        <v>APAGADO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 t="str">
        <f>ESTADISTICA!AI388</f>
        <v>APAGADO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 t="str">
        <f>ESTADISTICA!AI391</f>
        <v>APAGADO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33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1191</v>
      </c>
      <c r="D1" s="50">
        <f>COUNTIFS(E4:E400,"=radio")</f>
        <v>94</v>
      </c>
    </row>
    <row r="2" spans="1:35" ht="21" x14ac:dyDescent="0.35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6</v>
      </c>
      <c r="Y2" s="26">
        <f>COUNTIFS(Y4:Y367, "=APAGADO",E4:E367,"=radio")</f>
        <v>4</v>
      </c>
      <c r="Z2" s="26">
        <f>COUNTIFS(Z4:Z367, "=APAGADO",E4:E367,"=radio")</f>
        <v>5</v>
      </c>
      <c r="AA2" s="26">
        <f>COUNTIFS(AA4:AA367, "=APAGADO",E4:E367,"=radio")</f>
        <v>7</v>
      </c>
      <c r="AB2" s="26">
        <f>COUNTIFS(AB4:AB367, "=APAGADO",E4:E367,"=radio")</f>
        <v>5</v>
      </c>
      <c r="AC2" s="26">
        <f>COUNTIFS(AC4:AC367, "=APAGADO",E4:E367,"=radio")</f>
        <v>7</v>
      </c>
      <c r="AD2" s="26">
        <f>COUNTIFS(AD4:AD367, "=APAGADO",E4:E367,"=radio")</f>
        <v>5</v>
      </c>
      <c r="AE2" s="26">
        <f>COUNTIFS(AE4:AE367, "=APAGADO",E4:E367,"=radio")</f>
        <v>5</v>
      </c>
      <c r="AF2" s="26">
        <f>COUNTIFS(AF4:AF367, "=APAGADO",E4:E367,"=radio")</f>
        <v>8</v>
      </c>
      <c r="AG2" s="26">
        <f>COUNTIFS(AG4:AG367, "=APAGADO",E4:E367,"=radio")</f>
        <v>8</v>
      </c>
      <c r="AH2" s="26">
        <f>COUNTIFS(AH4:AH367, "=APAGADO",E4:E367,"=radio")</f>
        <v>7</v>
      </c>
      <c r="AI2" s="26">
        <f>COUNTIFS(AI4:AI367, "=APAGADO",E4:E367,"=radio")</f>
        <v>25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str">
        <f>ESTADISTICA!AH12</f>
        <v>APAGADO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 t="str">
        <f>ESTADISTICA!AI18</f>
        <v>APAGADO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 t="str">
        <f>ESTADISTICA!AG26</f>
        <v>APAGADO</v>
      </c>
      <c r="AH28" t="str">
        <f>ESTADISTICA!AH26</f>
        <v>APAGADO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 t="str">
        <f>ESTADISTICA!AI31</f>
        <v>APAGADO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 t="str">
        <f>ESTADISTICA!AI35</f>
        <v>APAGADO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 t="str">
        <f>ESTADISTICA!AI39</f>
        <v>APAGADO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 t="str">
        <f>ESTADISTICA!AI47</f>
        <v>APAGADO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 t="str">
        <f>ESTADISTICA!AG50</f>
        <v>APAGADO</v>
      </c>
      <c r="AH52" t="str">
        <f>ESTADISTICA!AH50</f>
        <v>APAGADO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 t="str">
        <f>ESTADISTICA!AI51</f>
        <v>APAGADO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 t="str">
        <f>ESTADISTICA!AI55</f>
        <v>APAGADO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 t="str">
        <f>ESTADISTICA!AI59</f>
        <v>APAGADO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 t="str">
        <f>ESTADISTICA!AI60</f>
        <v>APAGADO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 t="str">
        <f>ESTADISTICA!AI62</f>
        <v>APAGADO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str">
        <f>ESTADISTICA!AH64</f>
        <v>APAGADO</v>
      </c>
      <c r="AI66" t="str">
        <f>ESTADISTICA!AI64</f>
        <v>APAGADO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 t="str">
        <f>ESTADISTICA!AI88</f>
        <v>APAGADO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str">
        <f>ESTADISTICA!AH90</f>
        <v>APAGADO</v>
      </c>
      <c r="AI92" t="str">
        <f>ESTADISTICA!AI90</f>
        <v>APAGADO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 t="str">
        <f>ESTADISTICA!AI99</f>
        <v>APAGADO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 t="str">
        <f>ESTADISTICA!AI100</f>
        <v>APAGADO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str">
        <f>ESTADISTICA!AH102</f>
        <v>APAGADO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str">
        <f>ESTADISTICA!AH103</f>
        <v>APAGADO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str">
        <f>ESTADISTICA!AH104</f>
        <v>APAGADO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str">
        <f>ESTADISTICA!AH105</f>
        <v>APAGADO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 t="str">
        <f>ESTADISTICA!AI106</f>
        <v>APAGADO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 t="str">
        <f>ESTADISTICA!AI109</f>
        <v>APAGADO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str">
        <f>ESTADISTICA!AH118</f>
        <v>APAGADO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 t="str">
        <f>ESTADISTICA!AG119</f>
        <v>APAGADO</v>
      </c>
      <c r="AH121" t="str">
        <f>ESTADISTICA!AH119</f>
        <v>APAGADO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 t="str">
        <f>ESTADISTICA!AG125</f>
        <v>APAGADO</v>
      </c>
      <c r="AH127" t="str">
        <f>ESTADISTICA!AH125</f>
        <v>APAGADO</v>
      </c>
      <c r="AI127" t="str">
        <f>ESTADISTICA!AI125</f>
        <v>APAGADO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 t="str">
        <f>ESTADISTICA!AI126</f>
        <v>APAGADO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t="str">
        <f>ESTADISTICA!AH131</f>
        <v>APAGADO</v>
      </c>
      <c r="AI133" t="str">
        <f>ESTADISTICA!AI131</f>
        <v>APAGADO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str">
        <f>ESTADISTICA!AH136</f>
        <v>APAGADO</v>
      </c>
      <c r="AI138" t="str">
        <f>ESTADISTICA!AI136</f>
        <v>APAGADO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 t="str">
        <f>ESTADISTICA!AG138</f>
        <v>APAGADO</v>
      </c>
      <c r="AH140" t="str">
        <f>ESTADISTICA!AH138</f>
        <v>APAGADO</v>
      </c>
      <c r="AI140" t="str">
        <f>ESTADISTICA!AI138</f>
        <v>APAGADO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 t="str">
        <f>ESTADISTICA!AH139</f>
        <v>APAGADO</v>
      </c>
      <c r="AI141" t="str">
        <f>ESTADISTICA!AI139</f>
        <v>APAGADO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 t="str">
        <f>ESTADISTICA!AH140</f>
        <v>APAGADO</v>
      </c>
      <c r="AI142" t="str">
        <f>ESTADISTICA!AI140</f>
        <v>APAGADO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str">
        <f>ESTADISTICA!AH153</f>
        <v>APAGADO</v>
      </c>
      <c r="AI155" t="str">
        <f>ESTADISTICA!AI153</f>
        <v>APAGADO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str">
        <f>ESTADISTICA!AH154</f>
        <v>APAGADO</v>
      </c>
      <c r="AI156" t="str">
        <f>ESTADISTICA!AI154</f>
        <v>APAGADO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str">
        <f>ESTADISTICA!AH155</f>
        <v>APAGADO</v>
      </c>
      <c r="AI157" t="str">
        <f>ESTADISTICA!AI155</f>
        <v>APAGADO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 t="str">
        <f>ESTADISTICA!AI156</f>
        <v>APAGADO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str">
        <f>ESTADISTICA!AH160</f>
        <v>APAGADO</v>
      </c>
      <c r="AI162" t="str">
        <f>ESTADISTICA!AI160</f>
        <v>APAGADO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 t="str">
        <f>ESTADISTICA!AI162</f>
        <v>APAGADO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 t="str">
        <f>ESTADISTICA!AI163</f>
        <v>APAGADO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 t="str">
        <f>ESTADISTICA!AI171</f>
        <v>APAGADO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 t="str">
        <f>ESTADISTICA!AI172</f>
        <v>APAGADO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 t="str">
        <f>ESTADISTICA!AI176</f>
        <v>APAGADO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 t="str">
        <f>ESTADISTICA!AI179</f>
        <v>APAGADO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 t="str">
        <f>ESTADISTICA!AI180</f>
        <v>APAGADO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 t="str">
        <f>ESTADISTICA!AI183</f>
        <v>APAGADO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 t="str">
        <f>ESTADISTICA!AI184</f>
        <v>APAGADO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 t="str">
        <f>ESTADISTICA!AI185</f>
        <v>APAGADO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str">
        <f>ESTADISTICA!AH196</f>
        <v>APAGADO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str">
        <f>ESTADISTICA!AH197</f>
        <v>APAGADO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str">
        <f>ESTADISTICA!AH198</f>
        <v>APAGADO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str">
        <f>ESTADISTICA!AH199</f>
        <v>APAGADO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 t="str">
        <f>ESTADISTICA!AI207</f>
        <v>APAGADO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 t="str">
        <f>ESTADISTICA!AI210</f>
        <v>APAGADO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 t="str">
        <f>ESTADISTICA!AH212</f>
        <v>APAGADO</v>
      </c>
      <c r="AI214" t="str">
        <f>ESTADISTICA!AI212</f>
        <v>APAGADO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 t="str">
        <f>ESTADISTICA!AI214</f>
        <v>APAGADO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str">
        <f>ESTADISTICA!AH215</f>
        <v>APAGADO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 t="str">
        <f>ESTADISTICA!AG222</f>
        <v>APAGADO</v>
      </c>
      <c r="AH224" t="str">
        <f>ESTADISTICA!AH222</f>
        <v>APAGADO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 t="str">
        <f>ESTADISTICA!AI229</f>
        <v>APAGADO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 t="str">
        <f>ESTADISTICA!AI238</f>
        <v>APAGADO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str">
        <f>ESTADISTICA!AH241</f>
        <v>APAGADO</v>
      </c>
      <c r="AI243" t="str">
        <f>ESTADISTICA!AI241</f>
        <v>APAGADO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str">
        <f>ESTADISTICA!AH242</f>
        <v>APAGADO</v>
      </c>
      <c r="AI244" t="str">
        <f>ESTADISTICA!AI242</f>
        <v>APAGADO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 t="str">
        <f>ESTADISTICA!AI246</f>
        <v>APAGADO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 t="str">
        <f>ESTADISTICA!AI250</f>
        <v>APAGADO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 t="str">
        <f>ESTADISTICA!AI251</f>
        <v>APAGADO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 t="str">
        <f>ESTADISTICA!AG252</f>
        <v>APAGADO</v>
      </c>
      <c r="AH254" t="str">
        <f>ESTADISTICA!AH252</f>
        <v>APAGADO</v>
      </c>
      <c r="AI254" t="str">
        <f>ESTADISTICA!AI252</f>
        <v>APAGADO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 t="str">
        <f>ESTADISTICA!AI260</f>
        <v>APAGADO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 t="str">
        <f>ESTADISTICA!AI268</f>
        <v>APAGADO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 t="str">
        <f>ESTADISTICA!AI269</f>
        <v>APAGADO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 t="str">
        <f>ESTADISTICA!AI273</f>
        <v>APAGADO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 t="str">
        <f>ESTADISTICA!AG275</f>
        <v>APAGADO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 t="str">
        <f>ESTADISTICA!AG276</f>
        <v>APAGADO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 t="str">
        <f>ESTADISTICA!AG277</f>
        <v>APAGADO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 t="str">
        <f>ESTADISTICA!AG278</f>
        <v>APAGADO</v>
      </c>
      <c r="AH280" t="str">
        <f>ESTADISTICA!AH278</f>
        <v>APAGADO</v>
      </c>
      <c r="AI280" t="str">
        <f>ESTADISTICA!AI278</f>
        <v>APAGADO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 t="str">
        <f>ESTADISTICA!AI291</f>
        <v>APAGADO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  <c r="AH297" t="str">
        <f>ESTADISTICA!AH295</f>
        <v>APAGADO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 t="str">
        <f>ESTADISTICA!AG296</f>
        <v>APAGADO</v>
      </c>
      <c r="AH298" t="str">
        <f>ESTADISTICA!AH296</f>
        <v>APAGADO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 t="str">
        <f>ESTADISTICA!AG297</f>
        <v>APAGADO</v>
      </c>
      <c r="AH299">
        <f>ESTADISTICA!AH297</f>
        <v>0</v>
      </c>
      <c r="AI299" t="str">
        <f>ESTADISTICA!AI297</f>
        <v>APAGADO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 t="str">
        <f>ESTADISTICA!AG299</f>
        <v>APAGADO</v>
      </c>
      <c r="AH301" t="str">
        <f>ESTADISTICA!AH299</f>
        <v>APAGADO</v>
      </c>
      <c r="AI301" t="str">
        <f>ESTADISTICA!AI299</f>
        <v>APAGADO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 t="str">
        <f>ESTADISTICA!AI300</f>
        <v>APAGADO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 t="str">
        <f>ESTADISTICA!AI301</f>
        <v>APAGADO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 t="str">
        <f>ESTADISTICA!AI302</f>
        <v>APAGADO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 t="str">
        <f>ESTADISTICA!AI311</f>
        <v>APAGADO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 t="str">
        <f>ESTADISTICA!AI321</f>
        <v>APAGADO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 t="str">
        <f>ESTADISTICA!AG324</f>
        <v>APAGADO</v>
      </c>
      <c r="AH326" t="str">
        <f>ESTADISTICA!AH324</f>
        <v>APAGADO</v>
      </c>
      <c r="AI326" t="str">
        <f>ESTADISTICA!AI324</f>
        <v>APAGADO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 t="str">
        <f>ESTADISTICA!AI325</f>
        <v>APAGADO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 t="str">
        <f>ESTADISTICA!AI333</f>
        <v>APAGADO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 t="str">
        <f>ESTADISTICA!AI334</f>
        <v>APAGADO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 t="str">
        <f>ESTADISTICA!AI336</f>
        <v>APAGADO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 t="str">
        <f>ESTADISTICA!AI340</f>
        <v>APAGADO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 t="str">
        <f>ESTADISTICA!AI344</f>
        <v>APAGADO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 t="str">
        <f>ESTADISTICA!AI345</f>
        <v>APAGADO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 t="str">
        <f>ESTADISTICA!AI348</f>
        <v>APAGADO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 t="str">
        <f>ESTADISTICA!AI349</f>
        <v>APAGADO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 t="str">
        <f>ESTADISTICA!AI355</f>
        <v>APAGADO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 t="str">
        <f>ESTADISTICA!AI356</f>
        <v>APAGADO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 t="str">
        <f>ESTADISTICA!AI382</f>
        <v>APAGADO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 t="str">
        <f>ESTADISTICA!AI383</f>
        <v>APAGADO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 t="str">
        <f>ESTADISTICA!AI384</f>
        <v>APAGADO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 t="str">
        <f>ESTADISTICA!AI385</f>
        <v>APAGADO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 t="str">
        <f>ESTADISTICA!AI388</f>
        <v>APAGADO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 t="str">
        <f>ESTADISTICA!AI391</f>
        <v>APAGADO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4" sqref="R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10"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25">
      <c r="A2" s="25">
        <f>'APAGADOS RADIO'!F3</f>
        <v>44743</v>
      </c>
      <c r="B2">
        <f>'APAGADOS RADIO'!F2+D2</f>
        <v>15</v>
      </c>
      <c r="C2">
        <f>'APAGADOS FIBRA'!F2</f>
        <v>20</v>
      </c>
      <c r="D2">
        <f>'APAGADOS ANTENA'!F2</f>
        <v>9</v>
      </c>
      <c r="E2">
        <f t="shared" ref="E2" si="0">B2+C2</f>
        <v>35</v>
      </c>
      <c r="F2">
        <f>'RESUMEN TOTAL'!B1</f>
        <v>392</v>
      </c>
      <c r="G2" s="55">
        <f t="shared" ref="G2:G3" si="1">E2/F2</f>
        <v>8.9285714285714288E-2</v>
      </c>
    </row>
    <row r="3" spans="1:7" x14ac:dyDescent="0.25">
      <c r="A3" s="25">
        <f>'APAGADOS RADIO'!G3</f>
        <v>44744</v>
      </c>
      <c r="B3" s="51">
        <f>'APAGADOS RADIO'!G2+D3</f>
        <v>14</v>
      </c>
      <c r="C3" s="51">
        <f>'APAGADOS FIBRA'!G2</f>
        <v>19</v>
      </c>
      <c r="D3" s="51">
        <f>'APAGADOS ANTENA'!G2</f>
        <v>6</v>
      </c>
      <c r="E3" s="51">
        <f t="shared" ref="E3" si="2">B3+C3</f>
        <v>33</v>
      </c>
      <c r="F3" s="51">
        <f>'RESUMEN TOTAL'!B1</f>
        <v>392</v>
      </c>
      <c r="G3" s="55">
        <f t="shared" si="1"/>
        <v>8.4183673469387751E-2</v>
      </c>
    </row>
    <row r="4" spans="1:7" x14ac:dyDescent="0.25">
      <c r="A4" s="25">
        <f>'APAGADOS RADIO'!H3</f>
        <v>44745</v>
      </c>
      <c r="B4" s="51">
        <f>'APAGADOS RADIO'!H2+D4</f>
        <v>16</v>
      </c>
      <c r="C4" s="51">
        <f>'APAGADOS FIBRA'!H2</f>
        <v>20</v>
      </c>
      <c r="D4" s="51">
        <f>'APAGADOS ANTENA'!H2</f>
        <v>5</v>
      </c>
      <c r="E4" s="51">
        <f t="shared" ref="E4" si="3">B4+C4</f>
        <v>36</v>
      </c>
      <c r="F4" s="51">
        <f>'RESUMEN TOTAL'!B1</f>
        <v>392</v>
      </c>
      <c r="G4" s="55">
        <f t="shared" ref="G4" si="4">E4/F4</f>
        <v>9.1836734693877556E-2</v>
      </c>
    </row>
    <row r="5" spans="1:7" x14ac:dyDescent="0.25">
      <c r="A5" s="25">
        <f>'APAGADOS RADIO'!I3</f>
        <v>44746</v>
      </c>
      <c r="B5" s="51">
        <f>'APAGADOS RADIO'!I2+D5</f>
        <v>19</v>
      </c>
      <c r="C5" s="51">
        <f>'APAGADOS FIBRA'!I2</f>
        <v>21</v>
      </c>
      <c r="D5" s="51">
        <f>'APAGADOS ANTENA'!I2</f>
        <v>5</v>
      </c>
      <c r="E5" s="51">
        <f t="shared" ref="E5:E6" si="5">B5+C5</f>
        <v>40</v>
      </c>
      <c r="F5" s="51">
        <f>'RESUMEN TOTAL'!B1</f>
        <v>392</v>
      </c>
      <c r="G5" s="55">
        <f t="shared" ref="G5:G7" si="6">E5/F5</f>
        <v>0.10204081632653061</v>
      </c>
    </row>
    <row r="6" spans="1:7" x14ac:dyDescent="0.25">
      <c r="A6" s="25">
        <f>'APAGADOS RADIO'!J3</f>
        <v>44747</v>
      </c>
      <c r="B6" s="51">
        <f>'APAGADOS RADIO'!J2+D6</f>
        <v>14</v>
      </c>
      <c r="C6" s="51">
        <f>'APAGADOS FIBRA'!J2</f>
        <v>18</v>
      </c>
      <c r="D6" s="51">
        <f>'APAGADOS ANTENA'!J2</f>
        <v>5</v>
      </c>
      <c r="E6" s="51">
        <f t="shared" si="5"/>
        <v>32</v>
      </c>
      <c r="F6" s="51">
        <f>'RESUMEN TOTAL'!B1</f>
        <v>392</v>
      </c>
      <c r="G6" s="55">
        <f t="shared" si="6"/>
        <v>8.1632653061224483E-2</v>
      </c>
    </row>
    <row r="7" spans="1:7" x14ac:dyDescent="0.25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44749</v>
      </c>
      <c r="B8" s="51">
        <f>'APAGADOS RADIO'!L2+D8</f>
        <v>26</v>
      </c>
      <c r="C8" s="51">
        <f>'APAGADOS FIBRA'!L2</f>
        <v>31</v>
      </c>
      <c r="D8" s="51">
        <f>'APAGADOS ANTENA'!L2</f>
        <v>11</v>
      </c>
      <c r="E8" s="51">
        <f t="shared" ref="E8" si="7">B8+C8</f>
        <v>57</v>
      </c>
      <c r="F8" s="51">
        <f>'RESUMEN TOTAL'!B1</f>
        <v>392</v>
      </c>
      <c r="G8" s="55">
        <f t="shared" ref="G8" si="8">E8/F8</f>
        <v>0.14540816326530612</v>
      </c>
    </row>
    <row r="9" spans="1:7" x14ac:dyDescent="0.25">
      <c r="A9" s="25">
        <f>'APAGADOS RADIO'!M3</f>
        <v>44750</v>
      </c>
      <c r="B9" s="51">
        <f>'APAGADOS RADIO'!M2+D9</f>
        <v>18</v>
      </c>
      <c r="C9" s="51">
        <f>'APAGADOS FIBRA'!M2</f>
        <v>30</v>
      </c>
      <c r="D9" s="51">
        <f>'APAGADOS ANTENA'!M2</f>
        <v>8</v>
      </c>
      <c r="E9" s="51">
        <f t="shared" ref="E9" si="9">B9+C9</f>
        <v>48</v>
      </c>
      <c r="F9" s="51">
        <f>'RESUMEN TOTAL'!B1</f>
        <v>392</v>
      </c>
      <c r="G9" s="55">
        <f t="shared" ref="G9" si="10">E9/F9</f>
        <v>0.12244897959183673</v>
      </c>
    </row>
    <row r="10" spans="1:7" x14ac:dyDescent="0.25">
      <c r="A10" s="25">
        <f>'APAGADOS RADIO'!N3</f>
        <v>44751</v>
      </c>
      <c r="B10" s="51">
        <f>'APAGADOS RADIO'!N2+D10</f>
        <v>12</v>
      </c>
      <c r="C10" s="51">
        <f>'APAGADOS FIBRA'!N2</f>
        <v>22</v>
      </c>
      <c r="D10" s="51">
        <f>'APAGADOS ANTENA'!N2</f>
        <v>5</v>
      </c>
      <c r="E10" s="51">
        <f t="shared" ref="E10" si="11">B10+C10</f>
        <v>34</v>
      </c>
      <c r="F10" s="51">
        <f>'RESUMEN TOTAL'!B1</f>
        <v>392</v>
      </c>
      <c r="G10" s="55">
        <f t="shared" ref="G10" si="12">E10/F10</f>
        <v>8.673469387755102E-2</v>
      </c>
    </row>
    <row r="11" spans="1:7" x14ac:dyDescent="0.25">
      <c r="A11" s="25">
        <f>'APAGADOS RADIO'!O3</f>
        <v>44752</v>
      </c>
      <c r="B11" s="51">
        <f>'APAGADOS RADIO'!O2+D11</f>
        <v>10</v>
      </c>
      <c r="C11" s="51">
        <f>'APAGADOS FIBRA'!O2</f>
        <v>19</v>
      </c>
      <c r="D11" s="51">
        <f>'APAGADOS ANTENA'!O2</f>
        <v>5</v>
      </c>
      <c r="E11" s="51">
        <f t="shared" ref="E11" si="13">B11+C11</f>
        <v>29</v>
      </c>
      <c r="F11" s="51">
        <f>'RESUMEN TOTAL'!B1</f>
        <v>392</v>
      </c>
      <c r="G11" s="55">
        <f t="shared" ref="G11" si="14">E11/F11</f>
        <v>7.3979591836734693E-2</v>
      </c>
    </row>
    <row r="12" spans="1:7" x14ac:dyDescent="0.25">
      <c r="A12" s="25">
        <f>'APAGADOS RADIO'!P3</f>
        <v>44753</v>
      </c>
      <c r="B12" s="51">
        <f>'APAGADOS RADIO'!P2+D12</f>
        <v>10</v>
      </c>
      <c r="C12" s="51">
        <f>'APAGADOS FIBRA'!P2</f>
        <v>19</v>
      </c>
      <c r="D12" s="51">
        <f>'APAGADOS ANTENA'!P2</f>
        <v>5</v>
      </c>
      <c r="E12" s="51">
        <f t="shared" ref="E12" si="15">B12+C12</f>
        <v>29</v>
      </c>
      <c r="F12" s="51">
        <f>'RESUMEN TOTAL'!B1</f>
        <v>392</v>
      </c>
      <c r="G12" s="55">
        <f t="shared" ref="G12" si="16">E12/F12</f>
        <v>7.3979591836734693E-2</v>
      </c>
    </row>
    <row r="13" spans="1:7" x14ac:dyDescent="0.25">
      <c r="A13" s="25">
        <f>'APAGADOS RADIO'!Q3</f>
        <v>44754</v>
      </c>
      <c r="B13" s="51">
        <f>'APAGADOS RADIO'!Q2+D13</f>
        <v>13</v>
      </c>
      <c r="C13" s="51">
        <f>'APAGADOS FIBRA'!Q2</f>
        <v>20</v>
      </c>
      <c r="D13" s="51">
        <f>'APAGADOS ANTENA'!Q2</f>
        <v>5</v>
      </c>
      <c r="E13" s="51">
        <f t="shared" ref="E13:E14" si="17">B13+C13</f>
        <v>33</v>
      </c>
      <c r="F13" s="51">
        <f>'RESUMEN TOTAL'!B1</f>
        <v>392</v>
      </c>
      <c r="G13" s="55">
        <f t="shared" ref="G13:G14" si="18">E13/F13</f>
        <v>8.4183673469387751E-2</v>
      </c>
    </row>
    <row r="14" spans="1:7" x14ac:dyDescent="0.25">
      <c r="A14" s="25">
        <f>'APAGADOS RADIO'!R3</f>
        <v>44755</v>
      </c>
      <c r="B14" s="51">
        <f>'APAGADOS RADIO'!R2+D14</f>
        <v>13</v>
      </c>
      <c r="C14" s="51">
        <f>'APAGADOS FIBRA'!R2</f>
        <v>23</v>
      </c>
      <c r="D14" s="51">
        <f>'APAGADOS ANTENA'!R2</f>
        <v>5</v>
      </c>
      <c r="E14" s="51">
        <f t="shared" si="17"/>
        <v>36</v>
      </c>
      <c r="F14" s="51">
        <f>'RESUMEN TOTAL'!B1</f>
        <v>392</v>
      </c>
      <c r="G14" s="55">
        <f t="shared" si="18"/>
        <v>9.1836734693877556E-2</v>
      </c>
    </row>
    <row r="15" spans="1:7" x14ac:dyDescent="0.25">
      <c r="A15" s="25">
        <f>'APAGADOS RADIO'!S3</f>
        <v>44756</v>
      </c>
      <c r="B15" s="51">
        <f>'APAGADOS RADIO'!S2+D15</f>
        <v>13</v>
      </c>
      <c r="C15" s="51">
        <f>'APAGADOS FIBRA'!S2</f>
        <v>21</v>
      </c>
      <c r="D15" s="51">
        <f>'APAGADOS ANTENA'!S2</f>
        <v>6</v>
      </c>
      <c r="E15" s="51">
        <f t="shared" ref="E15" si="19">B15+C15</f>
        <v>34</v>
      </c>
      <c r="F15" s="51">
        <f>'RESUMEN TOTAL'!B1</f>
        <v>392</v>
      </c>
      <c r="G15" s="55">
        <f t="shared" ref="G15" si="20">E15/F15</f>
        <v>8.673469387755102E-2</v>
      </c>
    </row>
    <row r="16" spans="1:7" x14ac:dyDescent="0.25">
      <c r="A16" s="25">
        <f>'APAGADOS RADIO'!T3</f>
        <v>44757</v>
      </c>
      <c r="B16" s="51">
        <f>'APAGADOS RADIO'!T2+D16</f>
        <v>14</v>
      </c>
      <c r="C16" s="51">
        <f>'APAGADOS FIBRA'!T2</f>
        <v>19</v>
      </c>
      <c r="D16" s="51">
        <f>'APAGADOS ANTENA'!T2</f>
        <v>7</v>
      </c>
      <c r="E16" s="51">
        <f t="shared" ref="E16:E21" si="21">B16+C16</f>
        <v>33</v>
      </c>
      <c r="F16" s="51">
        <f>'RESUMEN TOTAL'!B1</f>
        <v>392</v>
      </c>
      <c r="G16" s="55">
        <f t="shared" ref="G16:G21" si="22">E16/F16</f>
        <v>8.4183673469387751E-2</v>
      </c>
    </row>
    <row r="17" spans="1:7" x14ac:dyDescent="0.25">
      <c r="A17" s="25">
        <f>'APAGADOS RADIO'!U3</f>
        <v>44758</v>
      </c>
      <c r="B17" s="51">
        <f>'APAGADOS RADIO'!U2+D17</f>
        <v>10</v>
      </c>
      <c r="C17" s="51">
        <f>'APAGADOS FIBRA'!U2</f>
        <v>18</v>
      </c>
      <c r="D17" s="51">
        <f>'APAGADOS ANTENA'!U2</f>
        <v>5</v>
      </c>
      <c r="E17" s="51">
        <f t="shared" si="21"/>
        <v>28</v>
      </c>
      <c r="F17" s="51">
        <f>'RESUMEN TOTAL'!B1</f>
        <v>392</v>
      </c>
      <c r="G17" s="55">
        <f t="shared" si="22"/>
        <v>7.1428571428571425E-2</v>
      </c>
    </row>
    <row r="18" spans="1:7" x14ac:dyDescent="0.25">
      <c r="A18" s="25">
        <f>'APAGADOS RADIO'!V3</f>
        <v>44759</v>
      </c>
      <c r="B18" s="51">
        <f>'APAGADOS RADIO'!V2+D18</f>
        <v>16</v>
      </c>
      <c r="C18" s="51">
        <f>'APAGADOS FIBRA'!V2</f>
        <v>47</v>
      </c>
      <c r="D18" s="51">
        <f>'APAGADOS ANTENA'!V2</f>
        <v>6</v>
      </c>
      <c r="E18" s="51">
        <f t="shared" si="21"/>
        <v>63</v>
      </c>
      <c r="F18" s="51">
        <f>'RESUMEN TOTAL'!B1</f>
        <v>392</v>
      </c>
      <c r="G18" s="55">
        <f t="shared" si="22"/>
        <v>0.16071428571428573</v>
      </c>
    </row>
    <row r="19" spans="1:7" x14ac:dyDescent="0.25">
      <c r="A19" s="25">
        <f>'APAGADOS RADIO'!W3</f>
        <v>44760</v>
      </c>
      <c r="B19" s="51">
        <f>'APAGADOS RADIO'!W2+D19</f>
        <v>12</v>
      </c>
      <c r="C19" s="51">
        <f>'APAGADOS FIBRA'!W2</f>
        <v>18</v>
      </c>
      <c r="D19" s="51">
        <f>'APAGADOS ANTENA'!W2</f>
        <v>5</v>
      </c>
      <c r="E19" s="51">
        <f t="shared" si="21"/>
        <v>30</v>
      </c>
      <c r="F19" s="51">
        <f>'RESUMEN TOTAL'!B1</f>
        <v>392</v>
      </c>
      <c r="G19" s="55">
        <f t="shared" si="22"/>
        <v>7.6530612244897961E-2</v>
      </c>
    </row>
    <row r="20" spans="1:7" x14ac:dyDescent="0.25">
      <c r="A20" s="25">
        <f>'APAGADOS RADIO'!X3</f>
        <v>44761</v>
      </c>
      <c r="B20" s="51">
        <f>'APAGADOS RADIO'!X2+D20</f>
        <v>11</v>
      </c>
      <c r="C20" s="51">
        <f>'APAGADOS FIBRA'!X2</f>
        <v>16</v>
      </c>
      <c r="D20" s="51">
        <f>'APAGADOS ANTENA'!X2</f>
        <v>5</v>
      </c>
      <c r="E20" s="51">
        <f t="shared" si="21"/>
        <v>27</v>
      </c>
      <c r="F20" s="51">
        <f>'RESUMEN TOTAL'!B1</f>
        <v>392</v>
      </c>
      <c r="G20" s="55">
        <f t="shared" si="22"/>
        <v>6.8877551020408156E-2</v>
      </c>
    </row>
    <row r="21" spans="1:7" x14ac:dyDescent="0.25">
      <c r="A21" s="25">
        <f>'APAGADOS RADIO'!Y3</f>
        <v>44762</v>
      </c>
      <c r="B21" s="51">
        <f>'APAGADOS RADIO'!Y2+D21</f>
        <v>7</v>
      </c>
      <c r="C21" s="51">
        <f>'APAGADOS FIBRA'!Y2</f>
        <v>17</v>
      </c>
      <c r="D21" s="51">
        <f>'APAGADOS ANTENA'!Y2</f>
        <v>3</v>
      </c>
      <c r="E21" s="51">
        <f t="shared" si="21"/>
        <v>24</v>
      </c>
      <c r="F21" s="51">
        <f>'RESUMEN TOTAL'!B1</f>
        <v>392</v>
      </c>
      <c r="G21" s="55">
        <f t="shared" si="22"/>
        <v>6.1224489795918366E-2</v>
      </c>
    </row>
    <row r="22" spans="1:7" x14ac:dyDescent="0.25">
      <c r="A22" s="25">
        <f>'APAGADOS RADIO'!Z3</f>
        <v>44763</v>
      </c>
      <c r="B22" s="51">
        <f>'APAGADOS RADIO'!Z2+D22</f>
        <v>7</v>
      </c>
      <c r="C22" s="51">
        <f>'APAGADOS FIBRA'!Z2</f>
        <v>16</v>
      </c>
      <c r="D22" s="51">
        <f>'APAGADOS ANTENA'!Z2</f>
        <v>2</v>
      </c>
      <c r="E22" s="51">
        <f t="shared" ref="E22" si="23">B22+C22</f>
        <v>23</v>
      </c>
      <c r="F22" s="51">
        <f>'RESUMEN TOTAL'!B1</f>
        <v>392</v>
      </c>
      <c r="G22" s="55">
        <f t="shared" ref="G22" si="24">E22/F22</f>
        <v>5.8673469387755105E-2</v>
      </c>
    </row>
    <row r="23" spans="1:7" x14ac:dyDescent="0.25">
      <c r="A23" s="25">
        <f>'APAGADOS RADIO'!AA3</f>
        <v>44764</v>
      </c>
      <c r="B23" s="51">
        <f>'APAGADOS RADIO'!AA2+D23</f>
        <v>9</v>
      </c>
      <c r="C23" s="51">
        <f>'APAGADOS FIBRA'!AA2</f>
        <v>16</v>
      </c>
      <c r="D23" s="51">
        <f>'APAGADOS ANTENA'!AA2</f>
        <v>2</v>
      </c>
      <c r="E23" s="51">
        <f t="shared" ref="E23" si="25">B23+C23</f>
        <v>25</v>
      </c>
      <c r="F23" s="51">
        <f>'RESUMEN TOTAL'!B1</f>
        <v>392</v>
      </c>
      <c r="G23" s="55">
        <f t="shared" ref="G23" si="26">E23/F23</f>
        <v>6.3775510204081634E-2</v>
      </c>
    </row>
    <row r="24" spans="1:7" x14ac:dyDescent="0.25">
      <c r="A24" s="25">
        <f>'APAGADOS RADIO'!AB3</f>
        <v>44765</v>
      </c>
      <c r="B24" s="51">
        <f>'APAGADOS RADIO'!AB2+D24</f>
        <v>11</v>
      </c>
      <c r="C24" s="51">
        <f>'APAGADOS FIBRA'!AB2</f>
        <v>24</v>
      </c>
      <c r="D24" s="51">
        <f>'APAGADOS ANTENA'!AB2</f>
        <v>6</v>
      </c>
      <c r="E24" s="51">
        <f t="shared" ref="E24:E26" si="27">B24+C24</f>
        <v>35</v>
      </c>
      <c r="F24" s="51">
        <f>'RESUMEN TOTAL'!B1</f>
        <v>392</v>
      </c>
      <c r="G24" s="55">
        <f t="shared" ref="G24:G26" si="28">E24/F24</f>
        <v>8.9285714285714288E-2</v>
      </c>
    </row>
    <row r="25" spans="1:7" x14ac:dyDescent="0.25">
      <c r="A25" s="25">
        <f>'APAGADOS RADIO'!AC3</f>
        <v>44766</v>
      </c>
      <c r="B25" s="51">
        <f>'APAGADOS RADIO'!AC2+D25</f>
        <v>13</v>
      </c>
      <c r="C25" s="51">
        <f>'APAGADOS FIBRA'!AC2</f>
        <v>23</v>
      </c>
      <c r="D25" s="51">
        <f>'APAGADOS ANTENA'!AC2</f>
        <v>6</v>
      </c>
      <c r="E25" s="51">
        <f t="shared" si="27"/>
        <v>36</v>
      </c>
      <c r="F25" s="51">
        <f>'RESUMEN TOTAL'!B1</f>
        <v>392</v>
      </c>
      <c r="G25" s="55">
        <f t="shared" si="28"/>
        <v>9.1836734693877556E-2</v>
      </c>
    </row>
    <row r="26" spans="1:7" x14ac:dyDescent="0.25">
      <c r="A26" s="25">
        <f>'APAGADOS RADIO'!AD3</f>
        <v>44767</v>
      </c>
      <c r="B26" s="51">
        <f>'APAGADOS RADIO'!AD2+D26</f>
        <v>11</v>
      </c>
      <c r="C26" s="51">
        <f>'APAGADOS FIBRA'!AD2</f>
        <v>27</v>
      </c>
      <c r="D26" s="51">
        <f>'APAGADOS ANTENA'!AD2</f>
        <v>6</v>
      </c>
      <c r="E26" s="51">
        <f t="shared" si="27"/>
        <v>38</v>
      </c>
      <c r="F26" s="51">
        <f>'RESUMEN TOTAL'!B1</f>
        <v>392</v>
      </c>
      <c r="G26" s="55">
        <f t="shared" si="28"/>
        <v>9.6938775510204078E-2</v>
      </c>
    </row>
    <row r="27" spans="1:7" x14ac:dyDescent="0.25">
      <c r="A27" s="25">
        <f>'APAGADOS RADIO'!AE3</f>
        <v>44768</v>
      </c>
      <c r="B27" s="51">
        <f>'APAGADOS RADIO'!AE2+D27</f>
        <v>11</v>
      </c>
      <c r="C27" s="51">
        <f>'APAGADOS FIBRA'!AE2</f>
        <v>29</v>
      </c>
      <c r="D27" s="51">
        <f>'APAGADOS ANTENA'!AE2</f>
        <v>6</v>
      </c>
      <c r="E27" s="51">
        <f t="shared" ref="E27" si="29">B27+C27</f>
        <v>40</v>
      </c>
      <c r="F27" s="51">
        <f>'RESUMEN TOTAL'!B1</f>
        <v>392</v>
      </c>
      <c r="G27" s="55">
        <f t="shared" ref="G27" si="30">E27/F27</f>
        <v>0.10204081632653061</v>
      </c>
    </row>
    <row r="28" spans="1:7" x14ac:dyDescent="0.25">
      <c r="A28" s="25">
        <f>'APAGADOS RADIO'!AF3</f>
        <v>44769</v>
      </c>
      <c r="B28" s="51">
        <f>'APAGADOS RADIO'!AF2+D28</f>
        <v>17</v>
      </c>
      <c r="C28" s="51">
        <f>'APAGADOS FIBRA'!AF2</f>
        <v>38</v>
      </c>
      <c r="D28" s="51">
        <f>'APAGADOS ANTENA'!AF2</f>
        <v>9</v>
      </c>
      <c r="E28" s="51">
        <f t="shared" ref="E28:E29" si="31">B28+C28</f>
        <v>55</v>
      </c>
      <c r="F28" s="51">
        <f>'RESUMEN TOTAL'!B1</f>
        <v>392</v>
      </c>
      <c r="G28" s="55">
        <f t="shared" ref="G28:G29" si="32">E28/F28</f>
        <v>0.14030612244897958</v>
      </c>
    </row>
    <row r="29" spans="1:7" x14ac:dyDescent="0.25">
      <c r="A29" s="25">
        <f>'APAGADOS RADIO'!AG3</f>
        <v>44770</v>
      </c>
      <c r="B29" s="51">
        <f>'APAGADOS RADIO'!AG2+D29</f>
        <v>16</v>
      </c>
      <c r="C29" s="51">
        <f>'APAGADOS FIBRA'!AG2</f>
        <v>34</v>
      </c>
      <c r="D29" s="51">
        <f>'APAGADOS ANTENA'!AG2</f>
        <v>8</v>
      </c>
      <c r="E29" s="51">
        <f t="shared" si="31"/>
        <v>50</v>
      </c>
      <c r="F29" s="51">
        <f>'RESUMEN TOTAL'!B1</f>
        <v>392</v>
      </c>
      <c r="G29" s="55">
        <f t="shared" si="32"/>
        <v>0.12755102040816327</v>
      </c>
    </row>
    <row r="30" spans="1:7" x14ac:dyDescent="0.25">
      <c r="A30" s="25">
        <f>'APAGADOS RADIO'!AH3</f>
        <v>44771</v>
      </c>
      <c r="B30" s="51">
        <f>'APAGADOS RADIO'!AH2+D30</f>
        <v>13</v>
      </c>
      <c r="C30" s="51">
        <f>'APAGADOS FIBRA'!AH2</f>
        <v>32</v>
      </c>
      <c r="D30" s="51">
        <f>'APAGADOS ANTENA'!AH2</f>
        <v>6</v>
      </c>
      <c r="E30" s="51">
        <f t="shared" ref="E30" si="33">B30+C30</f>
        <v>45</v>
      </c>
      <c r="F30" s="51">
        <f>'RESUMEN TOTAL'!B1</f>
        <v>392</v>
      </c>
      <c r="G30" s="55">
        <f t="shared" ref="G30" si="34">E30/F30</f>
        <v>0.11479591836734694</v>
      </c>
    </row>
    <row r="31" spans="1:7" x14ac:dyDescent="0.25">
      <c r="A31" s="25">
        <f>'APAGADOS RADIO'!AI3</f>
        <v>44772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25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1206</v>
      </c>
      <c r="D1" s="61" t="s">
        <v>1207</v>
      </c>
    </row>
    <row r="2" spans="1:13" ht="16.5" thickTop="1" thickBot="1" x14ac:dyDescent="0.3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25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25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25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6.5" thickTop="1" thickBot="1" x14ac:dyDescent="0.3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.75" thickTop="1" x14ac:dyDescent="0.25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25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1400</v>
      </c>
      <c r="M16" s="110">
        <v>44763</v>
      </c>
    </row>
    <row r="17" spans="1:13" ht="15.75" thickTop="1" x14ac:dyDescent="0.25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1401</v>
      </c>
      <c r="M18" s="111"/>
    </row>
    <row r="19" spans="1:13" x14ac:dyDescent="0.25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25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1203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25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25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25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25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.75" thickTop="1" x14ac:dyDescent="0.25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25">
      <c r="A42" s="58" t="s">
        <v>1203</v>
      </c>
      <c r="B42" s="69">
        <v>392</v>
      </c>
      <c r="C42" s="65"/>
      <c r="D42" s="62"/>
      <c r="E42" s="113">
        <v>44771</v>
      </c>
      <c r="G42" s="76"/>
      <c r="H42" s="77"/>
      <c r="I42" s="77"/>
      <c r="J42" s="77"/>
      <c r="K42" s="78"/>
      <c r="L42" s="79"/>
      <c r="M42" s="111"/>
    </row>
    <row r="43" spans="1:13" x14ac:dyDescent="0.25">
      <c r="A43" s="59" t="s">
        <v>6</v>
      </c>
      <c r="B43" s="70">
        <v>45</v>
      </c>
      <c r="C43" s="66">
        <v>45</v>
      </c>
      <c r="D43" s="63">
        <f>C43/B42</f>
        <v>0.11479591836734694</v>
      </c>
      <c r="E43" s="114"/>
      <c r="G43" s="76"/>
      <c r="H43" s="77"/>
      <c r="I43" s="77"/>
      <c r="J43" s="77"/>
      <c r="K43" s="78"/>
      <c r="L43" s="79"/>
      <c r="M43" s="111"/>
    </row>
    <row r="44" spans="1:13" x14ac:dyDescent="0.25">
      <c r="A44" s="59" t="s">
        <v>1205</v>
      </c>
      <c r="B44" s="70">
        <v>2</v>
      </c>
      <c r="C44" s="66">
        <f>B43-B44</f>
        <v>43</v>
      </c>
      <c r="D44" s="63">
        <f>C44/B42</f>
        <v>0.10969387755102041</v>
      </c>
      <c r="E44" s="114"/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A45" s="59" t="s">
        <v>1204</v>
      </c>
      <c r="B45" s="70">
        <v>2</v>
      </c>
      <c r="C45" s="66">
        <f>C44-B45</f>
        <v>41</v>
      </c>
      <c r="D45" s="63">
        <f>C45/B42</f>
        <v>0.10459183673469388</v>
      </c>
      <c r="E45" s="114"/>
      <c r="G45" s="80"/>
      <c r="H45" s="81"/>
      <c r="I45" s="81"/>
      <c r="J45" s="81"/>
      <c r="K45" s="81"/>
      <c r="L45" s="82"/>
      <c r="M45" s="112"/>
    </row>
    <row r="46" spans="1:13" ht="16.5" thickTop="1" thickBot="1" x14ac:dyDescent="0.3">
      <c r="A46" s="60" t="s">
        <v>20</v>
      </c>
      <c r="B46" s="71">
        <v>7</v>
      </c>
      <c r="C46" s="67">
        <f>C45-B46</f>
        <v>34</v>
      </c>
      <c r="D46" s="64">
        <f>C46/B42</f>
        <v>8.673469387755102E-2</v>
      </c>
      <c r="E46" s="115"/>
    </row>
    <row r="47" spans="1:13" ht="15.75" thickTop="1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2022-08-01T11:54:02Z</dcterms:modified>
</cp:coreProperties>
</file>