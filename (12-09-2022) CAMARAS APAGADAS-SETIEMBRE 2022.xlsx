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413FA2EF-2A8B-402E-B2D1-8A6C2296559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J314" i="2" l="1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20" i="24" l="1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0" i="14" l="1"/>
  <c r="F9" i="14"/>
  <c r="F8" i="14"/>
  <c r="F7" i="14"/>
  <c r="F6" i="14"/>
  <c r="F5" i="14"/>
  <c r="F4" i="14"/>
  <c r="F3" i="14"/>
  <c r="O2" i="2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9" i="14" l="1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<sst xmlns="http://schemas.openxmlformats.org/spreadsheetml/2006/main" count="3296" uniqueCount="1207">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</sst>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0.10377358490566038</c:v>
                      </c:pt>
                      <c:pt idx="11">
                        <c:v>9.9056603773584911E-2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5.434782608695652E-2</c:v>
                      </c:pt>
                      <c:pt idx="11">
                        <c:v>2.717391304347826E-2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0.10377358490566038</c:v>
                </c:pt>
                <c:pt idx="11">
                  <c:v>9.9056603773584911E-2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V210" activePane="bottomRight" state="frozen"/>
      <selection pane="topRight" activeCell="M1" sqref="M1"/>
      <selection pane="bottomLeft" activeCell="A5" sqref="A5"/>
      <selection pane="bottomRight" activeCell="V223" sqref="V223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8.0808080808080815E-2</v>
      </c>
      <c r="V1" s="4">
        <f t="shared" si="0"/>
        <v>6.5656565656565663E-2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364</v>
      </c>
      <c r="V2" s="10">
        <f t="shared" si="1"/>
        <v>370</v>
      </c>
      <c r="W2" s="10">
        <f t="shared" si="1"/>
        <v>396</v>
      </c>
      <c r="X2" s="10">
        <f t="shared" si="1"/>
        <v>396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25</v>
      </c>
      <c r="I6" s="16">
        <f t="shared" si="3"/>
        <v>5</v>
      </c>
      <c r="J6" s="17">
        <f t="shared" si="4"/>
        <v>0.83333333333333337</v>
      </c>
      <c r="K6" s="26"/>
      <c r="L6" s="8"/>
      <c r="M6" s="8"/>
      <c r="N6" s="8"/>
      <c r="O6" s="26"/>
      <c r="P6" s="26"/>
      <c r="Q6" s="8"/>
      <c r="R6" s="8" t="s">
        <v>1200</v>
      </c>
      <c r="S6" s="8" t="s">
        <v>1200</v>
      </c>
      <c r="T6" s="26" t="s">
        <v>1200</v>
      </c>
      <c r="U6" s="26" t="s">
        <v>1200</v>
      </c>
      <c r="V6" s="26" t="s">
        <v>1200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18</v>
      </c>
      <c r="I10" s="16">
        <f t="shared" si="3"/>
        <v>12</v>
      </c>
      <c r="J10" s="17">
        <f t="shared" si="4"/>
        <v>0.6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 t="s">
        <v>1200</v>
      </c>
      <c r="T10" s="26" t="s">
        <v>1200</v>
      </c>
      <c r="U10" s="26" t="s">
        <v>1200</v>
      </c>
      <c r="V10" s="26" t="s">
        <v>1200</v>
      </c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18</v>
      </c>
      <c r="I13" s="16">
        <f t="shared" si="3"/>
        <v>12</v>
      </c>
      <c r="J13" s="17">
        <f t="shared" si="4"/>
        <v>0.6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 t="s">
        <v>1200</v>
      </c>
      <c r="T13" s="26" t="s">
        <v>1200</v>
      </c>
      <c r="U13" s="26" t="s">
        <v>1200</v>
      </c>
      <c r="V13" s="26" t="s">
        <v>1200</v>
      </c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21</v>
      </c>
      <c r="I16" s="16">
        <f t="shared" si="3"/>
        <v>9</v>
      </c>
      <c r="J16" s="17">
        <f t="shared" si="4"/>
        <v>0.7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 t="s">
        <v>1200</v>
      </c>
      <c r="T16" s="26" t="s">
        <v>1200</v>
      </c>
      <c r="U16" s="26"/>
      <c r="V16" s="26" t="s">
        <v>1200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29</v>
      </c>
      <c r="I23" s="16">
        <f t="shared" si="3"/>
        <v>1</v>
      </c>
      <c r="J23" s="17">
        <f t="shared" si="4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1200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25</v>
      </c>
      <c r="I31" s="16">
        <f t="shared" si="3"/>
        <v>5</v>
      </c>
      <c r="J31" s="17">
        <f t="shared" si="4"/>
        <v>0.83333333333333337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 t="s">
        <v>1200</v>
      </c>
      <c r="T31" s="26" t="s">
        <v>1200</v>
      </c>
      <c r="U31" s="26" t="s">
        <v>1200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18</v>
      </c>
      <c r="I34" s="16">
        <f t="shared" si="3"/>
        <v>12</v>
      </c>
      <c r="J34" s="17">
        <f t="shared" si="4"/>
        <v>0.6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 t="s">
        <v>1200</v>
      </c>
      <c r="T34" s="26" t="s">
        <v>1200</v>
      </c>
      <c r="U34" s="26" t="s">
        <v>1200</v>
      </c>
      <c r="V34" s="26" t="s">
        <v>1200</v>
      </c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 t="s">
        <v>1200</v>
      </c>
      <c r="T42" s="26" t="s">
        <v>1200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29</v>
      </c>
      <c r="I52" s="16">
        <f t="shared" si="3"/>
        <v>1</v>
      </c>
      <c r="J52" s="17">
        <f t="shared" si="4"/>
        <v>0.96666666666666667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 t="s">
        <v>1200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21</v>
      </c>
      <c r="I59" s="16">
        <f t="shared" si="3"/>
        <v>9</v>
      </c>
      <c r="J59" s="17">
        <f t="shared" si="4"/>
        <v>0.7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 t="s">
        <v>1200</v>
      </c>
      <c r="T59" s="26"/>
      <c r="U59" s="26" t="s">
        <v>1200</v>
      </c>
      <c r="V59" s="26" t="s">
        <v>1200</v>
      </c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27</v>
      </c>
      <c r="I76" s="16">
        <f t="shared" si="6"/>
        <v>3</v>
      </c>
      <c r="J76" s="17">
        <f t="shared" si="7"/>
        <v>0.9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 t="s">
        <v>1200</v>
      </c>
      <c r="U76" s="26" t="s">
        <v>1200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18</v>
      </c>
      <c r="I79" s="16">
        <f t="shared" si="6"/>
        <v>12</v>
      </c>
      <c r="J79" s="17">
        <f t="shared" si="7"/>
        <v>0.6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 t="s">
        <v>1200</v>
      </c>
      <c r="T79" s="26" t="s">
        <v>1200</v>
      </c>
      <c r="U79" s="26" t="s">
        <v>1200</v>
      </c>
      <c r="V79" s="26" t="s">
        <v>1200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25</v>
      </c>
      <c r="I87" s="16">
        <f t="shared" si="6"/>
        <v>5</v>
      </c>
      <c r="J87" s="17">
        <f t="shared" si="7"/>
        <v>0.83333333333333337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 t="s">
        <v>1200</v>
      </c>
      <c r="T87" s="26" t="s">
        <v>1200</v>
      </c>
      <c r="U87" s="26" t="s">
        <v>1200</v>
      </c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28</v>
      </c>
      <c r="I104" s="16">
        <f t="shared" si="6"/>
        <v>2</v>
      </c>
      <c r="J104" s="17">
        <f t="shared" si="7"/>
        <v>0.93333333333333335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1200</v>
      </c>
      <c r="V104" s="26" t="s">
        <v>1200</v>
      </c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28</v>
      </c>
      <c r="I116" s="16">
        <f t="shared" si="6"/>
        <v>2</v>
      </c>
      <c r="J116" s="17">
        <f t="shared" si="7"/>
        <v>0.93333333333333335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 t="s">
        <v>1200</v>
      </c>
      <c r="V116" s="26" t="s">
        <v>1200</v>
      </c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27</v>
      </c>
      <c r="I125" s="16">
        <f t="shared" si="6"/>
        <v>3</v>
      </c>
      <c r="J125" s="17">
        <f t="shared" si="7"/>
        <v>0.9</v>
      </c>
      <c r="K125" s="26"/>
      <c r="L125" s="8"/>
      <c r="M125" s="8"/>
      <c r="N125" s="8"/>
      <c r="O125" s="26"/>
      <c r="P125" s="26"/>
      <c r="Q125" s="8"/>
      <c r="R125" s="8"/>
      <c r="S125" s="8" t="s">
        <v>1200</v>
      </c>
      <c r="T125" s="26" t="s">
        <v>1200</v>
      </c>
      <c r="U125" s="26" t="s">
        <v>1200</v>
      </c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29</v>
      </c>
      <c r="I132" s="16">
        <f t="shared" si="6"/>
        <v>1</v>
      </c>
      <c r="J132" s="17">
        <f t="shared" si="7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 t="s">
        <v>1200</v>
      </c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18</v>
      </c>
      <c r="I134" s="16">
        <f t="shared" si="9"/>
        <v>12</v>
      </c>
      <c r="J134" s="17">
        <f t="shared" si="10"/>
        <v>0.6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 t="s">
        <v>1200</v>
      </c>
      <c r="T134" s="26" t="s">
        <v>1200</v>
      </c>
      <c r="U134" s="26" t="s">
        <v>1200</v>
      </c>
      <c r="V134" s="26" t="s">
        <v>1200</v>
      </c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1200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29</v>
      </c>
      <c r="I152" s="16">
        <f t="shared" si="9"/>
        <v>1</v>
      </c>
      <c r="J152" s="17">
        <f t="shared" si="10"/>
        <v>0.96666666666666667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 t="s">
        <v>1200</v>
      </c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27</v>
      </c>
      <c r="I154" s="16">
        <f t="shared" si="9"/>
        <v>3</v>
      </c>
      <c r="J154" s="17">
        <f t="shared" si="10"/>
        <v>0.9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 t="s">
        <v>1200</v>
      </c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27</v>
      </c>
      <c r="I155" s="16">
        <f t="shared" si="9"/>
        <v>3</v>
      </c>
      <c r="J155" s="17">
        <f t="shared" si="10"/>
        <v>0.9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 t="s">
        <v>1200</v>
      </c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19</v>
      </c>
      <c r="I156" s="16">
        <f t="shared" si="9"/>
        <v>11</v>
      </c>
      <c r="J156" s="17">
        <f t="shared" si="10"/>
        <v>0.6333333333333333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 t="s">
        <v>1200</v>
      </c>
      <c r="T156" s="26"/>
      <c r="U156" s="26" t="s">
        <v>1200</v>
      </c>
      <c r="V156" s="26" t="s">
        <v>1200</v>
      </c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19</v>
      </c>
      <c r="I158" s="16">
        <f t="shared" si="9"/>
        <v>11</v>
      </c>
      <c r="J158" s="17">
        <f t="shared" si="10"/>
        <v>0.6333333333333333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 t="s">
        <v>1200</v>
      </c>
      <c r="T158" s="26" t="s">
        <v>1200</v>
      </c>
      <c r="U158" s="26"/>
      <c r="V158" s="26" t="s">
        <v>1200</v>
      </c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29</v>
      </c>
      <c r="I161" s="16">
        <f t="shared" si="9"/>
        <v>1</v>
      </c>
      <c r="J161" s="17">
        <f t="shared" si="10"/>
        <v>0.96666666666666667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 t="s">
        <v>1200</v>
      </c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24</v>
      </c>
      <c r="I162" s="16">
        <f t="shared" si="9"/>
        <v>6</v>
      </c>
      <c r="J162" s="17">
        <f t="shared" si="10"/>
        <v>0.8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 t="s">
        <v>1200</v>
      </c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18</v>
      </c>
      <c r="I163" s="16">
        <f t="shared" si="9"/>
        <v>12</v>
      </c>
      <c r="J163" s="17">
        <f t="shared" si="10"/>
        <v>0.6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 t="s">
        <v>1200</v>
      </c>
      <c r="T163" s="26" t="s">
        <v>1200</v>
      </c>
      <c r="U163" s="26" t="s">
        <v>1200</v>
      </c>
      <c r="V163" s="26" t="s">
        <v>1200</v>
      </c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18</v>
      </c>
      <c r="I166" s="16">
        <f t="shared" si="9"/>
        <v>12</v>
      </c>
      <c r="J166" s="17">
        <f t="shared" si="10"/>
        <v>0.6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 t="s">
        <v>1200</v>
      </c>
      <c r="T166" s="26" t="s">
        <v>1200</v>
      </c>
      <c r="U166" s="26" t="s">
        <v>1200</v>
      </c>
      <c r="V166" s="26" t="s">
        <v>1200</v>
      </c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28</v>
      </c>
      <c r="I182" s="16">
        <f t="shared" si="9"/>
        <v>2</v>
      </c>
      <c r="J182" s="17">
        <f t="shared" si="10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27</v>
      </c>
      <c r="I191" s="16">
        <f t="shared" si="9"/>
        <v>3</v>
      </c>
      <c r="J191" s="17">
        <f t="shared" si="10"/>
        <v>0.9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 t="s">
        <v>1200</v>
      </c>
      <c r="U191" s="26" t="s">
        <v>1200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29</v>
      </c>
      <c r="I205" s="16">
        <f t="shared" si="12"/>
        <v>1</v>
      </c>
      <c r="J205" s="17">
        <f t="shared" si="13"/>
        <v>0.96666666666666667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 t="s">
        <v>1200</v>
      </c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29</v>
      </c>
      <c r="I206" s="16">
        <f t="shared" si="12"/>
        <v>1</v>
      </c>
      <c r="J206" s="17">
        <f t="shared" si="13"/>
        <v>0.96666666666666667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1200</v>
      </c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1200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1200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18</v>
      </c>
      <c r="I210" s="16">
        <f t="shared" si="12"/>
        <v>12</v>
      </c>
      <c r="J210" s="17">
        <f t="shared" si="13"/>
        <v>0.6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 t="s">
        <v>1200</v>
      </c>
      <c r="T210" s="26" t="s">
        <v>1200</v>
      </c>
      <c r="U210" s="26" t="s">
        <v>1200</v>
      </c>
      <c r="V210" s="26" t="s">
        <v>1200</v>
      </c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1200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18</v>
      </c>
      <c r="I216" s="16">
        <f t="shared" si="12"/>
        <v>12</v>
      </c>
      <c r="J216" s="17">
        <f t="shared" si="13"/>
        <v>0.6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 t="s">
        <v>1200</v>
      </c>
      <c r="T216" s="26" t="s">
        <v>1200</v>
      </c>
      <c r="U216" s="26" t="s">
        <v>1200</v>
      </c>
      <c r="V216" s="26" t="s">
        <v>1200</v>
      </c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19</v>
      </c>
      <c r="I217" s="16">
        <f t="shared" si="12"/>
        <v>11</v>
      </c>
      <c r="J217" s="17">
        <f t="shared" si="13"/>
        <v>0.6333333333333333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 t="s">
        <v>1200</v>
      </c>
      <c r="T217" s="26" t="s">
        <v>1200</v>
      </c>
      <c r="U217" s="26" t="s">
        <v>1200</v>
      </c>
      <c r="V217" s="26" t="s">
        <v>1200</v>
      </c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28</v>
      </c>
      <c r="I222" s="16">
        <f t="shared" si="12"/>
        <v>2</v>
      </c>
      <c r="J222" s="17">
        <f t="shared" si="13"/>
        <v>0.93333333333333335</v>
      </c>
      <c r="K222" s="26"/>
      <c r="L222" s="8"/>
      <c r="M222" s="8"/>
      <c r="N222" s="8"/>
      <c r="O222" s="26"/>
      <c r="P222" s="26"/>
      <c r="Q222" s="8"/>
      <c r="R222" s="8"/>
      <c r="S222" s="8" t="s">
        <v>1200</v>
      </c>
      <c r="T222" s="26"/>
      <c r="U222" s="26"/>
      <c r="V222" s="26" t="s">
        <v>1200</v>
      </c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1200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29</v>
      </c>
      <c r="I226" s="16">
        <f t="shared" si="12"/>
        <v>1</v>
      </c>
      <c r="J226" s="17">
        <f t="shared" si="13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 t="s">
        <v>1200</v>
      </c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23</v>
      </c>
      <c r="I244" s="16">
        <f t="shared" si="12"/>
        <v>7</v>
      </c>
      <c r="J244" s="17">
        <f t="shared" si="13"/>
        <v>0.76666666666666672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 t="s">
        <v>1200</v>
      </c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23</v>
      </c>
      <c r="I245" s="16">
        <f t="shared" si="12"/>
        <v>7</v>
      </c>
      <c r="J245" s="17">
        <f t="shared" si="13"/>
        <v>0.76666666666666672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 t="s">
        <v>1200</v>
      </c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27</v>
      </c>
      <c r="I249" s="16">
        <f t="shared" si="12"/>
        <v>3</v>
      </c>
      <c r="J249" s="17">
        <f t="shared" si="13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25</v>
      </c>
      <c r="I252" s="16">
        <f t="shared" si="12"/>
        <v>5</v>
      </c>
      <c r="J252" s="17">
        <f t="shared" si="13"/>
        <v>0.83333333333333337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 t="s">
        <v>1200</v>
      </c>
      <c r="T252" s="26" t="s">
        <v>1200</v>
      </c>
      <c r="U252" s="26" t="s">
        <v>1200</v>
      </c>
      <c r="V252" s="26" t="s">
        <v>1200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1200</v>
      </c>
      <c r="T277" s="26" t="s">
        <v>1200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1200</v>
      </c>
      <c r="T278" s="26" t="s">
        <v>1200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1200</v>
      </c>
      <c r="T279" s="26" t="s">
        <v>1200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1200</v>
      </c>
      <c r="T280" s="26" t="s">
        <v>1200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1200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1200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t="s">
        <v>364</v>
      </c>
      <c r="B314" s="44" t="s">
        <v>1205</v>
      </c>
      <c r="C314" s="51" t="s">
        <v>1161</v>
      </c>
      <c r="D314" t="s">
        <v>1204</v>
      </c>
      <c r="E314" s="50" t="s">
        <v>15</v>
      </c>
      <c r="F314" s="50" t="s">
        <v>28</v>
      </c>
      <c r="G314" s="50" t="s">
        <v>1206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.75" thickBot="1" x14ac:dyDescent="0.3">
      <c r="A315" s="50" t="s">
        <v>267</v>
      </c>
      <c r="B315" s="50" t="s">
        <v>1127</v>
      </c>
      <c r="C315" s="50" t="s">
        <v>1160</v>
      </c>
      <c r="D315" s="50" t="s">
        <v>504</v>
      </c>
      <c r="E315" s="50" t="s">
        <v>19</v>
      </c>
      <c r="F315" s="50" t="s">
        <v>1153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487</v>
      </c>
      <c r="C316" s="50" t="s">
        <v>1160</v>
      </c>
      <c r="D316" s="50" t="s">
        <v>488</v>
      </c>
      <c r="E316" s="50" t="s">
        <v>19</v>
      </c>
      <c r="F316" s="50" t="s">
        <v>1153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489</v>
      </c>
      <c r="C317" s="50" t="s">
        <v>1160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28</v>
      </c>
      <c r="I317" s="16">
        <f t="shared" si="16"/>
        <v>2</v>
      </c>
      <c r="J317" s="17">
        <f t="shared" si="17"/>
        <v>0.93333333333333335</v>
      </c>
      <c r="K317" s="26"/>
      <c r="L317" s="8"/>
      <c r="M317" s="8" t="s">
        <v>1200</v>
      </c>
      <c r="N317" s="8" t="s">
        <v>1200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491</v>
      </c>
      <c r="B318" s="50" t="s">
        <v>492</v>
      </c>
      <c r="C318" s="50" t="s">
        <v>1160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494</v>
      </c>
      <c r="C319" s="50" t="s">
        <v>1160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496</v>
      </c>
      <c r="C320" s="50" t="s">
        <v>1160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498</v>
      </c>
      <c r="C321" s="50" t="s">
        <v>1160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500</v>
      </c>
      <c r="C322" s="50" t="s">
        <v>1160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502</v>
      </c>
      <c r="C323" s="50" t="s">
        <v>1160</v>
      </c>
      <c r="D323" s="50" t="s">
        <v>503</v>
      </c>
      <c r="E323" s="50" t="s">
        <v>19</v>
      </c>
      <c r="F323" s="50" t="s">
        <v>1153</v>
      </c>
      <c r="G323" s="50" t="s">
        <v>907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505</v>
      </c>
      <c r="C324" s="50" t="s">
        <v>1161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507</v>
      </c>
      <c r="C325" s="50" t="s">
        <v>1161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1200</v>
      </c>
      <c r="L325" s="8"/>
      <c r="M325" s="8" t="s">
        <v>1200</v>
      </c>
      <c r="N325" s="8" t="s">
        <v>1200</v>
      </c>
      <c r="O325" s="26" t="s">
        <v>1200</v>
      </c>
      <c r="P325" s="26"/>
      <c r="Q325" s="8" t="s">
        <v>1200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1128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1129</v>
      </c>
      <c r="C327" s="50" t="s">
        <v>1161</v>
      </c>
      <c r="D327" s="50" t="s">
        <v>517</v>
      </c>
      <c r="E327" s="50" t="s">
        <v>73</v>
      </c>
      <c r="F327" s="50" t="s">
        <v>1152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509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28</v>
      </c>
      <c r="I328" s="16">
        <f t="shared" ref="I328:I376" si="22">COUNTIF(K328:AL328,"APAGADO")</f>
        <v>2</v>
      </c>
      <c r="J328" s="17">
        <f t="shared" ref="J328:J376" si="23">(H328)/(I328+H328)</f>
        <v>0.93333333333333335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 t="s">
        <v>1200</v>
      </c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511</v>
      </c>
      <c r="C329" s="50" t="s">
        <v>1161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29</v>
      </c>
      <c r="I329" s="16">
        <f t="shared" si="22"/>
        <v>1</v>
      </c>
      <c r="J329" s="17">
        <f t="shared" si="23"/>
        <v>0.96666666666666667</v>
      </c>
      <c r="K329" s="26" t="s">
        <v>1200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512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514</v>
      </c>
      <c r="C331" s="50" t="s">
        <v>1161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515</v>
      </c>
      <c r="C332" s="50" t="s">
        <v>1161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29</v>
      </c>
      <c r="I332" s="16">
        <f t="shared" si="22"/>
        <v>1</v>
      </c>
      <c r="J332" s="17">
        <f t="shared" si="23"/>
        <v>0.96666666666666667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 t="s">
        <v>1200</v>
      </c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518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520</v>
      </c>
      <c r="C334" s="50" t="s">
        <v>1161</v>
      </c>
      <c r="D334" s="50" t="s">
        <v>519</v>
      </c>
      <c r="E334" s="50" t="s">
        <v>73</v>
      </c>
      <c r="F334" s="50" t="s">
        <v>1152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t="s">
        <v>232</v>
      </c>
      <c r="B335" s="44" t="s">
        <v>1194</v>
      </c>
      <c r="C335" s="51" t="s">
        <v>1161</v>
      </c>
      <c r="D335" t="s">
        <v>1195</v>
      </c>
      <c r="E335" s="9" t="s">
        <v>19</v>
      </c>
      <c r="F335" s="9" t="s">
        <v>28</v>
      </c>
      <c r="G335" s="50" t="s">
        <v>1196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1199</v>
      </c>
      <c r="C336" s="51" t="s">
        <v>1161</v>
      </c>
      <c r="D336" t="s">
        <v>1197</v>
      </c>
      <c r="E336" s="9" t="s">
        <v>19</v>
      </c>
      <c r="F336" s="9" t="s">
        <v>28</v>
      </c>
      <c r="G336" s="50" t="s">
        <v>1198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1201</v>
      </c>
      <c r="C337" s="51" t="s">
        <v>1161</v>
      </c>
      <c r="D337" t="s">
        <v>1202</v>
      </c>
      <c r="E337" s="9" t="s">
        <v>19</v>
      </c>
      <c r="F337" s="9" t="s">
        <v>28</v>
      </c>
      <c r="G337" s="50" t="s">
        <v>1203</v>
      </c>
      <c r="H337" s="52">
        <f t="shared" ref="H337" si="24">COUNTIF(K337:AN337,"")</f>
        <v>29</v>
      </c>
      <c r="I337" s="52">
        <f t="shared" ref="I337" si="25">COUNTIF(K337:AL337,"APAGADO")</f>
        <v>1</v>
      </c>
      <c r="J337" s="53">
        <f t="shared" ref="J337" si="26">(H337)/(I337+H337)</f>
        <v>0.96666666666666667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 t="s">
        <v>1200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s="50" t="s">
        <v>522</v>
      </c>
      <c r="B338" s="50" t="s">
        <v>1130</v>
      </c>
      <c r="C338" s="50" t="s">
        <v>1161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1200</v>
      </c>
      <c r="O338" s="26" t="s">
        <v>1200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1131</v>
      </c>
      <c r="C339" s="50" t="s">
        <v>1161</v>
      </c>
      <c r="D339" s="50" t="s">
        <v>551</v>
      </c>
      <c r="E339" s="50" t="s">
        <v>15</v>
      </c>
      <c r="F339" s="50" t="s">
        <v>1152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524</v>
      </c>
      <c r="C340" s="50" t="s">
        <v>1161</v>
      </c>
      <c r="D340" s="50" t="s">
        <v>525</v>
      </c>
      <c r="E340" s="50" t="s">
        <v>15</v>
      </c>
      <c r="F340" s="50" t="s">
        <v>1153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1200</v>
      </c>
      <c r="N340" s="8" t="s">
        <v>1200</v>
      </c>
      <c r="O340" s="26" t="s">
        <v>1200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527</v>
      </c>
      <c r="C341" s="50" t="s">
        <v>1161</v>
      </c>
      <c r="D341" s="50" t="s">
        <v>528</v>
      </c>
      <c r="E341" s="50" t="s">
        <v>15</v>
      </c>
      <c r="F341" s="50" t="s">
        <v>1153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1200</v>
      </c>
      <c r="N341" s="8" t="s">
        <v>1200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529</v>
      </c>
      <c r="C342" s="50" t="s">
        <v>1161</v>
      </c>
      <c r="D342" s="50" t="s">
        <v>1189</v>
      </c>
      <c r="E342" s="50" t="s">
        <v>15</v>
      </c>
      <c r="F342" s="50" t="s">
        <v>1153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526</v>
      </c>
      <c r="B343" s="50" t="s">
        <v>532</v>
      </c>
      <c r="C343" s="50" t="s">
        <v>1161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1200</v>
      </c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1132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1133</v>
      </c>
      <c r="C345" s="50" t="s">
        <v>1161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1200</v>
      </c>
      <c r="O345" s="26" t="s">
        <v>1200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534</v>
      </c>
      <c r="C346" s="50" t="s">
        <v>1161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535</v>
      </c>
      <c r="C347" s="50" t="s">
        <v>1161</v>
      </c>
      <c r="D347" s="50" t="s">
        <v>1190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1200</v>
      </c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536</v>
      </c>
      <c r="C348" s="50" t="s">
        <v>1161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538</v>
      </c>
      <c r="C349" s="50" t="s">
        <v>1161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1200</v>
      </c>
      <c r="O349" s="26" t="s">
        <v>1200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540</v>
      </c>
      <c r="C350" s="50" t="s">
        <v>1161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542</v>
      </c>
      <c r="C351" s="50" t="s">
        <v>1161</v>
      </c>
      <c r="D351" s="50" t="s">
        <v>1168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543</v>
      </c>
      <c r="C352" s="50" t="s">
        <v>1160</v>
      </c>
      <c r="D352" s="50" t="s">
        <v>1167</v>
      </c>
      <c r="E352" s="50"/>
      <c r="F352" s="50" t="s">
        <v>1153</v>
      </c>
      <c r="G352" s="50" t="s">
        <v>926</v>
      </c>
      <c r="H352" s="52">
        <f t="shared" si="21"/>
        <v>24</v>
      </c>
      <c r="I352" s="16">
        <f t="shared" si="22"/>
        <v>6</v>
      </c>
      <c r="J352" s="17">
        <f t="shared" si="23"/>
        <v>0.8</v>
      </c>
      <c r="K352" s="26"/>
      <c r="L352" s="8" t="s">
        <v>1200</v>
      </c>
      <c r="M352" s="8" t="s">
        <v>1200</v>
      </c>
      <c r="N352" s="8" t="s">
        <v>1200</v>
      </c>
      <c r="O352" s="26"/>
      <c r="P352" s="26"/>
      <c r="Q352" s="8"/>
      <c r="R352" s="8"/>
      <c r="S352" s="8" t="s">
        <v>1200</v>
      </c>
      <c r="T352" s="26" t="s">
        <v>1200</v>
      </c>
      <c r="U352" s="26" t="s">
        <v>1200</v>
      </c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544</v>
      </c>
      <c r="C353" s="50" t="s">
        <v>1161</v>
      </c>
      <c r="D353" s="50" t="s">
        <v>545</v>
      </c>
      <c r="E353" s="50" t="s">
        <v>19</v>
      </c>
      <c r="F353" s="50" t="s">
        <v>1152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546</v>
      </c>
      <c r="C354" s="50" t="s">
        <v>1161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549</v>
      </c>
      <c r="C355" s="50" t="s">
        <v>1161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1200</v>
      </c>
      <c r="N355" s="8" t="s">
        <v>1200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526</v>
      </c>
      <c r="B356" s="50" t="s">
        <v>1135</v>
      </c>
      <c r="C356" s="50" t="s">
        <v>1161</v>
      </c>
      <c r="D356" s="50" t="s">
        <v>521</v>
      </c>
      <c r="E356" s="50" t="s">
        <v>15</v>
      </c>
      <c r="F356" s="50" t="s">
        <v>1153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1136</v>
      </c>
      <c r="C357" s="50" t="s">
        <v>1161</v>
      </c>
      <c r="D357" s="50" t="s">
        <v>523</v>
      </c>
      <c r="E357" s="50" t="s">
        <v>19</v>
      </c>
      <c r="F357" s="50" t="s">
        <v>1153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1137</v>
      </c>
      <c r="C358" s="50" t="s">
        <v>1161</v>
      </c>
      <c r="D358" s="50" t="s">
        <v>530</v>
      </c>
      <c r="E358" s="50" t="s">
        <v>15</v>
      </c>
      <c r="F358" s="50" t="s">
        <v>1153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1200</v>
      </c>
      <c r="O358" s="26" t="s">
        <v>1200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1138</v>
      </c>
      <c r="C359" s="50" t="s">
        <v>1161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553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25</v>
      </c>
      <c r="I360" s="16">
        <f t="shared" si="22"/>
        <v>5</v>
      </c>
      <c r="J360" s="17">
        <f t="shared" si="23"/>
        <v>0.83333333333333337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 t="s">
        <v>1200</v>
      </c>
      <c r="T360" s="26" t="s">
        <v>1200</v>
      </c>
      <c r="U360" s="26" t="s">
        <v>1200</v>
      </c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555</v>
      </c>
      <c r="C361" s="50" t="s">
        <v>1160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25</v>
      </c>
      <c r="I361" s="16">
        <f t="shared" si="22"/>
        <v>5</v>
      </c>
      <c r="J361" s="17">
        <f t="shared" si="23"/>
        <v>0.83333333333333337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 t="s">
        <v>1200</v>
      </c>
      <c r="T361" s="26" t="s">
        <v>1200</v>
      </c>
      <c r="U361" s="26" t="s">
        <v>1200</v>
      </c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415</v>
      </c>
      <c r="B362" s="50" t="s">
        <v>1139</v>
      </c>
      <c r="C362" s="50" t="s">
        <v>1160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1200</v>
      </c>
      <c r="M362" s="8" t="s">
        <v>1200</v>
      </c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297</v>
      </c>
      <c r="B363" s="50" t="s">
        <v>1140</v>
      </c>
      <c r="C363" s="50" t="s">
        <v>1160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1200</v>
      </c>
      <c r="M363" s="8"/>
      <c r="N363" s="8" t="s">
        <v>1200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556</v>
      </c>
      <c r="C364" s="50" t="s">
        <v>1160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1160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1200</v>
      </c>
      <c r="M366" s="8" t="s">
        <v>1200</v>
      </c>
      <c r="N366" s="8" t="s">
        <v>1200</v>
      </c>
      <c r="O366" s="26" t="s">
        <v>1200</v>
      </c>
      <c r="P366" s="26" t="s">
        <v>1200</v>
      </c>
      <c r="Q366" s="8" t="s">
        <v>1200</v>
      </c>
      <c r="R366" s="8" t="s">
        <v>1200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1160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566</v>
      </c>
      <c r="C369" s="50" t="s">
        <v>1160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1200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568</v>
      </c>
      <c r="C370" s="50" t="s">
        <v>1160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30</v>
      </c>
      <c r="I370" s="16">
        <f t="shared" si="22"/>
        <v>0</v>
      </c>
      <c r="J370" s="17">
        <f t="shared" si="23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570</v>
      </c>
      <c r="C371" s="50" t="s">
        <v>1160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30</v>
      </c>
      <c r="I371" s="16">
        <f t="shared" si="22"/>
        <v>0</v>
      </c>
      <c r="J371" s="17">
        <f t="shared" si="23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572</v>
      </c>
      <c r="C372" s="50" t="s">
        <v>1160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574</v>
      </c>
      <c r="C373" s="50" t="s">
        <v>1160</v>
      </c>
      <c r="D373" s="50" t="s">
        <v>575</v>
      </c>
      <c r="E373" s="50" t="s">
        <v>19</v>
      </c>
      <c r="F373" s="50" t="s">
        <v>1153</v>
      </c>
      <c r="G373" s="50" t="s">
        <v>954</v>
      </c>
      <c r="H373" s="52">
        <f t="shared" si="21"/>
        <v>30</v>
      </c>
      <c r="I373" s="16">
        <f t="shared" si="22"/>
        <v>0</v>
      </c>
      <c r="J373" s="17">
        <f t="shared" si="23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486</v>
      </c>
      <c r="B374" s="50" t="s">
        <v>576</v>
      </c>
      <c r="C374" s="50" t="s">
        <v>1160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579</v>
      </c>
      <c r="C375" s="50" t="s">
        <v>1161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581</v>
      </c>
      <c r="C376" s="50" t="s">
        <v>1161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1141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1142</v>
      </c>
      <c r="C378" s="50" t="s">
        <v>1161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1143</v>
      </c>
      <c r="C379" s="50" t="s">
        <v>1161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1144</v>
      </c>
      <c r="C380" s="50" t="s">
        <v>1161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587</v>
      </c>
      <c r="C381" s="50" t="s">
        <v>1161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589</v>
      </c>
      <c r="C382" s="50" t="s">
        <v>1161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591</v>
      </c>
      <c r="C383" s="50" t="s">
        <v>1161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593</v>
      </c>
      <c r="C384" s="50" t="s">
        <v>1161</v>
      </c>
      <c r="D384" s="50" t="s">
        <v>1191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1145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1146</v>
      </c>
      <c r="C386" s="50" t="s">
        <v>1161</v>
      </c>
      <c r="D386" s="50" t="s">
        <v>1192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1147</v>
      </c>
      <c r="C387" s="50" t="s">
        <v>1161</v>
      </c>
      <c r="D387" s="50" t="s">
        <v>1148</v>
      </c>
      <c r="E387" s="50" t="s">
        <v>15</v>
      </c>
      <c r="F387" s="50" t="s">
        <v>28</v>
      </c>
      <c r="G387" s="50" t="s">
        <v>968</v>
      </c>
      <c r="H387" s="52">
        <f t="shared" si="29"/>
        <v>29</v>
      </c>
      <c r="I387" s="52">
        <f t="shared" si="30"/>
        <v>1</v>
      </c>
      <c r="J387" s="53">
        <f t="shared" si="31"/>
        <v>0.96666666666666667</v>
      </c>
      <c r="K387" s="26"/>
      <c r="L387" s="26"/>
      <c r="M387" s="26"/>
      <c r="N387" s="26"/>
      <c r="O387" s="26"/>
      <c r="P387" s="26"/>
      <c r="Q387" s="26"/>
      <c r="R387" s="26"/>
      <c r="S387" s="26" t="s">
        <v>1200</v>
      </c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594</v>
      </c>
      <c r="C388" s="50" t="s">
        <v>1161</v>
      </c>
      <c r="D388" s="50" t="s">
        <v>1193</v>
      </c>
      <c r="E388" s="50" t="s">
        <v>15</v>
      </c>
      <c r="F388" s="50" t="s">
        <v>28</v>
      </c>
      <c r="G388" s="50"/>
      <c r="H388" s="52">
        <f t="shared" si="29"/>
        <v>30</v>
      </c>
      <c r="I388" s="52">
        <f t="shared" si="30"/>
        <v>0</v>
      </c>
      <c r="J388" s="53">
        <f t="shared" si="31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1149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1150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596</v>
      </c>
      <c r="C391" s="50" t="s">
        <v>1161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599</v>
      </c>
      <c r="C392" s="50" t="s">
        <v>1161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600</v>
      </c>
      <c r="B393" s="50" t="s">
        <v>601</v>
      </c>
      <c r="C393" s="50" t="s">
        <v>1161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605</v>
      </c>
      <c r="C394" s="50" t="s">
        <v>1161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607</v>
      </c>
      <c r="C395" s="50" t="s">
        <v>1161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1200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1151</v>
      </c>
      <c r="C396" s="50" t="s">
        <v>1161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609</v>
      </c>
      <c r="C397" s="50" t="s">
        <v>1161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1161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1200</v>
      </c>
      <c r="N398" s="26" t="s">
        <v>1200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1161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1161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 t="str">
        <f>'RESUMEN TOTAL'!U31</f>
        <v>APAGADO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 t="str">
        <f>'RESUMEN TOTAL'!U59</f>
        <v>APAGADO</v>
      </c>
      <c r="Q56" t="str">
        <f>'RESUMEN TOTAL'!V59</f>
        <v>APAGADO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 t="str">
        <f>'RESUMEN TOTAL'!U76</f>
        <v>APAGADO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 t="str">
        <f>'RESUMEN TOTAL'!U79</f>
        <v>APAGADO</v>
      </c>
      <c r="Q76" t="str">
        <f>'RESUMEN TOTAL'!V79</f>
        <v>APAGADO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 t="str">
        <f>'RESUMEN TOTAL'!U104</f>
        <v>APAGADO</v>
      </c>
      <c r="Q101" t="str">
        <f>'RESUMEN TOTAL'!V104</f>
        <v>APAGADO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 t="str">
        <f>'RESUMEN TOTAL'!U116</f>
        <v>APAGADO</v>
      </c>
      <c r="Q113" t="str">
        <f>'RESUMEN TOTAL'!V116</f>
        <v>APAGADO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 t="str">
        <f>'RESUMEN TOTAL'!U125</f>
        <v>APAGADO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 t="str">
        <f>'RESUMEN TOTAL'!U132</f>
        <v>APAGADO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 t="str">
        <f>'RESUMEN TOTAL'!V152</f>
        <v>APAGADO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 t="str">
        <f>'RESUMEN TOTAL'!V154</f>
        <v>APAGADO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 t="str">
        <f>'RESUMEN TOTAL'!V155</f>
        <v>APAGADO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 t="str">
        <f>'RESUMEN TOTAL'!U156</f>
        <v>APAGADO</v>
      </c>
      <c r="Q153" t="str">
        <f>'RESUMEN TOTAL'!V156</f>
        <v>APAGADO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 t="str">
        <f>'RESUMEN TOTAL'!V158</f>
        <v>APAGADO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 t="str">
        <f>'RESUMEN TOTAL'!V161</f>
        <v>APAGADO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 t="str">
        <f>'RESUMEN TOTAL'!V162</f>
        <v>APAGADO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 t="str">
        <f>'RESUMEN TOTAL'!U205</f>
        <v>APAGADO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 t="str">
        <f>'RESUMEN TOTAL'!U206</f>
        <v>APAGADO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 t="str">
        <f>'RESUMEN TOTAL'!V222</f>
        <v>APAGADO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 t="str">
        <f>'RESUMEN TOTAL'!U226</f>
        <v>APAGADO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 t="str">
        <f>'RESUMEN TOTAL'!V244</f>
        <v>APAGADO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 t="str">
        <f>'RESUMEN TOTAL'!V245</f>
        <v>APAGADO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25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25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25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25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25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25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25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25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25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25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25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25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25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25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25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25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25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 t="str">
        <f>'RESUMEN TOTAL'!U332</f>
        <v>APAGADO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25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25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25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25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25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25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25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25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25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25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25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25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25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25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25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25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25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 t="str">
        <f>'RESUMEN TOTAL'!U352</f>
        <v>APAGADO</v>
      </c>
      <c r="Q345">
        <f>'RESUMEN TOTAL'!V352</f>
        <v>0</v>
      </c>
      <c r="R345">
        <f>'RESUMEN TOTAL'!W352</f>
        <v>0</v>
      </c>
      <c r="S345">
        <f>'RESUMEN TOTAL'!X352</f>
        <v>0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25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25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25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25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25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25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25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25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 t="str">
        <f>'RESUMEN TOTAL'!U360</f>
        <v>APAGADO</v>
      </c>
      <c r="Q353">
        <f>'RESUMEN TOTAL'!V360</f>
        <v>0</v>
      </c>
      <c r="R353">
        <f>'RESUMEN TOTAL'!W360</f>
        <v>0</v>
      </c>
      <c r="S353">
        <f>'RESUMEN TOTAL'!X360</f>
        <v>0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25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 t="str">
        <f>'RESUMEN TOTAL'!U361</f>
        <v>APAGADO</v>
      </c>
      <c r="Q354">
        <f>'RESUMEN TOTAL'!V361</f>
        <v>0</v>
      </c>
      <c r="R354">
        <f>'RESUMEN TOTAL'!W361</f>
        <v>0</v>
      </c>
      <c r="S354">
        <f>'RESUMEN TOTAL'!X361</f>
        <v>0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25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25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25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25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25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25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25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25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25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25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25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25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25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25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25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25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25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25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25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25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OROÃ‘O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>
        <f>'RESUMEN TOTAL'!X387</f>
        <v>0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25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>
        <f>'RESUMEN TOTAL'!X388</f>
        <v>0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25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25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25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25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25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25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25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25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25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25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25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 t="str">
        <f>'RESUMEN TOTAL'!U337</f>
        <v>APAGADO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25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265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F10" sqref="F10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38">
        <v>44813</v>
      </c>
      <c r="G17" s="128"/>
      <c r="H17" s="112"/>
      <c r="I17" s="112"/>
      <c r="J17" s="112"/>
      <c r="K17" s="113"/>
      <c r="L17" s="129"/>
      <c r="M17" s="144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39"/>
      <c r="G18" s="128"/>
      <c r="H18" s="112"/>
      <c r="I18" s="112"/>
      <c r="J18" s="112"/>
      <c r="K18" s="113"/>
      <c r="L18" s="129"/>
      <c r="M18" s="144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39"/>
      <c r="G19" s="128"/>
      <c r="H19" s="112"/>
      <c r="I19" s="112"/>
      <c r="J19" s="112"/>
      <c r="K19" s="113"/>
      <c r="L19" s="129"/>
      <c r="M19" s="144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39"/>
      <c r="G20" s="128"/>
      <c r="H20" s="112"/>
      <c r="I20" s="112"/>
      <c r="J20" s="112"/>
      <c r="K20" s="113"/>
      <c r="L20" s="129"/>
      <c r="M20" s="144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0"/>
      <c r="G21" s="121"/>
      <c r="H21" s="122"/>
      <c r="I21" s="122"/>
      <c r="J21" s="122"/>
      <c r="K21" s="122"/>
      <c r="L21" s="123"/>
      <c r="M21" s="145"/>
    </row>
    <row r="22" spans="1:14" ht="15.75" thickTop="1" x14ac:dyDescent="0.25">
      <c r="A22" s="87"/>
      <c r="B22" s="88"/>
      <c r="C22" s="89"/>
      <c r="D22" s="90"/>
      <c r="E22" s="138"/>
    </row>
    <row r="23" spans="1:14" ht="15.75" thickBot="1" x14ac:dyDescent="0.3">
      <c r="A23" s="91"/>
      <c r="B23" s="92"/>
      <c r="C23" s="93"/>
      <c r="D23" s="94"/>
      <c r="E23" s="139"/>
    </row>
    <row r="24" spans="1:14" ht="15.75" thickTop="1" x14ac:dyDescent="0.25">
      <c r="A24" s="91"/>
      <c r="B24" s="92"/>
      <c r="C24" s="93"/>
      <c r="D24" s="94"/>
      <c r="E24" s="139"/>
      <c r="G24" s="115"/>
      <c r="H24" s="116"/>
      <c r="I24" s="116"/>
      <c r="J24" s="116"/>
      <c r="K24" s="117"/>
      <c r="L24" s="118"/>
      <c r="M24" s="143"/>
    </row>
    <row r="25" spans="1:14" x14ac:dyDescent="0.25">
      <c r="A25" s="91"/>
      <c r="B25" s="92"/>
      <c r="C25" s="93"/>
      <c r="D25" s="94"/>
      <c r="E25" s="139"/>
      <c r="G25" s="119"/>
      <c r="H25" s="112"/>
      <c r="I25" s="112"/>
      <c r="J25" s="112"/>
      <c r="K25" s="113"/>
      <c r="L25" s="120"/>
      <c r="M25" s="144"/>
    </row>
    <row r="26" spans="1:14" ht="15.75" thickBot="1" x14ac:dyDescent="0.3">
      <c r="A26" s="103"/>
      <c r="B26" s="104"/>
      <c r="C26" s="105"/>
      <c r="D26" s="106"/>
      <c r="E26" s="140"/>
      <c r="G26" s="119"/>
      <c r="H26" s="112"/>
      <c r="I26" s="112"/>
      <c r="J26" s="112"/>
      <c r="K26" s="113"/>
      <c r="L26" s="120"/>
      <c r="M26" s="144"/>
    </row>
    <row r="27" spans="1:14" ht="15.75" thickTop="1" x14ac:dyDescent="0.25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25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.75" thickBot="1" x14ac:dyDescent="0.3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6.5" thickTop="1" thickBot="1" x14ac:dyDescent="0.3">
      <c r="A30" s="91"/>
      <c r="B30" s="92"/>
      <c r="C30" s="93"/>
      <c r="D30" s="94"/>
      <c r="E30" s="139"/>
    </row>
    <row r="31" spans="1:14" ht="16.5" thickTop="1" thickBot="1" x14ac:dyDescent="0.3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.75" thickTop="1" x14ac:dyDescent="0.25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.75" thickBot="1" x14ac:dyDescent="0.3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.75" thickTop="1" x14ac:dyDescent="0.25">
      <c r="A34" s="91"/>
      <c r="B34" s="92"/>
      <c r="C34" s="93"/>
      <c r="D34" s="94"/>
      <c r="E34" s="139"/>
      <c r="G34" s="134"/>
      <c r="K34" s="135"/>
    </row>
    <row r="35" spans="1:14" x14ac:dyDescent="0.25">
      <c r="A35" s="91"/>
      <c r="B35" s="92"/>
      <c r="C35" s="93"/>
      <c r="D35" s="94"/>
      <c r="E35" s="139"/>
      <c r="G35" s="134"/>
      <c r="K35" s="135"/>
    </row>
    <row r="36" spans="1:14" ht="15.75" thickBot="1" x14ac:dyDescent="0.3">
      <c r="A36" s="103"/>
      <c r="B36" s="104"/>
      <c r="C36" s="105"/>
      <c r="D36" s="106"/>
      <c r="E36" s="140"/>
      <c r="G36" s="134"/>
      <c r="K36" s="135"/>
    </row>
    <row r="37" spans="1:14" ht="15.75" thickTop="1" x14ac:dyDescent="0.25">
      <c r="A37" s="87"/>
      <c r="B37" s="88"/>
      <c r="C37" s="89"/>
      <c r="D37" s="90"/>
      <c r="E37" s="138"/>
      <c r="G37" s="134"/>
      <c r="K37" s="135"/>
    </row>
    <row r="38" spans="1:14" x14ac:dyDescent="0.25">
      <c r="A38" s="91"/>
      <c r="B38" s="92"/>
      <c r="C38" s="93"/>
      <c r="D38" s="94"/>
      <c r="E38" s="139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39"/>
    </row>
    <row r="40" spans="1:14" ht="15.75" thickTop="1" x14ac:dyDescent="0.25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.75" thickBot="1" x14ac:dyDescent="0.3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25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25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25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.75" thickBot="1" x14ac:dyDescent="0.3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6.5" thickTop="1" thickBot="1" x14ac:dyDescent="0.3">
      <c r="A46" s="103"/>
      <c r="B46" s="104"/>
      <c r="C46" s="105"/>
      <c r="D46" s="106"/>
      <c r="E46" s="140"/>
    </row>
    <row r="47" spans="1:14" ht="15.75" thickTop="1" x14ac:dyDescent="0.25">
      <c r="A47" s="87"/>
      <c r="B47" s="88"/>
      <c r="C47" s="89"/>
      <c r="D47" s="90"/>
      <c r="E47" s="138"/>
      <c r="G47" s="134"/>
      <c r="K47" s="135"/>
    </row>
    <row r="48" spans="1:14" x14ac:dyDescent="0.25">
      <c r="A48" s="91"/>
      <c r="B48" s="92"/>
      <c r="C48" s="93"/>
      <c r="D48" s="94"/>
      <c r="E48" s="139"/>
      <c r="G48" s="134"/>
      <c r="K48" s="135"/>
    </row>
    <row r="49" spans="1:11" x14ac:dyDescent="0.25">
      <c r="A49" s="91"/>
      <c r="B49" s="92"/>
      <c r="C49" s="93"/>
      <c r="D49" s="94"/>
      <c r="E49" s="139"/>
      <c r="G49" s="134"/>
      <c r="K49" s="135"/>
    </row>
    <row r="50" spans="1:11" x14ac:dyDescent="0.25">
      <c r="A50" s="91"/>
      <c r="B50" s="92"/>
      <c r="C50" s="93"/>
      <c r="D50" s="94"/>
      <c r="E50" s="139"/>
      <c r="G50" s="134"/>
      <c r="K50" s="135"/>
    </row>
    <row r="51" spans="1:11" ht="15.75" thickBot="1" x14ac:dyDescent="0.3">
      <c r="A51" s="103"/>
      <c r="B51" s="104"/>
      <c r="C51" s="93"/>
      <c r="D51" s="106"/>
      <c r="E51" s="140"/>
      <c r="G51" s="134"/>
      <c r="K51" s="135"/>
    </row>
    <row r="52" spans="1:11" ht="15.75" thickTop="1" x14ac:dyDescent="0.25">
      <c r="A52" s="87"/>
      <c r="B52" s="88"/>
      <c r="C52" s="89"/>
      <c r="D52" s="90"/>
      <c r="E52" s="138"/>
      <c r="G52" s="134"/>
      <c r="K52" s="135"/>
    </row>
    <row r="53" spans="1:11" x14ac:dyDescent="0.25">
      <c r="A53" s="91"/>
      <c r="B53" s="92"/>
      <c r="C53" s="93"/>
      <c r="D53" s="94"/>
      <c r="E53" s="139"/>
      <c r="G53" s="134"/>
      <c r="K53" s="135"/>
    </row>
    <row r="54" spans="1:11" x14ac:dyDescent="0.25">
      <c r="A54" s="91"/>
      <c r="B54" s="92"/>
      <c r="C54" s="93"/>
      <c r="D54" s="94"/>
      <c r="E54" s="139"/>
    </row>
    <row r="55" spans="1:11" x14ac:dyDescent="0.25">
      <c r="A55" s="91"/>
      <c r="B55" s="92"/>
      <c r="C55" s="93"/>
      <c r="D55" s="94"/>
      <c r="E55" s="139"/>
    </row>
    <row r="56" spans="1:11" ht="15.75" thickBot="1" x14ac:dyDescent="0.3">
      <c r="A56" s="103"/>
      <c r="B56" s="104"/>
      <c r="C56" s="93"/>
      <c r="D56" s="106"/>
      <c r="E56" s="140"/>
    </row>
    <row r="57" spans="1:11" ht="15.75" thickTop="1" x14ac:dyDescent="0.25">
      <c r="A57" s="87"/>
      <c r="B57" s="88"/>
      <c r="C57" s="89"/>
      <c r="D57" s="90"/>
      <c r="E57" s="138"/>
    </row>
    <row r="58" spans="1:11" x14ac:dyDescent="0.25">
      <c r="A58" s="91"/>
      <c r="B58" s="92"/>
      <c r="C58" s="93"/>
      <c r="D58" s="94"/>
      <c r="E58" s="139"/>
    </row>
    <row r="59" spans="1:11" x14ac:dyDescent="0.25">
      <c r="A59" s="91"/>
      <c r="B59" s="92"/>
      <c r="C59" s="93"/>
      <c r="D59" s="94"/>
      <c r="E59" s="139"/>
    </row>
    <row r="60" spans="1:11" x14ac:dyDescent="0.25">
      <c r="A60" s="91"/>
      <c r="B60" s="92"/>
      <c r="C60" s="93"/>
      <c r="D60" s="94"/>
      <c r="E60" s="139"/>
    </row>
    <row r="61" spans="1:11" ht="15.75" thickBot="1" x14ac:dyDescent="0.3">
      <c r="A61" s="103"/>
      <c r="B61" s="104"/>
      <c r="C61" s="93"/>
      <c r="D61" s="106"/>
      <c r="E61" s="140"/>
    </row>
    <row r="62" spans="1:11" ht="15.75" thickTop="1" x14ac:dyDescent="0.25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22" sqref="E2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22</v>
      </c>
      <c r="Q3" s="76">
        <f>COUNTIFS('RESUMEN TOTAL'!C5:C400, "=BONOMO",'RESUMEN TOTAL'!V5:V400,"=APAGADO")</f>
        <v>21</v>
      </c>
      <c r="R3" s="76">
        <f>COUNTIFS('RESUMEN TOTAL'!C5:C400, "=BONOMO",'RESUMEN TOTAL'!W5:W400,"=APAGADO")</f>
        <v>0</v>
      </c>
      <c r="S3" s="76">
        <f>COUNTIFS('RESUMEN TOTAL'!C5:C400, "=BONOMO",'RESUMEN TOTAL'!X5:X400,"=APAGADO")</f>
        <v>0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TOTAL'!C5:C400,"=COSEIDI")</f>
        <v>184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0.10377358490566038</v>
      </c>
      <c r="Q4" s="83">
        <f t="shared" ref="Q4" si="1">Q3/BONOMOcam</f>
        <v>9.9056603773584911E-2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10</v>
      </c>
      <c r="Q5" s="78">
        <f>COUNTIFS('RESUMEN TOTAL'!C7:C400, "=COSEIDI",'RESUMEN TOTAL'!V7:V400,"=APAGADO")</f>
        <v>5</v>
      </c>
      <c r="R5" s="78">
        <f>COUNTIFS('RESUMEN TOTAL'!C7:C400, "=COSEIDI",'RESUMEN TOTAL'!W7:W400,"=APAGADO")</f>
        <v>0</v>
      </c>
      <c r="S5" s="78">
        <f>COUNTIFS('RESUMEN TOTAL'!C7:C400, "=COSEIDI",'RESUMEN TOTAL'!X7:X400,"=APAGADO")</f>
        <v>0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5.434782608695652E-2</v>
      </c>
      <c r="Q6" s="82">
        <f t="shared" ref="Q6" si="3">Q5/COSEIDIcam</f>
        <v>2.717391304347826E-2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2022-09-12T11:49:21Z</dcterms:modified>
</cp:coreProperties>
</file>