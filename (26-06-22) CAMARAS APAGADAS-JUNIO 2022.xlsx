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B51371D4-0382-472B-9668-309B083EBAEF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4" l="1"/>
  <c r="C39" i="24"/>
  <c r="C40" i="24" s="1"/>
  <c r="F24" i="14"/>
  <c r="D24" i="14"/>
  <c r="C24" i="14"/>
  <c r="B24" i="14"/>
  <c r="E24" i="14" s="1"/>
  <c r="D33" i="24"/>
  <c r="C34" i="24"/>
  <c r="D34" i="24" s="1"/>
  <c r="F23" i="14"/>
  <c r="D23" i="14"/>
  <c r="C23" i="14"/>
  <c r="B23" i="14"/>
  <c r="E23" i="14" s="1"/>
  <c r="D28" i="24"/>
  <c r="C29" i="24"/>
  <c r="D29" i="24" s="1"/>
  <c r="F22" i="14"/>
  <c r="F21" i="14"/>
  <c r="F20" i="14"/>
  <c r="F19" i="14"/>
  <c r="F18" i="14"/>
  <c r="F17" i="14"/>
  <c r="F16" i="14"/>
  <c r="F15" i="14"/>
  <c r="D22" i="14"/>
  <c r="D21" i="14"/>
  <c r="B21" i="14" s="1"/>
  <c r="D20" i="14"/>
  <c r="B20" i="14" s="1"/>
  <c r="D19" i="14"/>
  <c r="B19" i="14" s="1"/>
  <c r="D17" i="14"/>
  <c r="B17" i="14" s="1"/>
  <c r="D16" i="14"/>
  <c r="B16" i="14" s="1"/>
  <c r="D15" i="14"/>
  <c r="B22" i="14"/>
  <c r="B15" i="14"/>
  <c r="F14" i="14"/>
  <c r="F13" i="14"/>
  <c r="F12" i="14"/>
  <c r="D14" i="14"/>
  <c r="B14" i="14" s="1"/>
  <c r="D13" i="14"/>
  <c r="D12" i="14"/>
  <c r="B12" i="14" s="1"/>
  <c r="B13" i="14"/>
  <c r="D23" i="24"/>
  <c r="C24" i="24"/>
  <c r="C25" i="24" s="1"/>
  <c r="F11" i="14"/>
  <c r="F10" i="14"/>
  <c r="D10" i="14"/>
  <c r="B10" i="14"/>
  <c r="D18" i="24"/>
  <c r="C19" i="24"/>
  <c r="C20" i="24" s="1"/>
  <c r="F9" i="14"/>
  <c r="D9" i="14"/>
  <c r="B9" i="14"/>
  <c r="D13" i="24"/>
  <c r="C14" i="24"/>
  <c r="C15" i="24" s="1"/>
  <c r="F8" i="14"/>
  <c r="D8" i="14"/>
  <c r="B8" i="14"/>
  <c r="D8" i="24"/>
  <c r="C9" i="24"/>
  <c r="D9" i="24" s="1"/>
  <c r="F7" i="14"/>
  <c r="F6" i="14"/>
  <c r="F5" i="14"/>
  <c r="D7" i="14"/>
  <c r="B7" i="14" s="1"/>
  <c r="D6" i="14"/>
  <c r="B6" i="14" s="1"/>
  <c r="D5" i="14"/>
  <c r="B5" i="14" s="1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G24" i="14"/>
  <c r="C35" i="24"/>
  <c r="G23" i="1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E7" i="14" s="1"/>
  <c r="G7" i="14" s="1"/>
  <c r="AG2" i="11"/>
  <c r="Z2" i="10"/>
  <c r="C22" i="14" s="1"/>
  <c r="E22" i="14" s="1"/>
  <c r="G22" i="14" s="1"/>
  <c r="X2" i="10"/>
  <c r="C20" i="14" s="1"/>
  <c r="E20" i="14" s="1"/>
  <c r="G20" i="14" s="1"/>
  <c r="Y2" i="10"/>
  <c r="C21" i="14" s="1"/>
  <c r="E21" i="14" s="1"/>
  <c r="G21" i="14" s="1"/>
  <c r="W2" i="10"/>
  <c r="C19" i="14" s="1"/>
  <c r="E19" i="14" s="1"/>
  <c r="G19" i="14" s="1"/>
  <c r="V2" i="10"/>
  <c r="E18" i="14" s="1"/>
  <c r="G18" i="14" s="1"/>
  <c r="U2" i="10"/>
  <c r="C17" i="14" s="1"/>
  <c r="E17" i="14" s="1"/>
  <c r="G17" i="14" s="1"/>
  <c r="T2" i="10"/>
  <c r="C16" i="14" s="1"/>
  <c r="E16" i="14" s="1"/>
  <c r="G16" i="14" s="1"/>
  <c r="R2" i="11"/>
  <c r="R2" i="10"/>
  <c r="C14" i="14" s="1"/>
  <c r="E14" i="14" s="1"/>
  <c r="G14" i="14" s="1"/>
  <c r="Q2" i="10"/>
  <c r="C13" i="14" s="1"/>
  <c r="E13" i="14" s="1"/>
  <c r="G13" i="14" s="1"/>
  <c r="S2" i="10"/>
  <c r="C15" i="14" s="1"/>
  <c r="E15" i="14" s="1"/>
  <c r="G15" i="14" s="1"/>
  <c r="P2" i="10"/>
  <c r="C12" i="14" s="1"/>
  <c r="E12" i="14" s="1"/>
  <c r="G12" i="14" s="1"/>
  <c r="J2" i="10"/>
  <c r="C6" i="14" s="1"/>
  <c r="E6" i="14" s="1"/>
  <c r="G6" i="14" s="1"/>
  <c r="O2" i="10"/>
  <c r="C11" i="14" s="1"/>
  <c r="N2" i="10"/>
  <c r="C10" i="14" s="1"/>
  <c r="E10" i="14" s="1"/>
  <c r="G10" i="14" s="1"/>
  <c r="M2" i="10"/>
  <c r="C9" i="14" s="1"/>
  <c r="E9" i="14" s="1"/>
  <c r="G9" i="14" s="1"/>
  <c r="L2" i="10"/>
  <c r="C8" i="14" s="1"/>
  <c r="E8" i="14" s="1"/>
  <c r="G8" i="14" s="1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J2" i="11"/>
  <c r="W2" i="11"/>
  <c r="I2" i="10"/>
  <c r="C5" i="14" s="1"/>
  <c r="E5" i="14" s="1"/>
  <c r="G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4" i="14" l="1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<sst xmlns="http://schemas.openxmlformats.org/spreadsheetml/2006/main" count="4214" uniqueCount="1371">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</sst>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8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N191" activePane="bottomRight" state="frozen"/>
      <selection pane="topRight" activeCell="M1" sqref="M1"/>
      <selection pane="bottomLeft" activeCell="A5" sqref="A5"/>
      <selection pane="bottomRight" activeCell="AN197" sqref="AN19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8.7999999999999995E-2</v>
      </c>
      <c r="AJ1" s="4">
        <f t="shared" si="0"/>
        <v>9.3333333333333338E-2</v>
      </c>
      <c r="AK1" s="4">
        <f t="shared" si="0"/>
        <v>0.10133333333333333</v>
      </c>
      <c r="AL1" s="4">
        <f t="shared" si="0"/>
        <v>9.0666666666666673E-2</v>
      </c>
      <c r="AM1" s="4">
        <f t="shared" si="0"/>
        <v>0.12266666666666666</v>
      </c>
      <c r="AN1" s="4">
        <f t="shared" si="0"/>
        <v>0.128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342</v>
      </c>
      <c r="AJ2" s="10">
        <f>COUNTIF(AJ5:AJ379, "")</f>
        <v>340</v>
      </c>
      <c r="AK2" s="10">
        <f>COUNTIF(AK5:AK379, "")</f>
        <v>337</v>
      </c>
      <c r="AL2" s="10">
        <f>COUNTIF(AL5:AL379, "")</f>
        <v>341</v>
      </c>
      <c r="AM2" s="10">
        <f t="shared" ref="AM2:AQ2" si="3">COUNTIF(AM5:AM379, "")</f>
        <v>329</v>
      </c>
      <c r="AN2" s="10">
        <f t="shared" si="3"/>
        <v>327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33</v>
      </c>
      <c r="AJ3" s="14">
        <f t="shared" si="4"/>
        <v>35</v>
      </c>
      <c r="AK3" s="14">
        <f t="shared" si="4"/>
        <v>38</v>
      </c>
      <c r="AL3" s="14">
        <f t="shared" si="4"/>
        <v>34</v>
      </c>
      <c r="AM3" s="14">
        <f t="shared" si="4"/>
        <v>46</v>
      </c>
      <c r="AN3" s="14">
        <f t="shared" si="4"/>
        <v>48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5</v>
      </c>
      <c r="M7" s="17">
        <f t="shared" si="6"/>
        <v>25</v>
      </c>
      <c r="N7" s="18">
        <f t="shared" si="7"/>
        <v>0.16666666666666666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 t="s">
        <v>1355</v>
      </c>
      <c r="AJ7" s="27" t="s">
        <v>1355</v>
      </c>
      <c r="AK7" s="8" t="s">
        <v>1355</v>
      </c>
      <c r="AL7" s="8" t="s">
        <v>1355</v>
      </c>
      <c r="AM7" s="8" t="s">
        <v>1355</v>
      </c>
      <c r="AN7" s="27" t="s">
        <v>1355</v>
      </c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29</v>
      </c>
      <c r="M19" s="17">
        <f t="shared" si="6"/>
        <v>1</v>
      </c>
      <c r="N19" s="18">
        <f t="shared" si="7"/>
        <v>0.96666666666666667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 t="s">
        <v>1355</v>
      </c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27</v>
      </c>
      <c r="M74" s="17">
        <f t="shared" si="9"/>
        <v>3</v>
      </c>
      <c r="N74" s="18">
        <f t="shared" si="10"/>
        <v>0.9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 t="s">
        <v>1355</v>
      </c>
      <c r="AM74" s="8" t="s">
        <v>1355</v>
      </c>
      <c r="AN74" s="27" t="s">
        <v>1355</v>
      </c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10</v>
      </c>
      <c r="M80" s="17">
        <f t="shared" si="9"/>
        <v>20</v>
      </c>
      <c r="N80" s="18">
        <f t="shared" si="10"/>
        <v>0.33333333333333331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 t="s">
        <v>1355</v>
      </c>
      <c r="AK80" s="8" t="s">
        <v>1355</v>
      </c>
      <c r="AL80" s="8" t="s">
        <v>1355</v>
      </c>
      <c r="AM80" s="8" t="s">
        <v>1355</v>
      </c>
      <c r="AN80" s="27" t="s">
        <v>1355</v>
      </c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11</v>
      </c>
      <c r="M83" s="17">
        <f t="shared" si="9"/>
        <v>19</v>
      </c>
      <c r="N83" s="18">
        <f t="shared" si="10"/>
        <v>0.36666666666666664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 t="s">
        <v>1355</v>
      </c>
      <c r="AK83" s="8" t="s">
        <v>1355</v>
      </c>
      <c r="AL83" s="8" t="s">
        <v>1355</v>
      </c>
      <c r="AM83" s="8" t="s">
        <v>1355</v>
      </c>
      <c r="AN83" s="27" t="s">
        <v>1355</v>
      </c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28</v>
      </c>
      <c r="M102" s="17">
        <f t="shared" si="9"/>
        <v>2</v>
      </c>
      <c r="N102" s="18">
        <f t="shared" si="10"/>
        <v>0.93333333333333335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 t="s">
        <v>1355</v>
      </c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27</v>
      </c>
      <c r="M104" s="17">
        <f t="shared" si="9"/>
        <v>3</v>
      </c>
      <c r="N104" s="18">
        <f t="shared" si="10"/>
        <v>0.9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1355</v>
      </c>
      <c r="AN104" s="27" t="s">
        <v>1355</v>
      </c>
      <c r="AO104" s="8"/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27</v>
      </c>
      <c r="M105" s="17">
        <f t="shared" si="9"/>
        <v>3</v>
      </c>
      <c r="N105" s="18">
        <f t="shared" si="10"/>
        <v>0.9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1355</v>
      </c>
      <c r="AN105" s="27" t="s">
        <v>1355</v>
      </c>
      <c r="AO105" s="8"/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5</v>
      </c>
      <c r="M120" s="17">
        <f t="shared" si="9"/>
        <v>25</v>
      </c>
      <c r="N120" s="18">
        <f t="shared" si="10"/>
        <v>0.16666666666666666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 t="s">
        <v>1355</v>
      </c>
      <c r="AJ120" s="27" t="s">
        <v>1355</v>
      </c>
      <c r="AK120" s="8" t="s">
        <v>1355</v>
      </c>
      <c r="AL120" s="8" t="s">
        <v>1355</v>
      </c>
      <c r="AM120" s="8" t="s">
        <v>1355</v>
      </c>
      <c r="AN120" s="27" t="s">
        <v>1355</v>
      </c>
      <c r="AO120" s="8"/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5</v>
      </c>
      <c r="M121" s="17">
        <f t="shared" si="9"/>
        <v>25</v>
      </c>
      <c r="N121" s="18">
        <f t="shared" si="10"/>
        <v>0.16666666666666666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 t="s">
        <v>1355</v>
      </c>
      <c r="AJ121" s="27" t="s">
        <v>1355</v>
      </c>
      <c r="AK121" s="8" t="s">
        <v>1355</v>
      </c>
      <c r="AL121" s="8" t="s">
        <v>1355</v>
      </c>
      <c r="AM121" s="8" t="s">
        <v>1355</v>
      </c>
      <c r="AN121" s="27" t="s">
        <v>1355</v>
      </c>
      <c r="AO121" s="8"/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28</v>
      </c>
      <c r="M129" s="17">
        <f t="shared" si="9"/>
        <v>2</v>
      </c>
      <c r="N129" s="18">
        <f t="shared" si="10"/>
        <v>0.93333333333333335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1355</v>
      </c>
      <c r="AN129" s="27" t="s">
        <v>1355</v>
      </c>
      <c r="AO129" s="8"/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28</v>
      </c>
      <c r="M130" s="17">
        <f t="shared" si="9"/>
        <v>2</v>
      </c>
      <c r="N130" s="18">
        <f t="shared" si="10"/>
        <v>0.93333333333333335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1355</v>
      </c>
      <c r="AN130" s="27" t="s">
        <v>1355</v>
      </c>
      <c r="AO130" s="8"/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6</v>
      </c>
      <c r="M133" s="17">
        <f t="shared" ref="M133:M196" si="12">COUNTIF(O133:AP133,"APAGADO")</f>
        <v>24</v>
      </c>
      <c r="N133" s="18">
        <f t="shared" ref="N133:N196" si="13">(L133)/(M133+L133)</f>
        <v>0.2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 t="s">
        <v>1355</v>
      </c>
      <c r="AJ133" s="27" t="s">
        <v>1355</v>
      </c>
      <c r="AK133" s="8" t="s">
        <v>1355</v>
      </c>
      <c r="AL133" s="8" t="s">
        <v>1355</v>
      </c>
      <c r="AM133" s="8" t="s">
        <v>1355</v>
      </c>
      <c r="AN133" s="27" t="s">
        <v>1355</v>
      </c>
      <c r="AO133" s="8"/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26</v>
      </c>
      <c r="M136" s="17">
        <f t="shared" si="12"/>
        <v>4</v>
      </c>
      <c r="N136" s="18">
        <f t="shared" si="13"/>
        <v>0.8666666666666667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 t="s">
        <v>1355</v>
      </c>
      <c r="AJ136" s="27"/>
      <c r="AK136" s="8" t="s">
        <v>1355</v>
      </c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28</v>
      </c>
      <c r="M138" s="17">
        <f t="shared" si="12"/>
        <v>2</v>
      </c>
      <c r="N138" s="18">
        <f t="shared" si="13"/>
        <v>0.93333333333333335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1355</v>
      </c>
      <c r="AN138" s="27" t="s">
        <v>1355</v>
      </c>
      <c r="AO138" s="8"/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28</v>
      </c>
      <c r="M139" s="17">
        <f t="shared" si="12"/>
        <v>2</v>
      </c>
      <c r="N139" s="18">
        <f t="shared" si="13"/>
        <v>0.93333333333333335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1355</v>
      </c>
      <c r="AN139" s="27" t="s">
        <v>1355</v>
      </c>
      <c r="AO139" s="8"/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28</v>
      </c>
      <c r="M140" s="17">
        <f t="shared" si="12"/>
        <v>2</v>
      </c>
      <c r="N140" s="18">
        <f t="shared" si="13"/>
        <v>0.93333333333333335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1355</v>
      </c>
      <c r="AN140" s="27" t="s">
        <v>1355</v>
      </c>
      <c r="AO140" s="8"/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28</v>
      </c>
      <c r="M141" s="17">
        <f t="shared" si="12"/>
        <v>2</v>
      </c>
      <c r="N141" s="18">
        <f t="shared" si="13"/>
        <v>0.93333333333333335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1355</v>
      </c>
      <c r="AN141" s="27" t="s">
        <v>1355</v>
      </c>
      <c r="AO141" s="8"/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6</v>
      </c>
      <c r="M166" s="17">
        <f t="shared" si="12"/>
        <v>24</v>
      </c>
      <c r="N166" s="18">
        <f t="shared" si="13"/>
        <v>0.2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 t="s">
        <v>1355</v>
      </c>
      <c r="AJ166" s="27" t="s">
        <v>1355</v>
      </c>
      <c r="AK166" s="8" t="s">
        <v>1355</v>
      </c>
      <c r="AL166" s="8" t="s">
        <v>1355</v>
      </c>
      <c r="AM166" s="8" t="s">
        <v>1355</v>
      </c>
      <c r="AN166" s="27" t="s">
        <v>1355</v>
      </c>
      <c r="AO166" s="8"/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27</v>
      </c>
      <c r="M167" s="17">
        <f t="shared" si="12"/>
        <v>3</v>
      </c>
      <c r="N167" s="18">
        <f t="shared" si="13"/>
        <v>0.9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 t="s">
        <v>1355</v>
      </c>
      <c r="AN167" s="27" t="s">
        <v>1355</v>
      </c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5</v>
      </c>
      <c r="M177" s="17">
        <f t="shared" si="12"/>
        <v>25</v>
      </c>
      <c r="N177" s="18">
        <f t="shared" si="13"/>
        <v>0.16666666666666666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 t="s">
        <v>1355</v>
      </c>
      <c r="AJ177" s="27" t="s">
        <v>1355</v>
      </c>
      <c r="AK177" s="8" t="s">
        <v>1355</v>
      </c>
      <c r="AL177" s="8" t="s">
        <v>1355</v>
      </c>
      <c r="AM177" s="8" t="s">
        <v>1355</v>
      </c>
      <c r="AN177" s="27" t="s">
        <v>1355</v>
      </c>
      <c r="AO177" s="8"/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10</v>
      </c>
      <c r="M185" s="17">
        <f t="shared" si="12"/>
        <v>20</v>
      </c>
      <c r="N185" s="18">
        <f t="shared" si="13"/>
        <v>0.33333333333333331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 t="s">
        <v>1355</v>
      </c>
      <c r="AK185" s="8" t="s">
        <v>1355</v>
      </c>
      <c r="AL185" s="8" t="s">
        <v>1355</v>
      </c>
      <c r="AM185" s="8" t="s">
        <v>1355</v>
      </c>
      <c r="AN185" s="27" t="s">
        <v>1355</v>
      </c>
      <c r="AO185" s="8"/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26</v>
      </c>
      <c r="M187" s="17">
        <f t="shared" si="12"/>
        <v>4</v>
      </c>
      <c r="N187" s="18">
        <f t="shared" si="13"/>
        <v>0.8666666666666667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 t="s">
        <v>1355</v>
      </c>
      <c r="AL187" s="8" t="s">
        <v>1355</v>
      </c>
      <c r="AM187" s="8" t="s">
        <v>1355</v>
      </c>
      <c r="AN187" s="27" t="s">
        <v>1355</v>
      </c>
      <c r="AO187" s="8"/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14</v>
      </c>
      <c r="M191" s="17">
        <f t="shared" si="12"/>
        <v>16</v>
      </c>
      <c r="N191" s="18">
        <f t="shared" si="13"/>
        <v>0.46666666666666667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 t="s">
        <v>1355</v>
      </c>
      <c r="AJ191" s="27" t="s">
        <v>1355</v>
      </c>
      <c r="AK191" s="8" t="s">
        <v>1355</v>
      </c>
      <c r="AL191" s="8" t="s">
        <v>1355</v>
      </c>
      <c r="AM191" s="8" t="s">
        <v>1355</v>
      </c>
      <c r="AN191" s="27" t="s">
        <v>1355</v>
      </c>
      <c r="AO191" s="8"/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14</v>
      </c>
      <c r="M192" s="17">
        <f t="shared" si="12"/>
        <v>16</v>
      </c>
      <c r="N192" s="18">
        <f t="shared" si="13"/>
        <v>0.46666666666666667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 t="s">
        <v>1355</v>
      </c>
      <c r="AJ192" s="27" t="s">
        <v>1355</v>
      </c>
      <c r="AK192" s="8" t="s">
        <v>1355</v>
      </c>
      <c r="AL192" s="8" t="s">
        <v>1355</v>
      </c>
      <c r="AM192" s="8" t="s">
        <v>1355</v>
      </c>
      <c r="AN192" s="27" t="s">
        <v>1355</v>
      </c>
      <c r="AO192" s="8"/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16</v>
      </c>
      <c r="M194" s="17">
        <f t="shared" si="12"/>
        <v>14</v>
      </c>
      <c r="N194" s="18">
        <f t="shared" si="13"/>
        <v>0.53333333333333333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 t="s">
        <v>1355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28</v>
      </c>
      <c r="M195" s="17">
        <f t="shared" si="12"/>
        <v>2</v>
      </c>
      <c r="N195" s="18">
        <f t="shared" si="13"/>
        <v>0.93333333333333335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 t="s">
        <v>1355</v>
      </c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28</v>
      </c>
      <c r="M196" s="17">
        <f t="shared" si="12"/>
        <v>2</v>
      </c>
      <c r="N196" s="18">
        <f t="shared" si="13"/>
        <v>0.93333333333333335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 t="s">
        <v>1355</v>
      </c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27</v>
      </c>
      <c r="M204" s="17">
        <f t="shared" si="15"/>
        <v>3</v>
      </c>
      <c r="N204" s="18">
        <f t="shared" si="16"/>
        <v>0.9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 t="s">
        <v>1355</v>
      </c>
      <c r="AK204" s="8" t="s">
        <v>1355</v>
      </c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27</v>
      </c>
      <c r="M205" s="17">
        <f t="shared" si="15"/>
        <v>3</v>
      </c>
      <c r="N205" s="18">
        <f t="shared" si="16"/>
        <v>0.9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 t="s">
        <v>1355</v>
      </c>
      <c r="AK205" s="8" t="s">
        <v>1355</v>
      </c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5</v>
      </c>
      <c r="M206" s="17">
        <f t="shared" si="15"/>
        <v>25</v>
      </c>
      <c r="N206" s="18">
        <f t="shared" si="16"/>
        <v>0.16666666666666666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 t="s">
        <v>1355</v>
      </c>
      <c r="AJ206" s="27" t="s">
        <v>1355</v>
      </c>
      <c r="AK206" s="8" t="s">
        <v>1355</v>
      </c>
      <c r="AL206" s="8" t="s">
        <v>1355</v>
      </c>
      <c r="AM206" s="8" t="s">
        <v>1355</v>
      </c>
      <c r="AN206" s="27" t="s">
        <v>1355</v>
      </c>
      <c r="AO206" s="8"/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5</v>
      </c>
      <c r="M207" s="17">
        <f t="shared" si="15"/>
        <v>25</v>
      </c>
      <c r="N207" s="18">
        <f t="shared" si="16"/>
        <v>0.16666666666666666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 t="s">
        <v>1355</v>
      </c>
      <c r="AJ207" s="27" t="s">
        <v>1355</v>
      </c>
      <c r="AK207" s="8" t="s">
        <v>1355</v>
      </c>
      <c r="AL207" s="8" t="s">
        <v>1355</v>
      </c>
      <c r="AM207" s="8" t="s">
        <v>1355</v>
      </c>
      <c r="AN207" s="27" t="s">
        <v>1355</v>
      </c>
      <c r="AO207" s="8"/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7</v>
      </c>
      <c r="M209" s="17">
        <f t="shared" si="15"/>
        <v>23</v>
      </c>
      <c r="N209" s="18">
        <f t="shared" si="16"/>
        <v>0.23333333333333334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 t="s">
        <v>1355</v>
      </c>
      <c r="AJ209" s="27" t="s">
        <v>1355</v>
      </c>
      <c r="AK209" s="8" t="s">
        <v>1355</v>
      </c>
      <c r="AL209" s="8" t="s">
        <v>1355</v>
      </c>
      <c r="AM209" s="8" t="s">
        <v>1355</v>
      </c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6</v>
      </c>
      <c r="M210" s="17">
        <f t="shared" si="15"/>
        <v>24</v>
      </c>
      <c r="N210" s="18">
        <f t="shared" si="16"/>
        <v>0.2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 t="s">
        <v>1355</v>
      </c>
      <c r="AJ210" s="27" t="s">
        <v>1355</v>
      </c>
      <c r="AK210" s="8" t="s">
        <v>1355</v>
      </c>
      <c r="AL210" s="8" t="s">
        <v>1355</v>
      </c>
      <c r="AM210" s="8" t="s">
        <v>1355</v>
      </c>
      <c r="AN210" s="27" t="s">
        <v>1355</v>
      </c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5</v>
      </c>
      <c r="M211" s="17">
        <f t="shared" si="15"/>
        <v>25</v>
      </c>
      <c r="N211" s="18">
        <f t="shared" si="16"/>
        <v>0.16666666666666666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 t="s">
        <v>1355</v>
      </c>
      <c r="AJ211" s="27" t="s">
        <v>1355</v>
      </c>
      <c r="AK211" s="8" t="s">
        <v>1355</v>
      </c>
      <c r="AL211" s="8" t="s">
        <v>1355</v>
      </c>
      <c r="AM211" s="8" t="s">
        <v>1355</v>
      </c>
      <c r="AN211" s="27" t="s">
        <v>1355</v>
      </c>
      <c r="AO211" s="8"/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5</v>
      </c>
      <c r="M212" s="17">
        <f t="shared" si="15"/>
        <v>25</v>
      </c>
      <c r="N212" s="18">
        <f t="shared" si="16"/>
        <v>0.16666666666666666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 t="s">
        <v>1355</v>
      </c>
      <c r="AJ212" s="27" t="s">
        <v>1355</v>
      </c>
      <c r="AK212" s="8" t="s">
        <v>1355</v>
      </c>
      <c r="AL212" s="8" t="s">
        <v>1355</v>
      </c>
      <c r="AM212" s="8" t="s">
        <v>1355</v>
      </c>
      <c r="AN212" s="27" t="s">
        <v>1355</v>
      </c>
      <c r="AO212" s="8"/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25</v>
      </c>
      <c r="M214" s="17">
        <f t="shared" si="15"/>
        <v>5</v>
      </c>
      <c r="N214" s="18">
        <f t="shared" si="16"/>
        <v>0.83333333333333337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 t="s">
        <v>1355</v>
      </c>
      <c r="AM214" s="8"/>
      <c r="AN214" s="27" t="s">
        <v>1355</v>
      </c>
      <c r="AO214" s="8"/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5</v>
      </c>
      <c r="M231" s="17">
        <f t="shared" si="15"/>
        <v>25</v>
      </c>
      <c r="N231" s="18">
        <f t="shared" si="16"/>
        <v>0.16666666666666666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 t="s">
        <v>1355</v>
      </c>
      <c r="AJ231" s="27" t="s">
        <v>1355</v>
      </c>
      <c r="AK231" s="8" t="s">
        <v>1355</v>
      </c>
      <c r="AL231" s="8" t="s">
        <v>1355</v>
      </c>
      <c r="AM231" s="8" t="s">
        <v>1355</v>
      </c>
      <c r="AN231" s="27" t="s">
        <v>1355</v>
      </c>
      <c r="AO231" s="8"/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5</v>
      </c>
      <c r="M232" s="17">
        <f t="shared" si="15"/>
        <v>25</v>
      </c>
      <c r="N232" s="18">
        <f t="shared" si="16"/>
        <v>0.16666666666666666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 t="s">
        <v>1355</v>
      </c>
      <c r="AJ232" s="27" t="s">
        <v>1355</v>
      </c>
      <c r="AK232" s="8" t="s">
        <v>1355</v>
      </c>
      <c r="AL232" s="8" t="s">
        <v>1355</v>
      </c>
      <c r="AM232" s="8" t="s">
        <v>1355</v>
      </c>
      <c r="AN232" s="27" t="s">
        <v>1355</v>
      </c>
      <c r="AO232" s="8"/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28</v>
      </c>
      <c r="M271" s="17">
        <f t="shared" si="19"/>
        <v>2</v>
      </c>
      <c r="N271" s="18">
        <f t="shared" si="20"/>
        <v>0.93333333333333335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 t="s">
        <v>1355</v>
      </c>
      <c r="AM271" s="8" t="s">
        <v>1355</v>
      </c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24</v>
      </c>
      <c r="M282" s="17">
        <f t="shared" si="19"/>
        <v>6</v>
      </c>
      <c r="N282" s="18">
        <f t="shared" si="20"/>
        <v>0.8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 t="s">
        <v>1355</v>
      </c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13</v>
      </c>
      <c r="M303" s="17">
        <f t="shared" si="19"/>
        <v>17</v>
      </c>
      <c r="N303" s="18">
        <f t="shared" si="20"/>
        <v>0.43333333333333335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 t="s">
        <v>1355</v>
      </c>
      <c r="AJ303" s="27" t="s">
        <v>1355</v>
      </c>
      <c r="AK303" s="8" t="s">
        <v>1355</v>
      </c>
      <c r="AL303" s="8"/>
      <c r="AM303" s="8" t="s">
        <v>1355</v>
      </c>
      <c r="AN303" s="27" t="s">
        <v>1355</v>
      </c>
      <c r="AO303" s="8"/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28</v>
      </c>
      <c r="M304" s="17">
        <f t="shared" si="19"/>
        <v>2</v>
      </c>
      <c r="N304" s="18">
        <f t="shared" si="20"/>
        <v>0.93333333333333335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1355</v>
      </c>
      <c r="AN304" s="27" t="s">
        <v>1355</v>
      </c>
      <c r="AO304" s="8"/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28</v>
      </c>
      <c r="M305" s="17">
        <f t="shared" si="19"/>
        <v>2</v>
      </c>
      <c r="N305" s="18">
        <f t="shared" si="20"/>
        <v>0.93333333333333335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1355</v>
      </c>
      <c r="AN305" s="27" t="s">
        <v>1355</v>
      </c>
      <c r="AO305" s="8"/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28</v>
      </c>
      <c r="M306" s="17">
        <f t="shared" si="19"/>
        <v>2</v>
      </c>
      <c r="N306" s="18">
        <f t="shared" si="20"/>
        <v>0.93333333333333335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1355</v>
      </c>
      <c r="AN306" s="27" t="s">
        <v>1355</v>
      </c>
      <c r="AO306" s="8"/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28</v>
      </c>
      <c r="M307" s="17">
        <f t="shared" si="19"/>
        <v>2</v>
      </c>
      <c r="N307" s="18">
        <f t="shared" si="20"/>
        <v>0.93333333333333335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1355</v>
      </c>
      <c r="AN307" s="27" t="s">
        <v>1355</v>
      </c>
      <c r="AO307" s="8"/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26</v>
      </c>
      <c r="M308" s="17">
        <f t="shared" si="19"/>
        <v>4</v>
      </c>
      <c r="N308" s="18">
        <f t="shared" si="20"/>
        <v>0.8666666666666667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 t="s">
        <v>1355</v>
      </c>
      <c r="AL308" s="8" t="s">
        <v>1355</v>
      </c>
      <c r="AM308" s="8" t="s">
        <v>1355</v>
      </c>
      <c r="AN308" s="27" t="s">
        <v>1355</v>
      </c>
      <c r="AO308" s="8"/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24</v>
      </c>
      <c r="M310" s="17">
        <f t="shared" si="19"/>
        <v>6</v>
      </c>
      <c r="N310" s="18">
        <f t="shared" si="20"/>
        <v>0.8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 t="s">
        <v>1355</v>
      </c>
      <c r="AJ310" s="27" t="s">
        <v>1355</v>
      </c>
      <c r="AK310" s="8" t="s">
        <v>1355</v>
      </c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26</v>
      </c>
      <c r="M321" s="17">
        <f t="shared" si="19"/>
        <v>4</v>
      </c>
      <c r="N321" s="18">
        <f t="shared" si="20"/>
        <v>0.8666666666666667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 t="s">
        <v>1355</v>
      </c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24</v>
      </c>
      <c r="M325" s="17">
        <f t="shared" si="19"/>
        <v>6</v>
      </c>
      <c r="N325" s="18">
        <f t="shared" si="20"/>
        <v>0.8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 t="s">
        <v>1355</v>
      </c>
      <c r="AJ325" s="27" t="s">
        <v>1355</v>
      </c>
      <c r="AK325" s="8" t="s">
        <v>1355</v>
      </c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24</v>
      </c>
      <c r="M328" s="17">
        <f t="shared" si="22"/>
        <v>6</v>
      </c>
      <c r="N328" s="18">
        <f t="shared" si="23"/>
        <v>0.8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 t="s">
        <v>1355</v>
      </c>
      <c r="AJ328" s="27" t="s">
        <v>1355</v>
      </c>
      <c r="AK328" s="8" t="s">
        <v>1355</v>
      </c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24</v>
      </c>
      <c r="M329" s="17">
        <f t="shared" si="22"/>
        <v>6</v>
      </c>
      <c r="N329" s="18">
        <f t="shared" si="23"/>
        <v>0.8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 t="s">
        <v>1355</v>
      </c>
      <c r="AJ329" s="27" t="s">
        <v>1355</v>
      </c>
      <c r="AK329" s="8" t="s">
        <v>1355</v>
      </c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21</v>
      </c>
      <c r="M333" s="17">
        <f t="shared" si="22"/>
        <v>9</v>
      </c>
      <c r="N333" s="18">
        <f t="shared" si="23"/>
        <v>0.7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 t="s">
        <v>1355</v>
      </c>
      <c r="AJ333" s="27" t="s">
        <v>1355</v>
      </c>
      <c r="AK333" s="8" t="s">
        <v>1355</v>
      </c>
      <c r="AL333" s="8" t="s">
        <v>1355</v>
      </c>
      <c r="AM333" s="8" t="s">
        <v>1355</v>
      </c>
      <c r="AN333" s="27" t="s">
        <v>1355</v>
      </c>
      <c r="AO333" s="8"/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15</v>
      </c>
      <c r="M335" s="17">
        <f t="shared" si="22"/>
        <v>15</v>
      </c>
      <c r="N335" s="18">
        <f t="shared" si="23"/>
        <v>0.5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 t="s">
        <v>1355</v>
      </c>
      <c r="AJ335" s="27" t="s">
        <v>1355</v>
      </c>
      <c r="AK335" s="8" t="s">
        <v>1355</v>
      </c>
      <c r="AL335" s="8" t="s">
        <v>1355</v>
      </c>
      <c r="AM335" s="8" t="s">
        <v>1355</v>
      </c>
      <c r="AN335" s="27" t="s">
        <v>1355</v>
      </c>
      <c r="AO335" s="8"/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15</v>
      </c>
      <c r="M336" s="17">
        <f t="shared" si="22"/>
        <v>15</v>
      </c>
      <c r="N336" s="18">
        <f t="shared" si="23"/>
        <v>0.5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 t="s">
        <v>1355</v>
      </c>
      <c r="AJ336" s="27" t="s">
        <v>1355</v>
      </c>
      <c r="AK336" s="8" t="s">
        <v>1355</v>
      </c>
      <c r="AL336" s="8" t="s">
        <v>1355</v>
      </c>
      <c r="AM336" s="8" t="s">
        <v>1355</v>
      </c>
      <c r="AN336" s="27" t="s">
        <v>1355</v>
      </c>
      <c r="AO336" s="8"/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6</v>
      </c>
      <c r="M352" s="17">
        <f t="shared" si="22"/>
        <v>24</v>
      </c>
      <c r="N352" s="18">
        <f t="shared" si="23"/>
        <v>0.2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 t="s">
        <v>1355</v>
      </c>
      <c r="AJ352" s="27" t="s">
        <v>1355</v>
      </c>
      <c r="AK352" s="8"/>
      <c r="AL352" s="8" t="s">
        <v>1355</v>
      </c>
      <c r="AM352" s="8" t="s">
        <v>1355</v>
      </c>
      <c r="AN352" s="27" t="s">
        <v>1355</v>
      </c>
      <c r="AO352" s="8"/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28</v>
      </c>
      <c r="M355" s="17">
        <f t="shared" si="22"/>
        <v>2</v>
      </c>
      <c r="N355" s="18">
        <f t="shared" si="23"/>
        <v>0.93333333333333335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 t="s">
        <v>1355</v>
      </c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29</v>
      </c>
      <c r="M356" s="17">
        <f t="shared" si="22"/>
        <v>1</v>
      </c>
      <c r="N356" s="18">
        <f t="shared" si="23"/>
        <v>0.96666666666666667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 t="s">
        <v>1355</v>
      </c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29</v>
      </c>
      <c r="M357" s="17">
        <f t="shared" si="22"/>
        <v>1</v>
      </c>
      <c r="N357" s="18">
        <f t="shared" si="23"/>
        <v>0.96666666666666667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 t="s">
        <v>1355</v>
      </c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29</v>
      </c>
      <c r="M358" s="17">
        <f t="shared" si="22"/>
        <v>1</v>
      </c>
      <c r="N358" s="18">
        <f t="shared" si="23"/>
        <v>0.96666666666666667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1355</v>
      </c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5</v>
      </c>
      <c r="M359" s="17">
        <f t="shared" si="22"/>
        <v>25</v>
      </c>
      <c r="N359" s="18">
        <f t="shared" si="23"/>
        <v>0.16666666666666666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 t="s">
        <v>1355</v>
      </c>
      <c r="AJ359" s="27" t="s">
        <v>1355</v>
      </c>
      <c r="AK359" s="8" t="s">
        <v>1355</v>
      </c>
      <c r="AL359" s="8" t="s">
        <v>1355</v>
      </c>
      <c r="AM359" s="8" t="s">
        <v>1355</v>
      </c>
      <c r="AN359" s="27" t="s">
        <v>1355</v>
      </c>
      <c r="AO359" s="8"/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6</v>
      </c>
      <c r="M360" s="17">
        <f t="shared" si="22"/>
        <v>24</v>
      </c>
      <c r="N360" s="18">
        <f t="shared" si="23"/>
        <v>0.2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 t="s">
        <v>1355</v>
      </c>
      <c r="AJ360" s="27" t="s">
        <v>1355</v>
      </c>
      <c r="AK360" s="8" t="s">
        <v>1355</v>
      </c>
      <c r="AL360" s="8"/>
      <c r="AM360" s="8" t="s">
        <v>1355</v>
      </c>
      <c r="AN360" s="27" t="s">
        <v>1355</v>
      </c>
      <c r="AO360" s="8"/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6</v>
      </c>
      <c r="M361" s="17">
        <f t="shared" si="22"/>
        <v>24</v>
      </c>
      <c r="N361" s="18">
        <f t="shared" si="23"/>
        <v>0.2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 t="s">
        <v>1355</v>
      </c>
      <c r="AJ361" s="27" t="s">
        <v>1355</v>
      </c>
      <c r="AK361" s="8" t="s">
        <v>1355</v>
      </c>
      <c r="AL361" s="8"/>
      <c r="AM361" s="8" t="s">
        <v>1355</v>
      </c>
      <c r="AN361" s="27" t="s">
        <v>1355</v>
      </c>
      <c r="AO361" s="8"/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6</v>
      </c>
      <c r="M362" s="17">
        <f t="shared" si="22"/>
        <v>24</v>
      </c>
      <c r="N362" s="18">
        <f t="shared" si="23"/>
        <v>0.2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 t="s">
        <v>1355</v>
      </c>
      <c r="AJ362" s="27" t="s">
        <v>1355</v>
      </c>
      <c r="AK362" s="8" t="s">
        <v>1355</v>
      </c>
      <c r="AL362" s="8"/>
      <c r="AM362" s="8" t="s">
        <v>1355</v>
      </c>
      <c r="AN362" s="27" t="s">
        <v>1355</v>
      </c>
      <c r="AO362" s="8"/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11</v>
      </c>
      <c r="M363" s="17">
        <f t="shared" si="22"/>
        <v>19</v>
      </c>
      <c r="N363" s="18">
        <f t="shared" si="23"/>
        <v>0.36666666666666664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 t="s">
        <v>1355</v>
      </c>
      <c r="AJ363" s="27" t="s">
        <v>1355</v>
      </c>
      <c r="AK363" s="8" t="s">
        <v>1355</v>
      </c>
      <c r="AL363" s="8"/>
      <c r="AM363" s="8" t="s">
        <v>1355</v>
      </c>
      <c r="AN363" s="27" t="s">
        <v>1355</v>
      </c>
      <c r="AO363" s="8"/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84" priority="2136" operator="lessThan">
      <formula>0.8</formula>
    </cfRule>
    <cfRule type="cellIs" dxfId="78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8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81" priority="2131" operator="notContains" text="Caida">
      <formula>ISERROR(SEARCH("Caida",O95))</formula>
    </cfRule>
    <cfRule type="containsText" dxfId="780" priority="2132" operator="containsText" text="Caida">
      <formula>NOT(ISERROR(SEARCH("Caida",O95)))</formula>
    </cfRule>
  </conditionalFormatting>
  <conditionalFormatting sqref="E282:K282">
    <cfRule type="containsText" dxfId="779" priority="2104" operator="containsText" text="Radio">
      <formula>NOT(ISERROR(SEARCH("Radio",E282)))</formula>
    </cfRule>
  </conditionalFormatting>
  <conditionalFormatting sqref="E283:K283">
    <cfRule type="containsText" dxfId="778" priority="2079" operator="containsText" text="Radio">
      <formula>NOT(ISERROR(SEARCH("Radio",E283)))</formula>
    </cfRule>
  </conditionalFormatting>
  <conditionalFormatting sqref="E4:K4">
    <cfRule type="containsText" dxfId="777" priority="2054" operator="containsText" text="Radio">
      <formula>NOT(ISERROR(SEARCH("Radio",E4)))</formula>
    </cfRule>
  </conditionalFormatting>
  <conditionalFormatting sqref="E231:K231">
    <cfRule type="containsText" dxfId="776" priority="2053" operator="containsText" text="Radio">
      <formula>NOT(ISERROR(SEARCH("Radio",E231)))</formula>
    </cfRule>
  </conditionalFormatting>
  <conditionalFormatting sqref="E232:K232">
    <cfRule type="containsText" dxfId="775" priority="2028" operator="containsText" text="Radio">
      <formula>NOT(ISERROR(SEARCH("Radio",E232)))</formula>
    </cfRule>
  </conditionalFormatting>
  <conditionalFormatting sqref="E233:K233">
    <cfRule type="containsText" dxfId="774" priority="2003" operator="containsText" text="Radio">
      <formula>NOT(ISERROR(SEARCH("Radio",E233)))</formula>
    </cfRule>
  </conditionalFormatting>
  <conditionalFormatting sqref="E234:K234">
    <cfRule type="containsText" dxfId="773" priority="1978" operator="containsText" text="Radio">
      <formula>NOT(ISERROR(SEARCH("Radio",E234)))</formula>
    </cfRule>
  </conditionalFormatting>
  <conditionalFormatting sqref="E235:K235">
    <cfRule type="containsText" dxfId="772" priority="1953" operator="containsText" text="Radio">
      <formula>NOT(ISERROR(SEARCH("Radio",E235)))</formula>
    </cfRule>
  </conditionalFormatting>
  <conditionalFormatting sqref="E335:K335">
    <cfRule type="containsText" dxfId="771" priority="1904" operator="containsText" text="Radio">
      <formula>NOT(ISERROR(SEARCH("Radio",E335)))</formula>
    </cfRule>
  </conditionalFormatting>
  <conditionalFormatting sqref="E336:K336">
    <cfRule type="containsText" dxfId="770" priority="1879" operator="containsText" text="Radio">
      <formula>NOT(ISERROR(SEARCH("Radio",E336)))</formula>
    </cfRule>
  </conditionalFormatting>
  <conditionalFormatting sqref="E237:K237">
    <cfRule type="containsText" dxfId="769" priority="1854" operator="containsText" text="Radio">
      <formula>NOT(ISERROR(SEARCH("Radio",E237)))</formula>
    </cfRule>
  </conditionalFormatting>
  <conditionalFormatting sqref="E238:K238">
    <cfRule type="containsText" dxfId="768" priority="1829" operator="containsText" text="Radio">
      <formula>NOT(ISERROR(SEARCH("Radio",E238)))</formula>
    </cfRule>
  </conditionalFormatting>
  <conditionalFormatting sqref="E33:K35">
    <cfRule type="containsText" dxfId="767" priority="1804" operator="containsText" text="Radio">
      <formula>NOT(ISERROR(SEARCH("Radio",E33)))</formula>
    </cfRule>
  </conditionalFormatting>
  <conditionalFormatting sqref="E239:K239">
    <cfRule type="containsText" dxfId="766" priority="1779" operator="containsText" text="Radio">
      <formula>NOT(ISERROR(SEARCH("Radio",E239)))</formula>
    </cfRule>
  </conditionalFormatting>
  <conditionalFormatting sqref="E240:K240">
    <cfRule type="containsText" dxfId="765" priority="1754" operator="containsText" text="Radio">
      <formula>NOT(ISERROR(SEARCH("Radio",E240)))</formula>
    </cfRule>
  </conditionalFormatting>
  <conditionalFormatting sqref="E241:K241">
    <cfRule type="containsText" dxfId="764" priority="1729" operator="containsText" text="Radio">
      <formula>NOT(ISERROR(SEARCH("Radio",E241)))</formula>
    </cfRule>
  </conditionalFormatting>
  <conditionalFormatting sqref="E242:K242">
    <cfRule type="containsText" dxfId="763" priority="1704" operator="containsText" text="Radio">
      <formula>NOT(ISERROR(SEARCH("Radio",E242)))</formula>
    </cfRule>
  </conditionalFormatting>
  <conditionalFormatting sqref="P6:P92 P96:P230">
    <cfRule type="cellIs" dxfId="762" priority="1629" operator="lessThan">
      <formula>0.8</formula>
    </cfRule>
    <cfRule type="cellIs" dxfId="761" priority="1630" operator="greaterThan">
      <formula>0.8</formula>
    </cfRule>
  </conditionalFormatting>
  <conditionalFormatting sqref="P6:P92 P96:P230">
    <cfRule type="notContainsText" dxfId="760" priority="1627" operator="notContains" text="Caida">
      <formula>ISERROR(SEARCH("Caida",P6))</formula>
    </cfRule>
    <cfRule type="containsText" dxfId="759" priority="1628" operator="containsText" text="Caida">
      <formula>NOT(ISERROR(SEARCH("Caida",P6)))</formula>
    </cfRule>
  </conditionalFormatting>
  <conditionalFormatting sqref="P337:P366 P284:P334">
    <cfRule type="cellIs" dxfId="758" priority="1625" operator="lessThan">
      <formula>0.8</formula>
    </cfRule>
    <cfRule type="cellIs" dxfId="757" priority="1626" operator="greaterThan">
      <formula>0.8</formula>
    </cfRule>
  </conditionalFormatting>
  <conditionalFormatting sqref="P337:P366 P284:P334 P391:P1048576">
    <cfRule type="notContainsText" dxfId="756" priority="1623" operator="notContains" text="Caida">
      <formula>ISERROR(SEARCH("Caida",P284))</formula>
    </cfRule>
    <cfRule type="containsText" dxfId="755" priority="1624" operator="containsText" text="Caida">
      <formula>NOT(ISERROR(SEARCH("Caida",P284)))</formula>
    </cfRule>
  </conditionalFormatting>
  <conditionalFormatting sqref="O391:O1048576">
    <cfRule type="notContainsText" dxfId="754" priority="1672" operator="notContains" text="Caida">
      <formula>ISERROR(SEARCH("Caida",O391))</formula>
    </cfRule>
    <cfRule type="containsText" dxfId="753" priority="1673" operator="containsText" text="Caida">
      <formula>NOT(ISERROR(SEARCH("Caida",O391)))</formula>
    </cfRule>
  </conditionalFormatting>
  <conditionalFormatting sqref="P336">
    <cfRule type="cellIs" dxfId="752" priority="1584" operator="lessThan">
      <formula>0.8</formula>
    </cfRule>
    <cfRule type="cellIs" dxfId="751" priority="1585" operator="greaterThan">
      <formula>0.8</formula>
    </cfRule>
  </conditionalFormatting>
  <conditionalFormatting sqref="P336">
    <cfRule type="notContainsText" dxfId="750" priority="1582" operator="notContains" text="Caida">
      <formula>ISERROR(SEARCH("Caida",P336))</formula>
    </cfRule>
    <cfRule type="containsText" dxfId="749" priority="1583" operator="containsText" text="Caida">
      <formula>NOT(ISERROR(SEARCH("Caida",P336)))</formula>
    </cfRule>
  </conditionalFormatting>
  <conditionalFormatting sqref="P22">
    <cfRule type="containsText" dxfId="74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47" priority="1620" operator="lessThan">
      <formula>0.8</formula>
    </cfRule>
    <cfRule type="cellIs" dxfId="746" priority="1621" operator="greaterThan">
      <formula>0.8</formula>
    </cfRule>
  </conditionalFormatting>
  <conditionalFormatting sqref="P282">
    <cfRule type="notContainsText" dxfId="745" priority="1618" operator="notContains" text="Caida">
      <formula>ISERROR(SEARCH("Caida",P282))</formula>
    </cfRule>
    <cfRule type="containsText" dxfId="744" priority="1619" operator="containsText" text="Caida">
      <formula>NOT(ISERROR(SEARCH("Caida",P282)))</formula>
    </cfRule>
  </conditionalFormatting>
  <conditionalFormatting sqref="P283">
    <cfRule type="cellIs" dxfId="743" priority="1616" operator="lessThan">
      <formula>0.8</formula>
    </cfRule>
    <cfRule type="cellIs" dxfId="742" priority="1617" operator="greaterThan">
      <formula>0.8</formula>
    </cfRule>
  </conditionalFormatting>
  <conditionalFormatting sqref="P283">
    <cfRule type="notContainsText" dxfId="741" priority="1614" operator="notContains" text="Caida">
      <formula>ISERROR(SEARCH("Caida",P283))</formula>
    </cfRule>
    <cfRule type="containsText" dxfId="740" priority="1615" operator="containsText" text="Caida">
      <formula>NOT(ISERROR(SEARCH("Caida",P283)))</formula>
    </cfRule>
  </conditionalFormatting>
  <conditionalFormatting sqref="P5">
    <cfRule type="cellIs" dxfId="739" priority="1612" operator="lessThan">
      <formula>0.8</formula>
    </cfRule>
    <cfRule type="cellIs" dxfId="738" priority="1613" operator="greaterThan">
      <formula>0.8</formula>
    </cfRule>
  </conditionalFormatting>
  <conditionalFormatting sqref="P5">
    <cfRule type="notContainsText" dxfId="737" priority="1610" operator="notContains" text="Caida">
      <formula>ISERROR(SEARCH("Caida",P5))</formula>
    </cfRule>
    <cfRule type="containsText" dxfId="736" priority="1611" operator="containsText" text="Caida">
      <formula>NOT(ISERROR(SEARCH("Caida",P5)))</formula>
    </cfRule>
  </conditionalFormatting>
  <conditionalFormatting sqref="P231">
    <cfRule type="cellIs" dxfId="735" priority="1608" operator="lessThan">
      <formula>0.8</formula>
    </cfRule>
    <cfRule type="cellIs" dxfId="734" priority="1609" operator="greaterThan">
      <formula>0.8</formula>
    </cfRule>
  </conditionalFormatting>
  <conditionalFormatting sqref="P231">
    <cfRule type="notContainsText" dxfId="733" priority="1606" operator="notContains" text="Caida">
      <formula>ISERROR(SEARCH("Caida",P231))</formula>
    </cfRule>
    <cfRule type="containsText" dxfId="732" priority="1607" operator="containsText" text="Caida">
      <formula>NOT(ISERROR(SEARCH("Caida",P231)))</formula>
    </cfRule>
  </conditionalFormatting>
  <conditionalFormatting sqref="P232">
    <cfRule type="cellIs" dxfId="731" priority="1604" operator="lessThan">
      <formula>0.8</formula>
    </cfRule>
    <cfRule type="cellIs" dxfId="730" priority="1605" operator="greaterThan">
      <formula>0.8</formula>
    </cfRule>
  </conditionalFormatting>
  <conditionalFormatting sqref="P232">
    <cfRule type="notContainsText" dxfId="729" priority="1602" operator="notContains" text="Caida">
      <formula>ISERROR(SEARCH("Caida",P232))</formula>
    </cfRule>
    <cfRule type="containsText" dxfId="728" priority="1603" operator="containsText" text="Caida">
      <formula>NOT(ISERROR(SEARCH("Caida",P232)))</formula>
    </cfRule>
  </conditionalFormatting>
  <conditionalFormatting sqref="P233">
    <cfRule type="cellIs" dxfId="727" priority="1600" operator="lessThan">
      <formula>0.8</formula>
    </cfRule>
    <cfRule type="cellIs" dxfId="726" priority="1601" operator="greaterThan">
      <formula>0.8</formula>
    </cfRule>
  </conditionalFormatting>
  <conditionalFormatting sqref="P233">
    <cfRule type="notContainsText" dxfId="725" priority="1598" operator="notContains" text="Caida">
      <formula>ISERROR(SEARCH("Caida",P233))</formula>
    </cfRule>
    <cfRule type="containsText" dxfId="724" priority="1599" operator="containsText" text="Caida">
      <formula>NOT(ISERROR(SEARCH("Caida",P233)))</formula>
    </cfRule>
  </conditionalFormatting>
  <conditionalFormatting sqref="P234">
    <cfRule type="cellIs" dxfId="723" priority="1596" operator="lessThan">
      <formula>0.8</formula>
    </cfRule>
    <cfRule type="cellIs" dxfId="722" priority="1597" operator="greaterThan">
      <formula>0.8</formula>
    </cfRule>
  </conditionalFormatting>
  <conditionalFormatting sqref="P234">
    <cfRule type="notContainsText" dxfId="721" priority="1594" operator="notContains" text="Caida">
      <formula>ISERROR(SEARCH("Caida",P234))</formula>
    </cfRule>
    <cfRule type="containsText" dxfId="720" priority="1595" operator="containsText" text="Caida">
      <formula>NOT(ISERROR(SEARCH("Caida",P234)))</formula>
    </cfRule>
  </conditionalFormatting>
  <conditionalFormatting sqref="P235">
    <cfRule type="cellIs" dxfId="719" priority="1592" operator="lessThan">
      <formula>0.8</formula>
    </cfRule>
    <cfRule type="cellIs" dxfId="718" priority="1593" operator="greaterThan">
      <formula>0.8</formula>
    </cfRule>
  </conditionalFormatting>
  <conditionalFormatting sqref="P235">
    <cfRule type="notContainsText" dxfId="717" priority="1590" operator="notContains" text="Caida">
      <formula>ISERROR(SEARCH("Caida",P235))</formula>
    </cfRule>
    <cfRule type="containsText" dxfId="716" priority="1591" operator="containsText" text="Caida">
      <formula>NOT(ISERROR(SEARCH("Caida",P235)))</formula>
    </cfRule>
  </conditionalFormatting>
  <conditionalFormatting sqref="P335">
    <cfRule type="cellIs" dxfId="715" priority="1588" operator="lessThan">
      <formula>0.8</formula>
    </cfRule>
    <cfRule type="cellIs" dxfId="714" priority="1589" operator="greaterThan">
      <formula>0.8</formula>
    </cfRule>
  </conditionalFormatting>
  <conditionalFormatting sqref="P335">
    <cfRule type="notContainsText" dxfId="713" priority="1586" operator="notContains" text="Caida">
      <formula>ISERROR(SEARCH("Caida",P335))</formula>
    </cfRule>
    <cfRule type="containsText" dxfId="712" priority="1587" operator="containsText" text="Caida">
      <formula>NOT(ISERROR(SEARCH("Caida",P335)))</formula>
    </cfRule>
  </conditionalFormatting>
  <conditionalFormatting sqref="Q6:Q92 Q96:Q230">
    <cfRule type="cellIs" dxfId="711" priority="1580" operator="lessThan">
      <formula>0.8</formula>
    </cfRule>
    <cfRule type="cellIs" dxfId="710" priority="1581" operator="greaterThan">
      <formula>0.8</formula>
    </cfRule>
  </conditionalFormatting>
  <conditionalFormatting sqref="Q6:Q92 Q96:Q230">
    <cfRule type="notContainsText" dxfId="709" priority="1578" operator="notContains" text="Caida">
      <formula>ISERROR(SEARCH("Caida",Q6))</formula>
    </cfRule>
    <cfRule type="containsText" dxfId="708" priority="1579" operator="containsText" text="Caida">
      <formula>NOT(ISERROR(SEARCH("Caida",Q6)))</formula>
    </cfRule>
  </conditionalFormatting>
  <conditionalFormatting sqref="Q336">
    <cfRule type="cellIs" dxfId="707" priority="1535" operator="lessThan">
      <formula>0.8</formula>
    </cfRule>
    <cfRule type="cellIs" dxfId="706" priority="1536" operator="greaterThan">
      <formula>0.8</formula>
    </cfRule>
  </conditionalFormatting>
  <conditionalFormatting sqref="Q336">
    <cfRule type="notContainsText" dxfId="705" priority="1533" operator="notContains" text="Caida">
      <formula>ISERROR(SEARCH("Caida",Q336))</formula>
    </cfRule>
    <cfRule type="containsText" dxfId="704" priority="1534" operator="containsText" text="Caida">
      <formula>NOT(ISERROR(SEARCH("Caida",Q336)))</formula>
    </cfRule>
  </conditionalFormatting>
  <conditionalFormatting sqref="Q337:Q366 Q284:Q334">
    <cfRule type="cellIs" dxfId="703" priority="1576" operator="lessThan">
      <formula>0.8</formula>
    </cfRule>
    <cfRule type="cellIs" dxfId="702" priority="1577" operator="greaterThan">
      <formula>0.8</formula>
    </cfRule>
  </conditionalFormatting>
  <conditionalFormatting sqref="Q337:Q366 Q284:Q334 Q391:Q1048576">
    <cfRule type="notContainsText" dxfId="701" priority="1574" operator="notContains" text="Caida">
      <formula>ISERROR(SEARCH("Caida",Q284))</formula>
    </cfRule>
    <cfRule type="containsText" dxfId="700" priority="1575" operator="containsText" text="Caida">
      <formula>NOT(ISERROR(SEARCH("Caida",Q284)))</formula>
    </cfRule>
  </conditionalFormatting>
  <conditionalFormatting sqref="Q22">
    <cfRule type="containsText" dxfId="69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98" priority="1571" operator="lessThan">
      <formula>0.8</formula>
    </cfRule>
    <cfRule type="cellIs" dxfId="697" priority="1572" operator="greaterThan">
      <formula>0.8</formula>
    </cfRule>
  </conditionalFormatting>
  <conditionalFormatting sqref="Q282">
    <cfRule type="notContainsText" dxfId="696" priority="1569" operator="notContains" text="Caida">
      <formula>ISERROR(SEARCH("Caida",Q282))</formula>
    </cfRule>
    <cfRule type="containsText" dxfId="695" priority="1570" operator="containsText" text="Caida">
      <formula>NOT(ISERROR(SEARCH("Caida",Q282)))</formula>
    </cfRule>
  </conditionalFormatting>
  <conditionalFormatting sqref="Q283">
    <cfRule type="cellIs" dxfId="694" priority="1567" operator="lessThan">
      <formula>0.8</formula>
    </cfRule>
    <cfRule type="cellIs" dxfId="693" priority="1568" operator="greaterThan">
      <formula>0.8</formula>
    </cfRule>
  </conditionalFormatting>
  <conditionalFormatting sqref="Q283">
    <cfRule type="notContainsText" dxfId="692" priority="1565" operator="notContains" text="Caida">
      <formula>ISERROR(SEARCH("Caida",Q283))</formula>
    </cfRule>
    <cfRule type="containsText" dxfId="691" priority="1566" operator="containsText" text="Caida">
      <formula>NOT(ISERROR(SEARCH("Caida",Q283)))</formula>
    </cfRule>
  </conditionalFormatting>
  <conditionalFormatting sqref="Q5">
    <cfRule type="cellIs" dxfId="690" priority="1563" operator="lessThan">
      <formula>0.8</formula>
    </cfRule>
    <cfRule type="cellIs" dxfId="689" priority="1564" operator="greaterThan">
      <formula>0.8</formula>
    </cfRule>
  </conditionalFormatting>
  <conditionalFormatting sqref="Q5">
    <cfRule type="notContainsText" dxfId="688" priority="1561" operator="notContains" text="Caida">
      <formula>ISERROR(SEARCH("Caida",Q5))</formula>
    </cfRule>
    <cfRule type="containsText" dxfId="687" priority="1562" operator="containsText" text="Caida">
      <formula>NOT(ISERROR(SEARCH("Caida",Q5)))</formula>
    </cfRule>
  </conditionalFormatting>
  <conditionalFormatting sqref="Q231">
    <cfRule type="cellIs" dxfId="686" priority="1559" operator="lessThan">
      <formula>0.8</formula>
    </cfRule>
    <cfRule type="cellIs" dxfId="685" priority="1560" operator="greaterThan">
      <formula>0.8</formula>
    </cfRule>
  </conditionalFormatting>
  <conditionalFormatting sqref="Q231">
    <cfRule type="notContainsText" dxfId="684" priority="1557" operator="notContains" text="Caida">
      <formula>ISERROR(SEARCH("Caida",Q231))</formula>
    </cfRule>
    <cfRule type="containsText" dxfId="683" priority="1558" operator="containsText" text="Caida">
      <formula>NOT(ISERROR(SEARCH("Caida",Q231)))</formula>
    </cfRule>
  </conditionalFormatting>
  <conditionalFormatting sqref="Q232">
    <cfRule type="cellIs" dxfId="682" priority="1555" operator="lessThan">
      <formula>0.8</formula>
    </cfRule>
    <cfRule type="cellIs" dxfId="681" priority="1556" operator="greaterThan">
      <formula>0.8</formula>
    </cfRule>
  </conditionalFormatting>
  <conditionalFormatting sqref="Q232">
    <cfRule type="notContainsText" dxfId="680" priority="1553" operator="notContains" text="Caida">
      <formula>ISERROR(SEARCH("Caida",Q232))</formula>
    </cfRule>
    <cfRule type="containsText" dxfId="679" priority="1554" operator="containsText" text="Caida">
      <formula>NOT(ISERROR(SEARCH("Caida",Q232)))</formula>
    </cfRule>
  </conditionalFormatting>
  <conditionalFormatting sqref="Q233">
    <cfRule type="cellIs" dxfId="678" priority="1551" operator="lessThan">
      <formula>0.8</formula>
    </cfRule>
    <cfRule type="cellIs" dxfId="677" priority="1552" operator="greaterThan">
      <formula>0.8</formula>
    </cfRule>
  </conditionalFormatting>
  <conditionalFormatting sqref="Q233">
    <cfRule type="notContainsText" dxfId="676" priority="1549" operator="notContains" text="Caida">
      <formula>ISERROR(SEARCH("Caida",Q233))</formula>
    </cfRule>
    <cfRule type="containsText" dxfId="675" priority="1550" operator="containsText" text="Caida">
      <formula>NOT(ISERROR(SEARCH("Caida",Q233)))</formula>
    </cfRule>
  </conditionalFormatting>
  <conditionalFormatting sqref="Q234">
    <cfRule type="cellIs" dxfId="674" priority="1547" operator="lessThan">
      <formula>0.8</formula>
    </cfRule>
    <cfRule type="cellIs" dxfId="673" priority="1548" operator="greaterThan">
      <formula>0.8</formula>
    </cfRule>
  </conditionalFormatting>
  <conditionalFormatting sqref="Q234">
    <cfRule type="notContainsText" dxfId="672" priority="1545" operator="notContains" text="Caida">
      <formula>ISERROR(SEARCH("Caida",Q234))</formula>
    </cfRule>
    <cfRule type="containsText" dxfId="671" priority="1546" operator="containsText" text="Caida">
      <formula>NOT(ISERROR(SEARCH("Caida",Q234)))</formula>
    </cfRule>
  </conditionalFormatting>
  <conditionalFormatting sqref="Q235">
    <cfRule type="cellIs" dxfId="670" priority="1543" operator="lessThan">
      <formula>0.8</formula>
    </cfRule>
    <cfRule type="cellIs" dxfId="669" priority="1544" operator="greaterThan">
      <formula>0.8</formula>
    </cfRule>
  </conditionalFormatting>
  <conditionalFormatting sqref="Q235">
    <cfRule type="notContainsText" dxfId="668" priority="1541" operator="notContains" text="Caida">
      <formula>ISERROR(SEARCH("Caida",Q235))</formula>
    </cfRule>
    <cfRule type="containsText" dxfId="667" priority="1542" operator="containsText" text="Caida">
      <formula>NOT(ISERROR(SEARCH("Caida",Q235)))</formula>
    </cfRule>
  </conditionalFormatting>
  <conditionalFormatting sqref="Q335">
    <cfRule type="cellIs" dxfId="666" priority="1539" operator="lessThan">
      <formula>0.8</formula>
    </cfRule>
    <cfRule type="cellIs" dxfId="665" priority="1540" operator="greaterThan">
      <formula>0.8</formula>
    </cfRule>
  </conditionalFormatting>
  <conditionalFormatting sqref="Q335">
    <cfRule type="notContainsText" dxfId="664" priority="1537" operator="notContains" text="Caida">
      <formula>ISERROR(SEARCH("Caida",Q335))</formula>
    </cfRule>
    <cfRule type="containsText" dxfId="663" priority="1538" operator="containsText" text="Caida">
      <formula>NOT(ISERROR(SEARCH("Caida",Q335)))</formula>
    </cfRule>
  </conditionalFormatting>
  <conditionalFormatting sqref="R6:R92 R96:R230">
    <cfRule type="cellIs" dxfId="662" priority="1531" operator="lessThan">
      <formula>0.8</formula>
    </cfRule>
    <cfRule type="cellIs" dxfId="661" priority="1532" operator="greaterThan">
      <formula>0.8</formula>
    </cfRule>
  </conditionalFormatting>
  <conditionalFormatting sqref="R6:R92 R96:R230">
    <cfRule type="notContainsText" dxfId="660" priority="1529" operator="notContains" text="Caida">
      <formula>ISERROR(SEARCH("Caida",R6))</formula>
    </cfRule>
    <cfRule type="containsText" dxfId="659" priority="1530" operator="containsText" text="Caida">
      <formula>NOT(ISERROR(SEARCH("Caida",R6)))</formula>
    </cfRule>
  </conditionalFormatting>
  <conditionalFormatting sqref="R336:T336">
    <cfRule type="cellIs" dxfId="658" priority="1486" operator="lessThan">
      <formula>0.8</formula>
    </cfRule>
    <cfRule type="cellIs" dxfId="657" priority="1487" operator="greaterThan">
      <formula>0.8</formula>
    </cfRule>
  </conditionalFormatting>
  <conditionalFormatting sqref="R336:T336">
    <cfRule type="notContainsText" dxfId="656" priority="1484" operator="notContains" text="Caida">
      <formula>ISERROR(SEARCH("Caida",R336))</formula>
    </cfRule>
    <cfRule type="containsText" dxfId="655" priority="1485" operator="containsText" text="Caida">
      <formula>NOT(ISERROR(SEARCH("Caida",R336)))</formula>
    </cfRule>
  </conditionalFormatting>
  <conditionalFormatting sqref="R337:R366 R284:R334">
    <cfRule type="cellIs" dxfId="654" priority="1527" operator="lessThan">
      <formula>0.8</formula>
    </cfRule>
    <cfRule type="cellIs" dxfId="653" priority="1528" operator="greaterThan">
      <formula>0.8</formula>
    </cfRule>
  </conditionalFormatting>
  <conditionalFormatting sqref="R337:R366 R284:R334 R391:R1048576">
    <cfRule type="notContainsText" dxfId="652" priority="1525" operator="notContains" text="Caida">
      <formula>ISERROR(SEARCH("Caida",R284))</formula>
    </cfRule>
    <cfRule type="containsText" dxfId="651" priority="1526" operator="containsText" text="Caida">
      <formula>NOT(ISERROR(SEARCH("Caida",R284)))</formula>
    </cfRule>
  </conditionalFormatting>
  <conditionalFormatting sqref="R22:T22">
    <cfRule type="containsText" dxfId="65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49" priority="1522" operator="lessThan">
      <formula>0.8</formula>
    </cfRule>
    <cfRule type="cellIs" dxfId="648" priority="1523" operator="greaterThan">
      <formula>0.8</formula>
    </cfRule>
  </conditionalFormatting>
  <conditionalFormatting sqref="R282:T282">
    <cfRule type="notContainsText" dxfId="647" priority="1520" operator="notContains" text="Caida">
      <formula>ISERROR(SEARCH("Caida",R282))</formula>
    </cfRule>
    <cfRule type="containsText" dxfId="646" priority="1521" operator="containsText" text="Caida">
      <formula>NOT(ISERROR(SEARCH("Caida",R282)))</formula>
    </cfRule>
  </conditionalFormatting>
  <conditionalFormatting sqref="R283:T283">
    <cfRule type="cellIs" dxfId="645" priority="1518" operator="lessThan">
      <formula>0.8</formula>
    </cfRule>
    <cfRule type="cellIs" dxfId="644" priority="1519" operator="greaterThan">
      <formula>0.8</formula>
    </cfRule>
  </conditionalFormatting>
  <conditionalFormatting sqref="R283:T283">
    <cfRule type="notContainsText" dxfId="643" priority="1516" operator="notContains" text="Caida">
      <formula>ISERROR(SEARCH("Caida",R283))</formula>
    </cfRule>
    <cfRule type="containsText" dxfId="642" priority="1517" operator="containsText" text="Caida">
      <formula>NOT(ISERROR(SEARCH("Caida",R283)))</formula>
    </cfRule>
  </conditionalFormatting>
  <conditionalFormatting sqref="R5:T5">
    <cfRule type="cellIs" dxfId="641" priority="1514" operator="lessThan">
      <formula>0.8</formula>
    </cfRule>
    <cfRule type="cellIs" dxfId="640" priority="1515" operator="greaterThan">
      <formula>0.8</formula>
    </cfRule>
  </conditionalFormatting>
  <conditionalFormatting sqref="R5:T5">
    <cfRule type="notContainsText" dxfId="639" priority="1512" operator="notContains" text="Caida">
      <formula>ISERROR(SEARCH("Caida",R5))</formula>
    </cfRule>
    <cfRule type="containsText" dxfId="638" priority="1513" operator="containsText" text="Caida">
      <formula>NOT(ISERROR(SEARCH("Caida",R5)))</formula>
    </cfRule>
  </conditionalFormatting>
  <conditionalFormatting sqref="R231:T231">
    <cfRule type="cellIs" dxfId="637" priority="1510" operator="lessThan">
      <formula>0.8</formula>
    </cfRule>
    <cfRule type="cellIs" dxfId="636" priority="1511" operator="greaterThan">
      <formula>0.8</formula>
    </cfRule>
  </conditionalFormatting>
  <conditionalFormatting sqref="R231:T231">
    <cfRule type="notContainsText" dxfId="635" priority="1508" operator="notContains" text="Caida">
      <formula>ISERROR(SEARCH("Caida",R231))</formula>
    </cfRule>
    <cfRule type="containsText" dxfId="634" priority="1509" operator="containsText" text="Caida">
      <formula>NOT(ISERROR(SEARCH("Caida",R231)))</formula>
    </cfRule>
  </conditionalFormatting>
  <conditionalFormatting sqref="R232:T232">
    <cfRule type="cellIs" dxfId="633" priority="1506" operator="lessThan">
      <formula>0.8</formula>
    </cfRule>
    <cfRule type="cellIs" dxfId="632" priority="1507" operator="greaterThan">
      <formula>0.8</formula>
    </cfRule>
  </conditionalFormatting>
  <conditionalFormatting sqref="R232:T232">
    <cfRule type="notContainsText" dxfId="631" priority="1504" operator="notContains" text="Caida">
      <formula>ISERROR(SEARCH("Caida",R232))</formula>
    </cfRule>
    <cfRule type="containsText" dxfId="630" priority="1505" operator="containsText" text="Caida">
      <formula>NOT(ISERROR(SEARCH("Caida",R232)))</formula>
    </cfRule>
  </conditionalFormatting>
  <conditionalFormatting sqref="R233:T233">
    <cfRule type="cellIs" dxfId="629" priority="1502" operator="lessThan">
      <formula>0.8</formula>
    </cfRule>
    <cfRule type="cellIs" dxfId="628" priority="1503" operator="greaterThan">
      <formula>0.8</formula>
    </cfRule>
  </conditionalFormatting>
  <conditionalFormatting sqref="R233:T233">
    <cfRule type="notContainsText" dxfId="627" priority="1500" operator="notContains" text="Caida">
      <formula>ISERROR(SEARCH("Caida",R233))</formula>
    </cfRule>
    <cfRule type="containsText" dxfId="626" priority="1501" operator="containsText" text="Caida">
      <formula>NOT(ISERROR(SEARCH("Caida",R233)))</formula>
    </cfRule>
  </conditionalFormatting>
  <conditionalFormatting sqref="R234:T234">
    <cfRule type="cellIs" dxfId="625" priority="1498" operator="lessThan">
      <formula>0.8</formula>
    </cfRule>
    <cfRule type="cellIs" dxfId="624" priority="1499" operator="greaterThan">
      <formula>0.8</formula>
    </cfRule>
  </conditionalFormatting>
  <conditionalFormatting sqref="R234:T234">
    <cfRule type="notContainsText" dxfId="623" priority="1496" operator="notContains" text="Caida">
      <formula>ISERROR(SEARCH("Caida",R234))</formula>
    </cfRule>
    <cfRule type="containsText" dxfId="622" priority="1497" operator="containsText" text="Caida">
      <formula>NOT(ISERROR(SEARCH("Caida",R234)))</formula>
    </cfRule>
  </conditionalFormatting>
  <conditionalFormatting sqref="R235:T235">
    <cfRule type="cellIs" dxfId="621" priority="1494" operator="lessThan">
      <formula>0.8</formula>
    </cfRule>
    <cfRule type="cellIs" dxfId="620" priority="1495" operator="greaterThan">
      <formula>0.8</formula>
    </cfRule>
  </conditionalFormatting>
  <conditionalFormatting sqref="R235:T235">
    <cfRule type="notContainsText" dxfId="619" priority="1492" operator="notContains" text="Caida">
      <formula>ISERROR(SEARCH("Caida",R235))</formula>
    </cfRule>
    <cfRule type="containsText" dxfId="618" priority="1493" operator="containsText" text="Caida">
      <formula>NOT(ISERROR(SEARCH("Caida",R235)))</formula>
    </cfRule>
  </conditionalFormatting>
  <conditionalFormatting sqref="R335:T335">
    <cfRule type="cellIs" dxfId="617" priority="1490" operator="lessThan">
      <formula>0.8</formula>
    </cfRule>
    <cfRule type="cellIs" dxfId="616" priority="1491" operator="greaterThan">
      <formula>0.8</formula>
    </cfRule>
  </conditionalFormatting>
  <conditionalFormatting sqref="R335:T335">
    <cfRule type="notContainsText" dxfId="615" priority="1488" operator="notContains" text="Caida">
      <formula>ISERROR(SEARCH("Caida",R335))</formula>
    </cfRule>
    <cfRule type="containsText" dxfId="614" priority="1489" operator="containsText" text="Caida">
      <formula>NOT(ISERROR(SEARCH("Caida",R335)))</formula>
    </cfRule>
  </conditionalFormatting>
  <conditionalFormatting sqref="S391:S1048576">
    <cfRule type="notContainsText" dxfId="613" priority="1476" operator="notContains" text="Caida">
      <formula>ISERROR(SEARCH("Caida",S391))</formula>
    </cfRule>
    <cfRule type="containsText" dxfId="612" priority="1477" operator="containsText" text="Caida">
      <formula>NOT(ISERROR(SEARCH("Caida",S391)))</formula>
    </cfRule>
  </conditionalFormatting>
  <conditionalFormatting sqref="T391:T1048576">
    <cfRule type="notContainsText" dxfId="611" priority="1427" operator="notContains" text="Caida">
      <formula>ISERROR(SEARCH("Caida",T391))</formula>
    </cfRule>
    <cfRule type="containsText" dxfId="610" priority="1428" operator="containsText" text="Caida">
      <formula>NOT(ISERROR(SEARCH("Caida",T391)))</formula>
    </cfRule>
  </conditionalFormatting>
  <conditionalFormatting sqref="E92:K93">
    <cfRule type="containsText" dxfId="609" priority="1383" operator="containsText" text="Radio">
      <formula>NOT(ISERROR(SEARCH("Radio",E92)))</formula>
    </cfRule>
  </conditionalFormatting>
  <conditionalFormatting sqref="P93:P95">
    <cfRule type="cellIs" dxfId="608" priority="1353" operator="lessThan">
      <formula>0.8</formula>
    </cfRule>
    <cfRule type="cellIs" dxfId="607" priority="1354" operator="greaterThan">
      <formula>0.8</formula>
    </cfRule>
  </conditionalFormatting>
  <conditionalFormatting sqref="P93:P95">
    <cfRule type="notContainsText" dxfId="606" priority="1351" operator="notContains" text="Caida">
      <formula>ISERROR(SEARCH("Caida",P93))</formula>
    </cfRule>
    <cfRule type="containsText" dxfId="605" priority="1352" operator="containsText" text="Caida">
      <formula>NOT(ISERROR(SEARCH("Caida",P93)))</formula>
    </cfRule>
  </conditionalFormatting>
  <conditionalFormatting sqref="Q93:Q95">
    <cfRule type="cellIs" dxfId="604" priority="1349" operator="lessThan">
      <formula>0.8</formula>
    </cfRule>
    <cfRule type="cellIs" dxfId="603" priority="1350" operator="greaterThan">
      <formula>0.8</formula>
    </cfRule>
  </conditionalFormatting>
  <conditionalFormatting sqref="Q93:Q95">
    <cfRule type="notContainsText" dxfId="602" priority="1347" operator="notContains" text="Caida">
      <formula>ISERROR(SEARCH("Caida",Q93))</formula>
    </cfRule>
    <cfRule type="containsText" dxfId="601" priority="1348" operator="containsText" text="Caida">
      <formula>NOT(ISERROR(SEARCH("Caida",Q93)))</formula>
    </cfRule>
  </conditionalFormatting>
  <conditionalFormatting sqref="R93:R95">
    <cfRule type="cellIs" dxfId="600" priority="1345" operator="lessThan">
      <formula>0.8</formula>
    </cfRule>
    <cfRule type="cellIs" dxfId="599" priority="1346" operator="greaterThan">
      <formula>0.8</formula>
    </cfRule>
  </conditionalFormatting>
  <conditionalFormatting sqref="R93:R95">
    <cfRule type="notContainsText" dxfId="598" priority="1343" operator="notContains" text="Caida">
      <formula>ISERROR(SEARCH("Caida",R93))</formula>
    </cfRule>
    <cfRule type="containsText" dxfId="597" priority="1344" operator="containsText" text="Caida">
      <formula>NOT(ISERROR(SEARCH("Caida",R93)))</formula>
    </cfRule>
  </conditionalFormatting>
  <conditionalFormatting sqref="E365:K365">
    <cfRule type="containsText" dxfId="596" priority="1332" operator="containsText" text="Radio">
      <formula>NOT(ISERROR(SEARCH("Radio",E365)))</formula>
    </cfRule>
  </conditionalFormatting>
  <conditionalFormatting sqref="P367">
    <cfRule type="cellIs" dxfId="595" priority="1314" operator="lessThan">
      <formula>0.8</formula>
    </cfRule>
    <cfRule type="cellIs" dxfId="594" priority="1315" operator="greaterThan">
      <formula>0.8</formula>
    </cfRule>
  </conditionalFormatting>
  <conditionalFormatting sqref="P367">
    <cfRule type="notContainsText" dxfId="593" priority="1312" operator="notContains" text="Caida">
      <formula>ISERROR(SEARCH("Caida",P367))</formula>
    </cfRule>
    <cfRule type="containsText" dxfId="592" priority="1313" operator="containsText" text="Caida">
      <formula>NOT(ISERROR(SEARCH("Caida",P367)))</formula>
    </cfRule>
  </conditionalFormatting>
  <conditionalFormatting sqref="Q367">
    <cfRule type="cellIs" dxfId="591" priority="1310" operator="lessThan">
      <formula>0.8</formula>
    </cfRule>
    <cfRule type="cellIs" dxfId="590" priority="1311" operator="greaterThan">
      <formula>0.8</formula>
    </cfRule>
  </conditionalFormatting>
  <conditionalFormatting sqref="Q367">
    <cfRule type="notContainsText" dxfId="589" priority="1308" operator="notContains" text="Caida">
      <formula>ISERROR(SEARCH("Caida",Q367))</formula>
    </cfRule>
    <cfRule type="containsText" dxfId="588" priority="1309" operator="containsText" text="Caida">
      <formula>NOT(ISERROR(SEARCH("Caida",Q367)))</formula>
    </cfRule>
  </conditionalFormatting>
  <conditionalFormatting sqref="R367:T367">
    <cfRule type="cellIs" dxfId="587" priority="1306" operator="lessThan">
      <formula>0.8</formula>
    </cfRule>
    <cfRule type="cellIs" dxfId="586" priority="1307" operator="greaterThan">
      <formula>0.8</formula>
    </cfRule>
  </conditionalFormatting>
  <conditionalFormatting sqref="R367:T367">
    <cfRule type="notContainsText" dxfId="585" priority="1304" operator="notContains" text="Caida">
      <formula>ISERROR(SEARCH("Caida",R367))</formula>
    </cfRule>
    <cfRule type="containsText" dxfId="584" priority="1305" operator="containsText" text="Caida">
      <formula>NOT(ISERROR(SEARCH("Caida",R367)))</formula>
    </cfRule>
  </conditionalFormatting>
  <conditionalFormatting sqref="E366:K366">
    <cfRule type="containsText" dxfId="583" priority="1293" operator="containsText" text="Radio">
      <formula>NOT(ISERROR(SEARCH("Radio",E366)))</formula>
    </cfRule>
  </conditionalFormatting>
  <conditionalFormatting sqref="P368">
    <cfRule type="cellIs" dxfId="582" priority="1275" operator="lessThan">
      <formula>0.8</formula>
    </cfRule>
    <cfRule type="cellIs" dxfId="581" priority="1276" operator="greaterThan">
      <formula>0.8</formula>
    </cfRule>
  </conditionalFormatting>
  <conditionalFormatting sqref="P368">
    <cfRule type="notContainsText" dxfId="580" priority="1273" operator="notContains" text="Caida">
      <formula>ISERROR(SEARCH("Caida",P368))</formula>
    </cfRule>
    <cfRule type="containsText" dxfId="579" priority="1274" operator="containsText" text="Caida">
      <formula>NOT(ISERROR(SEARCH("Caida",P368)))</formula>
    </cfRule>
  </conditionalFormatting>
  <conditionalFormatting sqref="Q368">
    <cfRule type="cellIs" dxfId="578" priority="1271" operator="lessThan">
      <formula>0.8</formula>
    </cfRule>
    <cfRule type="cellIs" dxfId="577" priority="1272" operator="greaterThan">
      <formula>0.8</formula>
    </cfRule>
  </conditionalFormatting>
  <conditionalFormatting sqref="Q368">
    <cfRule type="notContainsText" dxfId="576" priority="1269" operator="notContains" text="Caida">
      <formula>ISERROR(SEARCH("Caida",Q368))</formula>
    </cfRule>
    <cfRule type="containsText" dxfId="575" priority="1270" operator="containsText" text="Caida">
      <formula>NOT(ISERROR(SEARCH("Caida",Q368)))</formula>
    </cfRule>
  </conditionalFormatting>
  <conditionalFormatting sqref="R368:T368">
    <cfRule type="cellIs" dxfId="574" priority="1267" operator="lessThan">
      <formula>0.8</formula>
    </cfRule>
    <cfRule type="cellIs" dxfId="573" priority="1268" operator="greaterThan">
      <formula>0.8</formula>
    </cfRule>
  </conditionalFormatting>
  <conditionalFormatting sqref="R368:T368">
    <cfRule type="notContainsText" dxfId="572" priority="1265" operator="notContains" text="Caida">
      <formula>ISERROR(SEARCH("Caida",R368))</formula>
    </cfRule>
    <cfRule type="containsText" dxfId="571" priority="1266" operator="containsText" text="Caida">
      <formula>NOT(ISERROR(SEARCH("Caida",R368)))</formula>
    </cfRule>
  </conditionalFormatting>
  <conditionalFormatting sqref="E367:K367">
    <cfRule type="containsText" dxfId="570" priority="1254" operator="containsText" text="Radio">
      <formula>NOT(ISERROR(SEARCH("Radio",E367)))</formula>
    </cfRule>
  </conditionalFormatting>
  <conditionalFormatting sqref="P369">
    <cfRule type="cellIs" dxfId="569" priority="1236" operator="lessThan">
      <formula>0.8</formula>
    </cfRule>
    <cfRule type="cellIs" dxfId="568" priority="1237" operator="greaterThan">
      <formula>0.8</formula>
    </cfRule>
  </conditionalFormatting>
  <conditionalFormatting sqref="P369">
    <cfRule type="notContainsText" dxfId="567" priority="1234" operator="notContains" text="Caida">
      <formula>ISERROR(SEARCH("Caida",P369))</formula>
    </cfRule>
    <cfRule type="containsText" dxfId="566" priority="1235" operator="containsText" text="Caida">
      <formula>NOT(ISERROR(SEARCH("Caida",P369)))</formula>
    </cfRule>
  </conditionalFormatting>
  <conditionalFormatting sqref="Q369">
    <cfRule type="cellIs" dxfId="565" priority="1232" operator="lessThan">
      <formula>0.8</formula>
    </cfRule>
    <cfRule type="cellIs" dxfId="564" priority="1233" operator="greaterThan">
      <formula>0.8</formula>
    </cfRule>
  </conditionalFormatting>
  <conditionalFormatting sqref="Q369">
    <cfRule type="notContainsText" dxfId="563" priority="1230" operator="notContains" text="Caida">
      <formula>ISERROR(SEARCH("Caida",Q369))</formula>
    </cfRule>
    <cfRule type="containsText" dxfId="562" priority="1231" operator="containsText" text="Caida">
      <formula>NOT(ISERROR(SEARCH("Caida",Q369)))</formula>
    </cfRule>
  </conditionalFormatting>
  <conditionalFormatting sqref="R369:T369">
    <cfRule type="cellIs" dxfId="561" priority="1228" operator="lessThan">
      <formula>0.8</formula>
    </cfRule>
    <cfRule type="cellIs" dxfId="560" priority="1229" operator="greaterThan">
      <formula>0.8</formula>
    </cfRule>
  </conditionalFormatting>
  <conditionalFormatting sqref="R369:T369">
    <cfRule type="notContainsText" dxfId="559" priority="1226" operator="notContains" text="Caida">
      <formula>ISERROR(SEARCH("Caida",R369))</formula>
    </cfRule>
    <cfRule type="containsText" dxfId="558" priority="1227" operator="containsText" text="Caida">
      <formula>NOT(ISERROR(SEARCH("Caida",R369)))</formula>
    </cfRule>
  </conditionalFormatting>
  <conditionalFormatting sqref="E368:K368">
    <cfRule type="containsText" dxfId="557" priority="1215" operator="containsText" text="Radio">
      <formula>NOT(ISERROR(SEARCH("Radio",E368)))</formula>
    </cfRule>
  </conditionalFormatting>
  <conditionalFormatting sqref="U231">
    <cfRule type="cellIs" dxfId="556" priority="1156" operator="lessThan">
      <formula>0.8</formula>
    </cfRule>
    <cfRule type="cellIs" dxfId="555" priority="1157" operator="greaterThan">
      <formula>0.8</formula>
    </cfRule>
  </conditionalFormatting>
  <conditionalFormatting sqref="U231">
    <cfRule type="notContainsText" dxfId="554" priority="1154" operator="notContains" text="Caida">
      <formula>ISERROR(SEARCH("Caida",U231))</formula>
    </cfRule>
    <cfRule type="containsText" dxfId="553" priority="1155" operator="containsText" text="Caida">
      <formula>NOT(ISERROR(SEARCH("Caida",U231)))</formula>
    </cfRule>
  </conditionalFormatting>
  <conditionalFormatting sqref="U232">
    <cfRule type="cellIs" dxfId="552" priority="1152" operator="lessThan">
      <formula>0.8</formula>
    </cfRule>
    <cfRule type="cellIs" dxfId="551" priority="1153" operator="greaterThan">
      <formula>0.8</formula>
    </cfRule>
  </conditionalFormatting>
  <conditionalFormatting sqref="U232">
    <cfRule type="notContainsText" dxfId="550" priority="1150" operator="notContains" text="Caida">
      <formula>ISERROR(SEARCH("Caida",U232))</formula>
    </cfRule>
    <cfRule type="containsText" dxfId="549" priority="1151" operator="containsText" text="Caida">
      <formula>NOT(ISERROR(SEARCH("Caida",U232)))</formula>
    </cfRule>
  </conditionalFormatting>
  <conditionalFormatting sqref="P370:P372">
    <cfRule type="cellIs" dxfId="548" priority="1197" operator="lessThan">
      <formula>0.8</formula>
    </cfRule>
    <cfRule type="cellIs" dxfId="547" priority="1198" operator="greaterThan">
      <formula>0.8</formula>
    </cfRule>
  </conditionalFormatting>
  <conditionalFormatting sqref="P370:P372">
    <cfRule type="notContainsText" dxfId="546" priority="1195" operator="notContains" text="Caida">
      <formula>ISERROR(SEARCH("Caida",P370))</formula>
    </cfRule>
    <cfRule type="containsText" dxfId="545" priority="1196" operator="containsText" text="Caida">
      <formula>NOT(ISERROR(SEARCH("Caida",P370)))</formula>
    </cfRule>
  </conditionalFormatting>
  <conditionalFormatting sqref="Q370:Q372">
    <cfRule type="cellIs" dxfId="544" priority="1193" operator="lessThan">
      <formula>0.8</formula>
    </cfRule>
    <cfRule type="cellIs" dxfId="543" priority="1194" operator="greaterThan">
      <formula>0.8</formula>
    </cfRule>
  </conditionalFormatting>
  <conditionalFormatting sqref="Q370:Q372">
    <cfRule type="notContainsText" dxfId="542" priority="1191" operator="notContains" text="Caida">
      <formula>ISERROR(SEARCH("Caida",Q370))</formula>
    </cfRule>
    <cfRule type="containsText" dxfId="541" priority="1192" operator="containsText" text="Caida">
      <formula>NOT(ISERROR(SEARCH("Caida",Q370)))</formula>
    </cfRule>
  </conditionalFormatting>
  <conditionalFormatting sqref="R370:T370">
    <cfRule type="cellIs" dxfId="540" priority="1189" operator="lessThan">
      <formula>0.8</formula>
    </cfRule>
    <cfRule type="cellIs" dxfId="539" priority="1190" operator="greaterThan">
      <formula>0.8</formula>
    </cfRule>
  </conditionalFormatting>
  <conditionalFormatting sqref="R370:T370">
    <cfRule type="notContainsText" dxfId="538" priority="1187" operator="notContains" text="Caida">
      <formula>ISERROR(SEARCH("Caida",R370))</formula>
    </cfRule>
    <cfRule type="containsText" dxfId="537" priority="1188" operator="containsText" text="Caida">
      <formula>NOT(ISERROR(SEARCH("Caida",R370)))</formula>
    </cfRule>
  </conditionalFormatting>
  <conditionalFormatting sqref="U368">
    <cfRule type="cellIs" dxfId="536" priority="1120" operator="lessThan">
      <formula>0.8</formula>
    </cfRule>
    <cfRule type="cellIs" dxfId="535" priority="1121" operator="greaterThan">
      <formula>0.8</formula>
    </cfRule>
  </conditionalFormatting>
  <conditionalFormatting sqref="U368">
    <cfRule type="notContainsText" dxfId="534" priority="1118" operator="notContains" text="Caida">
      <formula>ISERROR(SEARCH("Caida",U368))</formula>
    </cfRule>
    <cfRule type="containsText" dxfId="533" priority="1119" operator="containsText" text="Caida">
      <formula>NOT(ISERROR(SEARCH("Caida",U368)))</formula>
    </cfRule>
  </conditionalFormatting>
  <conditionalFormatting sqref="U369">
    <cfRule type="cellIs" dxfId="532" priority="1116" operator="lessThan">
      <formula>0.8</formula>
    </cfRule>
    <cfRule type="cellIs" dxfId="531" priority="1117" operator="greaterThan">
      <formula>0.8</formula>
    </cfRule>
  </conditionalFormatting>
  <conditionalFormatting sqref="U369">
    <cfRule type="notContainsText" dxfId="530" priority="1114" operator="notContains" text="Caida">
      <formula>ISERROR(SEARCH("Caida",U369))</formula>
    </cfRule>
    <cfRule type="containsText" dxfId="529" priority="1115" operator="containsText" text="Caida">
      <formula>NOT(ISERROR(SEARCH("Caida",U369)))</formula>
    </cfRule>
  </conditionalFormatting>
  <conditionalFormatting sqref="U370:U372">
    <cfRule type="cellIs" dxfId="528" priority="1112" operator="lessThan">
      <formula>0.8</formula>
    </cfRule>
    <cfRule type="cellIs" dxfId="527" priority="1113" operator="greaterThan">
      <formula>0.8</formula>
    </cfRule>
  </conditionalFormatting>
  <conditionalFormatting sqref="U370:U372">
    <cfRule type="notContainsText" dxfId="526" priority="1110" operator="notContains" text="Caida">
      <formula>ISERROR(SEARCH("Caida",U370))</formula>
    </cfRule>
    <cfRule type="containsText" dxfId="525" priority="1111" operator="containsText" text="Caida">
      <formula>NOT(ISERROR(SEARCH("Caida",U370)))</formula>
    </cfRule>
  </conditionalFormatting>
  <conditionalFormatting sqref="U6:U92 U96:U230">
    <cfRule type="cellIs" dxfId="524" priority="1177" operator="lessThan">
      <formula>0.8</formula>
    </cfRule>
    <cfRule type="cellIs" dxfId="523" priority="1178" operator="greaterThan">
      <formula>0.8</formula>
    </cfRule>
  </conditionalFormatting>
  <conditionalFormatting sqref="U6:U92 U96:U230">
    <cfRule type="notContainsText" dxfId="522" priority="1175" operator="notContains" text="Caida">
      <formula>ISERROR(SEARCH("Caida",U6))</formula>
    </cfRule>
    <cfRule type="containsText" dxfId="521" priority="1176" operator="containsText" text="Caida">
      <formula>NOT(ISERROR(SEARCH("Caida",U6)))</formula>
    </cfRule>
  </conditionalFormatting>
  <conditionalFormatting sqref="U336">
    <cfRule type="cellIs" dxfId="520" priority="1132" operator="lessThan">
      <formula>0.8</formula>
    </cfRule>
    <cfRule type="cellIs" dxfId="519" priority="1133" operator="greaterThan">
      <formula>0.8</formula>
    </cfRule>
  </conditionalFormatting>
  <conditionalFormatting sqref="U336">
    <cfRule type="notContainsText" dxfId="518" priority="1130" operator="notContains" text="Caida">
      <formula>ISERROR(SEARCH("Caida",U336))</formula>
    </cfRule>
    <cfRule type="containsText" dxfId="517" priority="1131" operator="containsText" text="Caida">
      <formula>NOT(ISERROR(SEARCH("Caida",U336)))</formula>
    </cfRule>
  </conditionalFormatting>
  <conditionalFormatting sqref="U337:U366 U284:U334">
    <cfRule type="cellIs" dxfId="516" priority="1173" operator="lessThan">
      <formula>0.8</formula>
    </cfRule>
    <cfRule type="cellIs" dxfId="515" priority="1174" operator="greaterThan">
      <formula>0.8</formula>
    </cfRule>
  </conditionalFormatting>
  <conditionalFormatting sqref="U337:U366 U284:U334 U391:U1048576">
    <cfRule type="notContainsText" dxfId="514" priority="1171" operator="notContains" text="Caida">
      <formula>ISERROR(SEARCH("Caida",U284))</formula>
    </cfRule>
    <cfRule type="containsText" dxfId="513" priority="1172" operator="containsText" text="Caida">
      <formula>NOT(ISERROR(SEARCH("Caida",U284)))</formula>
    </cfRule>
  </conditionalFormatting>
  <conditionalFormatting sqref="U22">
    <cfRule type="containsText" dxfId="51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511" priority="1168" operator="lessThan">
      <formula>0.8</formula>
    </cfRule>
    <cfRule type="cellIs" dxfId="510" priority="1169" operator="greaterThan">
      <formula>0.8</formula>
    </cfRule>
  </conditionalFormatting>
  <conditionalFormatting sqref="U282">
    <cfRule type="notContainsText" dxfId="509" priority="1166" operator="notContains" text="Caida">
      <formula>ISERROR(SEARCH("Caida",U282))</formula>
    </cfRule>
    <cfRule type="containsText" dxfId="508" priority="1167" operator="containsText" text="Caida">
      <formula>NOT(ISERROR(SEARCH("Caida",U282)))</formula>
    </cfRule>
  </conditionalFormatting>
  <conditionalFormatting sqref="U283">
    <cfRule type="cellIs" dxfId="507" priority="1164" operator="lessThan">
      <formula>0.8</formula>
    </cfRule>
    <cfRule type="cellIs" dxfId="506" priority="1165" operator="greaterThan">
      <formula>0.8</formula>
    </cfRule>
  </conditionalFormatting>
  <conditionalFormatting sqref="U283">
    <cfRule type="notContainsText" dxfId="505" priority="1162" operator="notContains" text="Caida">
      <formula>ISERROR(SEARCH("Caida",U283))</formula>
    </cfRule>
    <cfRule type="containsText" dxfId="504" priority="1163" operator="containsText" text="Caida">
      <formula>NOT(ISERROR(SEARCH("Caida",U283)))</formula>
    </cfRule>
  </conditionalFormatting>
  <conditionalFormatting sqref="U5">
    <cfRule type="cellIs" dxfId="503" priority="1160" operator="lessThan">
      <formula>0.8</formula>
    </cfRule>
    <cfRule type="cellIs" dxfId="502" priority="1161" operator="greaterThan">
      <formula>0.8</formula>
    </cfRule>
  </conditionalFormatting>
  <conditionalFormatting sqref="U5">
    <cfRule type="notContainsText" dxfId="501" priority="1158" operator="notContains" text="Caida">
      <formula>ISERROR(SEARCH("Caida",U5))</formula>
    </cfRule>
    <cfRule type="containsText" dxfId="500" priority="1159" operator="containsText" text="Caida">
      <formula>NOT(ISERROR(SEARCH("Caida",U5)))</formula>
    </cfRule>
  </conditionalFormatting>
  <conditionalFormatting sqref="U233">
    <cfRule type="cellIs" dxfId="499" priority="1148" operator="lessThan">
      <formula>0.8</formula>
    </cfRule>
    <cfRule type="cellIs" dxfId="498" priority="1149" operator="greaterThan">
      <formula>0.8</formula>
    </cfRule>
  </conditionalFormatting>
  <conditionalFormatting sqref="U233">
    <cfRule type="notContainsText" dxfId="497" priority="1146" operator="notContains" text="Caida">
      <formula>ISERROR(SEARCH("Caida",U233))</formula>
    </cfRule>
    <cfRule type="containsText" dxfId="496" priority="1147" operator="containsText" text="Caida">
      <formula>NOT(ISERROR(SEARCH("Caida",U233)))</formula>
    </cfRule>
  </conditionalFormatting>
  <conditionalFormatting sqref="U234">
    <cfRule type="cellIs" dxfId="495" priority="1144" operator="lessThan">
      <formula>0.8</formula>
    </cfRule>
    <cfRule type="cellIs" dxfId="494" priority="1145" operator="greaterThan">
      <formula>0.8</formula>
    </cfRule>
  </conditionalFormatting>
  <conditionalFormatting sqref="U234">
    <cfRule type="notContainsText" dxfId="493" priority="1142" operator="notContains" text="Caida">
      <formula>ISERROR(SEARCH("Caida",U234))</formula>
    </cfRule>
    <cfRule type="containsText" dxfId="492" priority="1143" operator="containsText" text="Caida">
      <formula>NOT(ISERROR(SEARCH("Caida",U234)))</formula>
    </cfRule>
  </conditionalFormatting>
  <conditionalFormatting sqref="U235">
    <cfRule type="cellIs" dxfId="491" priority="1140" operator="lessThan">
      <formula>0.8</formula>
    </cfRule>
    <cfRule type="cellIs" dxfId="490" priority="1141" operator="greaterThan">
      <formula>0.8</formula>
    </cfRule>
  </conditionalFormatting>
  <conditionalFormatting sqref="U235">
    <cfRule type="notContainsText" dxfId="489" priority="1138" operator="notContains" text="Caida">
      <formula>ISERROR(SEARCH("Caida",U235))</formula>
    </cfRule>
    <cfRule type="containsText" dxfId="488" priority="1139" operator="containsText" text="Caida">
      <formula>NOT(ISERROR(SEARCH("Caida",U235)))</formula>
    </cfRule>
  </conditionalFormatting>
  <conditionalFormatting sqref="U335">
    <cfRule type="cellIs" dxfId="487" priority="1136" operator="lessThan">
      <formula>0.8</formula>
    </cfRule>
    <cfRule type="cellIs" dxfId="486" priority="1137" operator="greaterThan">
      <formula>0.8</formula>
    </cfRule>
  </conditionalFormatting>
  <conditionalFormatting sqref="U335">
    <cfRule type="notContainsText" dxfId="485" priority="1134" operator="notContains" text="Caida">
      <formula>ISERROR(SEARCH("Caida",U335))</formula>
    </cfRule>
    <cfRule type="containsText" dxfId="484" priority="1135" operator="containsText" text="Caida">
      <formula>NOT(ISERROR(SEARCH("Caida",U335)))</formula>
    </cfRule>
  </conditionalFormatting>
  <conditionalFormatting sqref="U93:U95">
    <cfRule type="cellIs" dxfId="483" priority="1128" operator="lessThan">
      <formula>0.8</formula>
    </cfRule>
    <cfRule type="cellIs" dxfId="482" priority="1129" operator="greaterThan">
      <formula>0.8</formula>
    </cfRule>
  </conditionalFormatting>
  <conditionalFormatting sqref="U93:U95">
    <cfRule type="notContainsText" dxfId="481" priority="1126" operator="notContains" text="Caida">
      <formula>ISERROR(SEARCH("Caida",U93))</formula>
    </cfRule>
    <cfRule type="containsText" dxfId="480" priority="1127" operator="containsText" text="Caida">
      <formula>NOT(ISERROR(SEARCH("Caida",U93)))</formula>
    </cfRule>
  </conditionalFormatting>
  <conditionalFormatting sqref="U367">
    <cfRule type="cellIs" dxfId="479" priority="1124" operator="lessThan">
      <formula>0.8</formula>
    </cfRule>
    <cfRule type="cellIs" dxfId="478" priority="1125" operator="greaterThan">
      <formula>0.8</formula>
    </cfRule>
  </conditionalFormatting>
  <conditionalFormatting sqref="U367">
    <cfRule type="notContainsText" dxfId="477" priority="1122" operator="notContains" text="Caida">
      <formula>ISERROR(SEARCH("Caida",U367))</formula>
    </cfRule>
    <cfRule type="containsText" dxfId="476" priority="1123" operator="containsText" text="Caida">
      <formula>NOT(ISERROR(SEARCH("Caida",U367)))</formula>
    </cfRule>
  </conditionalFormatting>
  <conditionalFormatting sqref="V6:X92">
    <cfRule type="cellIs" dxfId="475" priority="1108" operator="lessThan">
      <formula>0.8</formula>
    </cfRule>
    <cfRule type="cellIs" dxfId="474" priority="1109" operator="greaterThan">
      <formula>0.8</formula>
    </cfRule>
  </conditionalFormatting>
  <conditionalFormatting sqref="V6:X92">
    <cfRule type="notContainsText" dxfId="473" priority="1106" operator="notContains" text="Caida">
      <formula>ISERROR(SEARCH("Caida",V6))</formula>
    </cfRule>
    <cfRule type="containsText" dxfId="472" priority="1107" operator="containsText" text="Caida">
      <formula>NOT(ISERROR(SEARCH("Caida",V6)))</formula>
    </cfRule>
  </conditionalFormatting>
  <conditionalFormatting sqref="V22:X22 AA22:AJ22">
    <cfRule type="containsText" dxfId="47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70" priority="1103" operator="lessThan">
      <formula>0.8</formula>
    </cfRule>
    <cfRule type="cellIs" dxfId="469" priority="1104" operator="greaterThan">
      <formula>0.8</formula>
    </cfRule>
  </conditionalFormatting>
  <conditionalFormatting sqref="V5:X5 AA5:AJ5">
    <cfRule type="notContainsText" dxfId="468" priority="1101" operator="notContains" text="Caida">
      <formula>ISERROR(SEARCH("Caida",V5))</formula>
    </cfRule>
    <cfRule type="containsText" dxfId="467" priority="1102" operator="containsText" text="Caida">
      <formula>NOT(ISERROR(SEARCH("Caida",V5)))</formula>
    </cfRule>
  </conditionalFormatting>
  <conditionalFormatting sqref="V93:X95">
    <cfRule type="cellIs" dxfId="466" priority="1099" operator="lessThan">
      <formula>0.8</formula>
    </cfRule>
    <cfRule type="cellIs" dxfId="465" priority="1100" operator="greaterThan">
      <formula>0.8</formula>
    </cfRule>
  </conditionalFormatting>
  <conditionalFormatting sqref="V93:X95">
    <cfRule type="notContainsText" dxfId="464" priority="1097" operator="notContains" text="Caida">
      <formula>ISERROR(SEARCH("Caida",V93))</formula>
    </cfRule>
    <cfRule type="containsText" dxfId="463" priority="1098" operator="containsText" text="Caida">
      <formula>NOT(ISERROR(SEARCH("Caida",V93)))</formula>
    </cfRule>
  </conditionalFormatting>
  <conditionalFormatting sqref="E1:E372 E391:E1048576">
    <cfRule type="containsText" dxfId="462" priority="957" operator="containsText" text="fija">
      <formula>NOT(ISERROR(SEARCH("fija",E1)))</formula>
    </cfRule>
    <cfRule type="containsText" dxfId="461" priority="958" operator="containsText" text="domo">
      <formula>NOT(ISERROR(SEARCH("domo",E1)))</formula>
    </cfRule>
  </conditionalFormatting>
  <conditionalFormatting sqref="AK6:AP92">
    <cfRule type="cellIs" dxfId="460" priority="933" operator="lessThan">
      <formula>0.8</formula>
    </cfRule>
    <cfRule type="cellIs" dxfId="459" priority="934" operator="greaterThan">
      <formula>0.8</formula>
    </cfRule>
  </conditionalFormatting>
  <conditionalFormatting sqref="AK6:AP92">
    <cfRule type="notContainsText" dxfId="458" priority="931" operator="notContains" text="Caida">
      <formula>ISERROR(SEARCH("Caida",AK6))</formula>
    </cfRule>
    <cfRule type="containsText" dxfId="457" priority="932" operator="containsText" text="Caida">
      <formula>NOT(ISERROR(SEARCH("Caida",AK6)))</formula>
    </cfRule>
  </conditionalFormatting>
  <conditionalFormatting sqref="AK22:AR22">
    <cfRule type="containsText" dxfId="45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55" priority="928" operator="lessThan">
      <formula>0.8</formula>
    </cfRule>
    <cfRule type="cellIs" dxfId="454" priority="929" operator="greaterThan">
      <formula>0.8</formula>
    </cfRule>
  </conditionalFormatting>
  <conditionalFormatting sqref="AK5:AR5">
    <cfRule type="notContainsText" dxfId="453" priority="926" operator="notContains" text="Caida">
      <formula>ISERROR(SEARCH("Caida",AK5))</formula>
    </cfRule>
    <cfRule type="containsText" dxfId="452" priority="927" operator="containsText" text="Caida">
      <formula>NOT(ISERROR(SEARCH("Caida",AK5)))</formula>
    </cfRule>
  </conditionalFormatting>
  <conditionalFormatting sqref="AK93:AP94">
    <cfRule type="cellIs" dxfId="451" priority="924" operator="lessThan">
      <formula>0.8</formula>
    </cfRule>
    <cfRule type="cellIs" dxfId="450" priority="925" operator="greaterThan">
      <formula>0.8</formula>
    </cfRule>
  </conditionalFormatting>
  <conditionalFormatting sqref="AK93:AP94">
    <cfRule type="notContainsText" dxfId="449" priority="922" operator="notContains" text="Caida">
      <formula>ISERROR(SEARCH("Caida",AK93))</formula>
    </cfRule>
    <cfRule type="containsText" dxfId="44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47" priority="921" operator="equal">
      <formula>"APAGADO"</formula>
    </cfRule>
  </conditionalFormatting>
  <conditionalFormatting sqref="S6:S92 S96:S230">
    <cfRule type="cellIs" dxfId="446" priority="905" operator="lessThan">
      <formula>0.8</formula>
    </cfRule>
    <cfRule type="cellIs" dxfId="445" priority="906" operator="greaterThan">
      <formula>0.8</formula>
    </cfRule>
  </conditionalFormatting>
  <conditionalFormatting sqref="S6:S92 S96:S230">
    <cfRule type="notContainsText" dxfId="444" priority="903" operator="notContains" text="Caida">
      <formula>ISERROR(SEARCH("Caida",S6))</formula>
    </cfRule>
    <cfRule type="containsText" dxfId="443" priority="904" operator="containsText" text="Caida">
      <formula>NOT(ISERROR(SEARCH("Caida",S6)))</formula>
    </cfRule>
  </conditionalFormatting>
  <conditionalFormatting sqref="S337:S366 S284:S334">
    <cfRule type="cellIs" dxfId="442" priority="901" operator="lessThan">
      <formula>0.8</formula>
    </cfRule>
    <cfRule type="cellIs" dxfId="441" priority="902" operator="greaterThan">
      <formula>0.8</formula>
    </cfRule>
  </conditionalFormatting>
  <conditionalFormatting sqref="S337:S366 S284:S334">
    <cfRule type="notContainsText" dxfId="440" priority="899" operator="notContains" text="Caida">
      <formula>ISERROR(SEARCH("Caida",S284))</formula>
    </cfRule>
    <cfRule type="containsText" dxfId="439" priority="900" operator="containsText" text="Caida">
      <formula>NOT(ISERROR(SEARCH("Caida",S284)))</formula>
    </cfRule>
  </conditionalFormatting>
  <conditionalFormatting sqref="S93:S95">
    <cfRule type="cellIs" dxfId="438" priority="897" operator="lessThan">
      <formula>0.8</formula>
    </cfRule>
    <cfRule type="cellIs" dxfId="437" priority="898" operator="greaterThan">
      <formula>0.8</formula>
    </cfRule>
  </conditionalFormatting>
  <conditionalFormatting sqref="S93:S95">
    <cfRule type="notContainsText" dxfId="436" priority="895" operator="notContains" text="Caida">
      <formula>ISERROR(SEARCH("Caida",S93))</formula>
    </cfRule>
    <cfRule type="containsText" dxfId="435" priority="896" operator="containsText" text="Caida">
      <formula>NOT(ISERROR(SEARCH("Caida",S93)))</formula>
    </cfRule>
  </conditionalFormatting>
  <conditionalFormatting sqref="T6:T92 T96:T230">
    <cfRule type="cellIs" dxfId="434" priority="893" operator="lessThan">
      <formula>0.8</formula>
    </cfRule>
    <cfRule type="cellIs" dxfId="433" priority="894" operator="greaterThan">
      <formula>0.8</formula>
    </cfRule>
  </conditionalFormatting>
  <conditionalFormatting sqref="T6:T92 T96:T230">
    <cfRule type="notContainsText" dxfId="432" priority="891" operator="notContains" text="Caida">
      <formula>ISERROR(SEARCH("Caida",T6))</formula>
    </cfRule>
    <cfRule type="containsText" dxfId="431" priority="892" operator="containsText" text="Caida">
      <formula>NOT(ISERROR(SEARCH("Caida",T6)))</formula>
    </cfRule>
  </conditionalFormatting>
  <conditionalFormatting sqref="T337:T366 T284:T334">
    <cfRule type="cellIs" dxfId="430" priority="889" operator="lessThan">
      <formula>0.8</formula>
    </cfRule>
    <cfRule type="cellIs" dxfId="429" priority="890" operator="greaterThan">
      <formula>0.8</formula>
    </cfRule>
  </conditionalFormatting>
  <conditionalFormatting sqref="T337:T366 T284:T334">
    <cfRule type="notContainsText" dxfId="428" priority="887" operator="notContains" text="Caida">
      <formula>ISERROR(SEARCH("Caida",T284))</formula>
    </cfRule>
    <cfRule type="containsText" dxfId="427" priority="888" operator="containsText" text="Caida">
      <formula>NOT(ISERROR(SEARCH("Caida",T284)))</formula>
    </cfRule>
  </conditionalFormatting>
  <conditionalFormatting sqref="T93:T95">
    <cfRule type="cellIs" dxfId="426" priority="885" operator="lessThan">
      <formula>0.8</formula>
    </cfRule>
    <cfRule type="cellIs" dxfId="425" priority="886" operator="greaterThan">
      <formula>0.8</formula>
    </cfRule>
  </conditionalFormatting>
  <conditionalFormatting sqref="T93:T95">
    <cfRule type="notContainsText" dxfId="424" priority="883" operator="notContains" text="Caida">
      <formula>ISERROR(SEARCH("Caida",T93))</formula>
    </cfRule>
    <cfRule type="containsText" dxfId="423" priority="884" operator="containsText" text="Caida">
      <formula>NOT(ISERROR(SEARCH("Caida",T93)))</formula>
    </cfRule>
  </conditionalFormatting>
  <conditionalFormatting sqref="F1:F372 F391:F1048576">
    <cfRule type="cellIs" dxfId="422" priority="812" operator="equal">
      <formula>"PTP A FO"</formula>
    </cfRule>
  </conditionalFormatting>
  <conditionalFormatting sqref="R371:T372">
    <cfRule type="cellIs" dxfId="421" priority="441" operator="lessThan">
      <formula>0.8</formula>
    </cfRule>
    <cfRule type="cellIs" dxfId="420" priority="442" operator="greaterThan">
      <formula>0.8</formula>
    </cfRule>
  </conditionalFormatting>
  <conditionalFormatting sqref="R371:T372">
    <cfRule type="notContainsText" dxfId="419" priority="439" operator="notContains" text="Caida">
      <formula>ISERROR(SEARCH("Caida",R371))</formula>
    </cfRule>
    <cfRule type="containsText" dxfId="418" priority="440" operator="containsText" text="Caida">
      <formula>NOT(ISERROR(SEARCH("Caida",R371)))</formula>
    </cfRule>
  </conditionalFormatting>
  <conditionalFormatting sqref="O6:O92">
    <cfRule type="cellIs" dxfId="417" priority="429" operator="lessThan">
      <formula>0.8</formula>
    </cfRule>
    <cfRule type="cellIs" dxfId="416" priority="430" operator="greaterThan">
      <formula>0.8</formula>
    </cfRule>
  </conditionalFormatting>
  <conditionalFormatting sqref="O6:O92">
    <cfRule type="notContainsText" dxfId="415" priority="427" operator="notContains" text="Caida">
      <formula>ISERROR(SEARCH("Caida",O6))</formula>
    </cfRule>
    <cfRule type="containsText" dxfId="414" priority="428" operator="containsText" text="Caida">
      <formula>NOT(ISERROR(SEARCH("Caida",O6)))</formula>
    </cfRule>
  </conditionalFormatting>
  <conditionalFormatting sqref="O22">
    <cfRule type="containsText" dxfId="41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412" priority="424" operator="lessThan">
      <formula>0.8</formula>
    </cfRule>
    <cfRule type="cellIs" dxfId="411" priority="425" operator="greaterThan">
      <formula>0.8</formula>
    </cfRule>
  </conditionalFormatting>
  <conditionalFormatting sqref="O5">
    <cfRule type="notContainsText" dxfId="410" priority="422" operator="notContains" text="Caida">
      <formula>ISERROR(SEARCH("Caida",O5))</formula>
    </cfRule>
    <cfRule type="containsText" dxfId="409" priority="423" operator="containsText" text="Caida">
      <formula>NOT(ISERROR(SEARCH("Caida",O5)))</formula>
    </cfRule>
  </conditionalFormatting>
  <conditionalFormatting sqref="O93:O94">
    <cfRule type="cellIs" dxfId="408" priority="420" operator="lessThan">
      <formula>0.8</formula>
    </cfRule>
    <cfRule type="cellIs" dxfId="407" priority="421" operator="greaterThan">
      <formula>0.8</formula>
    </cfRule>
  </conditionalFormatting>
  <conditionalFormatting sqref="O93:O94">
    <cfRule type="notContainsText" dxfId="406" priority="418" operator="notContains" text="Caida">
      <formula>ISERROR(SEARCH("Caida",O93))</formula>
    </cfRule>
    <cfRule type="containsText" dxfId="405" priority="419" operator="containsText" text="Caida">
      <formula>NOT(ISERROR(SEARCH("Caida",O93)))</formula>
    </cfRule>
  </conditionalFormatting>
  <conditionalFormatting sqref="AR6:AR92">
    <cfRule type="cellIs" dxfId="404" priority="411" operator="lessThan">
      <formula>0.8</formula>
    </cfRule>
    <cfRule type="cellIs" dxfId="403" priority="412" operator="greaterThan">
      <formula>0.8</formula>
    </cfRule>
  </conditionalFormatting>
  <conditionalFormatting sqref="AR6:AR92">
    <cfRule type="notContainsText" dxfId="402" priority="409" operator="notContains" text="Caida">
      <formula>ISERROR(SEARCH("Caida",AR6))</formula>
    </cfRule>
    <cfRule type="containsText" dxfId="401" priority="410" operator="containsText" text="Caida">
      <formula>NOT(ISERROR(SEARCH("Caida",AR6)))</formula>
    </cfRule>
  </conditionalFormatting>
  <conditionalFormatting sqref="AR93:AR94">
    <cfRule type="cellIs" dxfId="400" priority="407" operator="lessThan">
      <formula>0.8</formula>
    </cfRule>
    <cfRule type="cellIs" dxfId="399" priority="408" operator="greaterThan">
      <formula>0.8</formula>
    </cfRule>
  </conditionalFormatting>
  <conditionalFormatting sqref="AR93:AR94">
    <cfRule type="notContainsText" dxfId="398" priority="405" operator="notContains" text="Caida">
      <formula>ISERROR(SEARCH("Caida",AR93))</formula>
    </cfRule>
    <cfRule type="containsText" dxfId="397" priority="406" operator="containsText" text="Caida">
      <formula>NOT(ISERROR(SEARCH("Caida",AR93)))</formula>
    </cfRule>
  </conditionalFormatting>
  <conditionalFormatting sqref="AA6:AF92">
    <cfRule type="cellIs" dxfId="396" priority="346" operator="lessThan">
      <formula>0.8</formula>
    </cfRule>
    <cfRule type="cellIs" dxfId="395" priority="347" operator="greaterThan">
      <formula>0.8</formula>
    </cfRule>
  </conditionalFormatting>
  <conditionalFormatting sqref="AA6:AF92">
    <cfRule type="notContainsText" dxfId="394" priority="344" operator="notContains" text="Caida">
      <formula>ISERROR(SEARCH("Caida",AA6))</formula>
    </cfRule>
    <cfRule type="containsText" dxfId="393" priority="345" operator="containsText" text="Caida">
      <formula>NOT(ISERROR(SEARCH("Caida",AA6)))</formula>
    </cfRule>
  </conditionalFormatting>
  <conditionalFormatting sqref="AA93:AF95">
    <cfRule type="cellIs" dxfId="392" priority="342" operator="lessThan">
      <formula>0.8</formula>
    </cfRule>
    <cfRule type="cellIs" dxfId="391" priority="343" operator="greaterThan">
      <formula>0.8</formula>
    </cfRule>
  </conditionalFormatting>
  <conditionalFormatting sqref="AA93:AF95">
    <cfRule type="notContainsText" dxfId="390" priority="340" operator="notContains" text="Caida">
      <formula>ISERROR(SEARCH("Caida",AA93))</formula>
    </cfRule>
    <cfRule type="containsText" dxfId="389" priority="341" operator="containsText" text="Caida">
      <formula>NOT(ISERROR(SEARCH("Caida",AA93)))</formula>
    </cfRule>
  </conditionalFormatting>
  <conditionalFormatting sqref="AF1 AF5:AF372 AF380:AF1048576 AF3">
    <cfRule type="cellIs" dxfId="388" priority="339" operator="equal">
      <formula>"apagado"</formula>
    </cfRule>
  </conditionalFormatting>
  <conditionalFormatting sqref="AE1 AE5:AE372 AE380:AE1048576 AE3">
    <cfRule type="cellIs" dxfId="387" priority="338" operator="equal">
      <formula>"apagado"</formula>
    </cfRule>
  </conditionalFormatting>
  <conditionalFormatting sqref="AD1 AD5:AD372 AD380:AD1048576 AD3">
    <cfRule type="cellIs" dxfId="386" priority="337" operator="equal">
      <formula>"apagado"</formula>
    </cfRule>
  </conditionalFormatting>
  <conditionalFormatting sqref="AC1 AC5:AC372 AC380:AC1048576 AC3">
    <cfRule type="cellIs" dxfId="385" priority="336" operator="equal">
      <formula>"apagado"</formula>
    </cfRule>
  </conditionalFormatting>
  <conditionalFormatting sqref="AB1 AB5:AB372 AB380:AB1048576 AB3">
    <cfRule type="cellIs" dxfId="384" priority="335" operator="equal">
      <formula>"apagado"</formula>
    </cfRule>
  </conditionalFormatting>
  <conditionalFormatting sqref="AA1 AA5:AA372 AA380:AA1048576 AA3">
    <cfRule type="cellIs" dxfId="383" priority="334" operator="equal">
      <formula>"apagado"</formula>
    </cfRule>
  </conditionalFormatting>
  <conditionalFormatting sqref="Z1 Z380:Z1048576 Z3">
    <cfRule type="cellIs" dxfId="382" priority="333" operator="equal">
      <formula>"apagado"</formula>
    </cfRule>
  </conditionalFormatting>
  <conditionalFormatting sqref="Y1 Y380:Y1048576 Y3">
    <cfRule type="cellIs" dxfId="381" priority="332" operator="equal">
      <formula>"apagado"</formula>
    </cfRule>
  </conditionalFormatting>
  <conditionalFormatting sqref="AG6:AG92">
    <cfRule type="cellIs" dxfId="380" priority="330" operator="lessThan">
      <formula>0.8</formula>
    </cfRule>
    <cfRule type="cellIs" dxfId="379" priority="331" operator="greaterThan">
      <formula>0.8</formula>
    </cfRule>
  </conditionalFormatting>
  <conditionalFormatting sqref="AG6:AG92">
    <cfRule type="notContainsText" dxfId="378" priority="328" operator="notContains" text="Caida">
      <formula>ISERROR(SEARCH("Caida",AG6))</formula>
    </cfRule>
    <cfRule type="containsText" dxfId="377" priority="329" operator="containsText" text="Caida">
      <formula>NOT(ISERROR(SEARCH("Caida",AG6)))</formula>
    </cfRule>
  </conditionalFormatting>
  <conditionalFormatting sqref="AG93:AG95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G93:AG95">
    <cfRule type="notContainsText" dxfId="374" priority="324" operator="notContains" text="Caida">
      <formula>ISERROR(SEARCH("Caida",AG93))</formula>
    </cfRule>
    <cfRule type="containsText" dxfId="373" priority="325" operator="containsText" text="Caida">
      <formula>NOT(ISERROR(SEARCH("Caida",AG93)))</formula>
    </cfRule>
  </conditionalFormatting>
  <conditionalFormatting sqref="AG1 AG5:AG372 AG380:AG1048576 AG3">
    <cfRule type="cellIs" dxfId="372" priority="323" operator="equal">
      <formula>"apagado"</formula>
    </cfRule>
  </conditionalFormatting>
  <conditionalFormatting sqref="AH6:AH92">
    <cfRule type="cellIs" dxfId="371" priority="321" operator="lessThan">
      <formula>0.8</formula>
    </cfRule>
    <cfRule type="cellIs" dxfId="370" priority="322" operator="greaterThan">
      <formula>0.8</formula>
    </cfRule>
  </conditionalFormatting>
  <conditionalFormatting sqref="AH6:AH92">
    <cfRule type="notContainsText" dxfId="369" priority="319" operator="notContains" text="Caida">
      <formula>ISERROR(SEARCH("Caida",AH6))</formula>
    </cfRule>
    <cfRule type="containsText" dxfId="368" priority="320" operator="containsText" text="Caida">
      <formula>NOT(ISERROR(SEARCH("Caida",AH6)))</formula>
    </cfRule>
  </conditionalFormatting>
  <conditionalFormatting sqref="AH93:AH95">
    <cfRule type="cellIs" dxfId="367" priority="317" operator="lessThan">
      <formula>0.8</formula>
    </cfRule>
    <cfRule type="cellIs" dxfId="366" priority="318" operator="greaterThan">
      <formula>0.8</formula>
    </cfRule>
  </conditionalFormatting>
  <conditionalFormatting sqref="AH93:AH95">
    <cfRule type="notContainsText" dxfId="365" priority="315" operator="notContains" text="Caida">
      <formula>ISERROR(SEARCH("Caida",AH93))</formula>
    </cfRule>
    <cfRule type="containsText" dxfId="364" priority="316" operator="containsText" text="Caida">
      <formula>NOT(ISERROR(SEARCH("Caida",AH93)))</formula>
    </cfRule>
  </conditionalFormatting>
  <conditionalFormatting sqref="AH1 AH380:AH1048576 AH3 AH5:AH372">
    <cfRule type="cellIs" dxfId="363" priority="314" operator="equal">
      <formula>"apagado"</formula>
    </cfRule>
  </conditionalFormatting>
  <conditionalFormatting sqref="AI6:AI92">
    <cfRule type="cellIs" dxfId="362" priority="312" operator="lessThan">
      <formula>0.8</formula>
    </cfRule>
    <cfRule type="cellIs" dxfId="361" priority="313" operator="greaterThan">
      <formula>0.8</formula>
    </cfRule>
  </conditionalFormatting>
  <conditionalFormatting sqref="AI6:AI92">
    <cfRule type="notContainsText" dxfId="360" priority="310" operator="notContains" text="Caida">
      <formula>ISERROR(SEARCH("Caida",AI6))</formula>
    </cfRule>
    <cfRule type="containsText" dxfId="359" priority="311" operator="containsText" text="Caida">
      <formula>NOT(ISERROR(SEARCH("Caida",AI6)))</formula>
    </cfRule>
  </conditionalFormatting>
  <conditionalFormatting sqref="AI93:AI95">
    <cfRule type="cellIs" dxfId="358" priority="308" operator="lessThan">
      <formula>0.8</formula>
    </cfRule>
    <cfRule type="cellIs" dxfId="357" priority="309" operator="greaterThan">
      <formula>0.8</formula>
    </cfRule>
  </conditionalFormatting>
  <conditionalFormatting sqref="AI93:AI95">
    <cfRule type="notContainsText" dxfId="356" priority="306" operator="notContains" text="Caida">
      <formula>ISERROR(SEARCH("Caida",AI93))</formula>
    </cfRule>
    <cfRule type="containsText" dxfId="355" priority="307" operator="containsText" text="Caida">
      <formula>NOT(ISERROR(SEARCH("Caida",AI93)))</formula>
    </cfRule>
  </conditionalFormatting>
  <conditionalFormatting sqref="AI1 AI5:AI372 AI380:AI1048576 AI3">
    <cfRule type="cellIs" dxfId="354" priority="305" operator="equal">
      <formula>"apagado"</formula>
    </cfRule>
  </conditionalFormatting>
  <conditionalFormatting sqref="AJ6:AJ92">
    <cfRule type="cellIs" dxfId="353" priority="303" operator="lessThan">
      <formula>0.8</formula>
    </cfRule>
    <cfRule type="cellIs" dxfId="352" priority="304" operator="greaterThan">
      <formula>0.8</formula>
    </cfRule>
  </conditionalFormatting>
  <conditionalFormatting sqref="AJ6:AJ92">
    <cfRule type="notContainsText" dxfId="351" priority="301" operator="notContains" text="Caida">
      <formula>ISERROR(SEARCH("Caida",AJ6))</formula>
    </cfRule>
    <cfRule type="containsText" dxfId="350" priority="302" operator="containsText" text="Caida">
      <formula>NOT(ISERROR(SEARCH("Caida",AJ6)))</formula>
    </cfRule>
  </conditionalFormatting>
  <conditionalFormatting sqref="AJ93:AJ95">
    <cfRule type="cellIs" dxfId="349" priority="299" operator="lessThan">
      <formula>0.8</formula>
    </cfRule>
    <cfRule type="cellIs" dxfId="348" priority="300" operator="greaterThan">
      <formula>0.8</formula>
    </cfRule>
  </conditionalFormatting>
  <conditionalFormatting sqref="AJ93:AJ95">
    <cfRule type="notContainsText" dxfId="347" priority="297" operator="notContains" text="Caida">
      <formula>ISERROR(SEARCH("Caida",AJ93))</formula>
    </cfRule>
    <cfRule type="containsText" dxfId="346" priority="298" operator="containsText" text="Caida">
      <formula>NOT(ISERROR(SEARCH("Caida",AJ93)))</formula>
    </cfRule>
  </conditionalFormatting>
  <conditionalFormatting sqref="AJ1 AJ5:AJ372 AJ380:AJ1048576 AJ3">
    <cfRule type="cellIs" dxfId="345" priority="296" operator="equal">
      <formula>"apagado"</formula>
    </cfRule>
  </conditionalFormatting>
  <conditionalFormatting sqref="AQ95:AQ369">
    <cfRule type="cellIs" dxfId="344" priority="277" operator="lessThan">
      <formula>0.8</formula>
    </cfRule>
    <cfRule type="cellIs" dxfId="343" priority="278" operator="greaterThan">
      <formula>0.8</formula>
    </cfRule>
  </conditionalFormatting>
  <conditionalFormatting sqref="AQ95:AQ372 AQ391:AQ1048576">
    <cfRule type="notContainsText" dxfId="342" priority="275" operator="notContains" text="Caida">
      <formula>ISERROR(SEARCH("Caida",AQ95))</formula>
    </cfRule>
    <cfRule type="containsText" dxfId="341" priority="276" operator="containsText" text="Caida">
      <formula>NOT(ISERROR(SEARCH("Caida",AQ95)))</formula>
    </cfRule>
  </conditionalFormatting>
  <conditionalFormatting sqref="AQ6:AQ92">
    <cfRule type="cellIs" dxfId="340" priority="273" operator="lessThan">
      <formula>0.8</formula>
    </cfRule>
    <cfRule type="cellIs" dxfId="339" priority="274" operator="greaterThan">
      <formula>0.8</formula>
    </cfRule>
  </conditionalFormatting>
  <conditionalFormatting sqref="AQ6:AQ92">
    <cfRule type="notContainsText" dxfId="338" priority="271" operator="notContains" text="Caida">
      <formula>ISERROR(SEARCH("Caida",AQ6))</formula>
    </cfRule>
    <cfRule type="containsText" dxfId="337" priority="272" operator="containsText" text="Caida">
      <formula>NOT(ISERROR(SEARCH("Caida",AQ6)))</formula>
    </cfRule>
  </conditionalFormatting>
  <conditionalFormatting sqref="AQ93:AQ94">
    <cfRule type="cellIs" dxfId="336" priority="269" operator="lessThan">
      <formula>0.8</formula>
    </cfRule>
    <cfRule type="cellIs" dxfId="335" priority="270" operator="greaterThan">
      <formula>0.8</formula>
    </cfRule>
  </conditionalFormatting>
  <conditionalFormatting sqref="AQ93:AQ94">
    <cfRule type="notContainsText" dxfId="334" priority="267" operator="notContains" text="Caida">
      <formula>ISERROR(SEARCH("Caida",AQ93))</formula>
    </cfRule>
    <cfRule type="containsText" dxfId="333" priority="268" operator="containsText" text="Caida">
      <formula>NOT(ISERROR(SEARCH("Caida",AQ93)))</formula>
    </cfRule>
  </conditionalFormatting>
  <conditionalFormatting sqref="AQ10">
    <cfRule type="cellIs" dxfId="332" priority="262" operator="equal">
      <formula>"apagado"</formula>
    </cfRule>
    <cfRule type="cellIs" dxfId="331" priority="265" operator="lessThan">
      <formula>0.8</formula>
    </cfRule>
    <cfRule type="cellIs" dxfId="330" priority="266" operator="greaterThan">
      <formula>0.8</formula>
    </cfRule>
  </conditionalFormatting>
  <conditionalFormatting sqref="AQ10">
    <cfRule type="notContainsText" dxfId="329" priority="263" operator="notContains" text="Caida">
      <formula>ISERROR(SEARCH("Caida",AQ10))</formula>
    </cfRule>
    <cfRule type="containsText" dxfId="328" priority="264" operator="containsText" text="Caida">
      <formula>NOT(ISERROR(SEARCH("Caida",AQ10)))</formula>
    </cfRule>
  </conditionalFormatting>
  <conditionalFormatting sqref="AQ1 AQ5:AQ372 AQ380:AQ1048576 AQ3">
    <cfRule type="cellIs" dxfId="327" priority="261" operator="equal">
      <formula>"apagado"</formula>
    </cfRule>
  </conditionalFormatting>
  <conditionalFormatting sqref="O5:X372 AA5:AR372">
    <cfRule type="cellIs" dxfId="326" priority="260" operator="equal">
      <formula>"APAGADO"</formula>
    </cfRule>
  </conditionalFormatting>
  <conditionalFormatting sqref="Y96:Y372">
    <cfRule type="cellIs" dxfId="325" priority="222" operator="lessThan">
      <formula>0.8</formula>
    </cfRule>
    <cfRule type="cellIs" dxfId="324" priority="223" operator="greaterThan">
      <formula>0.8</formula>
    </cfRule>
  </conditionalFormatting>
  <conditionalFormatting sqref="Y96:Y372">
    <cfRule type="notContainsText" dxfId="323" priority="220" operator="notContains" text="Caida">
      <formula>ISERROR(SEARCH("Caida",Y96))</formula>
    </cfRule>
    <cfRule type="containsText" dxfId="322" priority="221" operator="containsText" text="Caida">
      <formula>NOT(ISERROR(SEARCH("Caida",Y96)))</formula>
    </cfRule>
  </conditionalFormatting>
  <conditionalFormatting sqref="Y22">
    <cfRule type="containsText" dxfId="321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20" priority="217" operator="lessThan">
      <formula>0.8</formula>
    </cfRule>
    <cfRule type="cellIs" dxfId="319" priority="218" operator="greaterThan">
      <formula>0.8</formula>
    </cfRule>
  </conditionalFormatting>
  <conditionalFormatting sqref="Y5">
    <cfRule type="notContainsText" dxfId="318" priority="215" operator="notContains" text="Caida">
      <formula>ISERROR(SEARCH("Caida",Y5))</formula>
    </cfRule>
    <cfRule type="containsText" dxfId="317" priority="216" operator="containsText" text="Caida">
      <formula>NOT(ISERROR(SEARCH("Caida",Y5)))</formula>
    </cfRule>
  </conditionalFormatting>
  <conditionalFormatting sqref="Y5:Y372">
    <cfRule type="cellIs" dxfId="316" priority="214" operator="equal">
      <formula>"APAGADO"</formula>
    </cfRule>
  </conditionalFormatting>
  <conditionalFormatting sqref="Y6:Y92">
    <cfRule type="cellIs" dxfId="315" priority="212" operator="lessThan">
      <formula>0.8</formula>
    </cfRule>
    <cfRule type="cellIs" dxfId="314" priority="213" operator="greaterThan">
      <formula>0.8</formula>
    </cfRule>
  </conditionalFormatting>
  <conditionalFormatting sqref="Y6:Y92">
    <cfRule type="notContainsText" dxfId="313" priority="210" operator="notContains" text="Caida">
      <formula>ISERROR(SEARCH("Caida",Y6))</formula>
    </cfRule>
    <cfRule type="containsText" dxfId="312" priority="211" operator="containsText" text="Caida">
      <formula>NOT(ISERROR(SEARCH("Caida",Y6)))</formula>
    </cfRule>
  </conditionalFormatting>
  <conditionalFormatting sqref="Y93:Y95">
    <cfRule type="cellIs" dxfId="311" priority="208" operator="lessThan">
      <formula>0.8</formula>
    </cfRule>
    <cfRule type="cellIs" dxfId="310" priority="209" operator="greaterThan">
      <formula>0.8</formula>
    </cfRule>
  </conditionalFormatting>
  <conditionalFormatting sqref="Y93:Y95">
    <cfRule type="notContainsText" dxfId="309" priority="206" operator="notContains" text="Caida">
      <formula>ISERROR(SEARCH("Caida",Y93))</formula>
    </cfRule>
    <cfRule type="containsText" dxfId="308" priority="207" operator="containsText" text="Caida">
      <formula>NOT(ISERROR(SEARCH("Caida",Y93)))</formula>
    </cfRule>
  </conditionalFormatting>
  <conditionalFormatting sqref="Y5:Y372">
    <cfRule type="cellIs" dxfId="307" priority="205" operator="equal">
      <formula>"apagado"</formula>
    </cfRule>
  </conditionalFormatting>
  <conditionalFormatting sqref="Z96:Z372">
    <cfRule type="cellIs" dxfId="306" priority="202" operator="lessThan">
      <formula>0.8</formula>
    </cfRule>
    <cfRule type="cellIs" dxfId="305" priority="203" operator="greaterThan">
      <formula>0.8</formula>
    </cfRule>
  </conditionalFormatting>
  <conditionalFormatting sqref="Z96:Z372">
    <cfRule type="notContainsText" dxfId="304" priority="200" operator="notContains" text="Caida">
      <formula>ISERROR(SEARCH("Caida",Z96))</formula>
    </cfRule>
    <cfRule type="containsText" dxfId="303" priority="201" operator="containsText" text="Caida">
      <formula>NOT(ISERROR(SEARCH("Caida",Z96)))</formula>
    </cfRule>
  </conditionalFormatting>
  <conditionalFormatting sqref="Z22">
    <cfRule type="containsText" dxfId="302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301" priority="197" operator="lessThan">
      <formula>0.8</formula>
    </cfRule>
    <cfRule type="cellIs" dxfId="300" priority="198" operator="greaterThan">
      <formula>0.8</formula>
    </cfRule>
  </conditionalFormatting>
  <conditionalFormatting sqref="Z5">
    <cfRule type="notContainsText" dxfId="299" priority="195" operator="notContains" text="Caida">
      <formula>ISERROR(SEARCH("Caida",Z5))</formula>
    </cfRule>
    <cfRule type="containsText" dxfId="298" priority="196" operator="containsText" text="Caida">
      <formula>NOT(ISERROR(SEARCH("Caida",Z5)))</formula>
    </cfRule>
  </conditionalFormatting>
  <conditionalFormatting sqref="Z5:Z372">
    <cfRule type="cellIs" dxfId="297" priority="194" operator="equal">
      <formula>"APAGADO"</formula>
    </cfRule>
  </conditionalFormatting>
  <conditionalFormatting sqref="Z6:Z92">
    <cfRule type="cellIs" dxfId="296" priority="192" operator="lessThan">
      <formula>0.8</formula>
    </cfRule>
    <cfRule type="cellIs" dxfId="295" priority="193" operator="greaterThan">
      <formula>0.8</formula>
    </cfRule>
  </conditionalFormatting>
  <conditionalFormatting sqref="Z6:Z92">
    <cfRule type="notContainsText" dxfId="294" priority="190" operator="notContains" text="Caida">
      <formula>ISERROR(SEARCH("Caida",Z6))</formula>
    </cfRule>
    <cfRule type="containsText" dxfId="293" priority="191" operator="containsText" text="Caida">
      <formula>NOT(ISERROR(SEARCH("Caida",Z6)))</formula>
    </cfRule>
  </conditionalFormatting>
  <conditionalFormatting sqref="Z93:Z95">
    <cfRule type="cellIs" dxfId="292" priority="188" operator="lessThan">
      <formula>0.8</formula>
    </cfRule>
    <cfRule type="cellIs" dxfId="291" priority="189" operator="greaterThan">
      <formula>0.8</formula>
    </cfRule>
  </conditionalFormatting>
  <conditionalFormatting sqref="Z93:Z95">
    <cfRule type="notContainsText" dxfId="290" priority="186" operator="notContains" text="Caida">
      <formula>ISERROR(SEARCH("Caida",Z93))</formula>
    </cfRule>
    <cfRule type="containsText" dxfId="289" priority="187" operator="containsText" text="Caida">
      <formula>NOT(ISERROR(SEARCH("Caida",Z93)))</formula>
    </cfRule>
  </conditionalFormatting>
  <conditionalFormatting sqref="Z5:Z372">
    <cfRule type="cellIs" dxfId="288" priority="185" operator="equal">
      <formula>"apagado"</formula>
    </cfRule>
  </conditionalFormatting>
  <conditionalFormatting sqref="AH94">
    <cfRule type="cellIs" dxfId="287" priority="182" operator="lessThan">
      <formula>0.8</formula>
    </cfRule>
    <cfRule type="cellIs" dxfId="286" priority="183" operator="greaterThan">
      <formula>0.8</formula>
    </cfRule>
  </conditionalFormatting>
  <conditionalFormatting sqref="AH94">
    <cfRule type="notContainsText" dxfId="285" priority="180" operator="notContains" text="Caida">
      <formula>ISERROR(SEARCH("Caida",AH94))</formula>
    </cfRule>
    <cfRule type="containsText" dxfId="284" priority="181" operator="containsText" text="Caida">
      <formula>NOT(ISERROR(SEARCH("Caida",AH94)))</formula>
    </cfRule>
  </conditionalFormatting>
  <conditionalFormatting sqref="AH96">
    <cfRule type="cellIs" dxfId="283" priority="178" operator="lessThan">
      <formula>0.8</formula>
    </cfRule>
    <cfRule type="cellIs" dxfId="282" priority="179" operator="greaterThan">
      <formula>0.8</formula>
    </cfRule>
  </conditionalFormatting>
  <conditionalFormatting sqref="AH96">
    <cfRule type="notContainsText" dxfId="281" priority="176" operator="notContains" text="Caida">
      <formula>ISERROR(SEARCH("Caida",AH96))</formula>
    </cfRule>
    <cfRule type="containsText" dxfId="280" priority="177" operator="containsText" text="Caida">
      <formula>NOT(ISERROR(SEARCH("Caida",AH96)))</formula>
    </cfRule>
  </conditionalFormatting>
  <conditionalFormatting sqref="AH99">
    <cfRule type="cellIs" dxfId="279" priority="174" operator="lessThan">
      <formula>0.8</formula>
    </cfRule>
    <cfRule type="cellIs" dxfId="278" priority="175" operator="greaterThan">
      <formula>0.8</formula>
    </cfRule>
  </conditionalFormatting>
  <conditionalFormatting sqref="AH99">
    <cfRule type="notContainsText" dxfId="277" priority="172" operator="notContains" text="Caida">
      <formula>ISERROR(SEARCH("Caida",AH99))</formula>
    </cfRule>
    <cfRule type="containsText" dxfId="276" priority="173" operator="containsText" text="Caida">
      <formula>NOT(ISERROR(SEARCH("Caida",AH99)))</formula>
    </cfRule>
  </conditionalFormatting>
  <conditionalFormatting sqref="AH115">
    <cfRule type="cellIs" dxfId="275" priority="170" operator="lessThan">
      <formula>0.8</formula>
    </cfRule>
    <cfRule type="cellIs" dxfId="274" priority="171" operator="greaterThan">
      <formula>0.8</formula>
    </cfRule>
  </conditionalFormatting>
  <conditionalFormatting sqref="AH115">
    <cfRule type="notContainsText" dxfId="273" priority="168" operator="notContains" text="Caida">
      <formula>ISERROR(SEARCH("Caida",AH115))</formula>
    </cfRule>
    <cfRule type="containsText" dxfId="272" priority="169" operator="containsText" text="Caida">
      <formula>NOT(ISERROR(SEARCH("Caida",AH115)))</formula>
    </cfRule>
  </conditionalFormatting>
  <conditionalFormatting sqref="AH116">
    <cfRule type="cellIs" dxfId="271" priority="166" operator="lessThan">
      <formula>0.8</formula>
    </cfRule>
    <cfRule type="cellIs" dxfId="270" priority="167" operator="greaterThan">
      <formula>0.8</formula>
    </cfRule>
  </conditionalFormatting>
  <conditionalFormatting sqref="AH116">
    <cfRule type="notContainsText" dxfId="269" priority="164" operator="notContains" text="Caida">
      <formula>ISERROR(SEARCH("Caida",AH116))</formula>
    </cfRule>
    <cfRule type="containsText" dxfId="268" priority="165" operator="containsText" text="Caida">
      <formula>NOT(ISERROR(SEARCH("Caida",AH116)))</formula>
    </cfRule>
  </conditionalFormatting>
  <conditionalFormatting sqref="AH120">
    <cfRule type="cellIs" dxfId="267" priority="162" operator="lessThan">
      <formula>0.8</formula>
    </cfRule>
    <cfRule type="cellIs" dxfId="266" priority="163" operator="greaterThan">
      <formula>0.8</formula>
    </cfRule>
  </conditionalFormatting>
  <conditionalFormatting sqref="AH120">
    <cfRule type="notContainsText" dxfId="265" priority="160" operator="notContains" text="Caida">
      <formula>ISERROR(SEARCH("Caida",AH120))</formula>
    </cfRule>
    <cfRule type="containsText" dxfId="264" priority="161" operator="containsText" text="Caida">
      <formula>NOT(ISERROR(SEARCH("Caida",AH120)))</formula>
    </cfRule>
  </conditionalFormatting>
  <conditionalFormatting sqref="AH121">
    <cfRule type="cellIs" dxfId="263" priority="158" operator="lessThan">
      <formula>0.8</formula>
    </cfRule>
    <cfRule type="cellIs" dxfId="262" priority="159" operator="greaterThan">
      <formula>0.8</formula>
    </cfRule>
  </conditionalFormatting>
  <conditionalFormatting sqref="AH121">
    <cfRule type="notContainsText" dxfId="261" priority="156" operator="notContains" text="Caida">
      <formula>ISERROR(SEARCH("Caida",AH121))</formula>
    </cfRule>
    <cfRule type="containsText" dxfId="260" priority="157" operator="containsText" text="Caida">
      <formula>NOT(ISERROR(SEARCH("Caida",AH121)))</formula>
    </cfRule>
  </conditionalFormatting>
  <conditionalFormatting sqref="AH133">
    <cfRule type="cellIs" dxfId="259" priority="154" operator="lessThan">
      <formula>0.8</formula>
    </cfRule>
    <cfRule type="cellIs" dxfId="258" priority="155" operator="greaterThan">
      <formula>0.8</formula>
    </cfRule>
  </conditionalFormatting>
  <conditionalFormatting sqref="AH133">
    <cfRule type="notContainsText" dxfId="257" priority="152" operator="notContains" text="Caida">
      <formula>ISERROR(SEARCH("Caida",AH133))</formula>
    </cfRule>
    <cfRule type="containsText" dxfId="256" priority="153" operator="containsText" text="Caida">
      <formula>NOT(ISERROR(SEARCH("Caida",AH133)))</formula>
    </cfRule>
  </conditionalFormatting>
  <conditionalFormatting sqref="AH135">
    <cfRule type="cellIs" dxfId="255" priority="150" operator="lessThan">
      <formula>0.8</formula>
    </cfRule>
    <cfRule type="cellIs" dxfId="254" priority="151" operator="greaterThan">
      <formula>0.8</formula>
    </cfRule>
  </conditionalFormatting>
  <conditionalFormatting sqref="AH135">
    <cfRule type="notContainsText" dxfId="253" priority="148" operator="notContains" text="Caida">
      <formula>ISERROR(SEARCH("Caida",AH135))</formula>
    </cfRule>
    <cfRule type="containsText" dxfId="252" priority="149" operator="containsText" text="Caida">
      <formula>NOT(ISERROR(SEARCH("Caida",AH135)))</formula>
    </cfRule>
  </conditionalFormatting>
  <conditionalFormatting sqref="AH142">
    <cfRule type="cellIs" dxfId="251" priority="146" operator="lessThan">
      <formula>0.8</formula>
    </cfRule>
    <cfRule type="cellIs" dxfId="250" priority="147" operator="greaterThan">
      <formula>0.8</formula>
    </cfRule>
  </conditionalFormatting>
  <conditionalFormatting sqref="AH142">
    <cfRule type="notContainsText" dxfId="249" priority="144" operator="notContains" text="Caida">
      <formula>ISERROR(SEARCH("Caida",AH142))</formula>
    </cfRule>
    <cfRule type="containsText" dxfId="248" priority="145" operator="containsText" text="Caida">
      <formula>NOT(ISERROR(SEARCH("Caida",AH142)))</formula>
    </cfRule>
  </conditionalFormatting>
  <conditionalFormatting sqref="AH143">
    <cfRule type="cellIs" dxfId="247" priority="142" operator="lessThan">
      <formula>0.8</formula>
    </cfRule>
    <cfRule type="cellIs" dxfId="246" priority="143" operator="greaterThan">
      <formula>0.8</formula>
    </cfRule>
  </conditionalFormatting>
  <conditionalFormatting sqref="AH143">
    <cfRule type="notContainsText" dxfId="245" priority="140" operator="notContains" text="Caida">
      <formula>ISERROR(SEARCH("Caida",AH143))</formula>
    </cfRule>
    <cfRule type="containsText" dxfId="244" priority="141" operator="containsText" text="Caida">
      <formula>NOT(ISERROR(SEARCH("Caida",AH143)))</formula>
    </cfRule>
  </conditionalFormatting>
  <conditionalFormatting sqref="AH144">
    <cfRule type="cellIs" dxfId="243" priority="138" operator="lessThan">
      <formula>0.8</formula>
    </cfRule>
    <cfRule type="cellIs" dxfId="242" priority="139" operator="greaterThan">
      <formula>0.8</formula>
    </cfRule>
  </conditionalFormatting>
  <conditionalFormatting sqref="AH144">
    <cfRule type="notContainsText" dxfId="241" priority="136" operator="notContains" text="Caida">
      <formula>ISERROR(SEARCH("Caida",AH144))</formula>
    </cfRule>
    <cfRule type="containsText" dxfId="240" priority="137" operator="containsText" text="Caida">
      <formula>NOT(ISERROR(SEARCH("Caida",AH144)))</formula>
    </cfRule>
  </conditionalFormatting>
  <conditionalFormatting sqref="AH163">
    <cfRule type="cellIs" dxfId="239" priority="134" operator="lessThan">
      <formula>0.8</formula>
    </cfRule>
    <cfRule type="cellIs" dxfId="238" priority="135" operator="greaterThan">
      <formula>0.8</formula>
    </cfRule>
  </conditionalFormatting>
  <conditionalFormatting sqref="AH163">
    <cfRule type="notContainsText" dxfId="237" priority="132" operator="notContains" text="Caida">
      <formula>ISERROR(SEARCH("Caida",AH163))</formula>
    </cfRule>
    <cfRule type="containsText" dxfId="236" priority="133" operator="containsText" text="Caida">
      <formula>NOT(ISERROR(SEARCH("Caida",AH163)))</formula>
    </cfRule>
  </conditionalFormatting>
  <conditionalFormatting sqref="AH164">
    <cfRule type="cellIs" dxfId="235" priority="130" operator="lessThan">
      <formula>0.8</formula>
    </cfRule>
    <cfRule type="cellIs" dxfId="234" priority="131" operator="greaterThan">
      <formula>0.8</formula>
    </cfRule>
  </conditionalFormatting>
  <conditionalFormatting sqref="AH164">
    <cfRule type="notContainsText" dxfId="233" priority="128" operator="notContains" text="Caida">
      <formula>ISERROR(SEARCH("Caida",AH164))</formula>
    </cfRule>
    <cfRule type="containsText" dxfId="232" priority="129" operator="containsText" text="Caida">
      <formula>NOT(ISERROR(SEARCH("Caida",AH164)))</formula>
    </cfRule>
  </conditionalFormatting>
  <conditionalFormatting sqref="AH166">
    <cfRule type="cellIs" dxfId="231" priority="126" operator="lessThan">
      <formula>0.8</formula>
    </cfRule>
    <cfRule type="cellIs" dxfId="230" priority="127" operator="greaterThan">
      <formula>0.8</formula>
    </cfRule>
  </conditionalFormatting>
  <conditionalFormatting sqref="AH166">
    <cfRule type="notContainsText" dxfId="229" priority="124" operator="notContains" text="Caida">
      <formula>ISERROR(SEARCH("Caida",AH166))</formula>
    </cfRule>
    <cfRule type="containsText" dxfId="228" priority="125" operator="containsText" text="Caida">
      <formula>NOT(ISERROR(SEARCH("Caida",AH166)))</formula>
    </cfRule>
  </conditionalFormatting>
  <conditionalFormatting sqref="AH177">
    <cfRule type="cellIs" dxfId="227" priority="122" operator="lessThan">
      <formula>0.8</formula>
    </cfRule>
    <cfRule type="cellIs" dxfId="226" priority="123" operator="greaterThan">
      <formula>0.8</formula>
    </cfRule>
  </conditionalFormatting>
  <conditionalFormatting sqref="AH177">
    <cfRule type="notContainsText" dxfId="225" priority="120" operator="notContains" text="Caida">
      <formula>ISERROR(SEARCH("Caida",AH177))</formula>
    </cfRule>
    <cfRule type="containsText" dxfId="224" priority="121" operator="containsText" text="Caida">
      <formula>NOT(ISERROR(SEARCH("Caida",AH177)))</formula>
    </cfRule>
  </conditionalFormatting>
  <conditionalFormatting sqref="AH191">
    <cfRule type="cellIs" dxfId="223" priority="118" operator="lessThan">
      <formula>0.8</formula>
    </cfRule>
    <cfRule type="cellIs" dxfId="222" priority="119" operator="greaterThan">
      <formula>0.8</formula>
    </cfRule>
  </conditionalFormatting>
  <conditionalFormatting sqref="AH191">
    <cfRule type="notContainsText" dxfId="221" priority="116" operator="notContains" text="Caida">
      <formula>ISERROR(SEARCH("Caida",AH191))</formula>
    </cfRule>
    <cfRule type="containsText" dxfId="220" priority="117" operator="containsText" text="Caida">
      <formula>NOT(ISERROR(SEARCH("Caida",AH191)))</formula>
    </cfRule>
  </conditionalFormatting>
  <conditionalFormatting sqref="AH192">
    <cfRule type="cellIs" dxfId="219" priority="114" operator="lessThan">
      <formula>0.8</formula>
    </cfRule>
    <cfRule type="cellIs" dxfId="218" priority="115" operator="greaterThan">
      <formula>0.8</formula>
    </cfRule>
  </conditionalFormatting>
  <conditionalFormatting sqref="AH192">
    <cfRule type="notContainsText" dxfId="217" priority="112" operator="notContains" text="Caida">
      <formula>ISERROR(SEARCH("Caida",AH192))</formula>
    </cfRule>
    <cfRule type="containsText" dxfId="216" priority="113" operator="containsText" text="Caida">
      <formula>NOT(ISERROR(SEARCH("Caida",AH192)))</formula>
    </cfRule>
  </conditionalFormatting>
  <conditionalFormatting sqref="AH198">
    <cfRule type="cellIs" dxfId="215" priority="110" operator="lessThan">
      <formula>0.8</formula>
    </cfRule>
    <cfRule type="cellIs" dxfId="214" priority="111" operator="greaterThan">
      <formula>0.8</formula>
    </cfRule>
  </conditionalFormatting>
  <conditionalFormatting sqref="AH198">
    <cfRule type="notContainsText" dxfId="213" priority="108" operator="notContains" text="Caida">
      <formula>ISERROR(SEARCH("Caida",AH198))</formula>
    </cfRule>
    <cfRule type="containsText" dxfId="212" priority="109" operator="containsText" text="Caida">
      <formula>NOT(ISERROR(SEARCH("Caida",AH198)))</formula>
    </cfRule>
  </conditionalFormatting>
  <conditionalFormatting sqref="AH206">
    <cfRule type="cellIs" dxfId="211" priority="106" operator="lessThan">
      <formula>0.8</formula>
    </cfRule>
    <cfRule type="cellIs" dxfId="210" priority="107" operator="greaterThan">
      <formula>0.8</formula>
    </cfRule>
  </conditionalFormatting>
  <conditionalFormatting sqref="AH206">
    <cfRule type="notContainsText" dxfId="209" priority="104" operator="notContains" text="Caida">
      <formula>ISERROR(SEARCH("Caida",AH206))</formula>
    </cfRule>
    <cfRule type="containsText" dxfId="208" priority="105" operator="containsText" text="Caida">
      <formula>NOT(ISERROR(SEARCH("Caida",AH206)))</formula>
    </cfRule>
  </conditionalFormatting>
  <conditionalFormatting sqref="AH211">
    <cfRule type="cellIs" dxfId="207" priority="102" operator="lessThan">
      <formula>0.8</formula>
    </cfRule>
    <cfRule type="cellIs" dxfId="206" priority="103" operator="greaterThan">
      <formula>0.8</formula>
    </cfRule>
  </conditionalFormatting>
  <conditionalFormatting sqref="AH211">
    <cfRule type="notContainsText" dxfId="205" priority="100" operator="notContains" text="Caida">
      <formula>ISERROR(SEARCH("Caida",AH211))</formula>
    </cfRule>
    <cfRule type="containsText" dxfId="204" priority="101" operator="containsText" text="Caida">
      <formula>NOT(ISERROR(SEARCH("Caida",AH211)))</formula>
    </cfRule>
  </conditionalFormatting>
  <conditionalFormatting sqref="AH212">
    <cfRule type="cellIs" dxfId="203" priority="98" operator="lessThan">
      <formula>0.8</formula>
    </cfRule>
    <cfRule type="cellIs" dxfId="202" priority="99" operator="greaterThan">
      <formula>0.8</formula>
    </cfRule>
  </conditionalFormatting>
  <conditionalFormatting sqref="AH212">
    <cfRule type="notContainsText" dxfId="201" priority="96" operator="notContains" text="Caida">
      <formula>ISERROR(SEARCH("Caida",AH212))</formula>
    </cfRule>
    <cfRule type="containsText" dxfId="200" priority="97" operator="containsText" text="Caida">
      <formula>NOT(ISERROR(SEARCH("Caida",AH212)))</formula>
    </cfRule>
  </conditionalFormatting>
  <conditionalFormatting sqref="AH359">
    <cfRule type="cellIs" dxfId="199" priority="95" operator="equal">
      <formula>"apagado"</formula>
    </cfRule>
  </conditionalFormatting>
  <conditionalFormatting sqref="AH360">
    <cfRule type="cellIs" dxfId="198" priority="94" operator="equal">
      <formula>"apagado"</formula>
    </cfRule>
  </conditionalFormatting>
  <conditionalFormatting sqref="AH361">
    <cfRule type="cellIs" dxfId="197" priority="93" operator="equal">
      <formula>"apagado"</formula>
    </cfRule>
  </conditionalFormatting>
  <conditionalFormatting sqref="AH362">
    <cfRule type="cellIs" dxfId="196" priority="92" operator="equal">
      <formula>"apagado"</formula>
    </cfRule>
  </conditionalFormatting>
  <conditionalFormatting sqref="AH206">
    <cfRule type="cellIs" dxfId="195" priority="91" operator="equal">
      <formula>"apagado"</formula>
    </cfRule>
  </conditionalFormatting>
  <conditionalFormatting sqref="AH211">
    <cfRule type="cellIs" dxfId="194" priority="90" operator="equal">
      <formula>"apagado"</formula>
    </cfRule>
  </conditionalFormatting>
  <conditionalFormatting sqref="AH212">
    <cfRule type="cellIs" dxfId="193" priority="89" operator="equal">
      <formula>"apagado"</formula>
    </cfRule>
  </conditionalFormatting>
  <conditionalFormatting sqref="AH198">
    <cfRule type="cellIs" dxfId="192" priority="88" operator="equal">
      <formula>"apagado"</formula>
    </cfRule>
  </conditionalFormatting>
  <conditionalFormatting sqref="AH192">
    <cfRule type="cellIs" dxfId="191" priority="87" operator="equal">
      <formula>"apagado"</formula>
    </cfRule>
  </conditionalFormatting>
  <conditionalFormatting sqref="AH191">
    <cfRule type="cellIs" dxfId="190" priority="86" operator="equal">
      <formula>"apagado"</formula>
    </cfRule>
  </conditionalFormatting>
  <conditionalFormatting sqref="AH177">
    <cfRule type="cellIs" dxfId="189" priority="85" operator="equal">
      <formula>"apagado"</formula>
    </cfRule>
  </conditionalFormatting>
  <conditionalFormatting sqref="AH166">
    <cfRule type="cellIs" dxfId="188" priority="84" operator="equal">
      <formula>"apagado"</formula>
    </cfRule>
  </conditionalFormatting>
  <conditionalFormatting sqref="AH163">
    <cfRule type="cellIs" dxfId="187" priority="83" operator="equal">
      <formula>"apagado"</formula>
    </cfRule>
  </conditionalFormatting>
  <conditionalFormatting sqref="AH164">
    <cfRule type="cellIs" dxfId="186" priority="82" operator="equal">
      <formula>"apagado"</formula>
    </cfRule>
  </conditionalFormatting>
  <conditionalFormatting sqref="AH142">
    <cfRule type="cellIs" dxfId="185" priority="81" operator="equal">
      <formula>"apagado"</formula>
    </cfRule>
  </conditionalFormatting>
  <conditionalFormatting sqref="AH143">
    <cfRule type="cellIs" dxfId="184" priority="80" operator="equal">
      <formula>"apagado"</formula>
    </cfRule>
  </conditionalFormatting>
  <conditionalFormatting sqref="AH144">
    <cfRule type="cellIs" dxfId="183" priority="79" operator="equal">
      <formula>"apagado"</formula>
    </cfRule>
  </conditionalFormatting>
  <conditionalFormatting sqref="AH133">
    <cfRule type="cellIs" dxfId="182" priority="78" operator="equal">
      <formula>"apagado"</formula>
    </cfRule>
  </conditionalFormatting>
  <conditionalFormatting sqref="AH135">
    <cfRule type="cellIs" dxfId="181" priority="77" operator="equal">
      <formula>"apagado"</formula>
    </cfRule>
  </conditionalFormatting>
  <conditionalFormatting sqref="AH115">
    <cfRule type="cellIs" dxfId="180" priority="76" operator="equal">
      <formula>"apagado"</formula>
    </cfRule>
  </conditionalFormatting>
  <conditionalFormatting sqref="AH116">
    <cfRule type="cellIs" dxfId="179" priority="75" operator="equal">
      <formula>"apagado"</formula>
    </cfRule>
  </conditionalFormatting>
  <conditionalFormatting sqref="AH120">
    <cfRule type="cellIs" dxfId="178" priority="74" operator="equal">
      <formula>"apagado"</formula>
    </cfRule>
  </conditionalFormatting>
  <conditionalFormatting sqref="AH121">
    <cfRule type="cellIs" dxfId="177" priority="73" operator="equal">
      <formula>"apagado"</formula>
    </cfRule>
  </conditionalFormatting>
  <conditionalFormatting sqref="AH99">
    <cfRule type="cellIs" dxfId="176" priority="72" operator="equal">
      <formula>"apagado"</formula>
    </cfRule>
  </conditionalFormatting>
  <conditionalFormatting sqref="AH94">
    <cfRule type="cellIs" dxfId="175" priority="70" operator="lessThan">
      <formula>0.8</formula>
    </cfRule>
    <cfRule type="cellIs" dxfId="174" priority="71" operator="greaterThan">
      <formula>0.8</formula>
    </cfRule>
  </conditionalFormatting>
  <conditionalFormatting sqref="AH94">
    <cfRule type="notContainsText" dxfId="173" priority="68" operator="notContains" text="Caida">
      <formula>ISERROR(SEARCH("Caida",AH94))</formula>
    </cfRule>
    <cfRule type="containsText" dxfId="172" priority="69" operator="containsText" text="Caida">
      <formula>NOT(ISERROR(SEARCH("Caida",AH94)))</formula>
    </cfRule>
  </conditionalFormatting>
  <conditionalFormatting sqref="AH94">
    <cfRule type="cellIs" dxfId="171" priority="67" operator="equal">
      <formula>"apagado"</formula>
    </cfRule>
  </conditionalFormatting>
  <conditionalFormatting sqref="AH96">
    <cfRule type="cellIs" dxfId="170" priority="66" operator="equal">
      <formula>"apagado"</formula>
    </cfRule>
  </conditionalFormatting>
  <conditionalFormatting sqref="V373:X379 AA373:AJ379 N373:N379">
    <cfRule type="cellIs" dxfId="169" priority="50" operator="lessThan">
      <formula>0.8</formula>
    </cfRule>
    <cfRule type="cellIs" dxfId="168" priority="51" operator="greaterThan">
      <formula>0.8</formula>
    </cfRule>
  </conditionalFormatting>
  <conditionalFormatting sqref="E373:K379">
    <cfRule type="containsText" dxfId="167" priority="49" operator="containsText" text="Radio">
      <formula>NOT(ISERROR(SEARCH("Radio",E373)))</formula>
    </cfRule>
  </conditionalFormatting>
  <conditionalFormatting sqref="O373:O379 V373:X379 AA373:AP379 AR373:AR379">
    <cfRule type="notContainsText" dxfId="166" priority="47" operator="notContains" text="Caida">
      <formula>ISERROR(SEARCH("Caida",O373))</formula>
    </cfRule>
    <cfRule type="containsText" dxfId="165" priority="48" operator="containsText" text="Caida">
      <formula>NOT(ISERROR(SEARCH("Caida",O373)))</formula>
    </cfRule>
  </conditionalFormatting>
  <conditionalFormatting sqref="P373:P379">
    <cfRule type="cellIs" dxfId="164" priority="45" operator="lessThan">
      <formula>0.8</formula>
    </cfRule>
    <cfRule type="cellIs" dxfId="163" priority="46" operator="greaterThan">
      <formula>0.8</formula>
    </cfRule>
  </conditionalFormatting>
  <conditionalFormatting sqref="P373:P379">
    <cfRule type="notContainsText" dxfId="162" priority="43" operator="notContains" text="Caida">
      <formula>ISERROR(SEARCH("Caida",P373))</formula>
    </cfRule>
    <cfRule type="containsText" dxfId="161" priority="44" operator="containsText" text="Caida">
      <formula>NOT(ISERROR(SEARCH("Caida",P373)))</formula>
    </cfRule>
  </conditionalFormatting>
  <conditionalFormatting sqref="Q373:Q379">
    <cfRule type="cellIs" dxfId="160" priority="41" operator="lessThan">
      <formula>0.8</formula>
    </cfRule>
    <cfRule type="cellIs" dxfId="159" priority="42" operator="greaterThan">
      <formula>0.8</formula>
    </cfRule>
  </conditionalFormatting>
  <conditionalFormatting sqref="Q373:Q379">
    <cfRule type="notContainsText" dxfId="158" priority="39" operator="notContains" text="Caida">
      <formula>ISERROR(SEARCH("Caida",Q373))</formula>
    </cfRule>
    <cfRule type="containsText" dxfId="157" priority="40" operator="containsText" text="Caida">
      <formula>NOT(ISERROR(SEARCH("Caida",Q373)))</formula>
    </cfRule>
  </conditionalFormatting>
  <conditionalFormatting sqref="U373:U379">
    <cfRule type="cellIs" dxfId="156" priority="37" operator="lessThan">
      <formula>0.8</formula>
    </cfRule>
    <cfRule type="cellIs" dxfId="155" priority="38" operator="greaterThan">
      <formula>0.8</formula>
    </cfRule>
  </conditionalFormatting>
  <conditionalFormatting sqref="U373:U379">
    <cfRule type="notContainsText" dxfId="154" priority="35" operator="notContains" text="Caida">
      <formula>ISERROR(SEARCH("Caida",U373))</formula>
    </cfRule>
    <cfRule type="containsText" dxfId="153" priority="36" operator="containsText" text="Caida">
      <formula>NOT(ISERROR(SEARCH("Caida",U373)))</formula>
    </cfRule>
  </conditionalFormatting>
  <conditionalFormatting sqref="E373:E379">
    <cfRule type="containsText" dxfId="152" priority="33" operator="containsText" text="fija">
      <formula>NOT(ISERROR(SEARCH("fija",E373)))</formula>
    </cfRule>
    <cfRule type="containsText" dxfId="151" priority="34" operator="containsText" text="domo">
      <formula>NOT(ISERROR(SEARCH("domo",E373)))</formula>
    </cfRule>
  </conditionalFormatting>
  <conditionalFormatting sqref="O373:O379 AK373:AR379">
    <cfRule type="cellIs" dxfId="150" priority="32" operator="equal">
      <formula>"APAGADO"</formula>
    </cfRule>
  </conditionalFormatting>
  <conditionalFormatting sqref="F373:F379">
    <cfRule type="cellIs" dxfId="149" priority="31" operator="equal">
      <formula>"PTP A FO"</formula>
    </cfRule>
  </conditionalFormatting>
  <conditionalFormatting sqref="R373:T379">
    <cfRule type="cellIs" dxfId="148" priority="29" operator="lessThan">
      <formula>0.8</formula>
    </cfRule>
    <cfRule type="cellIs" dxfId="147" priority="30" operator="greaterThan">
      <formula>0.8</formula>
    </cfRule>
  </conditionalFormatting>
  <conditionalFormatting sqref="R373:T379">
    <cfRule type="notContainsText" dxfId="146" priority="27" operator="notContains" text="Caida">
      <formula>ISERROR(SEARCH("Caida",R373))</formula>
    </cfRule>
    <cfRule type="containsText" dxfId="145" priority="28" operator="containsText" text="Caida">
      <formula>NOT(ISERROR(SEARCH("Caida",R373)))</formula>
    </cfRule>
  </conditionalFormatting>
  <conditionalFormatting sqref="AF373:AF379">
    <cfRule type="cellIs" dxfId="144" priority="26" operator="equal">
      <formula>"apagado"</formula>
    </cfRule>
  </conditionalFormatting>
  <conditionalFormatting sqref="AE373:AE379">
    <cfRule type="cellIs" dxfId="143" priority="25" operator="equal">
      <formula>"apagado"</formula>
    </cfRule>
  </conditionalFormatting>
  <conditionalFormatting sqref="AD373:AD379">
    <cfRule type="cellIs" dxfId="142" priority="24" operator="equal">
      <formula>"apagado"</formula>
    </cfRule>
  </conditionalFormatting>
  <conditionalFormatting sqref="AC373:AC379">
    <cfRule type="cellIs" dxfId="141" priority="23" operator="equal">
      <formula>"apagado"</formula>
    </cfRule>
  </conditionalFormatting>
  <conditionalFormatting sqref="AB373:AB379">
    <cfRule type="cellIs" dxfId="140" priority="22" operator="equal">
      <formula>"apagado"</formula>
    </cfRule>
  </conditionalFormatting>
  <conditionalFormatting sqref="AA373:AA379">
    <cfRule type="cellIs" dxfId="139" priority="21" operator="equal">
      <formula>"apagado"</formula>
    </cfRule>
  </conditionalFormatting>
  <conditionalFormatting sqref="AG373:AG379">
    <cfRule type="cellIs" dxfId="138" priority="20" operator="equal">
      <formula>"apagado"</formula>
    </cfRule>
  </conditionalFormatting>
  <conditionalFormatting sqref="AH373:AH379">
    <cfRule type="cellIs" dxfId="137" priority="19" operator="equal">
      <formula>"apagado"</formula>
    </cfRule>
  </conditionalFormatting>
  <conditionalFormatting sqref="AI373:AI379">
    <cfRule type="cellIs" dxfId="136" priority="18" operator="equal">
      <formula>"apagado"</formula>
    </cfRule>
  </conditionalFormatting>
  <conditionalFormatting sqref="AJ373:AJ379">
    <cfRule type="cellIs" dxfId="135" priority="17" operator="equal">
      <formula>"apagado"</formula>
    </cfRule>
  </conditionalFormatting>
  <conditionalFormatting sqref="AQ373:AQ379">
    <cfRule type="notContainsText" dxfId="134" priority="15" operator="notContains" text="Caida">
      <formula>ISERROR(SEARCH("Caida",AQ373))</formula>
    </cfRule>
    <cfRule type="containsText" dxfId="133" priority="16" operator="containsText" text="Caida">
      <formula>NOT(ISERROR(SEARCH("Caida",AQ373)))</formula>
    </cfRule>
  </conditionalFormatting>
  <conditionalFormatting sqref="AQ373:AQ379">
    <cfRule type="cellIs" dxfId="132" priority="14" operator="equal">
      <formula>"apagado"</formula>
    </cfRule>
  </conditionalFormatting>
  <conditionalFormatting sqref="O373:X379 AA373:AR379">
    <cfRule type="cellIs" dxfId="131" priority="13" operator="equal">
      <formula>"APAGADO"</formula>
    </cfRule>
  </conditionalFormatting>
  <conditionalFormatting sqref="Y373:Y379">
    <cfRule type="cellIs" dxfId="130" priority="11" operator="lessThan">
      <formula>0.8</formula>
    </cfRule>
    <cfRule type="cellIs" dxfId="129" priority="12" operator="greaterThan">
      <formula>0.8</formula>
    </cfRule>
  </conditionalFormatting>
  <conditionalFormatting sqref="Y373:Y379">
    <cfRule type="notContainsText" dxfId="128" priority="9" operator="notContains" text="Caida">
      <formula>ISERROR(SEARCH("Caida",Y373))</formula>
    </cfRule>
    <cfRule type="containsText" dxfId="127" priority="10" operator="containsText" text="Caida">
      <formula>NOT(ISERROR(SEARCH("Caida",Y373)))</formula>
    </cfRule>
  </conditionalFormatting>
  <conditionalFormatting sqref="Y373:Y379">
    <cfRule type="cellIs" dxfId="126" priority="8" operator="equal">
      <formula>"APAGADO"</formula>
    </cfRule>
  </conditionalFormatting>
  <conditionalFormatting sqref="Y373:Y379">
    <cfRule type="cellIs" dxfId="125" priority="7" operator="equal">
      <formula>"apagado"</formula>
    </cfRule>
  </conditionalFormatting>
  <conditionalFormatting sqref="Z373:Z379">
    <cfRule type="cellIs" dxfId="124" priority="5" operator="lessThan">
      <formula>0.8</formula>
    </cfRule>
    <cfRule type="cellIs" dxfId="123" priority="6" operator="greaterThan">
      <formula>0.8</formula>
    </cfRule>
  </conditionalFormatting>
  <conditionalFormatting sqref="Z373:Z379">
    <cfRule type="notContainsText" dxfId="122" priority="3" operator="notContains" text="Caida">
      <formula>ISERROR(SEARCH("Caida",Z373))</formula>
    </cfRule>
    <cfRule type="containsText" dxfId="121" priority="4" operator="containsText" text="Caida">
      <formula>NOT(ISERROR(SEARCH("Caida",Z373)))</formula>
    </cfRule>
  </conditionalFormatting>
  <conditionalFormatting sqref="Z373:Z379">
    <cfRule type="cellIs" dxfId="120" priority="2" operator="equal">
      <formula>"APAGADO"</formula>
    </cfRule>
  </conditionalFormatting>
  <conditionalFormatting sqref="Z373:Z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 t="str">
        <f>'RESUMEN TOTAL'!AN19</f>
        <v>APAGADO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 t="str">
        <f>'RESUMEN TOTAL'!AL74</f>
        <v>APAGADO</v>
      </c>
      <c r="AD71" t="str">
        <f>'RESUMEN TOTAL'!AM74</f>
        <v>APAGADO</v>
      </c>
      <c r="AE71" t="str">
        <f>'RESUMEN TOTAL'!AN74</f>
        <v>APAGADO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 t="str">
        <f>'RESUMEN TOTAL'!AJ83</f>
        <v>APAGADO</v>
      </c>
      <c r="AB80" t="str">
        <f>'RESUMEN TOTAL'!AK83</f>
        <v>APAGADO</v>
      </c>
      <c r="AC80" t="str">
        <f>'RESUMEN TOTAL'!AL83</f>
        <v>APAGADO</v>
      </c>
      <c r="AD80" t="str">
        <f>'RESUMEN TOTAL'!AM83</f>
        <v>APAGADO</v>
      </c>
      <c r="AE80" t="str">
        <f>'RESUMEN TOTAL'!AN83</f>
        <v>APAGADO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 t="str">
        <f>'RESUMEN TOTAL'!AK102</f>
        <v>APAGADO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 t="str">
        <f>'RESUMEN TOTAL'!AN104</f>
        <v>APAGADO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 t="str">
        <f>'RESUMEN TOTAL'!AN105</f>
        <v>APAGADO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 t="str">
        <f>'RESUMEN TOTAL'!AN120</f>
        <v>APAGADO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 t="str">
        <f>'RESUMEN TOTAL'!AN121</f>
        <v>APAGADO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 t="str">
        <f>'RESUMEN TOTAL'!AN129</f>
        <v>APAGADO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 t="str">
        <f>'RESUMEN TOTAL'!AN130</f>
        <v>APAGADO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 t="str">
        <f>'RESUMEN TOTAL'!AI136</f>
        <v>APAGADO</v>
      </c>
      <c r="AA133">
        <f>'RESUMEN TOTAL'!AJ136</f>
        <v>0</v>
      </c>
      <c r="AB133" t="str">
        <f>'RESUMEN TOTAL'!AK136</f>
        <v>APAGADO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 t="str">
        <f>'RESUMEN TOTAL'!AN138</f>
        <v>APAGADO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 t="str">
        <f>'RESUMEN TOTAL'!AN139</f>
        <v>APAGADO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 t="str">
        <f>'RESUMEN TOTAL'!AN140</f>
        <v>APAGADO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 t="str">
        <f>'RESUMEN TOTAL'!AN141</f>
        <v>APAGADO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 t="str">
        <f>'RESUMEN TOTAL'!AM167</f>
        <v>APAGADO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 t="str">
        <f>'RESUMEN TOTAL'!AJ185</f>
        <v>APAGADO</v>
      </c>
      <c r="AB182" t="str">
        <f>'RESUMEN TOTAL'!AK185</f>
        <v>APAGADO</v>
      </c>
      <c r="AC182" t="str">
        <f>'RESUMEN TOTAL'!AL185</f>
        <v>APAGADO</v>
      </c>
      <c r="AD182" t="str">
        <f>'RESUMEN TOTAL'!AM185</f>
        <v>APAGADO</v>
      </c>
      <c r="AE182" t="str">
        <f>'RESUMEN TOTAL'!AN185</f>
        <v>APAGADO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 t="str">
        <f>'RESUMEN TOTAL'!AK187</f>
        <v>APAGADO</v>
      </c>
      <c r="AC184" t="str">
        <f>'RESUMEN TOTAL'!AL187</f>
        <v>APAGADO</v>
      </c>
      <c r="AD184" t="str">
        <f>'RESUMEN TOTAL'!AM187</f>
        <v>APAGADO</v>
      </c>
      <c r="AE184" t="str">
        <f>'RESUMEN TOTAL'!AN187</f>
        <v>APAGADO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 t="str">
        <f>'RESUMEN TOTAL'!AN195</f>
        <v>APAGADO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 t="str">
        <f>'RESUMEN TOTAL'!AN196</f>
        <v>APAGADO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 t="str">
        <f>'RESUMEN TOTAL'!AJ204</f>
        <v>APAGADO</v>
      </c>
      <c r="AB201" t="str">
        <f>'RESUMEN TOTAL'!AK204</f>
        <v>APAGADO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 t="str">
        <f>'RESUMEN TOTAL'!AJ205</f>
        <v>APAGADO</v>
      </c>
      <c r="AB202" t="str">
        <f>'RESUMEN TOTAL'!AK205</f>
        <v>APAGADO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 t="str">
        <f>'RESUMEN TOTAL'!AI209</f>
        <v>APAGADO</v>
      </c>
      <c r="AA206" t="str">
        <f>'RESUMEN TOTAL'!AJ209</f>
        <v>APAGADO</v>
      </c>
      <c r="AB206" t="str">
        <f>'RESUMEN TOTAL'!AK209</f>
        <v>APAGADO</v>
      </c>
      <c r="AC206" t="str">
        <f>'RESUMEN TOTAL'!AL209</f>
        <v>APAGADO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 t="str">
        <f>'RESUMEN TOTAL'!AL214</f>
        <v>APAGADO</v>
      </c>
      <c r="AD211">
        <f>'RESUMEN TOTAL'!AM214</f>
        <v>0</v>
      </c>
      <c r="AE211" t="str">
        <f>'RESUMEN TOTAL'!AN214</f>
        <v>APAGADO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 t="str">
        <f>'RESUMEN TOTAL'!AI231</f>
        <v>APAGADO</v>
      </c>
      <c r="AA228" t="str">
        <f>'RESUMEN TOTAL'!AJ231</f>
        <v>APAGADO</v>
      </c>
      <c r="AB228" t="str">
        <f>'RESUMEN TOTAL'!AK231</f>
        <v>APAGADO</v>
      </c>
      <c r="AC228" t="str">
        <f>'RESUMEN TOTAL'!AL231</f>
        <v>APAGADO</v>
      </c>
      <c r="AD228" t="str">
        <f>'RESUMEN TOTAL'!AM231</f>
        <v>APAGADO</v>
      </c>
      <c r="AE228" t="str">
        <f>'RESUMEN TOTAL'!AN231</f>
        <v>APAGADO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 t="str">
        <f>'RESUMEN TOTAL'!AI232</f>
        <v>APAGADO</v>
      </c>
      <c r="AA229" t="str">
        <f>'RESUMEN TOTAL'!AJ232</f>
        <v>APAGADO</v>
      </c>
      <c r="AB229" t="str">
        <f>'RESUMEN TOTAL'!AK232</f>
        <v>APAGADO</v>
      </c>
      <c r="AC229" t="str">
        <f>'RESUMEN TOTAL'!AL232</f>
        <v>APAGADO</v>
      </c>
      <c r="AD229" t="str">
        <f>'RESUMEN TOTAL'!AM232</f>
        <v>APAGADO</v>
      </c>
      <c r="AE229" t="str">
        <f>'RESUMEN TOTAL'!AN232</f>
        <v>APAGADO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 t="str">
        <f>'RESUMEN TOTAL'!AL271</f>
        <v>APAGADO</v>
      </c>
      <c r="AD268" t="str">
        <f>'RESUMEN TOTAL'!AM271</f>
        <v>APAGADO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 t="str">
        <f>'RESUMEN TOTAL'!AL282</f>
        <v>APAGADO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>
        <f>'RESUMEN TOTAL'!AL303</f>
        <v>0</v>
      </c>
      <c r="AD300" t="str">
        <f>'RESUMEN TOTAL'!AM303</f>
        <v>APAGADO</v>
      </c>
      <c r="AE300" t="str">
        <f>'RESUMEN TOTAL'!AN303</f>
        <v>APAGADO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 t="str">
        <f>'RESUMEN TOTAL'!AN304</f>
        <v>APAGADO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 t="str">
        <f>'RESUMEN TOTAL'!AN305</f>
        <v>APAGADO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 t="str">
        <f>'RESUMEN TOTAL'!AN306</f>
        <v>APAGADO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 t="str">
        <f>'RESUMEN TOTAL'!AN307</f>
        <v>APAGADO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 t="str">
        <f>'RESUMEN TOTAL'!AK308</f>
        <v>APAGADO</v>
      </c>
      <c r="AC305" t="str">
        <f>'RESUMEN TOTAL'!AL308</f>
        <v>APAGADO</v>
      </c>
      <c r="AD305" t="str">
        <f>'RESUMEN TOTAL'!AM308</f>
        <v>APAGADO</v>
      </c>
      <c r="AE305" t="str">
        <f>'RESUMEN TOTAL'!AN308</f>
        <v>APAGADO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 t="str">
        <f>'RESUMEN TOTAL'!AI310</f>
        <v>APAGADO</v>
      </c>
      <c r="AA307" t="str">
        <f>'RESUMEN TOTAL'!AJ310</f>
        <v>APAGADO</v>
      </c>
      <c r="AB307" t="str">
        <f>'RESUMEN TOTAL'!AK310</f>
        <v>APAGADO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 t="str">
        <f>'RESUMEN TOTAL'!AJ325</f>
        <v>APAGADO</v>
      </c>
      <c r="AB322" t="str">
        <f>'RESUMEN TOTAL'!AK325</f>
        <v>APAGADO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 t="str">
        <f>'RESUMEN TOTAL'!AI329</f>
        <v>APAGADO</v>
      </c>
      <c r="AA326" t="str">
        <f>'RESUMEN TOTAL'!AJ329</f>
        <v>APAGADO</v>
      </c>
      <c r="AB326" t="str">
        <f>'RESUMEN TOTAL'!AK329</f>
        <v>APAGADO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 t="str">
        <f>'RESUMEN TOTAL'!AI333</f>
        <v>APAGADO</v>
      </c>
      <c r="AA330" t="str">
        <f>'RESUMEN TOTAL'!AJ333</f>
        <v>APAGADO</v>
      </c>
      <c r="AB330" t="str">
        <f>'RESUMEN TOTAL'!AK333</f>
        <v>APAGADO</v>
      </c>
      <c r="AC330" t="str">
        <f>'RESUMEN TOTAL'!AL333</f>
        <v>APAGADO</v>
      </c>
      <c r="AD330" t="str">
        <f>'RESUMEN TOTAL'!AM333</f>
        <v>APAGADO</v>
      </c>
      <c r="AE330" t="str">
        <f>'RESUMEN TOTAL'!AN333</f>
        <v>APAGADO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 t="str">
        <f>'RESUMEN TOTAL'!AI335</f>
        <v>APAGADO</v>
      </c>
      <c r="AA332" t="str">
        <f>'RESUMEN TOTAL'!AJ335</f>
        <v>APAGADO</v>
      </c>
      <c r="AB332" t="str">
        <f>'RESUMEN TOTAL'!AK335</f>
        <v>APAGADO</v>
      </c>
      <c r="AC332" t="str">
        <f>'RESUMEN TOTAL'!AL335</f>
        <v>APAGADO</v>
      </c>
      <c r="AD332" t="str">
        <f>'RESUMEN TOTAL'!AM335</f>
        <v>APAGADO</v>
      </c>
      <c r="AE332" t="str">
        <f>'RESUMEN TOTAL'!AN335</f>
        <v>APAGADO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 t="str">
        <f>'RESUMEN TOTAL'!AI336</f>
        <v>APAGADO</v>
      </c>
      <c r="AA333" t="str">
        <f>'RESUMEN TOTAL'!AJ336</f>
        <v>APAGADO</v>
      </c>
      <c r="AB333" t="str">
        <f>'RESUMEN TOTAL'!AK336</f>
        <v>APAGADO</v>
      </c>
      <c r="AC333" t="str">
        <f>'RESUMEN TOTAL'!AL336</f>
        <v>APAGADO</v>
      </c>
      <c r="AD333" t="str">
        <f>'RESUMEN TOTAL'!AM336</f>
        <v>APAGADO</v>
      </c>
      <c r="AE333" t="str">
        <f>'RESUMEN TOTAL'!AN336</f>
        <v>APAGADO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 t="str">
        <f>'RESUMEN TOTAL'!AL356</f>
        <v>APAGADO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 t="str">
        <f>'RESUMEN TOTAL'!AL357</f>
        <v>APAGADO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 t="str">
        <f>'RESUMEN TOTAL'!AN359</f>
        <v>APAGADO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>
        <f>'RESUMEN TOTAL'!AL360</f>
        <v>0</v>
      </c>
      <c r="AD357" t="str">
        <f>'RESUMEN TOTAL'!AM360</f>
        <v>APAGADO</v>
      </c>
      <c r="AE357" t="str">
        <f>'RESUMEN TOTAL'!AN360</f>
        <v>APAGADO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>
        <f>'RESUMEN TOTAL'!AL361</f>
        <v>0</v>
      </c>
      <c r="AD358" t="str">
        <f>'RESUMEN TOTAL'!AM361</f>
        <v>APAGADO</v>
      </c>
      <c r="AE358" t="str">
        <f>'RESUMEN TOTAL'!AN361</f>
        <v>APAGADO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>
        <f>'RESUMEN TOTAL'!AL362</f>
        <v>0</v>
      </c>
      <c r="AD359" t="str">
        <f>'RESUMEN TOTAL'!AM362</f>
        <v>APAGADO</v>
      </c>
      <c r="AE359" t="str">
        <f>'RESUMEN TOTAL'!AN362</f>
        <v>APAGADO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 t="str">
        <f>'RESUMEN TOTAL'!AN363</f>
        <v>APAGADO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33</v>
      </c>
      <c r="AA1" s="26">
        <f t="shared" si="0"/>
        <v>35</v>
      </c>
      <c r="AB1" s="26">
        <f t="shared" si="0"/>
        <v>38</v>
      </c>
      <c r="AC1" s="26">
        <f t="shared" si="0"/>
        <v>34</v>
      </c>
      <c r="AD1" s="26">
        <f>COUNTIF(AD3:AD366, "APAGADO")</f>
        <v>46</v>
      </c>
      <c r="AE1" s="26">
        <f t="shared" ref="AE1:AG1" si="1">COUNTIF(AE3:AE366, "APAGADO")</f>
        <v>48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 t="str">
        <f>ESTADISTICA!AC71</f>
        <v>APAGADO</v>
      </c>
      <c r="AD72" t="str">
        <f>ESTADISTICA!AD71</f>
        <v>APAGADO</v>
      </c>
      <c r="AE72" t="str">
        <f>ESTADISTICA!AE71</f>
        <v>APAGADO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 t="str">
        <f>ESTADISTICA!AA80</f>
        <v>APAGADO</v>
      </c>
      <c r="AB81" t="str">
        <f>ESTADISTICA!AB80</f>
        <v>APAGADO</v>
      </c>
      <c r="AC81" t="str">
        <f>ESTADISTICA!AC80</f>
        <v>APAGADO</v>
      </c>
      <c r="AD81" t="str">
        <f>ESTADISTICA!AD80</f>
        <v>APAGADO</v>
      </c>
      <c r="AE81" t="str">
        <f>ESTADISTICA!AE80</f>
        <v>APAGADO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 t="str">
        <f>ESTADISTICA!AE101</f>
        <v>APAGADO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 t="str">
        <f>ESTADISTICA!AE126</f>
        <v>APAGADO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 t="str">
        <f>ESTADISTICA!Z133</f>
        <v>APAGADO</v>
      </c>
      <c r="AA134">
        <f>ESTADISTICA!AA133</f>
        <v>0</v>
      </c>
      <c r="AB134" t="str">
        <f>ESTADISTICA!AB133</f>
        <v>APAGADO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 t="str">
        <f>ESTADISTICA!AE135</f>
        <v>APAGADO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 t="str">
        <f>ESTADISTICA!AE136</f>
        <v>APAGADO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 t="str">
        <f>ESTADISTICA!AE137</f>
        <v>APAGADO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 t="str">
        <f>ESTADISTICA!AE138</f>
        <v>APAGADO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 t="str">
        <f>ESTADISTICA!AD164</f>
        <v>APAGADO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 t="str">
        <f>ESTADISTICA!AE192</f>
        <v>APAGADO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 t="str">
        <f>ESTADISTICA!AE193</f>
        <v>APAGADO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 t="str">
        <f>ESTADISTICA!AA202</f>
        <v>APAGADO</v>
      </c>
      <c r="AB203" t="str">
        <f>ESTADISTICA!AB202</f>
        <v>APAGADO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 t="str">
        <f>ESTADISTICA!AC211</f>
        <v>APAGADO</v>
      </c>
      <c r="AD212">
        <f>ESTADISTICA!AD211</f>
        <v>0</v>
      </c>
      <c r="AE212" t="str">
        <f>ESTADISTICA!AE211</f>
        <v>APAGADO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 t="str">
        <f>ESTADISTICA!AE229</f>
        <v>APAGADO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 t="str">
        <f>ESTADISTICA!AC279</f>
        <v>APAGADO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>
        <f>ESTADISTICA!AC300</f>
        <v>0</v>
      </c>
      <c r="AD301" t="str">
        <f>ESTADISTICA!AD300</f>
        <v>APAGADO</v>
      </c>
      <c r="AE301" t="str">
        <f>ESTADISTICA!AE300</f>
        <v>APAGADO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 t="str">
        <f>ESTADISTICA!AE301</f>
        <v>APAGADO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 t="str">
        <f>ESTADISTICA!AE302</f>
        <v>APAGADO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 t="str">
        <f>ESTADISTICA!AE303</f>
        <v>APAGADO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 t="str">
        <f>ESTADISTICA!AE304</f>
        <v>APAGADO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 t="str">
        <f>ESTADISTICA!AE305</f>
        <v>APAGADO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 t="str">
        <f>ESTADISTICA!AE330</f>
        <v>APAGADO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 t="str">
        <f>ESTADISTICA!Z333</f>
        <v>APAGADO</v>
      </c>
      <c r="AA334" t="str">
        <f>ESTADISTICA!AA333</f>
        <v>APAGADO</v>
      </c>
      <c r="AB334" t="str">
        <f>ESTADISTICA!AB333</f>
        <v>APAGADO</v>
      </c>
      <c r="AC334" t="str">
        <f>ESTADISTICA!AC333</f>
        <v>APAGADO</v>
      </c>
      <c r="AD334" t="str">
        <f>ESTADISTICA!AD333</f>
        <v>APAGADO</v>
      </c>
      <c r="AE334" t="str">
        <f>ESTADISTICA!AE333</f>
        <v>APAGADO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 t="str">
        <f>ESTADISTICA!AC354</f>
        <v>APAGADO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 t="str">
        <f>ESTADISTICA!AD358</f>
        <v>APAGADO</v>
      </c>
      <c r="AE359" t="str">
        <f>ESTADISTICA!AE358</f>
        <v>APAGADO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 t="str">
        <f>ESTADISTICA!AD359</f>
        <v>APAGADO</v>
      </c>
      <c r="AE360" t="str">
        <f>ESTADISTICA!AE359</f>
        <v>APAGADO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26</v>
      </c>
      <c r="AA2" s="26">
        <f>COUNTIFS(AA4:AA367, "=APAGADO",E4:E367,"=Fibra Optica")</f>
        <v>29</v>
      </c>
      <c r="AB2" s="26">
        <f>COUNTIFS(AB4:AB367, "=APAGADO",E4:E367,"=Fibra Optica")</f>
        <v>29</v>
      </c>
      <c r="AC2" s="26">
        <f>COUNTIFS(AC4:AC367, "=APAGADO",E4:E367,"=Fibra Optica")</f>
        <v>26</v>
      </c>
      <c r="AD2" s="26">
        <f>COUNTIFS(AD4:AD367, "=APAGADO",E4:E367,"=Fibra Optica")</f>
        <v>30</v>
      </c>
      <c r="AE2" s="26">
        <f>COUNTIFS(AE4:AE367, "=APAGADO",E4:E367,"=Fibra Optica")</f>
        <v>33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2</v>
      </c>
      <c r="AA2" s="26">
        <f>COUNTIFS(AA4:AA367, "=APAGADO",E4:E367,"=PTP A FO")</f>
        <v>2</v>
      </c>
      <c r="AB2" s="26">
        <f>COUNTIFS(AB4:AB367, "=APAGADO",E4:E367,"=PTP A FO")</f>
        <v>3</v>
      </c>
      <c r="AC2" s="26">
        <f>COUNTIFS(AC4:AC367, "=APAGADO",E4:E367,"=PTP A FO")</f>
        <v>2</v>
      </c>
      <c r="AD2" s="26">
        <f>COUNTIFS(AD4:AD367, "=APAGADO",E4:E367,"=PTP A FO")</f>
        <v>10</v>
      </c>
      <c r="AE2" s="26">
        <f>COUNTIFS(AE4:AE367, "=APAGADO",E4:E367,"=PTP A FO")</f>
        <v>10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5</v>
      </c>
      <c r="AA2" s="26">
        <f>COUNTIFS(AA4:AA367, "=APAGADO",E4:E367,"=radio")</f>
        <v>4</v>
      </c>
      <c r="AB2" s="26">
        <f>COUNTIFS(AB4:AB367, "=APAGADO",E4:E367,"=radio")</f>
        <v>6</v>
      </c>
      <c r="AC2" s="26">
        <f>COUNTIFS(AC4:AC367, "=APAGADO",E4:E367,"=radio")</f>
        <v>6</v>
      </c>
      <c r="AD2" s="26">
        <f>COUNTIFS(AD4:AD367, "=APAGADO",E4:E367,"=radio")</f>
        <v>6</v>
      </c>
      <c r="AE2" s="26">
        <f>COUNTIFS(AE4:AE367, "=APAGADO",E4:E367,"=radio")</f>
        <v>5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>
        <f>'APAGADOS RADIO'!S2+D15</f>
        <v>10</v>
      </c>
      <c r="C15" s="54">
        <f>'APAGADOS FIBRA'!S2</f>
        <v>29</v>
      </c>
      <c r="D15" s="54">
        <f>'APAGADOS ANTENA'!S2</f>
        <v>2</v>
      </c>
      <c r="E15" s="54">
        <f t="shared" ref="E15:E22" si="17">B15+C15</f>
        <v>39</v>
      </c>
      <c r="F15" s="54">
        <f>'RESUMEN TOTAL'!C1</f>
        <v>375</v>
      </c>
      <c r="G15" s="59">
        <f t="shared" ref="G15:G22" si="18">E15/F15</f>
        <v>0.104</v>
      </c>
    </row>
    <row r="16" spans="1:7" x14ac:dyDescent="0.25">
      <c r="A16" s="25">
        <f>'APAGADOS RADIO'!T3</f>
        <v>44727</v>
      </c>
      <c r="B16" s="54">
        <f>'APAGADOS RADIO'!T2+D16</f>
        <v>10</v>
      </c>
      <c r="C16" s="54">
        <f>'APAGADOS FIBRA'!T2</f>
        <v>30</v>
      </c>
      <c r="D16" s="54">
        <f>'APAGADOS ANTENA'!T2</f>
        <v>2</v>
      </c>
      <c r="E16" s="54">
        <f t="shared" si="17"/>
        <v>40</v>
      </c>
      <c r="F16" s="54">
        <f>'RESUMEN TOTAL'!C1</f>
        <v>375</v>
      </c>
      <c r="G16" s="59">
        <f t="shared" si="18"/>
        <v>0.10666666666666667</v>
      </c>
    </row>
    <row r="17" spans="1:7" x14ac:dyDescent="0.25">
      <c r="A17" s="25">
        <f>'APAGADOS RADIO'!U3</f>
        <v>44728</v>
      </c>
      <c r="B17" s="54">
        <f>'APAGADOS RADIO'!U2+D17</f>
        <v>13</v>
      </c>
      <c r="C17" s="54">
        <f>'APAGADOS FIBRA'!U2</f>
        <v>46</v>
      </c>
      <c r="D17" s="54">
        <f>'APAGADOS ANTENA'!U2</f>
        <v>8</v>
      </c>
      <c r="E17" s="54">
        <f t="shared" si="17"/>
        <v>59</v>
      </c>
      <c r="F17" s="54">
        <f>'RESUMEN TOTAL'!C1</f>
        <v>375</v>
      </c>
      <c r="G17" s="59">
        <f t="shared" si="18"/>
        <v>0.15733333333333333</v>
      </c>
    </row>
    <row r="18" spans="1:7" x14ac:dyDescent="0.25">
      <c r="A18" s="25">
        <f>'APAGADOS RADIO'!V3</f>
        <v>44729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44730</v>
      </c>
      <c r="B19" s="54">
        <f>'APAGADOS RADIO'!W2+D19</f>
        <v>6</v>
      </c>
      <c r="C19" s="54">
        <f>'APAGADOS FIBRA'!W2</f>
        <v>31</v>
      </c>
      <c r="D19" s="54">
        <f>'APAGADOS ANTENA'!W2</f>
        <v>2</v>
      </c>
      <c r="E19" s="54">
        <f t="shared" si="17"/>
        <v>37</v>
      </c>
      <c r="F19" s="54">
        <f>'RESUMEN TOTAL'!C1</f>
        <v>375</v>
      </c>
      <c r="G19" s="59">
        <f t="shared" si="18"/>
        <v>9.8666666666666666E-2</v>
      </c>
    </row>
    <row r="20" spans="1:7" x14ac:dyDescent="0.25">
      <c r="A20" s="25">
        <f>'APAGADOS RADIO'!X3</f>
        <v>44731</v>
      </c>
      <c r="B20" s="54">
        <f>'APAGADOS RADIO'!X2+D20</f>
        <v>6</v>
      </c>
      <c r="C20" s="54">
        <f>'APAGADOS FIBRA'!X2</f>
        <v>25</v>
      </c>
      <c r="D20" s="54">
        <f>'APAGADOS ANTENA'!X2</f>
        <v>2</v>
      </c>
      <c r="E20" s="54">
        <f t="shared" si="17"/>
        <v>31</v>
      </c>
      <c r="F20" s="54">
        <f>'RESUMEN TOTAL'!C1</f>
        <v>375</v>
      </c>
      <c r="G20" s="59">
        <f t="shared" si="18"/>
        <v>8.2666666666666666E-2</v>
      </c>
    </row>
    <row r="21" spans="1:7" x14ac:dyDescent="0.25">
      <c r="A21" s="25">
        <f>'APAGADOS RADIO'!Y3</f>
        <v>44732</v>
      </c>
      <c r="B21" s="54">
        <f>'APAGADOS RADIO'!Y2+D21</f>
        <v>7</v>
      </c>
      <c r="C21" s="54">
        <f>'APAGADOS FIBRA'!Y2</f>
        <v>28</v>
      </c>
      <c r="D21" s="54">
        <f>'APAGADOS ANTENA'!Y2</f>
        <v>2</v>
      </c>
      <c r="E21" s="54">
        <f t="shared" si="17"/>
        <v>35</v>
      </c>
      <c r="F21" s="54">
        <f>'RESUMEN TOTAL'!C1</f>
        <v>375</v>
      </c>
      <c r="G21" s="59">
        <f t="shared" si="18"/>
        <v>9.3333333333333338E-2</v>
      </c>
    </row>
    <row r="22" spans="1:7" x14ac:dyDescent="0.25">
      <c r="A22" s="25">
        <f>'APAGADOS RADIO'!Z3</f>
        <v>44733</v>
      </c>
      <c r="B22" s="54">
        <f>'APAGADOS RADIO'!Z2+D22</f>
        <v>7</v>
      </c>
      <c r="C22" s="54">
        <f>'APAGADOS FIBRA'!Z2</f>
        <v>26</v>
      </c>
      <c r="D22" s="54">
        <f>'APAGADOS ANTENA'!Z2</f>
        <v>2</v>
      </c>
      <c r="E22" s="54">
        <f t="shared" si="17"/>
        <v>33</v>
      </c>
      <c r="F22" s="54">
        <f>'RESUMEN TOTAL'!C1</f>
        <v>375</v>
      </c>
      <c r="G22" s="59">
        <f t="shared" si="18"/>
        <v>8.7999999999999995E-2</v>
      </c>
    </row>
    <row r="23" spans="1:7" x14ac:dyDescent="0.25">
      <c r="A23" s="25">
        <f>'APAGADOS RADIO'!AA3</f>
        <v>44734</v>
      </c>
      <c r="B23" s="54">
        <f>'APAGADOS RADIO'!AA2+D23</f>
        <v>6</v>
      </c>
      <c r="C23" s="54">
        <f>'APAGADOS FIBRA'!AA2</f>
        <v>29</v>
      </c>
      <c r="D23" s="54">
        <f>'APAGADOS ANTENA'!AA2</f>
        <v>2</v>
      </c>
      <c r="E23" s="54">
        <f t="shared" ref="E23" si="19">B23+C23</f>
        <v>35</v>
      </c>
      <c r="F23" s="54">
        <f>'RESUMEN TOTAL'!C1</f>
        <v>375</v>
      </c>
      <c r="G23" s="59">
        <f t="shared" ref="G23" si="20">E23/F23</f>
        <v>9.3333333333333338E-2</v>
      </c>
    </row>
    <row r="24" spans="1:7" x14ac:dyDescent="0.25">
      <c r="A24" s="25">
        <f>'APAGADOS RADIO'!AB3</f>
        <v>44735</v>
      </c>
      <c r="B24" s="54">
        <f>'APAGADOS RADIO'!AB2+D24</f>
        <v>9</v>
      </c>
      <c r="C24" s="54">
        <f>'APAGADOS FIBRA'!AB2</f>
        <v>29</v>
      </c>
      <c r="D24" s="54">
        <f>'APAGADOS ANTENA'!AB2</f>
        <v>3</v>
      </c>
      <c r="E24" s="54">
        <f t="shared" ref="E24" si="21">B24+C24</f>
        <v>38</v>
      </c>
      <c r="F24" s="54">
        <f>'RESUMEN TOTAL'!C1</f>
        <v>375</v>
      </c>
      <c r="G24" s="59">
        <f t="shared" ref="G24" si="22">E24/F24</f>
        <v>0.10133333333333333</v>
      </c>
    </row>
    <row r="25" spans="1:7" x14ac:dyDescent="0.25">
      <c r="A25" s="25">
        <f>'APAGADOS RADIO'!AC3</f>
        <v>44736</v>
      </c>
      <c r="B25" s="54"/>
      <c r="C25" s="54"/>
      <c r="D25" s="54"/>
      <c r="E25" s="54"/>
    </row>
    <row r="26" spans="1:7" x14ac:dyDescent="0.25">
      <c r="A26" s="25">
        <f>'APAGADOS RADIO'!AD3</f>
        <v>44737</v>
      </c>
      <c r="B26" s="54"/>
      <c r="C26" s="54"/>
      <c r="D26" s="54"/>
      <c r="E26" s="54"/>
    </row>
    <row r="27" spans="1:7" x14ac:dyDescent="0.25">
      <c r="A27" s="25">
        <f>'APAGADOS RADIO'!AE3</f>
        <v>44738</v>
      </c>
      <c r="B27" s="54"/>
      <c r="C27" s="54"/>
      <c r="D27" s="54"/>
      <c r="E27" s="54"/>
    </row>
    <row r="28" spans="1:7" x14ac:dyDescent="0.25">
      <c r="A28" s="25">
        <f>'APAGADOS RADIO'!AF3</f>
        <v>44739</v>
      </c>
      <c r="B28" s="54"/>
      <c r="C28" s="54"/>
      <c r="D28" s="54"/>
      <c r="E28" s="54"/>
    </row>
    <row r="29" spans="1:7" x14ac:dyDescent="0.25">
      <c r="A29" s="25">
        <f>'APAGADOS RADIO'!AG3</f>
        <v>44740</v>
      </c>
      <c r="B29" s="54"/>
      <c r="C29" s="54"/>
      <c r="D29" s="54"/>
      <c r="E29" s="54"/>
    </row>
    <row r="30" spans="1:7" x14ac:dyDescent="0.25">
      <c r="A30" s="25">
        <f>'APAGADOS RADIO'!AH3</f>
        <v>44741</v>
      </c>
      <c r="B30" s="54"/>
      <c r="C30" s="54"/>
      <c r="D30" s="54"/>
      <c r="E30" s="54"/>
    </row>
    <row r="31" spans="1:7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102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3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4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102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3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3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99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0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0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1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99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0"/>
    </row>
    <row r="27" spans="1:13" ht="15.75" thickTop="1" x14ac:dyDescent="0.25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0"/>
    </row>
    <row r="29" spans="1:13" ht="15.75" thickBot="1" x14ac:dyDescent="0.3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1"/>
    </row>
    <row r="30" spans="1:13" ht="15.75" thickTop="1" x14ac:dyDescent="0.25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1:13" x14ac:dyDescent="0.25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1:13" x14ac:dyDescent="0.25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1:13" ht="15.75" thickTop="1" x14ac:dyDescent="0.25">
      <c r="A37" s="66" t="s">
        <v>1347</v>
      </c>
      <c r="B37" s="77">
        <v>375</v>
      </c>
      <c r="C37" s="73"/>
      <c r="D37" s="70"/>
      <c r="E37" s="105">
        <v>44735</v>
      </c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  <row r="39" spans="1:13" ht="15.75" thickBot="1" x14ac:dyDescent="0.3">
      <c r="A39" s="67" t="s">
        <v>1349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1348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1366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1367</v>
      </c>
      <c r="M41" s="100"/>
    </row>
    <row r="42" spans="1:13" ht="15.75" thickTop="1" x14ac:dyDescent="0.25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1367</v>
      </c>
      <c r="M42" s="100"/>
    </row>
    <row r="43" spans="1:13" x14ac:dyDescent="0.25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1357</v>
      </c>
      <c r="M43" s="100"/>
    </row>
    <row r="44" spans="1:13" x14ac:dyDescent="0.25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1357</v>
      </c>
      <c r="M44" s="100"/>
    </row>
    <row r="45" spans="1:13" ht="15.75" thickBot="1" x14ac:dyDescent="0.3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1357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1040</v>
      </c>
      <c r="L47" s="97" t="s">
        <v>1368</v>
      </c>
    </row>
    <row r="48" spans="1:13" x14ac:dyDescent="0.25">
      <c r="G48" s="55" t="s">
        <v>372</v>
      </c>
      <c r="H48" s="54" t="s">
        <v>373</v>
      </c>
      <c r="I48" s="54" t="s">
        <v>19</v>
      </c>
      <c r="J48" s="54" t="s">
        <v>25</v>
      </c>
      <c r="K48" s="16" t="s">
        <v>1067</v>
      </c>
      <c r="L48" s="97" t="s">
        <v>1369</v>
      </c>
    </row>
    <row r="49" spans="7:12" x14ac:dyDescent="0.25">
      <c r="G49" s="55" t="s">
        <v>767</v>
      </c>
      <c r="H49" s="54" t="s">
        <v>768</v>
      </c>
      <c r="I49" s="54" t="s">
        <v>19</v>
      </c>
      <c r="J49" s="54" t="s">
        <v>942</v>
      </c>
      <c r="K49" s="16" t="s">
        <v>1258</v>
      </c>
      <c r="L49" s="97" t="s">
        <v>1370</v>
      </c>
    </row>
    <row r="50" spans="7:12" x14ac:dyDescent="0.25">
      <c r="G50" s="55" t="s">
        <v>826</v>
      </c>
      <c r="H50" s="54" t="s">
        <v>827</v>
      </c>
      <c r="I50" s="54" t="s">
        <v>24</v>
      </c>
      <c r="J50" s="54" t="s">
        <v>36</v>
      </c>
      <c r="K50" s="16" t="s">
        <v>1272</v>
      </c>
      <c r="L50" s="97" t="s">
        <v>1367</v>
      </c>
    </row>
    <row r="51" spans="7:12" x14ac:dyDescent="0.25">
      <c r="G51" s="55" t="s">
        <v>544</v>
      </c>
      <c r="H51" s="54" t="s">
        <v>545</v>
      </c>
      <c r="I51" s="54" t="s">
        <v>19</v>
      </c>
      <c r="J51" s="54" t="s">
        <v>942</v>
      </c>
      <c r="K51" s="16" t="s">
        <v>1146</v>
      </c>
      <c r="L51" s="97" t="s">
        <v>1357</v>
      </c>
    </row>
    <row r="52" spans="7:12" x14ac:dyDescent="0.25">
      <c r="G52" s="55" t="s">
        <v>551</v>
      </c>
      <c r="H52" s="54" t="s">
        <v>552</v>
      </c>
      <c r="I52" s="54" t="s">
        <v>19</v>
      </c>
      <c r="J52" s="54" t="s">
        <v>36</v>
      </c>
      <c r="K52" s="16" t="s">
        <v>1149</v>
      </c>
      <c r="L52" s="97" t="s">
        <v>1357</v>
      </c>
    </row>
    <row r="53" spans="7:12" x14ac:dyDescent="0.25">
      <c r="G53" s="55" t="s">
        <v>553</v>
      </c>
      <c r="H53" s="54" t="s">
        <v>552</v>
      </c>
      <c r="I53" s="54" t="s">
        <v>113</v>
      </c>
      <c r="J53" s="54" t="s">
        <v>36</v>
      </c>
      <c r="K53" s="16" t="s">
        <v>1148</v>
      </c>
      <c r="L53" s="97" t="s">
        <v>1357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2022-06-27T10:35:40Z</dcterms:modified>
</cp:coreProperties>
</file>