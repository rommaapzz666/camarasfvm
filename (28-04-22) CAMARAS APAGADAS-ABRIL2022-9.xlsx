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8_{DFD653A4-56E0-423C-A9C2-EB456CDCD236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PORCENTAJE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ANTENA'!$A$3:$AG$369</definedName>
    <definedName name="_xlnm._FilterDatabase" localSheetId="5" hidden="1">'APAGADOS FIBRA'!$A$3:$AG$369</definedName>
    <definedName name="_xlnm._FilterDatabase" localSheetId="7" hidden="1">'APAGADOS RADIO'!$A$3:$AG$369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4" l="1"/>
  <c r="G3" i="14"/>
  <c r="G4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41" i="14"/>
  <c r="M377" i="2" l="1"/>
  <c r="L377" i="2"/>
  <c r="M376" i="2"/>
  <c r="L376" i="2"/>
  <c r="N376" i="2" s="1"/>
  <c r="M375" i="2"/>
  <c r="L375" i="2"/>
  <c r="M374" i="2"/>
  <c r="L374" i="2"/>
  <c r="N374" i="2" s="1"/>
  <c r="M373" i="2"/>
  <c r="L373" i="2"/>
  <c r="M247" i="2"/>
  <c r="M248" i="2"/>
  <c r="M249" i="2"/>
  <c r="M250" i="2"/>
  <c r="M251" i="2"/>
  <c r="M252" i="2"/>
  <c r="M253" i="2"/>
  <c r="M254" i="2"/>
  <c r="N254" i="2" s="1"/>
  <c r="M255" i="2"/>
  <c r="N255" i="2" s="1"/>
  <c r="M256" i="2"/>
  <c r="M257" i="2"/>
  <c r="M258" i="2"/>
  <c r="M259" i="2"/>
  <c r="M260" i="2"/>
  <c r="M261" i="2"/>
  <c r="M262" i="2"/>
  <c r="M263" i="2"/>
  <c r="N263" i="2" s="1"/>
  <c r="M264" i="2"/>
  <c r="M265" i="2"/>
  <c r="M266" i="2"/>
  <c r="M267" i="2"/>
  <c r="M268" i="2"/>
  <c r="N268" i="2" s="1"/>
  <c r="M269" i="2"/>
  <c r="M270" i="2"/>
  <c r="N270" i="2" s="1"/>
  <c r="M271" i="2"/>
  <c r="N271" i="2" s="1"/>
  <c r="M272" i="2"/>
  <c r="M273" i="2"/>
  <c r="M274" i="2"/>
  <c r="M275" i="2"/>
  <c r="M276" i="2"/>
  <c r="N276" i="2" s="1"/>
  <c r="M277" i="2"/>
  <c r="M278" i="2"/>
  <c r="N278" i="2" s="1"/>
  <c r="M279" i="2"/>
  <c r="M280" i="2"/>
  <c r="M281" i="2"/>
  <c r="M282" i="2"/>
  <c r="M283" i="2"/>
  <c r="M284" i="2"/>
  <c r="M285" i="2"/>
  <c r="M286" i="2"/>
  <c r="N286" i="2" s="1"/>
  <c r="M287" i="2"/>
  <c r="M288" i="2"/>
  <c r="M289" i="2"/>
  <c r="M290" i="2"/>
  <c r="M291" i="2"/>
  <c r="M292" i="2"/>
  <c r="M293" i="2"/>
  <c r="M294" i="2"/>
  <c r="M295" i="2"/>
  <c r="N295" i="2" s="1"/>
  <c r="M296" i="2"/>
  <c r="M297" i="2"/>
  <c r="M298" i="2"/>
  <c r="M299" i="2"/>
  <c r="M300" i="2"/>
  <c r="N300" i="2" s="1"/>
  <c r="M301" i="2"/>
  <c r="M302" i="2"/>
  <c r="N302" i="2" s="1"/>
  <c r="M303" i="2"/>
  <c r="M304" i="2"/>
  <c r="M305" i="2"/>
  <c r="M306" i="2"/>
  <c r="M307" i="2"/>
  <c r="M308" i="2"/>
  <c r="N308" i="2" s="1"/>
  <c r="M309" i="2"/>
  <c r="M310" i="2"/>
  <c r="M311" i="2"/>
  <c r="N311" i="2" s="1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N326" i="2" s="1"/>
  <c r="M327" i="2"/>
  <c r="M328" i="2"/>
  <c r="M329" i="2"/>
  <c r="M330" i="2"/>
  <c r="M331" i="2"/>
  <c r="M332" i="2"/>
  <c r="N332" i="2" s="1"/>
  <c r="M333" i="2"/>
  <c r="M334" i="2"/>
  <c r="M335" i="2"/>
  <c r="N335" i="2" s="1"/>
  <c r="M336" i="2"/>
  <c r="M337" i="2"/>
  <c r="M338" i="2"/>
  <c r="M339" i="2"/>
  <c r="M340" i="2"/>
  <c r="N340" i="2" s="1"/>
  <c r="M341" i="2"/>
  <c r="M342" i="2"/>
  <c r="N342" i="2" s="1"/>
  <c r="M343" i="2"/>
  <c r="M344" i="2"/>
  <c r="M345" i="2"/>
  <c r="M346" i="2"/>
  <c r="M347" i="2"/>
  <c r="M348" i="2"/>
  <c r="N348" i="2" s="1"/>
  <c r="M349" i="2"/>
  <c r="M350" i="2"/>
  <c r="N350" i="2" s="1"/>
  <c r="M351" i="2"/>
  <c r="N351" i="2" s="1"/>
  <c r="M352" i="2"/>
  <c r="M353" i="2"/>
  <c r="M354" i="2"/>
  <c r="M355" i="2"/>
  <c r="M356" i="2"/>
  <c r="N356" i="2" s="1"/>
  <c r="M357" i="2"/>
  <c r="M358" i="2"/>
  <c r="N358" i="2" s="1"/>
  <c r="M359" i="2"/>
  <c r="N359" i="2" s="1"/>
  <c r="M360" i="2"/>
  <c r="M361" i="2"/>
  <c r="M362" i="2"/>
  <c r="M363" i="2"/>
  <c r="M364" i="2"/>
  <c r="N364" i="2" s="1"/>
  <c r="M365" i="2"/>
  <c r="M366" i="2"/>
  <c r="N366" i="2" s="1"/>
  <c r="M367" i="2"/>
  <c r="N367" i="2" s="1"/>
  <c r="M368" i="2"/>
  <c r="M369" i="2"/>
  <c r="M370" i="2"/>
  <c r="M371" i="2"/>
  <c r="M372" i="2"/>
  <c r="N372" i="2" s="1"/>
  <c r="N248" i="2"/>
  <c r="N249" i="2"/>
  <c r="N250" i="2"/>
  <c r="N251" i="2"/>
  <c r="N252" i="2"/>
  <c r="N253" i="2"/>
  <c r="N256" i="2"/>
  <c r="N257" i="2"/>
  <c r="N259" i="2"/>
  <c r="N260" i="2"/>
  <c r="N264" i="2"/>
  <c r="N265" i="2"/>
  <c r="N266" i="2"/>
  <c r="N269" i="2"/>
  <c r="N273" i="2"/>
  <c r="N274" i="2"/>
  <c r="N275" i="2"/>
  <c r="N277" i="2"/>
  <c r="N280" i="2"/>
  <c r="N288" i="2"/>
  <c r="N298" i="2"/>
  <c r="N299" i="2"/>
  <c r="N301" i="2"/>
  <c r="N312" i="2"/>
  <c r="N314" i="2"/>
  <c r="N315" i="2"/>
  <c r="N317" i="2"/>
  <c r="N320" i="2"/>
  <c r="N322" i="2"/>
  <c r="N323" i="2"/>
  <c r="N330" i="2"/>
  <c r="N331" i="2"/>
  <c r="N336" i="2"/>
  <c r="N337" i="2"/>
  <c r="N338" i="2"/>
  <c r="N341" i="2"/>
  <c r="N344" i="2"/>
  <c r="N349" i="2"/>
  <c r="N353" i="2"/>
  <c r="N354" i="2"/>
  <c r="N357" i="2"/>
  <c r="N360" i="2"/>
  <c r="N361" i="2"/>
  <c r="N362" i="2"/>
  <c r="N365" i="2"/>
  <c r="N368" i="2"/>
  <c r="N369" i="2"/>
  <c r="N370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N258" i="2" s="1"/>
  <c r="L259" i="2"/>
  <c r="L260" i="2"/>
  <c r="L261" i="2"/>
  <c r="N261" i="2" s="1"/>
  <c r="L262" i="2"/>
  <c r="L263" i="2"/>
  <c r="L264" i="2"/>
  <c r="L265" i="2"/>
  <c r="L266" i="2"/>
  <c r="L267" i="2"/>
  <c r="N267" i="2" s="1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N290" i="2" s="1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N305" i="2" s="1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N321" i="2" s="1"/>
  <c r="L322" i="2"/>
  <c r="L323" i="2"/>
  <c r="L324" i="2"/>
  <c r="L325" i="2"/>
  <c r="L326" i="2"/>
  <c r="L327" i="2"/>
  <c r="L328" i="2"/>
  <c r="L329" i="2"/>
  <c r="N329" i="2" s="1"/>
  <c r="L330" i="2"/>
  <c r="L331" i="2"/>
  <c r="L332" i="2"/>
  <c r="L333" i="2"/>
  <c r="N333" i="2" s="1"/>
  <c r="L334" i="2"/>
  <c r="L335" i="2"/>
  <c r="L336" i="2"/>
  <c r="L337" i="2"/>
  <c r="L338" i="2"/>
  <c r="L339" i="2"/>
  <c r="N339" i="2" s="1"/>
  <c r="L340" i="2"/>
  <c r="L341" i="2"/>
  <c r="L342" i="2"/>
  <c r="L343" i="2"/>
  <c r="L344" i="2"/>
  <c r="L345" i="2"/>
  <c r="N345" i="2" s="1"/>
  <c r="L346" i="2"/>
  <c r="N346" i="2" s="1"/>
  <c r="L347" i="2"/>
  <c r="N347" i="2" s="1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I94" i="10"/>
  <c r="AJ90" i="10"/>
  <c r="AJ82" i="10"/>
  <c r="AJ78" i="10"/>
  <c r="AJ74" i="10"/>
  <c r="AJ70" i="10"/>
  <c r="AJ66" i="10"/>
  <c r="AJ62" i="10"/>
  <c r="AI59" i="10"/>
  <c r="AJ35" i="10"/>
  <c r="AJ32" i="10"/>
  <c r="AJ27" i="10"/>
  <c r="AJ18" i="10"/>
  <c r="AJ17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I10" i="10" s="1"/>
  <c r="AJ8" i="8"/>
  <c r="AH9" i="8"/>
  <c r="AI9" i="8"/>
  <c r="AJ9" i="8"/>
  <c r="AH10" i="8"/>
  <c r="AH12" i="10" s="1"/>
  <c r="AI10" i="8"/>
  <c r="AJ10" i="8"/>
  <c r="AJ12" i="10" s="1"/>
  <c r="AH11" i="8"/>
  <c r="AI11" i="8"/>
  <c r="AI13" i="10" s="1"/>
  <c r="AJ11" i="8"/>
  <c r="AJ13" i="10" s="1"/>
  <c r="AH12" i="8"/>
  <c r="AI12" i="8"/>
  <c r="AJ12" i="8"/>
  <c r="AH13" i="8"/>
  <c r="AI13" i="8"/>
  <c r="AJ13" i="8"/>
  <c r="AH14" i="8"/>
  <c r="AI14" i="8"/>
  <c r="AI16" i="10" s="1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J20" i="10" s="1"/>
  <c r="AH19" i="8"/>
  <c r="AI19" i="8"/>
  <c r="AI21" i="10" s="1"/>
  <c r="AJ19" i="8"/>
  <c r="AJ21" i="10" s="1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I31" i="11" s="1"/>
  <c r="AJ29" i="8"/>
  <c r="AH30" i="8"/>
  <c r="AH32" i="21" s="1"/>
  <c r="AI30" i="8"/>
  <c r="AJ30" i="8"/>
  <c r="AH31" i="8"/>
  <c r="AH33" i="10" s="1"/>
  <c r="AI31" i="8"/>
  <c r="AI33" i="10" s="1"/>
  <c r="AJ31" i="8"/>
  <c r="AH32" i="8"/>
  <c r="AI32" i="8"/>
  <c r="AI34" i="10" s="1"/>
  <c r="AJ32" i="8"/>
  <c r="AJ34" i="10" s="1"/>
  <c r="AH33" i="8"/>
  <c r="AH35" i="10" s="1"/>
  <c r="AI33" i="8"/>
  <c r="AJ33" i="8"/>
  <c r="AH34" i="8"/>
  <c r="AI34" i="8"/>
  <c r="AJ34" i="8"/>
  <c r="AH35" i="8"/>
  <c r="AH37" i="10" s="1"/>
  <c r="AI35" i="8"/>
  <c r="AI37" i="10" s="1"/>
  <c r="AJ35" i="8"/>
  <c r="AJ37" i="10" s="1"/>
  <c r="AH36" i="8"/>
  <c r="AH38" i="10" s="1"/>
  <c r="AI36" i="8"/>
  <c r="AJ36" i="8"/>
  <c r="AH37" i="8"/>
  <c r="AI37" i="8"/>
  <c r="AJ37" i="8"/>
  <c r="AH38" i="8"/>
  <c r="AH40" i="10" s="1"/>
  <c r="AI38" i="8"/>
  <c r="AI40" i="10" s="1"/>
  <c r="AJ38" i="8"/>
  <c r="AJ40" i="10" s="1"/>
  <c r="AH39" i="8"/>
  <c r="AH41" i="10" s="1"/>
  <c r="AI39" i="8"/>
  <c r="AJ39" i="8"/>
  <c r="AH40" i="8"/>
  <c r="AI40" i="8"/>
  <c r="AI42" i="10" s="1"/>
  <c r="AJ40" i="8"/>
  <c r="AJ42" i="10" s="1"/>
  <c r="AH41" i="8"/>
  <c r="AH43" i="10" s="1"/>
  <c r="AI41" i="8"/>
  <c r="AI43" i="10" s="1"/>
  <c r="AJ41" i="8"/>
  <c r="AH42" i="8"/>
  <c r="AI42" i="8"/>
  <c r="AI44" i="10" s="1"/>
  <c r="AJ42" i="8"/>
  <c r="AJ44" i="10" s="1"/>
  <c r="AH43" i="8"/>
  <c r="AI43" i="8"/>
  <c r="AI45" i="10" s="1"/>
  <c r="AJ43" i="8"/>
  <c r="AJ45" i="10" s="1"/>
  <c r="AH44" i="8"/>
  <c r="AH46" i="10" s="1"/>
  <c r="AI44" i="8"/>
  <c r="AJ44" i="8"/>
  <c r="AH45" i="8"/>
  <c r="AI45" i="8"/>
  <c r="AJ45" i="8"/>
  <c r="AH46" i="8"/>
  <c r="AI46" i="8"/>
  <c r="AI48" i="10" s="1"/>
  <c r="AJ46" i="8"/>
  <c r="AJ48" i="10" s="1"/>
  <c r="AH47" i="8"/>
  <c r="AH49" i="10" s="1"/>
  <c r="AI47" i="8"/>
  <c r="AJ47" i="8"/>
  <c r="AH48" i="8"/>
  <c r="AI48" i="8"/>
  <c r="AI50" i="10" s="1"/>
  <c r="AJ48" i="8"/>
  <c r="AJ50" i="10" s="1"/>
  <c r="AH49" i="8"/>
  <c r="AH51" i="10" s="1"/>
  <c r="AI49" i="8"/>
  <c r="AJ49" i="8"/>
  <c r="AH50" i="8"/>
  <c r="AI50" i="8"/>
  <c r="AJ50" i="8"/>
  <c r="AH51" i="8"/>
  <c r="AI51" i="8"/>
  <c r="AI53" i="10" s="1"/>
  <c r="AJ51" i="8"/>
  <c r="AJ53" i="10" s="1"/>
  <c r="AH52" i="8"/>
  <c r="AI52" i="8"/>
  <c r="AI54" i="10" s="1"/>
  <c r="AJ52" i="8"/>
  <c r="AH53" i="8"/>
  <c r="AI53" i="8"/>
  <c r="AI55" i="10" s="1"/>
  <c r="AJ53" i="8"/>
  <c r="AJ55" i="10" s="1"/>
  <c r="AH54" i="8"/>
  <c r="AI54" i="8"/>
  <c r="AJ54" i="8"/>
  <c r="AH55" i="8"/>
  <c r="AI55" i="8"/>
  <c r="AJ55" i="8"/>
  <c r="AH56" i="8"/>
  <c r="AI56" i="8"/>
  <c r="AI58" i="10" s="1"/>
  <c r="AJ56" i="8"/>
  <c r="AH57" i="8"/>
  <c r="AH59" i="10" s="1"/>
  <c r="AI57" i="8"/>
  <c r="AJ57" i="8"/>
  <c r="AJ59" i="10" s="1"/>
  <c r="AH58" i="8"/>
  <c r="AI58" i="8"/>
  <c r="AJ58" i="8"/>
  <c r="AJ60" i="10" s="1"/>
  <c r="AH59" i="8"/>
  <c r="AH61" i="21" s="1"/>
  <c r="AI59" i="8"/>
  <c r="AI61" i="10" s="1"/>
  <c r="AJ59" i="8"/>
  <c r="AH60" i="8"/>
  <c r="AH62" i="10" s="1"/>
  <c r="AI60" i="8"/>
  <c r="AJ60" i="8"/>
  <c r="AH61" i="8"/>
  <c r="AI61" i="8"/>
  <c r="AI63" i="11" s="1"/>
  <c r="AJ61" i="8"/>
  <c r="AJ63" i="10" s="1"/>
  <c r="AH62" i="8"/>
  <c r="AI62" i="8"/>
  <c r="AI64" i="10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10" s="1"/>
  <c r="AJ65" i="8"/>
  <c r="AJ67" i="10" s="1"/>
  <c r="AH66" i="8"/>
  <c r="AH68" i="10" s="1"/>
  <c r="AI66" i="8"/>
  <c r="AJ66" i="8"/>
  <c r="AJ68" i="10" s="1"/>
  <c r="AH67" i="8"/>
  <c r="AI67" i="8"/>
  <c r="AI69" i="10" s="1"/>
  <c r="AJ67" i="8"/>
  <c r="AH68" i="8"/>
  <c r="AH70" i="10" s="1"/>
  <c r="AI68" i="8"/>
  <c r="AJ68" i="8"/>
  <c r="AH69" i="8"/>
  <c r="AI69" i="8"/>
  <c r="AI71" i="10" s="1"/>
  <c r="AJ69" i="8"/>
  <c r="AJ71" i="10" s="1"/>
  <c r="AH70" i="8"/>
  <c r="AI70" i="8"/>
  <c r="AI72" i="10" s="1"/>
  <c r="AJ70" i="8"/>
  <c r="AH71" i="8"/>
  <c r="AI71" i="8"/>
  <c r="AJ71" i="8"/>
  <c r="AH72" i="8"/>
  <c r="AI72" i="8"/>
  <c r="AJ72" i="8"/>
  <c r="AH73" i="8"/>
  <c r="AH75" i="10" s="1"/>
  <c r="AI73" i="8"/>
  <c r="AI75" i="10" s="1"/>
  <c r="AJ73" i="8"/>
  <c r="AJ75" i="10" s="1"/>
  <c r="AH74" i="8"/>
  <c r="AI74" i="8"/>
  <c r="AJ74" i="8"/>
  <c r="AJ76" i="10" s="1"/>
  <c r="AH75" i="8"/>
  <c r="AI75" i="8"/>
  <c r="AI77" i="10" s="1"/>
  <c r="AJ75" i="8"/>
  <c r="AH76" i="8"/>
  <c r="AH78" i="10" s="1"/>
  <c r="AI76" i="8"/>
  <c r="AJ76" i="8"/>
  <c r="AH77" i="8"/>
  <c r="AI77" i="8"/>
  <c r="AJ77" i="8"/>
  <c r="AJ79" i="10" s="1"/>
  <c r="AH78" i="8"/>
  <c r="AI78" i="8"/>
  <c r="AI80" i="10" s="1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I87" i="10" s="1"/>
  <c r="AJ85" i="8"/>
  <c r="AJ87" i="10" s="1"/>
  <c r="AH86" i="8"/>
  <c r="AI86" i="8"/>
  <c r="AI88" i="10" s="1"/>
  <c r="AJ86" i="8"/>
  <c r="AH87" i="8"/>
  <c r="AI87" i="8"/>
  <c r="AJ87" i="8"/>
  <c r="AH88" i="8"/>
  <c r="AH90" i="10" s="1"/>
  <c r="AI88" i="8"/>
  <c r="AJ88" i="8"/>
  <c r="AH89" i="8"/>
  <c r="AI89" i="8"/>
  <c r="AI91" i="10" s="1"/>
  <c r="AJ89" i="8"/>
  <c r="AJ91" i="10" s="1"/>
  <c r="AH90" i="8"/>
  <c r="AI90" i="8"/>
  <c r="AJ90" i="8"/>
  <c r="AJ92" i="10" s="1"/>
  <c r="AH91" i="8"/>
  <c r="AH93" i="21" s="1"/>
  <c r="AI91" i="8"/>
  <c r="AJ91" i="8"/>
  <c r="AH92" i="8"/>
  <c r="AI92" i="8"/>
  <c r="AJ92" i="8"/>
  <c r="AJ94" i="10" s="1"/>
  <c r="AH93" i="8"/>
  <c r="AI93" i="8"/>
  <c r="AI95" i="11" s="1"/>
  <c r="AJ93" i="8"/>
  <c r="AH94" i="8"/>
  <c r="AH96" i="21" s="1"/>
  <c r="AI94" i="8"/>
  <c r="AJ94" i="8"/>
  <c r="AH95" i="8"/>
  <c r="AH97" i="10" s="1"/>
  <c r="AI95" i="8"/>
  <c r="AJ95" i="8"/>
  <c r="AH96" i="8"/>
  <c r="AI96" i="8"/>
  <c r="AI98" i="10" s="1"/>
  <c r="AJ96" i="8"/>
  <c r="AJ98" i="10" s="1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I106" i="10" s="1"/>
  <c r="AJ104" i="8"/>
  <c r="AJ106" i="10" s="1"/>
  <c r="AH105" i="8"/>
  <c r="AI105" i="8"/>
  <c r="AI107" i="10" s="1"/>
  <c r="AJ105" i="8"/>
  <c r="AH106" i="8"/>
  <c r="AI106" i="8"/>
  <c r="AJ106" i="8"/>
  <c r="AJ108" i="10" s="1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I114" i="10" s="1"/>
  <c r="AJ112" i="8"/>
  <c r="AH113" i="8"/>
  <c r="AI113" i="8"/>
  <c r="AI115" i="10" s="1"/>
  <c r="AJ113" i="8"/>
  <c r="AJ115" i="10" s="1"/>
  <c r="AH114" i="8"/>
  <c r="AI114" i="8"/>
  <c r="AJ114" i="8"/>
  <c r="AH115" i="8"/>
  <c r="AH117" i="10" s="1"/>
  <c r="AI115" i="8"/>
  <c r="AI117" i="10" s="1"/>
  <c r="AJ115" i="8"/>
  <c r="AJ117" i="10" s="1"/>
  <c r="AH116" i="8"/>
  <c r="AI116" i="8"/>
  <c r="AJ116" i="8"/>
  <c r="AH117" i="8"/>
  <c r="AI117" i="8"/>
  <c r="AJ117" i="8"/>
  <c r="AH118" i="8"/>
  <c r="AI118" i="8"/>
  <c r="AI120" i="10" s="1"/>
  <c r="AJ118" i="8"/>
  <c r="AJ120" i="10" s="1"/>
  <c r="AH119" i="8"/>
  <c r="AI119" i="8"/>
  <c r="AJ119" i="8"/>
  <c r="AH120" i="8"/>
  <c r="AI120" i="8"/>
  <c r="AI122" i="10" s="1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I127" i="11" s="1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I136" i="10" s="1"/>
  <c r="AJ134" i="8"/>
  <c r="AJ136" i="10" s="1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I146" i="10" s="1"/>
  <c r="AJ144" i="8"/>
  <c r="AJ146" i="10" s="1"/>
  <c r="AH145" i="8"/>
  <c r="AI145" i="8"/>
  <c r="AJ145" i="8"/>
  <c r="AH146" i="8"/>
  <c r="AH148" i="10" s="1"/>
  <c r="AI146" i="8"/>
  <c r="AJ146" i="8"/>
  <c r="AJ148" i="10" s="1"/>
  <c r="AH147" i="8"/>
  <c r="AI147" i="8"/>
  <c r="AI149" i="10" s="1"/>
  <c r="AJ147" i="8"/>
  <c r="AJ149" i="10" s="1"/>
  <c r="AH148" i="8"/>
  <c r="AI148" i="8"/>
  <c r="AJ148" i="8"/>
  <c r="AH149" i="8"/>
  <c r="AI149" i="8"/>
  <c r="AI151" i="10" s="1"/>
  <c r="AJ149" i="8"/>
  <c r="AJ151" i="10" s="1"/>
  <c r="AH150" i="8"/>
  <c r="AI150" i="8"/>
  <c r="AJ150" i="8"/>
  <c r="AH151" i="8"/>
  <c r="AI151" i="8"/>
  <c r="AI153" i="10" s="1"/>
  <c r="AJ151" i="8"/>
  <c r="AH152" i="8"/>
  <c r="AH154" i="10" s="1"/>
  <c r="AI152" i="8"/>
  <c r="AI154" i="10" s="1"/>
  <c r="AJ152" i="8"/>
  <c r="AJ154" i="10" s="1"/>
  <c r="AH153" i="8"/>
  <c r="AI153" i="8"/>
  <c r="AJ153" i="8"/>
  <c r="AH154" i="8"/>
  <c r="AI154" i="8"/>
  <c r="AJ154" i="8"/>
  <c r="AH155" i="8"/>
  <c r="AH157" i="21" s="1"/>
  <c r="AI155" i="8"/>
  <c r="AI157" i="10" s="1"/>
  <c r="AJ155" i="8"/>
  <c r="AJ157" i="10" s="1"/>
  <c r="AH156" i="8"/>
  <c r="AI156" i="8"/>
  <c r="AJ156" i="8"/>
  <c r="AH157" i="8"/>
  <c r="AI157" i="8"/>
  <c r="AI159" i="11" s="1"/>
  <c r="AJ157" i="8"/>
  <c r="AJ159" i="10" s="1"/>
  <c r="AH158" i="8"/>
  <c r="AH160" i="21" s="1"/>
  <c r="AI158" i="8"/>
  <c r="AJ158" i="8"/>
  <c r="AH159" i="8"/>
  <c r="AI159" i="8"/>
  <c r="AI161" i="10" s="1"/>
  <c r="AJ159" i="8"/>
  <c r="AH160" i="8"/>
  <c r="AI160" i="8"/>
  <c r="AJ160" i="8"/>
  <c r="AJ162" i="10" s="1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J172" i="10" s="1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I191" i="21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J200" i="10" s="1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J204" i="10" s="1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J210" i="10" s="1"/>
  <c r="AH209" i="8"/>
  <c r="AI209" i="8"/>
  <c r="AJ209" i="8"/>
  <c r="AH210" i="8"/>
  <c r="AI210" i="8"/>
  <c r="AJ210" i="8"/>
  <c r="AJ212" i="21" s="1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J224" i="21" s="1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J228" i="21" s="1"/>
  <c r="AH227" i="8"/>
  <c r="AI227" i="8"/>
  <c r="AJ227" i="8"/>
  <c r="AH228" i="8"/>
  <c r="AI228" i="8"/>
  <c r="AJ228" i="8"/>
  <c r="AH229" i="8"/>
  <c r="AH231" i="10" s="1"/>
  <c r="AI229" i="8"/>
  <c r="AJ229" i="8"/>
  <c r="AJ231" i="10" s="1"/>
  <c r="AH230" i="8"/>
  <c r="AI230" i="8"/>
  <c r="AJ230" i="8"/>
  <c r="AJ232" i="11" s="1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J242" i="10" s="1"/>
  <c r="AH241" i="8"/>
  <c r="AI241" i="8"/>
  <c r="AJ241" i="8"/>
  <c r="AH242" i="8"/>
  <c r="AI242" i="8"/>
  <c r="AJ242" i="8"/>
  <c r="AH243" i="8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J248" i="11" s="1"/>
  <c r="AH247" i="8"/>
  <c r="AI247" i="8"/>
  <c r="AJ247" i="8"/>
  <c r="AH248" i="8"/>
  <c r="AI248" i="8"/>
  <c r="AI250" i="10" s="1"/>
  <c r="AJ248" i="8"/>
  <c r="AH249" i="8"/>
  <c r="AH251" i="21" s="1"/>
  <c r="AI249" i="8"/>
  <c r="AJ249" i="8"/>
  <c r="AH250" i="8"/>
  <c r="AH252" i="10" s="1"/>
  <c r="AI250" i="8"/>
  <c r="AJ250" i="8"/>
  <c r="AJ252" i="21" s="1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J256" i="11" s="1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J260" i="11" s="1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J276" i="11" s="1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J280" i="11" s="1"/>
  <c r="AH279" i="8"/>
  <c r="AI279" i="8"/>
  <c r="AJ279" i="8"/>
  <c r="AH280" i="8"/>
  <c r="AH282" i="10" s="1"/>
  <c r="AI280" i="8"/>
  <c r="AJ280" i="8"/>
  <c r="AH281" i="8"/>
  <c r="AI281" i="8"/>
  <c r="AI283" i="10" s="1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I288" i="10" s="1"/>
  <c r="AJ286" i="8"/>
  <c r="AJ288" i="21" s="1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J292" i="21" s="1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J296" i="11" s="1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J300" i="11" s="1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I304" i="10" s="1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J308" i="11" s="1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J312" i="11" s="1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J320" i="21" s="1"/>
  <c r="AH319" i="8"/>
  <c r="AI319" i="8"/>
  <c r="AJ319" i="8"/>
  <c r="AH320" i="8"/>
  <c r="AH322" i="11" s="1"/>
  <c r="AI320" i="8"/>
  <c r="AI322" i="10" s="1"/>
  <c r="AJ320" i="8"/>
  <c r="AJ322" i="11" s="1"/>
  <c r="AH321" i="8"/>
  <c r="AI321" i="8"/>
  <c r="AJ321" i="8"/>
  <c r="AH322" i="8"/>
  <c r="AI322" i="8"/>
  <c r="AJ322" i="8"/>
  <c r="AJ324" i="21" s="1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I334" i="10" s="1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I338" i="10" s="1"/>
  <c r="AJ336" i="8"/>
  <c r="AH337" i="8"/>
  <c r="AI337" i="8"/>
  <c r="AJ337" i="8"/>
  <c r="AH338" i="8"/>
  <c r="AI338" i="8"/>
  <c r="AJ338" i="8"/>
  <c r="AJ340" i="11" s="1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I346" i="10" s="1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J352" i="21" s="1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I365" i="21" s="1"/>
  <c r="AJ363" i="8"/>
  <c r="AH364" i="8"/>
  <c r="AI364" i="8"/>
  <c r="AJ364" i="8"/>
  <c r="AH365" i="8"/>
  <c r="AH367" i="11" s="1"/>
  <c r="AI365" i="8"/>
  <c r="AJ365" i="8"/>
  <c r="AH366" i="8"/>
  <c r="AI366" i="8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N366" i="8"/>
  <c r="O366" i="8"/>
  <c r="P366" i="8"/>
  <c r="Q366" i="8"/>
  <c r="Q367" i="9" s="1"/>
  <c r="R366" i="8"/>
  <c r="R367" i="9" s="1"/>
  <c r="S366" i="8"/>
  <c r="S368" i="21" s="1"/>
  <c r="T366" i="8"/>
  <c r="U366" i="8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N370" i="8"/>
  <c r="N371" i="9" s="1"/>
  <c r="O370" i="8"/>
  <c r="O371" i="9" s="1"/>
  <c r="P370" i="8"/>
  <c r="P371" i="9" s="1"/>
  <c r="Q370" i="8"/>
  <c r="R370" i="8"/>
  <c r="S370" i="8"/>
  <c r="T370" i="8"/>
  <c r="U370" i="8"/>
  <c r="U371" i="9" s="1"/>
  <c r="V370" i="8"/>
  <c r="V371" i="9" s="1"/>
  <c r="W370" i="8"/>
  <c r="X370" i="8"/>
  <c r="X371" i="9" s="1"/>
  <c r="Y370" i="8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O372" i="9" s="1"/>
  <c r="P371" i="8"/>
  <c r="Q371" i="8"/>
  <c r="R371" i="8"/>
  <c r="S371" i="8"/>
  <c r="T371" i="8"/>
  <c r="T372" i="9" s="1"/>
  <c r="U371" i="8"/>
  <c r="V371" i="8"/>
  <c r="V372" i="9" s="1"/>
  <c r="W371" i="8"/>
  <c r="W372" i="9" s="1"/>
  <c r="X371" i="8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H372" i="8"/>
  <c r="I372" i="8"/>
  <c r="J372" i="8"/>
  <c r="K372" i="8"/>
  <c r="L372" i="8"/>
  <c r="L373" i="9" s="1"/>
  <c r="M372" i="8"/>
  <c r="M373" i="9" s="1"/>
  <c r="N372" i="8"/>
  <c r="N373" i="9" s="1"/>
  <c r="O372" i="8"/>
  <c r="P372" i="8"/>
  <c r="Q372" i="8"/>
  <c r="R372" i="8"/>
  <c r="S372" i="8"/>
  <c r="T372" i="8"/>
  <c r="T373" i="9" s="1"/>
  <c r="U372" i="8"/>
  <c r="U373" i="9" s="1"/>
  <c r="V372" i="8"/>
  <c r="V373" i="9" s="1"/>
  <c r="W372" i="8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W373" i="8"/>
  <c r="X373" i="8"/>
  <c r="X374" i="9" s="1"/>
  <c r="Y373" i="8"/>
  <c r="Z373" i="8"/>
  <c r="AA373" i="8"/>
  <c r="AA374" i="9" s="1"/>
  <c r="AB373" i="8"/>
  <c r="AC373" i="8"/>
  <c r="AC374" i="9" s="1"/>
  <c r="AD373" i="8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S369" i="9"/>
  <c r="AA369" i="9"/>
  <c r="I371" i="9"/>
  <c r="Q371" i="9"/>
  <c r="W371" i="9"/>
  <c r="Y371" i="9"/>
  <c r="AG371" i="9"/>
  <c r="G373" i="9"/>
  <c r="K373" i="9"/>
  <c r="O373" i="9"/>
  <c r="S373" i="9"/>
  <c r="W373" i="9"/>
  <c r="AE373" i="9"/>
  <c r="F374" i="9"/>
  <c r="N374" i="9"/>
  <c r="V374" i="9"/>
  <c r="AB374" i="9"/>
  <c r="AD374" i="9"/>
  <c r="G367" i="9"/>
  <c r="H367" i="9"/>
  <c r="M367" i="9"/>
  <c r="N367" i="9"/>
  <c r="O367" i="9"/>
  <c r="P367" i="9"/>
  <c r="S367" i="9"/>
  <c r="U367" i="9"/>
  <c r="V367" i="9"/>
  <c r="W367" i="9"/>
  <c r="AC367" i="9"/>
  <c r="AF367" i="9"/>
  <c r="F368" i="9"/>
  <c r="G368" i="9"/>
  <c r="M368" i="9"/>
  <c r="N368" i="9"/>
  <c r="O368" i="9"/>
  <c r="T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M371" i="9"/>
  <c r="R371" i="9"/>
  <c r="S371" i="9"/>
  <c r="T371" i="9"/>
  <c r="Z371" i="9"/>
  <c r="AA371" i="9"/>
  <c r="AB371" i="9"/>
  <c r="G372" i="9"/>
  <c r="H372" i="9"/>
  <c r="I372" i="9"/>
  <c r="J372" i="9"/>
  <c r="K372" i="9"/>
  <c r="L372" i="9"/>
  <c r="P372" i="9"/>
  <c r="Q372" i="9"/>
  <c r="R372" i="9"/>
  <c r="S372" i="9"/>
  <c r="U372" i="9"/>
  <c r="X372" i="9"/>
  <c r="Z372" i="9"/>
  <c r="AA372" i="9"/>
  <c r="AG372" i="9"/>
  <c r="H373" i="9"/>
  <c r="I373" i="9"/>
  <c r="J373" i="9"/>
  <c r="P373" i="9"/>
  <c r="Q373" i="9"/>
  <c r="R373" i="9"/>
  <c r="Y373" i="9"/>
  <c r="Z373" i="9"/>
  <c r="AD373" i="9"/>
  <c r="AG373" i="9"/>
  <c r="G374" i="9"/>
  <c r="H374" i="9"/>
  <c r="I374" i="9"/>
  <c r="O374" i="9"/>
  <c r="P374" i="9"/>
  <c r="Q374" i="9"/>
  <c r="W374" i="9"/>
  <c r="Y374" i="9"/>
  <c r="Z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B369" i="11"/>
  <c r="AC369" i="11"/>
  <c r="AD369" i="21"/>
  <c r="AE369" i="21"/>
  <c r="AF369" i="11"/>
  <c r="O368" i="10"/>
  <c r="P368" i="21"/>
  <c r="Q368" i="10"/>
  <c r="U368" i="11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M368" i="11"/>
  <c r="N368" i="10"/>
  <c r="E369" i="11"/>
  <c r="F369" i="11"/>
  <c r="G369" i="21"/>
  <c r="H369" i="11"/>
  <c r="L369" i="11"/>
  <c r="M369" i="11"/>
  <c r="N369" i="11"/>
  <c r="A368" i="10"/>
  <c r="B368" i="10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N328" i="2" l="1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D24" i="14" s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D23" i="14" s="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D12" i="14" s="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O2" i="21"/>
  <c r="D11" i="14" s="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D22" i="14" s="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D26" i="14" s="1"/>
  <c r="AE367" i="10"/>
  <c r="AE367" i="21"/>
  <c r="AC2" i="21"/>
  <c r="D25" i="14" s="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D19" i="14" l="1"/>
  <c r="D20" i="14"/>
  <c r="D21" i="14"/>
  <c r="D18" i="14"/>
  <c r="AH2" i="11"/>
  <c r="AD2" i="10"/>
  <c r="C26" i="14" s="1"/>
  <c r="AE2" i="10"/>
  <c r="C27" i="14" s="1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D27" i="14" s="1"/>
  <c r="AF2" i="21"/>
  <c r="AB2" i="10"/>
  <c r="C24" i="14" s="1"/>
  <c r="AC2" i="10"/>
  <c r="C25" i="14" s="1"/>
  <c r="AA2" i="10"/>
  <c r="C23" i="14" s="1"/>
  <c r="K2" i="10"/>
  <c r="C7" i="14" s="1"/>
  <c r="AG2" i="11"/>
  <c r="Z2" i="10"/>
  <c r="C22" i="14" s="1"/>
  <c r="X2" i="10"/>
  <c r="Y2" i="10"/>
  <c r="W2" i="10"/>
  <c r="V2" i="10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B24" i="14" s="1"/>
  <c r="V2" i="11"/>
  <c r="G2" i="11"/>
  <c r="Q2" i="11"/>
  <c r="B13" i="14" s="1"/>
  <c r="K2" i="11"/>
  <c r="B7" i="14" s="1"/>
  <c r="AA2" i="11"/>
  <c r="B23" i="14" s="1"/>
  <c r="L2" i="11"/>
  <c r="B8" i="14" s="1"/>
  <c r="AC2" i="11"/>
  <c r="B25" i="14" s="1"/>
  <c r="F2" i="11"/>
  <c r="B2" i="14" s="1"/>
  <c r="U2" i="11"/>
  <c r="B17" i="14" s="1"/>
  <c r="AE2" i="11"/>
  <c r="AF2" i="11"/>
  <c r="X2" i="11"/>
  <c r="AD2" i="11"/>
  <c r="B26" i="14" s="1"/>
  <c r="Y2" i="11"/>
  <c r="Z2" i="11"/>
  <c r="B22" i="14" s="1"/>
  <c r="S2" i="11"/>
  <c r="B15" i="14" s="1"/>
  <c r="M2" i="11"/>
  <c r="B9" i="14" s="1"/>
  <c r="H2" i="11"/>
  <c r="T2" i="11"/>
  <c r="B16" i="14" s="1"/>
  <c r="N2" i="11"/>
  <c r="B10" i="14" s="1"/>
  <c r="I2" i="11"/>
  <c r="B5" i="14" s="1"/>
  <c r="J2" i="11"/>
  <c r="B6" i="14" s="1"/>
  <c r="W2" i="11"/>
  <c r="I2" i="10"/>
  <c r="C5" i="14" s="1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B27" i="14" l="1"/>
  <c r="E27" i="14" s="1"/>
  <c r="C19" i="14"/>
  <c r="C21" i="14"/>
  <c r="E26" i="14"/>
  <c r="G26" i="14" s="1"/>
  <c r="C20" i="14"/>
  <c r="B21" i="14"/>
  <c r="E25" i="14"/>
  <c r="G25" i="14" s="1"/>
  <c r="B20" i="14"/>
  <c r="B19" i="14"/>
  <c r="E5" i="14"/>
  <c r="G5" i="14" s="1"/>
  <c r="E15" i="14"/>
  <c r="G15" i="14" s="1"/>
  <c r="E13" i="14"/>
  <c r="G13" i="14" s="1"/>
  <c r="E8" i="14"/>
  <c r="G8" i="14" s="1"/>
  <c r="E14" i="14"/>
  <c r="G14" i="14" s="1"/>
  <c r="E9" i="14"/>
  <c r="G9" i="14" s="1"/>
  <c r="E10" i="14"/>
  <c r="G10" i="14" s="1"/>
  <c r="E16" i="14"/>
  <c r="G16" i="14" s="1"/>
  <c r="E7" i="14"/>
  <c r="G7" i="14" s="1"/>
  <c r="E11" i="14"/>
  <c r="G11" i="14" s="1"/>
  <c r="E17" i="14"/>
  <c r="G17" i="14" s="1"/>
  <c r="E6" i="14"/>
  <c r="G6" i="14" s="1"/>
  <c r="B18" i="14"/>
  <c r="E12" i="14"/>
  <c r="G12" i="14" s="1"/>
  <c r="C18" i="14"/>
  <c r="E2" i="14"/>
  <c r="G2" i="14" s="1"/>
  <c r="E21" i="14" l="1"/>
  <c r="G21" i="14" s="1"/>
  <c r="E19" i="14"/>
  <c r="G19" i="14" s="1"/>
  <c r="E24" i="14"/>
  <c r="G24" i="14" s="1"/>
  <c r="E20" i="14"/>
  <c r="G20" i="14" s="1"/>
  <c r="E23" i="14"/>
  <c r="G23" i="14" s="1"/>
  <c r="E18" i="14"/>
  <c r="G18" i="14" s="1"/>
  <c r="E22" i="14"/>
  <c r="G2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<sst xmlns="http://schemas.openxmlformats.org/spreadsheetml/2006/main" count="3635" uniqueCount="1351">
  <si>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</si>
  <si>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</si>
  <si>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</si>
  <si>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</si>
  <si>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</si>
  <si>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</si>
  <si>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</si>
  <si>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</si>
  <si>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</si>
  <si>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</si>
  <si>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</si>
  <si>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</si>
  <si>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</si>
  <si>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</si>
  <si>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</si>
  <si>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</si>
  <si>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</si>
  <si>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</si>
  <si>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</si>
  <si>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</si>
  <si>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</si>
  <si>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</si>
  <si>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</si>
  <si>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</si>
  <si>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</si>
  <si>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</si>
  <si>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</si>
  <si>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</si>
  <si>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</si>
  <si>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</si>
  <si>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</si>
  <si>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</si>
  <si>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</si>
  <si>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</si>
  <si>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</si>
  <si>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</si>
  <si>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</si>
  <si>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</si>
  <si>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</si>
  <si>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</si>
  <si>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</si>
  <si>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</si>
  <si>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</si>
  <si>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</si>
  <si>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</si>
  <si>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</si>
  <si>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</si>
  <si>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</si>
  <si>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</si>
  <si>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</si>
  <si>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</si>
  <si>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</si>
  <si>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</si>
  <si>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</si>
  <si>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</si>
  <si>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</si>
  <si>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</si>
  <si>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</si>
  <si>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</si>
  <si>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</si>
  <si>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</si>
  <si>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</si>
  <si>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</si>
  <si>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</si>
  <si>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</si>
  <si>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</si>
  <si>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</si>
  <si>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</si>
  <si>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</si>
  <si>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</si>
  <si>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</si>
  <si>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</si>
  <si>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</si>
  <si>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</si>
  <si>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</si>
  <si>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</si>
  <si>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</si>
  <si>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</si>
  <si>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</si>
  <si>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</si>
  <si>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</si>
  <si>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</si>
  <si>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</si>
  <si>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</si>
  <si>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</si>
  <si>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</si>
  <si>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</si>
  <si>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</si>
  <si>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</si>
  <si>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</si>
  <si>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</si>
  <si>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</si>
  <si>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</si>
  <si>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</si>
  <si>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</si>
  <si>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</si>
  <si>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</si>
  <si>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</si>
  <si>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</si>
  <si>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</si>
  <si>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</si>
  <si>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</si>
  <si>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</si>
  <si>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</si>
  <si>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</si>
  <si>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</si>
  <si>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</si>
  <si>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</si>
  <si>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</si>
  <si>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</si>
  <si>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</si>
  <si>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</si>
  <si>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</si>
  <si>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</si>
  <si>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</si>
  <si>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</si>
  <si>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</si>
  <si>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</si>
  <si>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</si>
  <si>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</si>
  <si>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</si>
  <si>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</si>
  <si>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</si>
  <si>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</si>
  <si>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</si>
  <si>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</si>
  <si>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</si>
  <si>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</si>
  <si>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</si>
  <si>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</si>
  <si>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</si>
  <si>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</si>
  <si>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</si>
  <si>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</si>
  <si>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</si>
  <si>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</si>
  <si>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</si>
  <si>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</si>
  <si>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</si>
  <si>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</si>
  <si>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</si>
  <si>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</si>
  <si>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</si>
  <si>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</si>
  <si>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</si>
  <si>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</si>
  <si>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</si>
  <si>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</si>
  <si>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</si>
  <si>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</si>
  <si>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</si>
  <si>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</si>
  <si>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</si>
  <si>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</si>
  <si>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</si>
  <si>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</si>
  <si>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</si>
  <si>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</si>
  <si>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</si>
  <si>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</si>
  <si>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</si>
  <si>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</si>
  <si>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</si>
  <si>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</si>
  <si>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</si>
  <si>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</si>
  <si>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</si>
  <si>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</si>
  <si>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</si>
  <si>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</si>
  <si>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</si>
  <si>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</si>
  <si>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</si>
  <si>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</si>
  <si>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</si>
  <si>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</si>
  <si>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</si>
  <si>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</si>
  <si>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</si>
  <si>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</si>
  <si>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</si>
  <si>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</si>
  <si>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</si>
  <si>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</si>
  <si>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</si>
  <si>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</si>
  <si>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</si>
  <si>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</si>
  <si>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</si>
  <si>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</si>
  <si>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</si>
  <si>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</si>
  <si>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</si>
  <si>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</si>
  <si>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</si>
  <si>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</si>
  <si>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</si>
  <si>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</si>
  <si>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</si>
  <si>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</si>
  <si>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</si>
  <si>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</si>
  <si>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</si>
  <si>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</si>
  <si>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</si>
  <si>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</si>
  <si>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</si>
  <si>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</si>
  <si>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</si>
  <si>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</si>
  <si>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</si>
  <si>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</si>
  <si>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</si>
  <si>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</si>
  <si>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</si>
  <si>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</si>
  <si>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</si>
  <si>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</si>
  <si>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</si>
  <si>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</si>
  <si>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</si>
  <si>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</si>
  <si>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</si>
  <si>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</si>
  <si>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</si>
  <si>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</si>
  <si>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</si>
  <si>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</si>
  <si>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</si>
  <si>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</si>
  <si>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</si>
  <si>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</si>
  <si>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</si>
  <si>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</si>
  <si>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</si>
  <si>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</si>
  <si>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</si>
  <si>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</si>
  <si>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</si>
  <si>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</si>
  <si>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</si>
  <si>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</si>
  <si>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</si>
  <si>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</si>
  <si>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</si>
  <si>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</si>
  <si>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</si>
  <si>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</si>
  <si>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</si>
  <si>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</si>
  <si>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</si>
  <si>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</si>
  <si>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</si>
  <si>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</si>
  <si>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</si>
  <si>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</si>
  <si>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</si>
  <si>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</si>
  <si>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</si>
  <si>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</si>
  <si>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</si>
  <si>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</si>
  <si>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</si>
  <si>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</si>
  <si>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</si>
  <si>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</si>
  <si>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</si>
  <si>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</si>
  <si>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</si>
  <si>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</si>
  <si>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</si>
  <si>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</si>
  <si>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</si>
  <si>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</si>
  <si>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</si>
  <si>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</si>
  <si>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</si>
  <si>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</si>
  <si>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</si>
  <si>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</si>
  <si>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</si>
  <si>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</si>
  <si>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</si>
  <si>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</si>
  <si>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</si>
  <si>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</si>
  <si>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</si>
  <si>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</si>
  <si>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</si>
  <si>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</si>
  <si>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</si>
  <si>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</si>
  <si>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</si>
  <si>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</si>
  <si>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</si>
  <si>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</si>
  <si>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</si>
  <si>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</si>
  <si>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</si>
  <si>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</si>
  <si>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</si>
  <si>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</si>
  <si>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</si>
  <si>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</si>
  <si>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</si>
  <si>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</si>
  <si>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</si>
  <si>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</si>
  <si>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</si>
  <si>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</si>
  <si>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</si>
  <si>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</si>
  <si>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</si>
  <si>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</si>
  <si>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</si>
  <si>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</si>
  <si>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</si>
  <si>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</si>
  <si>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</si>
  <si>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</si>
  <si>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</si>
  <si>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</si>
  <si>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</si>
  <si>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</si>
  <si>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</si>
  <si>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</si>
  <si>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</si>
  <si>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</si>
  <si>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</si>
  <si>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</si>
  <si>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</si>
  <si>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</si>
  <si>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</si>
  <si>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</si>
  <si>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</si>
  <si>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</si>
  <si>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</si>
  <si>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</si>
  <si>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</si>
  <si>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</si>
  <si>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</si>
  <si>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</si>
  <si>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</si>
  <si>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</si>
  <si>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</si>
  <si>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</si>
  <si>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</si>
  <si>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</si>
  <si>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</si>
  <si>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</si>
  <si>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</si>
  <si>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</si>
  <si>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</si>
  <si>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</si>
  <si>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</si>
  <si>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</si>
  <si>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</si>
  <si>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</si>
  <si>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</si>
  <si>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</si>
  <si>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</si>
  <si>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</si>
  <si>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</si>
  <si>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</si>
  <si>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</si>
  <si>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</si>
  <si>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</si>
  <si>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</si>
  <si>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</si>
  <si>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</si>
  <si>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</si>
  <si>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</si>
  <si>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</si>
  <si>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</si>
  <si>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</si>
  <si>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</si>
  <si>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</si>
  <si>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</si>
  <si>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</si>
  <si>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</si>
  <si>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</si>
  <si>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</si>
  <si>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</si>
  <si>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</si>
  <si>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</si>
  <si>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</si>
  <si>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</si>
  <si>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</si>
  <si>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</si>
  <si>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</si>
  <si>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</si>
  <si>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</si>
  <si>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</si>
  <si>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</si>
  <si>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</si>
  <si>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</si>
  <si>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</si>
  <si>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</si>
  <si>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</si>
  <si>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</si>
  <si>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</si>
  <si>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</si>
  <si>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</si>
  <si>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</si>
  <si>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</si>
  <si>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</si>
  <si>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</si>
  <si>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</si>
  <si>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</si>
  <si>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</si>
  <si>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</si>
  <si>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</si>
  <si>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</si>
  <si>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</si>
  <si>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</si>
  <si>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</si>
  <si>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</si>
  <si>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</si>
  <si>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</si>
  <si>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</si>
  <si>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</si>
  <si>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</si>
  <si>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</si>
  <si>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</si>
  <si>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</si>
  <si>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</si>
  <si>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</si>
  <si>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</si>
  <si>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</si>
  <si>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</si>
  <si>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</si>
  <si>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</si>
  <si>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</si>
  <si>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</si>
  <si>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</si>
  <si>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</si>
  <si>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</si>
  <si>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</si>
  <si>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</si>
  <si>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</si>
  <si>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</si>
  <si>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</si>
  <si>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</si>
  <si>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</si>
  <si>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</si>
  <si>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</si>
  <si>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</si>
  <si>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</si>
  <si>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</si>
  <si>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</si>
  <si>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</si>
  <si>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</si>
  <si>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</si>
  <si>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</si>
  <si>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</si>
  <si>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</si>
  <si>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</si>
  <si>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</si>
  <si>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</si>
  <si>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</si>
  <si>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</si>
  <si>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</si>
  <si>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</si>
  <si>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</si>
  <si>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</si>
  <si>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</si>
  <si>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</si>
  <si>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</si>
  <si>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</si>
  <si>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</si>
  <si>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</si>
  <si>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</si>
  <si>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</si>
  <si>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</si>
  <si>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</si>
  <si>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</si>
  <si>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</si>
  <si>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</si>
  <si>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</si>
  <si>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</si>
  <si>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</si>
  <si>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</si>
  <si>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</si>
  <si>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</si>
  <si>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</si>
  <si>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</si>
  <si>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</si>
  <si>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</si>
  <si>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</si>
  <si>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</si>
  <si>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</si>
  <si>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</si>
  <si>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</si>
  <si>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</si>
  <si>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</si>
  <si>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</si>
  <si>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</si>
  <si>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</si>
  <si>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</si>
  <si>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</si>
  <si>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</si>
  <si>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</si>
  <si>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</si>
  <si>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</si>
  <si>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</si>
  <si>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</si>
  <si>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</si>
  <si>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</si>
  <si>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</si>
  <si>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</si>
  <si>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</si>
  <si>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</si>
  <si>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</si>
  <si>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</si>
  <si>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</si>
  <si>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</si>
  <si>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</si>
  <si>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</si>
  <si>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</si>
  <si>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</si>
  <si>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</si>
  <si>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</si>
  <si>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</si>
  <si>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</si>
  <si>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</si>
  <si>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</si>
  <si>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</si>
  <si>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</si>
  <si>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</si>
  <si>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</si>
  <si>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</si>
  <si>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</si>
  <si>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</si>
  <si>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</si>
  <si>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</si>
  <si>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</si>
  <si>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</si>
  <si>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</si>
  <si>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</si>
  <si>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</si>
  <si>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</si>
  <si>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</si>
  <si>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</si>
  <si>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</si>
  <si>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</si>
  <si>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</si>
  <si>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</si>
  <si>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</si>
  <si>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</si>
  <si>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</si>
  <si>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</si>
  <si>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</si>
  <si>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</si>
  <si>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</si>
  <si>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</si>
  <si>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</si>
  <si>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</si>
  <si>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</si>
  <si>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</si>
  <si>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</si>
  <si>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</si>
  <si>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</si>
  <si>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</si>
  <si>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</si>
  <si>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</si>
  <si>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</si>
  <si>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</si>
  <si>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</si>
  <si>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</si>
  <si>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</si>
  <si>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</si>
  <si>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</si>
  <si>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</si>
  <si>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</si>
  <si>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</si>
  <si>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</si>
  <si>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</si>
  <si>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</si>
  <si>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</si>
  <si>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</si>
  <si>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</si>
  <si>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</si>
  <si>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</si>
  <si>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</si>
  <si>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</si>
  <si>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</si>
  <si>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</si>
  <si>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</si>
  <si>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</si>
  <si>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</si>
  <si>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</si>
  <si>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</si>
  <si>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</si>
  <si>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</si>
  <si>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</si>
  <si>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</si>
  <si>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</si>
  <si>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</si>
  <si>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</si>
  <si>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</si>
  <si>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</si>
  <si>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</si>
  <si>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</si>
  <si>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</si>
  <si>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</si>
  <si>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</si>
  <si>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</si>
  <si>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</si>
  <si>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</si>
  <si>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</si>
  <si>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</si>
  <si>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</si>
  <si>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</si>
  <si>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</si>
  <si>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</si>
  <si>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</si>
  <si>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</si>
  <si>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</si>
  <si>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</si>
  <si>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</si>
  <si>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</si>
  <si>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</si>
  <si>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</si>
  <si>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</si>
  <si>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</si>
  <si>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</si>
  <si>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</si>
  <si>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</si>
  <si>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</si>
  <si>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</si>
  <si>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</si>
  <si>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</si>
  <si>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</si>
  <si>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</si>
  <si>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</si>
  <si>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</si>
  <si>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</si>
  <si>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</si>
  <si>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</si>
  <si>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</si>
  <si>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</si>
  <si>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</si>
  <si>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</si>
  <si>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</si>
  <si>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</si>
  <si>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</si>
  <si>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</si>
  <si>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</si>
  <si>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</si>
  <si>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</si>
  <si>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</si>
  <si>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</si>
  <si>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</si>
  <si>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</si>
  <si>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</si>
  <si>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</si>
  <si>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</si>
  <si>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</si>
  <si>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</si>
  <si>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</si>
  <si>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</si>
  <si>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</si>
  <si>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</si>
  <si>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</si>
  <si>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</si>
  <si>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</si>
  <si>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</si>
  <si>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</si>
  <si>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</si>
  <si>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</si>
  <si>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</si>
  <si>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</si>
  <si>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</si>
  <si>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</si>
  <si>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</si>
  <si>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</si>
  <si>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</si>
  <si>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</si>
  <si>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</si>
  <si>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</si>
  <si>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</si>
  <si>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</si>
  <si>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</si>
  <si>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</si>
  <si>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</si>
  <si>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</si>
  <si>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</si>
  <si>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</si>
  <si>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</si>
  <si>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</si>
  <si>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</si>
  <si>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</si>
  <si>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</si>
  <si>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</si>
  <si>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</si>
  <si>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</si>
  <si>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</si>
  <si>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</si>
  <si>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</si>
  <si>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</si>
  <si>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</si>
  <si>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</si>
  <si>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</si>
  <si>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</si>
  <si>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</si>
  <si>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</si>
  <si>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</si>
  <si>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</si>
  <si>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</si>
  <si>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</si>
  <si>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</si>
  <si>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</si>
  <si>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</si>
  <si>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</si>
  <si>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</si>
  <si>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</si>
  <si>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</si>
  <si>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</si>
  <si>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</si>
  <si>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</si>
  <si>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</si>
  <si>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</si>
  <si>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</si>
  <si>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</si>
  <si>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</si>
  <si>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</si>
  <si>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</si>
  <si>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</si>
  <si>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</si>
  <si>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</si>
  <si>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</si>
  <si>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</si>
  <si>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</si>
  <si>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</si>
  <si>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</si>
  <si>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</si>
  <si>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</si>
  <si>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</si>
  <si>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</si>
  <si>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</si>
  <si>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</si>
  <si>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</si>
  <si>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</si>
  <si>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</si>
  <si>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</si>
  <si>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</si>
  <si>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</si>
  <si>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</si>
  <si>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</si>
  <si>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</si>
  <si>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</si>
  <si>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</si>
  <si>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</si>
  <si>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</si>
  <si>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</si>
  <si>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</si>
  <si>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</si>
  <si>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</si>
  <si>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</si>
  <si>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</si>
  <si>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</si>
  <si>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</si>
  <si>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</si>
  <si>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</si>
  <si>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</si>
  <si>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</si>
  <si>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</si>
  <si>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</si>
  <si>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</si>
  <si>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</si>
  <si>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</si>
  <si>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</si>
  <si>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</si>
  <si>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</si>
  <si>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</si>
  <si>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</si>
  <si>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</si>
  <si>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</si>
  <si>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</si>
  <si>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</si>
  <si>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</si>
  <si>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</si>
  <si>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</si>
  <si>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</si>
  <si>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</si>
  <si>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</si>
  <si>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</si>
  <si>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</si>
  <si>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</si>
  <si>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</si>
  <si>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</si>
  <si>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</si>
  <si>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</si>
  <si>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</si>
  <si>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</si>
  <si>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</si>
  <si>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</si>
  <si>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</si>
  <si>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</si>
  <si>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</si>
  <si>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</si>
  <si>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</si>
  <si>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</si>
  <si>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</si>
  <si>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</si>
  <si>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</si>
  <si>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</si>
  <si>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</si>
  <si>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</si>
  <si>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</si>
  <si>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</si>
  <si>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</si>
  <si>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</si>
  <si>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</si>
  <si>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</si>
  <si>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</si>
  <si>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</si>
  <si>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</si>
  <si>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</si>
  <si>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</si>
  <si>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</si>
  <si>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</si>
  <si>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</si>
  <si>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</si>
  <si>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</si>
  <si>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</si>
  <si>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</si>
  <si>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</si>
  <si>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</si>
  <si>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</si>
  <si>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</si>
  <si>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</si>
  <si>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</si>
  <si>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</si>
  <si>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</si>
  <si>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</si>
  <si>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</si>
  <si>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</si>
  <si>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</si>
  <si>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</si>
  <si>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</si>
  <si>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</si>
  <si>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</si>
  <si>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</si>
  <si>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</si>
  <si>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</si>
  <si>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</si>
  <si>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</si>
  <si>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</si>
  <si>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</si>
  <si>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</si>
  <si>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</si>
  <si>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</si>
  <si>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</si>
  <si>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</si>
  <si>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</si>
  <si>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</si>
  <si>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</si>
  <si>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</si>
  <si>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</si>
  <si>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</si>
  <si>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</si>
  <si>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</si>
  <si>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</si>
  <si>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</si>
  <si>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</si>
  <si>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</si>
  <si>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</si>
  <si>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</si>
  <si>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</si>
  <si>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</si>
  <si>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</si>
  <si>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</si>
  <si>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</si>
  <si>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</si>
  <si>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</si>
  <si>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</si>
  <si>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</si>
  <si>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</si>
  <si>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</si>
  <si>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</si>
  <si>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</si>
  <si>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</si>
  <si>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</si>
  <si>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</si>
  <si>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</si>
  <si>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</si>
  <si>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</si>
  <si>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</si>
  <si>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</si>
  <si>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</si>
  <si>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</si>
  <si>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</si>
  <si>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</si>
  <si>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</si>
  <si>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</si>
  <si>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</si>
  <si>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</si>
  <si>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</si>
  <si>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</si>
  <si>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</si>
  <si>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</si>
  <si>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</si>
  <si>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</si>
  <si>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</si>
  <si>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</si>
  <si>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</si>
  <si>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</si>
  <si>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</si>
  <si>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</si>
  <si>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</si>
  <si>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</si>
  <si>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</si>
  <si>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</si>
  <si>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</si>
  <si>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</si>
  <si>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</si>
  <si>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</si>
  <si>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</si>
  <si>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</si>
  <si>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</si>
  <si>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</si>
  <si>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</si>
  <si>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</si>
  <si>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</si>
  <si>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</si>
  <si>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</si>
  <si>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</si>
  <si>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</si>
  <si>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</si>
  <si>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</si>
  <si>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</si>
  <si>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</si>
  <si>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</si>
  <si>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</si>
  <si>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</si>
  <si>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</si>
  <si>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</si>
  <si>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</si>
  <si>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</si>
  <si>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</si>
  <si>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</si>
  <si>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</si>
  <si>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</si>
  <si>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</si>
  <si>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</si>
  <si>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</si>
  <si>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</si>
  <si>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</si>
  <si>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</si>
  <si>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</si>
  <si>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</si>
  <si>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</si>
  <si>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</si>
  <si>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</si>
  <si>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</si>
  <si>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</si>
  <si>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</si>
  <si>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</si>
  <si>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</si>
  <si>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</si>
  <si>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</si>
  <si>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</si>
  <si>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</si>
  <si>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</si>
  <si>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</si>
  <si>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</si>
  <si>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</si>
  <si>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</si>
  <si>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</si>
  <si>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</si>
  <si>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</si>
  <si>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</si>
  <si>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</si>
  <si>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</si>
  <si>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</si>
  <si>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</si>
  <si>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</si>
  <si>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</si>
  <si>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</si>
  <si>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</si>
  <si>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</si>
  <si>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</si>
  <si>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</si>
  <si>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</si>
  <si>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</si>
  <si>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</si>
  <si>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</si>
  <si>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</si>
  <si>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</si>
  <si>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</si>
  <si>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</si>
  <si>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</si>
  <si>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</si>
  <si>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</si>
  <si>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</si>
  <si>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</si>
  <si>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</si>
  <si>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</si>
  <si>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</si>
  <si>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</si>
  <si>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</si>
  <si>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</si>
  <si>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</si>
  <si>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</si>
  <si>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</si>
  <si>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</si>
  <si>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</si>
  <si>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</si>
  <si>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</si>
  <si>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</si>
  <si>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</si>
  <si>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</si>
  <si>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</si>
  <si>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</si>
  <si>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</si>
  <si>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</si>
  <si>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</si>
  <si>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</si>
  <si>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</si>
  <si>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</si>
  <si>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</si>
  <si>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</si>
  <si>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</si>
  <si>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</si>
  <si>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</si>
  <si>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</si>
  <si>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</si>
  <si>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</si>
  <si>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</si>
  <si>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</si>
  <si>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</si>
  <si>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</si>
  <si>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</si>
  <si>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</si>
  <si>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</si>
  <si>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</si>
  <si>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</si>
  <si>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</si>
  <si>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</si>
  <si>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</si>
  <si>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</si>
  <si>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</si>
  <si>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</si>
  <si>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</si>
  <si>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</si>
  <si>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</si>
  <si>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</si>
  <si>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</si>
  <si>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</si>
  <si>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</si>
  <si>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</si>
  <si>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</si>
  <si>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</si>
  <si>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</si>
  <si>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</si>
  <si>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</si>
  <si>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</si>
  <si>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</si>
  <si>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</si>
  <si>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</si>
  <si>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</si>
  <si>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</si>
  <si>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</si>
  <si>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</si>
  <si>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</si>
  <si>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</si>
  <si>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</si>
  <si>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</si>
  <si>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</si>
  <si>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</si>
  <si>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</si>
  <si>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</si>
  <si>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</si>
  <si>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</si>
  <si>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</si>
  <si>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</si>
  <si>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</si>
  <si>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</si>
  <si>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</si>
  <si>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</si>
  <si>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</si>
  <si>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</si>
  <si>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</si>
  <si>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</si>
  <si>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</si>
  <si>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</si>
  <si>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</si>
  <si>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</si>
  <si>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</si>
  <si>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</si>
  <si>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</si>
  <si>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</si>
  <si>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</si>
  <si>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</si>
  <si>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</si>
  <si>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</si>
  <si>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</si>
  <si>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</si>
  <si>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</si>
  <si>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</si>
  <si>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</si>
  <si>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</si>
  <si>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</si>
  <si>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</si>
  <si>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</si>
  <si>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</si>
  <si>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</si>
  <si>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</si>
  <si>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</si>
  <si>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</si>
  <si>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</si>
  <si>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</si>
  <si>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</si>
  <si>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</si>
  <si>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</si>
  <si>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</si>
  <si>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</si>
  <si>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</si>
  <si>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</si>
  <si>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</si>
  <si>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</si>
  <si>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</si>
  <si>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</si>
  <si>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</si>
  <si>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</si>
  <si>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</si>
  <si>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</si>
  <si>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</si>
  <si>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</si>
  <si>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</si>
  <si>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</si>
  <si>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</si>
  <si>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</si>
  <si>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</si>
  <si>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</si>
  <si>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</si>
  <si>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</si>
  <si>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</si>
  <si>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</si>
  <si>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</si>
  <si>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</si>
  <si>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</si>
  <si>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</si>
  <si>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</si>
  <si>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</si>
  <si>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</si>
  <si>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</si>
  <si>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</si>
  <si>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</si>
  <si>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</si>
  <si>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</si>
  <si>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</si>
  <si>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</si>
  <si>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</si>
  <si>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</si>
  <si>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</si>
  <si>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</si>
  <si>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</si>
  <si>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</si>
  <si>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</si>
  <si>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</si>
  <si>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</si>
  <si>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</si>
  <si>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</si>
  <si>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</si>
  <si>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</si>
  <si>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</si>
  <si>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</si>
  <si>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</si>
  <si>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</si>
  <si>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</si>
  <si>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</si>
  <si>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</si>
  <si>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</si>
  <si>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</si>
  <si>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</si>
  <si>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</si>
  <si>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</si>
  <si>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</si>
  <si>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</si>
  <si>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</si>
  <si>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</si>
  <si>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</si>
  <si>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</si>
  <si>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</si>
  <si>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</si>
  <si>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</si>
  <si>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</si>
  <si>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</si>
  <si>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</si>
  <si>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</si>
  <si>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</si>
  <si>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</si>
  <si>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</si>
  <si>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</si>
  <si>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</si>
  <si>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</si>
  <si>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</si>
  <si>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</si>
  <si>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</si>
  <si>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</si>
  <si>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</si>
  <si>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</si>
  <si>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</si>
  <si>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</si>
  <si>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</si>
  <si>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</si>
  <si>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</si>
  <si>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</si>
  <si>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</si>
  <si>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</si>
  <si>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</si>
  <si>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</si>
  <si>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</si>
  <si>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</si>
  <si>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</si>
  <si>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</si>
  <si>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</si>
  <si>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</si>
  <si>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</si>
  <si>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</si>
  <si>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</si>
  <si>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</si>
  <si>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</si>
  <si>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</si>
  <si>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</si>
  <si>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</si>
  <si>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</si>
  <si>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</si>
  <si>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</si>
  <si>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</si>
  <si>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</si>
  <si>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</si>
  <si>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</si>
  <si>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</si>
  <si>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</si>
  <si>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</si>
  <si>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</si>
  <si>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</si>
  <si>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</si>
  <si>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</si>
  <si>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</si>
  <si>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</si>
  <si>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</si>
  <si>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</si>
  <si>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</si>
  <si>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</si>
  <si>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</si>
  <si>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</si>
  <si>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</si>
  <si>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</si>
  <si>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</si>
  <si>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</si>
  <si>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</si>
  <si>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</si>
  <si>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</si>
  <si>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</si>
  <si>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</si>
  <si>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</si>
  <si>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</si>
  <si>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</si>
  <si>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</si>
  <si>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</si>
  <si>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</si>
  <si>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</si>
  <si>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</si>
  <si>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</si>
  <si>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</si>
  <si>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</si>
  <si>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</si>
  <si>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</si>
  <si>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</si>
  <si>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</si>
  <si>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</si>
  <si>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</si>
  <si>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</si>
  <si>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</si>
  <si>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</si>
  <si>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</si>
  <si>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</si>
  <si>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</si>
  <si>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</si>
  <si>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</si>
  <si>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</si>
  <si>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</si>
  <si>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</si>
  <si>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</si>
  <si>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</si>
  <si>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</si>
  <si>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</si>
  <si>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</si>
  <si>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</si>
  <si>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</si>
  <si>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</si>
  <si>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</si>
  <si>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</si>
  <si>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</si>
  <si>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</si>
  <si>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</si>
  <si>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</si>
  <si>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</si>
  <si>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</si>
  <si>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</si>
  <si>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</si>
  <si>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</si>
  <si>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</si>
  <si>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</si>
  <si>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</si>
  <si>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</si>
  <si>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</si>
  <si>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</si>
  <si>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</si>
  <si>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</si>
  <si>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</si>
  <si>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</si>
  <si>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</si>
  <si>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</si>
  <si>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</si>
  <si>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</si>
  <si>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</si>
  <si>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</si>
  <si>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</si>
  <si>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</si>
  <si>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</si>
  <si>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</si>
  <si>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</si>
  <si>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</si>
  <si>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</si>
  <si>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</si>
  <si>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</si>
  <si>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</si>
  <si>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</si>
  <si>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</si>
  <si>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</si>
  <si>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</si>
  <si>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</si>
  <si>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</si>
  <si>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</si>
  <si>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</si>
  <si>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</si>
  <si>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</si>
  <si>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</si>
  <si>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APAGADO</t>
  </si>
  <si>
    <t>172.20.11.87</t>
  </si>
  <si>
    <t>172.20.11.100</t>
  </si>
  <si>
    <t>APAGAD</t>
  </si>
  <si>
    <t>CASTELLI Y 25 DE MAYO</t>
  </si>
  <si>
    <t>172.20.11.114</t>
  </si>
  <si>
    <t>CEN75</t>
  </si>
  <si>
    <t>% APAGADOS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</si>
</sst>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11" borderId="0" xfId="0" applyFill="1" applyAlignment="1">
      <alignment horizontal="right"/>
    </xf>
    <xf numFmtId="0" fontId="0" fillId="0" borderId="0" xfId="0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orcentaje" xfId="1" builtinId="5"/>
  </cellStyles>
  <dxfs count="51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0.10187667560321716</c:v>
                </c:pt>
                <c:pt idx="1">
                  <c:v>9.1152815013404831E-2</c:v>
                </c:pt>
                <c:pt idx="2">
                  <c:v>9.1152815013404831E-2</c:v>
                </c:pt>
                <c:pt idx="3">
                  <c:v>9.6514745308310987E-2</c:v>
                </c:pt>
                <c:pt idx="4">
                  <c:v>8.5790884718498661E-2</c:v>
                </c:pt>
                <c:pt idx="5">
                  <c:v>6.7024128686327081E-2</c:v>
                </c:pt>
                <c:pt idx="6">
                  <c:v>9.1152815013404831E-2</c:v>
                </c:pt>
                <c:pt idx="7">
                  <c:v>6.7024128686327081E-2</c:v>
                </c:pt>
                <c:pt idx="8">
                  <c:v>6.9705093833780166E-2</c:v>
                </c:pt>
                <c:pt idx="9">
                  <c:v>6.9705093833780166E-2</c:v>
                </c:pt>
                <c:pt idx="10">
                  <c:v>0.11528150134048257</c:v>
                </c:pt>
                <c:pt idx="11">
                  <c:v>5.8981233243967826E-2</c:v>
                </c:pt>
                <c:pt idx="12">
                  <c:v>6.1662198391420911E-2</c:v>
                </c:pt>
                <c:pt idx="13">
                  <c:v>9.3833780160857902E-2</c:v>
                </c:pt>
                <c:pt idx="14">
                  <c:v>6.1662198391420911E-2</c:v>
                </c:pt>
                <c:pt idx="15">
                  <c:v>6.1662198391420911E-2</c:v>
                </c:pt>
                <c:pt idx="16">
                  <c:v>6.7024128686327081E-2</c:v>
                </c:pt>
                <c:pt idx="17">
                  <c:v>6.7024128686327081E-2</c:v>
                </c:pt>
                <c:pt idx="18">
                  <c:v>0.10991957104557641</c:v>
                </c:pt>
                <c:pt idx="19">
                  <c:v>9.9195710455764072E-2</c:v>
                </c:pt>
                <c:pt idx="20">
                  <c:v>9.1152815013404831E-2</c:v>
                </c:pt>
                <c:pt idx="21">
                  <c:v>8.8471849865951746E-2</c:v>
                </c:pt>
                <c:pt idx="22">
                  <c:v>7.2386058981233251E-2</c:v>
                </c:pt>
                <c:pt idx="23">
                  <c:v>6.9705093833780166E-2</c:v>
                </c:pt>
                <c:pt idx="24">
                  <c:v>0.16621983914209115</c:v>
                </c:pt>
                <c:pt idx="25">
                  <c:v>0.15281501340482573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9</c:v>
                </c:pt>
                <c:pt idx="21" formatCode="General">
                  <c:v>8</c:v>
                </c:pt>
                <c:pt idx="22" formatCode="General">
                  <c:v>7</c:v>
                </c:pt>
                <c:pt idx="23" formatCode="General">
                  <c:v>7</c:v>
                </c:pt>
                <c:pt idx="24" formatCode="General">
                  <c:v>17</c:v>
                </c:pt>
                <c:pt idx="25" formatCode="General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19</c:v>
                </c:pt>
                <c:pt idx="24">
                  <c:v>45</c:v>
                </c:pt>
                <c:pt idx="25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34</c:v>
                </c:pt>
                <c:pt idx="21">
                  <c:v>33</c:v>
                </c:pt>
                <c:pt idx="22">
                  <c:v>27</c:v>
                </c:pt>
                <c:pt idx="23">
                  <c:v>26</c:v>
                </c:pt>
                <c:pt idx="24">
                  <c:v>62</c:v>
                </c:pt>
                <c:pt idx="25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9</c:v>
                </c:pt>
                <c:pt idx="21" formatCode="General">
                  <c:v>8</c:v>
                </c:pt>
                <c:pt idx="22" formatCode="General">
                  <c:v>7</c:v>
                </c:pt>
                <c:pt idx="23" formatCode="General">
                  <c:v>7</c:v>
                </c:pt>
                <c:pt idx="24" formatCode="General">
                  <c:v>17</c:v>
                </c:pt>
                <c:pt idx="25" formatCode="General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19</c:v>
                </c:pt>
                <c:pt idx="24">
                  <c:v>45</c:v>
                </c:pt>
                <c:pt idx="2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34</c:v>
                </c:pt>
                <c:pt idx="21">
                  <c:v>33</c:v>
                </c:pt>
                <c:pt idx="22">
                  <c:v>27</c:v>
                </c:pt>
                <c:pt idx="23">
                  <c:v>26</c:v>
                </c:pt>
                <c:pt idx="24">
                  <c:v>62</c:v>
                </c:pt>
                <c:pt idx="25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9</c:v>
                </c:pt>
                <c:pt idx="21" formatCode="General">
                  <c:v>8</c:v>
                </c:pt>
                <c:pt idx="22" formatCode="General">
                  <c:v>7</c:v>
                </c:pt>
                <c:pt idx="23" formatCode="General">
                  <c:v>7</c:v>
                </c:pt>
                <c:pt idx="24" formatCode="General">
                  <c:v>17</c:v>
                </c:pt>
                <c:pt idx="25" formatCode="General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19</c:v>
                </c:pt>
                <c:pt idx="24">
                  <c:v>45</c:v>
                </c:pt>
                <c:pt idx="25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9</c:v>
                </c:pt>
                <c:pt idx="21" formatCode="General">
                  <c:v>8</c:v>
                </c:pt>
                <c:pt idx="22" formatCode="General">
                  <c:v>7</c:v>
                </c:pt>
                <c:pt idx="23" formatCode="General">
                  <c:v>7</c:v>
                </c:pt>
                <c:pt idx="24" formatCode="General">
                  <c:v>17</c:v>
                </c:pt>
                <c:pt idx="25" formatCode="General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19</c:v>
                </c:pt>
                <c:pt idx="24">
                  <c:v>45</c:v>
                </c:pt>
                <c:pt idx="2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34</c:v>
                </c:pt>
                <c:pt idx="21">
                  <c:v>33</c:v>
                </c:pt>
                <c:pt idx="22">
                  <c:v>27</c:v>
                </c:pt>
                <c:pt idx="23">
                  <c:v>26</c:v>
                </c:pt>
                <c:pt idx="24">
                  <c:v>62</c:v>
                </c:pt>
                <c:pt idx="25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d\-mmm</c:formatCode>
                <c:ptCount val="30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9</c:v>
                </c:pt>
                <c:pt idx="21" formatCode="General">
                  <c:v>8</c:v>
                </c:pt>
                <c:pt idx="22" formatCode="General">
                  <c:v>7</c:v>
                </c:pt>
                <c:pt idx="23" formatCode="General">
                  <c:v>7</c:v>
                </c:pt>
                <c:pt idx="24" formatCode="General">
                  <c:v>17</c:v>
                </c:pt>
                <c:pt idx="25" formatCode="General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19</c:v>
                </c:pt>
                <c:pt idx="24">
                  <c:v>45</c:v>
                </c:pt>
                <c:pt idx="25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34</c:v>
                </c:pt>
                <c:pt idx="21">
                  <c:v>33</c:v>
                </c:pt>
                <c:pt idx="22">
                  <c:v>27</c:v>
                </c:pt>
                <c:pt idx="23">
                  <c:v>26</c:v>
                </c:pt>
                <c:pt idx="24">
                  <c:v>62</c:v>
                </c:pt>
                <c:pt idx="25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0.10187667560321716</c:v>
                </c:pt>
                <c:pt idx="1">
                  <c:v>9.1152815013404831E-2</c:v>
                </c:pt>
                <c:pt idx="2">
                  <c:v>9.1152815013404831E-2</c:v>
                </c:pt>
                <c:pt idx="3">
                  <c:v>9.6514745308310987E-2</c:v>
                </c:pt>
                <c:pt idx="4">
                  <c:v>8.5790884718498661E-2</c:v>
                </c:pt>
                <c:pt idx="5">
                  <c:v>6.7024128686327081E-2</c:v>
                </c:pt>
                <c:pt idx="6">
                  <c:v>9.1152815013404831E-2</c:v>
                </c:pt>
                <c:pt idx="7">
                  <c:v>6.7024128686327081E-2</c:v>
                </c:pt>
                <c:pt idx="8">
                  <c:v>6.9705093833780166E-2</c:v>
                </c:pt>
                <c:pt idx="9">
                  <c:v>6.9705093833780166E-2</c:v>
                </c:pt>
                <c:pt idx="10">
                  <c:v>0.11528150134048257</c:v>
                </c:pt>
                <c:pt idx="11">
                  <c:v>5.8981233243967826E-2</c:v>
                </c:pt>
                <c:pt idx="12">
                  <c:v>6.1662198391420911E-2</c:v>
                </c:pt>
                <c:pt idx="13">
                  <c:v>9.3833780160857902E-2</c:v>
                </c:pt>
                <c:pt idx="14">
                  <c:v>6.1662198391420911E-2</c:v>
                </c:pt>
                <c:pt idx="15">
                  <c:v>6.1662198391420911E-2</c:v>
                </c:pt>
                <c:pt idx="16">
                  <c:v>6.7024128686327081E-2</c:v>
                </c:pt>
                <c:pt idx="17">
                  <c:v>6.7024128686327081E-2</c:v>
                </c:pt>
                <c:pt idx="18">
                  <c:v>0.10991957104557641</c:v>
                </c:pt>
                <c:pt idx="19">
                  <c:v>9.9195710455764072E-2</c:v>
                </c:pt>
                <c:pt idx="20">
                  <c:v>9.1152815013404831E-2</c:v>
                </c:pt>
                <c:pt idx="21">
                  <c:v>8.8471849865951746E-2</c:v>
                </c:pt>
                <c:pt idx="22">
                  <c:v>7.2386058981233251E-2</c:v>
                </c:pt>
                <c:pt idx="23">
                  <c:v>6.9705093833780166E-2</c:v>
                </c:pt>
                <c:pt idx="24">
                  <c:v>0.16621983914209115</c:v>
                </c:pt>
                <c:pt idx="25">
                  <c:v>0.15281501340482573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90" zoomScaleNormal="90" workbookViewId="0">
      <pane xSplit="14" ySplit="4" topLeftCell="AP7" activePane="bottomRight" state="frozen"/>
      <selection pane="topRight" activeCell="M1" sqref="M1"/>
      <selection pane="bottomLeft" activeCell="A5" sqref="A5"/>
      <selection pane="bottomRight" activeCell="AP15" sqref="AP15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44" width="8.7109375" style="22" customWidth="1"/>
  </cols>
  <sheetData>
    <row r="1" spans="1:44" s="5" customFormat="1" ht="27.75" customHeight="1" thickTop="1" x14ac:dyDescent="0.25">
      <c r="A1" s="1" t="s">
        <v>0</v>
      </c>
      <c r="B1" s="56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0.10326086956521739</v>
      </c>
      <c r="P1" s="4">
        <f t="shared" si="0"/>
        <v>0</v>
      </c>
      <c r="Q1" s="4">
        <f t="shared" si="0"/>
        <v>0</v>
      </c>
      <c r="R1" s="4">
        <f t="shared" si="0"/>
        <v>9.7826086956521743E-2</v>
      </c>
      <c r="S1" s="4">
        <f t="shared" si="0"/>
        <v>8.7193460490463212E-2</v>
      </c>
      <c r="T1" s="4">
        <f t="shared" si="0"/>
        <v>6.7934782608695649E-2</v>
      </c>
      <c r="U1" s="4">
        <f t="shared" si="0"/>
        <v>9.2391304347826081E-2</v>
      </c>
      <c r="V1" s="4">
        <f t="shared" si="0"/>
        <v>6.7934782608695649E-2</v>
      </c>
      <c r="W1" s="4">
        <f t="shared" si="0"/>
        <v>7.3369565217391311E-2</v>
      </c>
      <c r="X1" s="4">
        <f t="shared" si="0"/>
        <v>7.3369565217391311E-2</v>
      </c>
      <c r="Y1" s="4">
        <f t="shared" si="0"/>
        <v>0.11684782608695653</v>
      </c>
      <c r="Z1" s="4">
        <f t="shared" si="0"/>
        <v>5.9782608695652176E-2</v>
      </c>
      <c r="AA1" s="4">
        <f t="shared" si="0"/>
        <v>6.25E-2</v>
      </c>
      <c r="AB1" s="4">
        <f t="shared" si="0"/>
        <v>9.7826086956521743E-2</v>
      </c>
      <c r="AC1" s="4">
        <f>(AC3)/(AC2+AC3)</f>
        <v>6.5217391304347824E-2</v>
      </c>
      <c r="AD1" s="4">
        <f t="shared" si="0"/>
        <v>6.5217391304347824E-2</v>
      </c>
      <c r="AE1" s="4">
        <f t="shared" si="0"/>
        <v>7.0652173913043473E-2</v>
      </c>
      <c r="AF1" s="4">
        <f t="shared" si="0"/>
        <v>6.7934782608695649E-2</v>
      </c>
      <c r="AG1" s="4">
        <f t="shared" si="0"/>
        <v>0.11141304347826086</v>
      </c>
      <c r="AH1" s="4">
        <f t="shared" si="0"/>
        <v>0.10054347826086957</v>
      </c>
      <c r="AI1" s="4">
        <f t="shared" si="0"/>
        <v>9.2391304347826081E-2</v>
      </c>
      <c r="AJ1" s="4">
        <f t="shared" si="0"/>
        <v>8.9673913043478257E-2</v>
      </c>
      <c r="AK1" s="4">
        <f t="shared" si="0"/>
        <v>7.3369565217391311E-2</v>
      </c>
      <c r="AL1" s="4">
        <f t="shared" si="0"/>
        <v>7.3369565217391311E-2</v>
      </c>
      <c r="AM1" s="4">
        <f t="shared" si="0"/>
        <v>0.16847826086956522</v>
      </c>
      <c r="AN1" s="4">
        <f t="shared" si="0"/>
        <v>0.15718157181571815</v>
      </c>
      <c r="AO1" s="4">
        <f t="shared" si="0"/>
        <v>0.21983914209115282</v>
      </c>
      <c r="AP1" s="4">
        <f t="shared" si="0"/>
        <v>0.125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330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332</v>
      </c>
      <c r="S2" s="10">
        <f t="shared" si="2"/>
        <v>335</v>
      </c>
      <c r="T2" s="10">
        <f t="shared" si="2"/>
        <v>343</v>
      </c>
      <c r="U2" s="10">
        <f t="shared" si="2"/>
        <v>334</v>
      </c>
      <c r="V2" s="10">
        <f t="shared" si="2"/>
        <v>343</v>
      </c>
      <c r="W2" s="10">
        <f t="shared" si="2"/>
        <v>341</v>
      </c>
      <c r="X2" s="10">
        <f t="shared" si="2"/>
        <v>341</v>
      </c>
      <c r="Y2" s="10">
        <f t="shared" si="2"/>
        <v>325</v>
      </c>
      <c r="Z2" s="10">
        <f t="shared" si="2"/>
        <v>346</v>
      </c>
      <c r="AA2" s="10">
        <f t="shared" si="2"/>
        <v>345</v>
      </c>
      <c r="AB2" s="10">
        <f t="shared" si="2"/>
        <v>332</v>
      </c>
      <c r="AC2" s="10">
        <f t="shared" si="2"/>
        <v>344</v>
      </c>
      <c r="AD2" s="10">
        <f t="shared" si="2"/>
        <v>344</v>
      </c>
      <c r="AE2" s="10">
        <f t="shared" si="2"/>
        <v>342</v>
      </c>
      <c r="AF2" s="10">
        <f t="shared" si="2"/>
        <v>343</v>
      </c>
      <c r="AG2" s="10">
        <f t="shared" si="2"/>
        <v>327</v>
      </c>
      <c r="AH2" s="10">
        <f t="shared" si="2"/>
        <v>331</v>
      </c>
      <c r="AI2" s="10">
        <f t="shared" si="2"/>
        <v>334</v>
      </c>
      <c r="AJ2" s="10">
        <f t="shared" si="2"/>
        <v>335</v>
      </c>
      <c r="AK2" s="10">
        <f t="shared" si="2"/>
        <v>341</v>
      </c>
      <c r="AL2" s="10">
        <f t="shared" si="2"/>
        <v>341</v>
      </c>
      <c r="AM2" s="10">
        <f t="shared" si="2"/>
        <v>306</v>
      </c>
      <c r="AN2" s="10">
        <f t="shared" si="2"/>
        <v>311</v>
      </c>
      <c r="AO2" s="10">
        <f t="shared" si="2"/>
        <v>291</v>
      </c>
      <c r="AP2" s="10">
        <f t="shared" si="2"/>
        <v>322</v>
      </c>
      <c r="AQ2" s="10">
        <f t="shared" si="2"/>
        <v>368</v>
      </c>
      <c r="AR2" s="10">
        <f t="shared" si="2"/>
        <v>368</v>
      </c>
    </row>
    <row r="3" spans="1:44" s="11" customFormat="1" ht="15.75" thickBot="1" x14ac:dyDescent="0.3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38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36</v>
      </c>
      <c r="S3" s="14">
        <f t="shared" si="3"/>
        <v>32</v>
      </c>
      <c r="T3" s="14">
        <f t="shared" si="3"/>
        <v>25</v>
      </c>
      <c r="U3" s="14">
        <f t="shared" si="3"/>
        <v>34</v>
      </c>
      <c r="V3" s="14">
        <f t="shared" si="3"/>
        <v>25</v>
      </c>
      <c r="W3" s="14">
        <f t="shared" si="3"/>
        <v>27</v>
      </c>
      <c r="X3" s="14">
        <f t="shared" si="3"/>
        <v>27</v>
      </c>
      <c r="Y3" s="14">
        <f t="shared" si="3"/>
        <v>43</v>
      </c>
      <c r="Z3" s="14">
        <f t="shared" si="3"/>
        <v>22</v>
      </c>
      <c r="AA3" s="14">
        <f t="shared" si="3"/>
        <v>23</v>
      </c>
      <c r="AB3" s="14">
        <f t="shared" si="3"/>
        <v>36</v>
      </c>
      <c r="AC3" s="14">
        <f t="shared" si="3"/>
        <v>24</v>
      </c>
      <c r="AD3" s="14">
        <f t="shared" si="3"/>
        <v>24</v>
      </c>
      <c r="AE3" s="14">
        <f t="shared" si="3"/>
        <v>26</v>
      </c>
      <c r="AF3" s="14">
        <f t="shared" si="3"/>
        <v>25</v>
      </c>
      <c r="AG3" s="14">
        <f t="shared" si="3"/>
        <v>41</v>
      </c>
      <c r="AH3" s="14">
        <f t="shared" si="3"/>
        <v>37</v>
      </c>
      <c r="AI3" s="14">
        <f t="shared" si="3"/>
        <v>34</v>
      </c>
      <c r="AJ3" s="14">
        <f t="shared" si="3"/>
        <v>33</v>
      </c>
      <c r="AK3" s="14">
        <f t="shared" si="3"/>
        <v>27</v>
      </c>
      <c r="AL3" s="14">
        <f t="shared" si="3"/>
        <v>27</v>
      </c>
      <c r="AM3" s="14">
        <f t="shared" si="3"/>
        <v>62</v>
      </c>
      <c r="AN3" s="14">
        <f t="shared" si="3"/>
        <v>58</v>
      </c>
      <c r="AO3" s="14">
        <f t="shared" si="3"/>
        <v>82</v>
      </c>
      <c r="AP3" s="14">
        <f t="shared" si="3"/>
        <v>46</v>
      </c>
      <c r="AQ3" s="14">
        <f t="shared" ref="AQ3:AR3" si="4">COUNTIF(AQ4:AQ447, "apagado")</f>
        <v>0</v>
      </c>
      <c r="AR3" s="14">
        <f t="shared" si="4"/>
        <v>0</v>
      </c>
    </row>
    <row r="4" spans="1:44" s="11" customFormat="1" ht="31.5" thickTop="1" thickBot="1" x14ac:dyDescent="0.35">
      <c r="A4" t="s">
        <v>7</v>
      </c>
      <c r="B4" t="s">
        <v>1324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44652</v>
      </c>
      <c r="P4" s="15">
        <v>44653</v>
      </c>
      <c r="Q4" s="15">
        <v>44654</v>
      </c>
      <c r="R4" s="15">
        <v>44655</v>
      </c>
      <c r="S4" s="15">
        <v>44656</v>
      </c>
      <c r="T4" s="15">
        <v>44657</v>
      </c>
      <c r="U4" s="15">
        <v>44658</v>
      </c>
      <c r="V4" s="15">
        <v>44659</v>
      </c>
      <c r="W4" s="15">
        <v>44660</v>
      </c>
      <c r="X4" s="15">
        <v>44661</v>
      </c>
      <c r="Y4" s="15">
        <v>44662</v>
      </c>
      <c r="Z4" s="15">
        <v>44663</v>
      </c>
      <c r="AA4" s="15">
        <v>44664</v>
      </c>
      <c r="AB4" s="15">
        <v>44665</v>
      </c>
      <c r="AC4" s="15">
        <v>44666</v>
      </c>
      <c r="AD4" s="15">
        <v>44667</v>
      </c>
      <c r="AE4" s="15">
        <v>44668</v>
      </c>
      <c r="AF4" s="15">
        <v>44669</v>
      </c>
      <c r="AG4" s="15">
        <v>44670</v>
      </c>
      <c r="AH4" s="15">
        <v>44671</v>
      </c>
      <c r="AI4" s="15">
        <v>44672</v>
      </c>
      <c r="AJ4" s="15">
        <v>44673</v>
      </c>
      <c r="AK4" s="15">
        <v>44674</v>
      </c>
      <c r="AL4" s="15">
        <v>44675</v>
      </c>
      <c r="AM4" s="15">
        <v>44676</v>
      </c>
      <c r="AN4" s="15">
        <v>44677</v>
      </c>
      <c r="AO4" s="15">
        <v>44678</v>
      </c>
      <c r="AP4" s="15">
        <v>44679</v>
      </c>
      <c r="AQ4" s="15">
        <v>44680</v>
      </c>
      <c r="AR4" s="15">
        <v>44681</v>
      </c>
    </row>
    <row r="5" spans="1:44" ht="16.5" thickTop="1" thickBot="1" x14ac:dyDescent="0.3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1107</v>
      </c>
      <c r="L5" s="17">
        <f t="shared" ref="L5:L68" si="5">COUNTIF(O5:AP5,"")</f>
        <v>23</v>
      </c>
      <c r="M5" s="17">
        <f t="shared" ref="M5:M68" si="6">COUNTIF(O5:AP5,"APAGADO")</f>
        <v>5</v>
      </c>
      <c r="N5" s="18">
        <f t="shared" ref="N5:N68" si="7">(L5)/(M5+L5)</f>
        <v>0.8214285714285714</v>
      </c>
      <c r="O5" s="29"/>
      <c r="P5" s="19"/>
      <c r="Q5" s="19"/>
      <c r="R5" s="19"/>
      <c r="S5" s="29" t="s">
        <v>1343</v>
      </c>
      <c r="T5" s="29"/>
      <c r="U5" s="19"/>
      <c r="V5" s="19" t="s">
        <v>1343</v>
      </c>
      <c r="W5" s="19" t="s">
        <v>1343</v>
      </c>
      <c r="X5" s="29" t="s">
        <v>1343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 t="s">
        <v>1343</v>
      </c>
      <c r="AP5" s="19"/>
      <c r="AQ5" s="29"/>
      <c r="AR5" s="29"/>
    </row>
    <row r="6" spans="1:44" ht="15.75" thickBot="1" x14ac:dyDescent="0.3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1108</v>
      </c>
      <c r="L6" s="17">
        <f t="shared" si="5"/>
        <v>27</v>
      </c>
      <c r="M6" s="17">
        <f t="shared" si="6"/>
        <v>1</v>
      </c>
      <c r="N6" s="18">
        <f t="shared" si="7"/>
        <v>0.9642857142857143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 t="s">
        <v>1343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1055</v>
      </c>
      <c r="L7" s="17">
        <f t="shared" si="5"/>
        <v>4</v>
      </c>
      <c r="M7" s="17">
        <f t="shared" si="6"/>
        <v>24</v>
      </c>
      <c r="N7" s="18">
        <f t="shared" si="7"/>
        <v>0.14285714285714285</v>
      </c>
      <c r="O7" s="27"/>
      <c r="P7" s="8"/>
      <c r="Q7" s="8"/>
      <c r="R7" s="8" t="s">
        <v>1343</v>
      </c>
      <c r="S7" s="27" t="s">
        <v>1343</v>
      </c>
      <c r="T7" s="27" t="s">
        <v>1343</v>
      </c>
      <c r="U7" s="8" t="s">
        <v>1343</v>
      </c>
      <c r="V7" s="8" t="s">
        <v>1343</v>
      </c>
      <c r="W7" s="8" t="s">
        <v>1343</v>
      </c>
      <c r="X7" s="27" t="s">
        <v>1343</v>
      </c>
      <c r="Y7" s="27" t="s">
        <v>1343</v>
      </c>
      <c r="Z7" s="27" t="s">
        <v>1343</v>
      </c>
      <c r="AA7" s="27" t="s">
        <v>1343</v>
      </c>
      <c r="AB7" s="27" t="s">
        <v>1343</v>
      </c>
      <c r="AC7" s="27" t="s">
        <v>1343</v>
      </c>
      <c r="AD7" s="27" t="s">
        <v>1343</v>
      </c>
      <c r="AE7" s="27"/>
      <c r="AF7" s="27" t="s">
        <v>1343</v>
      </c>
      <c r="AG7" s="27" t="s">
        <v>1343</v>
      </c>
      <c r="AH7" s="27" t="s">
        <v>1343</v>
      </c>
      <c r="AI7" s="27" t="s">
        <v>1343</v>
      </c>
      <c r="AJ7" s="27" t="s">
        <v>1343</v>
      </c>
      <c r="AK7" s="8" t="s">
        <v>1343</v>
      </c>
      <c r="AL7" s="8" t="s">
        <v>1343</v>
      </c>
      <c r="AM7" s="8" t="s">
        <v>1343</v>
      </c>
      <c r="AN7" s="27" t="s">
        <v>1343</v>
      </c>
      <c r="AO7" s="8" t="s">
        <v>1343</v>
      </c>
      <c r="AP7" s="8" t="s">
        <v>1343</v>
      </c>
      <c r="AQ7" s="27"/>
      <c r="AR7" s="27"/>
    </row>
    <row r="8" spans="1:44" ht="15.75" thickBot="1" x14ac:dyDescent="0.3">
      <c r="A8" t="s">
        <v>22</v>
      </c>
      <c r="C8" s="46" t="s">
        <v>29</v>
      </c>
      <c r="D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1109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1110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C10" s="45" t="s">
        <v>949</v>
      </c>
      <c r="D10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17</v>
      </c>
      <c r="M10" s="17">
        <f t="shared" si="6"/>
        <v>11</v>
      </c>
      <c r="N10" s="18">
        <f t="shared" si="7"/>
        <v>0.6071428571428571</v>
      </c>
      <c r="O10" s="27"/>
      <c r="P10" s="8"/>
      <c r="Q10" s="8"/>
      <c r="R10" s="8"/>
      <c r="S10" s="27"/>
      <c r="T10" s="27"/>
      <c r="U10" s="8" t="s">
        <v>1343</v>
      </c>
      <c r="V10" s="8" t="s">
        <v>1343</v>
      </c>
      <c r="W10" s="8" t="s">
        <v>1343</v>
      </c>
      <c r="X10" s="27"/>
      <c r="Y10" s="27"/>
      <c r="Z10" s="27"/>
      <c r="AA10" s="27"/>
      <c r="AB10" s="27" t="s">
        <v>1343</v>
      </c>
      <c r="AC10" s="27"/>
      <c r="AD10" s="27"/>
      <c r="AE10" s="27"/>
      <c r="AF10" s="27"/>
      <c r="AG10" s="27" t="s">
        <v>1343</v>
      </c>
      <c r="AH10" s="27" t="s">
        <v>1343</v>
      </c>
      <c r="AI10" s="27" t="s">
        <v>1343</v>
      </c>
      <c r="AJ10" s="27" t="s">
        <v>1343</v>
      </c>
      <c r="AK10" s="8" t="s">
        <v>1343</v>
      </c>
      <c r="AL10" s="8" t="s">
        <v>1343</v>
      </c>
      <c r="AM10" s="8"/>
      <c r="AN10" s="27" t="s">
        <v>1343</v>
      </c>
      <c r="AO10" s="8"/>
      <c r="AP10" s="8"/>
      <c r="AQ10" s="27"/>
      <c r="AR10" s="27"/>
    </row>
    <row r="11" spans="1:44" ht="15.75" thickBot="1" x14ac:dyDescent="0.3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27</v>
      </c>
      <c r="M11" s="17">
        <f t="shared" si="6"/>
        <v>1</v>
      </c>
      <c r="N11" s="18">
        <f t="shared" si="7"/>
        <v>0.9642857142857143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 t="s">
        <v>1343</v>
      </c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C12" s="45" t="s">
        <v>41</v>
      </c>
      <c r="D12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20</v>
      </c>
      <c r="M12" s="17">
        <f t="shared" si="6"/>
        <v>8</v>
      </c>
      <c r="N12" s="18">
        <f t="shared" si="7"/>
        <v>0.7142857142857143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 t="s">
        <v>1343</v>
      </c>
      <c r="AC12" s="27"/>
      <c r="AD12" s="27"/>
      <c r="AE12" s="27"/>
      <c r="AF12" s="27"/>
      <c r="AG12" s="27" t="s">
        <v>1343</v>
      </c>
      <c r="AH12" s="27" t="s">
        <v>1343</v>
      </c>
      <c r="AI12" s="27" t="s">
        <v>1343</v>
      </c>
      <c r="AJ12" s="27" t="s">
        <v>1343</v>
      </c>
      <c r="AK12" s="8" t="s">
        <v>1343</v>
      </c>
      <c r="AL12" s="8"/>
      <c r="AM12" s="8" t="s">
        <v>1343</v>
      </c>
      <c r="AN12" s="27" t="s">
        <v>1343</v>
      </c>
      <c r="AO12" s="8"/>
      <c r="AP12" s="8"/>
      <c r="AQ12" s="27"/>
      <c r="AR12" s="27"/>
    </row>
    <row r="13" spans="1:44" ht="15.75" thickBot="1" x14ac:dyDescent="0.3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25</v>
      </c>
      <c r="M13" s="17">
        <f t="shared" si="6"/>
        <v>3</v>
      </c>
      <c r="N13" s="18">
        <f t="shared" si="7"/>
        <v>0.8928571428571429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 t="s">
        <v>1343</v>
      </c>
      <c r="AC13" s="27"/>
      <c r="AD13" s="27"/>
      <c r="AE13" s="27"/>
      <c r="AF13" s="27"/>
      <c r="AG13" s="27" t="s">
        <v>1343</v>
      </c>
      <c r="AH13" s="27"/>
      <c r="AI13" s="27"/>
      <c r="AJ13" s="27"/>
      <c r="AK13" s="8"/>
      <c r="AL13" s="8"/>
      <c r="AM13" s="8" t="s">
        <v>1343</v>
      </c>
      <c r="AN13" s="27"/>
      <c r="AO13" s="8"/>
      <c r="AP13" s="8"/>
      <c r="AQ13" s="27"/>
      <c r="AR13" s="27"/>
    </row>
    <row r="14" spans="1:44" ht="15.75" thickBot="1" x14ac:dyDescent="0.3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21</v>
      </c>
      <c r="M14" s="17">
        <f t="shared" si="6"/>
        <v>7</v>
      </c>
      <c r="N14" s="18">
        <f t="shared" si="7"/>
        <v>0.75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 t="s">
        <v>1343</v>
      </c>
      <c r="AC14" s="27"/>
      <c r="AD14" s="27"/>
      <c r="AE14" s="27"/>
      <c r="AF14" s="27"/>
      <c r="AG14" s="27" t="s">
        <v>1343</v>
      </c>
      <c r="AH14" s="27" t="s">
        <v>1343</v>
      </c>
      <c r="AI14" s="27"/>
      <c r="AJ14" s="27"/>
      <c r="AK14" s="8"/>
      <c r="AL14" s="8"/>
      <c r="AM14" s="8" t="s">
        <v>1343</v>
      </c>
      <c r="AN14" s="27" t="s">
        <v>1343</v>
      </c>
      <c r="AO14" s="8" t="s">
        <v>1343</v>
      </c>
      <c r="AP14" s="8" t="s">
        <v>1343</v>
      </c>
      <c r="AQ14" s="27"/>
      <c r="AR14" s="27"/>
    </row>
    <row r="15" spans="1:44" ht="15.75" thickBot="1" x14ac:dyDescent="0.3">
      <c r="A15" t="s">
        <v>34</v>
      </c>
      <c r="C15" s="45" t="s">
        <v>50</v>
      </c>
      <c r="D15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27</v>
      </c>
      <c r="M15" s="17">
        <f t="shared" si="6"/>
        <v>1</v>
      </c>
      <c r="N15" s="18">
        <f t="shared" si="7"/>
        <v>0.9642857142857143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 t="s">
        <v>1343</v>
      </c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C16" s="45" t="s">
        <v>53</v>
      </c>
      <c r="D16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 t="s">
        <v>1343</v>
      </c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27</v>
      </c>
      <c r="M17" s="17">
        <f t="shared" si="6"/>
        <v>1</v>
      </c>
      <c r="N17" s="18">
        <f t="shared" si="7"/>
        <v>0.9642857142857143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 t="s">
        <v>1343</v>
      </c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27</v>
      </c>
      <c r="M18" s="17">
        <f t="shared" si="6"/>
        <v>1</v>
      </c>
      <c r="N18" s="18">
        <f t="shared" si="7"/>
        <v>0.9642857142857143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 t="s">
        <v>1343</v>
      </c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23</v>
      </c>
      <c r="M19" s="17">
        <f t="shared" si="6"/>
        <v>5</v>
      </c>
      <c r="N19" s="18">
        <f t="shared" si="7"/>
        <v>0.8214285714285714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 t="s">
        <v>1343</v>
      </c>
      <c r="AM19" s="8" t="s">
        <v>1343</v>
      </c>
      <c r="AN19" s="27" t="s">
        <v>1343</v>
      </c>
      <c r="AO19" s="8" t="s">
        <v>1343</v>
      </c>
      <c r="AP19" s="8" t="s">
        <v>1343</v>
      </c>
      <c r="AQ19" s="27"/>
      <c r="AR19" s="27"/>
    </row>
    <row r="20" spans="1:44" ht="15.75" thickBot="1" x14ac:dyDescent="0.3">
      <c r="A20" t="s">
        <v>34</v>
      </c>
      <c r="C20" s="45" t="s">
        <v>955</v>
      </c>
      <c r="D20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27</v>
      </c>
      <c r="M20" s="17">
        <f t="shared" si="6"/>
        <v>1</v>
      </c>
      <c r="N20" s="18">
        <f t="shared" si="7"/>
        <v>0.9642857142857143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 t="s">
        <v>1343</v>
      </c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19</v>
      </c>
      <c r="M21" s="17">
        <f t="shared" si="6"/>
        <v>9</v>
      </c>
      <c r="N21" s="18">
        <f t="shared" si="7"/>
        <v>0.6785714285714286</v>
      </c>
      <c r="O21" s="27"/>
      <c r="P21" s="8"/>
      <c r="Q21" s="8"/>
      <c r="R21" s="8"/>
      <c r="S21" s="27"/>
      <c r="T21" s="27"/>
      <c r="U21" s="8" t="s">
        <v>1343</v>
      </c>
      <c r="V21" s="8" t="s">
        <v>1343</v>
      </c>
      <c r="W21" s="8" t="s">
        <v>1343</v>
      </c>
      <c r="X21" s="27" t="s">
        <v>1343</v>
      </c>
      <c r="Y21" s="27" t="s">
        <v>1343</v>
      </c>
      <c r="Z21" s="27"/>
      <c r="AA21" s="27"/>
      <c r="AB21" s="27"/>
      <c r="AC21" s="27"/>
      <c r="AD21" s="27"/>
      <c r="AE21" s="27"/>
      <c r="AF21" s="27"/>
      <c r="AG21" s="27" t="s">
        <v>1343</v>
      </c>
      <c r="AH21" s="27"/>
      <c r="AI21" s="27" t="s">
        <v>1343</v>
      </c>
      <c r="AJ21" s="27"/>
      <c r="AK21" s="8"/>
      <c r="AL21" s="8"/>
      <c r="AM21" s="8" t="s">
        <v>1343</v>
      </c>
      <c r="AN21" s="27" t="s">
        <v>1343</v>
      </c>
      <c r="AO21" s="8"/>
      <c r="AP21" s="8"/>
      <c r="AQ21" s="27"/>
      <c r="AR21" s="27"/>
    </row>
    <row r="22" spans="1:44" ht="15.75" thickBot="1" x14ac:dyDescent="0.3">
      <c r="C22" s="45" t="s">
        <v>1008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23</v>
      </c>
      <c r="M22" s="17">
        <f t="shared" si="6"/>
        <v>5</v>
      </c>
      <c r="N22" s="18">
        <f t="shared" si="7"/>
        <v>0.8214285714285714</v>
      </c>
      <c r="O22" s="27"/>
      <c r="P22" s="8"/>
      <c r="Q22" s="8"/>
      <c r="R22" s="8"/>
      <c r="S22" s="27"/>
      <c r="T22" s="27"/>
      <c r="U22" s="8" t="s">
        <v>1343</v>
      </c>
      <c r="V22" s="8" t="s">
        <v>1343</v>
      </c>
      <c r="W22" s="8" t="s">
        <v>1343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 t="s">
        <v>1343</v>
      </c>
      <c r="AH22" s="27"/>
      <c r="AI22" s="27"/>
      <c r="AJ22" s="27"/>
      <c r="AK22" s="8"/>
      <c r="AL22" s="8"/>
      <c r="AM22" s="8" t="s">
        <v>1343</v>
      </c>
      <c r="AN22" s="27"/>
      <c r="AO22" s="8"/>
      <c r="AP22" s="8"/>
      <c r="AQ22" s="27"/>
      <c r="AR22" s="27"/>
    </row>
    <row r="23" spans="1:44" ht="15.75" thickBot="1" x14ac:dyDescent="0.3">
      <c r="C23" s="45" t="s">
        <v>1011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24</v>
      </c>
      <c r="M24" s="17">
        <f t="shared" si="6"/>
        <v>4</v>
      </c>
      <c r="N24" s="18">
        <f t="shared" si="7"/>
        <v>0.8571428571428571</v>
      </c>
      <c r="O24" s="27"/>
      <c r="P24" s="8"/>
      <c r="Q24" s="8"/>
      <c r="R24" s="8"/>
      <c r="S24" s="27"/>
      <c r="T24" s="27"/>
      <c r="U24" s="8" t="s">
        <v>1343</v>
      </c>
      <c r="V24" s="8"/>
      <c r="W24" s="8"/>
      <c r="X24" s="27"/>
      <c r="Y24" s="27" t="s">
        <v>1343</v>
      </c>
      <c r="Z24" s="27"/>
      <c r="AA24" s="27"/>
      <c r="AB24" s="27"/>
      <c r="AC24" s="27"/>
      <c r="AD24" s="27"/>
      <c r="AE24" s="27" t="s">
        <v>1343</v>
      </c>
      <c r="AF24" s="27" t="s">
        <v>1343</v>
      </c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26</v>
      </c>
      <c r="M28" s="17">
        <f t="shared" si="6"/>
        <v>2</v>
      </c>
      <c r="N28" s="18">
        <f t="shared" si="7"/>
        <v>0.9285714285714286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 t="s">
        <v>1343</v>
      </c>
      <c r="AP28" s="8" t="s">
        <v>1343</v>
      </c>
      <c r="AQ28" s="27"/>
      <c r="AR28" s="27"/>
    </row>
    <row r="29" spans="1:44" ht="15.75" thickBot="1" x14ac:dyDescent="0.3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C30" s="45" t="s">
        <v>92</v>
      </c>
      <c r="D30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23</v>
      </c>
      <c r="M30" s="17">
        <f t="shared" si="6"/>
        <v>5</v>
      </c>
      <c r="N30" s="18">
        <f t="shared" si="7"/>
        <v>0.8214285714285714</v>
      </c>
      <c r="O30" s="27" t="s">
        <v>1343</v>
      </c>
      <c r="P30" s="8"/>
      <c r="Q30" s="8"/>
      <c r="R30" s="8" t="s">
        <v>1343</v>
      </c>
      <c r="S30" s="27" t="s">
        <v>1343</v>
      </c>
      <c r="T30" s="27" t="s">
        <v>1343</v>
      </c>
      <c r="U30" s="8"/>
      <c r="V30" s="8"/>
      <c r="W30" s="8"/>
      <c r="X30" s="27"/>
      <c r="Y30" s="27" t="s">
        <v>1343</v>
      </c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C32" s="45" t="s">
        <v>98</v>
      </c>
      <c r="D32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27</v>
      </c>
      <c r="M32" s="17">
        <f t="shared" si="6"/>
        <v>1</v>
      </c>
      <c r="N32" s="18">
        <f t="shared" si="7"/>
        <v>0.9642857142857143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 t="s">
        <v>1343</v>
      </c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1031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1032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1033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27</v>
      </c>
      <c r="M39" s="17">
        <f t="shared" si="6"/>
        <v>1</v>
      </c>
      <c r="N39" s="18">
        <f t="shared" si="7"/>
        <v>0.9642857142857143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 t="s">
        <v>1343</v>
      </c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C41" s="45" t="s">
        <v>124</v>
      </c>
      <c r="D41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C43" s="45" t="s">
        <v>130</v>
      </c>
      <c r="D43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C44" s="45" t="s">
        <v>133</v>
      </c>
      <c r="D44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24</v>
      </c>
      <c r="M45" s="17">
        <f t="shared" si="6"/>
        <v>4</v>
      </c>
      <c r="N45" s="18">
        <f t="shared" si="7"/>
        <v>0.8571428571428571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 t="s">
        <v>1343</v>
      </c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 t="s">
        <v>1343</v>
      </c>
      <c r="AN45" s="27" t="s">
        <v>1343</v>
      </c>
      <c r="AO45" s="8" t="s">
        <v>1343</v>
      </c>
      <c r="AP45" s="8"/>
      <c r="AQ45" s="27"/>
      <c r="AR45" s="27"/>
    </row>
    <row r="46" spans="1:44" ht="15.75" thickBot="1" x14ac:dyDescent="0.3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26</v>
      </c>
      <c r="M47" s="17">
        <f t="shared" si="6"/>
        <v>2</v>
      </c>
      <c r="N47" s="18">
        <f t="shared" si="7"/>
        <v>0.9285714285714286</v>
      </c>
      <c r="O47" s="27"/>
      <c r="P47" s="8"/>
      <c r="Q47" s="8"/>
      <c r="R47" s="8" t="s">
        <v>1343</v>
      </c>
      <c r="S47" s="27" t="s">
        <v>1343</v>
      </c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24</v>
      </c>
      <c r="M49" s="17">
        <f t="shared" si="6"/>
        <v>4</v>
      </c>
      <c r="N49" s="18">
        <f t="shared" si="7"/>
        <v>0.8571428571428571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 t="s">
        <v>1343</v>
      </c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 t="s">
        <v>1343</v>
      </c>
      <c r="AN49" s="27" t="s">
        <v>1343</v>
      </c>
      <c r="AO49" s="8" t="s">
        <v>1343</v>
      </c>
      <c r="AP49" s="8"/>
      <c r="AQ49" s="27"/>
      <c r="AR49" s="27"/>
    </row>
    <row r="50" spans="1:44" ht="15.75" thickBot="1" x14ac:dyDescent="0.3">
      <c r="A50" t="s">
        <v>80</v>
      </c>
      <c r="C50" s="45" t="s">
        <v>150</v>
      </c>
      <c r="D50" t="s">
        <v>1326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27</v>
      </c>
      <c r="M51" s="17">
        <f t="shared" si="6"/>
        <v>1</v>
      </c>
      <c r="N51" s="18">
        <f t="shared" si="7"/>
        <v>0.9642857142857143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 t="s">
        <v>1343</v>
      </c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C53" s="45" t="s">
        <v>159</v>
      </c>
      <c r="D53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21</v>
      </c>
      <c r="M53" s="17">
        <f t="shared" si="6"/>
        <v>7</v>
      </c>
      <c r="N53" s="18">
        <f t="shared" si="7"/>
        <v>0.75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 t="s">
        <v>1343</v>
      </c>
      <c r="AH53" s="27" t="s">
        <v>1343</v>
      </c>
      <c r="AI53" s="27" t="s">
        <v>1343</v>
      </c>
      <c r="AJ53" s="27" t="s">
        <v>1343</v>
      </c>
      <c r="AK53" s="8" t="s">
        <v>1343</v>
      </c>
      <c r="AL53" s="8"/>
      <c r="AM53" s="8" t="s">
        <v>1343</v>
      </c>
      <c r="AN53" s="27" t="s">
        <v>1343</v>
      </c>
      <c r="AO53" s="8"/>
      <c r="AP53" s="8"/>
      <c r="AQ53" s="27"/>
      <c r="AR53" s="27"/>
    </row>
    <row r="54" spans="1:44" ht="15.75" thickBot="1" x14ac:dyDescent="0.3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25</v>
      </c>
      <c r="M55" s="17">
        <f t="shared" si="6"/>
        <v>3</v>
      </c>
      <c r="N55" s="18">
        <f t="shared" si="7"/>
        <v>0.8928571428571429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 t="s">
        <v>1343</v>
      </c>
      <c r="AN55" s="27" t="s">
        <v>1343</v>
      </c>
      <c r="AO55" s="8" t="s">
        <v>1343</v>
      </c>
      <c r="AP55" s="8"/>
      <c r="AQ55" s="27"/>
      <c r="AR55" s="27"/>
    </row>
    <row r="56" spans="1:44" ht="15.75" thickBot="1" x14ac:dyDescent="0.3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17</v>
      </c>
      <c r="M62" s="17">
        <f t="shared" si="6"/>
        <v>11</v>
      </c>
      <c r="N62" s="18">
        <f t="shared" si="7"/>
        <v>0.6071428571428571</v>
      </c>
      <c r="O62" s="27" t="s">
        <v>1343</v>
      </c>
      <c r="P62" s="8"/>
      <c r="Q62" s="8"/>
      <c r="R62" s="8" t="s">
        <v>1343</v>
      </c>
      <c r="S62" s="27" t="s">
        <v>1343</v>
      </c>
      <c r="T62" s="27" t="s">
        <v>1343</v>
      </c>
      <c r="U62" s="8" t="s">
        <v>1343</v>
      </c>
      <c r="V62" s="8" t="s">
        <v>1343</v>
      </c>
      <c r="W62" s="8" t="s">
        <v>1343</v>
      </c>
      <c r="X62" s="27" t="s">
        <v>1343</v>
      </c>
      <c r="Y62" s="27" t="s">
        <v>1343</v>
      </c>
      <c r="Z62" s="27" t="s">
        <v>1343</v>
      </c>
      <c r="AA62" s="27" t="s">
        <v>1343</v>
      </c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17</v>
      </c>
      <c r="M63" s="17">
        <f t="shared" si="6"/>
        <v>11</v>
      </c>
      <c r="N63" s="18">
        <f t="shared" si="7"/>
        <v>0.6071428571428571</v>
      </c>
      <c r="O63" s="27" t="s">
        <v>1343</v>
      </c>
      <c r="P63" s="8"/>
      <c r="Q63" s="8"/>
      <c r="R63" s="8" t="s">
        <v>1343</v>
      </c>
      <c r="S63" s="27" t="s">
        <v>1343</v>
      </c>
      <c r="T63" s="27" t="s">
        <v>1343</v>
      </c>
      <c r="U63" s="8" t="s">
        <v>1343</v>
      </c>
      <c r="V63" s="8" t="s">
        <v>1343</v>
      </c>
      <c r="W63" s="8" t="s">
        <v>1343</v>
      </c>
      <c r="X63" s="27" t="s">
        <v>1343</v>
      </c>
      <c r="Y63" s="27" t="s">
        <v>1343</v>
      </c>
      <c r="Z63" s="27" t="s">
        <v>1343</v>
      </c>
      <c r="AA63" s="27" t="s">
        <v>1343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17</v>
      </c>
      <c r="M65" s="17">
        <f t="shared" si="6"/>
        <v>11</v>
      </c>
      <c r="N65" s="18">
        <f t="shared" si="7"/>
        <v>0.6071428571428571</v>
      </c>
      <c r="O65" s="27" t="s">
        <v>1343</v>
      </c>
      <c r="P65" s="8"/>
      <c r="Q65" s="8"/>
      <c r="R65" s="8" t="s">
        <v>1343</v>
      </c>
      <c r="S65" s="27" t="s">
        <v>1343</v>
      </c>
      <c r="T65" s="27" t="s">
        <v>1343</v>
      </c>
      <c r="U65" s="8" t="s">
        <v>1343</v>
      </c>
      <c r="V65" s="8" t="s">
        <v>1343</v>
      </c>
      <c r="W65" s="8" t="s">
        <v>1343</v>
      </c>
      <c r="X65" s="27" t="s">
        <v>1343</v>
      </c>
      <c r="Y65" s="27" t="s">
        <v>1343</v>
      </c>
      <c r="Z65" s="27" t="s">
        <v>1343</v>
      </c>
      <c r="AA65" s="27" t="s">
        <v>1343</v>
      </c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15</v>
      </c>
      <c r="M66" s="17">
        <f t="shared" si="6"/>
        <v>13</v>
      </c>
      <c r="N66" s="18">
        <f t="shared" si="7"/>
        <v>0.5357142857142857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 t="s">
        <v>1343</v>
      </c>
      <c r="AE66" s="27" t="s">
        <v>1343</v>
      </c>
      <c r="AF66" s="27" t="s">
        <v>1343</v>
      </c>
      <c r="AG66" s="27" t="s">
        <v>1343</v>
      </c>
      <c r="AH66" s="27" t="s">
        <v>1343</v>
      </c>
      <c r="AI66" s="27" t="s">
        <v>1343</v>
      </c>
      <c r="AJ66" s="27" t="s">
        <v>1343</v>
      </c>
      <c r="AK66" s="8" t="s">
        <v>1343</v>
      </c>
      <c r="AL66" s="8" t="s">
        <v>1343</v>
      </c>
      <c r="AM66" s="8" t="s">
        <v>1343</v>
      </c>
      <c r="AN66" s="27" t="s">
        <v>1343</v>
      </c>
      <c r="AO66" s="8" t="s">
        <v>1343</v>
      </c>
      <c r="AP66" s="8" t="s">
        <v>1343</v>
      </c>
      <c r="AQ66" s="27"/>
      <c r="AR66" s="27"/>
    </row>
    <row r="67" spans="1:44" ht="15.75" thickBot="1" x14ac:dyDescent="0.3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17</v>
      </c>
      <c r="M68" s="17">
        <f t="shared" si="6"/>
        <v>11</v>
      </c>
      <c r="N68" s="18">
        <f t="shared" si="7"/>
        <v>0.6071428571428571</v>
      </c>
      <c r="O68" s="27" t="s">
        <v>1343</v>
      </c>
      <c r="P68" s="8"/>
      <c r="Q68" s="8"/>
      <c r="R68" s="8" t="s">
        <v>1343</v>
      </c>
      <c r="S68" s="27" t="s">
        <v>1343</v>
      </c>
      <c r="T68" s="27" t="s">
        <v>1343</v>
      </c>
      <c r="U68" s="8" t="s">
        <v>1343</v>
      </c>
      <c r="V68" s="8" t="s">
        <v>1343</v>
      </c>
      <c r="W68" s="8" t="s">
        <v>1343</v>
      </c>
      <c r="X68" s="27" t="s">
        <v>1343</v>
      </c>
      <c r="Y68" s="27" t="s">
        <v>1343</v>
      </c>
      <c r="Z68" s="27" t="s">
        <v>1343</v>
      </c>
      <c r="AA68" s="27" t="s">
        <v>1343</v>
      </c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24</v>
      </c>
      <c r="M73" s="17">
        <f t="shared" si="9"/>
        <v>4</v>
      </c>
      <c r="N73" s="18">
        <f t="shared" si="10"/>
        <v>0.8571428571428571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 t="s">
        <v>1343</v>
      </c>
      <c r="AH73" s="27" t="s">
        <v>1343</v>
      </c>
      <c r="AI73" s="27"/>
      <c r="AJ73" s="27"/>
      <c r="AK73" s="8"/>
      <c r="AL73" s="8"/>
      <c r="AM73" s="8" t="s">
        <v>1343</v>
      </c>
      <c r="AN73" s="27" t="s">
        <v>1343</v>
      </c>
      <c r="AO73" s="8"/>
      <c r="AP73" s="8"/>
      <c r="AQ73" s="27"/>
      <c r="AR73" s="27"/>
    </row>
    <row r="74" spans="1:44" ht="15.75" thickBot="1" x14ac:dyDescent="0.3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1343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2</v>
      </c>
      <c r="M80" s="17">
        <f t="shared" si="9"/>
        <v>26</v>
      </c>
      <c r="N80" s="18">
        <f t="shared" si="10"/>
        <v>7.1428571428571425E-2</v>
      </c>
      <c r="O80" s="27" t="s">
        <v>1343</v>
      </c>
      <c r="P80" s="8"/>
      <c r="Q80" s="8"/>
      <c r="R80" s="8" t="s">
        <v>1343</v>
      </c>
      <c r="S80" s="27" t="s">
        <v>1343</v>
      </c>
      <c r="T80" s="27" t="s">
        <v>1343</v>
      </c>
      <c r="U80" s="8" t="s">
        <v>1343</v>
      </c>
      <c r="V80" s="8" t="s">
        <v>1343</v>
      </c>
      <c r="W80" s="8" t="s">
        <v>1343</v>
      </c>
      <c r="X80" s="27" t="s">
        <v>1343</v>
      </c>
      <c r="Y80" s="27" t="s">
        <v>1343</v>
      </c>
      <c r="Z80" s="27" t="s">
        <v>1343</v>
      </c>
      <c r="AA80" s="27" t="s">
        <v>1343</v>
      </c>
      <c r="AB80" s="27" t="s">
        <v>1343</v>
      </c>
      <c r="AC80" s="27" t="s">
        <v>1343</v>
      </c>
      <c r="AD80" s="27" t="s">
        <v>1343</v>
      </c>
      <c r="AE80" s="27" t="s">
        <v>1343</v>
      </c>
      <c r="AF80" s="27" t="s">
        <v>1343</v>
      </c>
      <c r="AG80" s="27" t="s">
        <v>1343</v>
      </c>
      <c r="AH80" s="27" t="s">
        <v>1343</v>
      </c>
      <c r="AI80" s="27" t="s">
        <v>1343</v>
      </c>
      <c r="AJ80" s="27" t="s">
        <v>1343</v>
      </c>
      <c r="AK80" s="8" t="s">
        <v>1343</v>
      </c>
      <c r="AL80" s="8" t="s">
        <v>1343</v>
      </c>
      <c r="AM80" s="8" t="s">
        <v>1343</v>
      </c>
      <c r="AN80" s="27" t="s">
        <v>1343</v>
      </c>
      <c r="AO80" s="8" t="s">
        <v>1343</v>
      </c>
      <c r="AP80" s="8" t="s">
        <v>1343</v>
      </c>
      <c r="AQ80" s="27"/>
      <c r="AR80" s="27"/>
    </row>
    <row r="81" spans="1:44" ht="15.75" thickBot="1" x14ac:dyDescent="0.3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26</v>
      </c>
      <c r="M81" s="17">
        <f t="shared" si="9"/>
        <v>2</v>
      </c>
      <c r="N81" s="18">
        <f t="shared" si="10"/>
        <v>0.9285714285714286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 t="s">
        <v>1343</v>
      </c>
      <c r="AP81" s="8" t="s">
        <v>1343</v>
      </c>
      <c r="AQ81" s="27"/>
      <c r="AR81" s="27"/>
    </row>
    <row r="82" spans="1:44" ht="15.75" thickBot="1" x14ac:dyDescent="0.3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26</v>
      </c>
      <c r="M82" s="17">
        <f t="shared" si="9"/>
        <v>2</v>
      </c>
      <c r="N82" s="18">
        <f t="shared" si="10"/>
        <v>0.9285714285714286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 t="s">
        <v>1343</v>
      </c>
      <c r="AP82" s="8" t="s">
        <v>1343</v>
      </c>
      <c r="AQ82" s="27"/>
      <c r="AR82" s="27"/>
    </row>
    <row r="83" spans="1:44" ht="15.75" thickBot="1" x14ac:dyDescent="0.3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28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26</v>
      </c>
      <c r="M85" s="17">
        <f t="shared" si="9"/>
        <v>2</v>
      </c>
      <c r="N85" s="18">
        <f t="shared" si="10"/>
        <v>0.9285714285714286</v>
      </c>
      <c r="O85" s="27"/>
      <c r="P85" s="8"/>
      <c r="Q85" s="8"/>
      <c r="R85" s="8" t="s">
        <v>1343</v>
      </c>
      <c r="S85" s="27" t="s">
        <v>1343</v>
      </c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1344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1024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1028</v>
      </c>
      <c r="L91" s="17">
        <f t="shared" si="8"/>
        <v>23</v>
      </c>
      <c r="M91" s="17">
        <f t="shared" si="9"/>
        <v>5</v>
      </c>
      <c r="N91" s="18">
        <f t="shared" si="10"/>
        <v>0.8214285714285714</v>
      </c>
      <c r="O91" s="27" t="s">
        <v>1343</v>
      </c>
      <c r="P91" s="8"/>
      <c r="Q91" s="8"/>
      <c r="R91" s="8" t="s">
        <v>1343</v>
      </c>
      <c r="S91" s="27" t="s">
        <v>1343</v>
      </c>
      <c r="T91" s="27" t="s">
        <v>1343</v>
      </c>
      <c r="U91" s="8" t="s">
        <v>1343</v>
      </c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1029</v>
      </c>
      <c r="L92" s="17">
        <f t="shared" si="8"/>
        <v>23</v>
      </c>
      <c r="M92" s="17">
        <f t="shared" si="9"/>
        <v>5</v>
      </c>
      <c r="N92" s="18">
        <f t="shared" si="10"/>
        <v>0.8214285714285714</v>
      </c>
      <c r="O92" s="27" t="s">
        <v>1343</v>
      </c>
      <c r="P92" s="8"/>
      <c r="Q92" s="8"/>
      <c r="R92" s="8" t="s">
        <v>1343</v>
      </c>
      <c r="S92" s="27" t="s">
        <v>1343</v>
      </c>
      <c r="T92" s="27" t="s">
        <v>1343</v>
      </c>
      <c r="U92" s="8" t="s">
        <v>1343</v>
      </c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1030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1034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1035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1036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1037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1038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1039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1040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1041</v>
      </c>
      <c r="L101" s="17">
        <f t="shared" si="8"/>
        <v>26</v>
      </c>
      <c r="M101" s="17">
        <f t="shared" si="9"/>
        <v>2</v>
      </c>
      <c r="N101" s="18">
        <f t="shared" si="10"/>
        <v>0.9285714285714286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 t="s">
        <v>1343</v>
      </c>
      <c r="AP101" s="8" t="s">
        <v>1343</v>
      </c>
      <c r="AQ101" s="27"/>
      <c r="AR101" s="27"/>
    </row>
    <row r="102" spans="1:44" ht="15.75" thickBot="1" x14ac:dyDescent="0.3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1042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7"/>
      <c r="P102" s="8"/>
      <c r="Q102" s="8"/>
      <c r="R102" s="8"/>
      <c r="S102" s="27"/>
      <c r="T102" s="27"/>
      <c r="U102" s="8"/>
      <c r="V102" s="8"/>
      <c r="W102" s="8"/>
      <c r="X102" s="27" t="s">
        <v>1343</v>
      </c>
      <c r="Y102" s="27"/>
      <c r="Z102" s="27"/>
      <c r="AA102" s="27"/>
      <c r="AB102" s="27"/>
      <c r="AC102" s="27"/>
      <c r="AD102" s="27"/>
      <c r="AE102" s="27" t="s">
        <v>1343</v>
      </c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1043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283</v>
      </c>
      <c r="C104" s="45" t="s">
        <v>284</v>
      </c>
      <c r="D104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1044</v>
      </c>
      <c r="L104" s="17">
        <f t="shared" si="8"/>
        <v>26</v>
      </c>
      <c r="M104" s="17">
        <f t="shared" si="9"/>
        <v>2</v>
      </c>
      <c r="N104" s="18">
        <f t="shared" si="10"/>
        <v>0.9285714285714286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 t="s">
        <v>1343</v>
      </c>
      <c r="AN104" s="27" t="s">
        <v>1343</v>
      </c>
      <c r="AO104" s="8"/>
      <c r="AP104" s="8"/>
      <c r="AQ104" s="27"/>
      <c r="AR104" s="27"/>
    </row>
    <row r="105" spans="1:44" ht="16.149999999999999" customHeight="1" thickBot="1" x14ac:dyDescent="0.3">
      <c r="A105" t="s">
        <v>283</v>
      </c>
      <c r="C105" s="45" t="s">
        <v>287</v>
      </c>
      <c r="D105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1045</v>
      </c>
      <c r="L105" s="17">
        <f t="shared" si="8"/>
        <v>26</v>
      </c>
      <c r="M105" s="17">
        <f t="shared" si="9"/>
        <v>2</v>
      </c>
      <c r="N105" s="18">
        <f t="shared" si="10"/>
        <v>0.9285714285714286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 t="s">
        <v>1343</v>
      </c>
      <c r="AN105" s="27" t="s">
        <v>1343</v>
      </c>
      <c r="AO105" s="8"/>
      <c r="AP105" s="8"/>
      <c r="AQ105" s="27"/>
      <c r="AR105" s="27"/>
    </row>
    <row r="106" spans="1:44" ht="15.75" thickBot="1" x14ac:dyDescent="0.3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1046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1047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1048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1049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301</v>
      </c>
      <c r="C110" s="45" t="s">
        <v>302</v>
      </c>
      <c r="D110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1056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1057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1050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310</v>
      </c>
      <c r="C113" s="45" t="s">
        <v>311</v>
      </c>
      <c r="D113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1051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313</v>
      </c>
      <c r="C114" s="45" t="s">
        <v>314</v>
      </c>
      <c r="D114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1052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 t="s">
        <v>1343</v>
      </c>
      <c r="AP114" s="8"/>
      <c r="AQ114" s="27"/>
      <c r="AR114" s="27"/>
    </row>
    <row r="115" spans="1:44" ht="15.75" thickBot="1" x14ac:dyDescent="0.3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1053</v>
      </c>
      <c r="L115" s="17">
        <f t="shared" si="8"/>
        <v>18</v>
      </c>
      <c r="M115" s="17">
        <f t="shared" si="9"/>
        <v>10</v>
      </c>
      <c r="N115" s="18">
        <f t="shared" si="10"/>
        <v>0.6428571428571429</v>
      </c>
      <c r="O115" s="27"/>
      <c r="P115" s="8"/>
      <c r="Q115" s="8"/>
      <c r="R115" s="8"/>
      <c r="S115" s="27"/>
      <c r="T115" s="27"/>
      <c r="U115" s="8" t="s">
        <v>1343</v>
      </c>
      <c r="V115" s="8" t="s">
        <v>1343</v>
      </c>
      <c r="W115" s="8" t="s">
        <v>1343</v>
      </c>
      <c r="X115" s="27"/>
      <c r="Y115" s="27" t="s">
        <v>1343</v>
      </c>
      <c r="Z115" s="27"/>
      <c r="AA115" s="27"/>
      <c r="AB115" s="27"/>
      <c r="AC115" s="27"/>
      <c r="AD115" s="27"/>
      <c r="AE115" s="27"/>
      <c r="AF115" s="27"/>
      <c r="AG115" s="27" t="s">
        <v>1343</v>
      </c>
      <c r="AH115" s="27" t="s">
        <v>1343</v>
      </c>
      <c r="AI115" s="27" t="s">
        <v>1343</v>
      </c>
      <c r="AJ115" s="27" t="s">
        <v>1343</v>
      </c>
      <c r="AK115" s="8"/>
      <c r="AL115" s="8"/>
      <c r="AM115" s="8" t="s">
        <v>1343</v>
      </c>
      <c r="AN115" s="27" t="s">
        <v>1343</v>
      </c>
      <c r="AO115" s="8"/>
      <c r="AP115" s="8"/>
      <c r="AQ115" s="27"/>
      <c r="AR115" s="27"/>
    </row>
    <row r="116" spans="1:44" ht="15.75" thickBot="1" x14ac:dyDescent="0.3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1054</v>
      </c>
      <c r="L116" s="17">
        <f t="shared" si="8"/>
        <v>20</v>
      </c>
      <c r="M116" s="17">
        <f t="shared" si="9"/>
        <v>8</v>
      </c>
      <c r="N116" s="18">
        <f t="shared" si="10"/>
        <v>0.7142857142857143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 t="s">
        <v>1343</v>
      </c>
      <c r="Z116" s="27"/>
      <c r="AA116" s="27"/>
      <c r="AB116" s="27"/>
      <c r="AC116" s="27"/>
      <c r="AD116" s="27"/>
      <c r="AE116" s="27"/>
      <c r="AF116" s="27"/>
      <c r="AG116" s="27" t="s">
        <v>1343</v>
      </c>
      <c r="AH116" s="27" t="s">
        <v>1343</v>
      </c>
      <c r="AI116" s="27" t="s">
        <v>1343</v>
      </c>
      <c r="AJ116" s="27" t="s">
        <v>1343</v>
      </c>
      <c r="AK116" s="8" t="s">
        <v>1343</v>
      </c>
      <c r="AL116" s="8"/>
      <c r="AM116" s="8" t="s">
        <v>1343</v>
      </c>
      <c r="AN116" s="27" t="s">
        <v>1343</v>
      </c>
      <c r="AO116" s="8"/>
      <c r="AP116" s="8"/>
      <c r="AQ116" s="27"/>
      <c r="AR116" s="27"/>
    </row>
    <row r="117" spans="1:44" ht="15.75" thickBot="1" x14ac:dyDescent="0.3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1055</v>
      </c>
      <c r="L117" s="17">
        <f t="shared" si="8"/>
        <v>27</v>
      </c>
      <c r="M117" s="17">
        <f t="shared" si="9"/>
        <v>1</v>
      </c>
      <c r="N117" s="18">
        <f t="shared" si="10"/>
        <v>0.9642857142857143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 t="s">
        <v>1343</v>
      </c>
      <c r="AP117" s="8"/>
      <c r="AQ117" s="27"/>
      <c r="AR117" s="27"/>
    </row>
    <row r="118" spans="1:44" ht="15.75" thickBot="1" x14ac:dyDescent="0.3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1058</v>
      </c>
      <c r="L118" s="17">
        <f t="shared" si="8"/>
        <v>26</v>
      </c>
      <c r="M118" s="17">
        <f t="shared" si="9"/>
        <v>2</v>
      </c>
      <c r="N118" s="18">
        <f t="shared" si="10"/>
        <v>0.9285714285714286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 t="s">
        <v>1343</v>
      </c>
      <c r="AP118" s="8" t="s">
        <v>1343</v>
      </c>
      <c r="AQ118" s="27"/>
      <c r="AR118" s="27"/>
    </row>
    <row r="119" spans="1:44" ht="15.75" thickBot="1" x14ac:dyDescent="0.3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1059</v>
      </c>
      <c r="L119" s="17">
        <f t="shared" si="8"/>
        <v>26</v>
      </c>
      <c r="M119" s="17">
        <f t="shared" si="9"/>
        <v>2</v>
      </c>
      <c r="N119" s="18">
        <f t="shared" si="10"/>
        <v>0.9285714285714286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 t="s">
        <v>1343</v>
      </c>
      <c r="AP119" s="8" t="s">
        <v>1343</v>
      </c>
      <c r="AQ119" s="27"/>
      <c r="AR119" s="27"/>
    </row>
    <row r="120" spans="1:44" ht="15.75" thickBot="1" x14ac:dyDescent="0.3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1026</v>
      </c>
      <c r="L120" s="17">
        <f t="shared" si="8"/>
        <v>27</v>
      </c>
      <c r="M120" s="17">
        <f t="shared" si="9"/>
        <v>1</v>
      </c>
      <c r="N120" s="18">
        <f t="shared" si="10"/>
        <v>0.9642857142857143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 t="s">
        <v>1343</v>
      </c>
      <c r="AP120" s="8"/>
      <c r="AQ120" s="27"/>
      <c r="AR120" s="27"/>
    </row>
    <row r="121" spans="1:44" ht="15.75" thickBot="1" x14ac:dyDescent="0.3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1027</v>
      </c>
      <c r="L121" s="17">
        <f t="shared" si="8"/>
        <v>27</v>
      </c>
      <c r="M121" s="17">
        <f t="shared" si="9"/>
        <v>1</v>
      </c>
      <c r="N121" s="18">
        <f t="shared" si="10"/>
        <v>0.9642857142857143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 t="s">
        <v>1343</v>
      </c>
      <c r="AP121" s="8"/>
      <c r="AQ121" s="27"/>
      <c r="AR121" s="27"/>
    </row>
    <row r="122" spans="1:44" ht="15.75" thickBot="1" x14ac:dyDescent="0.3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1061</v>
      </c>
      <c r="L122" s="17">
        <f t="shared" si="8"/>
        <v>27</v>
      </c>
      <c r="M122" s="17">
        <f t="shared" si="9"/>
        <v>1</v>
      </c>
      <c r="N122" s="18">
        <f t="shared" si="10"/>
        <v>0.9642857142857143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 t="s">
        <v>1343</v>
      </c>
      <c r="AP122" s="8"/>
      <c r="AQ122" s="27"/>
      <c r="AR122" s="27"/>
    </row>
    <row r="123" spans="1:44" ht="15.75" thickBot="1" x14ac:dyDescent="0.3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1062</v>
      </c>
      <c r="L123" s="17">
        <f t="shared" si="8"/>
        <v>27</v>
      </c>
      <c r="M123" s="17">
        <f t="shared" si="9"/>
        <v>1</v>
      </c>
      <c r="N123" s="18">
        <f t="shared" si="10"/>
        <v>0.9642857142857143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 t="s">
        <v>1343</v>
      </c>
      <c r="AP123" s="8"/>
      <c r="AQ123" s="27"/>
      <c r="AR123" s="27"/>
    </row>
    <row r="124" spans="1:44" ht="15.75" thickBot="1" x14ac:dyDescent="0.3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1063</v>
      </c>
      <c r="L124" s="17">
        <f t="shared" si="8"/>
        <v>23</v>
      </c>
      <c r="M124" s="17">
        <f t="shared" si="9"/>
        <v>5</v>
      </c>
      <c r="N124" s="18">
        <f t="shared" si="10"/>
        <v>0.8214285714285714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 t="s">
        <v>1343</v>
      </c>
      <c r="AH124" s="27" t="s">
        <v>1343</v>
      </c>
      <c r="AI124" s="27" t="s">
        <v>1343</v>
      </c>
      <c r="AJ124" s="27"/>
      <c r="AK124" s="8"/>
      <c r="AL124" s="8"/>
      <c r="AM124" s="8" t="s">
        <v>1343</v>
      </c>
      <c r="AN124" s="27" t="s">
        <v>1343</v>
      </c>
      <c r="AO124" s="8"/>
      <c r="AP124" s="8"/>
      <c r="AQ124" s="27"/>
      <c r="AR124" s="27"/>
    </row>
    <row r="125" spans="1:44" ht="15.75" thickBot="1" x14ac:dyDescent="0.3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1070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1071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1072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1073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342</v>
      </c>
      <c r="C129" s="45" t="s">
        <v>355</v>
      </c>
      <c r="D129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1075</v>
      </c>
      <c r="L129" s="17">
        <f t="shared" si="8"/>
        <v>26</v>
      </c>
      <c r="M129" s="17">
        <f t="shared" si="9"/>
        <v>2</v>
      </c>
      <c r="N129" s="18">
        <f t="shared" si="10"/>
        <v>0.9285714285714286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 t="s">
        <v>1343</v>
      </c>
      <c r="AN129" s="27" t="s">
        <v>1343</v>
      </c>
      <c r="AO129" s="8"/>
      <c r="AP129" s="8"/>
      <c r="AQ129" s="27"/>
      <c r="AR129" s="27"/>
    </row>
    <row r="130" spans="1:44" ht="15.75" thickBot="1" x14ac:dyDescent="0.3">
      <c r="A130" t="s">
        <v>342</v>
      </c>
      <c r="C130" s="45" t="s">
        <v>357</v>
      </c>
      <c r="D130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1076</v>
      </c>
      <c r="L130" s="17">
        <f t="shared" si="8"/>
        <v>26</v>
      </c>
      <c r="M130" s="17">
        <f t="shared" si="9"/>
        <v>2</v>
      </c>
      <c r="N130" s="18">
        <f t="shared" si="10"/>
        <v>0.9285714285714286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 t="s">
        <v>1343</v>
      </c>
      <c r="AN130" s="27" t="s">
        <v>1343</v>
      </c>
      <c r="AO130" s="8"/>
      <c r="AP130" s="8"/>
      <c r="AQ130" s="27"/>
      <c r="AR130" s="27"/>
    </row>
    <row r="131" spans="1:44" ht="15.75" thickBot="1" x14ac:dyDescent="0.3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1064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1065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1066</v>
      </c>
      <c r="L133" s="17">
        <f t="shared" ref="L133:L196" si="11">COUNTIF(O133:AP133,"")</f>
        <v>2</v>
      </c>
      <c r="M133" s="17">
        <f t="shared" ref="M133:M196" si="12">COUNTIF(O133:AP133,"APAGADO")</f>
        <v>26</v>
      </c>
      <c r="N133" s="18">
        <f t="shared" ref="N133:N196" si="13">(L133)/(M133+L133)</f>
        <v>7.1428571428571425E-2</v>
      </c>
      <c r="O133" s="27" t="s">
        <v>1343</v>
      </c>
      <c r="P133" s="8"/>
      <c r="Q133" s="8"/>
      <c r="R133" s="8" t="s">
        <v>1343</v>
      </c>
      <c r="S133" s="27" t="s">
        <v>1343</v>
      </c>
      <c r="T133" s="27" t="s">
        <v>1343</v>
      </c>
      <c r="U133" s="8" t="s">
        <v>1343</v>
      </c>
      <c r="V133" s="8" t="s">
        <v>1343</v>
      </c>
      <c r="W133" s="8" t="s">
        <v>1343</v>
      </c>
      <c r="X133" s="27" t="s">
        <v>1343</v>
      </c>
      <c r="Y133" s="27" t="s">
        <v>1343</v>
      </c>
      <c r="Z133" s="27" t="s">
        <v>1343</v>
      </c>
      <c r="AA133" s="27" t="s">
        <v>1343</v>
      </c>
      <c r="AB133" s="27" t="s">
        <v>1343</v>
      </c>
      <c r="AC133" s="27" t="s">
        <v>1343</v>
      </c>
      <c r="AD133" s="27" t="s">
        <v>1343</v>
      </c>
      <c r="AE133" s="27" t="s">
        <v>1343</v>
      </c>
      <c r="AF133" s="27" t="s">
        <v>1343</v>
      </c>
      <c r="AG133" s="27" t="s">
        <v>1343</v>
      </c>
      <c r="AH133" s="27" t="s">
        <v>1343</v>
      </c>
      <c r="AI133" s="27" t="s">
        <v>1343</v>
      </c>
      <c r="AJ133" s="27" t="s">
        <v>1343</v>
      </c>
      <c r="AK133" s="8" t="s">
        <v>1343</v>
      </c>
      <c r="AL133" s="8" t="s">
        <v>1343</v>
      </c>
      <c r="AM133" s="8" t="s">
        <v>1343</v>
      </c>
      <c r="AN133" s="27" t="s">
        <v>1343</v>
      </c>
      <c r="AO133" s="8" t="s">
        <v>1343</v>
      </c>
      <c r="AP133" s="8" t="s">
        <v>1343</v>
      </c>
      <c r="AQ133" s="27"/>
      <c r="AR133" s="27"/>
    </row>
    <row r="134" spans="1:44" ht="15.75" thickBot="1" x14ac:dyDescent="0.3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1067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1068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1069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1074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342</v>
      </c>
      <c r="C138" s="45" t="s">
        <v>378</v>
      </c>
      <c r="D13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1077</v>
      </c>
      <c r="L138" s="17">
        <f t="shared" si="11"/>
        <v>26</v>
      </c>
      <c r="M138" s="17">
        <f t="shared" si="12"/>
        <v>2</v>
      </c>
      <c r="N138" s="18">
        <f t="shared" si="13"/>
        <v>0.9285714285714286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 t="s">
        <v>1343</v>
      </c>
      <c r="AN138" s="27" t="s">
        <v>1343</v>
      </c>
      <c r="AO138" s="8"/>
      <c r="AP138" s="8"/>
      <c r="AQ138" s="27"/>
      <c r="AR138" s="27"/>
    </row>
    <row r="139" spans="1:44" ht="15.75" thickBot="1" x14ac:dyDescent="0.3">
      <c r="A139" t="s">
        <v>342</v>
      </c>
      <c r="C139" s="45" t="s">
        <v>381</v>
      </c>
      <c r="D139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1078</v>
      </c>
      <c r="L139" s="17">
        <f t="shared" si="11"/>
        <v>26</v>
      </c>
      <c r="M139" s="17">
        <f t="shared" si="12"/>
        <v>2</v>
      </c>
      <c r="N139" s="18">
        <f t="shared" si="13"/>
        <v>0.9285714285714286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 t="s">
        <v>1343</v>
      </c>
      <c r="AN139" s="27" t="s">
        <v>1343</v>
      </c>
      <c r="AO139" s="8"/>
      <c r="AP139" s="8"/>
      <c r="AQ139" s="27"/>
      <c r="AR139" s="27"/>
    </row>
    <row r="140" spans="1:44" ht="15.75" thickBot="1" x14ac:dyDescent="0.3">
      <c r="A140" t="s">
        <v>342</v>
      </c>
      <c r="C140" s="45" t="s">
        <v>383</v>
      </c>
      <c r="D140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1079</v>
      </c>
      <c r="L140" s="17">
        <f t="shared" si="11"/>
        <v>26</v>
      </c>
      <c r="M140" s="17">
        <f t="shared" si="12"/>
        <v>2</v>
      </c>
      <c r="N140" s="18">
        <f t="shared" si="13"/>
        <v>0.9285714285714286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 t="s">
        <v>1343</v>
      </c>
      <c r="AN140" s="27" t="s">
        <v>1343</v>
      </c>
      <c r="AO140" s="8"/>
      <c r="AP140" s="8"/>
      <c r="AQ140" s="27"/>
      <c r="AR140" s="27"/>
    </row>
    <row r="141" spans="1:44" ht="15.75" thickBot="1" x14ac:dyDescent="0.3">
      <c r="A141" t="s">
        <v>342</v>
      </c>
      <c r="C141" s="45" t="s">
        <v>386</v>
      </c>
      <c r="D141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1080</v>
      </c>
      <c r="L141" s="17">
        <f t="shared" si="11"/>
        <v>26</v>
      </c>
      <c r="M141" s="17">
        <f t="shared" si="12"/>
        <v>2</v>
      </c>
      <c r="N141" s="18">
        <f t="shared" si="13"/>
        <v>0.9285714285714286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 t="s">
        <v>1343</v>
      </c>
      <c r="AN141" s="27" t="s">
        <v>1343</v>
      </c>
      <c r="AO141" s="8"/>
      <c r="AP141" s="8"/>
      <c r="AQ141" s="27"/>
      <c r="AR141" s="27"/>
    </row>
    <row r="142" spans="1:44" ht="15.75" thickBot="1" x14ac:dyDescent="0.3">
      <c r="A142" t="s">
        <v>167</v>
      </c>
      <c r="C142" s="45" t="s">
        <v>387</v>
      </c>
      <c r="D142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1081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167</v>
      </c>
      <c r="C143" s="45" t="s">
        <v>390</v>
      </c>
      <c r="D143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1082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1083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261</v>
      </c>
      <c r="C145" s="45" t="s">
        <v>394</v>
      </c>
      <c r="D145" t="s">
        <v>1320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1084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1085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1086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1060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1087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1088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1089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1090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1091</v>
      </c>
      <c r="L153" s="17">
        <f t="shared" si="11"/>
        <v>22</v>
      </c>
      <c r="M153" s="17">
        <f t="shared" si="12"/>
        <v>5</v>
      </c>
      <c r="N153" s="18">
        <f t="shared" si="13"/>
        <v>0.81481481481481477</v>
      </c>
      <c r="O153" s="27" t="s">
        <v>1343</v>
      </c>
      <c r="P153" s="8"/>
      <c r="Q153" s="8"/>
      <c r="R153" s="8" t="s">
        <v>1343</v>
      </c>
      <c r="S153" s="27" t="s">
        <v>1346</v>
      </c>
      <c r="T153" s="27" t="s">
        <v>1343</v>
      </c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 t="s">
        <v>1343</v>
      </c>
      <c r="AJ153" s="27" t="s">
        <v>1343</v>
      </c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1092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1093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1094</v>
      </c>
      <c r="L156" s="17">
        <f t="shared" si="11"/>
        <v>24</v>
      </c>
      <c r="M156" s="17">
        <f t="shared" si="12"/>
        <v>4</v>
      </c>
      <c r="N156" s="18">
        <f t="shared" si="13"/>
        <v>0.8571428571428571</v>
      </c>
      <c r="O156" s="27" t="s">
        <v>1343</v>
      </c>
      <c r="P156" s="8"/>
      <c r="Q156" s="8"/>
      <c r="R156" s="8" t="s">
        <v>1343</v>
      </c>
      <c r="S156" s="27" t="s">
        <v>1343</v>
      </c>
      <c r="T156" s="27"/>
      <c r="U156" s="8"/>
      <c r="V156" s="8"/>
      <c r="W156" s="8"/>
      <c r="X156" s="27"/>
      <c r="Y156" s="27"/>
      <c r="Z156" s="27"/>
      <c r="AA156" s="27"/>
      <c r="AB156" s="27" t="s">
        <v>1343</v>
      </c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1095</v>
      </c>
      <c r="L157" s="17">
        <f t="shared" si="11"/>
        <v>20</v>
      </c>
      <c r="M157" s="17">
        <f t="shared" si="12"/>
        <v>8</v>
      </c>
      <c r="N157" s="18">
        <f t="shared" si="13"/>
        <v>0.7142857142857143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 t="s">
        <v>1343</v>
      </c>
      <c r="Z157" s="27" t="s">
        <v>1343</v>
      </c>
      <c r="AA157" s="27" t="s">
        <v>1343</v>
      </c>
      <c r="AB157" s="27" t="s">
        <v>1343</v>
      </c>
      <c r="AC157" s="27" t="s">
        <v>1343</v>
      </c>
      <c r="AD157" s="27" t="s">
        <v>1343</v>
      </c>
      <c r="AE157" s="27" t="s">
        <v>1343</v>
      </c>
      <c r="AF157" s="27" t="s">
        <v>1343</v>
      </c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1096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1343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1097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415</v>
      </c>
      <c r="C160" s="45" t="s">
        <v>430</v>
      </c>
      <c r="D160" t="s">
        <v>1325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1098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1099</v>
      </c>
      <c r="L161" s="17">
        <f t="shared" si="11"/>
        <v>23</v>
      </c>
      <c r="M161" s="17">
        <f t="shared" si="12"/>
        <v>5</v>
      </c>
      <c r="N161" s="18">
        <f t="shared" si="13"/>
        <v>0.8214285714285714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 t="s">
        <v>1343</v>
      </c>
      <c r="AC161" s="27" t="s">
        <v>1343</v>
      </c>
      <c r="AD161" s="27" t="s">
        <v>1343</v>
      </c>
      <c r="AE161" s="27" t="s">
        <v>1343</v>
      </c>
      <c r="AF161" s="27" t="s">
        <v>1343</v>
      </c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1100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1101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1102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1103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1105</v>
      </c>
      <c r="L166" s="17">
        <f t="shared" si="11"/>
        <v>27</v>
      </c>
      <c r="M166" s="17">
        <f t="shared" si="12"/>
        <v>1</v>
      </c>
      <c r="N166" s="18">
        <f t="shared" si="13"/>
        <v>0.9642857142857143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 t="s">
        <v>1343</v>
      </c>
      <c r="AQ166" s="27"/>
      <c r="AR166" s="27"/>
    </row>
    <row r="167" spans="1:44" ht="15.75" thickBot="1" x14ac:dyDescent="0.3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1104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.75" thickBot="1" x14ac:dyDescent="0.3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1106</v>
      </c>
      <c r="L168" s="17">
        <f t="shared" si="11"/>
        <v>24</v>
      </c>
      <c r="M168" s="17">
        <f t="shared" si="12"/>
        <v>4</v>
      </c>
      <c r="N168" s="18">
        <f t="shared" si="13"/>
        <v>0.8571428571428571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 t="s">
        <v>1343</v>
      </c>
      <c r="AA168" s="27" t="s">
        <v>1343</v>
      </c>
      <c r="AB168" s="27" t="s">
        <v>1343</v>
      </c>
      <c r="AC168" s="27"/>
      <c r="AD168" s="27"/>
      <c r="AE168" s="27"/>
      <c r="AF168" s="27"/>
      <c r="AG168" s="27"/>
      <c r="AH168" s="27"/>
      <c r="AI168" s="27"/>
      <c r="AJ168" s="27" t="s">
        <v>1343</v>
      </c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1111</v>
      </c>
      <c r="L169" s="17">
        <f t="shared" si="11"/>
        <v>27</v>
      </c>
      <c r="M169" s="17">
        <f t="shared" si="12"/>
        <v>1</v>
      </c>
      <c r="N169" s="18">
        <f t="shared" si="13"/>
        <v>0.9642857142857143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 t="s">
        <v>1343</v>
      </c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1112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1113</v>
      </c>
      <c r="L171" s="17">
        <f t="shared" si="11"/>
        <v>24</v>
      </c>
      <c r="M171" s="17">
        <f t="shared" si="12"/>
        <v>4</v>
      </c>
      <c r="N171" s="18">
        <f t="shared" si="13"/>
        <v>0.8571428571428571</v>
      </c>
      <c r="O171" s="27" t="s">
        <v>1343</v>
      </c>
      <c r="P171" s="8"/>
      <c r="Q171" s="8"/>
      <c r="R171" s="8" t="s">
        <v>1343</v>
      </c>
      <c r="S171" s="27" t="s">
        <v>1343</v>
      </c>
      <c r="T171" s="27"/>
      <c r="U171" s="8"/>
      <c r="V171" s="8"/>
      <c r="W171" s="8"/>
      <c r="X171" s="27"/>
      <c r="Y171" s="27"/>
      <c r="Z171" s="27"/>
      <c r="AA171" s="27"/>
      <c r="AB171" s="27" t="s">
        <v>1343</v>
      </c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1114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1115</v>
      </c>
      <c r="L173" s="17">
        <f t="shared" si="11"/>
        <v>26</v>
      </c>
      <c r="M173" s="17">
        <f t="shared" si="12"/>
        <v>2</v>
      </c>
      <c r="N173" s="18">
        <f t="shared" si="13"/>
        <v>0.9285714285714286</v>
      </c>
      <c r="O173" s="27"/>
      <c r="P173" s="8"/>
      <c r="Q173" s="8"/>
      <c r="R173" s="8"/>
      <c r="S173" s="27"/>
      <c r="T173" s="27"/>
      <c r="U173" s="8"/>
      <c r="V173" s="8"/>
      <c r="W173" s="8" t="s">
        <v>1343</v>
      </c>
      <c r="X173" s="27"/>
      <c r="Y173" s="27"/>
      <c r="Z173" s="27"/>
      <c r="AA173" s="27"/>
      <c r="AB173" s="27" t="s">
        <v>1343</v>
      </c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1116</v>
      </c>
      <c r="L174" s="17">
        <f t="shared" si="11"/>
        <v>22</v>
      </c>
      <c r="M174" s="17">
        <f t="shared" si="12"/>
        <v>6</v>
      </c>
      <c r="N174" s="18">
        <f t="shared" si="13"/>
        <v>0.7857142857142857</v>
      </c>
      <c r="O174" s="27" t="s">
        <v>1343</v>
      </c>
      <c r="P174" s="8"/>
      <c r="Q174" s="8"/>
      <c r="R174" s="8" t="s">
        <v>1343</v>
      </c>
      <c r="S174" s="27" t="s">
        <v>1343</v>
      </c>
      <c r="T174" s="27" t="s">
        <v>1343</v>
      </c>
      <c r="U174" s="8" t="s">
        <v>1343</v>
      </c>
      <c r="V174" s="8"/>
      <c r="W174" s="8"/>
      <c r="X174" s="27"/>
      <c r="Y174" s="27"/>
      <c r="Z174" s="27"/>
      <c r="AA174" s="27"/>
      <c r="AB174" s="27" t="s">
        <v>1343</v>
      </c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1117</v>
      </c>
      <c r="L175" s="17">
        <f t="shared" si="11"/>
        <v>27</v>
      </c>
      <c r="M175" s="17">
        <f t="shared" si="12"/>
        <v>1</v>
      </c>
      <c r="N175" s="18">
        <f t="shared" si="13"/>
        <v>0.9642857142857143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 t="s">
        <v>1343</v>
      </c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1118</v>
      </c>
      <c r="L176" s="17">
        <f t="shared" si="11"/>
        <v>22</v>
      </c>
      <c r="M176" s="17">
        <f t="shared" si="12"/>
        <v>6</v>
      </c>
      <c r="N176" s="18">
        <f t="shared" si="13"/>
        <v>0.7857142857142857</v>
      </c>
      <c r="O176" s="27"/>
      <c r="P176" s="8"/>
      <c r="Q176" s="8"/>
      <c r="R176" s="8" t="s">
        <v>1343</v>
      </c>
      <c r="S176" s="27" t="s">
        <v>1343</v>
      </c>
      <c r="T176" s="27" t="s">
        <v>1343</v>
      </c>
      <c r="U176" s="8" t="s">
        <v>1343</v>
      </c>
      <c r="V176" s="8"/>
      <c r="W176" s="8"/>
      <c r="X176" s="27"/>
      <c r="Y176" s="27" t="s">
        <v>1343</v>
      </c>
      <c r="Z176" s="27" t="s">
        <v>1343</v>
      </c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1119</v>
      </c>
      <c r="L177" s="17">
        <f t="shared" si="11"/>
        <v>10</v>
      </c>
      <c r="M177" s="17">
        <f t="shared" si="12"/>
        <v>18</v>
      </c>
      <c r="N177" s="18">
        <f t="shared" si="13"/>
        <v>0.35714285714285715</v>
      </c>
      <c r="O177" s="27"/>
      <c r="P177" s="8"/>
      <c r="Q177" s="8"/>
      <c r="R177" s="8"/>
      <c r="S177" s="27"/>
      <c r="T177" s="27"/>
      <c r="U177" s="8"/>
      <c r="V177" s="8" t="s">
        <v>1343</v>
      </c>
      <c r="W177" s="8" t="s">
        <v>1343</v>
      </c>
      <c r="X177" s="27" t="s">
        <v>1343</v>
      </c>
      <c r="Y177" s="27"/>
      <c r="Z177" s="27"/>
      <c r="AA177" s="27" t="s">
        <v>1343</v>
      </c>
      <c r="AB177" s="27" t="s">
        <v>1343</v>
      </c>
      <c r="AC177" s="27"/>
      <c r="AD177" s="27" t="s">
        <v>1343</v>
      </c>
      <c r="AE177" s="27" t="s">
        <v>1343</v>
      </c>
      <c r="AF177" s="27" t="s">
        <v>1343</v>
      </c>
      <c r="AG177" s="27" t="s">
        <v>1343</v>
      </c>
      <c r="AH177" s="27" t="s">
        <v>1343</v>
      </c>
      <c r="AI177" s="27" t="s">
        <v>1343</v>
      </c>
      <c r="AJ177" s="27" t="s">
        <v>1343</v>
      </c>
      <c r="AK177" s="8" t="s">
        <v>1343</v>
      </c>
      <c r="AL177" s="8" t="s">
        <v>1343</v>
      </c>
      <c r="AM177" s="8" t="s">
        <v>1343</v>
      </c>
      <c r="AN177" s="27" t="s">
        <v>1343</v>
      </c>
      <c r="AO177" s="8" t="s">
        <v>1343</v>
      </c>
      <c r="AP177" s="8" t="s">
        <v>1343</v>
      </c>
      <c r="AQ177" s="27"/>
      <c r="AR177" s="27"/>
    </row>
    <row r="178" spans="1:44" ht="15.75" thickBot="1" x14ac:dyDescent="0.3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1120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1128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1121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1122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480</v>
      </c>
      <c r="C182" s="45" t="s">
        <v>489</v>
      </c>
      <c r="D182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1123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1124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1125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1126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.75" thickBot="1" x14ac:dyDescent="0.3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1127</v>
      </c>
      <c r="L186" s="17">
        <f t="shared" si="11"/>
        <v>22</v>
      </c>
      <c r="M186" s="17">
        <f t="shared" si="12"/>
        <v>6</v>
      </c>
      <c r="N186" s="18">
        <f t="shared" si="13"/>
        <v>0.7857142857142857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 t="s">
        <v>1343</v>
      </c>
      <c r="AH186" s="27" t="s">
        <v>1343</v>
      </c>
      <c r="AI186" s="27"/>
      <c r="AJ186" s="27" t="s">
        <v>1343</v>
      </c>
      <c r="AK186" s="8" t="s">
        <v>1343</v>
      </c>
      <c r="AL186" s="8"/>
      <c r="AM186" s="8" t="s">
        <v>1343</v>
      </c>
      <c r="AN186" s="27" t="s">
        <v>1343</v>
      </c>
      <c r="AO186" s="8"/>
      <c r="AP186" s="8"/>
      <c r="AQ186" s="27"/>
      <c r="AR186" s="27"/>
    </row>
    <row r="187" spans="1:44" ht="15.75" thickBot="1" x14ac:dyDescent="0.3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1129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.75" thickBot="1" x14ac:dyDescent="0.3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1130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1131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1132</v>
      </c>
      <c r="L190" s="17">
        <f t="shared" si="11"/>
        <v>25</v>
      </c>
      <c r="M190" s="17">
        <f t="shared" si="12"/>
        <v>3</v>
      </c>
      <c r="N190" s="18">
        <f t="shared" si="13"/>
        <v>0.8928571428571429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 t="s">
        <v>1343</v>
      </c>
      <c r="AI190" s="27" t="s">
        <v>1343</v>
      </c>
      <c r="AJ190" s="27" t="s">
        <v>1343</v>
      </c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1133</v>
      </c>
      <c r="L191" s="17">
        <f t="shared" si="11"/>
        <v>2</v>
      </c>
      <c r="M191" s="17">
        <f t="shared" si="12"/>
        <v>26</v>
      </c>
      <c r="N191" s="18">
        <f t="shared" si="13"/>
        <v>7.1428571428571425E-2</v>
      </c>
      <c r="O191" s="27" t="s">
        <v>1343</v>
      </c>
      <c r="P191" s="8"/>
      <c r="Q191" s="8"/>
      <c r="R191" s="8" t="s">
        <v>1343</v>
      </c>
      <c r="S191" s="27" t="s">
        <v>1343</v>
      </c>
      <c r="T191" s="27" t="s">
        <v>1343</v>
      </c>
      <c r="U191" s="8" t="s">
        <v>1343</v>
      </c>
      <c r="V191" s="8" t="s">
        <v>1343</v>
      </c>
      <c r="W191" s="8" t="s">
        <v>1343</v>
      </c>
      <c r="X191" s="27" t="s">
        <v>1343</v>
      </c>
      <c r="Y191" s="27" t="s">
        <v>1343</v>
      </c>
      <c r="Z191" s="27" t="s">
        <v>1343</v>
      </c>
      <c r="AA191" s="27" t="s">
        <v>1343</v>
      </c>
      <c r="AB191" s="27" t="s">
        <v>1343</v>
      </c>
      <c r="AC191" s="27" t="s">
        <v>1343</v>
      </c>
      <c r="AD191" s="27" t="s">
        <v>1343</v>
      </c>
      <c r="AE191" s="27" t="s">
        <v>1343</v>
      </c>
      <c r="AF191" s="27" t="s">
        <v>1343</v>
      </c>
      <c r="AG191" s="27" t="s">
        <v>1343</v>
      </c>
      <c r="AH191" s="27" t="s">
        <v>1343</v>
      </c>
      <c r="AI191" s="27" t="s">
        <v>1343</v>
      </c>
      <c r="AJ191" s="27" t="s">
        <v>1343</v>
      </c>
      <c r="AK191" s="8" t="s">
        <v>1343</v>
      </c>
      <c r="AL191" s="8" t="s">
        <v>1343</v>
      </c>
      <c r="AM191" s="8" t="s">
        <v>1343</v>
      </c>
      <c r="AN191" s="27" t="s">
        <v>1343</v>
      </c>
      <c r="AO191" s="8" t="s">
        <v>1343</v>
      </c>
      <c r="AP191" s="8" t="s">
        <v>1343</v>
      </c>
      <c r="AQ191" s="27"/>
      <c r="AR191" s="27"/>
    </row>
    <row r="192" spans="1:44" ht="15.75" thickBot="1" x14ac:dyDescent="0.3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1134</v>
      </c>
      <c r="L192" s="17">
        <f t="shared" si="11"/>
        <v>2</v>
      </c>
      <c r="M192" s="17">
        <f t="shared" si="12"/>
        <v>26</v>
      </c>
      <c r="N192" s="18">
        <f t="shared" si="13"/>
        <v>7.1428571428571425E-2</v>
      </c>
      <c r="O192" s="27" t="s">
        <v>1343</v>
      </c>
      <c r="P192" s="8"/>
      <c r="Q192" s="8"/>
      <c r="R192" s="8" t="s">
        <v>1343</v>
      </c>
      <c r="S192" s="27" t="s">
        <v>1343</v>
      </c>
      <c r="T192" s="27" t="s">
        <v>1343</v>
      </c>
      <c r="U192" s="8" t="s">
        <v>1343</v>
      </c>
      <c r="V192" s="8" t="s">
        <v>1343</v>
      </c>
      <c r="W192" s="8" t="s">
        <v>1343</v>
      </c>
      <c r="X192" s="27" t="s">
        <v>1343</v>
      </c>
      <c r="Y192" s="27" t="s">
        <v>1343</v>
      </c>
      <c r="Z192" s="27" t="s">
        <v>1343</v>
      </c>
      <c r="AA192" s="27" t="s">
        <v>1343</v>
      </c>
      <c r="AB192" s="27" t="s">
        <v>1343</v>
      </c>
      <c r="AC192" s="27" t="s">
        <v>1343</v>
      </c>
      <c r="AD192" s="27" t="s">
        <v>1343</v>
      </c>
      <c r="AE192" s="27" t="s">
        <v>1343</v>
      </c>
      <c r="AF192" s="27" t="s">
        <v>1343</v>
      </c>
      <c r="AG192" s="27" t="s">
        <v>1343</v>
      </c>
      <c r="AH192" s="27" t="s">
        <v>1343</v>
      </c>
      <c r="AI192" s="27" t="s">
        <v>1343</v>
      </c>
      <c r="AJ192" s="27" t="s">
        <v>1343</v>
      </c>
      <c r="AK192" s="8" t="s">
        <v>1343</v>
      </c>
      <c r="AL192" s="8" t="s">
        <v>1343</v>
      </c>
      <c r="AM192" s="8" t="s">
        <v>1343</v>
      </c>
      <c r="AN192" s="27" t="s">
        <v>1343</v>
      </c>
      <c r="AO192" s="8" t="s">
        <v>1343</v>
      </c>
      <c r="AP192" s="8" t="s">
        <v>1343</v>
      </c>
      <c r="AQ192" s="27"/>
      <c r="AR192" s="27"/>
    </row>
    <row r="193" spans="1:44" ht="15.75" thickBot="1" x14ac:dyDescent="0.3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1135</v>
      </c>
      <c r="L193" s="17">
        <f t="shared" si="11"/>
        <v>22</v>
      </c>
      <c r="M193" s="17">
        <f t="shared" si="12"/>
        <v>6</v>
      </c>
      <c r="N193" s="18">
        <f t="shared" si="13"/>
        <v>0.7857142857142857</v>
      </c>
      <c r="O193" s="27" t="s">
        <v>1343</v>
      </c>
      <c r="P193" s="8"/>
      <c r="Q193" s="8"/>
      <c r="R193" s="8" t="s">
        <v>1343</v>
      </c>
      <c r="S193" s="27" t="s">
        <v>1343</v>
      </c>
      <c r="T193" s="27" t="s">
        <v>1343</v>
      </c>
      <c r="U193" s="8" t="s">
        <v>1343</v>
      </c>
      <c r="V193" s="8"/>
      <c r="W193" s="8"/>
      <c r="X193" s="27"/>
      <c r="Y193" s="27" t="s">
        <v>1343</v>
      </c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1136</v>
      </c>
      <c r="L194" s="17">
        <f t="shared" si="11"/>
        <v>8</v>
      </c>
      <c r="M194" s="17">
        <f t="shared" si="12"/>
        <v>20</v>
      </c>
      <c r="N194" s="18">
        <f t="shared" si="13"/>
        <v>0.2857142857142857</v>
      </c>
      <c r="O194" s="27" t="s">
        <v>1343</v>
      </c>
      <c r="P194" s="8"/>
      <c r="Q194" s="8"/>
      <c r="R194" s="8" t="s">
        <v>1343</v>
      </c>
      <c r="S194" s="27" t="s">
        <v>1343</v>
      </c>
      <c r="T194" s="27" t="s">
        <v>1343</v>
      </c>
      <c r="U194" s="8"/>
      <c r="V194" s="8"/>
      <c r="W194" s="8"/>
      <c r="X194" s="27" t="s">
        <v>1343</v>
      </c>
      <c r="Y194" s="27" t="s">
        <v>1343</v>
      </c>
      <c r="Z194" s="27" t="s">
        <v>1343</v>
      </c>
      <c r="AA194" s="27"/>
      <c r="AB194" s="27"/>
      <c r="AC194" s="27" t="s">
        <v>1343</v>
      </c>
      <c r="AD194" s="27" t="s">
        <v>1343</v>
      </c>
      <c r="AE194" s="27"/>
      <c r="AF194" s="27" t="s">
        <v>1343</v>
      </c>
      <c r="AG194" s="27" t="s">
        <v>1343</v>
      </c>
      <c r="AH194" s="27" t="s">
        <v>1343</v>
      </c>
      <c r="AI194" s="27" t="s">
        <v>1343</v>
      </c>
      <c r="AJ194" s="27" t="s">
        <v>1343</v>
      </c>
      <c r="AK194" s="8" t="s">
        <v>1343</v>
      </c>
      <c r="AL194" s="8" t="s">
        <v>1343</v>
      </c>
      <c r="AM194" s="8" t="s">
        <v>1343</v>
      </c>
      <c r="AN194" s="27" t="s">
        <v>1343</v>
      </c>
      <c r="AO194" s="8" t="s">
        <v>1343</v>
      </c>
      <c r="AP194" s="8" t="s">
        <v>1343</v>
      </c>
      <c r="AQ194" s="27"/>
      <c r="AR194" s="27"/>
    </row>
    <row r="195" spans="1:44" ht="15.75" thickBot="1" x14ac:dyDescent="0.3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1137</v>
      </c>
      <c r="L195" s="17">
        <f t="shared" si="11"/>
        <v>23</v>
      </c>
      <c r="M195" s="17">
        <f t="shared" si="12"/>
        <v>5</v>
      </c>
      <c r="N195" s="18">
        <f t="shared" si="13"/>
        <v>0.8214285714285714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 t="s">
        <v>1343</v>
      </c>
      <c r="AM195" s="8" t="s">
        <v>1343</v>
      </c>
      <c r="AN195" s="27" t="s">
        <v>1343</v>
      </c>
      <c r="AO195" s="8" t="s">
        <v>1343</v>
      </c>
      <c r="AP195" s="8" t="s">
        <v>1343</v>
      </c>
      <c r="AQ195" s="27"/>
      <c r="AR195" s="27"/>
    </row>
    <row r="196" spans="1:44" ht="15.75" thickBot="1" x14ac:dyDescent="0.3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1138</v>
      </c>
      <c r="L196" s="17">
        <f t="shared" si="11"/>
        <v>23</v>
      </c>
      <c r="M196" s="17">
        <f t="shared" si="12"/>
        <v>5</v>
      </c>
      <c r="N196" s="18">
        <f t="shared" si="13"/>
        <v>0.8214285714285714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 t="s">
        <v>1343</v>
      </c>
      <c r="AM196" s="8" t="s">
        <v>1343</v>
      </c>
      <c r="AN196" s="27" t="s">
        <v>1343</v>
      </c>
      <c r="AO196" s="8" t="s">
        <v>1343</v>
      </c>
      <c r="AP196" s="8" t="s">
        <v>1343</v>
      </c>
      <c r="AQ196" s="27"/>
      <c r="AR196" s="27"/>
    </row>
    <row r="197" spans="1:44" ht="15.75" thickBot="1" x14ac:dyDescent="0.3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1139</v>
      </c>
      <c r="L197" s="17">
        <f t="shared" ref="L197:L262" si="14">COUNTIF(O197:AP197,"")</f>
        <v>18</v>
      </c>
      <c r="M197" s="17">
        <f t="shared" ref="M197:M262" si="15">COUNTIF(O197:AP197,"APAGADO")</f>
        <v>10</v>
      </c>
      <c r="N197" s="18">
        <f t="shared" ref="N197:N262" si="16">(L197)/(M197+L197)</f>
        <v>0.6428571428571429</v>
      </c>
      <c r="O197" s="27" t="s">
        <v>1343</v>
      </c>
      <c r="P197" s="8"/>
      <c r="Q197" s="8"/>
      <c r="R197" s="8" t="s">
        <v>1343</v>
      </c>
      <c r="S197" s="27" t="s">
        <v>1343</v>
      </c>
      <c r="T197" s="27" t="s">
        <v>1343</v>
      </c>
      <c r="U197" s="8" t="s">
        <v>1343</v>
      </c>
      <c r="V197" s="8" t="s">
        <v>1343</v>
      </c>
      <c r="W197" s="8" t="s">
        <v>1343</v>
      </c>
      <c r="X197" s="27" t="s">
        <v>1343</v>
      </c>
      <c r="Y197" s="27" t="s">
        <v>1343</v>
      </c>
      <c r="Z197" s="27" t="s">
        <v>1343</v>
      </c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1140</v>
      </c>
      <c r="L198" s="17">
        <f t="shared" si="14"/>
        <v>27</v>
      </c>
      <c r="M198" s="17">
        <f t="shared" si="15"/>
        <v>1</v>
      </c>
      <c r="N198" s="18">
        <f t="shared" si="16"/>
        <v>0.9642857142857143</v>
      </c>
      <c r="O198" s="27"/>
      <c r="P198" s="8"/>
      <c r="Q198" s="8"/>
      <c r="R198" s="8"/>
      <c r="S198" s="27"/>
      <c r="T198" s="27"/>
      <c r="U198" s="8"/>
      <c r="V198" s="8"/>
      <c r="W198" s="8"/>
      <c r="X198" s="27" t="s">
        <v>1343</v>
      </c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1141</v>
      </c>
      <c r="L199" s="17">
        <f t="shared" si="14"/>
        <v>15</v>
      </c>
      <c r="M199" s="17">
        <f t="shared" si="15"/>
        <v>13</v>
      </c>
      <c r="N199" s="18">
        <f t="shared" si="16"/>
        <v>0.5357142857142857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 t="s">
        <v>1343</v>
      </c>
      <c r="AB199" s="27" t="s">
        <v>1343</v>
      </c>
      <c r="AC199" s="27" t="s">
        <v>1343</v>
      </c>
      <c r="AD199" s="27" t="s">
        <v>1343</v>
      </c>
      <c r="AE199" s="27" t="s">
        <v>1343</v>
      </c>
      <c r="AF199" s="27" t="s">
        <v>1343</v>
      </c>
      <c r="AG199" s="27" t="s">
        <v>1343</v>
      </c>
      <c r="AH199" s="27" t="s">
        <v>1343</v>
      </c>
      <c r="AI199" s="27" t="s">
        <v>1343</v>
      </c>
      <c r="AJ199" s="27" t="s">
        <v>1343</v>
      </c>
      <c r="AK199" s="8" t="s">
        <v>1343</v>
      </c>
      <c r="AL199" s="8" t="s">
        <v>1343</v>
      </c>
      <c r="AM199" s="8"/>
      <c r="AN199" s="27"/>
      <c r="AO199" s="8" t="s">
        <v>1343</v>
      </c>
      <c r="AP199" s="8"/>
      <c r="AQ199" s="27"/>
      <c r="AR199" s="27"/>
    </row>
    <row r="200" spans="1:44" ht="15.75" thickBot="1" x14ac:dyDescent="0.3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1142</v>
      </c>
      <c r="L200" s="17">
        <f t="shared" si="14"/>
        <v>18</v>
      </c>
      <c r="M200" s="17">
        <f t="shared" si="15"/>
        <v>10</v>
      </c>
      <c r="N200" s="18">
        <f t="shared" si="16"/>
        <v>0.6428571428571429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 t="s">
        <v>1343</v>
      </c>
      <c r="AB200" s="27" t="s">
        <v>1343</v>
      </c>
      <c r="AC200" s="27" t="s">
        <v>1343</v>
      </c>
      <c r="AD200" s="27" t="s">
        <v>1343</v>
      </c>
      <c r="AE200" s="27" t="s">
        <v>1343</v>
      </c>
      <c r="AF200" s="27" t="s">
        <v>1343</v>
      </c>
      <c r="AG200" s="27" t="s">
        <v>1343</v>
      </c>
      <c r="AH200" s="27" t="s">
        <v>1343</v>
      </c>
      <c r="AI200" s="27" t="s">
        <v>1343</v>
      </c>
      <c r="AJ200" s="27"/>
      <c r="AK200" s="8"/>
      <c r="AL200" s="8"/>
      <c r="AM200" s="8"/>
      <c r="AN200" s="27"/>
      <c r="AO200" s="8" t="s">
        <v>1343</v>
      </c>
      <c r="AP200" s="8"/>
      <c r="AQ200" s="27"/>
      <c r="AR200" s="27"/>
    </row>
    <row r="201" spans="1:44" ht="15.75" thickBot="1" x14ac:dyDescent="0.3">
      <c r="A201" t="s">
        <v>358</v>
      </c>
      <c r="C201" s="45" t="s">
        <v>1152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1153</v>
      </c>
      <c r="L201" s="17">
        <f t="shared" si="14"/>
        <v>20</v>
      </c>
      <c r="M201" s="17">
        <f t="shared" si="15"/>
        <v>8</v>
      </c>
      <c r="N201" s="18">
        <f t="shared" si="16"/>
        <v>0.7142857142857143</v>
      </c>
      <c r="O201" s="27" t="s">
        <v>1343</v>
      </c>
      <c r="P201" s="8"/>
      <c r="Q201" s="8"/>
      <c r="R201" s="8" t="s">
        <v>1343</v>
      </c>
      <c r="S201" s="27" t="s">
        <v>1343</v>
      </c>
      <c r="T201" s="27" t="s">
        <v>1343</v>
      </c>
      <c r="U201" s="8" t="s">
        <v>1343</v>
      </c>
      <c r="V201" s="8"/>
      <c r="W201" s="8"/>
      <c r="X201" s="27" t="s">
        <v>1343</v>
      </c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 t="s">
        <v>1343</v>
      </c>
      <c r="AN201" s="27" t="s">
        <v>1343</v>
      </c>
      <c r="AO201" s="8"/>
      <c r="AP201" s="8"/>
      <c r="AQ201" s="27"/>
      <c r="AR201" s="27"/>
    </row>
    <row r="202" spans="1:44" ht="15.75" thickBot="1" x14ac:dyDescent="0.3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1143</v>
      </c>
      <c r="L202" s="17">
        <f t="shared" si="14"/>
        <v>22</v>
      </c>
      <c r="M202" s="17">
        <f t="shared" si="15"/>
        <v>6</v>
      </c>
      <c r="N202" s="18">
        <f t="shared" si="16"/>
        <v>0.7857142857142857</v>
      </c>
      <c r="O202" s="27" t="s">
        <v>1343</v>
      </c>
      <c r="P202" s="8"/>
      <c r="Q202" s="8"/>
      <c r="R202" s="8" t="s">
        <v>1343</v>
      </c>
      <c r="S202" s="27" t="s">
        <v>1343</v>
      </c>
      <c r="T202" s="27" t="s">
        <v>1343</v>
      </c>
      <c r="U202" s="8" t="s">
        <v>1343</v>
      </c>
      <c r="V202" s="8"/>
      <c r="W202" s="8"/>
      <c r="X202" s="27" t="s">
        <v>1343</v>
      </c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1144</v>
      </c>
      <c r="L203" s="17">
        <f t="shared" si="14"/>
        <v>24</v>
      </c>
      <c r="M203" s="17">
        <f t="shared" si="15"/>
        <v>4</v>
      </c>
      <c r="N203" s="18">
        <f t="shared" si="16"/>
        <v>0.8571428571428571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 t="s">
        <v>1343</v>
      </c>
      <c r="AA203" s="27" t="s">
        <v>1343</v>
      </c>
      <c r="AB203" s="27" t="s">
        <v>1343</v>
      </c>
      <c r="AC203" s="27"/>
      <c r="AD203" s="27"/>
      <c r="AE203" s="27"/>
      <c r="AF203" s="27"/>
      <c r="AG203" s="27"/>
      <c r="AH203" s="27"/>
      <c r="AI203" s="27"/>
      <c r="AJ203" s="27" t="s">
        <v>1343</v>
      </c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1146</v>
      </c>
      <c r="L204" s="17">
        <f t="shared" si="14"/>
        <v>24</v>
      </c>
      <c r="M204" s="17">
        <f t="shared" si="15"/>
        <v>4</v>
      </c>
      <c r="N204" s="18">
        <f t="shared" si="16"/>
        <v>0.8571428571428571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 t="s">
        <v>1343</v>
      </c>
      <c r="AN204" s="27" t="s">
        <v>1343</v>
      </c>
      <c r="AO204" s="8" t="s">
        <v>1343</v>
      </c>
      <c r="AP204" s="8" t="s">
        <v>1343</v>
      </c>
      <c r="AQ204" s="27"/>
      <c r="AR204" s="27"/>
    </row>
    <row r="205" spans="1:44" ht="15.75" thickBot="1" x14ac:dyDescent="0.3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1147</v>
      </c>
      <c r="L205" s="17">
        <f t="shared" si="14"/>
        <v>24</v>
      </c>
      <c r="M205" s="17">
        <f t="shared" si="15"/>
        <v>4</v>
      </c>
      <c r="N205" s="18">
        <f t="shared" si="16"/>
        <v>0.8571428571428571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 t="s">
        <v>1343</v>
      </c>
      <c r="AN205" s="27" t="s">
        <v>1343</v>
      </c>
      <c r="AO205" s="8" t="s">
        <v>1343</v>
      </c>
      <c r="AP205" s="8" t="s">
        <v>1343</v>
      </c>
      <c r="AQ205" s="27"/>
      <c r="AR205" s="27"/>
    </row>
    <row r="206" spans="1:44" ht="15.75" thickBot="1" x14ac:dyDescent="0.3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1154</v>
      </c>
      <c r="L206" s="17">
        <f t="shared" si="14"/>
        <v>2</v>
      </c>
      <c r="M206" s="17">
        <f t="shared" si="15"/>
        <v>26</v>
      </c>
      <c r="N206" s="18">
        <f t="shared" si="16"/>
        <v>7.1428571428571425E-2</v>
      </c>
      <c r="O206" s="27" t="s">
        <v>1343</v>
      </c>
      <c r="P206" s="8"/>
      <c r="Q206" s="8"/>
      <c r="R206" s="8" t="s">
        <v>1343</v>
      </c>
      <c r="S206" s="27" t="s">
        <v>1343</v>
      </c>
      <c r="T206" s="27" t="s">
        <v>1343</v>
      </c>
      <c r="U206" s="8" t="s">
        <v>1343</v>
      </c>
      <c r="V206" s="8" t="s">
        <v>1343</v>
      </c>
      <c r="W206" s="8" t="s">
        <v>1343</v>
      </c>
      <c r="X206" s="27" t="s">
        <v>1343</v>
      </c>
      <c r="Y206" s="27" t="s">
        <v>1343</v>
      </c>
      <c r="Z206" s="27" t="s">
        <v>1343</v>
      </c>
      <c r="AA206" s="27" t="s">
        <v>1343</v>
      </c>
      <c r="AB206" s="27" t="s">
        <v>1343</v>
      </c>
      <c r="AC206" s="27" t="s">
        <v>1343</v>
      </c>
      <c r="AD206" s="27" t="s">
        <v>1343</v>
      </c>
      <c r="AE206" s="27" t="s">
        <v>1343</v>
      </c>
      <c r="AF206" s="27" t="s">
        <v>1343</v>
      </c>
      <c r="AG206" s="27" t="s">
        <v>1343</v>
      </c>
      <c r="AH206" s="27" t="s">
        <v>1343</v>
      </c>
      <c r="AI206" s="27" t="s">
        <v>1343</v>
      </c>
      <c r="AJ206" s="27" t="s">
        <v>1343</v>
      </c>
      <c r="AK206" s="8" t="s">
        <v>1343</v>
      </c>
      <c r="AL206" s="8" t="s">
        <v>1343</v>
      </c>
      <c r="AM206" s="8" t="s">
        <v>1343</v>
      </c>
      <c r="AN206" s="27" t="s">
        <v>1343</v>
      </c>
      <c r="AO206" s="8" t="s">
        <v>1343</v>
      </c>
      <c r="AP206" s="8" t="s">
        <v>1343</v>
      </c>
      <c r="AQ206" s="27"/>
      <c r="AR206" s="27"/>
    </row>
    <row r="207" spans="1:44" ht="15.75" thickBot="1" x14ac:dyDescent="0.3">
      <c r="A207" t="s">
        <v>310</v>
      </c>
      <c r="C207" s="45" t="s">
        <v>545</v>
      </c>
      <c r="D207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1148</v>
      </c>
      <c r="L207" s="17">
        <f t="shared" si="14"/>
        <v>12</v>
      </c>
      <c r="M207" s="17">
        <f t="shared" si="15"/>
        <v>16</v>
      </c>
      <c r="N207" s="18">
        <f t="shared" si="16"/>
        <v>0.42857142857142855</v>
      </c>
      <c r="O207" s="27" t="s">
        <v>1343</v>
      </c>
      <c r="P207" s="8"/>
      <c r="Q207" s="8"/>
      <c r="R207" s="8" t="s">
        <v>1343</v>
      </c>
      <c r="S207" s="27" t="s">
        <v>1343</v>
      </c>
      <c r="T207" s="27" t="s">
        <v>1343</v>
      </c>
      <c r="U207" s="8" t="s">
        <v>1343</v>
      </c>
      <c r="V207" s="8" t="s">
        <v>1343</v>
      </c>
      <c r="W207" s="8" t="s">
        <v>1343</v>
      </c>
      <c r="X207" s="27" t="s">
        <v>1343</v>
      </c>
      <c r="Y207" s="27" t="s">
        <v>1343</v>
      </c>
      <c r="Z207" s="27" t="s">
        <v>1343</v>
      </c>
      <c r="AA207" s="27" t="s">
        <v>1343</v>
      </c>
      <c r="AB207" s="27" t="s">
        <v>1343</v>
      </c>
      <c r="AC207" s="27" t="s">
        <v>1343</v>
      </c>
      <c r="AD207" s="27" t="s">
        <v>1343</v>
      </c>
      <c r="AE207" s="27" t="s">
        <v>1343</v>
      </c>
      <c r="AF207" s="27" t="s">
        <v>1343</v>
      </c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.75" thickBot="1" x14ac:dyDescent="0.3">
      <c r="A208" t="s">
        <v>310</v>
      </c>
      <c r="C208" s="45" t="s">
        <v>548</v>
      </c>
      <c r="D20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1149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1155</v>
      </c>
      <c r="L209" s="17">
        <f t="shared" si="14"/>
        <v>24</v>
      </c>
      <c r="M209" s="17">
        <f t="shared" si="15"/>
        <v>4</v>
      </c>
      <c r="N209" s="18">
        <f t="shared" si="16"/>
        <v>0.8571428571428571</v>
      </c>
      <c r="O209" s="27" t="s">
        <v>1343</v>
      </c>
      <c r="P209" s="8"/>
      <c r="Q209" s="8"/>
      <c r="R209" s="8" t="s">
        <v>1343</v>
      </c>
      <c r="S209" s="27" t="s">
        <v>1343</v>
      </c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 t="s">
        <v>1343</v>
      </c>
      <c r="AP209" s="8"/>
      <c r="AQ209" s="27"/>
      <c r="AR209" s="27"/>
    </row>
    <row r="210" spans="1:44" ht="15.75" thickBot="1" x14ac:dyDescent="0.3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1156</v>
      </c>
      <c r="L210" s="17">
        <f t="shared" si="14"/>
        <v>26</v>
      </c>
      <c r="M210" s="17">
        <f t="shared" si="15"/>
        <v>2</v>
      </c>
      <c r="N210" s="18">
        <f t="shared" si="16"/>
        <v>0.9285714285714286</v>
      </c>
      <c r="O210" s="27" t="s">
        <v>1343</v>
      </c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 t="s">
        <v>1343</v>
      </c>
      <c r="AP210" s="8"/>
      <c r="AQ210" s="27"/>
      <c r="AR210" s="27"/>
    </row>
    <row r="211" spans="1:44" ht="15.75" thickBot="1" x14ac:dyDescent="0.3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1151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.75" thickBot="1" x14ac:dyDescent="0.3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1150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.75" thickBot="1" x14ac:dyDescent="0.3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1145</v>
      </c>
      <c r="L213" s="17">
        <f t="shared" si="14"/>
        <v>24</v>
      </c>
      <c r="M213" s="17">
        <f t="shared" si="15"/>
        <v>4</v>
      </c>
      <c r="N213" s="18">
        <f t="shared" si="16"/>
        <v>0.8571428571428571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 t="s">
        <v>1343</v>
      </c>
      <c r="AA213" s="27" t="s">
        <v>1343</v>
      </c>
      <c r="AB213" s="27" t="s">
        <v>1343</v>
      </c>
      <c r="AC213" s="27"/>
      <c r="AD213" s="27"/>
      <c r="AE213" s="27"/>
      <c r="AF213" s="27"/>
      <c r="AG213" s="27"/>
      <c r="AH213" s="27"/>
      <c r="AI213" s="27"/>
      <c r="AJ213" s="27" t="s">
        <v>1343</v>
      </c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1157</v>
      </c>
      <c r="L214" s="17">
        <f t="shared" si="14"/>
        <v>27</v>
      </c>
      <c r="M214" s="17">
        <f t="shared" si="15"/>
        <v>1</v>
      </c>
      <c r="N214" s="18">
        <f t="shared" si="16"/>
        <v>0.9642857142857143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 t="s">
        <v>1343</v>
      </c>
      <c r="AP214" s="8"/>
      <c r="AQ214" s="27"/>
      <c r="AR214" s="27"/>
    </row>
    <row r="215" spans="1:44" ht="15.75" thickBot="1" x14ac:dyDescent="0.3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1158</v>
      </c>
      <c r="L215" s="17">
        <f t="shared" si="14"/>
        <v>27</v>
      </c>
      <c r="M215" s="17">
        <f t="shared" si="15"/>
        <v>1</v>
      </c>
      <c r="N215" s="18">
        <f t="shared" si="16"/>
        <v>0.9642857142857143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 t="s">
        <v>1343</v>
      </c>
      <c r="AP215" s="8"/>
      <c r="AQ215" s="27"/>
      <c r="AR215" s="27"/>
    </row>
    <row r="216" spans="1:44" ht="15.75" thickBot="1" x14ac:dyDescent="0.3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1159</v>
      </c>
      <c r="L216" s="17">
        <f t="shared" si="14"/>
        <v>27</v>
      </c>
      <c r="M216" s="17">
        <f t="shared" si="15"/>
        <v>1</v>
      </c>
      <c r="N216" s="18">
        <f t="shared" si="16"/>
        <v>0.9642857142857143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 t="s">
        <v>1343</v>
      </c>
      <c r="AP216" s="8"/>
      <c r="AQ216" s="27"/>
      <c r="AR216" s="27"/>
    </row>
    <row r="217" spans="1:44" ht="15.75" thickBot="1" x14ac:dyDescent="0.3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1160</v>
      </c>
      <c r="L217" s="17">
        <f t="shared" si="14"/>
        <v>27</v>
      </c>
      <c r="M217" s="17">
        <f t="shared" si="15"/>
        <v>1</v>
      </c>
      <c r="N217" s="18">
        <f t="shared" si="16"/>
        <v>0.9642857142857143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 t="s">
        <v>1343</v>
      </c>
      <c r="AP217" s="8"/>
      <c r="AQ217" s="27"/>
      <c r="AR217" s="27"/>
    </row>
    <row r="218" spans="1:44" ht="15.75" thickBot="1" x14ac:dyDescent="0.3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1161</v>
      </c>
      <c r="L218" s="17">
        <f t="shared" si="14"/>
        <v>26</v>
      </c>
      <c r="M218" s="17">
        <f t="shared" si="15"/>
        <v>2</v>
      </c>
      <c r="N218" s="18">
        <f t="shared" si="16"/>
        <v>0.9285714285714286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 t="s">
        <v>1343</v>
      </c>
      <c r="AN218" s="27"/>
      <c r="AO218" s="8" t="s">
        <v>1343</v>
      </c>
      <c r="AP218" s="8"/>
      <c r="AQ218" s="27"/>
      <c r="AR218" s="27"/>
    </row>
    <row r="219" spans="1:44" ht="15.75" thickBot="1" x14ac:dyDescent="0.3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1162</v>
      </c>
      <c r="L219" s="17">
        <f t="shared" si="14"/>
        <v>26</v>
      </c>
      <c r="M219" s="17">
        <f t="shared" si="15"/>
        <v>2</v>
      </c>
      <c r="N219" s="18">
        <f t="shared" si="16"/>
        <v>0.9285714285714286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 t="s">
        <v>1343</v>
      </c>
      <c r="AN219" s="27"/>
      <c r="AO219" s="8" t="s">
        <v>1343</v>
      </c>
      <c r="AP219" s="8"/>
      <c r="AQ219" s="27"/>
      <c r="AR219" s="27"/>
    </row>
    <row r="220" spans="1:44" ht="15.75" thickBot="1" x14ac:dyDescent="0.3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1163</v>
      </c>
      <c r="L220" s="17">
        <f t="shared" si="14"/>
        <v>27</v>
      </c>
      <c r="M220" s="17">
        <f t="shared" si="15"/>
        <v>1</v>
      </c>
      <c r="N220" s="18">
        <f t="shared" si="16"/>
        <v>0.9642857142857143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 t="s">
        <v>1343</v>
      </c>
      <c r="AP220" s="8"/>
      <c r="AQ220" s="27"/>
      <c r="AR220" s="27"/>
    </row>
    <row r="221" spans="1:44" ht="15.75" thickBot="1" x14ac:dyDescent="0.3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1166</v>
      </c>
      <c r="L221" s="17">
        <f t="shared" si="14"/>
        <v>27</v>
      </c>
      <c r="M221" s="17">
        <f t="shared" si="15"/>
        <v>1</v>
      </c>
      <c r="N221" s="18">
        <f t="shared" si="16"/>
        <v>0.9642857142857143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 t="s">
        <v>1343</v>
      </c>
      <c r="AP221" s="8"/>
      <c r="AQ221" s="27"/>
      <c r="AR221" s="27"/>
    </row>
    <row r="222" spans="1:44" ht="15.75" thickBot="1" x14ac:dyDescent="0.3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1164</v>
      </c>
      <c r="L222" s="17">
        <f t="shared" si="14"/>
        <v>27</v>
      </c>
      <c r="M222" s="17">
        <f t="shared" si="15"/>
        <v>1</v>
      </c>
      <c r="N222" s="18">
        <f t="shared" si="16"/>
        <v>0.9642857142857143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 t="s">
        <v>1343</v>
      </c>
      <c r="AP222" s="8"/>
      <c r="AQ222" s="27"/>
      <c r="AR222" s="27"/>
    </row>
    <row r="223" spans="1:44" ht="15.75" thickBot="1" x14ac:dyDescent="0.3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1165</v>
      </c>
      <c r="L223" s="17">
        <f t="shared" si="14"/>
        <v>27</v>
      </c>
      <c r="M223" s="17">
        <f t="shared" si="15"/>
        <v>1</v>
      </c>
      <c r="N223" s="18">
        <f t="shared" si="16"/>
        <v>0.9642857142857143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 t="s">
        <v>1343</v>
      </c>
      <c r="AP223" s="8"/>
      <c r="AQ223" s="27"/>
      <c r="AR223" s="27"/>
    </row>
    <row r="224" spans="1:44" ht="15.75" thickBot="1" x14ac:dyDescent="0.3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1167</v>
      </c>
      <c r="L224" s="17">
        <f t="shared" si="14"/>
        <v>27</v>
      </c>
      <c r="M224" s="17">
        <f t="shared" si="15"/>
        <v>1</v>
      </c>
      <c r="N224" s="18">
        <f t="shared" si="16"/>
        <v>0.9642857142857143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 t="s">
        <v>1343</v>
      </c>
      <c r="AP224" s="8"/>
      <c r="AQ224" s="27"/>
      <c r="AR224" s="27"/>
    </row>
    <row r="225" spans="1:44" ht="15.75" thickBot="1" x14ac:dyDescent="0.3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1168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1169</v>
      </c>
      <c r="L226" s="17">
        <f t="shared" si="14"/>
        <v>27</v>
      </c>
      <c r="M226" s="17">
        <f t="shared" si="15"/>
        <v>1</v>
      </c>
      <c r="N226" s="18">
        <f t="shared" si="16"/>
        <v>0.9642857142857143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 t="s">
        <v>1343</v>
      </c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1170</v>
      </c>
      <c r="L227" s="17">
        <f t="shared" si="14"/>
        <v>20</v>
      </c>
      <c r="M227" s="17">
        <f t="shared" si="15"/>
        <v>8</v>
      </c>
      <c r="N227" s="18">
        <f t="shared" si="16"/>
        <v>0.7142857142857143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 t="s">
        <v>1343</v>
      </c>
      <c r="AH227" s="27" t="s">
        <v>1343</v>
      </c>
      <c r="AI227" s="27" t="s">
        <v>1343</v>
      </c>
      <c r="AJ227" s="27" t="s">
        <v>1343</v>
      </c>
      <c r="AK227" s="8" t="s">
        <v>1343</v>
      </c>
      <c r="AL227" s="8" t="s">
        <v>1343</v>
      </c>
      <c r="AM227" s="8" t="s">
        <v>1343</v>
      </c>
      <c r="AN227" s="27" t="s">
        <v>1343</v>
      </c>
      <c r="AO227" s="8"/>
      <c r="AP227" s="8"/>
      <c r="AQ227" s="27"/>
      <c r="AR227" s="27"/>
    </row>
    <row r="228" spans="1:44" ht="15.75" thickBot="1" x14ac:dyDescent="0.3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1171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1174</v>
      </c>
      <c r="L229" s="17">
        <f t="shared" si="14"/>
        <v>27</v>
      </c>
      <c r="M229" s="17">
        <f t="shared" si="15"/>
        <v>1</v>
      </c>
      <c r="N229" s="18">
        <f t="shared" si="16"/>
        <v>0.9642857142857143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 t="s">
        <v>1343</v>
      </c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1175</v>
      </c>
      <c r="L230" s="17">
        <f t="shared" si="14"/>
        <v>23</v>
      </c>
      <c r="M230" s="17">
        <f t="shared" si="15"/>
        <v>5</v>
      </c>
      <c r="N230" s="18">
        <f t="shared" si="16"/>
        <v>0.8214285714285714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 t="s">
        <v>1343</v>
      </c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 t="s">
        <v>1343</v>
      </c>
      <c r="AN230" s="27" t="s">
        <v>1343</v>
      </c>
      <c r="AO230" s="8" t="s">
        <v>1343</v>
      </c>
      <c r="AP230" s="8" t="s">
        <v>1343</v>
      </c>
      <c r="AQ230" s="27"/>
      <c r="AR230" s="27"/>
    </row>
    <row r="231" spans="1:44" ht="15.75" thickBot="1" x14ac:dyDescent="0.3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1172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1343</v>
      </c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.75" thickBot="1" x14ac:dyDescent="0.3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1173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.75" thickBot="1" x14ac:dyDescent="0.3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1177</v>
      </c>
      <c r="L233" s="17">
        <f t="shared" si="14"/>
        <v>27</v>
      </c>
      <c r="M233" s="17">
        <f t="shared" si="15"/>
        <v>1</v>
      </c>
      <c r="N233" s="18">
        <f t="shared" si="16"/>
        <v>0.9642857142857143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 t="s">
        <v>1343</v>
      </c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1178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1179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1180</v>
      </c>
      <c r="L236" s="17">
        <f t="shared" si="14"/>
        <v>27</v>
      </c>
      <c r="M236" s="17">
        <f t="shared" si="15"/>
        <v>1</v>
      </c>
      <c r="N236" s="18">
        <f t="shared" si="16"/>
        <v>0.9642857142857143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1343</v>
      </c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1181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1176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1182</v>
      </c>
      <c r="L239" s="17">
        <f t="shared" si="14"/>
        <v>28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1183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 t="s">
        <v>1343</v>
      </c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1184</v>
      </c>
      <c r="L241" s="17">
        <f t="shared" si="14"/>
        <v>13</v>
      </c>
      <c r="M241" s="17">
        <f t="shared" si="15"/>
        <v>15</v>
      </c>
      <c r="N241" s="18">
        <f t="shared" si="16"/>
        <v>0.4642857142857143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 t="s">
        <v>1343</v>
      </c>
      <c r="Z241" s="27"/>
      <c r="AA241" s="27"/>
      <c r="AB241" s="27"/>
      <c r="AC241" s="27" t="s">
        <v>1343</v>
      </c>
      <c r="AD241" s="27" t="s">
        <v>1343</v>
      </c>
      <c r="AE241" s="27" t="s">
        <v>1343</v>
      </c>
      <c r="AF241" s="27" t="s">
        <v>1343</v>
      </c>
      <c r="AG241" s="27" t="s">
        <v>1343</v>
      </c>
      <c r="AH241" s="27" t="s">
        <v>1343</v>
      </c>
      <c r="AI241" s="27" t="s">
        <v>1343</v>
      </c>
      <c r="AJ241" s="27" t="s">
        <v>1343</v>
      </c>
      <c r="AK241" s="8" t="s">
        <v>1343</v>
      </c>
      <c r="AL241" s="8" t="s">
        <v>1343</v>
      </c>
      <c r="AM241" s="8" t="s">
        <v>1343</v>
      </c>
      <c r="AN241" s="27" t="s">
        <v>1343</v>
      </c>
      <c r="AO241" s="8" t="s">
        <v>1343</v>
      </c>
      <c r="AP241" s="8" t="s">
        <v>1343</v>
      </c>
      <c r="AQ241" s="27"/>
      <c r="AR241" s="27"/>
    </row>
    <row r="242" spans="1:44" ht="15.75" thickBot="1" x14ac:dyDescent="0.3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1185</v>
      </c>
      <c r="L242" s="17">
        <f t="shared" si="14"/>
        <v>14</v>
      </c>
      <c r="M242" s="17">
        <f t="shared" si="15"/>
        <v>14</v>
      </c>
      <c r="N242" s="18">
        <f t="shared" si="16"/>
        <v>0.5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 t="s">
        <v>1343</v>
      </c>
      <c r="AD242" s="27" t="s">
        <v>1343</v>
      </c>
      <c r="AE242" s="27" t="s">
        <v>1343</v>
      </c>
      <c r="AF242" s="27" t="s">
        <v>1343</v>
      </c>
      <c r="AG242" s="27" t="s">
        <v>1343</v>
      </c>
      <c r="AH242" s="27" t="s">
        <v>1343</v>
      </c>
      <c r="AI242" s="27" t="s">
        <v>1343</v>
      </c>
      <c r="AJ242" s="27" t="s">
        <v>1343</v>
      </c>
      <c r="AK242" s="8" t="s">
        <v>1343</v>
      </c>
      <c r="AL242" s="8" t="s">
        <v>1343</v>
      </c>
      <c r="AM242" s="8" t="s">
        <v>1343</v>
      </c>
      <c r="AN242" s="27" t="s">
        <v>1343</v>
      </c>
      <c r="AO242" s="8" t="s">
        <v>1343</v>
      </c>
      <c r="AP242" s="8" t="s">
        <v>1343</v>
      </c>
      <c r="AQ242" s="27"/>
      <c r="AR242" s="27"/>
    </row>
    <row r="243" spans="1:44" ht="15.75" thickBot="1" x14ac:dyDescent="0.3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1186</v>
      </c>
      <c r="L243" s="17">
        <f t="shared" si="14"/>
        <v>14</v>
      </c>
      <c r="M243" s="17">
        <f t="shared" si="15"/>
        <v>14</v>
      </c>
      <c r="N243" s="18">
        <f t="shared" si="16"/>
        <v>0.5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 t="s">
        <v>1343</v>
      </c>
      <c r="AD243" s="27" t="s">
        <v>1343</v>
      </c>
      <c r="AE243" s="27" t="s">
        <v>1343</v>
      </c>
      <c r="AF243" s="27" t="s">
        <v>1343</v>
      </c>
      <c r="AG243" s="27" t="s">
        <v>1343</v>
      </c>
      <c r="AH243" s="27" t="s">
        <v>1343</v>
      </c>
      <c r="AI243" s="27" t="s">
        <v>1343</v>
      </c>
      <c r="AJ243" s="27" t="s">
        <v>1343</v>
      </c>
      <c r="AK243" s="8" t="s">
        <v>1343</v>
      </c>
      <c r="AL243" s="8" t="s">
        <v>1343</v>
      </c>
      <c r="AM243" s="8" t="s">
        <v>1343</v>
      </c>
      <c r="AN243" s="27" t="s">
        <v>1343</v>
      </c>
      <c r="AO243" s="8" t="s">
        <v>1343</v>
      </c>
      <c r="AP243" s="8" t="s">
        <v>1343</v>
      </c>
      <c r="AQ243" s="27"/>
      <c r="AR243" s="27"/>
    </row>
    <row r="244" spans="1:44" ht="15.75" thickBot="1" x14ac:dyDescent="0.3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1187</v>
      </c>
      <c r="L244" s="17">
        <f t="shared" si="14"/>
        <v>13</v>
      </c>
      <c r="M244" s="17">
        <f t="shared" si="15"/>
        <v>15</v>
      </c>
      <c r="N244" s="18">
        <f t="shared" si="16"/>
        <v>0.4642857142857143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 t="s">
        <v>1343</v>
      </c>
      <c r="Z244" s="27"/>
      <c r="AA244" s="27"/>
      <c r="AB244" s="27"/>
      <c r="AC244" s="27" t="s">
        <v>1343</v>
      </c>
      <c r="AD244" s="27" t="s">
        <v>1343</v>
      </c>
      <c r="AE244" s="27" t="s">
        <v>1343</v>
      </c>
      <c r="AF244" s="27" t="s">
        <v>1343</v>
      </c>
      <c r="AG244" s="27" t="s">
        <v>1343</v>
      </c>
      <c r="AH244" s="27" t="s">
        <v>1343</v>
      </c>
      <c r="AI244" s="27" t="s">
        <v>1343</v>
      </c>
      <c r="AJ244" s="27" t="s">
        <v>1343</v>
      </c>
      <c r="AK244" s="8" t="s">
        <v>1343</v>
      </c>
      <c r="AL244" s="8" t="s">
        <v>1343</v>
      </c>
      <c r="AM244" s="8" t="s">
        <v>1343</v>
      </c>
      <c r="AN244" s="27" t="s">
        <v>1343</v>
      </c>
      <c r="AO244" s="8" t="s">
        <v>1343</v>
      </c>
      <c r="AP244" s="8" t="s">
        <v>1343</v>
      </c>
      <c r="AQ244" s="27"/>
      <c r="AR244" s="27"/>
    </row>
    <row r="245" spans="1:44" ht="15.75" thickBot="1" x14ac:dyDescent="0.3">
      <c r="A245" t="s">
        <v>619</v>
      </c>
      <c r="C245" s="45" t="s">
        <v>1327</v>
      </c>
      <c r="D245" t="s">
        <v>1328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1344</v>
      </c>
      <c r="L245" s="17">
        <f t="shared" si="14"/>
        <v>28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609</v>
      </c>
      <c r="C246" s="45" t="s">
        <v>1329</v>
      </c>
      <c r="D246" t="s">
        <v>1330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1345</v>
      </c>
      <c r="L246" s="17">
        <f t="shared" si="14"/>
        <v>13</v>
      </c>
      <c r="M246" s="17">
        <f t="shared" si="15"/>
        <v>15</v>
      </c>
      <c r="N246" s="18">
        <f t="shared" si="16"/>
        <v>0.4642857142857143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1343</v>
      </c>
      <c r="Z246" s="27"/>
      <c r="AA246" s="27"/>
      <c r="AB246" s="27"/>
      <c r="AC246" s="27" t="s">
        <v>1343</v>
      </c>
      <c r="AD246" s="27" t="s">
        <v>1343</v>
      </c>
      <c r="AE246" s="27" t="s">
        <v>1343</v>
      </c>
      <c r="AF246" s="27" t="s">
        <v>1343</v>
      </c>
      <c r="AG246" s="27" t="s">
        <v>1343</v>
      </c>
      <c r="AH246" s="27" t="s">
        <v>1343</v>
      </c>
      <c r="AI246" s="27" t="s">
        <v>1343</v>
      </c>
      <c r="AJ246" s="27" t="s">
        <v>1343</v>
      </c>
      <c r="AK246" s="27" t="s">
        <v>1343</v>
      </c>
      <c r="AL246" s="27" t="s">
        <v>1343</v>
      </c>
      <c r="AM246" s="27" t="s">
        <v>1343</v>
      </c>
      <c r="AN246" s="27" t="s">
        <v>1343</v>
      </c>
      <c r="AO246" s="27" t="s">
        <v>1343</v>
      </c>
      <c r="AP246" s="27" t="s">
        <v>1343</v>
      </c>
      <c r="AQ246" s="27"/>
      <c r="AR246" s="27"/>
    </row>
    <row r="247" spans="1:44" ht="15.75" thickBot="1" x14ac:dyDescent="0.3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1190</v>
      </c>
      <c r="L247" s="17">
        <f t="shared" si="14"/>
        <v>26</v>
      </c>
      <c r="M247" s="17">
        <f t="shared" si="15"/>
        <v>2</v>
      </c>
      <c r="N247" s="18">
        <f t="shared" si="16"/>
        <v>0.9285714285714286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 t="s">
        <v>1343</v>
      </c>
      <c r="AF247" s="27"/>
      <c r="AG247" s="27"/>
      <c r="AH247" s="27"/>
      <c r="AI247" s="27"/>
      <c r="AJ247" s="27"/>
      <c r="AK247" s="8"/>
      <c r="AL247" s="8"/>
      <c r="AM247" s="8"/>
      <c r="AN247" s="27"/>
      <c r="AO247" s="8" t="s">
        <v>1343</v>
      </c>
      <c r="AP247" s="8"/>
      <c r="AQ247" s="27"/>
      <c r="AR247" s="27"/>
    </row>
    <row r="248" spans="1:44" ht="15.75" thickBot="1" x14ac:dyDescent="0.3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1192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1188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1189</v>
      </c>
      <c r="L250" s="17">
        <f t="shared" si="14"/>
        <v>27</v>
      </c>
      <c r="M250" s="17">
        <f t="shared" si="15"/>
        <v>1</v>
      </c>
      <c r="N250" s="18">
        <f t="shared" si="16"/>
        <v>0.9642857142857143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 t="s">
        <v>1343</v>
      </c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1193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1194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1195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1196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1197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1200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1201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1203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 t="s">
        <v>1343</v>
      </c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1204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1198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1199</v>
      </c>
      <c r="L261" s="17">
        <f t="shared" si="14"/>
        <v>27</v>
      </c>
      <c r="M261" s="17">
        <f t="shared" si="15"/>
        <v>1</v>
      </c>
      <c r="N261" s="18">
        <f t="shared" si="16"/>
        <v>0.9642857142857143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 t="s">
        <v>1343</v>
      </c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654</v>
      </c>
      <c r="C262" s="45" t="s">
        <v>667</v>
      </c>
      <c r="D262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1202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 t="s">
        <v>1343</v>
      </c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1205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1206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1207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1208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1215</v>
      </c>
      <c r="L267" s="17">
        <f t="shared" si="17"/>
        <v>27</v>
      </c>
      <c r="M267" s="17">
        <f t="shared" si="18"/>
        <v>1</v>
      </c>
      <c r="N267" s="18">
        <f t="shared" si="19"/>
        <v>0.9642857142857143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 t="s">
        <v>1343</v>
      </c>
      <c r="AP267" s="8"/>
      <c r="AQ267" s="27"/>
      <c r="AR267" s="27"/>
    </row>
    <row r="268" spans="1:44" ht="15.75" thickBot="1" x14ac:dyDescent="0.3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1216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1217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1218</v>
      </c>
      <c r="L270" s="17">
        <f t="shared" si="17"/>
        <v>25</v>
      </c>
      <c r="M270" s="17">
        <f t="shared" si="18"/>
        <v>3</v>
      </c>
      <c r="N270" s="18">
        <f t="shared" si="19"/>
        <v>0.8928571428571429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 t="s">
        <v>1343</v>
      </c>
      <c r="AH270" s="27"/>
      <c r="AI270" s="27"/>
      <c r="AJ270" s="27"/>
      <c r="AK270" s="8"/>
      <c r="AL270" s="8"/>
      <c r="AM270" s="8" t="s">
        <v>1343</v>
      </c>
      <c r="AN270" s="27" t="s">
        <v>1343</v>
      </c>
      <c r="AO270" s="8"/>
      <c r="AP270" s="8"/>
      <c r="AQ270" s="27"/>
      <c r="AR270" s="27"/>
    </row>
    <row r="271" spans="1:44" ht="15.75" thickBot="1" x14ac:dyDescent="0.3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1191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.75" thickBot="1" x14ac:dyDescent="0.3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1219</v>
      </c>
      <c r="L272" s="17">
        <f t="shared" si="17"/>
        <v>25</v>
      </c>
      <c r="M272" s="17">
        <f t="shared" si="18"/>
        <v>3</v>
      </c>
      <c r="N272" s="18">
        <f t="shared" si="19"/>
        <v>0.8928571428571429</v>
      </c>
      <c r="O272" s="27" t="s">
        <v>1343</v>
      </c>
      <c r="P272" s="8"/>
      <c r="Q272" s="8"/>
      <c r="R272" s="8"/>
      <c r="S272" s="27"/>
      <c r="T272" s="27"/>
      <c r="U272" s="8"/>
      <c r="V272" s="8"/>
      <c r="W272" s="8"/>
      <c r="X272" s="27" t="s">
        <v>1343</v>
      </c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 t="s">
        <v>1343</v>
      </c>
      <c r="AP272" s="8"/>
      <c r="AQ272" s="27"/>
      <c r="AR272" s="27"/>
    </row>
    <row r="273" spans="1:44" ht="15.75" thickBot="1" x14ac:dyDescent="0.3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1223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1224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1211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1212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1213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1214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1209</v>
      </c>
      <c r="L279" s="17">
        <f t="shared" si="17"/>
        <v>25</v>
      </c>
      <c r="M279" s="17">
        <f t="shared" si="18"/>
        <v>3</v>
      </c>
      <c r="N279" s="18">
        <f t="shared" si="19"/>
        <v>0.8928571428571429</v>
      </c>
      <c r="O279" s="27" t="s">
        <v>1343</v>
      </c>
      <c r="P279" s="8"/>
      <c r="Q279" s="8"/>
      <c r="R279" s="8"/>
      <c r="S279" s="27"/>
      <c r="T279" s="27"/>
      <c r="U279" s="8"/>
      <c r="V279" s="8"/>
      <c r="W279" s="8"/>
      <c r="X279" s="27" t="s">
        <v>1343</v>
      </c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 t="s">
        <v>1343</v>
      </c>
      <c r="AP279" s="8"/>
      <c r="AQ279" s="27"/>
      <c r="AR279" s="27"/>
    </row>
    <row r="280" spans="1:44" ht="15.75" thickBot="1" x14ac:dyDescent="0.3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1210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1220</v>
      </c>
      <c r="L281" s="17">
        <f t="shared" si="17"/>
        <v>26</v>
      </c>
      <c r="M281" s="17">
        <f t="shared" si="18"/>
        <v>2</v>
      </c>
      <c r="N281" s="18">
        <f t="shared" si="19"/>
        <v>0.9285714285714286</v>
      </c>
      <c r="O281" s="27"/>
      <c r="P281" s="8"/>
      <c r="Q281" s="8"/>
      <c r="R281" s="8"/>
      <c r="S281" s="27"/>
      <c r="T281" s="27"/>
      <c r="U281" s="8" t="s">
        <v>1343</v>
      </c>
      <c r="V281" s="8"/>
      <c r="W281" s="8" t="s">
        <v>1343</v>
      </c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1221</v>
      </c>
      <c r="L282" s="17">
        <f t="shared" si="17"/>
        <v>26</v>
      </c>
      <c r="M282" s="17">
        <f t="shared" si="18"/>
        <v>2</v>
      </c>
      <c r="N282" s="18">
        <f t="shared" si="19"/>
        <v>0.9285714285714286</v>
      </c>
      <c r="O282" s="27"/>
      <c r="P282" s="8"/>
      <c r="Q282" s="8"/>
      <c r="R282" s="8"/>
      <c r="S282" s="27"/>
      <c r="T282" s="27"/>
      <c r="U282" s="8" t="s">
        <v>1343</v>
      </c>
      <c r="V282" s="8"/>
      <c r="W282" s="8" t="s">
        <v>1343</v>
      </c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1222</v>
      </c>
      <c r="L283" s="17">
        <f t="shared" si="17"/>
        <v>19</v>
      </c>
      <c r="M283" s="17">
        <f t="shared" si="18"/>
        <v>9</v>
      </c>
      <c r="N283" s="18">
        <f t="shared" si="19"/>
        <v>0.6785714285714286</v>
      </c>
      <c r="O283" s="27" t="s">
        <v>1343</v>
      </c>
      <c r="P283" s="8"/>
      <c r="Q283" s="8"/>
      <c r="R283" s="8"/>
      <c r="S283" s="27" t="s">
        <v>1343</v>
      </c>
      <c r="T283" s="27" t="s">
        <v>1343</v>
      </c>
      <c r="U283" s="8" t="s">
        <v>1343</v>
      </c>
      <c r="V283" s="8" t="s">
        <v>1343</v>
      </c>
      <c r="W283" s="8" t="s">
        <v>1343</v>
      </c>
      <c r="X283" s="27"/>
      <c r="Y283" s="27" t="s">
        <v>1343</v>
      </c>
      <c r="Z283" s="27" t="s">
        <v>1343</v>
      </c>
      <c r="AA283" s="27" t="s">
        <v>1343</v>
      </c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1225</v>
      </c>
      <c r="L284" s="17">
        <f t="shared" si="17"/>
        <v>25</v>
      </c>
      <c r="M284" s="17">
        <f t="shared" si="18"/>
        <v>3</v>
      </c>
      <c r="N284" s="18">
        <f t="shared" si="19"/>
        <v>0.8928571428571429</v>
      </c>
      <c r="O284" s="27"/>
      <c r="P284" s="8"/>
      <c r="Q284" s="8"/>
      <c r="R284" s="8"/>
      <c r="S284" s="27"/>
      <c r="T284" s="27"/>
      <c r="U284" s="8" t="s">
        <v>1343</v>
      </c>
      <c r="V284" s="8" t="s">
        <v>1343</v>
      </c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 t="s">
        <v>1343</v>
      </c>
      <c r="AP284" s="8"/>
      <c r="AQ284" s="27"/>
      <c r="AR284" s="27"/>
    </row>
    <row r="285" spans="1:44" ht="15.75" thickBot="1" x14ac:dyDescent="0.3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1226</v>
      </c>
      <c r="L285" s="17">
        <f t="shared" si="17"/>
        <v>25</v>
      </c>
      <c r="M285" s="17">
        <f t="shared" si="18"/>
        <v>3</v>
      </c>
      <c r="N285" s="18">
        <f t="shared" si="19"/>
        <v>0.8928571428571429</v>
      </c>
      <c r="O285" s="27"/>
      <c r="P285" s="8"/>
      <c r="Q285" s="8"/>
      <c r="R285" s="8"/>
      <c r="S285" s="27"/>
      <c r="T285" s="27"/>
      <c r="U285" s="8" t="s">
        <v>1343</v>
      </c>
      <c r="V285" s="8" t="s">
        <v>1343</v>
      </c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 t="s">
        <v>1343</v>
      </c>
      <c r="AP285" s="8"/>
      <c r="AQ285" s="27"/>
      <c r="AR285" s="27"/>
    </row>
    <row r="286" spans="1:44" ht="15.75" thickBot="1" x14ac:dyDescent="0.3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1227</v>
      </c>
      <c r="L286" s="17">
        <f t="shared" si="17"/>
        <v>27</v>
      </c>
      <c r="M286" s="17">
        <f t="shared" si="18"/>
        <v>1</v>
      </c>
      <c r="N286" s="18">
        <f t="shared" si="19"/>
        <v>0.9642857142857143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 t="s">
        <v>1343</v>
      </c>
      <c r="AP286" s="8"/>
      <c r="AQ286" s="27"/>
      <c r="AR286" s="27"/>
    </row>
    <row r="287" spans="1:44" ht="15.75" thickBot="1" x14ac:dyDescent="0.3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1228</v>
      </c>
      <c r="L287" s="17">
        <f t="shared" si="17"/>
        <v>27</v>
      </c>
      <c r="M287" s="17">
        <f t="shared" si="18"/>
        <v>1</v>
      </c>
      <c r="N287" s="18">
        <f t="shared" si="19"/>
        <v>0.9642857142857143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 t="s">
        <v>1343</v>
      </c>
      <c r="AP287" s="8"/>
      <c r="AQ287" s="27"/>
      <c r="AR287" s="27"/>
    </row>
    <row r="288" spans="1:44" ht="15.75" thickBot="1" x14ac:dyDescent="0.3">
      <c r="A288" t="s">
        <v>724</v>
      </c>
      <c r="C288" s="45" t="s">
        <v>725</v>
      </c>
      <c r="D28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1229</v>
      </c>
      <c r="L288" s="17">
        <f t="shared" si="17"/>
        <v>26</v>
      </c>
      <c r="M288" s="17">
        <f t="shared" si="18"/>
        <v>2</v>
      </c>
      <c r="N288" s="18">
        <f t="shared" si="19"/>
        <v>0.9285714285714286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 t="s">
        <v>1343</v>
      </c>
      <c r="AD288" s="27"/>
      <c r="AE288" s="27" t="s">
        <v>1343</v>
      </c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1230</v>
      </c>
      <c r="L289" s="17">
        <f t="shared" si="17"/>
        <v>12</v>
      </c>
      <c r="M289" s="17">
        <f t="shared" si="18"/>
        <v>16</v>
      </c>
      <c r="N289" s="18">
        <f t="shared" si="19"/>
        <v>0.42857142857142855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 t="s">
        <v>1343</v>
      </c>
      <c r="AB289" s="27" t="s">
        <v>1343</v>
      </c>
      <c r="AC289" s="27" t="s">
        <v>1343</v>
      </c>
      <c r="AD289" s="27" t="s">
        <v>1343</v>
      </c>
      <c r="AE289" s="27" t="s">
        <v>1343</v>
      </c>
      <c r="AF289" s="27" t="s">
        <v>1343</v>
      </c>
      <c r="AG289" s="27" t="s">
        <v>1343</v>
      </c>
      <c r="AH289" s="27" t="s">
        <v>1343</v>
      </c>
      <c r="AI289" s="27" t="s">
        <v>1343</v>
      </c>
      <c r="AJ289" s="27" t="s">
        <v>1343</v>
      </c>
      <c r="AK289" s="8" t="s">
        <v>1343</v>
      </c>
      <c r="AL289" s="8" t="s">
        <v>1343</v>
      </c>
      <c r="AM289" s="8" t="s">
        <v>1343</v>
      </c>
      <c r="AN289" s="27" t="s">
        <v>1343</v>
      </c>
      <c r="AO289" s="8" t="s">
        <v>1343</v>
      </c>
      <c r="AP289" s="8" t="s">
        <v>1343</v>
      </c>
      <c r="AQ289" s="27"/>
      <c r="AR289" s="27"/>
    </row>
    <row r="290" spans="1:44" ht="15.75" thickBot="1" x14ac:dyDescent="0.3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1231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 t="s">
        <v>1343</v>
      </c>
      <c r="AQ290" s="27"/>
      <c r="AR290" s="27"/>
    </row>
    <row r="291" spans="1:44" ht="15.75" thickBot="1" x14ac:dyDescent="0.3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1232</v>
      </c>
      <c r="L291" s="17">
        <f t="shared" si="17"/>
        <v>24</v>
      </c>
      <c r="M291" s="17">
        <f t="shared" si="18"/>
        <v>4</v>
      </c>
      <c r="N291" s="18">
        <f t="shared" si="19"/>
        <v>0.8571428571428571</v>
      </c>
      <c r="O291" s="27" t="s">
        <v>1343</v>
      </c>
      <c r="P291" s="8"/>
      <c r="Q291" s="8"/>
      <c r="R291" s="8" t="s">
        <v>1343</v>
      </c>
      <c r="S291" s="27" t="s">
        <v>1343</v>
      </c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 t="s">
        <v>1343</v>
      </c>
      <c r="AQ291" s="27"/>
      <c r="AR291" s="27"/>
    </row>
    <row r="292" spans="1:44" ht="15.75" thickBot="1" x14ac:dyDescent="0.3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1233</v>
      </c>
      <c r="L292" s="17">
        <f t="shared" si="17"/>
        <v>25</v>
      </c>
      <c r="M292" s="17">
        <f t="shared" si="18"/>
        <v>3</v>
      </c>
      <c r="N292" s="18">
        <f t="shared" si="19"/>
        <v>0.8928571428571429</v>
      </c>
      <c r="O292" s="27" t="s">
        <v>1343</v>
      </c>
      <c r="P292" s="8"/>
      <c r="Q292" s="8"/>
      <c r="R292" s="8" t="s">
        <v>1343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 t="s">
        <v>1343</v>
      </c>
      <c r="AQ292" s="27"/>
      <c r="AR292" s="27"/>
    </row>
    <row r="293" spans="1:44" ht="15.75" thickBot="1" x14ac:dyDescent="0.3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1234</v>
      </c>
      <c r="L293" s="17">
        <f t="shared" si="17"/>
        <v>25</v>
      </c>
      <c r="M293" s="17">
        <f t="shared" si="18"/>
        <v>3</v>
      </c>
      <c r="N293" s="18">
        <f t="shared" si="19"/>
        <v>0.8928571428571429</v>
      </c>
      <c r="O293" s="27" t="s">
        <v>1343</v>
      </c>
      <c r="P293" s="8"/>
      <c r="Q293" s="8"/>
      <c r="R293" s="8" t="s">
        <v>1343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 t="s">
        <v>1343</v>
      </c>
      <c r="AQ293" s="27"/>
      <c r="AR293" s="27"/>
    </row>
    <row r="294" spans="1:44" ht="15.75" thickBot="1" x14ac:dyDescent="0.3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1235</v>
      </c>
      <c r="L294" s="17">
        <f t="shared" si="17"/>
        <v>25</v>
      </c>
      <c r="M294" s="17">
        <f t="shared" si="18"/>
        <v>3</v>
      </c>
      <c r="N294" s="18">
        <f t="shared" si="19"/>
        <v>0.8928571428571429</v>
      </c>
      <c r="O294" s="27" t="s">
        <v>1343</v>
      </c>
      <c r="P294" s="8"/>
      <c r="Q294" s="8"/>
      <c r="R294" s="8" t="s">
        <v>1343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 t="s">
        <v>1343</v>
      </c>
      <c r="AQ294" s="27"/>
      <c r="AR294" s="27"/>
    </row>
    <row r="295" spans="1:44" ht="15.75" thickBot="1" x14ac:dyDescent="0.3">
      <c r="A295" t="s">
        <v>724</v>
      </c>
      <c r="C295" s="45" t="s">
        <v>744</v>
      </c>
      <c r="D295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1236</v>
      </c>
      <c r="L295" s="17">
        <f t="shared" si="17"/>
        <v>25</v>
      </c>
      <c r="M295" s="17">
        <f t="shared" si="18"/>
        <v>3</v>
      </c>
      <c r="N295" s="18">
        <f t="shared" si="19"/>
        <v>0.8928571428571429</v>
      </c>
      <c r="O295" s="27" t="s">
        <v>1343</v>
      </c>
      <c r="P295" s="8"/>
      <c r="Q295" s="8"/>
      <c r="R295" s="8" t="s">
        <v>1343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 t="s">
        <v>1343</v>
      </c>
      <c r="AQ295" s="27"/>
      <c r="AR295" s="27"/>
    </row>
    <row r="296" spans="1:44" ht="15.75" thickBot="1" x14ac:dyDescent="0.3">
      <c r="A296" t="s">
        <v>412</v>
      </c>
      <c r="C296" s="45" t="s">
        <v>746</v>
      </c>
      <c r="D296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1237</v>
      </c>
      <c r="L296" s="17">
        <f t="shared" si="17"/>
        <v>19</v>
      </c>
      <c r="M296" s="17">
        <f t="shared" si="18"/>
        <v>9</v>
      </c>
      <c r="N296" s="18">
        <f t="shared" si="19"/>
        <v>0.6785714285714286</v>
      </c>
      <c r="O296" s="27" t="s">
        <v>1343</v>
      </c>
      <c r="P296" s="8"/>
      <c r="Q296" s="8"/>
      <c r="R296" s="8"/>
      <c r="S296" s="27"/>
      <c r="T296" s="27"/>
      <c r="U296" s="8" t="s">
        <v>1343</v>
      </c>
      <c r="V296" s="8" t="s">
        <v>1343</v>
      </c>
      <c r="W296" s="8" t="s">
        <v>1343</v>
      </c>
      <c r="X296" s="27" t="s">
        <v>1343</v>
      </c>
      <c r="Y296" s="27"/>
      <c r="Z296" s="27"/>
      <c r="AA296" s="27"/>
      <c r="AB296" s="27"/>
      <c r="AC296" s="27"/>
      <c r="AD296" s="27"/>
      <c r="AE296" s="27"/>
      <c r="AF296" s="27"/>
      <c r="AG296" s="27" t="s">
        <v>1343</v>
      </c>
      <c r="AH296" s="27" t="s">
        <v>1343</v>
      </c>
      <c r="AI296" s="27"/>
      <c r="AJ296" s="27"/>
      <c r="AK296" s="8"/>
      <c r="AL296" s="8"/>
      <c r="AM296" s="8" t="s">
        <v>1343</v>
      </c>
      <c r="AN296" s="27" t="s">
        <v>1343</v>
      </c>
      <c r="AO296" s="8"/>
      <c r="AP296" s="8"/>
      <c r="AQ296" s="27"/>
      <c r="AR296" s="27"/>
    </row>
    <row r="297" spans="1:44" ht="15.75" thickBot="1" x14ac:dyDescent="0.3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1238</v>
      </c>
      <c r="L297" s="17">
        <f t="shared" si="17"/>
        <v>23</v>
      </c>
      <c r="M297" s="17">
        <f t="shared" si="18"/>
        <v>5</v>
      </c>
      <c r="N297" s="18">
        <f t="shared" si="19"/>
        <v>0.8214285714285714</v>
      </c>
      <c r="O297" s="27" t="s">
        <v>1343</v>
      </c>
      <c r="P297" s="8"/>
      <c r="Q297" s="8"/>
      <c r="R297" s="8"/>
      <c r="S297" s="27"/>
      <c r="T297" s="27"/>
      <c r="U297" s="8"/>
      <c r="V297" s="8" t="s">
        <v>1343</v>
      </c>
      <c r="W297" s="8" t="s">
        <v>1343</v>
      </c>
      <c r="X297" s="27" t="s">
        <v>1343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 t="s">
        <v>1343</v>
      </c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1239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1240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1241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1242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1243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1244</v>
      </c>
      <c r="L303" s="17">
        <f t="shared" si="17"/>
        <v>2</v>
      </c>
      <c r="M303" s="17">
        <f t="shared" si="18"/>
        <v>26</v>
      </c>
      <c r="N303" s="18">
        <f t="shared" si="19"/>
        <v>7.1428571428571425E-2</v>
      </c>
      <c r="O303" s="27" t="s">
        <v>1343</v>
      </c>
      <c r="P303" s="8"/>
      <c r="Q303" s="8"/>
      <c r="R303" s="8" t="s">
        <v>1343</v>
      </c>
      <c r="S303" s="27" t="s">
        <v>1343</v>
      </c>
      <c r="T303" s="27" t="s">
        <v>1343</v>
      </c>
      <c r="U303" s="8" t="s">
        <v>1343</v>
      </c>
      <c r="V303" s="8" t="s">
        <v>1343</v>
      </c>
      <c r="W303" s="8" t="s">
        <v>1343</v>
      </c>
      <c r="X303" s="27" t="s">
        <v>1343</v>
      </c>
      <c r="Y303" s="27" t="s">
        <v>1343</v>
      </c>
      <c r="Z303" s="27" t="s">
        <v>1343</v>
      </c>
      <c r="AA303" s="27" t="s">
        <v>1343</v>
      </c>
      <c r="AB303" s="27" t="s">
        <v>1343</v>
      </c>
      <c r="AC303" s="27" t="s">
        <v>1343</v>
      </c>
      <c r="AD303" s="27" t="s">
        <v>1343</v>
      </c>
      <c r="AE303" s="27" t="s">
        <v>1343</v>
      </c>
      <c r="AF303" s="27" t="s">
        <v>1343</v>
      </c>
      <c r="AG303" s="27" t="s">
        <v>1343</v>
      </c>
      <c r="AH303" s="27" t="s">
        <v>1343</v>
      </c>
      <c r="AI303" s="27" t="s">
        <v>1343</v>
      </c>
      <c r="AJ303" s="27" t="s">
        <v>1343</v>
      </c>
      <c r="AK303" s="8" t="s">
        <v>1343</v>
      </c>
      <c r="AL303" s="8" t="s">
        <v>1343</v>
      </c>
      <c r="AM303" s="8" t="s">
        <v>1343</v>
      </c>
      <c r="AN303" s="27" t="s">
        <v>1343</v>
      </c>
      <c r="AO303" s="8" t="s">
        <v>1343</v>
      </c>
      <c r="AP303" s="8" t="s">
        <v>1343</v>
      </c>
      <c r="AQ303" s="27"/>
      <c r="AR303" s="27"/>
    </row>
    <row r="304" spans="1:44" ht="15.75" thickBot="1" x14ac:dyDescent="0.3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1245</v>
      </c>
      <c r="L304" s="17">
        <f t="shared" si="17"/>
        <v>26</v>
      </c>
      <c r="M304" s="17">
        <f t="shared" si="18"/>
        <v>2</v>
      </c>
      <c r="N304" s="18">
        <f t="shared" si="19"/>
        <v>0.9285714285714286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 t="s">
        <v>1343</v>
      </c>
      <c r="AN304" s="27" t="s">
        <v>1343</v>
      </c>
      <c r="AO304" s="8"/>
      <c r="AP304" s="8"/>
      <c r="AQ304" s="27"/>
      <c r="AR304" s="27"/>
    </row>
    <row r="305" spans="1:44" ht="15.75" thickBot="1" x14ac:dyDescent="0.3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1246</v>
      </c>
      <c r="L305" s="17">
        <f t="shared" si="17"/>
        <v>26</v>
      </c>
      <c r="M305" s="17">
        <f t="shared" si="18"/>
        <v>2</v>
      </c>
      <c r="N305" s="18">
        <f t="shared" si="19"/>
        <v>0.9285714285714286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 t="s">
        <v>1343</v>
      </c>
      <c r="AN305" s="27" t="s">
        <v>1343</v>
      </c>
      <c r="AO305" s="8"/>
      <c r="AP305" s="8"/>
      <c r="AQ305" s="27"/>
      <c r="AR305" s="27"/>
    </row>
    <row r="306" spans="1:44" ht="15.75" thickBot="1" x14ac:dyDescent="0.3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1247</v>
      </c>
      <c r="L306" s="17">
        <f t="shared" si="17"/>
        <v>26</v>
      </c>
      <c r="M306" s="17">
        <f t="shared" si="18"/>
        <v>2</v>
      </c>
      <c r="N306" s="18">
        <f t="shared" si="19"/>
        <v>0.9285714285714286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 t="s">
        <v>1343</v>
      </c>
      <c r="AN306" s="27" t="s">
        <v>1343</v>
      </c>
      <c r="AO306" s="8"/>
      <c r="AP306" s="8"/>
      <c r="AQ306" s="27"/>
      <c r="AR306" s="27"/>
    </row>
    <row r="307" spans="1:44" ht="15.75" thickBot="1" x14ac:dyDescent="0.3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1248</v>
      </c>
      <c r="L307" s="17">
        <f t="shared" si="17"/>
        <v>26</v>
      </c>
      <c r="M307" s="17">
        <f t="shared" si="18"/>
        <v>2</v>
      </c>
      <c r="N307" s="18">
        <f t="shared" si="19"/>
        <v>0.9285714285714286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 t="s">
        <v>1343</v>
      </c>
      <c r="AN307" s="27" t="s">
        <v>1343</v>
      </c>
      <c r="AO307" s="8"/>
      <c r="AP307" s="8"/>
      <c r="AQ307" s="27"/>
      <c r="AR307" s="27"/>
    </row>
    <row r="308" spans="1:44" ht="15.75" thickBot="1" x14ac:dyDescent="0.3">
      <c r="C308" s="45" t="s">
        <v>769</v>
      </c>
      <c r="D30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1260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.75" thickBot="1" x14ac:dyDescent="0.3">
      <c r="A309" t="s">
        <v>772</v>
      </c>
      <c r="C309" s="45" t="s">
        <v>773</v>
      </c>
      <c r="D309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1261</v>
      </c>
      <c r="L309" s="17">
        <f t="shared" si="17"/>
        <v>21</v>
      </c>
      <c r="M309" s="17">
        <f t="shared" si="18"/>
        <v>7</v>
      </c>
      <c r="N309" s="18">
        <f t="shared" si="19"/>
        <v>0.75</v>
      </c>
      <c r="O309" s="27"/>
      <c r="P309" s="8"/>
      <c r="Q309" s="8"/>
      <c r="R309" s="8"/>
      <c r="S309" s="27"/>
      <c r="T309" s="27"/>
      <c r="U309" s="8" t="s">
        <v>1343</v>
      </c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 t="s">
        <v>1343</v>
      </c>
      <c r="AH309" s="27" t="s">
        <v>1343</v>
      </c>
      <c r="AI309" s="27" t="s">
        <v>1343</v>
      </c>
      <c r="AJ309" s="27" t="s">
        <v>1343</v>
      </c>
      <c r="AK309" s="8"/>
      <c r="AL309" s="8"/>
      <c r="AM309" s="8" t="s">
        <v>1343</v>
      </c>
      <c r="AN309" s="27" t="s">
        <v>1343</v>
      </c>
      <c r="AO309" s="8"/>
      <c r="AP309" s="8"/>
      <c r="AQ309" s="27"/>
      <c r="AR309" s="27"/>
    </row>
    <row r="310" spans="1:44" ht="15.75" thickBot="1" x14ac:dyDescent="0.3">
      <c r="C310" s="45" t="s">
        <v>776</v>
      </c>
      <c r="D310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1263</v>
      </c>
      <c r="L310" s="17">
        <f t="shared" si="17"/>
        <v>23</v>
      </c>
      <c r="M310" s="17">
        <f t="shared" si="18"/>
        <v>5</v>
      </c>
      <c r="N310" s="18">
        <f t="shared" si="19"/>
        <v>0.8214285714285714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 t="s">
        <v>1343</v>
      </c>
      <c r="AH310" s="27"/>
      <c r="AI310" s="27"/>
      <c r="AJ310" s="27"/>
      <c r="AK310" s="8"/>
      <c r="AL310" s="8"/>
      <c r="AM310" s="8" t="s">
        <v>1343</v>
      </c>
      <c r="AN310" s="27" t="s">
        <v>1343</v>
      </c>
      <c r="AO310" s="8" t="s">
        <v>1343</v>
      </c>
      <c r="AP310" s="8" t="s">
        <v>1343</v>
      </c>
      <c r="AQ310" s="27"/>
      <c r="AR310" s="27"/>
    </row>
    <row r="311" spans="1:44" ht="15.75" thickBot="1" x14ac:dyDescent="0.3">
      <c r="A311" t="s">
        <v>779</v>
      </c>
      <c r="C311" s="45" t="s">
        <v>780</v>
      </c>
      <c r="D311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1264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779</v>
      </c>
      <c r="C312" s="45" t="s">
        <v>783</v>
      </c>
      <c r="D312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1265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772</v>
      </c>
      <c r="C313" s="45" t="s">
        <v>784</v>
      </c>
      <c r="D313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1266</v>
      </c>
      <c r="L313" s="17">
        <f t="shared" si="17"/>
        <v>26</v>
      </c>
      <c r="M313" s="17">
        <f t="shared" si="18"/>
        <v>2</v>
      </c>
      <c r="N313" s="18">
        <f t="shared" si="19"/>
        <v>0.9285714285714286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 t="s">
        <v>1343</v>
      </c>
      <c r="AP313" s="8" t="s">
        <v>1343</v>
      </c>
      <c r="AQ313" s="27"/>
      <c r="AR313" s="27"/>
    </row>
    <row r="314" spans="1:44" ht="15.75" thickBot="1" x14ac:dyDescent="0.3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1267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1268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1249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1250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1251</v>
      </c>
      <c r="L318" s="17">
        <f t="shared" si="17"/>
        <v>26</v>
      </c>
      <c r="M318" s="17">
        <f t="shared" si="18"/>
        <v>2</v>
      </c>
      <c r="N318" s="18">
        <f t="shared" si="19"/>
        <v>0.9285714285714286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 t="s">
        <v>1343</v>
      </c>
      <c r="AP318" s="8" t="s">
        <v>1343</v>
      </c>
      <c r="AQ318" s="27"/>
      <c r="AR318" s="27"/>
    </row>
    <row r="319" spans="1:44" ht="15.75" thickBot="1" x14ac:dyDescent="0.3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1252</v>
      </c>
      <c r="L319" s="17">
        <f t="shared" si="17"/>
        <v>26</v>
      </c>
      <c r="M319" s="17">
        <f t="shared" si="18"/>
        <v>2</v>
      </c>
      <c r="N319" s="18">
        <f t="shared" si="19"/>
        <v>0.9285714285714286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 t="s">
        <v>1343</v>
      </c>
      <c r="AP319" s="8" t="s">
        <v>1343</v>
      </c>
      <c r="AQ319" s="27"/>
      <c r="AR319" s="27"/>
    </row>
    <row r="320" spans="1:44" ht="15.75" thickBot="1" x14ac:dyDescent="0.3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1253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1254</v>
      </c>
      <c r="L321" s="17">
        <f t="shared" si="17"/>
        <v>27</v>
      </c>
      <c r="M321" s="17">
        <f t="shared" si="18"/>
        <v>1</v>
      </c>
      <c r="N321" s="18">
        <f t="shared" si="19"/>
        <v>0.9642857142857143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 t="s">
        <v>1343</v>
      </c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772</v>
      </c>
      <c r="C322" s="45" t="s">
        <v>803</v>
      </c>
      <c r="D322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1255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1256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1257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 t="s">
        <v>1343</v>
      </c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1258</v>
      </c>
      <c r="L325" s="17">
        <f t="shared" si="17"/>
        <v>20</v>
      </c>
      <c r="M325" s="17">
        <f t="shared" si="18"/>
        <v>8</v>
      </c>
      <c r="N325" s="18">
        <f t="shared" si="19"/>
        <v>0.7142857142857143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 t="s">
        <v>1343</v>
      </c>
      <c r="AH325" s="27" t="s">
        <v>1343</v>
      </c>
      <c r="AI325" s="27" t="s">
        <v>1343</v>
      </c>
      <c r="AJ325" s="27"/>
      <c r="AK325" s="8" t="s">
        <v>1343</v>
      </c>
      <c r="AL325" s="8"/>
      <c r="AM325" s="8" t="s">
        <v>1343</v>
      </c>
      <c r="AN325" s="27" t="s">
        <v>1343</v>
      </c>
      <c r="AO325" s="8" t="s">
        <v>1343</v>
      </c>
      <c r="AP325" s="8" t="s">
        <v>1343</v>
      </c>
      <c r="AQ325" s="27"/>
      <c r="AR325" s="27"/>
    </row>
    <row r="326" spans="1:44" ht="15.75" thickBot="1" x14ac:dyDescent="0.3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1259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1262</v>
      </c>
      <c r="L327" s="17">
        <f t="shared" ref="L327:L372" si="20">COUNTIF(O327:AP327,"")</f>
        <v>24</v>
      </c>
      <c r="M327" s="17">
        <f t="shared" ref="M327:M372" si="21">COUNTIF(O327:AP327,"APAGADO")</f>
        <v>4</v>
      </c>
      <c r="N327" s="18">
        <f t="shared" ref="N327:N372" si="22">(L327)/(M327+L327)</f>
        <v>0.8571428571428571</v>
      </c>
      <c r="O327" s="27"/>
      <c r="P327" s="8"/>
      <c r="Q327" s="8"/>
      <c r="R327" s="8"/>
      <c r="S327" s="27"/>
      <c r="T327" s="27"/>
      <c r="U327" s="8" t="s">
        <v>1343</v>
      </c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 t="s">
        <v>1343</v>
      </c>
      <c r="AH327" s="27" t="s">
        <v>1343</v>
      </c>
      <c r="AI327" s="27"/>
      <c r="AJ327" s="27"/>
      <c r="AK327" s="8"/>
      <c r="AL327" s="8"/>
      <c r="AM327" s="8" t="s">
        <v>1343</v>
      </c>
      <c r="AN327" s="27"/>
      <c r="AO327" s="8"/>
      <c r="AP327" s="8"/>
      <c r="AQ327" s="27"/>
      <c r="AR327" s="27"/>
    </row>
    <row r="328" spans="1:44" ht="15.75" thickBot="1" x14ac:dyDescent="0.3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1269</v>
      </c>
      <c r="L328" s="17">
        <f t="shared" si="20"/>
        <v>26</v>
      </c>
      <c r="M328" s="17">
        <f t="shared" si="21"/>
        <v>2</v>
      </c>
      <c r="N328" s="18">
        <f t="shared" si="22"/>
        <v>0.9285714285714286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 t="s">
        <v>1343</v>
      </c>
      <c r="AP328" s="8" t="s">
        <v>1343</v>
      </c>
      <c r="AQ328" s="27"/>
      <c r="AR328" s="27"/>
    </row>
    <row r="329" spans="1:44" ht="15.75" thickBot="1" x14ac:dyDescent="0.3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1270</v>
      </c>
      <c r="L329" s="17">
        <f t="shared" si="20"/>
        <v>26</v>
      </c>
      <c r="M329" s="17">
        <f t="shared" si="21"/>
        <v>2</v>
      </c>
      <c r="N329" s="18">
        <f t="shared" si="22"/>
        <v>0.9285714285714286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 t="s">
        <v>1343</v>
      </c>
      <c r="AP329" s="8" t="s">
        <v>1343</v>
      </c>
      <c r="AQ329" s="27"/>
      <c r="AR329" s="27"/>
    </row>
    <row r="330" spans="1:44" ht="15.75" thickBot="1" x14ac:dyDescent="0.3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1025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1271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1278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1274</v>
      </c>
      <c r="L333" s="17">
        <f t="shared" si="20"/>
        <v>27</v>
      </c>
      <c r="M333" s="17">
        <f t="shared" si="21"/>
        <v>1</v>
      </c>
      <c r="N333" s="18">
        <f t="shared" si="22"/>
        <v>0.9642857142857143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 t="s">
        <v>1343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.75" thickBot="1" x14ac:dyDescent="0.3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1275</v>
      </c>
      <c r="L334" s="17">
        <f t="shared" si="20"/>
        <v>25</v>
      </c>
      <c r="M334" s="17">
        <f t="shared" si="21"/>
        <v>3</v>
      </c>
      <c r="N334" s="18">
        <f t="shared" si="22"/>
        <v>0.8928571428571429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 t="s">
        <v>1343</v>
      </c>
      <c r="AH334" s="27" t="s">
        <v>1343</v>
      </c>
      <c r="AI334" s="27"/>
      <c r="AJ334" s="27"/>
      <c r="AK334" s="8"/>
      <c r="AL334" s="8"/>
      <c r="AM334" s="8" t="s">
        <v>1343</v>
      </c>
      <c r="AN334" s="27"/>
      <c r="AO334" s="8"/>
      <c r="AP334" s="8"/>
      <c r="AQ334" s="27"/>
      <c r="AR334" s="27"/>
    </row>
    <row r="335" spans="1:44" ht="15.75" thickBot="1" x14ac:dyDescent="0.3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1272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.75" thickBot="1" x14ac:dyDescent="0.3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1273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.75" thickBot="1" x14ac:dyDescent="0.3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1276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1277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1279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1343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1280</v>
      </c>
      <c r="L340" s="17">
        <f t="shared" si="20"/>
        <v>27</v>
      </c>
      <c r="M340" s="17">
        <f t="shared" si="21"/>
        <v>1</v>
      </c>
      <c r="N340" s="18">
        <f t="shared" si="22"/>
        <v>0.9642857142857143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 t="s">
        <v>1343</v>
      </c>
      <c r="AQ340" s="27"/>
      <c r="AR340" s="27"/>
    </row>
    <row r="341" spans="1:44" ht="15.75" thickBot="1" x14ac:dyDescent="0.3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1281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1282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730</v>
      </c>
      <c r="C343" s="45" t="s">
        <v>848</v>
      </c>
      <c r="D343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1283</v>
      </c>
      <c r="L343" s="17">
        <f t="shared" si="20"/>
        <v>12</v>
      </c>
      <c r="M343" s="17">
        <f t="shared" si="21"/>
        <v>16</v>
      </c>
      <c r="N343" s="18">
        <f t="shared" si="22"/>
        <v>0.42857142857142855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 t="s">
        <v>1343</v>
      </c>
      <c r="AB343" s="27" t="s">
        <v>1343</v>
      </c>
      <c r="AC343" s="27" t="s">
        <v>1343</v>
      </c>
      <c r="AD343" s="27" t="s">
        <v>1343</v>
      </c>
      <c r="AE343" s="27" t="s">
        <v>1343</v>
      </c>
      <c r="AF343" s="27" t="s">
        <v>1343</v>
      </c>
      <c r="AG343" s="27" t="s">
        <v>1343</v>
      </c>
      <c r="AH343" s="27" t="s">
        <v>1343</v>
      </c>
      <c r="AI343" s="27" t="s">
        <v>1343</v>
      </c>
      <c r="AJ343" s="27" t="s">
        <v>1343</v>
      </c>
      <c r="AK343" s="8" t="s">
        <v>1343</v>
      </c>
      <c r="AL343" s="8" t="s">
        <v>1343</v>
      </c>
      <c r="AM343" s="8" t="s">
        <v>1343</v>
      </c>
      <c r="AN343" s="27" t="s">
        <v>1343</v>
      </c>
      <c r="AO343" s="8" t="s">
        <v>1343</v>
      </c>
      <c r="AP343" s="8" t="s">
        <v>1343</v>
      </c>
      <c r="AQ343" s="27"/>
      <c r="AR343" s="27"/>
    </row>
    <row r="344" spans="1:44" ht="15.75" thickBot="1" x14ac:dyDescent="0.3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1284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1285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 t="s">
        <v>1343</v>
      </c>
      <c r="AP345" s="8"/>
      <c r="AQ345" s="27"/>
      <c r="AR345" s="27"/>
    </row>
    <row r="346" spans="1:44" ht="15.75" thickBot="1" x14ac:dyDescent="0.3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1286</v>
      </c>
      <c r="L346" s="17">
        <f t="shared" si="20"/>
        <v>27</v>
      </c>
      <c r="M346" s="17">
        <f t="shared" si="21"/>
        <v>1</v>
      </c>
      <c r="N346" s="18">
        <f t="shared" si="22"/>
        <v>0.9642857142857143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 t="s">
        <v>1343</v>
      </c>
      <c r="AP346" s="8"/>
      <c r="AQ346" s="27"/>
      <c r="AR346" s="27"/>
    </row>
    <row r="347" spans="1:44" ht="15.75" thickBot="1" x14ac:dyDescent="0.3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1287</v>
      </c>
      <c r="L347" s="17">
        <f t="shared" si="20"/>
        <v>27</v>
      </c>
      <c r="M347" s="17">
        <f t="shared" si="21"/>
        <v>1</v>
      </c>
      <c r="N347" s="18">
        <f t="shared" si="22"/>
        <v>0.9642857142857143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 t="s">
        <v>1343</v>
      </c>
      <c r="AP347" s="8"/>
      <c r="AQ347" s="27"/>
      <c r="AR347" s="27"/>
    </row>
    <row r="348" spans="1:44" ht="15.75" thickBot="1" x14ac:dyDescent="0.3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1288</v>
      </c>
      <c r="L348" s="17">
        <f t="shared" si="20"/>
        <v>27</v>
      </c>
      <c r="M348" s="17">
        <f t="shared" si="21"/>
        <v>1</v>
      </c>
      <c r="N348" s="18">
        <f t="shared" si="22"/>
        <v>0.9642857142857143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 t="s">
        <v>1343</v>
      </c>
      <c r="AP348" s="8"/>
      <c r="AQ348" s="27"/>
      <c r="AR348" s="27"/>
    </row>
    <row r="349" spans="1:44" ht="15.75" thickBot="1" x14ac:dyDescent="0.3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1289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1290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1291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1292</v>
      </c>
      <c r="L352" s="17">
        <f t="shared" si="20"/>
        <v>2</v>
      </c>
      <c r="M352" s="17">
        <f t="shared" si="21"/>
        <v>26</v>
      </c>
      <c r="N352" s="18">
        <f t="shared" si="22"/>
        <v>7.1428571428571425E-2</v>
      </c>
      <c r="O352" s="27" t="s">
        <v>1343</v>
      </c>
      <c r="P352" s="8"/>
      <c r="Q352" s="8"/>
      <c r="R352" s="8" t="s">
        <v>1343</v>
      </c>
      <c r="S352" s="27" t="s">
        <v>1343</v>
      </c>
      <c r="T352" s="27" t="s">
        <v>1343</v>
      </c>
      <c r="U352" s="8" t="s">
        <v>1343</v>
      </c>
      <c r="V352" s="8" t="s">
        <v>1343</v>
      </c>
      <c r="W352" s="8" t="s">
        <v>1343</v>
      </c>
      <c r="X352" s="27" t="s">
        <v>1343</v>
      </c>
      <c r="Y352" s="27" t="s">
        <v>1343</v>
      </c>
      <c r="Z352" s="27" t="s">
        <v>1343</v>
      </c>
      <c r="AA352" s="27" t="s">
        <v>1343</v>
      </c>
      <c r="AB352" s="27" t="s">
        <v>1343</v>
      </c>
      <c r="AC352" s="27" t="s">
        <v>1343</v>
      </c>
      <c r="AD352" s="27" t="s">
        <v>1343</v>
      </c>
      <c r="AE352" s="27" t="s">
        <v>1343</v>
      </c>
      <c r="AF352" s="27" t="s">
        <v>1343</v>
      </c>
      <c r="AG352" s="27" t="s">
        <v>1343</v>
      </c>
      <c r="AH352" s="27" t="s">
        <v>1343</v>
      </c>
      <c r="AI352" s="27" t="s">
        <v>1343</v>
      </c>
      <c r="AJ352" s="27" t="s">
        <v>1343</v>
      </c>
      <c r="AK352" s="8" t="s">
        <v>1343</v>
      </c>
      <c r="AL352" s="8" t="s">
        <v>1343</v>
      </c>
      <c r="AM352" s="8" t="s">
        <v>1343</v>
      </c>
      <c r="AN352" s="27" t="s">
        <v>1343</v>
      </c>
      <c r="AO352" s="8" t="s">
        <v>1343</v>
      </c>
      <c r="AP352" s="8" t="s">
        <v>1343</v>
      </c>
      <c r="AQ352" s="27"/>
      <c r="AR352" s="27"/>
    </row>
    <row r="353" spans="1:44" ht="15.75" thickBot="1" x14ac:dyDescent="0.3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1293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1294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21</v>
      </c>
      <c r="M355" s="17">
        <f t="shared" si="21"/>
        <v>7</v>
      </c>
      <c r="N355" s="18">
        <f t="shared" si="22"/>
        <v>0.75</v>
      </c>
      <c r="O355" s="27"/>
      <c r="P355" s="8"/>
      <c r="Q355" s="8"/>
      <c r="R355" s="8"/>
      <c r="S355" s="27"/>
      <c r="T355" s="27"/>
      <c r="U355" s="8"/>
      <c r="V355" s="8"/>
      <c r="W355" s="8" t="s">
        <v>1343</v>
      </c>
      <c r="X355" s="27" t="s">
        <v>1343</v>
      </c>
      <c r="Y355" s="27"/>
      <c r="Z355" s="27"/>
      <c r="AA355" s="27"/>
      <c r="AB355" s="27" t="s">
        <v>1343</v>
      </c>
      <c r="AC355" s="27" t="s">
        <v>1343</v>
      </c>
      <c r="AD355" s="27" t="s">
        <v>1343</v>
      </c>
      <c r="AE355" s="27" t="s">
        <v>1343</v>
      </c>
      <c r="AF355" s="27"/>
      <c r="AG355" s="27"/>
      <c r="AH355" s="27"/>
      <c r="AI355" s="27"/>
      <c r="AJ355" s="27"/>
      <c r="AK355" s="8"/>
      <c r="AL355" s="8" t="s">
        <v>1343</v>
      </c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1295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1296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1297</v>
      </c>
      <c r="L358" s="17">
        <f t="shared" si="20"/>
        <v>25</v>
      </c>
      <c r="M358" s="17">
        <f t="shared" si="21"/>
        <v>3</v>
      </c>
      <c r="N358" s="18">
        <f t="shared" si="22"/>
        <v>0.8928571428571429</v>
      </c>
      <c r="O358" s="27" t="s">
        <v>1343</v>
      </c>
      <c r="P358" s="8"/>
      <c r="Q358" s="8"/>
      <c r="R358" s="8" t="s">
        <v>1343</v>
      </c>
      <c r="S358" s="27" t="s">
        <v>1343</v>
      </c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1298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.75" thickBot="1" x14ac:dyDescent="0.3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1299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.75" thickBot="1" x14ac:dyDescent="0.3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1300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.75" thickBot="1" x14ac:dyDescent="0.3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1301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.75" thickBot="1" x14ac:dyDescent="0.3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1302</v>
      </c>
      <c r="L363" s="17">
        <f t="shared" si="20"/>
        <v>21</v>
      </c>
      <c r="M363" s="17">
        <f t="shared" si="21"/>
        <v>7</v>
      </c>
      <c r="N363" s="18">
        <f t="shared" si="22"/>
        <v>0.75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 t="s">
        <v>1343</v>
      </c>
      <c r="AH363" s="27" t="s">
        <v>1343</v>
      </c>
      <c r="AI363" s="27" t="s">
        <v>1343</v>
      </c>
      <c r="AJ363" s="27" t="s">
        <v>1343</v>
      </c>
      <c r="AK363" s="8" t="s">
        <v>1343</v>
      </c>
      <c r="AL363" s="8"/>
      <c r="AM363" s="8" t="s">
        <v>1343</v>
      </c>
      <c r="AN363" s="27" t="s">
        <v>1343</v>
      </c>
      <c r="AO363" s="8"/>
      <c r="AP363" s="8"/>
      <c r="AQ363" s="27"/>
      <c r="AR363" s="27"/>
    </row>
    <row r="364" spans="1:44" ht="15.75" thickBot="1" x14ac:dyDescent="0.3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1303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1304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1305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1309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1306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1307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1308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1316</v>
      </c>
      <c r="C371" s="45" t="s">
        <v>1312</v>
      </c>
      <c r="D371" t="s">
        <v>1314</v>
      </c>
      <c r="E371" s="45" t="s">
        <v>113</v>
      </c>
      <c r="F371" s="45" t="s">
        <v>36</v>
      </c>
      <c r="G371" s="9"/>
      <c r="H371" s="9" t="s">
        <v>1319</v>
      </c>
      <c r="I371" s="9"/>
      <c r="J371" s="9"/>
      <c r="K371" s="28" t="s">
        <v>1317</v>
      </c>
      <c r="L371" s="17">
        <f t="shared" si="20"/>
        <v>27</v>
      </c>
      <c r="M371" s="17">
        <f t="shared" si="21"/>
        <v>1</v>
      </c>
      <c r="N371" s="18">
        <f t="shared" si="22"/>
        <v>0.9642857142857143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 t="s">
        <v>1343</v>
      </c>
      <c r="AP371" s="27"/>
      <c r="AQ371" s="27"/>
      <c r="AR371" s="27"/>
    </row>
    <row r="372" spans="1:44" ht="15.75" thickBot="1" x14ac:dyDescent="0.3">
      <c r="A372" t="s">
        <v>1316</v>
      </c>
      <c r="C372" s="45" t="s">
        <v>1313</v>
      </c>
      <c r="D372" t="s">
        <v>1315</v>
      </c>
      <c r="E372" s="45" t="s">
        <v>113</v>
      </c>
      <c r="F372" s="45" t="s">
        <v>36</v>
      </c>
      <c r="G372" s="9" t="s">
        <v>1319</v>
      </c>
      <c r="H372" s="9"/>
      <c r="I372" s="9"/>
      <c r="J372" s="9"/>
      <c r="K372" s="28" t="s">
        <v>1318</v>
      </c>
      <c r="L372" s="17">
        <f t="shared" si="20"/>
        <v>27</v>
      </c>
      <c r="M372" s="17">
        <f t="shared" si="21"/>
        <v>1</v>
      </c>
      <c r="N372" s="18">
        <f t="shared" si="22"/>
        <v>0.9642857142857143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 t="s">
        <v>1343</v>
      </c>
      <c r="AP372" s="27"/>
      <c r="AQ372" s="27"/>
      <c r="AR372" s="27"/>
    </row>
    <row r="373" spans="1:44" ht="15.75" thickBot="1" x14ac:dyDescent="0.3">
      <c r="A373" s="67" t="s">
        <v>571</v>
      </c>
      <c r="C373" s="68" t="s">
        <v>1331</v>
      </c>
      <c r="D373" s="69" t="s">
        <v>1335</v>
      </c>
      <c r="E373" s="70" t="s">
        <v>19</v>
      </c>
      <c r="F373" s="71" t="s">
        <v>36</v>
      </c>
      <c r="G373" s="9"/>
      <c r="H373" s="9"/>
      <c r="I373" s="9"/>
      <c r="J373" s="9"/>
      <c r="K373" s="72" t="s">
        <v>1339</v>
      </c>
      <c r="L373" s="73">
        <f t="shared" ref="L373:L377" si="23">COUNTIF(O373:AP373,"")</f>
        <v>27</v>
      </c>
      <c r="M373" s="73">
        <f t="shared" ref="M373:M377" si="24">COUNTIF(O373:AP373,"APAGADO")</f>
        <v>1</v>
      </c>
      <c r="N373" s="74">
        <f t="shared" ref="N373:N377" si="25">(L373)/(M373+L373)</f>
        <v>0.9642857142857143</v>
      </c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 t="s">
        <v>1343</v>
      </c>
      <c r="AP373" s="75"/>
      <c r="AQ373" s="75"/>
      <c r="AR373" s="75"/>
    </row>
    <row r="374" spans="1:44" ht="15.75" thickBot="1" x14ac:dyDescent="0.3">
      <c r="A374" s="67" t="s">
        <v>571</v>
      </c>
      <c r="C374" s="68" t="s">
        <v>1332</v>
      </c>
      <c r="D374" s="69" t="s">
        <v>1336</v>
      </c>
      <c r="E374" s="70" t="s">
        <v>19</v>
      </c>
      <c r="F374" s="71" t="s">
        <v>36</v>
      </c>
      <c r="G374" s="9"/>
      <c r="H374" s="9"/>
      <c r="I374" s="9"/>
      <c r="J374" s="9"/>
      <c r="K374" s="72" t="s">
        <v>1340</v>
      </c>
      <c r="L374" s="73">
        <f t="shared" si="23"/>
        <v>27</v>
      </c>
      <c r="M374" s="73">
        <f t="shared" si="24"/>
        <v>1</v>
      </c>
      <c r="N374" s="74">
        <f t="shared" si="25"/>
        <v>0.9642857142857143</v>
      </c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 t="s">
        <v>1343</v>
      </c>
      <c r="AP374" s="75"/>
      <c r="AQ374" s="75"/>
      <c r="AR374" s="75"/>
    </row>
    <row r="375" spans="1:44" ht="15.75" thickBot="1" x14ac:dyDescent="0.3">
      <c r="A375" s="67" t="s">
        <v>571</v>
      </c>
      <c r="C375" s="68" t="s">
        <v>1333</v>
      </c>
      <c r="D375" s="69" t="s">
        <v>1337</v>
      </c>
      <c r="E375" s="70" t="s">
        <v>19</v>
      </c>
      <c r="F375" s="71" t="s">
        <v>36</v>
      </c>
      <c r="G375" s="9"/>
      <c r="H375" s="9"/>
      <c r="I375" s="9"/>
      <c r="J375" s="9"/>
      <c r="K375" s="72" t="s">
        <v>1341</v>
      </c>
      <c r="L375" s="73">
        <f t="shared" si="23"/>
        <v>27</v>
      </c>
      <c r="M375" s="73">
        <f t="shared" si="24"/>
        <v>1</v>
      </c>
      <c r="N375" s="74">
        <f t="shared" si="25"/>
        <v>0.9642857142857143</v>
      </c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 t="s">
        <v>1343</v>
      </c>
      <c r="AP375" s="75"/>
      <c r="AQ375" s="75"/>
      <c r="AR375" s="75"/>
    </row>
    <row r="376" spans="1:44" ht="15.75" thickBot="1" x14ac:dyDescent="0.3">
      <c r="A376" s="67" t="s">
        <v>571</v>
      </c>
      <c r="C376" s="68" t="s">
        <v>1334</v>
      </c>
      <c r="D376" s="69" t="s">
        <v>1338</v>
      </c>
      <c r="E376" s="70" t="s">
        <v>19</v>
      </c>
      <c r="F376" s="71" t="s">
        <v>36</v>
      </c>
      <c r="G376" s="9"/>
      <c r="H376" s="9"/>
      <c r="I376" s="9"/>
      <c r="J376" s="9"/>
      <c r="K376" s="72" t="s">
        <v>1342</v>
      </c>
      <c r="L376" s="73">
        <f t="shared" si="23"/>
        <v>27</v>
      </c>
      <c r="M376" s="73">
        <f t="shared" si="24"/>
        <v>1</v>
      </c>
      <c r="N376" s="74">
        <f t="shared" si="25"/>
        <v>0.9642857142857143</v>
      </c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 t="s">
        <v>1343</v>
      </c>
      <c r="AP376" s="75"/>
      <c r="AQ376" s="75"/>
      <c r="AR376" s="75"/>
    </row>
    <row r="377" spans="1:44" s="70" customFormat="1" ht="15.75" thickBot="1" x14ac:dyDescent="0.3">
      <c r="A377" s="70" t="s">
        <v>80</v>
      </c>
      <c r="C377" s="71" t="s">
        <v>1349</v>
      </c>
      <c r="D377" s="70" t="s">
        <v>1347</v>
      </c>
      <c r="E377" s="70" t="s">
        <v>19</v>
      </c>
      <c r="F377" s="71" t="s">
        <v>36</v>
      </c>
      <c r="G377" s="72"/>
      <c r="H377" s="72"/>
      <c r="I377" s="72"/>
      <c r="J377" s="72"/>
      <c r="K377" s="72" t="s">
        <v>1348</v>
      </c>
      <c r="L377" s="73">
        <f t="shared" si="23"/>
        <v>26</v>
      </c>
      <c r="M377" s="73">
        <f t="shared" si="24"/>
        <v>2</v>
      </c>
      <c r="N377" s="74">
        <f t="shared" si="25"/>
        <v>0.9285714285714286</v>
      </c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75"/>
      <c r="AN377" s="75" t="s">
        <v>1343</v>
      </c>
      <c r="AO377" s="75" t="s">
        <v>1343</v>
      </c>
      <c r="AP377" s="75"/>
      <c r="AQ377" s="75"/>
      <c r="AR377" s="75"/>
    </row>
    <row r="378" spans="1:44" x14ac:dyDescent="0.25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</row>
    <row r="379" spans="1:44" x14ac:dyDescent="0.25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</row>
    <row r="380" spans="1:44" x14ac:dyDescent="0.25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5:44" x14ac:dyDescent="0.25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5:44" x14ac:dyDescent="0.25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5:44" x14ac:dyDescent="0.25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5:44" x14ac:dyDescent="0.25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5:44" x14ac:dyDescent="0.25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5:44" x14ac:dyDescent="0.25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5:44" x14ac:dyDescent="0.25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5:44" x14ac:dyDescent="0.25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5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5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5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5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5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5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5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5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Y96:AJ372 AK95:AP369 AR95:AR369 N245:X246 N247:N377">
    <cfRule type="cellIs" dxfId="517" priority="1893" operator="lessThan">
      <formula>0.8</formula>
    </cfRule>
    <cfRule type="cellIs" dxfId="516" priority="1894" operator="greaterThan">
      <formula>0.8</formula>
    </cfRule>
  </conditionalFormatting>
  <conditionalFormatting sqref="E1:K3 E284:K334 E236:K236 E5:K32 E36:K91 E94:K230 E337:K364 E369:K372 E243:K281 E391:K1048576">
    <cfRule type="containsText" dxfId="515" priority="1892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514" priority="1888" operator="notContains" text="Caida">
      <formula>ISERROR(SEARCH("Caida",O95))</formula>
    </cfRule>
    <cfRule type="containsText" dxfId="513" priority="1889" operator="containsText" text="Caida">
      <formula>NOT(ISERROR(SEARCH("Caida",O95)))</formula>
    </cfRule>
  </conditionalFormatting>
  <conditionalFormatting sqref="E282:K282">
    <cfRule type="containsText" dxfId="512" priority="1861" operator="containsText" text="Radio">
      <formula>NOT(ISERROR(SEARCH("Radio",E282)))</formula>
    </cfRule>
  </conditionalFormatting>
  <conditionalFormatting sqref="E283:K283">
    <cfRule type="containsText" dxfId="511" priority="1836" operator="containsText" text="Radio">
      <formula>NOT(ISERROR(SEARCH("Radio",E283)))</formula>
    </cfRule>
  </conditionalFormatting>
  <conditionalFormatting sqref="E4:K4">
    <cfRule type="containsText" dxfId="510" priority="1811" operator="containsText" text="Radio">
      <formula>NOT(ISERROR(SEARCH("Radio",E4)))</formula>
    </cfRule>
  </conditionalFormatting>
  <conditionalFormatting sqref="E231:K231">
    <cfRule type="containsText" dxfId="509" priority="1810" operator="containsText" text="Radio">
      <formula>NOT(ISERROR(SEARCH("Radio",E231)))</formula>
    </cfRule>
  </conditionalFormatting>
  <conditionalFormatting sqref="E232:K232">
    <cfRule type="containsText" dxfId="508" priority="1785" operator="containsText" text="Radio">
      <formula>NOT(ISERROR(SEARCH("Radio",E232)))</formula>
    </cfRule>
  </conditionalFormatting>
  <conditionalFormatting sqref="E233:K233">
    <cfRule type="containsText" dxfId="507" priority="1760" operator="containsText" text="Radio">
      <formula>NOT(ISERROR(SEARCH("Radio",E233)))</formula>
    </cfRule>
  </conditionalFormatting>
  <conditionalFormatting sqref="E234:K234">
    <cfRule type="containsText" dxfId="506" priority="1735" operator="containsText" text="Radio">
      <formula>NOT(ISERROR(SEARCH("Radio",E234)))</formula>
    </cfRule>
  </conditionalFormatting>
  <conditionalFormatting sqref="E235:K235">
    <cfRule type="containsText" dxfId="505" priority="1710" operator="containsText" text="Radio">
      <formula>NOT(ISERROR(SEARCH("Radio",E235)))</formula>
    </cfRule>
  </conditionalFormatting>
  <conditionalFormatting sqref="E335:K335">
    <cfRule type="containsText" dxfId="504" priority="1661" operator="containsText" text="Radio">
      <formula>NOT(ISERROR(SEARCH("Radio",E335)))</formula>
    </cfRule>
  </conditionalFormatting>
  <conditionalFormatting sqref="E336:K336">
    <cfRule type="containsText" dxfId="503" priority="1636" operator="containsText" text="Radio">
      <formula>NOT(ISERROR(SEARCH("Radio",E336)))</formula>
    </cfRule>
  </conditionalFormatting>
  <conditionalFormatting sqref="E237:K237">
    <cfRule type="containsText" dxfId="502" priority="1611" operator="containsText" text="Radio">
      <formula>NOT(ISERROR(SEARCH("Radio",E237)))</formula>
    </cfRule>
  </conditionalFormatting>
  <conditionalFormatting sqref="E238:K238">
    <cfRule type="containsText" dxfId="501" priority="1586" operator="containsText" text="Radio">
      <formula>NOT(ISERROR(SEARCH("Radio",E238)))</formula>
    </cfRule>
  </conditionalFormatting>
  <conditionalFormatting sqref="E33:K35">
    <cfRule type="containsText" dxfId="500" priority="1561" operator="containsText" text="Radio">
      <formula>NOT(ISERROR(SEARCH("Radio",E33)))</formula>
    </cfRule>
  </conditionalFormatting>
  <conditionalFormatting sqref="E239:K239">
    <cfRule type="containsText" dxfId="499" priority="1536" operator="containsText" text="Radio">
      <formula>NOT(ISERROR(SEARCH("Radio",E239)))</formula>
    </cfRule>
  </conditionalFormatting>
  <conditionalFormatting sqref="E240:K240">
    <cfRule type="containsText" dxfId="498" priority="1511" operator="containsText" text="Radio">
      <formula>NOT(ISERROR(SEARCH("Radio",E240)))</formula>
    </cfRule>
  </conditionalFormatting>
  <conditionalFormatting sqref="E241:K241">
    <cfRule type="containsText" dxfId="497" priority="1486" operator="containsText" text="Radio">
      <formula>NOT(ISERROR(SEARCH("Radio",E241)))</formula>
    </cfRule>
  </conditionalFormatting>
  <conditionalFormatting sqref="E242:K242">
    <cfRule type="containsText" dxfId="496" priority="1461" operator="containsText" text="Radio">
      <formula>NOT(ISERROR(SEARCH("Radio",E242)))</formula>
    </cfRule>
  </conditionalFormatting>
  <conditionalFormatting sqref="P6:P92 P96:P230">
    <cfRule type="cellIs" dxfId="495" priority="1386" operator="lessThan">
      <formula>0.8</formula>
    </cfRule>
    <cfRule type="cellIs" dxfId="494" priority="1387" operator="greaterThan">
      <formula>0.8</formula>
    </cfRule>
  </conditionalFormatting>
  <conditionalFormatting sqref="P6:P92 P96:P230">
    <cfRule type="notContainsText" dxfId="493" priority="1384" operator="notContains" text="Caida">
      <formula>ISERROR(SEARCH("Caida",P6))</formula>
    </cfRule>
    <cfRule type="containsText" dxfId="492" priority="1385" operator="containsText" text="Caida">
      <formula>NOT(ISERROR(SEARCH("Caida",P6)))</formula>
    </cfRule>
  </conditionalFormatting>
  <conditionalFormatting sqref="P337:P366 P284:P334">
    <cfRule type="cellIs" dxfId="491" priority="1382" operator="lessThan">
      <formula>0.8</formula>
    </cfRule>
    <cfRule type="cellIs" dxfId="490" priority="1383" operator="greaterThan">
      <formula>0.8</formula>
    </cfRule>
  </conditionalFormatting>
  <conditionalFormatting sqref="P337:P366 P284:P334 P391:P1048576">
    <cfRule type="notContainsText" dxfId="489" priority="1380" operator="notContains" text="Caida">
      <formula>ISERROR(SEARCH("Caida",P284))</formula>
    </cfRule>
    <cfRule type="containsText" dxfId="488" priority="1381" operator="containsText" text="Caida">
      <formula>NOT(ISERROR(SEARCH("Caida",P284)))</formula>
    </cfRule>
  </conditionalFormatting>
  <conditionalFormatting sqref="O391:O1048576">
    <cfRule type="notContainsText" dxfId="487" priority="1429" operator="notContains" text="Caida">
      <formula>ISERROR(SEARCH("Caida",O391))</formula>
    </cfRule>
    <cfRule type="containsText" dxfId="486" priority="1430" operator="containsText" text="Caida">
      <formula>NOT(ISERROR(SEARCH("Caida",O391)))</formula>
    </cfRule>
  </conditionalFormatting>
  <conditionalFormatting sqref="P336">
    <cfRule type="cellIs" dxfId="485" priority="1341" operator="lessThan">
      <formula>0.8</formula>
    </cfRule>
    <cfRule type="cellIs" dxfId="484" priority="1342" operator="greaterThan">
      <formula>0.8</formula>
    </cfRule>
  </conditionalFormatting>
  <conditionalFormatting sqref="P336">
    <cfRule type="notContainsText" dxfId="483" priority="1339" operator="notContains" text="Caida">
      <formula>ISERROR(SEARCH("Caida",P336))</formula>
    </cfRule>
    <cfRule type="containsText" dxfId="482" priority="1340" operator="containsText" text="Caida">
      <formula>NOT(ISERROR(SEARCH("Caida",P336)))</formula>
    </cfRule>
  </conditionalFormatting>
  <conditionalFormatting sqref="P22">
    <cfRule type="containsText" dxfId="481" priority="1379" operator="containsText" text="Instaladas en Funcionamiento Caida">
      <formula>NOT(ISERROR(SEARCH("Instaladas en Funcionamiento Caida",P22)))</formula>
    </cfRule>
  </conditionalFormatting>
  <conditionalFormatting sqref="P282">
    <cfRule type="cellIs" dxfId="480" priority="1377" operator="lessThan">
      <formula>0.8</formula>
    </cfRule>
    <cfRule type="cellIs" dxfId="479" priority="1378" operator="greaterThan">
      <formula>0.8</formula>
    </cfRule>
  </conditionalFormatting>
  <conditionalFormatting sqref="P282">
    <cfRule type="notContainsText" dxfId="478" priority="1375" operator="notContains" text="Caida">
      <formula>ISERROR(SEARCH("Caida",P282))</formula>
    </cfRule>
    <cfRule type="containsText" dxfId="477" priority="1376" operator="containsText" text="Caida">
      <formula>NOT(ISERROR(SEARCH("Caida",P282)))</formula>
    </cfRule>
  </conditionalFormatting>
  <conditionalFormatting sqref="P283">
    <cfRule type="cellIs" dxfId="476" priority="1373" operator="lessThan">
      <formula>0.8</formula>
    </cfRule>
    <cfRule type="cellIs" dxfId="475" priority="1374" operator="greaterThan">
      <formula>0.8</formula>
    </cfRule>
  </conditionalFormatting>
  <conditionalFormatting sqref="P283">
    <cfRule type="notContainsText" dxfId="474" priority="1371" operator="notContains" text="Caida">
      <formula>ISERROR(SEARCH("Caida",P283))</formula>
    </cfRule>
    <cfRule type="containsText" dxfId="473" priority="1372" operator="containsText" text="Caida">
      <formula>NOT(ISERROR(SEARCH("Caida",P283)))</formula>
    </cfRule>
  </conditionalFormatting>
  <conditionalFormatting sqref="P5">
    <cfRule type="cellIs" dxfId="472" priority="1369" operator="lessThan">
      <formula>0.8</formula>
    </cfRule>
    <cfRule type="cellIs" dxfId="471" priority="1370" operator="greaterThan">
      <formula>0.8</formula>
    </cfRule>
  </conditionalFormatting>
  <conditionalFormatting sqref="P5">
    <cfRule type="notContainsText" dxfId="470" priority="1367" operator="notContains" text="Caida">
      <formula>ISERROR(SEARCH("Caida",P5))</formula>
    </cfRule>
    <cfRule type="containsText" dxfId="469" priority="1368" operator="containsText" text="Caida">
      <formula>NOT(ISERROR(SEARCH("Caida",P5)))</formula>
    </cfRule>
  </conditionalFormatting>
  <conditionalFormatting sqref="P231">
    <cfRule type="cellIs" dxfId="468" priority="1365" operator="lessThan">
      <formula>0.8</formula>
    </cfRule>
    <cfRule type="cellIs" dxfId="467" priority="1366" operator="greaterThan">
      <formula>0.8</formula>
    </cfRule>
  </conditionalFormatting>
  <conditionalFormatting sqref="P231">
    <cfRule type="notContainsText" dxfId="466" priority="1363" operator="notContains" text="Caida">
      <formula>ISERROR(SEARCH("Caida",P231))</formula>
    </cfRule>
    <cfRule type="containsText" dxfId="465" priority="1364" operator="containsText" text="Caida">
      <formula>NOT(ISERROR(SEARCH("Caida",P231)))</formula>
    </cfRule>
  </conditionalFormatting>
  <conditionalFormatting sqref="P232">
    <cfRule type="cellIs" dxfId="464" priority="1361" operator="lessThan">
      <formula>0.8</formula>
    </cfRule>
    <cfRule type="cellIs" dxfId="463" priority="1362" operator="greaterThan">
      <formula>0.8</formula>
    </cfRule>
  </conditionalFormatting>
  <conditionalFormatting sqref="P232">
    <cfRule type="notContainsText" dxfId="462" priority="1359" operator="notContains" text="Caida">
      <formula>ISERROR(SEARCH("Caida",P232))</formula>
    </cfRule>
    <cfRule type="containsText" dxfId="461" priority="1360" operator="containsText" text="Caida">
      <formula>NOT(ISERROR(SEARCH("Caida",P232)))</formula>
    </cfRule>
  </conditionalFormatting>
  <conditionalFormatting sqref="P233">
    <cfRule type="cellIs" dxfId="460" priority="1357" operator="lessThan">
      <formula>0.8</formula>
    </cfRule>
    <cfRule type="cellIs" dxfId="459" priority="1358" operator="greaterThan">
      <formula>0.8</formula>
    </cfRule>
  </conditionalFormatting>
  <conditionalFormatting sqref="P233">
    <cfRule type="notContainsText" dxfId="458" priority="1355" operator="notContains" text="Caida">
      <formula>ISERROR(SEARCH("Caida",P233))</formula>
    </cfRule>
    <cfRule type="containsText" dxfId="457" priority="1356" operator="containsText" text="Caida">
      <formula>NOT(ISERROR(SEARCH("Caida",P233)))</formula>
    </cfRule>
  </conditionalFormatting>
  <conditionalFormatting sqref="P234">
    <cfRule type="cellIs" dxfId="456" priority="1353" operator="lessThan">
      <formula>0.8</formula>
    </cfRule>
    <cfRule type="cellIs" dxfId="455" priority="1354" operator="greaterThan">
      <formula>0.8</formula>
    </cfRule>
  </conditionalFormatting>
  <conditionalFormatting sqref="P234">
    <cfRule type="notContainsText" dxfId="454" priority="1351" operator="notContains" text="Caida">
      <formula>ISERROR(SEARCH("Caida",P234))</formula>
    </cfRule>
    <cfRule type="containsText" dxfId="453" priority="1352" operator="containsText" text="Caida">
      <formula>NOT(ISERROR(SEARCH("Caida",P234)))</formula>
    </cfRule>
  </conditionalFormatting>
  <conditionalFormatting sqref="P235">
    <cfRule type="cellIs" dxfId="452" priority="1349" operator="lessThan">
      <formula>0.8</formula>
    </cfRule>
    <cfRule type="cellIs" dxfId="451" priority="1350" operator="greaterThan">
      <formula>0.8</formula>
    </cfRule>
  </conditionalFormatting>
  <conditionalFormatting sqref="P235">
    <cfRule type="notContainsText" dxfId="450" priority="1347" operator="notContains" text="Caida">
      <formula>ISERROR(SEARCH("Caida",P235))</formula>
    </cfRule>
    <cfRule type="containsText" dxfId="449" priority="1348" operator="containsText" text="Caida">
      <formula>NOT(ISERROR(SEARCH("Caida",P235)))</formula>
    </cfRule>
  </conditionalFormatting>
  <conditionalFormatting sqref="P335">
    <cfRule type="cellIs" dxfId="448" priority="1345" operator="lessThan">
      <formula>0.8</formula>
    </cfRule>
    <cfRule type="cellIs" dxfId="447" priority="1346" operator="greaterThan">
      <formula>0.8</formula>
    </cfRule>
  </conditionalFormatting>
  <conditionalFormatting sqref="P335">
    <cfRule type="notContainsText" dxfId="446" priority="1343" operator="notContains" text="Caida">
      <formula>ISERROR(SEARCH("Caida",P335))</formula>
    </cfRule>
    <cfRule type="containsText" dxfId="445" priority="1344" operator="containsText" text="Caida">
      <formula>NOT(ISERROR(SEARCH("Caida",P335)))</formula>
    </cfRule>
  </conditionalFormatting>
  <conditionalFormatting sqref="Q6:Q92 Q96:Q230">
    <cfRule type="cellIs" dxfId="444" priority="1337" operator="lessThan">
      <formula>0.8</formula>
    </cfRule>
    <cfRule type="cellIs" dxfId="443" priority="1338" operator="greaterThan">
      <formula>0.8</formula>
    </cfRule>
  </conditionalFormatting>
  <conditionalFormatting sqref="Q6:Q92 Q96:Q230">
    <cfRule type="notContainsText" dxfId="442" priority="1335" operator="notContains" text="Caida">
      <formula>ISERROR(SEARCH("Caida",Q6))</formula>
    </cfRule>
    <cfRule type="containsText" dxfId="441" priority="1336" operator="containsText" text="Caida">
      <formula>NOT(ISERROR(SEARCH("Caida",Q6)))</formula>
    </cfRule>
  </conditionalFormatting>
  <conditionalFormatting sqref="Q336">
    <cfRule type="cellIs" dxfId="440" priority="1292" operator="lessThan">
      <formula>0.8</formula>
    </cfRule>
    <cfRule type="cellIs" dxfId="439" priority="1293" operator="greaterThan">
      <formula>0.8</formula>
    </cfRule>
  </conditionalFormatting>
  <conditionalFormatting sqref="Q336">
    <cfRule type="notContainsText" dxfId="438" priority="1290" operator="notContains" text="Caida">
      <formula>ISERROR(SEARCH("Caida",Q336))</formula>
    </cfRule>
    <cfRule type="containsText" dxfId="437" priority="1291" operator="containsText" text="Caida">
      <formula>NOT(ISERROR(SEARCH("Caida",Q336)))</formula>
    </cfRule>
  </conditionalFormatting>
  <conditionalFormatting sqref="Q337:Q366 Q284:Q334">
    <cfRule type="cellIs" dxfId="436" priority="1333" operator="lessThan">
      <formula>0.8</formula>
    </cfRule>
    <cfRule type="cellIs" dxfId="435" priority="1334" operator="greaterThan">
      <formula>0.8</formula>
    </cfRule>
  </conditionalFormatting>
  <conditionalFormatting sqref="Q337:Q366 Q284:Q334 Q391:Q1048576">
    <cfRule type="notContainsText" dxfId="434" priority="1331" operator="notContains" text="Caida">
      <formula>ISERROR(SEARCH("Caida",Q284))</formula>
    </cfRule>
    <cfRule type="containsText" dxfId="433" priority="1332" operator="containsText" text="Caida">
      <formula>NOT(ISERROR(SEARCH("Caida",Q284)))</formula>
    </cfRule>
  </conditionalFormatting>
  <conditionalFormatting sqref="Q22">
    <cfRule type="containsText" dxfId="432" priority="1330" operator="containsText" text="Instaladas en Funcionamiento Caida">
      <formula>NOT(ISERROR(SEARCH("Instaladas en Funcionamiento Caida",Q22)))</formula>
    </cfRule>
  </conditionalFormatting>
  <conditionalFormatting sqref="Q282">
    <cfRule type="cellIs" dxfId="431" priority="1328" operator="lessThan">
      <formula>0.8</formula>
    </cfRule>
    <cfRule type="cellIs" dxfId="430" priority="1329" operator="greaterThan">
      <formula>0.8</formula>
    </cfRule>
  </conditionalFormatting>
  <conditionalFormatting sqref="Q282">
    <cfRule type="notContainsText" dxfId="429" priority="1326" operator="notContains" text="Caida">
      <formula>ISERROR(SEARCH("Caida",Q282))</formula>
    </cfRule>
    <cfRule type="containsText" dxfId="428" priority="1327" operator="containsText" text="Caida">
      <formula>NOT(ISERROR(SEARCH("Caida",Q282)))</formula>
    </cfRule>
  </conditionalFormatting>
  <conditionalFormatting sqref="Q283">
    <cfRule type="cellIs" dxfId="427" priority="1324" operator="lessThan">
      <formula>0.8</formula>
    </cfRule>
    <cfRule type="cellIs" dxfId="426" priority="1325" operator="greaterThan">
      <formula>0.8</formula>
    </cfRule>
  </conditionalFormatting>
  <conditionalFormatting sqref="Q283">
    <cfRule type="notContainsText" dxfId="425" priority="1322" operator="notContains" text="Caida">
      <formula>ISERROR(SEARCH("Caida",Q283))</formula>
    </cfRule>
    <cfRule type="containsText" dxfId="424" priority="1323" operator="containsText" text="Caida">
      <formula>NOT(ISERROR(SEARCH("Caida",Q283)))</formula>
    </cfRule>
  </conditionalFormatting>
  <conditionalFormatting sqref="Q5">
    <cfRule type="cellIs" dxfId="423" priority="1320" operator="lessThan">
      <formula>0.8</formula>
    </cfRule>
    <cfRule type="cellIs" dxfId="422" priority="1321" operator="greaterThan">
      <formula>0.8</formula>
    </cfRule>
  </conditionalFormatting>
  <conditionalFormatting sqref="Q5">
    <cfRule type="notContainsText" dxfId="421" priority="1318" operator="notContains" text="Caida">
      <formula>ISERROR(SEARCH("Caida",Q5))</formula>
    </cfRule>
    <cfRule type="containsText" dxfId="420" priority="1319" operator="containsText" text="Caida">
      <formula>NOT(ISERROR(SEARCH("Caida",Q5)))</formula>
    </cfRule>
  </conditionalFormatting>
  <conditionalFormatting sqref="Q231">
    <cfRule type="cellIs" dxfId="419" priority="1316" operator="lessThan">
      <formula>0.8</formula>
    </cfRule>
    <cfRule type="cellIs" dxfId="418" priority="1317" operator="greaterThan">
      <formula>0.8</formula>
    </cfRule>
  </conditionalFormatting>
  <conditionalFormatting sqref="Q231">
    <cfRule type="notContainsText" dxfId="417" priority="1314" operator="notContains" text="Caida">
      <formula>ISERROR(SEARCH("Caida",Q231))</formula>
    </cfRule>
    <cfRule type="containsText" dxfId="416" priority="1315" operator="containsText" text="Caida">
      <formula>NOT(ISERROR(SEARCH("Caida",Q231)))</formula>
    </cfRule>
  </conditionalFormatting>
  <conditionalFormatting sqref="Q232">
    <cfRule type="cellIs" dxfId="415" priority="1312" operator="lessThan">
      <formula>0.8</formula>
    </cfRule>
    <cfRule type="cellIs" dxfId="414" priority="1313" operator="greaterThan">
      <formula>0.8</formula>
    </cfRule>
  </conditionalFormatting>
  <conditionalFormatting sqref="Q232">
    <cfRule type="notContainsText" dxfId="413" priority="1310" operator="notContains" text="Caida">
      <formula>ISERROR(SEARCH("Caida",Q232))</formula>
    </cfRule>
    <cfRule type="containsText" dxfId="412" priority="1311" operator="containsText" text="Caida">
      <formula>NOT(ISERROR(SEARCH("Caida",Q232)))</formula>
    </cfRule>
  </conditionalFormatting>
  <conditionalFormatting sqref="Q233">
    <cfRule type="cellIs" dxfId="411" priority="1308" operator="lessThan">
      <formula>0.8</formula>
    </cfRule>
    <cfRule type="cellIs" dxfId="410" priority="1309" operator="greaterThan">
      <formula>0.8</formula>
    </cfRule>
  </conditionalFormatting>
  <conditionalFormatting sqref="Q233">
    <cfRule type="notContainsText" dxfId="409" priority="1306" operator="notContains" text="Caida">
      <formula>ISERROR(SEARCH("Caida",Q233))</formula>
    </cfRule>
    <cfRule type="containsText" dxfId="408" priority="1307" operator="containsText" text="Caida">
      <formula>NOT(ISERROR(SEARCH("Caida",Q233)))</formula>
    </cfRule>
  </conditionalFormatting>
  <conditionalFormatting sqref="Q234">
    <cfRule type="cellIs" dxfId="407" priority="1304" operator="lessThan">
      <formula>0.8</formula>
    </cfRule>
    <cfRule type="cellIs" dxfId="406" priority="1305" operator="greaterThan">
      <formula>0.8</formula>
    </cfRule>
  </conditionalFormatting>
  <conditionalFormatting sqref="Q234">
    <cfRule type="notContainsText" dxfId="405" priority="1302" operator="notContains" text="Caida">
      <formula>ISERROR(SEARCH("Caida",Q234))</formula>
    </cfRule>
    <cfRule type="containsText" dxfId="404" priority="1303" operator="containsText" text="Caida">
      <formula>NOT(ISERROR(SEARCH("Caida",Q234)))</formula>
    </cfRule>
  </conditionalFormatting>
  <conditionalFormatting sqref="Q235">
    <cfRule type="cellIs" dxfId="403" priority="1300" operator="lessThan">
      <formula>0.8</formula>
    </cfRule>
    <cfRule type="cellIs" dxfId="402" priority="1301" operator="greaterThan">
      <formula>0.8</formula>
    </cfRule>
  </conditionalFormatting>
  <conditionalFormatting sqref="Q235">
    <cfRule type="notContainsText" dxfId="401" priority="1298" operator="notContains" text="Caida">
      <formula>ISERROR(SEARCH("Caida",Q235))</formula>
    </cfRule>
    <cfRule type="containsText" dxfId="400" priority="1299" operator="containsText" text="Caida">
      <formula>NOT(ISERROR(SEARCH("Caida",Q235)))</formula>
    </cfRule>
  </conditionalFormatting>
  <conditionalFormatting sqref="Q335">
    <cfRule type="cellIs" dxfId="399" priority="1296" operator="lessThan">
      <formula>0.8</formula>
    </cfRule>
    <cfRule type="cellIs" dxfId="398" priority="1297" operator="greaterThan">
      <formula>0.8</formula>
    </cfRule>
  </conditionalFormatting>
  <conditionalFormatting sqref="Q335">
    <cfRule type="notContainsText" dxfId="397" priority="1294" operator="notContains" text="Caida">
      <formula>ISERROR(SEARCH("Caida",Q335))</formula>
    </cfRule>
    <cfRule type="containsText" dxfId="396" priority="1295" operator="containsText" text="Caida">
      <formula>NOT(ISERROR(SEARCH("Caida",Q335)))</formula>
    </cfRule>
  </conditionalFormatting>
  <conditionalFormatting sqref="R6:R92 R96:R230">
    <cfRule type="cellIs" dxfId="395" priority="1288" operator="lessThan">
      <formula>0.8</formula>
    </cfRule>
    <cfRule type="cellIs" dxfId="394" priority="1289" operator="greaterThan">
      <formula>0.8</formula>
    </cfRule>
  </conditionalFormatting>
  <conditionalFormatting sqref="R6:R92 R96:R230">
    <cfRule type="notContainsText" dxfId="393" priority="1286" operator="notContains" text="Caida">
      <formula>ISERROR(SEARCH("Caida",R6))</formula>
    </cfRule>
    <cfRule type="containsText" dxfId="392" priority="1287" operator="containsText" text="Caida">
      <formula>NOT(ISERROR(SEARCH("Caida",R6)))</formula>
    </cfRule>
  </conditionalFormatting>
  <conditionalFormatting sqref="R336:T336">
    <cfRule type="cellIs" dxfId="391" priority="1243" operator="lessThan">
      <formula>0.8</formula>
    </cfRule>
    <cfRule type="cellIs" dxfId="390" priority="1244" operator="greaterThan">
      <formula>0.8</formula>
    </cfRule>
  </conditionalFormatting>
  <conditionalFormatting sqref="R336:T336">
    <cfRule type="notContainsText" dxfId="389" priority="1241" operator="notContains" text="Caida">
      <formula>ISERROR(SEARCH("Caida",R336))</formula>
    </cfRule>
    <cfRule type="containsText" dxfId="388" priority="1242" operator="containsText" text="Caida">
      <formula>NOT(ISERROR(SEARCH("Caida",R336)))</formula>
    </cfRule>
  </conditionalFormatting>
  <conditionalFormatting sqref="R337:R366 R284:R334">
    <cfRule type="cellIs" dxfId="387" priority="1284" operator="lessThan">
      <formula>0.8</formula>
    </cfRule>
    <cfRule type="cellIs" dxfId="386" priority="1285" operator="greaterThan">
      <formula>0.8</formula>
    </cfRule>
  </conditionalFormatting>
  <conditionalFormatting sqref="R337:R366 R284:R334 R391:R1048576">
    <cfRule type="notContainsText" dxfId="385" priority="1282" operator="notContains" text="Caida">
      <formula>ISERROR(SEARCH("Caida",R284))</formula>
    </cfRule>
    <cfRule type="containsText" dxfId="384" priority="1283" operator="containsText" text="Caida">
      <formula>NOT(ISERROR(SEARCH("Caida",R284)))</formula>
    </cfRule>
  </conditionalFormatting>
  <conditionalFormatting sqref="R22:T22">
    <cfRule type="containsText" dxfId="383" priority="1281" operator="containsText" text="Instaladas en Funcionamiento Caida">
      <formula>NOT(ISERROR(SEARCH("Instaladas en Funcionamiento Caida",R22)))</formula>
    </cfRule>
  </conditionalFormatting>
  <conditionalFormatting sqref="R282:T282">
    <cfRule type="cellIs" dxfId="382" priority="1279" operator="lessThan">
      <formula>0.8</formula>
    </cfRule>
    <cfRule type="cellIs" dxfId="381" priority="1280" operator="greaterThan">
      <formula>0.8</formula>
    </cfRule>
  </conditionalFormatting>
  <conditionalFormatting sqref="R282:T282">
    <cfRule type="notContainsText" dxfId="380" priority="1277" operator="notContains" text="Caida">
      <formula>ISERROR(SEARCH("Caida",R282))</formula>
    </cfRule>
    <cfRule type="containsText" dxfId="379" priority="1278" operator="containsText" text="Caida">
      <formula>NOT(ISERROR(SEARCH("Caida",R282)))</formula>
    </cfRule>
  </conditionalFormatting>
  <conditionalFormatting sqref="R283:T283">
    <cfRule type="cellIs" dxfId="378" priority="1275" operator="lessThan">
      <formula>0.8</formula>
    </cfRule>
    <cfRule type="cellIs" dxfId="377" priority="1276" operator="greaterThan">
      <formula>0.8</formula>
    </cfRule>
  </conditionalFormatting>
  <conditionalFormatting sqref="R283:T283">
    <cfRule type="notContainsText" dxfId="376" priority="1273" operator="notContains" text="Caida">
      <formula>ISERROR(SEARCH("Caida",R283))</formula>
    </cfRule>
    <cfRule type="containsText" dxfId="375" priority="1274" operator="containsText" text="Caida">
      <formula>NOT(ISERROR(SEARCH("Caida",R283)))</formula>
    </cfRule>
  </conditionalFormatting>
  <conditionalFormatting sqref="R5:T5">
    <cfRule type="cellIs" dxfId="374" priority="1271" operator="lessThan">
      <formula>0.8</formula>
    </cfRule>
    <cfRule type="cellIs" dxfId="373" priority="1272" operator="greaterThan">
      <formula>0.8</formula>
    </cfRule>
  </conditionalFormatting>
  <conditionalFormatting sqref="R5:T5">
    <cfRule type="notContainsText" dxfId="372" priority="1269" operator="notContains" text="Caida">
      <formula>ISERROR(SEARCH("Caida",R5))</formula>
    </cfRule>
    <cfRule type="containsText" dxfId="371" priority="1270" operator="containsText" text="Caida">
      <formula>NOT(ISERROR(SEARCH("Caida",R5)))</formula>
    </cfRule>
  </conditionalFormatting>
  <conditionalFormatting sqref="R231:T231">
    <cfRule type="cellIs" dxfId="370" priority="1267" operator="lessThan">
      <formula>0.8</formula>
    </cfRule>
    <cfRule type="cellIs" dxfId="369" priority="1268" operator="greaterThan">
      <formula>0.8</formula>
    </cfRule>
  </conditionalFormatting>
  <conditionalFormatting sqref="R231:T231">
    <cfRule type="notContainsText" dxfId="368" priority="1265" operator="notContains" text="Caida">
      <formula>ISERROR(SEARCH("Caida",R231))</formula>
    </cfRule>
    <cfRule type="containsText" dxfId="367" priority="1266" operator="containsText" text="Caida">
      <formula>NOT(ISERROR(SEARCH("Caida",R231)))</formula>
    </cfRule>
  </conditionalFormatting>
  <conditionalFormatting sqref="R232:T232">
    <cfRule type="cellIs" dxfId="366" priority="1263" operator="lessThan">
      <formula>0.8</formula>
    </cfRule>
    <cfRule type="cellIs" dxfId="365" priority="1264" operator="greaterThan">
      <formula>0.8</formula>
    </cfRule>
  </conditionalFormatting>
  <conditionalFormatting sqref="R232:T232">
    <cfRule type="notContainsText" dxfId="364" priority="1261" operator="notContains" text="Caida">
      <formula>ISERROR(SEARCH("Caida",R232))</formula>
    </cfRule>
    <cfRule type="containsText" dxfId="363" priority="1262" operator="containsText" text="Caida">
      <formula>NOT(ISERROR(SEARCH("Caida",R232)))</formula>
    </cfRule>
  </conditionalFormatting>
  <conditionalFormatting sqref="R233:T233">
    <cfRule type="cellIs" dxfId="362" priority="1259" operator="lessThan">
      <formula>0.8</formula>
    </cfRule>
    <cfRule type="cellIs" dxfId="361" priority="1260" operator="greaterThan">
      <formula>0.8</formula>
    </cfRule>
  </conditionalFormatting>
  <conditionalFormatting sqref="R233:T233">
    <cfRule type="notContainsText" dxfId="360" priority="1257" operator="notContains" text="Caida">
      <formula>ISERROR(SEARCH("Caida",R233))</formula>
    </cfRule>
    <cfRule type="containsText" dxfId="359" priority="1258" operator="containsText" text="Caida">
      <formula>NOT(ISERROR(SEARCH("Caida",R233)))</formula>
    </cfRule>
  </conditionalFormatting>
  <conditionalFormatting sqref="R234:T234">
    <cfRule type="cellIs" dxfId="358" priority="1255" operator="lessThan">
      <formula>0.8</formula>
    </cfRule>
    <cfRule type="cellIs" dxfId="357" priority="1256" operator="greaterThan">
      <formula>0.8</formula>
    </cfRule>
  </conditionalFormatting>
  <conditionalFormatting sqref="R234:T234">
    <cfRule type="notContainsText" dxfId="356" priority="1253" operator="notContains" text="Caida">
      <formula>ISERROR(SEARCH("Caida",R234))</formula>
    </cfRule>
    <cfRule type="containsText" dxfId="355" priority="1254" operator="containsText" text="Caida">
      <formula>NOT(ISERROR(SEARCH("Caida",R234)))</formula>
    </cfRule>
  </conditionalFormatting>
  <conditionalFormatting sqref="R235:T235">
    <cfRule type="cellIs" dxfId="354" priority="1251" operator="lessThan">
      <formula>0.8</formula>
    </cfRule>
    <cfRule type="cellIs" dxfId="353" priority="1252" operator="greaterThan">
      <formula>0.8</formula>
    </cfRule>
  </conditionalFormatting>
  <conditionalFormatting sqref="R235:T235">
    <cfRule type="notContainsText" dxfId="352" priority="1249" operator="notContains" text="Caida">
      <formula>ISERROR(SEARCH("Caida",R235))</formula>
    </cfRule>
    <cfRule type="containsText" dxfId="351" priority="1250" operator="containsText" text="Caida">
      <formula>NOT(ISERROR(SEARCH("Caida",R235)))</formula>
    </cfRule>
  </conditionalFormatting>
  <conditionalFormatting sqref="R335:T335">
    <cfRule type="cellIs" dxfId="350" priority="1247" operator="lessThan">
      <formula>0.8</formula>
    </cfRule>
    <cfRule type="cellIs" dxfId="349" priority="1248" operator="greaterThan">
      <formula>0.8</formula>
    </cfRule>
  </conditionalFormatting>
  <conditionalFormatting sqref="R335:T335">
    <cfRule type="notContainsText" dxfId="348" priority="1245" operator="notContains" text="Caida">
      <formula>ISERROR(SEARCH("Caida",R335))</formula>
    </cfRule>
    <cfRule type="containsText" dxfId="347" priority="1246" operator="containsText" text="Caida">
      <formula>NOT(ISERROR(SEARCH("Caida",R335)))</formula>
    </cfRule>
  </conditionalFormatting>
  <conditionalFormatting sqref="S391:S1048576">
    <cfRule type="notContainsText" dxfId="346" priority="1233" operator="notContains" text="Caida">
      <formula>ISERROR(SEARCH("Caida",S391))</formula>
    </cfRule>
    <cfRule type="containsText" dxfId="345" priority="1234" operator="containsText" text="Caida">
      <formula>NOT(ISERROR(SEARCH("Caida",S391)))</formula>
    </cfRule>
  </conditionalFormatting>
  <conditionalFormatting sqref="T391:T1048576">
    <cfRule type="notContainsText" dxfId="344" priority="1184" operator="notContains" text="Caida">
      <formula>ISERROR(SEARCH("Caida",T391))</formula>
    </cfRule>
    <cfRule type="containsText" dxfId="343" priority="1185" operator="containsText" text="Caida">
      <formula>NOT(ISERROR(SEARCH("Caida",T391)))</formula>
    </cfRule>
  </conditionalFormatting>
  <conditionalFormatting sqref="E92:K93">
    <cfRule type="containsText" dxfId="342" priority="1140" operator="containsText" text="Radio">
      <formula>NOT(ISERROR(SEARCH("Radio",E92)))</formula>
    </cfRule>
  </conditionalFormatting>
  <conditionalFormatting sqref="P93:P95">
    <cfRule type="cellIs" dxfId="341" priority="1110" operator="lessThan">
      <formula>0.8</formula>
    </cfRule>
    <cfRule type="cellIs" dxfId="340" priority="1111" operator="greaterThan">
      <formula>0.8</formula>
    </cfRule>
  </conditionalFormatting>
  <conditionalFormatting sqref="P93:P95">
    <cfRule type="notContainsText" dxfId="339" priority="1108" operator="notContains" text="Caida">
      <formula>ISERROR(SEARCH("Caida",P93))</formula>
    </cfRule>
    <cfRule type="containsText" dxfId="338" priority="1109" operator="containsText" text="Caida">
      <formula>NOT(ISERROR(SEARCH("Caida",P93)))</formula>
    </cfRule>
  </conditionalFormatting>
  <conditionalFormatting sqref="Q93:Q95">
    <cfRule type="cellIs" dxfId="337" priority="1106" operator="lessThan">
      <formula>0.8</formula>
    </cfRule>
    <cfRule type="cellIs" dxfId="336" priority="1107" operator="greaterThan">
      <formula>0.8</formula>
    </cfRule>
  </conditionalFormatting>
  <conditionalFormatting sqref="Q93:Q95">
    <cfRule type="notContainsText" dxfId="335" priority="1104" operator="notContains" text="Caida">
      <formula>ISERROR(SEARCH("Caida",Q93))</formula>
    </cfRule>
    <cfRule type="containsText" dxfId="334" priority="1105" operator="containsText" text="Caida">
      <formula>NOT(ISERROR(SEARCH("Caida",Q93)))</formula>
    </cfRule>
  </conditionalFormatting>
  <conditionalFormatting sqref="R93:R95">
    <cfRule type="cellIs" dxfId="333" priority="1102" operator="lessThan">
      <formula>0.8</formula>
    </cfRule>
    <cfRule type="cellIs" dxfId="332" priority="1103" operator="greaterThan">
      <formula>0.8</formula>
    </cfRule>
  </conditionalFormatting>
  <conditionalFormatting sqref="R93:R95">
    <cfRule type="notContainsText" dxfId="331" priority="1100" operator="notContains" text="Caida">
      <formula>ISERROR(SEARCH("Caida",R93))</formula>
    </cfRule>
    <cfRule type="containsText" dxfId="330" priority="1101" operator="containsText" text="Caida">
      <formula>NOT(ISERROR(SEARCH("Caida",R93)))</formula>
    </cfRule>
  </conditionalFormatting>
  <conditionalFormatting sqref="E365:K365">
    <cfRule type="containsText" dxfId="329" priority="1089" operator="containsText" text="Radio">
      <formula>NOT(ISERROR(SEARCH("Radio",E365)))</formula>
    </cfRule>
  </conditionalFormatting>
  <conditionalFormatting sqref="P367">
    <cfRule type="cellIs" dxfId="328" priority="1071" operator="lessThan">
      <formula>0.8</formula>
    </cfRule>
    <cfRule type="cellIs" dxfId="327" priority="1072" operator="greaterThan">
      <formula>0.8</formula>
    </cfRule>
  </conditionalFormatting>
  <conditionalFormatting sqref="P367">
    <cfRule type="notContainsText" dxfId="326" priority="1069" operator="notContains" text="Caida">
      <formula>ISERROR(SEARCH("Caida",P367))</formula>
    </cfRule>
    <cfRule type="containsText" dxfId="325" priority="1070" operator="containsText" text="Caida">
      <formula>NOT(ISERROR(SEARCH("Caida",P367)))</formula>
    </cfRule>
  </conditionalFormatting>
  <conditionalFormatting sqref="Q367">
    <cfRule type="cellIs" dxfId="324" priority="1067" operator="lessThan">
      <formula>0.8</formula>
    </cfRule>
    <cfRule type="cellIs" dxfId="323" priority="1068" operator="greaterThan">
      <formula>0.8</formula>
    </cfRule>
  </conditionalFormatting>
  <conditionalFormatting sqref="Q367">
    <cfRule type="notContainsText" dxfId="322" priority="1065" operator="notContains" text="Caida">
      <formula>ISERROR(SEARCH("Caida",Q367))</formula>
    </cfRule>
    <cfRule type="containsText" dxfId="321" priority="1066" operator="containsText" text="Caida">
      <formula>NOT(ISERROR(SEARCH("Caida",Q367)))</formula>
    </cfRule>
  </conditionalFormatting>
  <conditionalFormatting sqref="R367:T367">
    <cfRule type="cellIs" dxfId="320" priority="1063" operator="lessThan">
      <formula>0.8</formula>
    </cfRule>
    <cfRule type="cellIs" dxfId="319" priority="1064" operator="greaterThan">
      <formula>0.8</formula>
    </cfRule>
  </conditionalFormatting>
  <conditionalFormatting sqref="R367:T367">
    <cfRule type="notContainsText" dxfId="318" priority="1061" operator="notContains" text="Caida">
      <formula>ISERROR(SEARCH("Caida",R367))</formula>
    </cfRule>
    <cfRule type="containsText" dxfId="317" priority="1062" operator="containsText" text="Caida">
      <formula>NOT(ISERROR(SEARCH("Caida",R367)))</formula>
    </cfRule>
  </conditionalFormatting>
  <conditionalFormatting sqref="E366:K366">
    <cfRule type="containsText" dxfId="316" priority="1050" operator="containsText" text="Radio">
      <formula>NOT(ISERROR(SEARCH("Radio",E366)))</formula>
    </cfRule>
  </conditionalFormatting>
  <conditionalFormatting sqref="P368">
    <cfRule type="cellIs" dxfId="315" priority="1032" operator="lessThan">
      <formula>0.8</formula>
    </cfRule>
    <cfRule type="cellIs" dxfId="314" priority="1033" operator="greaterThan">
      <formula>0.8</formula>
    </cfRule>
  </conditionalFormatting>
  <conditionalFormatting sqref="P368">
    <cfRule type="notContainsText" dxfId="313" priority="1030" operator="notContains" text="Caida">
      <formula>ISERROR(SEARCH("Caida",P368))</formula>
    </cfRule>
    <cfRule type="containsText" dxfId="312" priority="1031" operator="containsText" text="Caida">
      <formula>NOT(ISERROR(SEARCH("Caida",P368)))</formula>
    </cfRule>
  </conditionalFormatting>
  <conditionalFormatting sqref="Q368">
    <cfRule type="cellIs" dxfId="311" priority="1028" operator="lessThan">
      <formula>0.8</formula>
    </cfRule>
    <cfRule type="cellIs" dxfId="310" priority="1029" operator="greaterThan">
      <formula>0.8</formula>
    </cfRule>
  </conditionalFormatting>
  <conditionalFormatting sqref="Q368">
    <cfRule type="notContainsText" dxfId="309" priority="1026" operator="notContains" text="Caida">
      <formula>ISERROR(SEARCH("Caida",Q368))</formula>
    </cfRule>
    <cfRule type="containsText" dxfId="308" priority="1027" operator="containsText" text="Caida">
      <formula>NOT(ISERROR(SEARCH("Caida",Q368)))</formula>
    </cfRule>
  </conditionalFormatting>
  <conditionalFormatting sqref="R368:T368">
    <cfRule type="cellIs" dxfId="307" priority="1024" operator="lessThan">
      <formula>0.8</formula>
    </cfRule>
    <cfRule type="cellIs" dxfId="306" priority="1025" operator="greaterThan">
      <formula>0.8</formula>
    </cfRule>
  </conditionalFormatting>
  <conditionalFormatting sqref="R368:T368">
    <cfRule type="notContainsText" dxfId="305" priority="1022" operator="notContains" text="Caida">
      <formula>ISERROR(SEARCH("Caida",R368))</formula>
    </cfRule>
    <cfRule type="containsText" dxfId="304" priority="1023" operator="containsText" text="Caida">
      <formula>NOT(ISERROR(SEARCH("Caida",R368)))</formula>
    </cfRule>
  </conditionalFormatting>
  <conditionalFormatting sqref="E367:K367">
    <cfRule type="containsText" dxfId="303" priority="1011" operator="containsText" text="Radio">
      <formula>NOT(ISERROR(SEARCH("Radio",E367)))</formula>
    </cfRule>
  </conditionalFormatting>
  <conditionalFormatting sqref="P369">
    <cfRule type="cellIs" dxfId="302" priority="993" operator="lessThan">
      <formula>0.8</formula>
    </cfRule>
    <cfRule type="cellIs" dxfId="301" priority="994" operator="greaterThan">
      <formula>0.8</formula>
    </cfRule>
  </conditionalFormatting>
  <conditionalFormatting sqref="P369">
    <cfRule type="notContainsText" dxfId="300" priority="991" operator="notContains" text="Caida">
      <formula>ISERROR(SEARCH("Caida",P369))</formula>
    </cfRule>
    <cfRule type="containsText" dxfId="299" priority="992" operator="containsText" text="Caida">
      <formula>NOT(ISERROR(SEARCH("Caida",P369)))</formula>
    </cfRule>
  </conditionalFormatting>
  <conditionalFormatting sqref="Q369">
    <cfRule type="cellIs" dxfId="298" priority="989" operator="lessThan">
      <formula>0.8</formula>
    </cfRule>
    <cfRule type="cellIs" dxfId="297" priority="990" operator="greaterThan">
      <formula>0.8</formula>
    </cfRule>
  </conditionalFormatting>
  <conditionalFormatting sqref="Q369">
    <cfRule type="notContainsText" dxfId="296" priority="987" operator="notContains" text="Caida">
      <formula>ISERROR(SEARCH("Caida",Q369))</formula>
    </cfRule>
    <cfRule type="containsText" dxfId="295" priority="988" operator="containsText" text="Caida">
      <formula>NOT(ISERROR(SEARCH("Caida",Q369)))</formula>
    </cfRule>
  </conditionalFormatting>
  <conditionalFormatting sqref="R369:T369">
    <cfRule type="cellIs" dxfId="294" priority="985" operator="lessThan">
      <formula>0.8</formula>
    </cfRule>
    <cfRule type="cellIs" dxfId="293" priority="986" operator="greaterThan">
      <formula>0.8</formula>
    </cfRule>
  </conditionalFormatting>
  <conditionalFormatting sqref="R369:T369">
    <cfRule type="notContainsText" dxfId="292" priority="983" operator="notContains" text="Caida">
      <formula>ISERROR(SEARCH("Caida",R369))</formula>
    </cfRule>
    <cfRule type="containsText" dxfId="291" priority="984" operator="containsText" text="Caida">
      <formula>NOT(ISERROR(SEARCH("Caida",R369)))</formula>
    </cfRule>
  </conditionalFormatting>
  <conditionalFormatting sqref="E368:K368">
    <cfRule type="containsText" dxfId="290" priority="972" operator="containsText" text="Radio">
      <formula>NOT(ISERROR(SEARCH("Radio",E368)))</formula>
    </cfRule>
  </conditionalFormatting>
  <conditionalFormatting sqref="U231">
    <cfRule type="cellIs" dxfId="289" priority="913" operator="lessThan">
      <formula>0.8</formula>
    </cfRule>
    <cfRule type="cellIs" dxfId="288" priority="914" operator="greaterThan">
      <formula>0.8</formula>
    </cfRule>
  </conditionalFormatting>
  <conditionalFormatting sqref="U231">
    <cfRule type="notContainsText" dxfId="287" priority="911" operator="notContains" text="Caida">
      <formula>ISERROR(SEARCH("Caida",U231))</formula>
    </cfRule>
    <cfRule type="containsText" dxfId="286" priority="912" operator="containsText" text="Caida">
      <formula>NOT(ISERROR(SEARCH("Caida",U231)))</formula>
    </cfRule>
  </conditionalFormatting>
  <conditionalFormatting sqref="U232">
    <cfRule type="cellIs" dxfId="285" priority="909" operator="lessThan">
      <formula>0.8</formula>
    </cfRule>
    <cfRule type="cellIs" dxfId="284" priority="910" operator="greaterThan">
      <formula>0.8</formula>
    </cfRule>
  </conditionalFormatting>
  <conditionalFormatting sqref="U232">
    <cfRule type="notContainsText" dxfId="283" priority="907" operator="notContains" text="Caida">
      <formula>ISERROR(SEARCH("Caida",U232))</formula>
    </cfRule>
    <cfRule type="containsText" dxfId="282" priority="908" operator="containsText" text="Caida">
      <formula>NOT(ISERROR(SEARCH("Caida",U232)))</formula>
    </cfRule>
  </conditionalFormatting>
  <conditionalFormatting sqref="P370:P372">
    <cfRule type="cellIs" dxfId="281" priority="954" operator="lessThan">
      <formula>0.8</formula>
    </cfRule>
    <cfRule type="cellIs" dxfId="280" priority="955" operator="greaterThan">
      <formula>0.8</formula>
    </cfRule>
  </conditionalFormatting>
  <conditionalFormatting sqref="P370:P372">
    <cfRule type="notContainsText" dxfId="279" priority="952" operator="notContains" text="Caida">
      <formula>ISERROR(SEARCH("Caida",P370))</formula>
    </cfRule>
    <cfRule type="containsText" dxfId="278" priority="953" operator="containsText" text="Caida">
      <formula>NOT(ISERROR(SEARCH("Caida",P370)))</formula>
    </cfRule>
  </conditionalFormatting>
  <conditionalFormatting sqref="Q370:Q372">
    <cfRule type="cellIs" dxfId="277" priority="950" operator="lessThan">
      <formula>0.8</formula>
    </cfRule>
    <cfRule type="cellIs" dxfId="276" priority="951" operator="greaterThan">
      <formula>0.8</formula>
    </cfRule>
  </conditionalFormatting>
  <conditionalFormatting sqref="Q370:Q372">
    <cfRule type="notContainsText" dxfId="275" priority="948" operator="notContains" text="Caida">
      <formula>ISERROR(SEARCH("Caida",Q370))</formula>
    </cfRule>
    <cfRule type="containsText" dxfId="274" priority="949" operator="containsText" text="Caida">
      <formula>NOT(ISERROR(SEARCH("Caida",Q370)))</formula>
    </cfRule>
  </conditionalFormatting>
  <conditionalFormatting sqref="R370:T370">
    <cfRule type="cellIs" dxfId="273" priority="946" operator="lessThan">
      <formula>0.8</formula>
    </cfRule>
    <cfRule type="cellIs" dxfId="272" priority="947" operator="greaterThan">
      <formula>0.8</formula>
    </cfRule>
  </conditionalFormatting>
  <conditionalFormatting sqref="R370:T370">
    <cfRule type="notContainsText" dxfId="271" priority="944" operator="notContains" text="Caida">
      <formula>ISERROR(SEARCH("Caida",R370))</formula>
    </cfRule>
    <cfRule type="containsText" dxfId="270" priority="945" operator="containsText" text="Caida">
      <formula>NOT(ISERROR(SEARCH("Caida",R370)))</formula>
    </cfRule>
  </conditionalFormatting>
  <conditionalFormatting sqref="U368">
    <cfRule type="cellIs" dxfId="269" priority="877" operator="lessThan">
      <formula>0.8</formula>
    </cfRule>
    <cfRule type="cellIs" dxfId="268" priority="878" operator="greaterThan">
      <formula>0.8</formula>
    </cfRule>
  </conditionalFormatting>
  <conditionalFormatting sqref="U368">
    <cfRule type="notContainsText" dxfId="267" priority="875" operator="notContains" text="Caida">
      <formula>ISERROR(SEARCH("Caida",U368))</formula>
    </cfRule>
    <cfRule type="containsText" dxfId="266" priority="876" operator="containsText" text="Caida">
      <formula>NOT(ISERROR(SEARCH("Caida",U368)))</formula>
    </cfRule>
  </conditionalFormatting>
  <conditionalFormatting sqref="U369">
    <cfRule type="cellIs" dxfId="265" priority="873" operator="lessThan">
      <formula>0.8</formula>
    </cfRule>
    <cfRule type="cellIs" dxfId="264" priority="874" operator="greaterThan">
      <formula>0.8</formula>
    </cfRule>
  </conditionalFormatting>
  <conditionalFormatting sqref="U369">
    <cfRule type="notContainsText" dxfId="263" priority="871" operator="notContains" text="Caida">
      <formula>ISERROR(SEARCH("Caida",U369))</formula>
    </cfRule>
    <cfRule type="containsText" dxfId="262" priority="872" operator="containsText" text="Caida">
      <formula>NOT(ISERROR(SEARCH("Caida",U369)))</formula>
    </cfRule>
  </conditionalFormatting>
  <conditionalFormatting sqref="U370:U372">
    <cfRule type="cellIs" dxfId="261" priority="869" operator="lessThan">
      <formula>0.8</formula>
    </cfRule>
    <cfRule type="cellIs" dxfId="260" priority="870" operator="greaterThan">
      <formula>0.8</formula>
    </cfRule>
  </conditionalFormatting>
  <conditionalFormatting sqref="U370:U372">
    <cfRule type="notContainsText" dxfId="259" priority="867" operator="notContains" text="Caida">
      <formula>ISERROR(SEARCH("Caida",U370))</formula>
    </cfRule>
    <cfRule type="containsText" dxfId="258" priority="868" operator="containsText" text="Caida">
      <formula>NOT(ISERROR(SEARCH("Caida",U370)))</formula>
    </cfRule>
  </conditionalFormatting>
  <conditionalFormatting sqref="U6:U92 U96:U230">
    <cfRule type="cellIs" dxfId="257" priority="934" operator="lessThan">
      <formula>0.8</formula>
    </cfRule>
    <cfRule type="cellIs" dxfId="256" priority="935" operator="greaterThan">
      <formula>0.8</formula>
    </cfRule>
  </conditionalFormatting>
  <conditionalFormatting sqref="U6:U92 U96:U230">
    <cfRule type="notContainsText" dxfId="255" priority="932" operator="notContains" text="Caida">
      <formula>ISERROR(SEARCH("Caida",U6))</formula>
    </cfRule>
    <cfRule type="containsText" dxfId="254" priority="933" operator="containsText" text="Caida">
      <formula>NOT(ISERROR(SEARCH("Caida",U6)))</formula>
    </cfRule>
  </conditionalFormatting>
  <conditionalFormatting sqref="U336">
    <cfRule type="cellIs" dxfId="253" priority="889" operator="lessThan">
      <formula>0.8</formula>
    </cfRule>
    <cfRule type="cellIs" dxfId="252" priority="890" operator="greaterThan">
      <formula>0.8</formula>
    </cfRule>
  </conditionalFormatting>
  <conditionalFormatting sqref="U336">
    <cfRule type="notContainsText" dxfId="251" priority="887" operator="notContains" text="Caida">
      <formula>ISERROR(SEARCH("Caida",U336))</formula>
    </cfRule>
    <cfRule type="containsText" dxfId="250" priority="888" operator="containsText" text="Caida">
      <formula>NOT(ISERROR(SEARCH("Caida",U336)))</formula>
    </cfRule>
  </conditionalFormatting>
  <conditionalFormatting sqref="U337:U366 U284:U334">
    <cfRule type="cellIs" dxfId="249" priority="930" operator="lessThan">
      <formula>0.8</formula>
    </cfRule>
    <cfRule type="cellIs" dxfId="248" priority="931" operator="greaterThan">
      <formula>0.8</formula>
    </cfRule>
  </conditionalFormatting>
  <conditionalFormatting sqref="U337:U366 U284:U334 U391:U1048576">
    <cfRule type="notContainsText" dxfId="247" priority="928" operator="notContains" text="Caida">
      <formula>ISERROR(SEARCH("Caida",U284))</formula>
    </cfRule>
    <cfRule type="containsText" dxfId="246" priority="929" operator="containsText" text="Caida">
      <formula>NOT(ISERROR(SEARCH("Caida",U284)))</formula>
    </cfRule>
  </conditionalFormatting>
  <conditionalFormatting sqref="U22">
    <cfRule type="containsText" dxfId="245" priority="927" operator="containsText" text="Instaladas en Funcionamiento Caida">
      <formula>NOT(ISERROR(SEARCH("Instaladas en Funcionamiento Caida",U22)))</formula>
    </cfRule>
  </conditionalFormatting>
  <conditionalFormatting sqref="U282">
    <cfRule type="cellIs" dxfId="244" priority="925" operator="lessThan">
      <formula>0.8</formula>
    </cfRule>
    <cfRule type="cellIs" dxfId="243" priority="926" operator="greaterThan">
      <formula>0.8</formula>
    </cfRule>
  </conditionalFormatting>
  <conditionalFormatting sqref="U282">
    <cfRule type="notContainsText" dxfId="242" priority="923" operator="notContains" text="Caida">
      <formula>ISERROR(SEARCH("Caida",U282))</formula>
    </cfRule>
    <cfRule type="containsText" dxfId="241" priority="924" operator="containsText" text="Caida">
      <formula>NOT(ISERROR(SEARCH("Caida",U282)))</formula>
    </cfRule>
  </conditionalFormatting>
  <conditionalFormatting sqref="U283">
    <cfRule type="cellIs" dxfId="240" priority="921" operator="lessThan">
      <formula>0.8</formula>
    </cfRule>
    <cfRule type="cellIs" dxfId="239" priority="922" operator="greaterThan">
      <formula>0.8</formula>
    </cfRule>
  </conditionalFormatting>
  <conditionalFormatting sqref="U283">
    <cfRule type="notContainsText" dxfId="238" priority="919" operator="notContains" text="Caida">
      <formula>ISERROR(SEARCH("Caida",U283))</formula>
    </cfRule>
    <cfRule type="containsText" dxfId="237" priority="920" operator="containsText" text="Caida">
      <formula>NOT(ISERROR(SEARCH("Caida",U283)))</formula>
    </cfRule>
  </conditionalFormatting>
  <conditionalFormatting sqref="U5">
    <cfRule type="cellIs" dxfId="236" priority="917" operator="lessThan">
      <formula>0.8</formula>
    </cfRule>
    <cfRule type="cellIs" dxfId="235" priority="918" operator="greaterThan">
      <formula>0.8</formula>
    </cfRule>
  </conditionalFormatting>
  <conditionalFormatting sqref="U5">
    <cfRule type="notContainsText" dxfId="234" priority="915" operator="notContains" text="Caida">
      <formula>ISERROR(SEARCH("Caida",U5))</formula>
    </cfRule>
    <cfRule type="containsText" dxfId="233" priority="916" operator="containsText" text="Caida">
      <formula>NOT(ISERROR(SEARCH("Caida",U5)))</formula>
    </cfRule>
  </conditionalFormatting>
  <conditionalFormatting sqref="U233">
    <cfRule type="cellIs" dxfId="232" priority="905" operator="lessThan">
      <formula>0.8</formula>
    </cfRule>
    <cfRule type="cellIs" dxfId="231" priority="906" operator="greaterThan">
      <formula>0.8</formula>
    </cfRule>
  </conditionalFormatting>
  <conditionalFormatting sqref="U233">
    <cfRule type="notContainsText" dxfId="230" priority="903" operator="notContains" text="Caida">
      <formula>ISERROR(SEARCH("Caida",U233))</formula>
    </cfRule>
    <cfRule type="containsText" dxfId="229" priority="904" operator="containsText" text="Caida">
      <formula>NOT(ISERROR(SEARCH("Caida",U233)))</formula>
    </cfRule>
  </conditionalFormatting>
  <conditionalFormatting sqref="U234">
    <cfRule type="cellIs" dxfId="228" priority="901" operator="lessThan">
      <formula>0.8</formula>
    </cfRule>
    <cfRule type="cellIs" dxfId="227" priority="902" operator="greaterThan">
      <formula>0.8</formula>
    </cfRule>
  </conditionalFormatting>
  <conditionalFormatting sqref="U234">
    <cfRule type="notContainsText" dxfId="226" priority="899" operator="notContains" text="Caida">
      <formula>ISERROR(SEARCH("Caida",U234))</formula>
    </cfRule>
    <cfRule type="containsText" dxfId="225" priority="900" operator="containsText" text="Caida">
      <formula>NOT(ISERROR(SEARCH("Caida",U234)))</formula>
    </cfRule>
  </conditionalFormatting>
  <conditionalFormatting sqref="U235">
    <cfRule type="cellIs" dxfId="224" priority="897" operator="lessThan">
      <formula>0.8</formula>
    </cfRule>
    <cfRule type="cellIs" dxfId="223" priority="898" operator="greaterThan">
      <formula>0.8</formula>
    </cfRule>
  </conditionalFormatting>
  <conditionalFormatting sqref="U235">
    <cfRule type="notContainsText" dxfId="222" priority="895" operator="notContains" text="Caida">
      <formula>ISERROR(SEARCH("Caida",U235))</formula>
    </cfRule>
    <cfRule type="containsText" dxfId="221" priority="896" operator="containsText" text="Caida">
      <formula>NOT(ISERROR(SEARCH("Caida",U235)))</formula>
    </cfRule>
  </conditionalFormatting>
  <conditionalFormatting sqref="U335">
    <cfRule type="cellIs" dxfId="220" priority="893" operator="lessThan">
      <formula>0.8</formula>
    </cfRule>
    <cfRule type="cellIs" dxfId="219" priority="894" operator="greaterThan">
      <formula>0.8</formula>
    </cfRule>
  </conditionalFormatting>
  <conditionalFormatting sqref="U335">
    <cfRule type="notContainsText" dxfId="218" priority="891" operator="notContains" text="Caida">
      <formula>ISERROR(SEARCH("Caida",U335))</formula>
    </cfRule>
    <cfRule type="containsText" dxfId="217" priority="892" operator="containsText" text="Caida">
      <formula>NOT(ISERROR(SEARCH("Caida",U335)))</formula>
    </cfRule>
  </conditionalFormatting>
  <conditionalFormatting sqref="U93:U95">
    <cfRule type="cellIs" dxfId="216" priority="885" operator="lessThan">
      <formula>0.8</formula>
    </cfRule>
    <cfRule type="cellIs" dxfId="215" priority="886" operator="greaterThan">
      <formula>0.8</formula>
    </cfRule>
  </conditionalFormatting>
  <conditionalFormatting sqref="U93:U95">
    <cfRule type="notContainsText" dxfId="214" priority="883" operator="notContains" text="Caida">
      <formula>ISERROR(SEARCH("Caida",U93))</formula>
    </cfRule>
    <cfRule type="containsText" dxfId="213" priority="884" operator="containsText" text="Caida">
      <formula>NOT(ISERROR(SEARCH("Caida",U93)))</formula>
    </cfRule>
  </conditionalFormatting>
  <conditionalFormatting sqref="U367">
    <cfRule type="cellIs" dxfId="212" priority="881" operator="lessThan">
      <formula>0.8</formula>
    </cfRule>
    <cfRule type="cellIs" dxfId="211" priority="882" operator="greaterThan">
      <formula>0.8</formula>
    </cfRule>
  </conditionalFormatting>
  <conditionalFormatting sqref="U367">
    <cfRule type="notContainsText" dxfId="210" priority="879" operator="notContains" text="Caida">
      <formula>ISERROR(SEARCH("Caida",U367))</formula>
    </cfRule>
    <cfRule type="containsText" dxfId="209" priority="880" operator="containsText" text="Caida">
      <formula>NOT(ISERROR(SEARCH("Caida",U367)))</formula>
    </cfRule>
  </conditionalFormatting>
  <conditionalFormatting sqref="V6:X92">
    <cfRule type="cellIs" dxfId="208" priority="865" operator="lessThan">
      <formula>0.8</formula>
    </cfRule>
    <cfRule type="cellIs" dxfId="207" priority="866" operator="greaterThan">
      <formula>0.8</formula>
    </cfRule>
  </conditionalFormatting>
  <conditionalFormatting sqref="V6:X92">
    <cfRule type="notContainsText" dxfId="206" priority="863" operator="notContains" text="Caida">
      <formula>ISERROR(SEARCH("Caida",V6))</formula>
    </cfRule>
    <cfRule type="containsText" dxfId="205" priority="864" operator="containsText" text="Caida">
      <formula>NOT(ISERROR(SEARCH("Caida",V6)))</formula>
    </cfRule>
  </conditionalFormatting>
  <conditionalFormatting sqref="V22:AJ22">
    <cfRule type="containsText" dxfId="204" priority="862" operator="containsText" text="Instaladas en Funcionamiento Caida">
      <formula>NOT(ISERROR(SEARCH("Instaladas en Funcionamiento Caida",V22)))</formula>
    </cfRule>
  </conditionalFormatting>
  <conditionalFormatting sqref="V5:AJ5">
    <cfRule type="cellIs" dxfId="203" priority="860" operator="lessThan">
      <formula>0.8</formula>
    </cfRule>
    <cfRule type="cellIs" dxfId="202" priority="861" operator="greaterThan">
      <formula>0.8</formula>
    </cfRule>
  </conditionalFormatting>
  <conditionalFormatting sqref="V5:AJ5">
    <cfRule type="notContainsText" dxfId="201" priority="858" operator="notContains" text="Caida">
      <formula>ISERROR(SEARCH("Caida",V5))</formula>
    </cfRule>
    <cfRule type="containsText" dxfId="200" priority="859" operator="containsText" text="Caida">
      <formula>NOT(ISERROR(SEARCH("Caida",V5)))</formula>
    </cfRule>
  </conditionalFormatting>
  <conditionalFormatting sqref="V93:X95">
    <cfRule type="cellIs" dxfId="199" priority="856" operator="lessThan">
      <formula>0.8</formula>
    </cfRule>
    <cfRule type="cellIs" dxfId="198" priority="857" operator="greaterThan">
      <formula>0.8</formula>
    </cfRule>
  </conditionalFormatting>
  <conditionalFormatting sqref="V93:X95">
    <cfRule type="notContainsText" dxfId="197" priority="854" operator="notContains" text="Caida">
      <formula>ISERROR(SEARCH("Caida",V93))</formula>
    </cfRule>
    <cfRule type="containsText" dxfId="196" priority="855" operator="containsText" text="Caida">
      <formula>NOT(ISERROR(SEARCH("Caida",V93)))</formula>
    </cfRule>
  </conditionalFormatting>
  <conditionalFormatting sqref="E1:E372 E391:E1048576">
    <cfRule type="containsText" dxfId="195" priority="714" operator="containsText" text="fija">
      <formula>NOT(ISERROR(SEARCH("fija",E1)))</formula>
    </cfRule>
    <cfRule type="containsText" dxfId="194" priority="715" operator="containsText" text="domo">
      <formula>NOT(ISERROR(SEARCH("domo",E1)))</formula>
    </cfRule>
  </conditionalFormatting>
  <conditionalFormatting sqref="AK6:AP92">
    <cfRule type="cellIs" dxfId="193" priority="690" operator="lessThan">
      <formula>0.8</formula>
    </cfRule>
    <cfRule type="cellIs" dxfId="192" priority="691" operator="greaterThan">
      <formula>0.8</formula>
    </cfRule>
  </conditionalFormatting>
  <conditionalFormatting sqref="AK6:AP92">
    <cfRule type="notContainsText" dxfId="191" priority="688" operator="notContains" text="Caida">
      <formula>ISERROR(SEARCH("Caida",AK6))</formula>
    </cfRule>
    <cfRule type="containsText" dxfId="190" priority="689" operator="containsText" text="Caida">
      <formula>NOT(ISERROR(SEARCH("Caida",AK6)))</formula>
    </cfRule>
  </conditionalFormatting>
  <conditionalFormatting sqref="AK22:AR22">
    <cfRule type="containsText" dxfId="189" priority="687" operator="containsText" text="Instaladas en Funcionamiento Caida">
      <formula>NOT(ISERROR(SEARCH("Instaladas en Funcionamiento Caida",AK22)))</formula>
    </cfRule>
  </conditionalFormatting>
  <conditionalFormatting sqref="AK5:AR5">
    <cfRule type="cellIs" dxfId="188" priority="685" operator="lessThan">
      <formula>0.8</formula>
    </cfRule>
    <cfRule type="cellIs" dxfId="187" priority="686" operator="greaterThan">
      <formula>0.8</formula>
    </cfRule>
  </conditionalFormatting>
  <conditionalFormatting sqref="AK5:AR5">
    <cfRule type="notContainsText" dxfId="186" priority="683" operator="notContains" text="Caida">
      <formula>ISERROR(SEARCH("Caida",AK5))</formula>
    </cfRule>
    <cfRule type="containsText" dxfId="185" priority="684" operator="containsText" text="Caida">
      <formula>NOT(ISERROR(SEARCH("Caida",AK5)))</formula>
    </cfRule>
  </conditionalFormatting>
  <conditionalFormatting sqref="AK93:AP94">
    <cfRule type="cellIs" dxfId="184" priority="681" operator="lessThan">
      <formula>0.8</formula>
    </cfRule>
    <cfRule type="cellIs" dxfId="183" priority="682" operator="greaterThan">
      <formula>0.8</formula>
    </cfRule>
  </conditionalFormatting>
  <conditionalFormatting sqref="AK93:AP94">
    <cfRule type="notContainsText" dxfId="182" priority="679" operator="notContains" text="Caida">
      <formula>ISERROR(SEARCH("Caida",AK93))</formula>
    </cfRule>
    <cfRule type="containsText" dxfId="181" priority="680" operator="containsText" text="Caida">
      <formula>NOT(ISERROR(SEARCH("Caida",AK93)))</formula>
    </cfRule>
  </conditionalFormatting>
  <conditionalFormatting sqref="O247:O372 O5:AJ369 AK1:AR1 AK391:AR1048576 AK5:AR372">
    <cfRule type="cellIs" dxfId="180" priority="678" operator="equal">
      <formula>"APAGADO"</formula>
    </cfRule>
  </conditionalFormatting>
  <conditionalFormatting sqref="S6:S92 S96:S230">
    <cfRule type="cellIs" dxfId="179" priority="662" operator="lessThan">
      <formula>0.8</formula>
    </cfRule>
    <cfRule type="cellIs" dxfId="178" priority="663" operator="greaterThan">
      <formula>0.8</formula>
    </cfRule>
  </conditionalFormatting>
  <conditionalFormatting sqref="S6:S92 S96:S230">
    <cfRule type="notContainsText" dxfId="177" priority="660" operator="notContains" text="Caida">
      <formula>ISERROR(SEARCH("Caida",S6))</formula>
    </cfRule>
    <cfRule type="containsText" dxfId="176" priority="661" operator="containsText" text="Caida">
      <formula>NOT(ISERROR(SEARCH("Caida",S6)))</formula>
    </cfRule>
  </conditionalFormatting>
  <conditionalFormatting sqref="S337:S366 S284:S334">
    <cfRule type="cellIs" dxfId="175" priority="658" operator="lessThan">
      <formula>0.8</formula>
    </cfRule>
    <cfRule type="cellIs" dxfId="174" priority="659" operator="greaterThan">
      <formula>0.8</formula>
    </cfRule>
  </conditionalFormatting>
  <conditionalFormatting sqref="S337:S366 S284:S334">
    <cfRule type="notContainsText" dxfId="173" priority="656" operator="notContains" text="Caida">
      <formula>ISERROR(SEARCH("Caida",S284))</formula>
    </cfRule>
    <cfRule type="containsText" dxfId="172" priority="657" operator="containsText" text="Caida">
      <formula>NOT(ISERROR(SEARCH("Caida",S284)))</formula>
    </cfRule>
  </conditionalFormatting>
  <conditionalFormatting sqref="S93:S95">
    <cfRule type="cellIs" dxfId="171" priority="654" operator="lessThan">
      <formula>0.8</formula>
    </cfRule>
    <cfRule type="cellIs" dxfId="170" priority="655" operator="greaterThan">
      <formula>0.8</formula>
    </cfRule>
  </conditionalFormatting>
  <conditionalFormatting sqref="S93:S95">
    <cfRule type="notContainsText" dxfId="169" priority="652" operator="notContains" text="Caida">
      <formula>ISERROR(SEARCH("Caida",S93))</formula>
    </cfRule>
    <cfRule type="containsText" dxfId="168" priority="653" operator="containsText" text="Caida">
      <formula>NOT(ISERROR(SEARCH("Caida",S93)))</formula>
    </cfRule>
  </conditionalFormatting>
  <conditionalFormatting sqref="T6:T92 T96:T230">
    <cfRule type="cellIs" dxfId="167" priority="650" operator="lessThan">
      <formula>0.8</formula>
    </cfRule>
    <cfRule type="cellIs" dxfId="166" priority="651" operator="greaterThan">
      <formula>0.8</formula>
    </cfRule>
  </conditionalFormatting>
  <conditionalFormatting sqref="T6:T92 T96:T230">
    <cfRule type="notContainsText" dxfId="165" priority="648" operator="notContains" text="Caida">
      <formula>ISERROR(SEARCH("Caida",T6))</formula>
    </cfRule>
    <cfRule type="containsText" dxfId="164" priority="649" operator="containsText" text="Caida">
      <formula>NOT(ISERROR(SEARCH("Caida",T6)))</formula>
    </cfRule>
  </conditionalFormatting>
  <conditionalFormatting sqref="T337:T366 T284:T334">
    <cfRule type="cellIs" dxfId="163" priority="646" operator="lessThan">
      <formula>0.8</formula>
    </cfRule>
    <cfRule type="cellIs" dxfId="162" priority="647" operator="greaterThan">
      <formula>0.8</formula>
    </cfRule>
  </conditionalFormatting>
  <conditionalFormatting sqref="T337:T366 T284:T334">
    <cfRule type="notContainsText" dxfId="161" priority="644" operator="notContains" text="Caida">
      <formula>ISERROR(SEARCH("Caida",T284))</formula>
    </cfRule>
    <cfRule type="containsText" dxfId="160" priority="645" operator="containsText" text="Caida">
      <formula>NOT(ISERROR(SEARCH("Caida",T284)))</formula>
    </cfRule>
  </conditionalFormatting>
  <conditionalFormatting sqref="T93:T95">
    <cfRule type="cellIs" dxfId="159" priority="642" operator="lessThan">
      <formula>0.8</formula>
    </cfRule>
    <cfRule type="cellIs" dxfId="158" priority="643" operator="greaterThan">
      <formula>0.8</formula>
    </cfRule>
  </conditionalFormatting>
  <conditionalFormatting sqref="T93:T95">
    <cfRule type="notContainsText" dxfId="157" priority="640" operator="notContains" text="Caida">
      <formula>ISERROR(SEARCH("Caida",T93))</formula>
    </cfRule>
    <cfRule type="containsText" dxfId="156" priority="641" operator="containsText" text="Caida">
      <formula>NOT(ISERROR(SEARCH("Caida",T93)))</formula>
    </cfRule>
  </conditionalFormatting>
  <conditionalFormatting sqref="F1:F372 F391:F1048576">
    <cfRule type="cellIs" dxfId="155" priority="569" operator="equal">
      <formula>"PTP A FO"</formula>
    </cfRule>
  </conditionalFormatting>
  <conditionalFormatting sqref="R371:T372">
    <cfRule type="cellIs" dxfId="154" priority="198" operator="lessThan">
      <formula>0.8</formula>
    </cfRule>
    <cfRule type="cellIs" dxfId="153" priority="199" operator="greaterThan">
      <formula>0.8</formula>
    </cfRule>
  </conditionalFormatting>
  <conditionalFormatting sqref="R371:T372">
    <cfRule type="notContainsText" dxfId="152" priority="196" operator="notContains" text="Caida">
      <formula>ISERROR(SEARCH("Caida",R371))</formula>
    </cfRule>
    <cfRule type="containsText" dxfId="151" priority="197" operator="containsText" text="Caida">
      <formula>NOT(ISERROR(SEARCH("Caida",R371)))</formula>
    </cfRule>
  </conditionalFormatting>
  <conditionalFormatting sqref="O6:O92">
    <cfRule type="cellIs" dxfId="150" priority="186" operator="lessThan">
      <formula>0.8</formula>
    </cfRule>
    <cfRule type="cellIs" dxfId="149" priority="187" operator="greaterThan">
      <formula>0.8</formula>
    </cfRule>
  </conditionalFormatting>
  <conditionalFormatting sqref="O6:O92">
    <cfRule type="notContainsText" dxfId="148" priority="184" operator="notContains" text="Caida">
      <formula>ISERROR(SEARCH("Caida",O6))</formula>
    </cfRule>
    <cfRule type="containsText" dxfId="147" priority="185" operator="containsText" text="Caida">
      <formula>NOT(ISERROR(SEARCH("Caida",O6)))</formula>
    </cfRule>
  </conditionalFormatting>
  <conditionalFormatting sqref="O22">
    <cfRule type="containsText" dxfId="146" priority="183" operator="containsText" text="Instaladas en Funcionamiento Caida">
      <formula>NOT(ISERROR(SEARCH("Instaladas en Funcionamiento Caida",O22)))</formula>
    </cfRule>
  </conditionalFormatting>
  <conditionalFormatting sqref="O5">
    <cfRule type="cellIs" dxfId="145" priority="181" operator="lessThan">
      <formula>0.8</formula>
    </cfRule>
    <cfRule type="cellIs" dxfId="144" priority="182" operator="greaterThan">
      <formula>0.8</formula>
    </cfRule>
  </conditionalFormatting>
  <conditionalFormatting sqref="O5">
    <cfRule type="notContainsText" dxfId="143" priority="179" operator="notContains" text="Caida">
      <formula>ISERROR(SEARCH("Caida",O5))</formula>
    </cfRule>
    <cfRule type="containsText" dxfId="142" priority="180" operator="containsText" text="Caida">
      <formula>NOT(ISERROR(SEARCH("Caida",O5)))</formula>
    </cfRule>
  </conditionalFormatting>
  <conditionalFormatting sqref="O93:O94">
    <cfRule type="cellIs" dxfId="141" priority="177" operator="lessThan">
      <formula>0.8</formula>
    </cfRule>
    <cfRule type="cellIs" dxfId="140" priority="178" operator="greaterThan">
      <formula>0.8</formula>
    </cfRule>
  </conditionalFormatting>
  <conditionalFormatting sqref="O93:O94">
    <cfRule type="notContainsText" dxfId="139" priority="175" operator="notContains" text="Caida">
      <formula>ISERROR(SEARCH("Caida",O93))</formula>
    </cfRule>
    <cfRule type="containsText" dxfId="138" priority="176" operator="containsText" text="Caida">
      <formula>NOT(ISERROR(SEARCH("Caida",O93)))</formula>
    </cfRule>
  </conditionalFormatting>
  <conditionalFormatting sqref="AR6:AR92">
    <cfRule type="cellIs" dxfId="137" priority="168" operator="lessThan">
      <formula>0.8</formula>
    </cfRule>
    <cfRule type="cellIs" dxfId="136" priority="169" operator="greaterThan">
      <formula>0.8</formula>
    </cfRule>
  </conditionalFormatting>
  <conditionalFormatting sqref="AR6:AR92">
    <cfRule type="notContainsText" dxfId="135" priority="166" operator="notContains" text="Caida">
      <formula>ISERROR(SEARCH("Caida",AR6))</formula>
    </cfRule>
    <cfRule type="containsText" dxfId="134" priority="167" operator="containsText" text="Caida">
      <formula>NOT(ISERROR(SEARCH("Caida",AR6)))</formula>
    </cfRule>
  </conditionalFormatting>
  <conditionalFormatting sqref="AR93:AR94">
    <cfRule type="cellIs" dxfId="133" priority="164" operator="lessThan">
      <formula>0.8</formula>
    </cfRule>
    <cfRule type="cellIs" dxfId="132" priority="165" operator="greaterThan">
      <formula>0.8</formula>
    </cfRule>
  </conditionalFormatting>
  <conditionalFormatting sqref="AR93:AR94">
    <cfRule type="notContainsText" dxfId="131" priority="162" operator="notContains" text="Caida">
      <formula>ISERROR(SEARCH("Caida",AR93))</formula>
    </cfRule>
    <cfRule type="containsText" dxfId="130" priority="163" operator="containsText" text="Caida">
      <formula>NOT(ISERROR(SEARCH("Caida",AR93)))</formula>
    </cfRule>
  </conditionalFormatting>
  <conditionalFormatting sqref="Y6:AF92">
    <cfRule type="cellIs" dxfId="129" priority="103" operator="lessThan">
      <formula>0.8</formula>
    </cfRule>
    <cfRule type="cellIs" dxfId="128" priority="104" operator="greaterThan">
      <formula>0.8</formula>
    </cfRule>
  </conditionalFormatting>
  <conditionalFormatting sqref="Y6:AF92">
    <cfRule type="notContainsText" dxfId="127" priority="101" operator="notContains" text="Caida">
      <formula>ISERROR(SEARCH("Caida",Y6))</formula>
    </cfRule>
    <cfRule type="containsText" dxfId="126" priority="102" operator="containsText" text="Caida">
      <formula>NOT(ISERROR(SEARCH("Caida",Y6)))</formula>
    </cfRule>
  </conditionalFormatting>
  <conditionalFormatting sqref="Y93:AF95">
    <cfRule type="cellIs" dxfId="125" priority="99" operator="lessThan">
      <formula>0.8</formula>
    </cfRule>
    <cfRule type="cellIs" dxfId="124" priority="100" operator="greaterThan">
      <formula>0.8</formula>
    </cfRule>
  </conditionalFormatting>
  <conditionalFormatting sqref="Y93:AF95">
    <cfRule type="notContainsText" dxfId="123" priority="97" operator="notContains" text="Caida">
      <formula>ISERROR(SEARCH("Caida",Y93))</formula>
    </cfRule>
    <cfRule type="containsText" dxfId="122" priority="98" operator="containsText" text="Caida">
      <formula>NOT(ISERROR(SEARCH("Caida",Y93)))</formula>
    </cfRule>
  </conditionalFormatting>
  <conditionalFormatting sqref="AF1:AF3 AF5:AF376 AF378:AF1048576">
    <cfRule type="cellIs" dxfId="121" priority="96" operator="equal">
      <formula>"apagado"</formula>
    </cfRule>
  </conditionalFormatting>
  <conditionalFormatting sqref="AE1:AE3 AE5:AE376 AE378:AE1048576">
    <cfRule type="cellIs" dxfId="120" priority="95" operator="equal">
      <formula>"apagado"</formula>
    </cfRule>
  </conditionalFormatting>
  <conditionalFormatting sqref="AD1:AD3 AD5:AD376 AD378:AD1048576">
    <cfRule type="cellIs" dxfId="119" priority="94" operator="equal">
      <formula>"apagado"</formula>
    </cfRule>
  </conditionalFormatting>
  <conditionalFormatting sqref="AC1:AC3 AC5:AC376 AC378:AC1048576">
    <cfRule type="cellIs" dxfId="118" priority="93" operator="equal">
      <formula>"apagado"</formula>
    </cfRule>
  </conditionalFormatting>
  <conditionalFormatting sqref="AB1:AB3 AB5:AB376 AB378:AB1048576">
    <cfRule type="cellIs" dxfId="117" priority="92" operator="equal">
      <formula>"apagado"</formula>
    </cfRule>
  </conditionalFormatting>
  <conditionalFormatting sqref="AA1:AA3 AA5:AA376 AA378:AA1048576">
    <cfRule type="cellIs" dxfId="116" priority="91" operator="equal">
      <formula>"apagado"</formula>
    </cfRule>
  </conditionalFormatting>
  <conditionalFormatting sqref="Z1:Z3 Z5:Z376 Z378:Z1048576">
    <cfRule type="cellIs" dxfId="115" priority="90" operator="equal">
      <formula>"apagado"</formula>
    </cfRule>
  </conditionalFormatting>
  <conditionalFormatting sqref="Y1:Y3 Y5:Y376 Y378:Y1048576">
    <cfRule type="cellIs" dxfId="114" priority="89" operator="equal">
      <formula>"apagado"</formula>
    </cfRule>
  </conditionalFormatting>
  <conditionalFormatting sqref="AG6:AG92">
    <cfRule type="cellIs" dxfId="113" priority="87" operator="lessThan">
      <formula>0.8</formula>
    </cfRule>
    <cfRule type="cellIs" dxfId="112" priority="88" operator="greaterThan">
      <formula>0.8</formula>
    </cfRule>
  </conditionalFormatting>
  <conditionalFormatting sqref="AG6:AG92">
    <cfRule type="notContainsText" dxfId="111" priority="85" operator="notContains" text="Caida">
      <formula>ISERROR(SEARCH("Caida",AG6))</formula>
    </cfRule>
    <cfRule type="containsText" dxfId="110" priority="86" operator="containsText" text="Caida">
      <formula>NOT(ISERROR(SEARCH("Caida",AG6)))</formula>
    </cfRule>
  </conditionalFormatting>
  <conditionalFormatting sqref="AG93:AG95">
    <cfRule type="cellIs" dxfId="109" priority="83" operator="lessThan">
      <formula>0.8</formula>
    </cfRule>
    <cfRule type="cellIs" dxfId="108" priority="84" operator="greaterThan">
      <formula>0.8</formula>
    </cfRule>
  </conditionalFormatting>
  <conditionalFormatting sqref="AG93:AG95">
    <cfRule type="notContainsText" dxfId="107" priority="81" operator="notContains" text="Caida">
      <formula>ISERROR(SEARCH("Caida",AG93))</formula>
    </cfRule>
    <cfRule type="containsText" dxfId="106" priority="82" operator="containsText" text="Caida">
      <formula>NOT(ISERROR(SEARCH("Caida",AG93)))</formula>
    </cfRule>
  </conditionalFormatting>
  <conditionalFormatting sqref="AG1:AG3 AG5:AG376 AG378:AG1048576">
    <cfRule type="cellIs" dxfId="105" priority="80" operator="equal">
      <formula>"apagado"</formula>
    </cfRule>
  </conditionalFormatting>
  <conditionalFormatting sqref="AH6:AH92">
    <cfRule type="cellIs" dxfId="104" priority="78" operator="lessThan">
      <formula>0.8</formula>
    </cfRule>
    <cfRule type="cellIs" dxfId="103" priority="79" operator="greaterThan">
      <formula>0.8</formula>
    </cfRule>
  </conditionalFormatting>
  <conditionalFormatting sqref="AH6:AH92">
    <cfRule type="notContainsText" dxfId="102" priority="76" operator="notContains" text="Caida">
      <formula>ISERROR(SEARCH("Caida",AH6))</formula>
    </cfRule>
    <cfRule type="containsText" dxfId="101" priority="77" operator="containsText" text="Caida">
      <formula>NOT(ISERROR(SEARCH("Caida",AH6)))</formula>
    </cfRule>
  </conditionalFormatting>
  <conditionalFormatting sqref="AH93:AH95">
    <cfRule type="cellIs" dxfId="100" priority="74" operator="lessThan">
      <formula>0.8</formula>
    </cfRule>
    <cfRule type="cellIs" dxfId="99" priority="75" operator="greaterThan">
      <formula>0.8</formula>
    </cfRule>
  </conditionalFormatting>
  <conditionalFormatting sqref="AH93:AH95">
    <cfRule type="notContainsText" dxfId="98" priority="72" operator="notContains" text="Caida">
      <formula>ISERROR(SEARCH("Caida",AH93))</formula>
    </cfRule>
    <cfRule type="containsText" dxfId="97" priority="73" operator="containsText" text="Caida">
      <formula>NOT(ISERROR(SEARCH("Caida",AH93)))</formula>
    </cfRule>
  </conditionalFormatting>
  <conditionalFormatting sqref="AH1:AH3 AH5:AH376 AH378:AH1048576">
    <cfRule type="cellIs" dxfId="96" priority="71" operator="equal">
      <formula>"apagado"</formula>
    </cfRule>
  </conditionalFormatting>
  <conditionalFormatting sqref="AI6:AI92">
    <cfRule type="cellIs" dxfId="95" priority="69" operator="lessThan">
      <formula>0.8</formula>
    </cfRule>
    <cfRule type="cellIs" dxfId="94" priority="70" operator="greaterThan">
      <formula>0.8</formula>
    </cfRule>
  </conditionalFormatting>
  <conditionalFormatting sqref="AI6:AI92">
    <cfRule type="notContainsText" dxfId="93" priority="67" operator="notContains" text="Caida">
      <formula>ISERROR(SEARCH("Caida",AI6))</formula>
    </cfRule>
    <cfRule type="containsText" dxfId="92" priority="68" operator="containsText" text="Caida">
      <formula>NOT(ISERROR(SEARCH("Caida",AI6)))</formula>
    </cfRule>
  </conditionalFormatting>
  <conditionalFormatting sqref="AI93:AI95">
    <cfRule type="cellIs" dxfId="91" priority="65" operator="lessThan">
      <formula>0.8</formula>
    </cfRule>
    <cfRule type="cellIs" dxfId="90" priority="66" operator="greaterThan">
      <formula>0.8</formula>
    </cfRule>
  </conditionalFormatting>
  <conditionalFormatting sqref="AI93:AI95">
    <cfRule type="notContainsText" dxfId="89" priority="63" operator="notContains" text="Caida">
      <formula>ISERROR(SEARCH("Caida",AI93))</formula>
    </cfRule>
    <cfRule type="containsText" dxfId="88" priority="64" operator="containsText" text="Caida">
      <formula>NOT(ISERROR(SEARCH("Caida",AI93)))</formula>
    </cfRule>
  </conditionalFormatting>
  <conditionalFormatting sqref="AI1:AI3 AI5:AI376 AI378:AI1048576">
    <cfRule type="cellIs" dxfId="87" priority="62" operator="equal">
      <formula>"apagado"</formula>
    </cfRule>
  </conditionalFormatting>
  <conditionalFormatting sqref="AJ6:AJ92">
    <cfRule type="cellIs" dxfId="86" priority="60" operator="lessThan">
      <formula>0.8</formula>
    </cfRule>
    <cfRule type="cellIs" dxfId="85" priority="61" operator="greaterThan">
      <formula>0.8</formula>
    </cfRule>
  </conditionalFormatting>
  <conditionalFormatting sqref="AJ6:AJ92">
    <cfRule type="notContainsText" dxfId="84" priority="58" operator="notContains" text="Caida">
      <formula>ISERROR(SEARCH("Caida",AJ6))</formula>
    </cfRule>
    <cfRule type="containsText" dxfId="83" priority="59" operator="containsText" text="Caida">
      <formula>NOT(ISERROR(SEARCH("Caida",AJ6)))</formula>
    </cfRule>
  </conditionalFormatting>
  <conditionalFormatting sqref="AJ93:AJ95">
    <cfRule type="cellIs" dxfId="82" priority="56" operator="lessThan">
      <formula>0.8</formula>
    </cfRule>
    <cfRule type="cellIs" dxfId="81" priority="57" operator="greaterThan">
      <formula>0.8</formula>
    </cfRule>
  </conditionalFormatting>
  <conditionalFormatting sqref="AJ93:AJ95">
    <cfRule type="notContainsText" dxfId="80" priority="54" operator="notContains" text="Caida">
      <formula>ISERROR(SEARCH("Caida",AJ93))</formula>
    </cfRule>
    <cfRule type="containsText" dxfId="79" priority="55" operator="containsText" text="Caida">
      <formula>NOT(ISERROR(SEARCH("Caida",AJ93)))</formula>
    </cfRule>
  </conditionalFormatting>
  <conditionalFormatting sqref="AJ1:AJ3 AJ5:AJ376 AJ378:AJ1048576">
    <cfRule type="cellIs" dxfId="78" priority="53" operator="equal">
      <formula>"apagado"</formula>
    </cfRule>
  </conditionalFormatting>
  <conditionalFormatting sqref="AQ95:AQ369">
    <cfRule type="cellIs" dxfId="77" priority="34" operator="lessThan">
      <formula>0.8</formula>
    </cfRule>
    <cfRule type="cellIs" dxfId="76" priority="35" operator="greaterThan">
      <formula>0.8</formula>
    </cfRule>
  </conditionalFormatting>
  <conditionalFormatting sqref="AQ95:AQ372 AQ391:AQ1048576">
    <cfRule type="notContainsText" dxfId="75" priority="32" operator="notContains" text="Caida">
      <formula>ISERROR(SEARCH("Caida",AQ95))</formula>
    </cfRule>
    <cfRule type="containsText" dxfId="74" priority="33" operator="containsText" text="Caida">
      <formula>NOT(ISERROR(SEARCH("Caida",AQ95)))</formula>
    </cfRule>
  </conditionalFormatting>
  <conditionalFormatting sqref="AQ6:AQ92">
    <cfRule type="cellIs" dxfId="73" priority="30" operator="lessThan">
      <formula>0.8</formula>
    </cfRule>
    <cfRule type="cellIs" dxfId="72" priority="31" operator="greaterThan">
      <formula>0.8</formula>
    </cfRule>
  </conditionalFormatting>
  <conditionalFormatting sqref="AQ6:AQ92">
    <cfRule type="notContainsText" dxfId="71" priority="28" operator="notContains" text="Caida">
      <formula>ISERROR(SEARCH("Caida",AQ6))</formula>
    </cfRule>
    <cfRule type="containsText" dxfId="70" priority="29" operator="containsText" text="Caida">
      <formula>NOT(ISERROR(SEARCH("Caida",AQ6)))</formula>
    </cfRule>
  </conditionalFormatting>
  <conditionalFormatting sqref="AQ93:AQ94">
    <cfRule type="cellIs" dxfId="69" priority="26" operator="lessThan">
      <formula>0.8</formula>
    </cfRule>
    <cfRule type="cellIs" dxfId="68" priority="27" operator="greaterThan">
      <formula>0.8</formula>
    </cfRule>
  </conditionalFormatting>
  <conditionalFormatting sqref="AQ93:AQ94">
    <cfRule type="notContainsText" dxfId="67" priority="24" operator="notContains" text="Caida">
      <formula>ISERROR(SEARCH("Caida",AQ93))</formula>
    </cfRule>
    <cfRule type="containsText" dxfId="66" priority="25" operator="containsText" text="Caida">
      <formula>NOT(ISERROR(SEARCH("Caida",AQ93)))</formula>
    </cfRule>
  </conditionalFormatting>
  <conditionalFormatting sqref="AQ10">
    <cfRule type="cellIs" dxfId="65" priority="19" operator="equal">
      <formula>"apagado"</formula>
    </cfRule>
    <cfRule type="cellIs" dxfId="64" priority="22" operator="lessThan">
      <formula>0.8</formula>
    </cfRule>
    <cfRule type="cellIs" dxfId="63" priority="23" operator="greaterThan">
      <formula>0.8</formula>
    </cfRule>
  </conditionalFormatting>
  <conditionalFormatting sqref="AQ10">
    <cfRule type="notContainsText" dxfId="62" priority="20" operator="notContains" text="Caida">
      <formula>ISERROR(SEARCH("Caida",AQ10))</formula>
    </cfRule>
    <cfRule type="containsText" dxfId="61" priority="21" operator="containsText" text="Caida">
      <formula>NOT(ISERROR(SEARCH("Caida",AQ10)))</formula>
    </cfRule>
  </conditionalFormatting>
  <conditionalFormatting sqref="AQ1:AQ3 AQ5:AQ376 AQ378:AQ1048576">
    <cfRule type="cellIs" dxfId="60" priority="18" operator="equal">
      <formula>"apagado"</formula>
    </cfRule>
  </conditionalFormatting>
  <conditionalFormatting sqref="O5:AR376">
    <cfRule type="cellIs" dxfId="59" priority="17" operator="equal">
      <formula>"APAGADO"</formula>
    </cfRule>
  </conditionalFormatting>
  <conditionalFormatting sqref="AF377">
    <cfRule type="cellIs" dxfId="58" priority="14" operator="equal">
      <formula>"apagado"</formula>
    </cfRule>
  </conditionalFormatting>
  <conditionalFormatting sqref="AE377">
    <cfRule type="cellIs" dxfId="57" priority="13" operator="equal">
      <formula>"apagado"</formula>
    </cfRule>
  </conditionalFormatting>
  <conditionalFormatting sqref="AD377">
    <cfRule type="cellIs" dxfId="56" priority="12" operator="equal">
      <formula>"apagado"</formula>
    </cfRule>
  </conditionalFormatting>
  <conditionalFormatting sqref="AC377">
    <cfRule type="cellIs" dxfId="55" priority="11" operator="equal">
      <formula>"apagado"</formula>
    </cfRule>
  </conditionalFormatting>
  <conditionalFormatting sqref="AB377">
    <cfRule type="cellIs" dxfId="54" priority="10" operator="equal">
      <formula>"apagado"</formula>
    </cfRule>
  </conditionalFormatting>
  <conditionalFormatting sqref="AA377">
    <cfRule type="cellIs" dxfId="53" priority="9" operator="equal">
      <formula>"apagado"</formula>
    </cfRule>
  </conditionalFormatting>
  <conditionalFormatting sqref="Z377">
    <cfRule type="cellIs" dxfId="52" priority="8" operator="equal">
      <formula>"apagado"</formula>
    </cfRule>
  </conditionalFormatting>
  <conditionalFormatting sqref="Y377">
    <cfRule type="cellIs" dxfId="51" priority="7" operator="equal">
      <formula>"apagado"</formula>
    </cfRule>
  </conditionalFormatting>
  <conditionalFormatting sqref="AG377">
    <cfRule type="cellIs" dxfId="50" priority="6" operator="equal">
      <formula>"apagado"</formula>
    </cfRule>
  </conditionalFormatting>
  <conditionalFormatting sqref="AH377">
    <cfRule type="cellIs" dxfId="49" priority="5" operator="equal">
      <formula>"apagado"</formula>
    </cfRule>
  </conditionalFormatting>
  <conditionalFormatting sqref="AI377">
    <cfRule type="cellIs" dxfId="48" priority="4" operator="equal">
      <formula>"apagado"</formula>
    </cfRule>
  </conditionalFormatting>
  <conditionalFormatting sqref="AJ377">
    <cfRule type="cellIs" dxfId="47" priority="3" operator="equal">
      <formula>"apagado"</formula>
    </cfRule>
  </conditionalFormatting>
  <conditionalFormatting sqref="AQ377">
    <cfRule type="cellIs" dxfId="46" priority="2" operator="equal">
      <formula>"apagado"</formula>
    </cfRule>
  </conditionalFormatting>
  <conditionalFormatting sqref="O377:AR377">
    <cfRule type="cellIs" dxfId="45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:H13"/>
  <sheetViews>
    <sheetView workbookViewId="0">
      <selection activeCell="I20" sqref="I20"/>
    </sheetView>
  </sheetViews>
  <sheetFormatPr baseColWidth="10" defaultRowHeight="15" x14ac:dyDescent="0.25"/>
  <cols>
    <col min="2" max="2" width="22.28515625" bestFit="1" customWidth="1"/>
    <col min="3" max="3" width="37.7109375" bestFit="1" customWidth="1"/>
    <col min="4" max="4" width="34.28515625" bestFit="1" customWidth="1"/>
    <col min="7" max="7" width="9.7109375" bestFit="1" customWidth="1"/>
  </cols>
  <sheetData>
    <row r="1" spans="1:8" ht="20.25" thickTop="1" thickBot="1" x14ac:dyDescent="0.35">
      <c r="A1" s="76"/>
      <c r="B1" s="70" t="s">
        <v>7</v>
      </c>
      <c r="C1" s="71" t="s">
        <v>8</v>
      </c>
      <c r="D1" s="70" t="s">
        <v>9</v>
      </c>
      <c r="E1" s="70" t="s">
        <v>10</v>
      </c>
      <c r="F1" s="70" t="s">
        <v>11</v>
      </c>
      <c r="G1" s="15">
        <v>44651</v>
      </c>
      <c r="H1" s="11"/>
    </row>
    <row r="2" spans="1:8" ht="15.75" thickTop="1" x14ac:dyDescent="0.25">
      <c r="A2" s="76">
        <v>1</v>
      </c>
      <c r="B2" s="70" t="s">
        <v>415</v>
      </c>
      <c r="C2" s="71" t="s">
        <v>421</v>
      </c>
      <c r="D2" s="70" t="s">
        <v>422</v>
      </c>
      <c r="E2" s="70" t="s">
        <v>113</v>
      </c>
      <c r="F2" s="70" t="s">
        <v>36</v>
      </c>
      <c r="G2" s="27" t="s">
        <v>1343</v>
      </c>
      <c r="H2" s="16" t="s">
        <v>1094</v>
      </c>
    </row>
    <row r="3" spans="1:8" x14ac:dyDescent="0.25">
      <c r="A3" s="76">
        <v>2</v>
      </c>
      <c r="B3" s="70" t="s">
        <v>412</v>
      </c>
      <c r="C3" s="71" t="s">
        <v>413</v>
      </c>
      <c r="D3" s="70" t="s">
        <v>414</v>
      </c>
      <c r="E3" s="70" t="s">
        <v>24</v>
      </c>
      <c r="F3" s="70" t="s">
        <v>36</v>
      </c>
      <c r="G3" s="27" t="s">
        <v>1343</v>
      </c>
      <c r="H3" s="16" t="s">
        <v>1091</v>
      </c>
    </row>
    <row r="4" spans="1:8" x14ac:dyDescent="0.25">
      <c r="A4" s="76">
        <v>3</v>
      </c>
      <c r="B4" s="70" t="s">
        <v>456</v>
      </c>
      <c r="C4" s="71" t="s">
        <v>457</v>
      </c>
      <c r="D4" s="70" t="s">
        <v>458</v>
      </c>
      <c r="E4" s="70" t="s">
        <v>24</v>
      </c>
      <c r="F4" s="70" t="s">
        <v>36</v>
      </c>
      <c r="G4" s="27" t="s">
        <v>1343</v>
      </c>
      <c r="H4" s="16" t="s">
        <v>1113</v>
      </c>
    </row>
    <row r="5" spans="1:8" x14ac:dyDescent="0.25">
      <c r="A5" s="76">
        <v>4</v>
      </c>
      <c r="B5" s="70" t="s">
        <v>456</v>
      </c>
      <c r="C5" s="71" t="s">
        <v>466</v>
      </c>
      <c r="D5" s="70" t="s">
        <v>467</v>
      </c>
      <c r="E5" s="70" t="s">
        <v>19</v>
      </c>
      <c r="F5" s="70" t="s">
        <v>36</v>
      </c>
      <c r="G5" s="27" t="s">
        <v>1343</v>
      </c>
      <c r="H5" s="16" t="s">
        <v>1116</v>
      </c>
    </row>
    <row r="6" spans="1:8" x14ac:dyDescent="0.25">
      <c r="A6" s="76">
        <v>5</v>
      </c>
      <c r="B6" s="70" t="s">
        <v>289</v>
      </c>
      <c r="C6" s="71" t="s">
        <v>524</v>
      </c>
      <c r="D6" s="70" t="s">
        <v>525</v>
      </c>
      <c r="E6" s="70" t="s">
        <v>19</v>
      </c>
      <c r="F6" s="70" t="s">
        <v>36</v>
      </c>
      <c r="G6" s="27" t="s">
        <v>1343</v>
      </c>
      <c r="H6" s="16" t="s">
        <v>1139</v>
      </c>
    </row>
    <row r="7" spans="1:8" x14ac:dyDescent="0.25">
      <c r="A7" s="76">
        <v>6</v>
      </c>
      <c r="B7" s="70" t="s">
        <v>549</v>
      </c>
      <c r="C7" s="71" t="s">
        <v>550</v>
      </c>
      <c r="D7" s="70" t="s">
        <v>551</v>
      </c>
      <c r="E7" s="70" t="s">
        <v>19</v>
      </c>
      <c r="F7" s="70" t="s">
        <v>36</v>
      </c>
      <c r="G7" s="27" t="s">
        <v>1343</v>
      </c>
      <c r="H7" s="16" t="s">
        <v>1155</v>
      </c>
    </row>
    <row r="8" spans="1:8" x14ac:dyDescent="0.25">
      <c r="A8" s="76">
        <v>7</v>
      </c>
      <c r="B8" s="70" t="s">
        <v>549</v>
      </c>
      <c r="C8" s="71" t="s">
        <v>552</v>
      </c>
      <c r="D8" s="70" t="s">
        <v>551</v>
      </c>
      <c r="E8" s="70" t="s">
        <v>113</v>
      </c>
      <c r="F8" s="70" t="s">
        <v>36</v>
      </c>
      <c r="G8" s="27" t="s">
        <v>1343</v>
      </c>
      <c r="H8" s="16" t="s">
        <v>1156</v>
      </c>
    </row>
    <row r="9" spans="1:8" x14ac:dyDescent="0.25">
      <c r="A9" s="76">
        <v>8</v>
      </c>
      <c r="B9" s="70" t="s">
        <v>724</v>
      </c>
      <c r="C9" s="71" t="s">
        <v>733</v>
      </c>
      <c r="D9" s="70" t="s">
        <v>734</v>
      </c>
      <c r="E9" s="70" t="s">
        <v>19</v>
      </c>
      <c r="F9" s="70" t="s">
        <v>36</v>
      </c>
      <c r="G9" s="27" t="s">
        <v>1343</v>
      </c>
      <c r="H9" s="16" t="s">
        <v>1232</v>
      </c>
    </row>
    <row r="10" spans="1:8" x14ac:dyDescent="0.25">
      <c r="A10" s="76">
        <v>9</v>
      </c>
      <c r="B10" s="70" t="s">
        <v>724</v>
      </c>
      <c r="C10" s="71" t="s">
        <v>737</v>
      </c>
      <c r="D10" s="70" t="s">
        <v>738</v>
      </c>
      <c r="E10" s="70" t="s">
        <v>24</v>
      </c>
      <c r="F10" s="70" t="s">
        <v>36</v>
      </c>
      <c r="G10" s="27" t="s">
        <v>1343</v>
      </c>
      <c r="H10" s="16" t="s">
        <v>1233</v>
      </c>
    </row>
    <row r="11" spans="1:8" x14ac:dyDescent="0.25">
      <c r="A11" s="76">
        <v>10</v>
      </c>
      <c r="B11" s="70" t="s">
        <v>724</v>
      </c>
      <c r="C11" s="71" t="s">
        <v>739</v>
      </c>
      <c r="D11" s="70" t="s">
        <v>740</v>
      </c>
      <c r="E11" s="70" t="s">
        <v>19</v>
      </c>
      <c r="F11" s="70" t="s">
        <v>36</v>
      </c>
      <c r="G11" s="27" t="s">
        <v>1343</v>
      </c>
      <c r="H11" s="16" t="s">
        <v>1234</v>
      </c>
    </row>
    <row r="12" spans="1:8" x14ac:dyDescent="0.25">
      <c r="A12" s="76">
        <v>11</v>
      </c>
      <c r="B12" s="70" t="s">
        <v>724</v>
      </c>
      <c r="C12" s="71" t="s">
        <v>742</v>
      </c>
      <c r="D12" s="70" t="s">
        <v>743</v>
      </c>
      <c r="E12" s="70" t="s">
        <v>24</v>
      </c>
      <c r="F12" s="70" t="s">
        <v>36</v>
      </c>
      <c r="G12" s="27" t="s">
        <v>1343</v>
      </c>
      <c r="H12" s="16" t="s">
        <v>1235</v>
      </c>
    </row>
    <row r="13" spans="1:8" x14ac:dyDescent="0.25">
      <c r="A13" s="76">
        <v>12</v>
      </c>
      <c r="B13" s="70" t="s">
        <v>724</v>
      </c>
      <c r="C13" s="71" t="s">
        <v>744</v>
      </c>
      <c r="D13" s="70" t="s">
        <v>745</v>
      </c>
      <c r="E13" s="70" t="s">
        <v>24</v>
      </c>
      <c r="F13" s="70" t="s">
        <v>944</v>
      </c>
      <c r="G13" s="27" t="s">
        <v>1343</v>
      </c>
      <c r="H13" s="16" t="s">
        <v>1236</v>
      </c>
    </row>
  </sheetData>
  <conditionalFormatting sqref="G2:G13">
    <cfRule type="cellIs" dxfId="44" priority="37" operator="lessThan">
      <formula>0.8</formula>
    </cfRule>
    <cfRule type="cellIs" dxfId="43" priority="38" operator="greaterThan">
      <formula>0.8</formula>
    </cfRule>
  </conditionalFormatting>
  <conditionalFormatting sqref="E1:F13">
    <cfRule type="containsText" dxfId="42" priority="36" operator="containsText" text="Radio">
      <formula>NOT(ISERROR(SEARCH("Radio",E1)))</formula>
    </cfRule>
  </conditionalFormatting>
  <conditionalFormatting sqref="G2:G13">
    <cfRule type="notContainsText" dxfId="41" priority="34" operator="notContains" text="Caida">
      <formula>ISERROR(SEARCH("Caida",G2))</formula>
    </cfRule>
    <cfRule type="containsText" dxfId="40" priority="35" operator="containsText" text="Caida">
      <formula>NOT(ISERROR(SEARCH("Caida",G2)))</formula>
    </cfRule>
  </conditionalFormatting>
  <conditionalFormatting sqref="E2">
    <cfRule type="containsText" dxfId="39" priority="32" operator="containsText" text="fija">
      <formula>NOT(ISERROR(SEARCH("fija",E2)))</formula>
    </cfRule>
    <cfRule type="containsText" dxfId="38" priority="33" operator="containsText" text="domo">
      <formula>NOT(ISERROR(SEARCH("domo",E2)))</formula>
    </cfRule>
  </conditionalFormatting>
  <conditionalFormatting sqref="G2:G13">
    <cfRule type="cellIs" dxfId="37" priority="31" operator="equal">
      <formula>"APAGADO"</formula>
    </cfRule>
  </conditionalFormatting>
  <conditionalFormatting sqref="F2">
    <cfRule type="cellIs" dxfId="36" priority="30" operator="equal">
      <formula>"PTP A FO"</formula>
    </cfRule>
  </conditionalFormatting>
  <conditionalFormatting sqref="G1:G13">
    <cfRule type="cellIs" dxfId="35" priority="29" operator="equal">
      <formula>"apagado"</formula>
    </cfRule>
  </conditionalFormatting>
  <conditionalFormatting sqref="E3">
    <cfRule type="containsText" dxfId="34" priority="27" operator="containsText" text="fija">
      <formula>NOT(ISERROR(SEARCH("fija",E3)))</formula>
    </cfRule>
    <cfRule type="containsText" dxfId="33" priority="28" operator="containsText" text="domo">
      <formula>NOT(ISERROR(SEARCH("domo",E3)))</formula>
    </cfRule>
  </conditionalFormatting>
  <conditionalFormatting sqref="F3">
    <cfRule type="cellIs" dxfId="32" priority="26" operator="equal">
      <formula>"PTP A FO"</formula>
    </cfRule>
  </conditionalFormatting>
  <conditionalFormatting sqref="E4">
    <cfRule type="containsText" dxfId="31" priority="24" operator="containsText" text="fija">
      <formula>NOT(ISERROR(SEARCH("fija",E4)))</formula>
    </cfRule>
    <cfRule type="containsText" dxfId="30" priority="25" operator="containsText" text="domo">
      <formula>NOT(ISERROR(SEARCH("domo",E4)))</formula>
    </cfRule>
  </conditionalFormatting>
  <conditionalFormatting sqref="F4">
    <cfRule type="cellIs" dxfId="29" priority="23" operator="equal">
      <formula>"PTP A FO"</formula>
    </cfRule>
  </conditionalFormatting>
  <conditionalFormatting sqref="E5">
    <cfRule type="containsText" dxfId="28" priority="21" operator="containsText" text="fija">
      <formula>NOT(ISERROR(SEARCH("fija",E5)))</formula>
    </cfRule>
    <cfRule type="containsText" dxfId="27" priority="22" operator="containsText" text="domo">
      <formula>NOT(ISERROR(SEARCH("domo",E5)))</formula>
    </cfRule>
  </conditionalFormatting>
  <conditionalFormatting sqref="F5">
    <cfRule type="cellIs" dxfId="26" priority="20" operator="equal">
      <formula>"PTP A FO"</formula>
    </cfRule>
  </conditionalFormatting>
  <conditionalFormatting sqref="E6">
    <cfRule type="containsText" dxfId="25" priority="18" operator="containsText" text="fija">
      <formula>NOT(ISERROR(SEARCH("fija",E6)))</formula>
    </cfRule>
    <cfRule type="containsText" dxfId="24" priority="19" operator="containsText" text="domo">
      <formula>NOT(ISERROR(SEARCH("domo",E6)))</formula>
    </cfRule>
  </conditionalFormatting>
  <conditionalFormatting sqref="F6">
    <cfRule type="cellIs" dxfId="23" priority="17" operator="equal">
      <formula>"PTP A FO"</formula>
    </cfRule>
  </conditionalFormatting>
  <conditionalFormatting sqref="E7:E8">
    <cfRule type="containsText" dxfId="22" priority="15" operator="containsText" text="fija">
      <formula>NOT(ISERROR(SEARCH("fija",E7)))</formula>
    </cfRule>
    <cfRule type="containsText" dxfId="21" priority="16" operator="containsText" text="domo">
      <formula>NOT(ISERROR(SEARCH("domo",E7)))</formula>
    </cfRule>
  </conditionalFormatting>
  <conditionalFormatting sqref="F7:F8">
    <cfRule type="cellIs" dxfId="20" priority="14" operator="equal">
      <formula>"PTP A FO"</formula>
    </cfRule>
  </conditionalFormatting>
  <conditionalFormatting sqref="E9:E13">
    <cfRule type="containsText" dxfId="19" priority="12" operator="containsText" text="fija">
      <formula>NOT(ISERROR(SEARCH("fija",E9)))</formula>
    </cfRule>
    <cfRule type="containsText" dxfId="18" priority="13" operator="containsText" text="domo">
      <formula>NOT(ISERROR(SEARCH("domo",E9)))</formula>
    </cfRule>
  </conditionalFormatting>
  <conditionalFormatting sqref="F9:F13">
    <cfRule type="cellIs" dxfId="17" priority="11" operator="equal">
      <formula>"PTP A FO"</formula>
    </cfRule>
  </conditionalFormatting>
  <conditionalFormatting sqref="E1">
    <cfRule type="containsText" dxfId="16" priority="9" operator="containsText" text="fija">
      <formula>NOT(ISERROR(SEARCH("fija",E1)))</formula>
    </cfRule>
    <cfRule type="containsText" dxfId="15" priority="10" operator="containsText" text="domo">
      <formula>NOT(ISERROR(SEARCH("domo",E1)))</formula>
    </cfRule>
  </conditionalFormatting>
  <conditionalFormatting sqref="F1">
    <cfRule type="cellIs" dxfId="14" priority="8" operator="equal">
      <formula>"PTP A FO"</formula>
    </cfRule>
  </conditionalFormatting>
  <conditionalFormatting sqref="H2">
    <cfRule type="containsText" dxfId="13" priority="7" operator="containsText" text="Radio">
      <formula>NOT(ISERROR(SEARCH("Radio",H2)))</formula>
    </cfRule>
  </conditionalFormatting>
  <conditionalFormatting sqref="H3">
    <cfRule type="containsText" dxfId="12" priority="6" operator="containsText" text="Radio">
      <formula>NOT(ISERROR(SEARCH("Radio",H3)))</formula>
    </cfRule>
  </conditionalFormatting>
  <conditionalFormatting sqref="H4">
    <cfRule type="containsText" dxfId="11" priority="5" operator="containsText" text="Radio">
      <formula>NOT(ISERROR(SEARCH("Radio",H4)))</formula>
    </cfRule>
  </conditionalFormatting>
  <conditionalFormatting sqref="H5">
    <cfRule type="containsText" dxfId="10" priority="4" operator="containsText" text="Radio">
      <formula>NOT(ISERROR(SEARCH("Radio",H5)))</formula>
    </cfRule>
  </conditionalFormatting>
  <conditionalFormatting sqref="H6">
    <cfRule type="containsText" dxfId="9" priority="3" operator="containsText" text="Radio">
      <formula>NOT(ISERROR(SEARCH("Radio",H6)))</formula>
    </cfRule>
  </conditionalFormatting>
  <conditionalFormatting sqref="H7:H8">
    <cfRule type="containsText" dxfId="8" priority="2" operator="containsText" text="Radio">
      <formula>NOT(ISERROR(SEARCH("Radio",H7)))</formula>
    </cfRule>
  </conditionalFormatting>
  <conditionalFormatting sqref="H9:H13">
    <cfRule type="containsText" dxfId="7" priority="1" operator="containsText" text="Radio">
      <formula>NOT(ISERROR(SEARCH("Radio",H9)))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B31" sqref="B31"/>
    </sheetView>
  </sheetViews>
  <sheetFormatPr baseColWidth="10" defaultColWidth="11.5703125" defaultRowHeight="15" x14ac:dyDescent="0.25"/>
  <cols>
    <col min="1" max="1" width="18.28515625" style="47" bestFit="1" customWidth="1"/>
    <col min="2" max="2" width="81.140625" style="47" bestFit="1" customWidth="1"/>
    <col min="3" max="16384" width="11.5703125" style="47"/>
  </cols>
  <sheetData>
    <row r="1" spans="1:1" x14ac:dyDescent="0.25">
      <c r="A1" s="47" t="s">
        <v>1310</v>
      </c>
    </row>
    <row r="2" spans="1:1" ht="15.75" thickBot="1" x14ac:dyDescent="0.3"/>
    <row r="3" spans="1:1" ht="20.25" thickTop="1" thickBot="1" x14ac:dyDescent="0.3">
      <c r="A3" s="48">
        <v>44652</v>
      </c>
    </row>
    <row r="4" spans="1:1" ht="20.25" thickTop="1" thickBot="1" x14ac:dyDescent="0.3">
      <c r="A4" s="48">
        <v>44653</v>
      </c>
    </row>
    <row r="5" spans="1:1" ht="20.25" thickTop="1" thickBot="1" x14ac:dyDescent="0.3">
      <c r="A5" s="48">
        <v>44654</v>
      </c>
    </row>
    <row r="6" spans="1:1" ht="20.25" thickTop="1" thickBot="1" x14ac:dyDescent="0.3">
      <c r="A6" s="48">
        <v>44655</v>
      </c>
    </row>
    <row r="7" spans="1:1" ht="20.25" thickTop="1" thickBot="1" x14ac:dyDescent="0.3">
      <c r="A7" s="48">
        <v>44656</v>
      </c>
    </row>
    <row r="8" spans="1:1" ht="20.25" thickTop="1" thickBot="1" x14ac:dyDescent="0.3">
      <c r="A8" s="48">
        <v>44657</v>
      </c>
    </row>
    <row r="9" spans="1:1" ht="20.25" thickTop="1" thickBot="1" x14ac:dyDescent="0.3">
      <c r="A9" s="48">
        <v>44658</v>
      </c>
    </row>
    <row r="10" spans="1:1" ht="20.25" thickTop="1" thickBot="1" x14ac:dyDescent="0.3">
      <c r="A10" s="48">
        <v>44659</v>
      </c>
    </row>
    <row r="11" spans="1:1" ht="20.25" thickTop="1" thickBot="1" x14ac:dyDescent="0.3">
      <c r="A11" s="48">
        <v>44660</v>
      </c>
    </row>
    <row r="12" spans="1:1" ht="20.25" thickTop="1" thickBot="1" x14ac:dyDescent="0.3">
      <c r="A12" s="48">
        <v>44661</v>
      </c>
    </row>
    <row r="13" spans="1:1" ht="20.25" thickTop="1" thickBot="1" x14ac:dyDescent="0.3">
      <c r="A13" s="48">
        <v>44662</v>
      </c>
    </row>
    <row r="14" spans="1:1" ht="20.25" thickTop="1" thickBot="1" x14ac:dyDescent="0.3">
      <c r="A14" s="48">
        <v>44663</v>
      </c>
    </row>
    <row r="15" spans="1:1" ht="20.25" thickTop="1" thickBot="1" x14ac:dyDescent="0.3">
      <c r="A15" s="48">
        <v>44664</v>
      </c>
    </row>
    <row r="16" spans="1:1" ht="20.25" thickTop="1" thickBot="1" x14ac:dyDescent="0.3">
      <c r="A16" s="48">
        <v>44665</v>
      </c>
    </row>
    <row r="17" spans="1:2" ht="20.25" thickTop="1" thickBot="1" x14ac:dyDescent="0.3">
      <c r="A17" s="48">
        <v>44666</v>
      </c>
    </row>
    <row r="18" spans="1:2" ht="20.25" thickTop="1" thickBot="1" x14ac:dyDescent="0.3">
      <c r="A18" s="48">
        <v>44667</v>
      </c>
    </row>
    <row r="19" spans="1:2" ht="20.25" thickTop="1" thickBot="1" x14ac:dyDescent="0.3">
      <c r="A19" s="48">
        <v>44668</v>
      </c>
    </row>
    <row r="20" spans="1:2" ht="20.25" thickTop="1" thickBot="1" x14ac:dyDescent="0.3">
      <c r="A20" s="48">
        <v>44669</v>
      </c>
    </row>
    <row r="21" spans="1:2" ht="20.25" thickTop="1" thickBot="1" x14ac:dyDescent="0.3">
      <c r="A21" s="48">
        <v>44670</v>
      </c>
    </row>
    <row r="22" spans="1:2" ht="20.25" thickTop="1" thickBot="1" x14ac:dyDescent="0.3">
      <c r="A22" s="48">
        <v>44671</v>
      </c>
    </row>
    <row r="23" spans="1:2" ht="20.25" thickTop="1" thickBot="1" x14ac:dyDescent="0.3">
      <c r="A23" s="48">
        <v>44672</v>
      </c>
      <c r="B23" s="49"/>
    </row>
    <row r="24" spans="1:2" ht="20.25" thickTop="1" thickBot="1" x14ac:dyDescent="0.3">
      <c r="A24" s="48">
        <v>44673</v>
      </c>
      <c r="B24" s="50"/>
    </row>
    <row r="25" spans="1:2" ht="20.25" thickTop="1" thickBot="1" x14ac:dyDescent="0.3">
      <c r="A25" s="48">
        <v>44674</v>
      </c>
    </row>
    <row r="26" spans="1:2" ht="20.25" thickTop="1" thickBot="1" x14ac:dyDescent="0.3">
      <c r="A26" s="48">
        <v>44675</v>
      </c>
    </row>
    <row r="27" spans="1:2" ht="20.25" thickTop="1" thickBot="1" x14ac:dyDescent="0.3">
      <c r="A27" s="48">
        <v>44676</v>
      </c>
    </row>
    <row r="28" spans="1:2" ht="20.25" thickTop="1" thickBot="1" x14ac:dyDescent="0.3">
      <c r="A28" s="48">
        <v>44677</v>
      </c>
    </row>
    <row r="29" spans="1:2" ht="20.25" thickTop="1" thickBot="1" x14ac:dyDescent="0.3">
      <c r="A29" s="48">
        <v>44678</v>
      </c>
    </row>
    <row r="30" spans="1:2" ht="20.25" thickTop="1" thickBot="1" x14ac:dyDescent="0.3">
      <c r="A30" s="48">
        <v>44679</v>
      </c>
    </row>
    <row r="31" spans="1:2" ht="20.25" thickTop="1" thickBot="1" x14ac:dyDescent="0.3">
      <c r="A31" s="48">
        <v>44680</v>
      </c>
    </row>
    <row r="32" spans="1:2" ht="20.25" thickTop="1" thickBot="1" x14ac:dyDescent="0.3">
      <c r="A32" s="48">
        <v>44681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T1" workbookViewId="0">
      <selection activeCell="AD1" sqref="AD1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44652</v>
      </c>
      <c r="G1" s="25">
        <f>'RESUMEN TOTAL'!P4</f>
        <v>44653</v>
      </c>
      <c r="H1" s="25">
        <f>'RESUMEN TOTAL'!Q4</f>
        <v>44654</v>
      </c>
      <c r="I1" s="25">
        <f>'RESUMEN TOTAL'!R4</f>
        <v>44655</v>
      </c>
      <c r="J1" s="25">
        <f>'RESUMEN TOTAL'!S4</f>
        <v>44656</v>
      </c>
      <c r="K1" s="25">
        <f>'RESUMEN TOTAL'!T4</f>
        <v>44657</v>
      </c>
      <c r="L1" s="25">
        <f>'RESUMEN TOTAL'!U4</f>
        <v>44658</v>
      </c>
      <c r="M1" s="25">
        <f>'RESUMEN TOTAL'!V4</f>
        <v>44659</v>
      </c>
      <c r="N1" s="25">
        <f>'RESUMEN TOTAL'!W4</f>
        <v>44660</v>
      </c>
      <c r="O1" s="25">
        <f>'RESUMEN TOTAL'!X4</f>
        <v>44661</v>
      </c>
      <c r="P1" s="25">
        <f>'RESUMEN TOTAL'!Y4</f>
        <v>44662</v>
      </c>
      <c r="Q1" s="25">
        <f>'RESUMEN TOTAL'!Z4</f>
        <v>44663</v>
      </c>
      <c r="R1" s="25">
        <f>'RESUMEN TOTAL'!AA4</f>
        <v>44664</v>
      </c>
      <c r="S1" s="25">
        <f>'RESUMEN TOTAL'!AB4</f>
        <v>44665</v>
      </c>
      <c r="T1" s="25">
        <f>'RESUMEN TOTAL'!AC4</f>
        <v>44666</v>
      </c>
      <c r="U1" s="25">
        <f>'RESUMEN TOTAL'!AD4</f>
        <v>44667</v>
      </c>
      <c r="V1" s="25">
        <f>'RESUMEN TOTAL'!AE4</f>
        <v>44668</v>
      </c>
      <c r="W1" s="25">
        <f>'RESUMEN TOTAL'!AF4</f>
        <v>44669</v>
      </c>
      <c r="X1" s="25">
        <f>'RESUMEN TOTAL'!AG4</f>
        <v>44670</v>
      </c>
      <c r="Y1" s="25">
        <f>'RESUMEN TOTAL'!AH4</f>
        <v>44671</v>
      </c>
      <c r="Z1" s="25">
        <f>'RESUMEN TOTAL'!AI4</f>
        <v>44672</v>
      </c>
      <c r="AA1" s="25">
        <f>'RESUMEN TOTAL'!AJ4</f>
        <v>44673</v>
      </c>
      <c r="AB1" s="25">
        <f>'RESUMEN TOTAL'!AK4</f>
        <v>44674</v>
      </c>
      <c r="AC1" s="25">
        <f>'RESUMEN TOTAL'!AL4</f>
        <v>44675</v>
      </c>
      <c r="AD1" s="25">
        <f>'RESUMEN TOTAL'!AM4</f>
        <v>44676</v>
      </c>
      <c r="AE1" s="25">
        <f>'RESUMEN TOTAL'!AN4</f>
        <v>44677</v>
      </c>
      <c r="AF1" s="25">
        <f>'RESUMEN TOTAL'!AO4</f>
        <v>44678</v>
      </c>
      <c r="AG1" s="25">
        <f>'RESUMEN TOTAL'!AP4</f>
        <v>44679</v>
      </c>
      <c r="AH1" s="25">
        <f>'RESUMEN TOTAL'!AQ4</f>
        <v>44680</v>
      </c>
      <c r="AI1" s="25">
        <f>'RESUMEN TOTAL'!AR4</f>
        <v>44681</v>
      </c>
      <c r="AJ1" s="25" t="e">
        <f>'RESUMEN TOTAL'!#REF!</f>
        <v>#REF!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 t="str">
        <f>'RESUMEN TOTAL'!S5</f>
        <v>APAGADO</v>
      </c>
      <c r="K2">
        <f>'RESUMEN TOTAL'!T5</f>
        <v>0</v>
      </c>
      <c r="L2">
        <f>'RESUMEN TOTAL'!U5</f>
        <v>0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 t="str">
        <f>'RESUMEN TOTAL'!AO5</f>
        <v>APAGADO</v>
      </c>
      <c r="AG2">
        <f>'RESUMEN TOTAL'!AP5</f>
        <v>0</v>
      </c>
      <c r="AH2">
        <f>'RESUMEN TOTAL'!AQ5</f>
        <v>0</v>
      </c>
      <c r="AI2">
        <f>'RESUMEN TOTAL'!AR5</f>
        <v>0</v>
      </c>
      <c r="AJ2" t="e">
        <f>'RESUMEN TOTAL'!#REF!</f>
        <v>#REF!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t="e">
        <f>'RESUMEN TOTAL'!#REF!</f>
        <v>#REF!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 t="str">
        <f>'RESUMEN TOTAL'!AI7</f>
        <v>APAGADO</v>
      </c>
      <c r="AA4" t="str">
        <f>'RESUMEN TOTAL'!AJ7</f>
        <v>APAGADO</v>
      </c>
      <c r="AB4" t="str">
        <f>'RESUMEN TOTAL'!AK7</f>
        <v>APAGADO</v>
      </c>
      <c r="AC4" t="str">
        <f>'RESUMEN TOTAL'!AL7</f>
        <v>APAGADO</v>
      </c>
      <c r="AD4" t="str">
        <f>'RESUMEN TOTAL'!AM7</f>
        <v>APAGADO</v>
      </c>
      <c r="AE4" t="str">
        <f>'RESUMEN TOTAL'!AN7</f>
        <v>APAGADO</v>
      </c>
      <c r="AF4" t="str">
        <f>'RESUMEN TOTAL'!AO7</f>
        <v>APAGADO</v>
      </c>
      <c r="AG4" t="str">
        <f>'RESUMEN TOTAL'!AP7</f>
        <v>APAGADO</v>
      </c>
      <c r="AH4">
        <f>'RESUMEN TOTAL'!AQ7</f>
        <v>0</v>
      </c>
      <c r="AI4">
        <f>'RESUMEN TOTAL'!AR7</f>
        <v>0</v>
      </c>
      <c r="AJ4" t="e">
        <f>'RESUMEN TOTAL'!#REF!</f>
        <v>#REF!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t="e">
        <f>'RESUMEN TOTAL'!#REF!</f>
        <v>#REF!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 t="str">
        <f>'RESUMEN TOTAL'!W10</f>
        <v>APAGADO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 t="str">
        <f>'RESUMEN TOTAL'!AG10</f>
        <v>APAGADO</v>
      </c>
      <c r="Y7" t="str">
        <f>'RESUMEN TOTAL'!AH10</f>
        <v>APAGADO</v>
      </c>
      <c r="Z7" t="str">
        <f>'RESUMEN TOTAL'!AI10</f>
        <v>APAGADO</v>
      </c>
      <c r="AA7" t="str">
        <f>'RESUMEN TOTAL'!AJ10</f>
        <v>APAGADO</v>
      </c>
      <c r="AB7" t="str">
        <f>'RESUMEN TOTAL'!AK10</f>
        <v>APAGADO</v>
      </c>
      <c r="AC7" t="str">
        <f>'RESUMEN TOTAL'!AL10</f>
        <v>APAGADO</v>
      </c>
      <c r="AD7">
        <f>'RESUMEN TOTAL'!AM10</f>
        <v>0</v>
      </c>
      <c r="AE7" t="str">
        <f>'RESUMEN TOTAL'!AN10</f>
        <v>APAGADO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 t="str">
        <f>'RESUMEN TOTAL'!AB11</f>
        <v>APAGADO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 t="str">
        <f>'RESUMEN TOTAL'!AB12</f>
        <v>APAGADO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 t="str">
        <f>'RESUMEN TOTAL'!AG12</f>
        <v>APAGADO</v>
      </c>
      <c r="Y9" t="str">
        <f>'RESUMEN TOTAL'!AH12</f>
        <v>APAGADO</v>
      </c>
      <c r="Z9" t="str">
        <f>'RESUMEN TOTAL'!AI12</f>
        <v>APAGADO</v>
      </c>
      <c r="AA9" t="str">
        <f>'RESUMEN TOTAL'!AJ12</f>
        <v>APAGADO</v>
      </c>
      <c r="AB9" t="str">
        <f>'RESUMEN TOTAL'!AK12</f>
        <v>APAGADO</v>
      </c>
      <c r="AC9">
        <f>'RESUMEN TOTAL'!AL12</f>
        <v>0</v>
      </c>
      <c r="AD9" t="str">
        <f>'RESUMEN TOTAL'!AM12</f>
        <v>APAGADO</v>
      </c>
      <c r="AE9" t="str">
        <f>'RESUMEN TOTAL'!AN12</f>
        <v>APAGADO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 t="str">
        <f>'RESUMEN TOTAL'!AB13</f>
        <v>APAGADO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 t="str">
        <f>'RESUMEN TOTAL'!AG13</f>
        <v>APAGADO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 t="str">
        <f>'RESUMEN TOTAL'!AM13</f>
        <v>APAGADO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t="e">
        <f>'RESUMEN TOTAL'!#REF!</f>
        <v>#REF!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 t="str">
        <f>'RESUMEN TOTAL'!AB14</f>
        <v>APAGADO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 t="str">
        <f>'RESUMEN TOTAL'!AG14</f>
        <v>APAGADO</v>
      </c>
      <c r="Y11" t="str">
        <f>'RESUMEN TOTAL'!AH14</f>
        <v>APAGADO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 t="str">
        <f>'RESUMEN TOTAL'!AM14</f>
        <v>APAGADO</v>
      </c>
      <c r="AE11" t="str">
        <f>'RESUMEN TOTAL'!AN14</f>
        <v>APAGADO</v>
      </c>
      <c r="AF11" t="str">
        <f>'RESUMEN TOTAL'!AO14</f>
        <v>APAGADO</v>
      </c>
      <c r="AG11" t="str">
        <f>'RESUMEN TOTAL'!AP14</f>
        <v>APAGADO</v>
      </c>
      <c r="AH11">
        <f>'RESUMEN TOTAL'!AQ14</f>
        <v>0</v>
      </c>
      <c r="AI11">
        <f>'RESUMEN TOTAL'!AR14</f>
        <v>0</v>
      </c>
      <c r="AJ11" t="e">
        <f>'RESUMEN TOTAL'!#REF!</f>
        <v>#REF!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 t="str">
        <f>'RESUMEN TOTAL'!AB15</f>
        <v>APAGADO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t="e">
        <f>'RESUMEN TOTAL'!#REF!</f>
        <v>#REF!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 t="str">
        <f>'RESUMEN TOTAL'!AB16</f>
        <v>APAGADO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t="e">
        <f>'RESUMEN TOTAL'!#REF!</f>
        <v>#REF!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 t="str">
        <f>'RESUMEN TOTAL'!AB17</f>
        <v>APAGADO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t="e">
        <f>'RESUMEN TOTAL'!#REF!</f>
        <v>#REF!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 t="str">
        <f>'RESUMEN TOTAL'!AB18</f>
        <v>APAGADO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t="e">
        <f>'RESUMEN TOTAL'!#REF!</f>
        <v>#REF!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 t="str">
        <f>'RESUMEN TOTAL'!AL19</f>
        <v>APAGADO</v>
      </c>
      <c r="AD16" t="str">
        <f>'RESUMEN TOTAL'!AM19</f>
        <v>APAGADO</v>
      </c>
      <c r="AE16" t="str">
        <f>'RESUMEN TOTAL'!AN19</f>
        <v>APAGADO</v>
      </c>
      <c r="AF16" t="str">
        <f>'RESUMEN TOTAL'!AO19</f>
        <v>APAGADO</v>
      </c>
      <c r="AG16" t="str">
        <f>'RESUMEN TOTAL'!AP19</f>
        <v>APAGADO</v>
      </c>
      <c r="AH16">
        <f>'RESUMEN TOTAL'!AQ19</f>
        <v>0</v>
      </c>
      <c r="AI16">
        <f>'RESUMEN TOTAL'!AR19</f>
        <v>0</v>
      </c>
      <c r="AJ16" t="e">
        <f>'RESUMEN TOTAL'!#REF!</f>
        <v>#REF!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 t="str">
        <f>'RESUMEN TOTAL'!AB20</f>
        <v>APAGADO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t="e">
        <f>'RESUMEN TOTAL'!#REF!</f>
        <v>#REF!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 t="str">
        <f>'RESUMEN TOTAL'!U21</f>
        <v>APAGADO</v>
      </c>
      <c r="M18" t="str">
        <f>'RESUMEN TOTAL'!V21</f>
        <v>APAGADO</v>
      </c>
      <c r="N18" t="str">
        <f>'RESUMEN TOTAL'!W21</f>
        <v>APAGADO</v>
      </c>
      <c r="O18" t="str">
        <f>'RESUMEN TOTAL'!X21</f>
        <v>APAGADO</v>
      </c>
      <c r="P18" t="str">
        <f>'RESUMEN TOTAL'!Y21</f>
        <v>APAGADO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 t="str">
        <f>'RESUMEN TOTAL'!AG21</f>
        <v>APAGADO</v>
      </c>
      <c r="Y18">
        <f>'RESUMEN TOTAL'!AH21</f>
        <v>0</v>
      </c>
      <c r="Z18" t="str">
        <f>'RESUMEN TOTAL'!AI21</f>
        <v>APAGADO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 t="str">
        <f>'RESUMEN TOTAL'!AM21</f>
        <v>APAGADO</v>
      </c>
      <c r="AE18" t="str">
        <f>'RESUMEN TOTAL'!AN21</f>
        <v>APAGADO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t="e">
        <f>'RESUMEN TOTAL'!#REF!</f>
        <v>#REF!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 t="str">
        <f>'RESUMEN TOTAL'!U22</f>
        <v>APAGADO</v>
      </c>
      <c r="M19" t="str">
        <f>'RESUMEN TOTAL'!V22</f>
        <v>APAGADO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 t="str">
        <f>'RESUMEN TOTAL'!AG22</f>
        <v>APAGADO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 t="str">
        <f>'RESUMEN TOTAL'!AM22</f>
        <v>APAGADO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t="e">
        <f>'RESUMEN TOTAL'!#REF!</f>
        <v>#REF!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t="e">
        <f>'RESUMEN TOTAL'!#REF!</f>
        <v>#REF!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 t="str">
        <f>'RESUMEN TOTAL'!U24</f>
        <v>APAGADO</v>
      </c>
      <c r="M21">
        <f>'RESUMEN TOTAL'!V24</f>
        <v>0</v>
      </c>
      <c r="N21">
        <f>'RESUMEN TOTAL'!W24</f>
        <v>0</v>
      </c>
      <c r="O21">
        <f>'RESUMEN TOTAL'!X24</f>
        <v>0</v>
      </c>
      <c r="P21" t="str">
        <f>'RESUMEN TOTAL'!Y24</f>
        <v>APAGADO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 t="str">
        <f>'RESUMEN TOTAL'!AE24</f>
        <v>APAGADO</v>
      </c>
      <c r="W21" t="str">
        <f>'RESUMEN TOTAL'!AF24</f>
        <v>APAGADO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t="e">
        <f>'RESUMEN TOTAL'!#REF!</f>
        <v>#REF!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t="e">
        <f>'RESUMEN TOTAL'!#REF!</f>
        <v>#REF!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t="e">
        <f>'RESUMEN TOTAL'!#REF!</f>
        <v>#REF!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 t="str">
        <f>'RESUMEN TOTAL'!AO28</f>
        <v>APAGADO</v>
      </c>
      <c r="AG25" t="str">
        <f>'RESUMEN TOTAL'!AP28</f>
        <v>APAGADO</v>
      </c>
      <c r="AH25">
        <f>'RESUMEN TOTAL'!AQ28</f>
        <v>0</v>
      </c>
      <c r="AI25">
        <f>'RESUMEN TOTAL'!AR28</f>
        <v>0</v>
      </c>
      <c r="AJ25" t="e">
        <f>'RESUMEN TOTAL'!#REF!</f>
        <v>#REF!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>
        <f>'RESUMEN TOTAL'!P30</f>
        <v>0</v>
      </c>
      <c r="H27">
        <f>'RESUMEN TOTAL'!Q30</f>
        <v>0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 t="str">
        <f>'RESUMEN TOTAL'!Y30</f>
        <v>APAGADO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 t="str">
        <f>'RESUMEN TOTAL'!AF32</f>
        <v>APAGADO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 t="str">
        <f>'RESUMEN TOTAL'!Y39</f>
        <v>APAGADO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 t="str">
        <f>'RESUMEN TOTAL'!Y45</f>
        <v>APAGADO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 t="str">
        <f>'RESUMEN TOTAL'!AM45</f>
        <v>APAGADO</v>
      </c>
      <c r="AE42" t="str">
        <f>'RESUMEN TOTAL'!AN45</f>
        <v>APAGADO</v>
      </c>
      <c r="AF42" t="str">
        <f>'RESUMEN TOTAL'!AO45</f>
        <v>APAGADO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 t="str">
        <f>'RESUMEN TOTAL'!S47</f>
        <v>APAGADO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 t="str">
        <f>'RESUMEN TOTAL'!Y49</f>
        <v>APAGADO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 t="str">
        <f>'RESUMEN TOTAL'!AM49</f>
        <v>APAGADO</v>
      </c>
      <c r="AE46" t="str">
        <f>'RESUMEN TOTAL'!AN49</f>
        <v>APAGADO</v>
      </c>
      <c r="AF46" t="str">
        <f>'RESUMEN TOTAL'!AO49</f>
        <v>APAGADO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 t="str">
        <f>'RESUMEN TOTAL'!Y51</f>
        <v>APAGADO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t="e">
        <f>'RESUMEN TOTAL'!#REF!</f>
        <v>#REF!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 t="str">
        <f>'RESUMEN TOTAL'!AG53</f>
        <v>APAGADO</v>
      </c>
      <c r="Y50" t="str">
        <f>'RESUMEN TOTAL'!AH53</f>
        <v>APAGADO</v>
      </c>
      <c r="Z50" t="str">
        <f>'RESUMEN TOTAL'!AI53</f>
        <v>APAGADO</v>
      </c>
      <c r="AA50" t="str">
        <f>'RESUMEN TOTAL'!AJ53</f>
        <v>APAGADO</v>
      </c>
      <c r="AB50" t="str">
        <f>'RESUMEN TOTAL'!AK53</f>
        <v>APAGADO</v>
      </c>
      <c r="AC50">
        <f>'RESUMEN TOTAL'!AL53</f>
        <v>0</v>
      </c>
      <c r="AD50" t="str">
        <f>'RESUMEN TOTAL'!AM53</f>
        <v>APAGADO</v>
      </c>
      <c r="AE50" t="str">
        <f>'RESUMEN TOTAL'!AN53</f>
        <v>APAGADO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 t="str">
        <f>'RESUMEN TOTAL'!AM55</f>
        <v>APAGADO</v>
      </c>
      <c r="AE52" t="str">
        <f>'RESUMEN TOTAL'!AN55</f>
        <v>APAGADO</v>
      </c>
      <c r="AF52" t="str">
        <f>'RESUMEN TOTAL'!AO55</f>
        <v>APAGADO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t="e">
        <f>'RESUMEN TOTAL'!#REF!</f>
        <v>#REF!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 t="str">
        <f>'RESUMEN TOTAL'!O62</f>
        <v>APAGADO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 t="str">
        <f>'RESUMEN TOTAL'!S62</f>
        <v>APAGADO</v>
      </c>
      <c r="K59" t="str">
        <f>'RESUMEN TOTAL'!T62</f>
        <v>APAGADO</v>
      </c>
      <c r="L59" t="str">
        <f>'RESUMEN TOTAL'!U62</f>
        <v>APAGADO</v>
      </c>
      <c r="M59" t="str">
        <f>'RESUMEN TOTAL'!V62</f>
        <v>APAGADO</v>
      </c>
      <c r="N59" t="str">
        <f>'RESUMEN TOTAL'!W62</f>
        <v>APAGADO</v>
      </c>
      <c r="O59" t="str">
        <f>'RESUMEN TOTAL'!X62</f>
        <v>APAGADO</v>
      </c>
      <c r="P59" t="str">
        <f>'RESUMEN TOTAL'!Y62</f>
        <v>APAGADO</v>
      </c>
      <c r="Q59" t="str">
        <f>'RESUMEN TOTAL'!Z62</f>
        <v>APAGADO</v>
      </c>
      <c r="R59" t="str">
        <f>'RESUMEN TOTAL'!AA62</f>
        <v>APAGADO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>
        <f>'RESUMEN TOTAL'!P63</f>
        <v>0</v>
      </c>
      <c r="H60">
        <f>'RESUMEN TOTAL'!Q63</f>
        <v>0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 t="str">
        <f>'RESUMEN TOTAL'!X63</f>
        <v>APAGADO</v>
      </c>
      <c r="P60" t="str">
        <f>'RESUMEN TOTAL'!Y63</f>
        <v>APAGADO</v>
      </c>
      <c r="Q60" t="str">
        <f>'RESUMEN TOTAL'!Z63</f>
        <v>APAGADO</v>
      </c>
      <c r="R60" t="str">
        <f>'RESUMEN TOTAL'!AA63</f>
        <v>APAGADO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>
        <f>'RESUMEN TOTAL'!P65</f>
        <v>0</v>
      </c>
      <c r="H62">
        <f>'RESUMEN TOTAL'!Q65</f>
        <v>0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 t="str">
        <f>'RESUMEN TOTAL'!Z65</f>
        <v>APAGADO</v>
      </c>
      <c r="R62" t="str">
        <f>'RESUMEN TOTAL'!AA65</f>
        <v>APAGADO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 t="str">
        <f>'RESUMEN TOTAL'!AD66</f>
        <v>APAGADO</v>
      </c>
      <c r="V63" t="str">
        <f>'RESUMEN TOTAL'!AE66</f>
        <v>APAGADO</v>
      </c>
      <c r="W63" t="str">
        <f>'RESUMEN TOTAL'!AF66</f>
        <v>APAGADO</v>
      </c>
      <c r="X63" t="str">
        <f>'RESUMEN TOTAL'!AG66</f>
        <v>APAGADO</v>
      </c>
      <c r="Y63" t="str">
        <f>'RESUMEN TOTAL'!AH66</f>
        <v>APAGADO</v>
      </c>
      <c r="Z63" t="str">
        <f>'RESUMEN TOTAL'!AI66</f>
        <v>APAGADO</v>
      </c>
      <c r="AA63" t="str">
        <f>'RESUMEN TOTAL'!AJ66</f>
        <v>APAGADO</v>
      </c>
      <c r="AB63" t="str">
        <f>'RESUMEN TOTAL'!AK66</f>
        <v>APAGADO</v>
      </c>
      <c r="AC63" t="str">
        <f>'RESUMEN TOTAL'!AL66</f>
        <v>APAGADO</v>
      </c>
      <c r="AD63" t="str">
        <f>'RESUMEN TOTAL'!AM66</f>
        <v>APAGADO</v>
      </c>
      <c r="AE63" t="str">
        <f>'RESUMEN TOTAL'!AN66</f>
        <v>APAGADO</v>
      </c>
      <c r="AF63" t="str">
        <f>'RESUMEN TOTAL'!AO66</f>
        <v>APAGADO</v>
      </c>
      <c r="AG63" t="str">
        <f>'RESUMEN TOTAL'!AP66</f>
        <v>APAGADO</v>
      </c>
      <c r="AH63">
        <f>'RESUMEN TOTAL'!AQ66</f>
        <v>0</v>
      </c>
      <c r="AI63">
        <f>'RESUMEN TOTAL'!AR66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>
        <f>'RESUMEN TOTAL'!P68</f>
        <v>0</v>
      </c>
      <c r="H65">
        <f>'RESUMEN TOTAL'!Q68</f>
        <v>0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 t="str">
        <f>'RESUMEN TOTAL'!X68</f>
        <v>APAGADO</v>
      </c>
      <c r="P65" t="str">
        <f>'RESUMEN TOTAL'!Y68</f>
        <v>APAGADO</v>
      </c>
      <c r="Q65" t="str">
        <f>'RESUMEN TOTAL'!Z68</f>
        <v>APAGADO</v>
      </c>
      <c r="R65" t="str">
        <f>'RESUMEN TOTAL'!AA68</f>
        <v>APAGADO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 t="str">
        <f>'RESUMEN TOTAL'!AG73</f>
        <v>APAGADO</v>
      </c>
      <c r="Y70" t="str">
        <f>'RESUMEN TOTAL'!AH73</f>
        <v>APAGADO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 t="str">
        <f>'RESUMEN TOTAL'!AM73</f>
        <v>APAGADO</v>
      </c>
      <c r="AE70" t="str">
        <f>'RESUMEN TOTAL'!AN73</f>
        <v>APAGADO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>
        <f>'RESUMEN TOTAL'!P80</f>
        <v>0</v>
      </c>
      <c r="H77">
        <f>'RESUMEN TOTAL'!Q80</f>
        <v>0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 t="str">
        <f>'RESUMEN TOTAL'!AJ80</f>
        <v>APAGADO</v>
      </c>
      <c r="AB77" t="str">
        <f>'RESUMEN TOTAL'!AK80</f>
        <v>APAGADO</v>
      </c>
      <c r="AC77" t="str">
        <f>'RESUMEN TOTAL'!AL80</f>
        <v>APAGADO</v>
      </c>
      <c r="AD77" t="str">
        <f>'RESUMEN TOTAL'!AM80</f>
        <v>APAGADO</v>
      </c>
      <c r="AE77" t="str">
        <f>'RESUMEN TOTAL'!AN80</f>
        <v>APAGADO</v>
      </c>
      <c r="AF77" t="str">
        <f>'RESUMEN TOTAL'!AO80</f>
        <v>APAGADO</v>
      </c>
      <c r="AG77" t="str">
        <f>'RESUMEN TOTAL'!AP80</f>
        <v>APAGADO</v>
      </c>
      <c r="AH77">
        <f>'RESUMEN TOTAL'!AQ80</f>
        <v>0</v>
      </c>
      <c r="AI77">
        <f>'RESUMEN TOTAL'!AR80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 t="str">
        <f>'RESUMEN TOTAL'!AO81</f>
        <v>APAGADO</v>
      </c>
      <c r="AG78" t="str">
        <f>'RESUMEN TOTAL'!AP81</f>
        <v>APAGADO</v>
      </c>
      <c r="AH78">
        <f>'RESUMEN TOTAL'!AQ81</f>
        <v>0</v>
      </c>
      <c r="AI78">
        <f>'RESUMEN TOTAL'!AR81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 t="str">
        <f>'RESUMEN TOTAL'!AO82</f>
        <v>APAGADO</v>
      </c>
      <c r="AG79" t="str">
        <f>'RESUMEN TOTAL'!AP82</f>
        <v>APAGADO</v>
      </c>
      <c r="AH79">
        <f>'RESUMEN TOTAL'!AQ82</f>
        <v>0</v>
      </c>
      <c r="AI79">
        <f>'RESUMEN TOTAL'!AR82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 t="str">
        <f>'RESUMEN TOTAL'!R85</f>
        <v>APAGADO</v>
      </c>
      <c r="J82" t="str">
        <f>'RESUMEN TOTAL'!S85</f>
        <v>APAGADO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t="e">
        <f>'RESUMEN TOTAL'!#REF!</f>
        <v>#REF!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t="e">
        <f>'RESUMEN TOTAL'!#REF!</f>
        <v>#REF!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t="e">
        <f>'RESUMEN TOTAL'!#REF!</f>
        <v>#REF!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t="e">
        <f>'RESUMEN TOTAL'!#REF!</f>
        <v>#REF!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t="e">
        <f>'RESUMEN TOTAL'!#REF!</f>
        <v>#REF!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t="e">
        <f>'RESUMEN TOTAL'!#REF!</f>
        <v>#REF!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t="e">
        <f>'RESUMEN TOTAL'!#REF!</f>
        <v>#REF!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 t="str">
        <f>'RESUMEN TOTAL'!AO101</f>
        <v>APAGADO</v>
      </c>
      <c r="AG98" t="str">
        <f>'RESUMEN TOTAL'!AP101</f>
        <v>APAGADO</v>
      </c>
      <c r="AH98">
        <f>'RESUMEN TOTAL'!AQ101</f>
        <v>0</v>
      </c>
      <c r="AI98">
        <f>'RESUMEN TOTAL'!AR101</f>
        <v>0</v>
      </c>
      <c r="AJ98" t="e">
        <f>'RESUMEN TOTAL'!#REF!</f>
        <v>#REF!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 t="str">
        <f>'RESUMEN TOTAL'!X102</f>
        <v>APAGADO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 t="str">
        <f>'RESUMEN TOTAL'!AE102</f>
        <v>APAGADO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t="e">
        <f>'RESUMEN TOTAL'!#REF!</f>
        <v>#REF!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t="e">
        <f>'RESUMEN TOTAL'!#REF!</f>
        <v>#REF!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 t="str">
        <f>'RESUMEN TOTAL'!AM104</f>
        <v>APAGADO</v>
      </c>
      <c r="AE101" t="str">
        <f>'RESUMEN TOTAL'!AN104</f>
        <v>APAGADO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t="e">
        <f>'RESUMEN TOTAL'!#REF!</f>
        <v>#REF!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 t="str">
        <f>'RESUMEN TOTAL'!AM105</f>
        <v>APAGADO</v>
      </c>
      <c r="AE102" t="str">
        <f>'RESUMEN TOTAL'!AN105</f>
        <v>APAGADO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t="e">
        <f>'RESUMEN TOTAL'!#REF!</f>
        <v>#REF!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t="e">
        <f>'RESUMEN TOTAL'!#REF!</f>
        <v>#REF!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t="e">
        <f>'RESUMEN TOTAL'!#REF!</f>
        <v>#REF!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t="e">
        <f>'RESUMEN TOTAL'!#REF!</f>
        <v>#REF!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t="e">
        <f>'RESUMEN TOTAL'!#REF!</f>
        <v>#REF!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t="e">
        <f>'RESUMEN TOTAL'!#REF!</f>
        <v>#REF!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t="e">
        <f>'RESUMEN TOTAL'!#REF!</f>
        <v>#REF!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t="e">
        <f>'RESUMEN TOTAL'!#REF!</f>
        <v>#REF!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t="e">
        <f>'RESUMEN TOTAL'!#REF!</f>
        <v>#REF!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 t="str">
        <f>'RESUMEN TOTAL'!AO114</f>
        <v>APAGADO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t="e">
        <f>'RESUMEN TOTAL'!#REF!</f>
        <v>#REF!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>
        <f>'RESUMEN TOTAL'!X115</f>
        <v>0</v>
      </c>
      <c r="P112" t="str">
        <f>'RESUMEN TOTAL'!Y115</f>
        <v>APAGADO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 t="str">
        <f>'RESUMEN TOTAL'!AJ115</f>
        <v>APAGADO</v>
      </c>
      <c r="AB112">
        <f>'RESUMEN TOTAL'!AK115</f>
        <v>0</v>
      </c>
      <c r="AC112">
        <f>'RESUMEN TOTAL'!AL115</f>
        <v>0</v>
      </c>
      <c r="AD112" t="str">
        <f>'RESUMEN TOTAL'!AM115</f>
        <v>APAGADO</v>
      </c>
      <c r="AE112" t="str">
        <f>'RESUMEN TOTAL'!AN115</f>
        <v>APAGADO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t="e">
        <f>'RESUMEN TOTAL'!#REF!</f>
        <v>#REF!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 t="str">
        <f>'RESUMEN TOTAL'!Y116</f>
        <v>APAGADO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 t="str">
        <f>'RESUMEN TOTAL'!AJ116</f>
        <v>APAGADO</v>
      </c>
      <c r="AB113" t="str">
        <f>'RESUMEN TOTAL'!AK116</f>
        <v>APAGADO</v>
      </c>
      <c r="AC113">
        <f>'RESUMEN TOTAL'!AL116</f>
        <v>0</v>
      </c>
      <c r="AD113" t="str">
        <f>'RESUMEN TOTAL'!AM116</f>
        <v>APAGADO</v>
      </c>
      <c r="AE113" t="str">
        <f>'RESUMEN TOTAL'!AN116</f>
        <v>APAGADO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t="e">
        <f>'RESUMEN TOTAL'!#REF!</f>
        <v>#REF!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 t="str">
        <f>'RESUMEN TOTAL'!AO117</f>
        <v>APAGADO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t="e">
        <f>'RESUMEN TOTAL'!#REF!</f>
        <v>#REF!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 t="str">
        <f>'RESUMEN TOTAL'!AO118</f>
        <v>APAGADO</v>
      </c>
      <c r="AG115" t="str">
        <f>'RESUMEN TOTAL'!AP118</f>
        <v>APAGADO</v>
      </c>
      <c r="AH115">
        <f>'RESUMEN TOTAL'!AQ118</f>
        <v>0</v>
      </c>
      <c r="AI115">
        <f>'RESUMEN TOTAL'!AR118</f>
        <v>0</v>
      </c>
      <c r="AJ115" t="e">
        <f>'RESUMEN TOTAL'!#REF!</f>
        <v>#REF!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 t="str">
        <f>'RESUMEN TOTAL'!AO119</f>
        <v>APAGADO</v>
      </c>
      <c r="AG116" t="str">
        <f>'RESUMEN TOTAL'!AP119</f>
        <v>APAGADO</v>
      </c>
      <c r="AH116">
        <f>'RESUMEN TOTAL'!AQ119</f>
        <v>0</v>
      </c>
      <c r="AI116">
        <f>'RESUMEN TOTAL'!AR119</f>
        <v>0</v>
      </c>
      <c r="AJ116" t="e">
        <f>'RESUMEN TOTAL'!#REF!</f>
        <v>#REF!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 t="str">
        <f>'RESUMEN TOTAL'!AO120</f>
        <v>APAGADO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t="e">
        <f>'RESUMEN TOTAL'!#REF!</f>
        <v>#REF!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 t="str">
        <f>'RESUMEN TOTAL'!AO121</f>
        <v>APAGADO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t="e">
        <f>'RESUMEN TOTAL'!#REF!</f>
        <v>#REF!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 t="str">
        <f>'RESUMEN TOTAL'!AO122</f>
        <v>APAGADO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t="e">
        <f>'RESUMEN TOTAL'!#REF!</f>
        <v>#REF!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 t="str">
        <f>'RESUMEN TOTAL'!AO123</f>
        <v>APAGADO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t="e">
        <f>'RESUMEN TOTAL'!#REF!</f>
        <v>#REF!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 t="str">
        <f>'RESUMEN TOTAL'!AG124</f>
        <v>APAGADO</v>
      </c>
      <c r="Y121" t="str">
        <f>'RESUMEN TOTAL'!AH124</f>
        <v>APAGADO</v>
      </c>
      <c r="Z121" t="str">
        <f>'RESUMEN TOTAL'!AI124</f>
        <v>APAGADO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 t="str">
        <f>'RESUMEN TOTAL'!AM124</f>
        <v>APAGADO</v>
      </c>
      <c r="AE121" t="str">
        <f>'RESUMEN TOTAL'!AN124</f>
        <v>APAGADO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t="e">
        <f>'RESUMEN TOTAL'!#REF!</f>
        <v>#REF!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t="e">
        <f>'RESUMEN TOTAL'!#REF!</f>
        <v>#REF!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t="e">
        <f>'RESUMEN TOTAL'!#REF!</f>
        <v>#REF!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t="e">
        <f>'RESUMEN TOTAL'!#REF!</f>
        <v>#REF!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t="e">
        <f>'RESUMEN TOTAL'!#REF!</f>
        <v>#REF!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 t="str">
        <f>'RESUMEN TOTAL'!AM129</f>
        <v>APAGADO</v>
      </c>
      <c r="AE126" t="str">
        <f>'RESUMEN TOTAL'!AN129</f>
        <v>APAGADO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t="e">
        <f>'RESUMEN TOTAL'!#REF!</f>
        <v>#REF!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 t="str">
        <f>'RESUMEN TOTAL'!AM130</f>
        <v>APAGADO</v>
      </c>
      <c r="AE127" t="str">
        <f>'RESUMEN TOTAL'!AN130</f>
        <v>APAGADO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t="e">
        <f>'RESUMEN TOTAL'!#REF!</f>
        <v>#REF!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t="e">
        <f>'RESUMEN TOTAL'!#REF!</f>
        <v>#REF!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t="e">
        <f>'RESUMEN TOTAL'!#REF!</f>
        <v>#REF!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 t="str">
        <f>'RESUMEN TOTAL'!AL133</f>
        <v>APAGADO</v>
      </c>
      <c r="AD130" t="str">
        <f>'RESUMEN TOTAL'!AM133</f>
        <v>APAGADO</v>
      </c>
      <c r="AE130" t="str">
        <f>'RESUMEN TOTAL'!AN133</f>
        <v>APAGADO</v>
      </c>
      <c r="AF130" t="str">
        <f>'RESUMEN TOTAL'!AO133</f>
        <v>APAGADO</v>
      </c>
      <c r="AG130" t="str">
        <f>'RESUMEN TOTAL'!AP133</f>
        <v>APAGADO</v>
      </c>
      <c r="AH130">
        <f>'RESUMEN TOTAL'!AQ133</f>
        <v>0</v>
      </c>
      <c r="AI130">
        <f>'RESUMEN TOTAL'!AR133</f>
        <v>0</v>
      </c>
      <c r="AJ130" t="e">
        <f>'RESUMEN TOTAL'!#REF!</f>
        <v>#REF!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t="e">
        <f>'RESUMEN TOTAL'!#REF!</f>
        <v>#REF!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t="e">
        <f>'RESUMEN TOTAL'!#REF!</f>
        <v>#REF!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t="e">
        <f>'RESUMEN TOTAL'!#REF!</f>
        <v>#REF!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t="e">
        <f>'RESUMEN TOTAL'!#REF!</f>
        <v>#REF!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 t="str">
        <f>'RESUMEN TOTAL'!AM138</f>
        <v>APAGADO</v>
      </c>
      <c r="AE135" t="str">
        <f>'RESUMEN TOTAL'!AN138</f>
        <v>APAGADO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t="e">
        <f>'RESUMEN TOTAL'!#REF!</f>
        <v>#REF!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 t="str">
        <f>'RESUMEN TOTAL'!AM139</f>
        <v>APAGADO</v>
      </c>
      <c r="AE136" t="str">
        <f>'RESUMEN TOTAL'!AN139</f>
        <v>APAGADO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t="e">
        <f>'RESUMEN TOTAL'!#REF!</f>
        <v>#REF!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 t="str">
        <f>'RESUMEN TOTAL'!AM140</f>
        <v>APAGADO</v>
      </c>
      <c r="AE137" t="str">
        <f>'RESUMEN TOTAL'!AN140</f>
        <v>APAGADO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t="e">
        <f>'RESUMEN TOTAL'!#REF!</f>
        <v>#REF!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 t="str">
        <f>'RESUMEN TOTAL'!AM141</f>
        <v>APAGADO</v>
      </c>
      <c r="AE138" t="str">
        <f>'RESUMEN TOTAL'!AN141</f>
        <v>APAGADO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t="e">
        <f>'RESUMEN TOTAL'!#REF!</f>
        <v>#REF!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t="e">
        <f>'RESUMEN TOTAL'!#REF!</f>
        <v>#REF!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t="e">
        <f>'RESUMEN TOTAL'!#REF!</f>
        <v>#REF!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t="e">
        <f>'RESUMEN TOTAL'!#REF!</f>
        <v>#REF!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t="e">
        <f>'RESUMEN TOTAL'!#REF!</f>
        <v>#REF!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t="e">
        <f>'RESUMEN TOTAL'!#REF!</f>
        <v>#REF!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t="e">
        <f>'RESUMEN TOTAL'!#REF!</f>
        <v>#REF!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t="e">
        <f>'RESUMEN TOTAL'!#REF!</f>
        <v>#REF!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t="e">
        <f>'RESUMEN TOTAL'!#REF!</f>
        <v>#REF!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t="e">
        <f>'RESUMEN TOTAL'!#REF!</f>
        <v>#REF!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t="e">
        <f>'RESUMEN TOTAL'!#REF!</f>
        <v>#REF!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t="e">
        <f>'RESUMEN TOTAL'!#REF!</f>
        <v>#REF!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 t="str">
        <f>'RESUMEN TOTAL'!O153</f>
        <v>APAGADO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 t="str">
        <f>'RESUMEN TOTAL'!S153</f>
        <v>APAGAD</v>
      </c>
      <c r="K150" t="str">
        <f>'RESUMEN TOTAL'!T153</f>
        <v>APAGADO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 t="str">
        <f>'RESUMEN TOTAL'!AI153</f>
        <v>APAGADO</v>
      </c>
      <c r="AA150" t="str">
        <f>'RESUMEN TOTAL'!AJ153</f>
        <v>APAGADO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t="e">
        <f>'RESUMEN TOTAL'!#REF!</f>
        <v>#REF!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t="e">
        <f>'RESUMEN TOTAL'!#REF!</f>
        <v>#REF!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t="e">
        <f>'RESUMEN TOTAL'!#REF!</f>
        <v>#REF!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 t="str">
        <f>'RESUMEN TOTAL'!S156</f>
        <v>APAGADO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 t="str">
        <f>'RESUMEN TOTAL'!AB156</f>
        <v>APAGADO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t="e">
        <f>'RESUMEN TOTAL'!#REF!</f>
        <v>#REF!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 t="str">
        <f>'RESUMEN TOTAL'!Y157</f>
        <v>APAGADO</v>
      </c>
      <c r="Q154" t="str">
        <f>'RESUMEN TOTAL'!Z157</f>
        <v>APAGADO</v>
      </c>
      <c r="R154" t="str">
        <f>'RESUMEN TOTAL'!AA157</f>
        <v>APAGADO</v>
      </c>
      <c r="S154" t="str">
        <f>'RESUMEN TOTAL'!AB157</f>
        <v>APAGADO</v>
      </c>
      <c r="T154" t="str">
        <f>'RESUMEN TOTAL'!AC157</f>
        <v>APAGADO</v>
      </c>
      <c r="U154" t="str">
        <f>'RESUMEN TOTAL'!AD157</f>
        <v>APAGADO</v>
      </c>
      <c r="V154" t="str">
        <f>'RESUMEN TOTAL'!AE157</f>
        <v>APAGADO</v>
      </c>
      <c r="W154" t="str">
        <f>'RESUMEN TOTAL'!AF157</f>
        <v>APAGADO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t="e">
        <f>'RESUMEN TOTAL'!#REF!</f>
        <v>#REF!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t="e">
        <f>'RESUMEN TOTAL'!#REF!</f>
        <v>#REF!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t="e">
        <f>'RESUMEN TOTAL'!#REF!</f>
        <v>#REF!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t="e">
        <f>'RESUMEN TOTAL'!#REF!</f>
        <v>#REF!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 t="str">
        <f>'RESUMEN TOTAL'!AB161</f>
        <v>APAGADO</v>
      </c>
      <c r="T158" t="str">
        <f>'RESUMEN TOTAL'!AC161</f>
        <v>APAGADO</v>
      </c>
      <c r="U158" t="str">
        <f>'RESUMEN TOTAL'!AD161</f>
        <v>APAGADO</v>
      </c>
      <c r="V158" t="str">
        <f>'RESUMEN TOTAL'!AE161</f>
        <v>APAGADO</v>
      </c>
      <c r="W158" t="str">
        <f>'RESUMEN TOTAL'!AF161</f>
        <v>APAGADO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t="e">
        <f>'RESUMEN TOTAL'!#REF!</f>
        <v>#REF!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t="e">
        <f>'RESUMEN TOTAL'!#REF!</f>
        <v>#REF!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t="e">
        <f>'RESUMEN TOTAL'!#REF!</f>
        <v>#REF!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t="e">
        <f>'RESUMEN TOTAL'!#REF!</f>
        <v>#REF!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t="e">
        <f>'RESUMEN TOTAL'!#REF!</f>
        <v>#REF!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 t="str">
        <f>'RESUMEN TOTAL'!AP166</f>
        <v>APAGADO</v>
      </c>
      <c r="AH163">
        <f>'RESUMEN TOTAL'!AQ166</f>
        <v>0</v>
      </c>
      <c r="AI163">
        <f>'RESUMEN TOTAL'!AR166</f>
        <v>0</v>
      </c>
      <c r="AJ163" t="e">
        <f>'RESUMEN TOTAL'!#REF!</f>
        <v>#REF!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t="e">
        <f>'RESUMEN TOTAL'!#REF!</f>
        <v>#REF!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 t="str">
        <f>'RESUMEN TOTAL'!Z168</f>
        <v>APAGADO</v>
      </c>
      <c r="R165" t="str">
        <f>'RESUMEN TOTAL'!AA168</f>
        <v>APAGADO</v>
      </c>
      <c r="S165" t="str">
        <f>'RESUMEN TOTAL'!AB168</f>
        <v>APAGADO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 t="str">
        <f>'RESUMEN TOTAL'!AJ168</f>
        <v>APAGADO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t="e">
        <f>'RESUMEN TOTAL'!#REF!</f>
        <v>#REF!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 t="str">
        <f>'RESUMEN TOTAL'!AB169</f>
        <v>APAGADO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t="e">
        <f>'RESUMEN TOTAL'!#REF!</f>
        <v>#REF!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t="e">
        <f>'RESUMEN TOTAL'!#REF!</f>
        <v>#REF!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>
        <f>'RESUMEN TOTAL'!P171</f>
        <v>0</v>
      </c>
      <c r="H168">
        <f>'RESUMEN TOTAL'!Q171</f>
        <v>0</v>
      </c>
      <c r="I168" t="str">
        <f>'RESUMEN TOTAL'!R171</f>
        <v>APAGADO</v>
      </c>
      <c r="J168" t="str">
        <f>'RESUMEN TOTAL'!S171</f>
        <v>APAGADO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 t="str">
        <f>'RESUMEN TOTAL'!AB171</f>
        <v>APAGADO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t="e">
        <f>'RESUMEN TOTAL'!#REF!</f>
        <v>#REF!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t="e">
        <f>'RESUMEN TOTAL'!#REF!</f>
        <v>#REF!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 t="str">
        <f>'RESUMEN TOTAL'!W173</f>
        <v>APAGADO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 t="str">
        <f>'RESUMEN TOTAL'!AB173</f>
        <v>APAGADO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t="e">
        <f>'RESUMEN TOTAL'!#REF!</f>
        <v>#REF!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>
        <f>'RESUMEN TOTAL'!P174</f>
        <v>0</v>
      </c>
      <c r="H171">
        <f>'RESUMEN TOTAL'!Q174</f>
        <v>0</v>
      </c>
      <c r="I171" t="str">
        <f>'RESUMEN TOTAL'!R174</f>
        <v>APAGADO</v>
      </c>
      <c r="J171" t="str">
        <f>'RESUMEN TOTAL'!S174</f>
        <v>APAGADO</v>
      </c>
      <c r="K171" t="str">
        <f>'RESUMEN TOTAL'!T174</f>
        <v>APAGADO</v>
      </c>
      <c r="L171" t="str">
        <f>'RESUMEN TOTAL'!U174</f>
        <v>APAGADO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 t="str">
        <f>'RESUMEN TOTAL'!AB174</f>
        <v>APAGADO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t="e">
        <f>'RESUMEN TOTAL'!#REF!</f>
        <v>#REF!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 t="str">
        <f>'RESUMEN TOTAL'!Y175</f>
        <v>APAGADO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t="e">
        <f>'RESUMEN TOTAL'!#REF!</f>
        <v>#REF!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 t="str">
        <f>'RESUMEN TOTAL'!R176</f>
        <v>APAGADO</v>
      </c>
      <c r="J173" t="str">
        <f>'RESUMEN TOTAL'!S176</f>
        <v>APAGADO</v>
      </c>
      <c r="K173" t="str">
        <f>'RESUMEN TOTAL'!T176</f>
        <v>APAGADO</v>
      </c>
      <c r="L173" t="str">
        <f>'RESUMEN TOTAL'!U176</f>
        <v>APAGADO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 t="str">
        <f>'RESUMEN TOTAL'!Y176</f>
        <v>APAGADO</v>
      </c>
      <c r="Q173" t="str">
        <f>'RESUMEN TOTAL'!Z176</f>
        <v>APAGADO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t="e">
        <f>'RESUMEN TOTAL'!#REF!</f>
        <v>#REF!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>
        <f>'RESUMEN TOTAL'!AC177</f>
        <v>0</v>
      </c>
      <c r="U174" t="str">
        <f>'RESUMEN TOTAL'!AD177</f>
        <v>APAGADO</v>
      </c>
      <c r="V174" t="str">
        <f>'RESUMEN TOTAL'!AE177</f>
        <v>APAGADO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 t="str">
        <f>'RESUMEN TOTAL'!AI177</f>
        <v>APAGADO</v>
      </c>
      <c r="AA174" t="str">
        <f>'RESUMEN TOTAL'!AJ177</f>
        <v>APAGADO</v>
      </c>
      <c r="AB174" t="str">
        <f>'RESUMEN TOTAL'!AK177</f>
        <v>APAGADO</v>
      </c>
      <c r="AC174" t="str">
        <f>'RESUMEN TOTAL'!AL177</f>
        <v>APAGADO</v>
      </c>
      <c r="AD174" t="str">
        <f>'RESUMEN TOTAL'!AM177</f>
        <v>APAGADO</v>
      </c>
      <c r="AE174" t="str">
        <f>'RESUMEN TOTAL'!AN177</f>
        <v>APAGADO</v>
      </c>
      <c r="AF174" t="str">
        <f>'RESUMEN TOTAL'!AO177</f>
        <v>APAGADO</v>
      </c>
      <c r="AG174" t="str">
        <f>'RESUMEN TOTAL'!AP177</f>
        <v>APAGADO</v>
      </c>
      <c r="AH174">
        <f>'RESUMEN TOTAL'!AQ177</f>
        <v>0</v>
      </c>
      <c r="AI174">
        <f>'RESUMEN TOTAL'!AR177</f>
        <v>0</v>
      </c>
      <c r="AJ174" t="e">
        <f>'RESUMEN TOTAL'!#REF!</f>
        <v>#REF!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t="e">
        <f>'RESUMEN TOTAL'!#REF!</f>
        <v>#REF!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t="e">
        <f>'RESUMEN TOTAL'!#REF!</f>
        <v>#REF!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t="e">
        <f>'RESUMEN TOTAL'!#REF!</f>
        <v>#REF!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t="e">
        <f>'RESUMEN TOTAL'!#REF!</f>
        <v>#REF!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t="e">
        <f>'RESUMEN TOTAL'!#REF!</f>
        <v>#REF!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t="e">
        <f>'RESUMEN TOTAL'!#REF!</f>
        <v>#REF!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t="e">
        <f>'RESUMEN TOTAL'!#REF!</f>
        <v>#REF!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t="e">
        <f>'RESUMEN TOTAL'!#REF!</f>
        <v>#REF!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 t="str">
        <f>'RESUMEN TOTAL'!AG186</f>
        <v>APAGADO</v>
      </c>
      <c r="Y183" t="str">
        <f>'RESUMEN TOTAL'!AH186</f>
        <v>APAGADO</v>
      </c>
      <c r="Z183">
        <f>'RESUMEN TOTAL'!AI186</f>
        <v>0</v>
      </c>
      <c r="AA183" t="str">
        <f>'RESUMEN TOTAL'!AJ186</f>
        <v>APAGADO</v>
      </c>
      <c r="AB183" t="str">
        <f>'RESUMEN TOTAL'!AK186</f>
        <v>APAGADO</v>
      </c>
      <c r="AC183">
        <f>'RESUMEN TOTAL'!AL186</f>
        <v>0</v>
      </c>
      <c r="AD183" t="str">
        <f>'RESUMEN TOTAL'!AM186</f>
        <v>APAGADO</v>
      </c>
      <c r="AE183" t="str">
        <f>'RESUMEN TOTAL'!AN186</f>
        <v>APAGADO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t="e">
        <f>'RESUMEN TOTAL'!#REF!</f>
        <v>#REF!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t="e">
        <f>'RESUMEN TOTAL'!#REF!</f>
        <v>#REF!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t="e">
        <f>'RESUMEN TOTAL'!#REF!</f>
        <v>#REF!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t="e">
        <f>'RESUMEN TOTAL'!#REF!</f>
        <v>#REF!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 t="str">
        <f>'RESUMEN TOTAL'!AH190</f>
        <v>APAGADO</v>
      </c>
      <c r="Z187" t="str">
        <f>'RESUMEN TOTAL'!AI190</f>
        <v>APAGADO</v>
      </c>
      <c r="AA187" t="str">
        <f>'RESUMEN TOTAL'!AJ190</f>
        <v>APAGADO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t="e">
        <f>'RESUMEN TOTAL'!#REF!</f>
        <v>#REF!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 t="str">
        <f>'RESUMEN TOTAL'!AL191</f>
        <v>APAGADO</v>
      </c>
      <c r="AD188" t="str">
        <f>'RESUMEN TOTAL'!AM191</f>
        <v>APAGADO</v>
      </c>
      <c r="AE188" t="str">
        <f>'RESUMEN TOTAL'!AN191</f>
        <v>APAGADO</v>
      </c>
      <c r="AF188" t="str">
        <f>'RESUMEN TOTAL'!AO191</f>
        <v>APAGADO</v>
      </c>
      <c r="AG188" t="str">
        <f>'RESUMEN TOTAL'!AP191</f>
        <v>APAGADO</v>
      </c>
      <c r="AH188">
        <f>'RESUMEN TOTAL'!AQ191</f>
        <v>0</v>
      </c>
      <c r="AI188">
        <f>'RESUMEN TOTAL'!AR191</f>
        <v>0</v>
      </c>
      <c r="AJ188" t="e">
        <f>'RESUMEN TOTAL'!#REF!</f>
        <v>#REF!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 t="str">
        <f>'RESUMEN TOTAL'!AL192</f>
        <v>APAGADO</v>
      </c>
      <c r="AD189" t="str">
        <f>'RESUMEN TOTAL'!AM192</f>
        <v>APAGADO</v>
      </c>
      <c r="AE189" t="str">
        <f>'RESUMEN TOTAL'!AN192</f>
        <v>APAGADO</v>
      </c>
      <c r="AF189" t="str">
        <f>'RESUMEN TOTAL'!AO192</f>
        <v>APAGADO</v>
      </c>
      <c r="AG189" t="str">
        <f>'RESUMEN TOTAL'!AP192</f>
        <v>APAGADO</v>
      </c>
      <c r="AH189">
        <f>'RESUMEN TOTAL'!AQ192</f>
        <v>0</v>
      </c>
      <c r="AI189">
        <f>'RESUMEN TOTAL'!AR192</f>
        <v>0</v>
      </c>
      <c r="AJ189" t="e">
        <f>'RESUMEN TOTAL'!#REF!</f>
        <v>#REF!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>
        <f>'RESUMEN TOTAL'!P193</f>
        <v>0</v>
      </c>
      <c r="H190">
        <f>'RESUMEN TOTAL'!Q193</f>
        <v>0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 t="str">
        <f>'RESUMEN TOTAL'!Y193</f>
        <v>APAGADO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 t="str">
        <f>'RESUMEN TOTAL'!X194</f>
        <v>APAGADO</v>
      </c>
      <c r="P191" t="str">
        <f>'RESUMEN TOTAL'!Y194</f>
        <v>APAGADO</v>
      </c>
      <c r="Q191" t="str">
        <f>'RESUMEN TOTAL'!Z194</f>
        <v>APAGADO</v>
      </c>
      <c r="R191">
        <f>'RESUMEN TOTAL'!AA194</f>
        <v>0</v>
      </c>
      <c r="S191">
        <f>'RESUMEN TOTAL'!AB194</f>
        <v>0</v>
      </c>
      <c r="T191" t="str">
        <f>'RESUMEN TOTAL'!AC194</f>
        <v>APAGADO</v>
      </c>
      <c r="U191" t="str">
        <f>'RESUMEN TOTAL'!AD194</f>
        <v>APAGADO</v>
      </c>
      <c r="V191">
        <f>'RESUMEN TOTAL'!AE194</f>
        <v>0</v>
      </c>
      <c r="W191" t="str">
        <f>'RESUMEN TOTAL'!AF194</f>
        <v>APAGADO</v>
      </c>
      <c r="X191" t="str">
        <f>'RESUMEN TOTAL'!AG194</f>
        <v>APAGADO</v>
      </c>
      <c r="Y191" t="str">
        <f>'RESUMEN TOTAL'!AH194</f>
        <v>APAGADO</v>
      </c>
      <c r="Z191" t="str">
        <f>'RESUMEN TOTAL'!AI194</f>
        <v>APAGADO</v>
      </c>
      <c r="AA191" t="str">
        <f>'RESUMEN TOTAL'!AJ194</f>
        <v>APAGADO</v>
      </c>
      <c r="AB191" t="str">
        <f>'RESUMEN TOTAL'!AK194</f>
        <v>APAGADO</v>
      </c>
      <c r="AC191" t="str">
        <f>'RESUMEN TOTAL'!AL194</f>
        <v>APAGADO</v>
      </c>
      <c r="AD191" t="str">
        <f>'RESUMEN TOTAL'!AM194</f>
        <v>APAGADO</v>
      </c>
      <c r="AE191" t="str">
        <f>'RESUMEN TOTAL'!AN194</f>
        <v>APAGADO</v>
      </c>
      <c r="AF191" t="str">
        <f>'RESUMEN TOTAL'!AO194</f>
        <v>APAGADO</v>
      </c>
      <c r="AG191" t="str">
        <f>'RESUMEN TOTAL'!AP194</f>
        <v>APAGADO</v>
      </c>
      <c r="AH191">
        <f>'RESUMEN TOTAL'!AQ194</f>
        <v>0</v>
      </c>
      <c r="AI191">
        <f>'RESUMEN TOTAL'!AR194</f>
        <v>0</v>
      </c>
      <c r="AJ191" t="e">
        <f>'RESUMEN TOTAL'!#REF!</f>
        <v>#REF!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 t="str">
        <f>'RESUMEN TOTAL'!AL195</f>
        <v>APAGADO</v>
      </c>
      <c r="AD192" t="str">
        <f>'RESUMEN TOTAL'!AM195</f>
        <v>APAGADO</v>
      </c>
      <c r="AE192" t="str">
        <f>'RESUMEN TOTAL'!AN195</f>
        <v>APAGADO</v>
      </c>
      <c r="AF192" t="str">
        <f>'RESUMEN TOTAL'!AO195</f>
        <v>APAGADO</v>
      </c>
      <c r="AG192" t="str">
        <f>'RESUMEN TOTAL'!AP195</f>
        <v>APAGADO</v>
      </c>
      <c r="AH192">
        <f>'RESUMEN TOTAL'!AQ195</f>
        <v>0</v>
      </c>
      <c r="AI192">
        <f>'RESUMEN TOTAL'!AR195</f>
        <v>0</v>
      </c>
      <c r="AJ192" t="e">
        <f>'RESUMEN TOTAL'!#REF!</f>
        <v>#REF!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 t="str">
        <f>'RESUMEN TOTAL'!AL196</f>
        <v>APAGADO</v>
      </c>
      <c r="AD193" t="str">
        <f>'RESUMEN TOTAL'!AM196</f>
        <v>APAGADO</v>
      </c>
      <c r="AE193" t="str">
        <f>'RESUMEN TOTAL'!AN196</f>
        <v>APAGADO</v>
      </c>
      <c r="AF193" t="str">
        <f>'RESUMEN TOTAL'!AO196</f>
        <v>APAGADO</v>
      </c>
      <c r="AG193" t="str">
        <f>'RESUMEN TOTAL'!AP196</f>
        <v>APAGADO</v>
      </c>
      <c r="AH193">
        <f>'RESUMEN TOTAL'!AQ196</f>
        <v>0</v>
      </c>
      <c r="AI193">
        <f>'RESUMEN TOTAL'!AR196</f>
        <v>0</v>
      </c>
      <c r="AJ193" t="e">
        <f>'RESUMEN TOTAL'!#REF!</f>
        <v>#REF!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 t="str">
        <f>'RESUMEN TOTAL'!V197</f>
        <v>APAGADO</v>
      </c>
      <c r="N194" t="str">
        <f>'RESUMEN TOTAL'!W197</f>
        <v>APAGADO</v>
      </c>
      <c r="O194" t="str">
        <f>'RESUMEN TOTAL'!X197</f>
        <v>APAGADO</v>
      </c>
      <c r="P194" t="str">
        <f>'RESUMEN TOTAL'!Y197</f>
        <v>APAGADO</v>
      </c>
      <c r="Q194" t="str">
        <f>'RESUMEN TOTAL'!Z197</f>
        <v>APAGADO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t="e">
        <f>'RESUMEN TOTAL'!#REF!</f>
        <v>#REF!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t="e">
        <f>'RESUMEN TOTAL'!#REF!</f>
        <v>#REF!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 t="str">
        <f>'RESUMEN TOTAL'!AA199</f>
        <v>APAGADO</v>
      </c>
      <c r="S196" t="str">
        <f>'RESUMEN TOTAL'!AB199</f>
        <v>APAGADO</v>
      </c>
      <c r="T196" t="str">
        <f>'RESUMEN TOTAL'!AC199</f>
        <v>APAGADO</v>
      </c>
      <c r="U196" t="str">
        <f>'RESUMEN TOTAL'!AD199</f>
        <v>APAGADO</v>
      </c>
      <c r="V196" t="str">
        <f>'RESUMEN TOTAL'!AE199</f>
        <v>APAGADO</v>
      </c>
      <c r="W196" t="str">
        <f>'RESUMEN TOTAL'!AF199</f>
        <v>APAGADO</v>
      </c>
      <c r="X196" t="str">
        <f>'RESUMEN TOTAL'!AG199</f>
        <v>APAGADO</v>
      </c>
      <c r="Y196" t="str">
        <f>'RESUMEN TOTAL'!AH199</f>
        <v>APAGADO</v>
      </c>
      <c r="Z196" t="str">
        <f>'RESUMEN TOTAL'!AI199</f>
        <v>APAGADO</v>
      </c>
      <c r="AA196" t="str">
        <f>'RESUMEN TOTAL'!AJ199</f>
        <v>APAGADO</v>
      </c>
      <c r="AB196" t="str">
        <f>'RESUMEN TOTAL'!AK199</f>
        <v>APAGADO</v>
      </c>
      <c r="AC196" t="str">
        <f>'RESUMEN TOTAL'!AL199</f>
        <v>APAGADO</v>
      </c>
      <c r="AD196">
        <f>'RESUMEN TOTAL'!AM199</f>
        <v>0</v>
      </c>
      <c r="AE196">
        <f>'RESUMEN TOTAL'!AN199</f>
        <v>0</v>
      </c>
      <c r="AF196" t="str">
        <f>'RESUMEN TOTAL'!AO199</f>
        <v>APAGADO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t="e">
        <f>'RESUMEN TOTAL'!#REF!</f>
        <v>#REF!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 t="str">
        <f>'RESUMEN TOTAL'!AA200</f>
        <v>APAGADO</v>
      </c>
      <c r="S197" t="str">
        <f>'RESUMEN TOTAL'!AB200</f>
        <v>APAGADO</v>
      </c>
      <c r="T197" t="str">
        <f>'RESUMEN TOTAL'!AC200</f>
        <v>APAGADO</v>
      </c>
      <c r="U197" t="str">
        <f>'RESUMEN TOTAL'!AD200</f>
        <v>APAGADO</v>
      </c>
      <c r="V197" t="str">
        <f>'RESUMEN TOTAL'!AE200</f>
        <v>APAGADO</v>
      </c>
      <c r="W197" t="str">
        <f>'RESUMEN TOTAL'!AF200</f>
        <v>APAGADO</v>
      </c>
      <c r="X197" t="str">
        <f>'RESUMEN TOTAL'!AG200</f>
        <v>APAGADO</v>
      </c>
      <c r="Y197" t="str">
        <f>'RESUMEN TOTAL'!AH200</f>
        <v>APAGADO</v>
      </c>
      <c r="Z197" t="str">
        <f>'RESUMEN TOTAL'!AI200</f>
        <v>APAGADO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 t="str">
        <f>'RESUMEN TOTAL'!AO200</f>
        <v>APAGADO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t="e">
        <f>'RESUMEN TOTAL'!#REF!</f>
        <v>#REF!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 t="str">
        <f>'RESUMEN TOTAL'!O201</f>
        <v>APAGADO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 t="str">
        <f>'RESUMEN TOTAL'!S201</f>
        <v>APAGADO</v>
      </c>
      <c r="K198" t="str">
        <f>'RESUMEN TOTAL'!T201</f>
        <v>APAGADO</v>
      </c>
      <c r="L198" t="str">
        <f>'RESUMEN TOTAL'!U201</f>
        <v>APAGADO</v>
      </c>
      <c r="M198">
        <f>'RESUMEN TOTAL'!V201</f>
        <v>0</v>
      </c>
      <c r="N198">
        <f>'RESUMEN TOTAL'!W201</f>
        <v>0</v>
      </c>
      <c r="O198" t="str">
        <f>'RESUMEN TOTAL'!X201</f>
        <v>APAGADO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 t="str">
        <f>'RESUMEN TOTAL'!AM201</f>
        <v>APAGADO</v>
      </c>
      <c r="AE198" t="str">
        <f>'RESUMEN TOTAL'!AN201</f>
        <v>APAGADO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t="e">
        <f>'RESUMEN TOTAL'!#REF!</f>
        <v>#REF!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 t="str">
        <f>'RESUMEN TOTAL'!O202</f>
        <v>APAGADO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 t="str">
        <f>'RESUMEN TOTAL'!S202</f>
        <v>APAGADO</v>
      </c>
      <c r="K199" t="str">
        <f>'RESUMEN TOTAL'!T202</f>
        <v>APAGADO</v>
      </c>
      <c r="L199" t="str">
        <f>'RESUMEN TOTAL'!U202</f>
        <v>APAGADO</v>
      </c>
      <c r="M199">
        <f>'RESUMEN TOTAL'!V202</f>
        <v>0</v>
      </c>
      <c r="N199">
        <f>'RESUMEN TOTAL'!W202</f>
        <v>0</v>
      </c>
      <c r="O199" t="str">
        <f>'RESUMEN TOTAL'!X202</f>
        <v>APAGADO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t="e">
        <f>'RESUMEN TOTAL'!#REF!</f>
        <v>#REF!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 t="str">
        <f>'RESUMEN TOTAL'!Z203</f>
        <v>APAGADO</v>
      </c>
      <c r="R200" t="str">
        <f>'RESUMEN TOTAL'!AA203</f>
        <v>APAGADO</v>
      </c>
      <c r="S200" t="str">
        <f>'RESUMEN TOTAL'!AB203</f>
        <v>APAGADO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 t="str">
        <f>'RESUMEN TOTAL'!AJ203</f>
        <v>APAGADO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t="e">
        <f>'RESUMEN TOTAL'!#REF!</f>
        <v>#REF!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 t="str">
        <f>'RESUMEN TOTAL'!AM204</f>
        <v>APAGADO</v>
      </c>
      <c r="AE201" t="str">
        <f>'RESUMEN TOTAL'!AN204</f>
        <v>APAGADO</v>
      </c>
      <c r="AF201" t="str">
        <f>'RESUMEN TOTAL'!AO204</f>
        <v>APAGADO</v>
      </c>
      <c r="AG201" t="str">
        <f>'RESUMEN TOTAL'!AP204</f>
        <v>APAGADO</v>
      </c>
      <c r="AH201">
        <f>'RESUMEN TOTAL'!AQ204</f>
        <v>0</v>
      </c>
      <c r="AI201">
        <f>'RESUMEN TOTAL'!AR204</f>
        <v>0</v>
      </c>
      <c r="AJ201" t="e">
        <f>'RESUMEN TOTAL'!#REF!</f>
        <v>#REF!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 t="str">
        <f>'RESUMEN TOTAL'!AM205</f>
        <v>APAGADO</v>
      </c>
      <c r="AE202" t="str">
        <f>'RESUMEN TOTAL'!AN205</f>
        <v>APAGADO</v>
      </c>
      <c r="AF202" t="str">
        <f>'RESUMEN TOTAL'!AO205</f>
        <v>APAGADO</v>
      </c>
      <c r="AG202" t="str">
        <f>'RESUMEN TOTAL'!AP205</f>
        <v>APAGADO</v>
      </c>
      <c r="AH202">
        <f>'RESUMEN TOTAL'!AQ205</f>
        <v>0</v>
      </c>
      <c r="AI202">
        <f>'RESUMEN TOTAL'!AR205</f>
        <v>0</v>
      </c>
      <c r="AJ202" t="e">
        <f>'RESUMEN TOTAL'!#REF!</f>
        <v>#REF!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 t="str">
        <f>'RESUMEN TOTAL'!AJ206</f>
        <v>APAGADO</v>
      </c>
      <c r="AB203" t="str">
        <f>'RESUMEN TOTAL'!AK206</f>
        <v>APAGADO</v>
      </c>
      <c r="AC203" t="str">
        <f>'RESUMEN TOTAL'!AL206</f>
        <v>APAGADO</v>
      </c>
      <c r="AD203" t="str">
        <f>'RESUMEN TOTAL'!AM206</f>
        <v>APAGADO</v>
      </c>
      <c r="AE203" t="str">
        <f>'RESUMEN TOTAL'!AN206</f>
        <v>APAGADO</v>
      </c>
      <c r="AF203" t="str">
        <f>'RESUMEN TOTAL'!AO206</f>
        <v>APAGADO</v>
      </c>
      <c r="AG203" t="str">
        <f>'RESUMEN TOTAL'!AP206</f>
        <v>APAGADO</v>
      </c>
      <c r="AH203">
        <f>'RESUMEN TOTAL'!AQ206</f>
        <v>0</v>
      </c>
      <c r="AI203">
        <f>'RESUMEN TOTAL'!AR206</f>
        <v>0</v>
      </c>
      <c r="AJ203" t="e">
        <f>'RESUMEN TOTAL'!#REF!</f>
        <v>#REF!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 t="str">
        <f>'RESUMEN TOTAL'!AE207</f>
        <v>APAGADO</v>
      </c>
      <c r="W204" t="str">
        <f>'RESUMEN TOTAL'!AF207</f>
        <v>APAGADO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t="e">
        <f>'RESUMEN TOTAL'!#REF!</f>
        <v>#REF!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t="e">
        <f>'RESUMEN TOTAL'!#REF!</f>
        <v>#REF!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 t="str">
        <f>'RESUMEN TOTAL'!O209</f>
        <v>APAGADO</v>
      </c>
      <c r="G206">
        <f>'RESUMEN TOTAL'!P209</f>
        <v>0</v>
      </c>
      <c r="H206">
        <f>'RESUMEN TOTAL'!Q209</f>
        <v>0</v>
      </c>
      <c r="I206" t="str">
        <f>'RESUMEN TOTAL'!R209</f>
        <v>APAGADO</v>
      </c>
      <c r="J206" t="str">
        <f>'RESUMEN TOTAL'!S209</f>
        <v>APAGADO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 t="str">
        <f>'RESUMEN TOTAL'!AO209</f>
        <v>APAGADO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t="e">
        <f>'RESUMEN TOTAL'!#REF!</f>
        <v>#REF!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 t="str">
        <f>'RESUMEN TOTAL'!O210</f>
        <v>APAGADO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 t="str">
        <f>'RESUMEN TOTAL'!AO210</f>
        <v>APAGADO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t="e">
        <f>'RESUMEN TOTAL'!#REF!</f>
        <v>#REF!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t="e">
        <f>'RESUMEN TOTAL'!#REF!</f>
        <v>#REF!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t="e">
        <f>'RESUMEN TOTAL'!#REF!</f>
        <v>#REF!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 t="str">
        <f>'RESUMEN TOTAL'!Z213</f>
        <v>APAGADO</v>
      </c>
      <c r="R210" t="str">
        <f>'RESUMEN TOTAL'!AA213</f>
        <v>APAGADO</v>
      </c>
      <c r="S210" t="str">
        <f>'RESUMEN TOTAL'!AB213</f>
        <v>APAGADO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 t="str">
        <f>'RESUMEN TOTAL'!AJ213</f>
        <v>APAGADO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t="e">
        <f>'RESUMEN TOTAL'!#REF!</f>
        <v>#REF!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 t="str">
        <f>'RESUMEN TOTAL'!AO214</f>
        <v>APAGADO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t="e">
        <f>'RESUMEN TOTAL'!#REF!</f>
        <v>#REF!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 t="str">
        <f>'RESUMEN TOTAL'!AO215</f>
        <v>APAGADO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t="e">
        <f>'RESUMEN TOTAL'!#REF!</f>
        <v>#REF!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 t="str">
        <f>'RESUMEN TOTAL'!AO216</f>
        <v>APAGADO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t="e">
        <f>'RESUMEN TOTAL'!#REF!</f>
        <v>#REF!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 t="str">
        <f>'RESUMEN TOTAL'!AO217</f>
        <v>APAGADO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t="e">
        <f>'RESUMEN TOTAL'!#REF!</f>
        <v>#REF!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 t="str">
        <f>'RESUMEN TOTAL'!AM218</f>
        <v>APAGADO</v>
      </c>
      <c r="AE215">
        <f>'RESUMEN TOTAL'!AN218</f>
        <v>0</v>
      </c>
      <c r="AF215" t="str">
        <f>'RESUMEN TOTAL'!AO218</f>
        <v>APAGADO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t="e">
        <f>'RESUMEN TOTAL'!#REF!</f>
        <v>#REF!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 t="str">
        <f>'RESUMEN TOTAL'!AM219</f>
        <v>APAGADO</v>
      </c>
      <c r="AE216">
        <f>'RESUMEN TOTAL'!AN219</f>
        <v>0</v>
      </c>
      <c r="AF216" t="str">
        <f>'RESUMEN TOTAL'!AO219</f>
        <v>APAGADO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t="e">
        <f>'RESUMEN TOTAL'!#REF!</f>
        <v>#REF!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 t="str">
        <f>'RESUMEN TOTAL'!AO220</f>
        <v>APAGADO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t="e">
        <f>'RESUMEN TOTAL'!#REF!</f>
        <v>#REF!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 t="str">
        <f>'RESUMEN TOTAL'!AO221</f>
        <v>APAGADO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t="e">
        <f>'RESUMEN TOTAL'!#REF!</f>
        <v>#REF!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 t="str">
        <f>'RESUMEN TOTAL'!AO222</f>
        <v>APAGADO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t="e">
        <f>'RESUMEN TOTAL'!#REF!</f>
        <v>#REF!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 t="str">
        <f>'RESUMEN TOTAL'!AO223</f>
        <v>APAGADO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t="e">
        <f>'RESUMEN TOTAL'!#REF!</f>
        <v>#REF!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 t="str">
        <f>'RESUMEN TOTAL'!AO224</f>
        <v>APAGADO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t="e">
        <f>'RESUMEN TOTAL'!#REF!</f>
        <v>#REF!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t="e">
        <f>'RESUMEN TOTAL'!#REF!</f>
        <v>#REF!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 t="str">
        <f>'RESUMEN TOTAL'!Y226</f>
        <v>APAGADO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t="e">
        <f>'RESUMEN TOTAL'!#REF!</f>
        <v>#REF!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 t="str">
        <f>'RESUMEN TOTAL'!AG227</f>
        <v>APAGADO</v>
      </c>
      <c r="Y224" t="str">
        <f>'RESUMEN TOTAL'!AH227</f>
        <v>APAGADO</v>
      </c>
      <c r="Z224" t="str">
        <f>'RESUMEN TOTAL'!AI227</f>
        <v>APAGADO</v>
      </c>
      <c r="AA224" t="str">
        <f>'RESUMEN TOTAL'!AJ227</f>
        <v>APAGADO</v>
      </c>
      <c r="AB224" t="str">
        <f>'RESUMEN TOTAL'!AK227</f>
        <v>APAGADO</v>
      </c>
      <c r="AC224" t="str">
        <f>'RESUMEN TOTAL'!AL227</f>
        <v>APAGADO</v>
      </c>
      <c r="AD224" t="str">
        <f>'RESUMEN TOTAL'!AM227</f>
        <v>APAGADO</v>
      </c>
      <c r="AE224" t="str">
        <f>'RESUMEN TOTAL'!AN227</f>
        <v>APAGADO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t="e">
        <f>'RESUMEN TOTAL'!#REF!</f>
        <v>#REF!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t="e">
        <f>'RESUMEN TOTAL'!#REF!</f>
        <v>#REF!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 t="str">
        <f>'RESUMEN TOTAL'!Y229</f>
        <v>APAGADO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t="e">
        <f>'RESUMEN TOTAL'!#REF!</f>
        <v>#REF!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 t="str">
        <f>'RESUMEN TOTAL'!AB230</f>
        <v>APAGADO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 t="str">
        <f>'RESUMEN TOTAL'!AM230</f>
        <v>APAGADO</v>
      </c>
      <c r="AE227" t="str">
        <f>'RESUMEN TOTAL'!AN230</f>
        <v>APAGADO</v>
      </c>
      <c r="AF227" t="str">
        <f>'RESUMEN TOTAL'!AO230</f>
        <v>APAGADO</v>
      </c>
      <c r="AG227" t="str">
        <f>'RESUMEN TOTAL'!AP230</f>
        <v>APAGADO</v>
      </c>
      <c r="AH227">
        <f>'RESUMEN TOTAL'!AQ230</f>
        <v>0</v>
      </c>
      <c r="AI227">
        <f>'RESUMEN TOTAL'!AR230</f>
        <v>0</v>
      </c>
      <c r="AJ227" t="e">
        <f>'RESUMEN TOTAL'!#REF!</f>
        <v>#REF!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t="e">
        <f>'RESUMEN TOTAL'!#REF!</f>
        <v>#REF!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t="e">
        <f>'RESUMEN TOTAL'!#REF!</f>
        <v>#REF!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 t="str">
        <f>'RESUMEN TOTAL'!AI233</f>
        <v>APAGADO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t="e">
        <f>'RESUMEN TOTAL'!#REF!</f>
        <v>#REF!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t="e">
        <f>'RESUMEN TOTAL'!#REF!</f>
        <v>#REF!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t="e">
        <f>'RESUMEN TOTAL'!#REF!</f>
        <v>#REF!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t="e">
        <f>'RESUMEN TOTAL'!#REF!</f>
        <v>#REF!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t="e">
        <f>'RESUMEN TOTAL'!#REF!</f>
        <v>#REF!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t="e">
        <f>'RESUMEN TOTAL'!#REF!</f>
        <v>#REF!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t="e">
        <f>'RESUMEN TOTAL'!#REF!</f>
        <v>#REF!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 t="str">
        <f>'RESUMEN TOTAL'!Y240</f>
        <v>APAGADO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t="e">
        <f>'RESUMEN TOTAL'!#REF!</f>
        <v>#REF!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 t="str">
        <f>'RESUMEN TOTAL'!Y241</f>
        <v>APAGADO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 t="str">
        <f>'RESUMEN TOTAL'!AC241</f>
        <v>APAGADO</v>
      </c>
      <c r="U238" t="str">
        <f>'RESUMEN TOTAL'!AD241</f>
        <v>APAGADO</v>
      </c>
      <c r="V238" t="str">
        <f>'RESUMEN TOTAL'!AE241</f>
        <v>APAGADO</v>
      </c>
      <c r="W238" t="str">
        <f>'RESUMEN TOTAL'!AF241</f>
        <v>APAGADO</v>
      </c>
      <c r="X238" t="str">
        <f>'RESUMEN TOTAL'!AG241</f>
        <v>APAGADO</v>
      </c>
      <c r="Y238" t="str">
        <f>'RESUMEN TOTAL'!AH241</f>
        <v>APAGADO</v>
      </c>
      <c r="Z238" t="str">
        <f>'RESUMEN TOTAL'!AI241</f>
        <v>APAGADO</v>
      </c>
      <c r="AA238" t="str">
        <f>'RESUMEN TOTAL'!AJ241</f>
        <v>APAGADO</v>
      </c>
      <c r="AB238" t="str">
        <f>'RESUMEN TOTAL'!AK241</f>
        <v>APAGADO</v>
      </c>
      <c r="AC238" t="str">
        <f>'RESUMEN TOTAL'!AL241</f>
        <v>APAGADO</v>
      </c>
      <c r="AD238" t="str">
        <f>'RESUMEN TOTAL'!AM241</f>
        <v>APAGADO</v>
      </c>
      <c r="AE238" t="str">
        <f>'RESUMEN TOTAL'!AN241</f>
        <v>APAGADO</v>
      </c>
      <c r="AF238" t="str">
        <f>'RESUMEN TOTAL'!AO241</f>
        <v>APAGADO</v>
      </c>
      <c r="AG238" t="str">
        <f>'RESUMEN TOTAL'!AP241</f>
        <v>APAGADO</v>
      </c>
      <c r="AH238">
        <f>'RESUMEN TOTAL'!AQ241</f>
        <v>0</v>
      </c>
      <c r="AI238">
        <f>'RESUMEN TOTAL'!AR241</f>
        <v>0</v>
      </c>
      <c r="AJ238" t="e">
        <f>'RESUMEN TOTAL'!#REF!</f>
        <v>#REF!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 t="str">
        <f>'RESUMEN TOTAL'!AC242</f>
        <v>APAGADO</v>
      </c>
      <c r="U239" t="str">
        <f>'RESUMEN TOTAL'!AD242</f>
        <v>APAGADO</v>
      </c>
      <c r="V239" t="str">
        <f>'RESUMEN TOTAL'!AE242</f>
        <v>APAGADO</v>
      </c>
      <c r="W239" t="str">
        <f>'RESUMEN TOTAL'!AF242</f>
        <v>APAGADO</v>
      </c>
      <c r="X239" t="str">
        <f>'RESUMEN TOTAL'!AG242</f>
        <v>APAGADO</v>
      </c>
      <c r="Y239" t="str">
        <f>'RESUMEN TOTAL'!AH242</f>
        <v>APAGADO</v>
      </c>
      <c r="Z239" t="str">
        <f>'RESUMEN TOTAL'!AI242</f>
        <v>APAGADO</v>
      </c>
      <c r="AA239" t="str">
        <f>'RESUMEN TOTAL'!AJ242</f>
        <v>APAGADO</v>
      </c>
      <c r="AB239" t="str">
        <f>'RESUMEN TOTAL'!AK242</f>
        <v>APAGADO</v>
      </c>
      <c r="AC239" t="str">
        <f>'RESUMEN TOTAL'!AL242</f>
        <v>APAGADO</v>
      </c>
      <c r="AD239" t="str">
        <f>'RESUMEN TOTAL'!AM242</f>
        <v>APAGADO</v>
      </c>
      <c r="AE239" t="str">
        <f>'RESUMEN TOTAL'!AN242</f>
        <v>APAGADO</v>
      </c>
      <c r="AF239" t="str">
        <f>'RESUMEN TOTAL'!AO242</f>
        <v>APAGADO</v>
      </c>
      <c r="AG239" t="str">
        <f>'RESUMEN TOTAL'!AP242</f>
        <v>APAGADO</v>
      </c>
      <c r="AH239">
        <f>'RESUMEN TOTAL'!AQ242</f>
        <v>0</v>
      </c>
      <c r="AI239">
        <f>'RESUMEN TOTAL'!AR242</f>
        <v>0</v>
      </c>
      <c r="AJ239" t="e">
        <f>'RESUMEN TOTAL'!#REF!</f>
        <v>#REF!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 t="str">
        <f>'RESUMEN TOTAL'!AC243</f>
        <v>APAGADO</v>
      </c>
      <c r="U240" t="str">
        <f>'RESUMEN TOTAL'!AD243</f>
        <v>APAGADO</v>
      </c>
      <c r="V240" t="str">
        <f>'RESUMEN TOTAL'!AE243</f>
        <v>APAGADO</v>
      </c>
      <c r="W240" t="str">
        <f>'RESUMEN TOTAL'!AF243</f>
        <v>APAGADO</v>
      </c>
      <c r="X240" t="str">
        <f>'RESUMEN TOTAL'!AG243</f>
        <v>APAGADO</v>
      </c>
      <c r="Y240" t="str">
        <f>'RESUMEN TOTAL'!AH243</f>
        <v>APAGADO</v>
      </c>
      <c r="Z240" t="str">
        <f>'RESUMEN TOTAL'!AI243</f>
        <v>APAGADO</v>
      </c>
      <c r="AA240" t="str">
        <f>'RESUMEN TOTAL'!AJ243</f>
        <v>APAGADO</v>
      </c>
      <c r="AB240" t="str">
        <f>'RESUMEN TOTAL'!AK243</f>
        <v>APAGADO</v>
      </c>
      <c r="AC240" t="str">
        <f>'RESUMEN TOTAL'!AL243</f>
        <v>APAGADO</v>
      </c>
      <c r="AD240" t="str">
        <f>'RESUMEN TOTAL'!AM243</f>
        <v>APAGADO</v>
      </c>
      <c r="AE240" t="str">
        <f>'RESUMEN TOTAL'!AN243</f>
        <v>APAGADO</v>
      </c>
      <c r="AF240" t="str">
        <f>'RESUMEN TOTAL'!AO243</f>
        <v>APAGADO</v>
      </c>
      <c r="AG240" t="str">
        <f>'RESUMEN TOTAL'!AP243</f>
        <v>APAGADO</v>
      </c>
      <c r="AH240">
        <f>'RESUMEN TOTAL'!AQ243</f>
        <v>0</v>
      </c>
      <c r="AI240">
        <f>'RESUMEN TOTAL'!AR243</f>
        <v>0</v>
      </c>
      <c r="AJ240" t="e">
        <f>'RESUMEN TOTAL'!#REF!</f>
        <v>#REF!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 t="str">
        <f>'RESUMEN TOTAL'!Y244</f>
        <v>APAGADO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 t="str">
        <f>'RESUMEN TOTAL'!AC244</f>
        <v>APAGADO</v>
      </c>
      <c r="U241" t="str">
        <f>'RESUMEN TOTAL'!AD244</f>
        <v>APAGADO</v>
      </c>
      <c r="V241" t="str">
        <f>'RESUMEN TOTAL'!AE244</f>
        <v>APAGADO</v>
      </c>
      <c r="W241" t="str">
        <f>'RESUMEN TOTAL'!AF244</f>
        <v>APAGADO</v>
      </c>
      <c r="X241" t="str">
        <f>'RESUMEN TOTAL'!AG244</f>
        <v>APAGADO</v>
      </c>
      <c r="Y241" t="str">
        <f>'RESUMEN TOTAL'!AH244</f>
        <v>APAGADO</v>
      </c>
      <c r="Z241" t="str">
        <f>'RESUMEN TOTAL'!AI244</f>
        <v>APAGADO</v>
      </c>
      <c r="AA241" t="str">
        <f>'RESUMEN TOTAL'!AJ244</f>
        <v>APAGADO</v>
      </c>
      <c r="AB241" t="str">
        <f>'RESUMEN TOTAL'!AK244</f>
        <v>APAGADO</v>
      </c>
      <c r="AC241" t="str">
        <f>'RESUMEN TOTAL'!AL244</f>
        <v>APAGADO</v>
      </c>
      <c r="AD241" t="str">
        <f>'RESUMEN TOTAL'!AM244</f>
        <v>APAGADO</v>
      </c>
      <c r="AE241" t="str">
        <f>'RESUMEN TOTAL'!AN244</f>
        <v>APAGADO</v>
      </c>
      <c r="AF241" t="str">
        <f>'RESUMEN TOTAL'!AO244</f>
        <v>APAGADO</v>
      </c>
      <c r="AG241" t="str">
        <f>'RESUMEN TOTAL'!AP244</f>
        <v>APAGADO</v>
      </c>
      <c r="AH241">
        <f>'RESUMEN TOTAL'!AQ244</f>
        <v>0</v>
      </c>
      <c r="AI241">
        <f>'RESUMEN TOTAL'!AR244</f>
        <v>0</v>
      </c>
      <c r="AJ241" t="e">
        <f>'RESUMEN TOTAL'!#REF!</f>
        <v>#REF!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t="e">
        <f>'RESUMEN TOTAL'!#REF!</f>
        <v>#REF!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 t="str">
        <f>'RESUMEN TOTAL'!AC246</f>
        <v>APAGADO</v>
      </c>
      <c r="U243" t="str">
        <f>'RESUMEN TOTAL'!AD246</f>
        <v>APAGADO</v>
      </c>
      <c r="V243" t="str">
        <f>'RESUMEN TOTAL'!AE246</f>
        <v>APAGADO</v>
      </c>
      <c r="W243" t="str">
        <f>'RESUMEN TOTAL'!AF246</f>
        <v>APAGADO</v>
      </c>
      <c r="X243" t="str">
        <f>'RESUMEN TOTAL'!AG246</f>
        <v>APAGADO</v>
      </c>
      <c r="Y243" t="str">
        <f>'RESUMEN TOTAL'!AH246</f>
        <v>APAGADO</v>
      </c>
      <c r="Z243" t="str">
        <f>'RESUMEN TOTAL'!AI246</f>
        <v>APAGADO</v>
      </c>
      <c r="AA243" t="str">
        <f>'RESUMEN TOTAL'!AJ246</f>
        <v>APAGADO</v>
      </c>
      <c r="AB243" t="str">
        <f>'RESUMEN TOTAL'!AK246</f>
        <v>APAGADO</v>
      </c>
      <c r="AC243" t="str">
        <f>'RESUMEN TOTAL'!AL246</f>
        <v>APAGADO</v>
      </c>
      <c r="AD243" t="str">
        <f>'RESUMEN TOTAL'!AM246</f>
        <v>APAGADO</v>
      </c>
      <c r="AE243" t="str">
        <f>'RESUMEN TOTAL'!AN246</f>
        <v>APAGADO</v>
      </c>
      <c r="AF243" t="str">
        <f>'RESUMEN TOTAL'!AO246</f>
        <v>APAGADO</v>
      </c>
      <c r="AG243" t="str">
        <f>'RESUMEN TOTAL'!AP246</f>
        <v>APAGADO</v>
      </c>
      <c r="AH243">
        <f>'RESUMEN TOTAL'!AQ246</f>
        <v>0</v>
      </c>
      <c r="AI243">
        <f>'RESUMEN TOTAL'!AR246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 t="str">
        <f>'RESUMEN TOTAL'!AE247</f>
        <v>APAGADO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 t="str">
        <f>'RESUMEN TOTAL'!AO247</f>
        <v>APAGADO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t="e">
        <f>'RESUMEN TOTAL'!#REF!</f>
        <v>#REF!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 t="str">
        <f>'RESUMEN TOTAL'!AL250</f>
        <v>APAGADO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t="e">
        <f>'RESUMEN TOTAL'!#REF!</f>
        <v>#REF!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t="e">
        <f>'RESUMEN TOTAL'!#REF!</f>
        <v>#REF!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t="e">
        <f>'RESUMEN TOTAL'!#REF!</f>
        <v>#REF!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t="e">
        <f>'RESUMEN TOTAL'!#REF!</f>
        <v>#REF!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t="e">
        <f>'RESUMEN TOTAL'!#REF!</f>
        <v>#REF!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t="e">
        <f>'RESUMEN TOTAL'!#REF!</f>
        <v>#REF!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t="e">
        <f>'RESUMEN TOTAL'!#REF!</f>
        <v>#REF!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 t="str">
        <f>'RESUMEN TOTAL'!O258</f>
        <v>APAGADO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t="e">
        <f>'RESUMEN TOTAL'!#REF!</f>
        <v>#REF!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t="e">
        <f>'RESUMEN TOTAL'!#REF!</f>
        <v>#REF!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t="e">
        <f>'RESUMEN TOTAL'!#REF!</f>
        <v>#REF!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 t="str">
        <f>'RESUMEN TOTAL'!AC261</f>
        <v>APAGADO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t="e">
        <f>'RESUMEN TOTAL'!#REF!</f>
        <v>#REF!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 t="str">
        <f>'RESUMEN TOTAL'!Y262</f>
        <v>APAGADO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t="e">
        <f>'RESUMEN TOTAL'!#REF!</f>
        <v>#REF!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t="e">
        <f>'RESUMEN TOTAL'!#REF!</f>
        <v>#REF!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t="e">
        <f>'RESUMEN TOTAL'!#REF!</f>
        <v>#REF!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t="e">
        <f>'RESUMEN TOTAL'!#REF!</f>
        <v>#REF!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t="e">
        <f>'RESUMEN TOTAL'!#REF!</f>
        <v>#REF!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 t="str">
        <f>'RESUMEN TOTAL'!AO267</f>
        <v>APAGADO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t="e">
        <f>'RESUMEN TOTAL'!#REF!</f>
        <v>#REF!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t="e">
        <f>'RESUMEN TOTAL'!#REF!</f>
        <v>#REF!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t="e">
        <f>'RESUMEN TOTAL'!#REF!</f>
        <v>#REF!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 t="str">
        <f>'RESUMEN TOTAL'!AG270</f>
        <v>APAGADO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 t="str">
        <f>'RESUMEN TOTAL'!AM270</f>
        <v>APAGADO</v>
      </c>
      <c r="AE267" t="str">
        <f>'RESUMEN TOTAL'!AN270</f>
        <v>APAGADO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t="e">
        <f>'RESUMEN TOTAL'!#REF!</f>
        <v>#REF!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t="e">
        <f>'RESUMEN TOTAL'!#REF!</f>
        <v>#REF!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 t="str">
        <f>'RESUMEN TOTAL'!O272</f>
        <v>APAGADO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 t="str">
        <f>'RESUMEN TOTAL'!X272</f>
        <v>APAGADO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 t="str">
        <f>'RESUMEN TOTAL'!AO272</f>
        <v>APAGADO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t="e">
        <f>'RESUMEN TOTAL'!#REF!</f>
        <v>#REF!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t="e">
        <f>'RESUMEN TOTAL'!#REF!</f>
        <v>#REF!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t="e">
        <f>'RESUMEN TOTAL'!#REF!</f>
        <v>#REF!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t="e">
        <f>'RESUMEN TOTAL'!#REF!</f>
        <v>#REF!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t="e">
        <f>'RESUMEN TOTAL'!#REF!</f>
        <v>#REF!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t="e">
        <f>'RESUMEN TOTAL'!#REF!</f>
        <v>#REF!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t="e">
        <f>'RESUMEN TOTAL'!#REF!</f>
        <v>#REF!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 t="str">
        <f>'RESUMEN TOTAL'!X279</f>
        <v>APAGADO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 t="str">
        <f>'RESUMEN TOTAL'!AO279</f>
        <v>APAGADO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t="e">
        <f>'RESUMEN TOTAL'!#REF!</f>
        <v>#REF!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t="e">
        <f>'RESUMEN TOTAL'!#REF!</f>
        <v>#REF!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 t="str">
        <f>'RESUMEN TOTAL'!U281</f>
        <v>APAGADO</v>
      </c>
      <c r="M278">
        <f>'RESUMEN TOTAL'!V281</f>
        <v>0</v>
      </c>
      <c r="N278" t="str">
        <f>'RESUMEN TOTAL'!W281</f>
        <v>APAGADO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t="e">
        <f>'RESUMEN TOTAL'!#REF!</f>
        <v>#REF!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>
        <f>'RESUMEN TOTAL'!V282</f>
        <v>0</v>
      </c>
      <c r="N279" t="str">
        <f>'RESUMEN TOTAL'!W282</f>
        <v>APAGADO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t="e">
        <f>'RESUMEN TOTAL'!#REF!</f>
        <v>#REF!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 t="str">
        <f>'RESUMEN TOTAL'!S283</f>
        <v>APAGADO</v>
      </c>
      <c r="K280" t="str">
        <f>'RESUMEN TOTAL'!T283</f>
        <v>APAGADO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>
        <f>'RESUMEN TOTAL'!X283</f>
        <v>0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t="e">
        <f>'RESUMEN TOTAL'!#REF!</f>
        <v>#REF!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 t="str">
        <f>'RESUMEN TOTAL'!U284</f>
        <v>APAGADO</v>
      </c>
      <c r="M281" t="str">
        <f>'RESUMEN TOTAL'!V284</f>
        <v>APAGADO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 t="str">
        <f>'RESUMEN TOTAL'!AO284</f>
        <v>APAGADO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t="e">
        <f>'RESUMEN TOTAL'!#REF!</f>
        <v>#REF!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 t="str">
        <f>'RESUMEN TOTAL'!U285</f>
        <v>APAGADO</v>
      </c>
      <c r="M282" t="str">
        <f>'RESUMEN TOTAL'!V285</f>
        <v>APAGADO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 t="str">
        <f>'RESUMEN TOTAL'!AO285</f>
        <v>APAGADO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t="e">
        <f>'RESUMEN TOTAL'!#REF!</f>
        <v>#REF!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 t="str">
        <f>'RESUMEN TOTAL'!AO286</f>
        <v>APAGADO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t="e">
        <f>'RESUMEN TOTAL'!#REF!</f>
        <v>#REF!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 t="str">
        <f>'RESUMEN TOTAL'!AO287</f>
        <v>APAGADO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t="e">
        <f>'RESUMEN TOTAL'!#REF!</f>
        <v>#REF!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 t="str">
        <f>'RESUMEN TOTAL'!AC288</f>
        <v>APAGADO</v>
      </c>
      <c r="U285">
        <f>'RESUMEN TOTAL'!AD288</f>
        <v>0</v>
      </c>
      <c r="V285" t="str">
        <f>'RESUMEN TOTAL'!AE288</f>
        <v>APAGADO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t="e">
        <f>'RESUMEN TOTAL'!#REF!</f>
        <v>#REF!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 t="str">
        <f>'RESUMEN TOTAL'!AD289</f>
        <v>APAGADO</v>
      </c>
      <c r="V286" t="str">
        <f>'RESUMEN TOTAL'!AE289</f>
        <v>APAGADO</v>
      </c>
      <c r="W286" t="str">
        <f>'RESUMEN TOTAL'!AF289</f>
        <v>APAGADO</v>
      </c>
      <c r="X286" t="str">
        <f>'RESUMEN TOTAL'!AG289</f>
        <v>APAGADO</v>
      </c>
      <c r="Y286" t="str">
        <f>'RESUMEN TOTAL'!AH289</f>
        <v>APAGADO</v>
      </c>
      <c r="Z286" t="str">
        <f>'RESUMEN TOTAL'!AI289</f>
        <v>APAGADO</v>
      </c>
      <c r="AA286" t="str">
        <f>'RESUMEN TOTAL'!AJ289</f>
        <v>APAGADO</v>
      </c>
      <c r="AB286" t="str">
        <f>'RESUMEN TOTAL'!AK289</f>
        <v>APAGADO</v>
      </c>
      <c r="AC286" t="str">
        <f>'RESUMEN TOTAL'!AL289</f>
        <v>APAGADO</v>
      </c>
      <c r="AD286" t="str">
        <f>'RESUMEN TOTAL'!AM289</f>
        <v>APAGADO</v>
      </c>
      <c r="AE286" t="str">
        <f>'RESUMEN TOTAL'!AN289</f>
        <v>APAGADO</v>
      </c>
      <c r="AF286" t="str">
        <f>'RESUMEN TOTAL'!AO289</f>
        <v>APAGADO</v>
      </c>
      <c r="AG286" t="str">
        <f>'RESUMEN TOTAL'!AP289</f>
        <v>APAGADO</v>
      </c>
      <c r="AH286">
        <f>'RESUMEN TOTAL'!AQ289</f>
        <v>0</v>
      </c>
      <c r="AI286">
        <f>'RESUMEN TOTAL'!AR289</f>
        <v>0</v>
      </c>
      <c r="AJ286" t="e">
        <f>'RESUMEN TOTAL'!#REF!</f>
        <v>#REF!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 t="str">
        <f>'RESUMEN TOTAL'!AP290</f>
        <v>APAGADO</v>
      </c>
      <c r="AH287">
        <f>'RESUMEN TOTAL'!AQ290</f>
        <v>0</v>
      </c>
      <c r="AI287">
        <f>'RESUMEN TOTAL'!AR290</f>
        <v>0</v>
      </c>
      <c r="AJ287" t="e">
        <f>'RESUMEN TOTAL'!#REF!</f>
        <v>#REF!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 t="str">
        <f>'RESUMEN TOTAL'!O291</f>
        <v>APAGADO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 t="str">
        <f>'RESUMEN TOTAL'!S291</f>
        <v>APAGADO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 t="str">
        <f>'RESUMEN TOTAL'!AP291</f>
        <v>APAGADO</v>
      </c>
      <c r="AH288">
        <f>'RESUMEN TOTAL'!AQ291</f>
        <v>0</v>
      </c>
      <c r="AI288">
        <f>'RESUMEN TOTAL'!AR291</f>
        <v>0</v>
      </c>
      <c r="AJ288" t="e">
        <f>'RESUMEN TOTAL'!#REF!</f>
        <v>#REF!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 t="str">
        <f>'RESUMEN TOTAL'!O292</f>
        <v>APAGADO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 t="str">
        <f>'RESUMEN TOTAL'!AP292</f>
        <v>APAGADO</v>
      </c>
      <c r="AH289">
        <f>'RESUMEN TOTAL'!AQ292</f>
        <v>0</v>
      </c>
      <c r="AI289">
        <f>'RESUMEN TOTAL'!AR292</f>
        <v>0</v>
      </c>
      <c r="AJ289" t="e">
        <f>'RESUMEN TOTAL'!#REF!</f>
        <v>#REF!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 t="str">
        <f>'RESUMEN TOTAL'!O293</f>
        <v>APAGADO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 t="str">
        <f>'RESUMEN TOTAL'!AP293</f>
        <v>APAGADO</v>
      </c>
      <c r="AH290">
        <f>'RESUMEN TOTAL'!AQ293</f>
        <v>0</v>
      </c>
      <c r="AI290">
        <f>'RESUMEN TOTAL'!AR293</f>
        <v>0</v>
      </c>
      <c r="AJ290" t="e">
        <f>'RESUMEN TOTAL'!#REF!</f>
        <v>#REF!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 t="str">
        <f>'RESUMEN TOTAL'!O294</f>
        <v>APAGADO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 t="str">
        <f>'RESUMEN TOTAL'!AP294</f>
        <v>APAGADO</v>
      </c>
      <c r="AH291">
        <f>'RESUMEN TOTAL'!AQ294</f>
        <v>0</v>
      </c>
      <c r="AI291">
        <f>'RESUMEN TOTAL'!AR294</f>
        <v>0</v>
      </c>
      <c r="AJ291" t="e">
        <f>'RESUMEN TOTAL'!#REF!</f>
        <v>#REF!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 t="str">
        <f>'RESUMEN TOTAL'!O295</f>
        <v>APAGADO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 t="str">
        <f>'RESUMEN TOTAL'!AP295</f>
        <v>APAGADO</v>
      </c>
      <c r="AH292">
        <f>'RESUMEN TOTAL'!AQ295</f>
        <v>0</v>
      </c>
      <c r="AI292">
        <f>'RESUMEN TOTAL'!AR295</f>
        <v>0</v>
      </c>
      <c r="AJ292" t="e">
        <f>'RESUMEN TOTAL'!#REF!</f>
        <v>#REF!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 t="str">
        <f>'RESUMEN TOTAL'!O296</f>
        <v>APAGADO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 t="str">
        <f>'RESUMEN TOTAL'!U296</f>
        <v>APAGADO</v>
      </c>
      <c r="M293" t="str">
        <f>'RESUMEN TOTAL'!V296</f>
        <v>APAGADO</v>
      </c>
      <c r="N293" t="str">
        <f>'RESUMEN TOTAL'!W296</f>
        <v>APAGADO</v>
      </c>
      <c r="O293" t="str">
        <f>'RESUMEN TOTAL'!X296</f>
        <v>APAGADO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 t="str">
        <f>'RESUMEN TOTAL'!AG296</f>
        <v>APAGADO</v>
      </c>
      <c r="Y293" t="str">
        <f>'RESUMEN TOTAL'!AH296</f>
        <v>APAGADO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 t="str">
        <f>'RESUMEN TOTAL'!AM296</f>
        <v>APAGADO</v>
      </c>
      <c r="AE293" t="str">
        <f>'RESUMEN TOTAL'!AN296</f>
        <v>APAGADO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t="e">
        <f>'RESUMEN TOTAL'!#REF!</f>
        <v>#REF!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 t="str">
        <f>'RESUMEN TOTAL'!O297</f>
        <v>APAGADO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 t="str">
        <f>'RESUMEN TOTAL'!AL297</f>
        <v>APAGADO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t="e">
        <f>'RESUMEN TOTAL'!#REF!</f>
        <v>#REF!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t="e">
        <f>'RESUMEN TOTAL'!#REF!</f>
        <v>#REF!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t="e">
        <f>'RESUMEN TOTAL'!#REF!</f>
        <v>#REF!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t="e">
        <f>'RESUMEN TOTAL'!#REF!</f>
        <v>#REF!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t="e">
        <f>'RESUMEN TOTAL'!#REF!</f>
        <v>#REF!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t="e">
        <f>'RESUMEN TOTAL'!#REF!</f>
        <v>#REF!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 t="str">
        <f>'RESUMEN TOTAL'!Y303</f>
        <v>APAGADO</v>
      </c>
      <c r="Q300" t="str">
        <f>'RESUMEN TOTAL'!Z303</f>
        <v>APAGADO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 t="str">
        <f>'RESUMEN TOTAL'!AD303</f>
        <v>APAGADO</v>
      </c>
      <c r="V300" t="str">
        <f>'RESUMEN TOTAL'!AE303</f>
        <v>APAGADO</v>
      </c>
      <c r="W300" t="str">
        <f>'RESUMEN TOTAL'!AF303</f>
        <v>APAGADO</v>
      </c>
      <c r="X300" t="str">
        <f>'RESUMEN TOTAL'!AG303</f>
        <v>APAGADO</v>
      </c>
      <c r="Y300" t="str">
        <f>'RESUMEN TOTAL'!AH303</f>
        <v>APAGADO</v>
      </c>
      <c r="Z300" t="str">
        <f>'RESUMEN TOTAL'!AI303</f>
        <v>APAGADO</v>
      </c>
      <c r="AA300" t="str">
        <f>'RESUMEN TOTAL'!AJ303</f>
        <v>APAGADO</v>
      </c>
      <c r="AB300" t="str">
        <f>'RESUMEN TOTAL'!AK303</f>
        <v>APAGADO</v>
      </c>
      <c r="AC300" t="str">
        <f>'RESUMEN TOTAL'!AL303</f>
        <v>APAGADO</v>
      </c>
      <c r="AD300" t="str">
        <f>'RESUMEN TOTAL'!AM303</f>
        <v>APAGADO</v>
      </c>
      <c r="AE300" t="str">
        <f>'RESUMEN TOTAL'!AN303</f>
        <v>APAGADO</v>
      </c>
      <c r="AF300" t="str">
        <f>'RESUMEN TOTAL'!AO303</f>
        <v>APAGADO</v>
      </c>
      <c r="AG300" t="str">
        <f>'RESUMEN TOTAL'!AP303</f>
        <v>APAGADO</v>
      </c>
      <c r="AH300">
        <f>'RESUMEN TOTAL'!AQ303</f>
        <v>0</v>
      </c>
      <c r="AI300">
        <f>'RESUMEN TOTAL'!AR303</f>
        <v>0</v>
      </c>
      <c r="AJ300" t="e">
        <f>'RESUMEN TOTAL'!#REF!</f>
        <v>#REF!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 t="str">
        <f>'RESUMEN TOTAL'!AM304</f>
        <v>APAGADO</v>
      </c>
      <c r="AE301" t="str">
        <f>'RESUMEN TOTAL'!AN304</f>
        <v>APAGADO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t="e">
        <f>'RESUMEN TOTAL'!#REF!</f>
        <v>#REF!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 t="str">
        <f>'RESUMEN TOTAL'!AM305</f>
        <v>APAGADO</v>
      </c>
      <c r="AE302" t="str">
        <f>'RESUMEN TOTAL'!AN305</f>
        <v>APAGADO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t="e">
        <f>'RESUMEN TOTAL'!#REF!</f>
        <v>#REF!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 t="str">
        <f>'RESUMEN TOTAL'!AM306</f>
        <v>APAGADO</v>
      </c>
      <c r="AE303" t="str">
        <f>'RESUMEN TOTAL'!AN306</f>
        <v>APAGADO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t="e">
        <f>'RESUMEN TOTAL'!#REF!</f>
        <v>#REF!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 t="str">
        <f>'RESUMEN TOTAL'!AM307</f>
        <v>APAGADO</v>
      </c>
      <c r="AE304" t="str">
        <f>'RESUMEN TOTAL'!AN307</f>
        <v>APAGADO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t="e">
        <f>'RESUMEN TOTAL'!#REF!</f>
        <v>#REF!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t="e">
        <f>'RESUMEN TOTAL'!#REF!</f>
        <v>#REF!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 t="str">
        <f>'RESUMEN TOTAL'!U309</f>
        <v>APAGADO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 t="str">
        <f>'RESUMEN TOTAL'!AG309</f>
        <v>APAGADO</v>
      </c>
      <c r="Y306" t="str">
        <f>'RESUMEN TOTAL'!AH309</f>
        <v>APAGADO</v>
      </c>
      <c r="Z306" t="str">
        <f>'RESUMEN TOTAL'!AI309</f>
        <v>APAGADO</v>
      </c>
      <c r="AA306" t="str">
        <f>'RESUMEN TOTAL'!AJ309</f>
        <v>APAGADO</v>
      </c>
      <c r="AB306">
        <f>'RESUMEN TOTAL'!AK309</f>
        <v>0</v>
      </c>
      <c r="AC306">
        <f>'RESUMEN TOTAL'!AL309</f>
        <v>0</v>
      </c>
      <c r="AD306" t="str">
        <f>'RESUMEN TOTAL'!AM309</f>
        <v>APAGADO</v>
      </c>
      <c r="AE306" t="str">
        <f>'RESUMEN TOTAL'!AN309</f>
        <v>APAGADO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t="e">
        <f>'RESUMEN TOTAL'!#REF!</f>
        <v>#REF!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 t="str">
        <f>'RESUMEN TOTAL'!AG310</f>
        <v>APAGADO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 t="str">
        <f>'RESUMEN TOTAL'!AM310</f>
        <v>APAGADO</v>
      </c>
      <c r="AE307" t="str">
        <f>'RESUMEN TOTAL'!AN310</f>
        <v>APAGADO</v>
      </c>
      <c r="AF307" t="str">
        <f>'RESUMEN TOTAL'!AO310</f>
        <v>APAGADO</v>
      </c>
      <c r="AG307" t="str">
        <f>'RESUMEN TOTAL'!AP310</f>
        <v>APAGADO</v>
      </c>
      <c r="AH307">
        <f>'RESUMEN TOTAL'!AQ310</f>
        <v>0</v>
      </c>
      <c r="AI307">
        <f>'RESUMEN TOTAL'!AR310</f>
        <v>0</v>
      </c>
      <c r="AJ307" t="e">
        <f>'RESUMEN TOTAL'!#REF!</f>
        <v>#REF!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t="e">
        <f>'RESUMEN TOTAL'!#REF!</f>
        <v>#REF!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t="e">
        <f>'RESUMEN TOTAL'!#REF!</f>
        <v>#REF!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 t="str">
        <f>'RESUMEN TOTAL'!AO313</f>
        <v>APAGADO</v>
      </c>
      <c r="AG310" t="str">
        <f>'RESUMEN TOTAL'!AP313</f>
        <v>APAGADO</v>
      </c>
      <c r="AH310">
        <f>'RESUMEN TOTAL'!AQ313</f>
        <v>0</v>
      </c>
      <c r="AI310">
        <f>'RESUMEN TOTAL'!AR313</f>
        <v>0</v>
      </c>
      <c r="AJ310" t="e">
        <f>'RESUMEN TOTAL'!#REF!</f>
        <v>#REF!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t="e">
        <f>'RESUMEN TOTAL'!#REF!</f>
        <v>#REF!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t="e">
        <f>'RESUMEN TOTAL'!#REF!</f>
        <v>#REF!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t="e">
        <f>'RESUMEN TOTAL'!#REF!</f>
        <v>#REF!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t="e">
        <f>'RESUMEN TOTAL'!#REF!</f>
        <v>#REF!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 t="str">
        <f>'RESUMEN TOTAL'!AO318</f>
        <v>APAGADO</v>
      </c>
      <c r="AG315" t="str">
        <f>'RESUMEN TOTAL'!AP318</f>
        <v>APAGADO</v>
      </c>
      <c r="AH315">
        <f>'RESUMEN TOTAL'!AQ318</f>
        <v>0</v>
      </c>
      <c r="AI315">
        <f>'RESUMEN TOTAL'!AR318</f>
        <v>0</v>
      </c>
      <c r="AJ315" t="e">
        <f>'RESUMEN TOTAL'!#REF!</f>
        <v>#REF!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 t="str">
        <f>'RESUMEN TOTAL'!AO319</f>
        <v>APAGADO</v>
      </c>
      <c r="AG316" t="str">
        <f>'RESUMEN TOTAL'!AP319</f>
        <v>APAGADO</v>
      </c>
      <c r="AH316">
        <f>'RESUMEN TOTAL'!AQ319</f>
        <v>0</v>
      </c>
      <c r="AI316">
        <f>'RESUMEN TOTAL'!AR319</f>
        <v>0</v>
      </c>
      <c r="AJ316" t="e">
        <f>'RESUMEN TOTAL'!#REF!</f>
        <v>#REF!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t="e">
        <f>'RESUMEN TOTAL'!#REF!</f>
        <v>#REF!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 t="str">
        <f>'RESUMEN TOTAL'!Y321</f>
        <v>APAGADO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t="e">
        <f>'RESUMEN TOTAL'!#REF!</f>
        <v>#REF!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t="e">
        <f>'RESUMEN TOTAL'!#REF!</f>
        <v>#REF!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t="e">
        <f>'RESUMEN TOTAL'!#REF!</f>
        <v>#REF!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 t="str">
        <f>'RESUMEN TOTAL'!Y324</f>
        <v>APAGADO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t="e">
        <f>'RESUMEN TOTAL'!#REF!</f>
        <v>#REF!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 t="str">
        <f>'RESUMEN TOTAL'!AG325</f>
        <v>APAGADO</v>
      </c>
      <c r="Y322" t="str">
        <f>'RESUMEN TOTAL'!AH325</f>
        <v>APAGADO</v>
      </c>
      <c r="Z322" t="str">
        <f>'RESUMEN TOTAL'!AI325</f>
        <v>APAGADO</v>
      </c>
      <c r="AA322">
        <f>'RESUMEN TOTAL'!AJ325</f>
        <v>0</v>
      </c>
      <c r="AB322" t="str">
        <f>'RESUMEN TOTAL'!AK325</f>
        <v>APAGADO</v>
      </c>
      <c r="AC322">
        <f>'RESUMEN TOTAL'!AL325</f>
        <v>0</v>
      </c>
      <c r="AD322" t="str">
        <f>'RESUMEN TOTAL'!AM325</f>
        <v>APAGADO</v>
      </c>
      <c r="AE322" t="str">
        <f>'RESUMEN TOTAL'!AN325</f>
        <v>APAGADO</v>
      </c>
      <c r="AF322" t="str">
        <f>'RESUMEN TOTAL'!AO325</f>
        <v>APAGADO</v>
      </c>
      <c r="AG322" t="str">
        <f>'RESUMEN TOTAL'!AP325</f>
        <v>APAGADO</v>
      </c>
      <c r="AH322">
        <f>'RESUMEN TOTAL'!AQ325</f>
        <v>0</v>
      </c>
      <c r="AI322">
        <f>'RESUMEN TOTAL'!AR325</f>
        <v>0</v>
      </c>
      <c r="AJ322" t="e">
        <f>'RESUMEN TOTAL'!#REF!</f>
        <v>#REF!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t="e">
        <f>'RESUMEN TOTAL'!#REF!</f>
        <v>#REF!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 t="str">
        <f>'RESUMEN TOTAL'!U327</f>
        <v>APAGADO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 t="str">
        <f>'RESUMEN TOTAL'!AG327</f>
        <v>APAGADO</v>
      </c>
      <c r="Y324" t="str">
        <f>'RESUMEN TOTAL'!AH327</f>
        <v>APAGADO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 t="str">
        <f>'RESUMEN TOTAL'!AM327</f>
        <v>APAGADO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t="e">
        <f>'RESUMEN TOTAL'!#REF!</f>
        <v>#REF!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 t="str">
        <f>'RESUMEN TOTAL'!AO328</f>
        <v>APAGADO</v>
      </c>
      <c r="AG325" t="str">
        <f>'RESUMEN TOTAL'!AP328</f>
        <v>APAGADO</v>
      </c>
      <c r="AH325">
        <f>'RESUMEN TOTAL'!AQ328</f>
        <v>0</v>
      </c>
      <c r="AI325">
        <f>'RESUMEN TOTAL'!AR328</f>
        <v>0</v>
      </c>
      <c r="AJ325" t="e">
        <f>'RESUMEN TOTAL'!#REF!</f>
        <v>#REF!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 t="str">
        <f>'RESUMEN TOTAL'!AO329</f>
        <v>APAGADO</v>
      </c>
      <c r="AG326" t="str">
        <f>'RESUMEN TOTAL'!AP329</f>
        <v>APAGADO</v>
      </c>
      <c r="AH326">
        <f>'RESUMEN TOTAL'!AQ329</f>
        <v>0</v>
      </c>
      <c r="AI326">
        <f>'RESUMEN TOTAL'!AR329</f>
        <v>0</v>
      </c>
      <c r="AJ326" t="e">
        <f>'RESUMEN TOTAL'!#REF!</f>
        <v>#REF!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t="e">
        <f>'RESUMEN TOTAL'!#REF!</f>
        <v>#REF!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t="e">
        <f>'RESUMEN TOTAL'!#REF!</f>
        <v>#REF!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t="e">
        <f>'RESUMEN TOTAL'!#REF!</f>
        <v>#REF!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t="e">
        <f>'RESUMEN TOTAL'!#REF!</f>
        <v>#REF!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 t="str">
        <f>'RESUMEN TOTAL'!AG334</f>
        <v>APAGADO</v>
      </c>
      <c r="Y331" t="str">
        <f>'RESUMEN TOTAL'!AH334</f>
        <v>APAGADO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 t="str">
        <f>'RESUMEN TOTAL'!AM334</f>
        <v>APAGADO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t="e">
        <f>'RESUMEN TOTAL'!#REF!</f>
        <v>#REF!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t="e">
        <f>'RESUMEN TOTAL'!#REF!</f>
        <v>#REF!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t="e">
        <f>'RESUMEN TOTAL'!#REF!</f>
        <v>#REF!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t="e">
        <f>'RESUMEN TOTAL'!#REF!</f>
        <v>#REF!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t="e">
        <f>'RESUMEN TOTAL'!#REF!</f>
        <v>#REF!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t="e">
        <f>'RESUMEN TOTAL'!#REF!</f>
        <v>#REF!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 t="str">
        <f>'RESUMEN TOTAL'!AP340</f>
        <v>APAGADO</v>
      </c>
      <c r="AH337">
        <f>'RESUMEN TOTAL'!AQ340</f>
        <v>0</v>
      </c>
      <c r="AI337">
        <f>'RESUMEN TOTAL'!AR340</f>
        <v>0</v>
      </c>
      <c r="AJ337" t="e">
        <f>'RESUMEN TOTAL'!#REF!</f>
        <v>#REF!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t="e">
        <f>'RESUMEN TOTAL'!#REF!</f>
        <v>#REF!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t="e">
        <f>'RESUMEN TOTAL'!#REF!</f>
        <v>#REF!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 t="str">
        <f>'RESUMEN TOTAL'!AD343</f>
        <v>APAGADO</v>
      </c>
      <c r="V340" t="str">
        <f>'RESUMEN TOTAL'!AE343</f>
        <v>APAGADO</v>
      </c>
      <c r="W340" t="str">
        <f>'RESUMEN TOTAL'!AF343</f>
        <v>APAGADO</v>
      </c>
      <c r="X340" t="str">
        <f>'RESUMEN TOTAL'!AG343</f>
        <v>APAGADO</v>
      </c>
      <c r="Y340" t="str">
        <f>'RESUMEN TOTAL'!AH343</f>
        <v>APAGADO</v>
      </c>
      <c r="Z340" t="str">
        <f>'RESUMEN TOTAL'!AI343</f>
        <v>APAGADO</v>
      </c>
      <c r="AA340" t="str">
        <f>'RESUMEN TOTAL'!AJ343</f>
        <v>APAGADO</v>
      </c>
      <c r="AB340" t="str">
        <f>'RESUMEN TOTAL'!AK343</f>
        <v>APAGADO</v>
      </c>
      <c r="AC340" t="str">
        <f>'RESUMEN TOTAL'!AL343</f>
        <v>APAGADO</v>
      </c>
      <c r="AD340" t="str">
        <f>'RESUMEN TOTAL'!AM343</f>
        <v>APAGADO</v>
      </c>
      <c r="AE340" t="str">
        <f>'RESUMEN TOTAL'!AN343</f>
        <v>APAGADO</v>
      </c>
      <c r="AF340" t="str">
        <f>'RESUMEN TOTAL'!AO343</f>
        <v>APAGADO</v>
      </c>
      <c r="AG340" t="str">
        <f>'RESUMEN TOTAL'!AP343</f>
        <v>APAGADO</v>
      </c>
      <c r="AH340">
        <f>'RESUMEN TOTAL'!AQ343</f>
        <v>0</v>
      </c>
      <c r="AI340">
        <f>'RESUMEN TOTAL'!AR343</f>
        <v>0</v>
      </c>
      <c r="AJ340" t="e">
        <f>'RESUMEN TOTAL'!#REF!</f>
        <v>#REF!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t="e">
        <f>'RESUMEN TOTAL'!#REF!</f>
        <v>#REF!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 t="str">
        <f>'RESUMEN TOTAL'!AO345</f>
        <v>APAGADO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t="e">
        <f>'RESUMEN TOTAL'!#REF!</f>
        <v>#REF!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 t="str">
        <f>'RESUMEN TOTAL'!AO346</f>
        <v>APAGADO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t="e">
        <f>'RESUMEN TOTAL'!#REF!</f>
        <v>#REF!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 t="str">
        <f>'RESUMEN TOTAL'!AO347</f>
        <v>APAGADO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t="e">
        <f>'RESUMEN TOTAL'!#REF!</f>
        <v>#REF!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 t="str">
        <f>'RESUMEN TOTAL'!AO348</f>
        <v>APAGADO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t="e">
        <f>'RESUMEN TOTAL'!#REF!</f>
        <v>#REF!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t="e">
        <f>'RESUMEN TOTAL'!#REF!</f>
        <v>#REF!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t="e">
        <f>'RESUMEN TOTAL'!#REF!</f>
        <v>#REF!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t="e">
        <f>'RESUMEN TOTAL'!#REF!</f>
        <v>#REF!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 t="str">
        <f>'RESUMEN TOTAL'!AI352</f>
        <v>APAGADO</v>
      </c>
      <c r="AA349" t="str">
        <f>'RESUMEN TOTAL'!AJ352</f>
        <v>APAGADO</v>
      </c>
      <c r="AB349" t="str">
        <f>'RESUMEN TOTAL'!AK352</f>
        <v>APAGADO</v>
      </c>
      <c r="AC349" t="str">
        <f>'RESUMEN TOTAL'!AL352</f>
        <v>APAGADO</v>
      </c>
      <c r="AD349" t="str">
        <f>'RESUMEN TOTAL'!AM352</f>
        <v>APAGADO</v>
      </c>
      <c r="AE349" t="str">
        <f>'RESUMEN TOTAL'!AN352</f>
        <v>APAGADO</v>
      </c>
      <c r="AF349" t="str">
        <f>'RESUMEN TOTAL'!AO352</f>
        <v>APAGADO</v>
      </c>
      <c r="AG349" t="str">
        <f>'RESUMEN TOTAL'!AP352</f>
        <v>APAGADO</v>
      </c>
      <c r="AH349">
        <f>'RESUMEN TOTAL'!AQ352</f>
        <v>0</v>
      </c>
      <c r="AI349">
        <f>'RESUMEN TOTAL'!AR352</f>
        <v>0</v>
      </c>
      <c r="AJ349" t="e">
        <f>'RESUMEN TOTAL'!#REF!</f>
        <v>#REF!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t="e">
        <f>'RESUMEN TOTAL'!#REF!</f>
        <v>#REF!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t="e">
        <f>'RESUMEN TOTAL'!#REF!</f>
        <v>#REF!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 t="str">
        <f>'RESUMEN TOTAL'!W355</f>
        <v>APAGADO</v>
      </c>
      <c r="O352" t="str">
        <f>'RESUMEN TOTAL'!X355</f>
        <v>APAGADO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 t="str">
        <f>'RESUMEN TOTAL'!AB355</f>
        <v>APAGADO</v>
      </c>
      <c r="T352" t="str">
        <f>'RESUMEN TOTAL'!AC355</f>
        <v>APAGADO</v>
      </c>
      <c r="U352" t="str">
        <f>'RESUMEN TOTAL'!AD355</f>
        <v>APAGADO</v>
      </c>
      <c r="V352" t="str">
        <f>'RESUMEN TOTAL'!AE355</f>
        <v>APAGADO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 t="str">
        <f>'RESUMEN TOTAL'!AL355</f>
        <v>APAGADO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t="e">
        <f>'RESUMEN TOTAL'!#REF!</f>
        <v>#REF!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t="e">
        <f>'RESUMEN TOTAL'!#REF!</f>
        <v>#REF!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t="e">
        <f>'RESUMEN TOTAL'!#REF!</f>
        <v>#REF!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 t="str">
        <f>'RESUMEN TOTAL'!O358</f>
        <v>APAGADO</v>
      </c>
      <c r="G355">
        <f>'RESUMEN TOTAL'!P358</f>
        <v>0</v>
      </c>
      <c r="H355">
        <f>'RESUMEN TOTAL'!Q358</f>
        <v>0</v>
      </c>
      <c r="I355" t="str">
        <f>'RESUMEN TOTAL'!R358</f>
        <v>APAGADO</v>
      </c>
      <c r="J355" t="str">
        <f>'RESUMEN TOTAL'!S358</f>
        <v>APAGADO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t="e">
        <f>'RESUMEN TOTAL'!#REF!</f>
        <v>#REF!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t="e">
        <f>'RESUMEN TOTAL'!#REF!</f>
        <v>#REF!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t="e">
        <f>'RESUMEN TOTAL'!#REF!</f>
        <v>#REF!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t="e">
        <f>'RESUMEN TOTAL'!#REF!</f>
        <v>#REF!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t="e">
        <f>'RESUMEN TOTAL'!#REF!</f>
        <v>#REF!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 t="str">
        <f>'RESUMEN TOTAL'!AG363</f>
        <v>APAGADO</v>
      </c>
      <c r="Y360" t="str">
        <f>'RESUMEN TOTAL'!AH363</f>
        <v>APAGADO</v>
      </c>
      <c r="Z360" t="str">
        <f>'RESUMEN TOTAL'!AI363</f>
        <v>APAGADO</v>
      </c>
      <c r="AA360" t="str">
        <f>'RESUMEN TOTAL'!AJ363</f>
        <v>APAGADO</v>
      </c>
      <c r="AB360" t="str">
        <f>'RESUMEN TOTAL'!AK363</f>
        <v>APAGADO</v>
      </c>
      <c r="AC360">
        <f>'RESUMEN TOTAL'!AL363</f>
        <v>0</v>
      </c>
      <c r="AD360" t="str">
        <f>'RESUMEN TOTAL'!AM363</f>
        <v>APAGADO</v>
      </c>
      <c r="AE360" t="str">
        <f>'RESUMEN TOTAL'!AN363</f>
        <v>APAGADO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t="e">
        <f>'RESUMEN TOTAL'!#REF!</f>
        <v>#REF!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t="e">
        <f>'RESUMEN TOTAL'!#REF!</f>
        <v>#REF!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t="e">
        <f>'RESUMEN TOTAL'!#REF!</f>
        <v>#REF!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t="e">
        <f>'RESUMEN TOTAL'!#REF!</f>
        <v>#REF!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t="e">
        <f>'RESUMEN TOTAL'!#REF!</f>
        <v>#REF!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t="e">
        <f>'RESUMEN TOTAL'!#REF!</f>
        <v>#REF!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t="e">
        <f>'RESUMEN TOTAL'!#REF!</f>
        <v>#REF!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t="e">
        <f>'RESUMEN TOTAL'!#REF!</f>
        <v>#REF!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 t="str">
        <f>'RESUMEN TOTAL'!AO371</f>
        <v>APAGADO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t="e">
        <f>'RESUMEN TOTAL'!#REF!</f>
        <v>#REF!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 t="str">
        <f>'RESUMEN TOTAL'!AO372</f>
        <v>APAGADO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t="e">
        <f>'RESUMEN TOTAL'!#REF!</f>
        <v>#REF!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 t="str">
        <f>'RESUMEN TOTAL'!AO373</f>
        <v>APAGADO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t="e">
        <f>'RESUMEN TOTAL'!#REF!</f>
        <v>#REF!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 t="str">
        <f>'RESUMEN TOTAL'!AO374</f>
        <v>APAGADO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t="e">
        <f>'RESUMEN TOTAL'!#REF!</f>
        <v>#REF!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 t="str">
        <f>'RESUMEN TOTAL'!AO375</f>
        <v>APAGADO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t="e">
        <f>'RESUMEN TOTAL'!#REF!</f>
        <v>#REF!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 t="str">
        <f>'RESUMEN TOTAL'!AO376</f>
        <v>APAGADO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t="e">
        <f>'RESUMEN TOTAL'!#REF!</f>
        <v>#REF!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 t="str">
        <f>'RESUMEN TOTAL'!AN377</f>
        <v>APAGADO</v>
      </c>
      <c r="AF374" t="str">
        <f>'RESUMEN TOTAL'!AO377</f>
        <v>APAGADO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t="e">
        <f>'RESUMEN TOTAL'!#REF!</f>
        <v>#REF!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AA3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6" t="s">
        <v>934</v>
      </c>
      <c r="F1" s="26">
        <f t="shared" ref="F1:AC1" si="0">COUNTIF(F3:F366, "APAGADO")</f>
        <v>38</v>
      </c>
      <c r="G1" s="26">
        <f t="shared" si="0"/>
        <v>0</v>
      </c>
      <c r="H1" s="26">
        <f t="shared" si="0"/>
        <v>0</v>
      </c>
      <c r="I1" s="26">
        <f t="shared" si="0"/>
        <v>36</v>
      </c>
      <c r="J1" s="26">
        <f t="shared" si="0"/>
        <v>32</v>
      </c>
      <c r="K1" s="26">
        <f t="shared" si="0"/>
        <v>25</v>
      </c>
      <c r="L1" s="26">
        <f t="shared" si="0"/>
        <v>34</v>
      </c>
      <c r="M1" s="26">
        <f t="shared" si="0"/>
        <v>25</v>
      </c>
      <c r="N1" s="26">
        <f t="shared" si="0"/>
        <v>27</v>
      </c>
      <c r="O1" s="26">
        <f t="shared" si="0"/>
        <v>27</v>
      </c>
      <c r="P1" s="26">
        <f t="shared" si="0"/>
        <v>43</v>
      </c>
      <c r="Q1" s="26">
        <f t="shared" si="0"/>
        <v>22</v>
      </c>
      <c r="R1" s="26">
        <f t="shared" si="0"/>
        <v>23</v>
      </c>
      <c r="S1" s="26">
        <f t="shared" si="0"/>
        <v>36</v>
      </c>
      <c r="T1" s="26">
        <f t="shared" si="0"/>
        <v>24</v>
      </c>
      <c r="U1" s="26">
        <f t="shared" si="0"/>
        <v>24</v>
      </c>
      <c r="V1" s="26">
        <f t="shared" si="0"/>
        <v>26</v>
      </c>
      <c r="W1" s="26">
        <f>COUNTIF(W3:W447, "APAGADO")</f>
        <v>25</v>
      </c>
      <c r="X1" s="26">
        <f t="shared" si="0"/>
        <v>41</v>
      </c>
      <c r="Y1" s="26">
        <f t="shared" si="0"/>
        <v>37</v>
      </c>
      <c r="Z1" s="26">
        <f t="shared" si="0"/>
        <v>34</v>
      </c>
      <c r="AA1" s="26">
        <f t="shared" si="0"/>
        <v>33</v>
      </c>
      <c r="AB1" s="26">
        <f t="shared" si="0"/>
        <v>27</v>
      </c>
      <c r="AC1" s="26">
        <f t="shared" si="0"/>
        <v>27</v>
      </c>
      <c r="AD1" s="26">
        <f>COUNTIF(AD3:AD366, "APAGADO")</f>
        <v>62</v>
      </c>
      <c r="AE1" s="26">
        <f t="shared" ref="AE1:AG1" si="1">COUNTIF(AE3:AE366, "APAGADO")</f>
        <v>57</v>
      </c>
      <c r="AF1" s="26">
        <f t="shared" si="1"/>
        <v>75</v>
      </c>
      <c r="AG1" s="26">
        <f t="shared" si="1"/>
        <v>46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44652</v>
      </c>
      <c r="G2" s="25">
        <f>ESTADISTICA!G1</f>
        <v>44653</v>
      </c>
      <c r="H2" s="25">
        <f>ESTADISTICA!H1</f>
        <v>44654</v>
      </c>
      <c r="I2" s="25">
        <f>ESTADISTICA!I1</f>
        <v>44655</v>
      </c>
      <c r="J2" s="25">
        <f>ESTADISTICA!J1</f>
        <v>44656</v>
      </c>
      <c r="K2" s="25">
        <f>ESTADISTICA!K1</f>
        <v>44657</v>
      </c>
      <c r="L2" s="25">
        <f>ESTADISTICA!L1</f>
        <v>44658</v>
      </c>
      <c r="M2" s="25">
        <f>ESTADISTICA!M1</f>
        <v>44659</v>
      </c>
      <c r="N2" s="25">
        <f>ESTADISTICA!N1</f>
        <v>44660</v>
      </c>
      <c r="O2" s="25">
        <f>ESTADISTICA!O1</f>
        <v>44661</v>
      </c>
      <c r="P2" s="25">
        <f>ESTADISTICA!P1</f>
        <v>44662</v>
      </c>
      <c r="Q2" s="25">
        <f>ESTADISTICA!Q1</f>
        <v>44663</v>
      </c>
      <c r="R2" s="25">
        <f>ESTADISTICA!R1</f>
        <v>44664</v>
      </c>
      <c r="S2" s="25">
        <f>ESTADISTICA!S1</f>
        <v>44665</v>
      </c>
      <c r="T2" s="25">
        <f>ESTADISTICA!T1</f>
        <v>44666</v>
      </c>
      <c r="U2" s="25">
        <f>ESTADISTICA!U1</f>
        <v>44667</v>
      </c>
      <c r="V2" s="25">
        <f>ESTADISTICA!V1</f>
        <v>44668</v>
      </c>
      <c r="W2" s="25">
        <f>ESTADISTICA!W1</f>
        <v>44669</v>
      </c>
      <c r="X2" s="25">
        <f>ESTADISTICA!X1</f>
        <v>44670</v>
      </c>
      <c r="Y2" s="25">
        <f>ESTADISTICA!Y1</f>
        <v>44671</v>
      </c>
      <c r="Z2" s="25">
        <f>ESTADISTICA!Z1</f>
        <v>44672</v>
      </c>
      <c r="AA2" s="25">
        <f>ESTADISTICA!AA1</f>
        <v>44673</v>
      </c>
      <c r="AB2" s="25">
        <f>ESTADISTICA!AB1</f>
        <v>44674</v>
      </c>
      <c r="AC2" s="25">
        <f>ESTADISTICA!AC1</f>
        <v>44675</v>
      </c>
      <c r="AD2" s="25">
        <f>ESTADISTICA!AD1</f>
        <v>44676</v>
      </c>
      <c r="AE2" s="25">
        <f>ESTADISTICA!AE1</f>
        <v>44677</v>
      </c>
      <c r="AF2" s="25">
        <f>ESTADISTICA!AF1</f>
        <v>44678</v>
      </c>
      <c r="AG2" s="25">
        <f>ESTADISTICA!AG1</f>
        <v>44679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 t="str">
        <f>ESTADISTICA!J2</f>
        <v>APAGADO</v>
      </c>
      <c r="K3">
        <f>ESTADISTICA!K2</f>
        <v>0</v>
      </c>
      <c r="L3">
        <f>ESTADISTICA!L2</f>
        <v>0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 t="str">
        <f>ESTADISTICA!AF2</f>
        <v>APAGADO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 t="str">
        <f>ESTADISTICA!AG4</f>
        <v>APAGADO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 t="str">
        <f>ESTADISTICA!X7</f>
        <v>APAGADO</v>
      </c>
      <c r="Y8" t="str">
        <f>ESTADISTICA!Y7</f>
        <v>APAGADO</v>
      </c>
      <c r="Z8" t="str">
        <f>ESTADISTICA!Z7</f>
        <v>APAGADO</v>
      </c>
      <c r="AA8" t="str">
        <f>ESTADISTICA!AA7</f>
        <v>APAGADO</v>
      </c>
      <c r="AB8" t="str">
        <f>ESTADISTICA!AB7</f>
        <v>APAGADO</v>
      </c>
      <c r="AC8" t="str">
        <f>ESTADISTICA!AC7</f>
        <v>APAGADO</v>
      </c>
      <c r="AD8">
        <f>ESTADISTICA!AD7</f>
        <v>0</v>
      </c>
      <c r="AE8" t="str">
        <f>ESTADISTICA!AE7</f>
        <v>APAGADO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 t="str">
        <f>ESTADISTICA!X9</f>
        <v>APAGADO</v>
      </c>
      <c r="Y10" t="str">
        <f>ESTADISTICA!Y9</f>
        <v>APAGADO</v>
      </c>
      <c r="Z10" t="str">
        <f>ESTADISTICA!Z9</f>
        <v>APAGADO</v>
      </c>
      <c r="AA10" t="str">
        <f>ESTADISTICA!AA9</f>
        <v>APAGADO</v>
      </c>
      <c r="AB10" t="str">
        <f>ESTADISTICA!AB9</f>
        <v>APAGADO</v>
      </c>
      <c r="AC10">
        <f>ESTADISTICA!AC9</f>
        <v>0</v>
      </c>
      <c r="AD10" t="str">
        <f>ESTADISTICA!AD9</f>
        <v>APAGADO</v>
      </c>
      <c r="AE10" t="str">
        <f>ESTADISTICA!AE9</f>
        <v>APAGADO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 t="str">
        <f>ESTADISTICA!X10</f>
        <v>APAGADO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 t="str">
        <f>ESTADISTICA!AD10</f>
        <v>APAGADO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 t="str">
        <f>ESTADISTICA!X11</f>
        <v>APAGADO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 t="str">
        <f>ESTADISTICA!AD11</f>
        <v>APAGADO</v>
      </c>
      <c r="AE12" t="str">
        <f>ESTADISTICA!AE11</f>
        <v>APAGADO</v>
      </c>
      <c r="AF12" t="str">
        <f>ESTADISTICA!AF11</f>
        <v>APAGADO</v>
      </c>
      <c r="AG12" t="str">
        <f>ESTADISTICA!AG11</f>
        <v>APAGADO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 t="str">
        <f>ESTADISTICA!S12</f>
        <v>APAGADO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 t="str">
        <f>ESTADISTICA!S14</f>
        <v>APAGADO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 t="str">
        <f>ESTADISTICA!S15</f>
        <v>APAGADO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 t="str">
        <f>ESTADISTICA!AC16</f>
        <v>APAGADO</v>
      </c>
      <c r="AD17" t="str">
        <f>ESTADISTICA!AD16</f>
        <v>APAGADO</v>
      </c>
      <c r="AE17" t="str">
        <f>ESTADISTICA!AE16</f>
        <v>APAGADO</v>
      </c>
      <c r="AF17" t="str">
        <f>ESTADISTICA!AF16</f>
        <v>APAGADO</v>
      </c>
      <c r="AG17" t="str">
        <f>ESTADISTICA!AG16</f>
        <v>APAGADO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>
        <f>ESTADISTICA!Y18</f>
        <v>0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 t="str">
        <f>ESTADISTICA!AD18</f>
        <v>APAGADO</v>
      </c>
      <c r="AE19" t="str">
        <f>ESTADISTICA!AE18</f>
        <v>APAGADO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 t="str">
        <f>ESTADISTICA!L19</f>
        <v>APAGADO</v>
      </c>
      <c r="M20" t="str">
        <f>ESTADISTICA!M19</f>
        <v>APAGADO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 t="str">
        <f>ESTADISTICA!AD19</f>
        <v>APAGADO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 t="str">
        <f>ESTADISTICA!AF25</f>
        <v>APAGADO</v>
      </c>
      <c r="AG26" t="str">
        <f>ESTADISTICA!AG25</f>
        <v>APAGADO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>
        <f>ESTADISTICA!G27</f>
        <v>0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 t="str">
        <f>ESTADISTICA!W29</f>
        <v>APAGADO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 t="str">
        <f>ESTADISTICA!AD42</f>
        <v>APAGADO</v>
      </c>
      <c r="AE43" t="str">
        <f>ESTADISTICA!AE42</f>
        <v>APAGADO</v>
      </c>
      <c r="AF43" t="str">
        <f>ESTADISTICA!AF42</f>
        <v>APAGADO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 t="str">
        <f>ESTADISTICA!P46</f>
        <v>APAGADO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 t="str">
        <f>ESTADISTICA!AD46</f>
        <v>APAGADO</v>
      </c>
      <c r="AE47" t="str">
        <f>ESTADISTICA!AE46</f>
        <v>APAGADO</v>
      </c>
      <c r="AF47" t="str">
        <f>ESTADISTICA!AF46</f>
        <v>APAGADO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 t="str">
        <f>ESTADISTICA!X50</f>
        <v>APAGADO</v>
      </c>
      <c r="Y51" t="str">
        <f>ESTADISTICA!Y50</f>
        <v>APAGADO</v>
      </c>
      <c r="Z51" t="str">
        <f>ESTADISTICA!Z50</f>
        <v>APAGADO</v>
      </c>
      <c r="AA51" t="str">
        <f>ESTADISTICA!AA50</f>
        <v>APAGADO</v>
      </c>
      <c r="AB51" t="str">
        <f>ESTADISTICA!AB50</f>
        <v>APAGADO</v>
      </c>
      <c r="AC51">
        <f>ESTADISTICA!AC50</f>
        <v>0</v>
      </c>
      <c r="AD51" t="str">
        <f>ESTADISTICA!AD50</f>
        <v>APAGADO</v>
      </c>
      <c r="AE51" t="str">
        <f>ESTADISTICA!AE50</f>
        <v>APAGADO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 t="str">
        <f>ESTADISTICA!AD52</f>
        <v>APAGADO</v>
      </c>
      <c r="AE53" t="str">
        <f>ESTADISTICA!AE52</f>
        <v>APAGADO</v>
      </c>
      <c r="AF53" t="str">
        <f>ESTADISTICA!AF52</f>
        <v>APAGADO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>
        <f>ESTADISTICA!G60</f>
        <v>0</v>
      </c>
      <c r="H61">
        <f>ESTADISTICA!H60</f>
        <v>0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>
        <f>ESTADISTICA!G62</f>
        <v>0</v>
      </c>
      <c r="H63">
        <f>ESTADISTICA!H62</f>
        <v>0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 t="str">
        <f>ESTADISTICA!U63</f>
        <v>APAGADO</v>
      </c>
      <c r="V64" t="str">
        <f>ESTADISTICA!V63</f>
        <v>APAGADO</v>
      </c>
      <c r="W64" t="str">
        <f>ESTADISTICA!W63</f>
        <v>APAGADO</v>
      </c>
      <c r="X64" t="str">
        <f>ESTADISTICA!X63</f>
        <v>APAGADO</v>
      </c>
      <c r="Y64" t="str">
        <f>ESTADISTICA!Y63</f>
        <v>APAGADO</v>
      </c>
      <c r="Z64" t="str">
        <f>ESTADISTICA!Z63</f>
        <v>APAGADO</v>
      </c>
      <c r="AA64" t="str">
        <f>ESTADISTICA!AA63</f>
        <v>APAGADO</v>
      </c>
      <c r="AB64" t="str">
        <f>ESTADISTICA!AB63</f>
        <v>APAGADO</v>
      </c>
      <c r="AC64" t="str">
        <f>ESTADISTICA!AC63</f>
        <v>APAGADO</v>
      </c>
      <c r="AD64" t="str">
        <f>ESTADISTICA!AD63</f>
        <v>APAGADO</v>
      </c>
      <c r="AE64" t="str">
        <f>ESTADISTICA!AE63</f>
        <v>APAGADO</v>
      </c>
      <c r="AF64" t="str">
        <f>ESTADISTICA!AF63</f>
        <v>APAGADO</v>
      </c>
      <c r="AG64" t="str">
        <f>ESTADISTICA!AG63</f>
        <v>APAGADO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>
        <f>ESTADISTICA!G65</f>
        <v>0</v>
      </c>
      <c r="H66">
        <f>ESTADISTICA!H65</f>
        <v>0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 t="str">
        <f>ESTADISTICA!X70</f>
        <v>APAGADO</v>
      </c>
      <c r="Y71" t="str">
        <f>ESTADISTICA!Y70</f>
        <v>APAGADO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 t="str">
        <f>ESTADISTICA!AD70</f>
        <v>APAGADO</v>
      </c>
      <c r="AE71" t="str">
        <f>ESTADISTICA!AE70</f>
        <v>APAGADO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>
        <f>ESTADISTICA!G77</f>
        <v>0</v>
      </c>
      <c r="H78">
        <f>ESTADISTICA!H77</f>
        <v>0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 t="str">
        <f>ESTADISTICA!AB77</f>
        <v>APAGADO</v>
      </c>
      <c r="AC78" t="str">
        <f>ESTADISTICA!AC77</f>
        <v>APAGADO</v>
      </c>
      <c r="AD78" t="str">
        <f>ESTADISTICA!AD77</f>
        <v>APAGADO</v>
      </c>
      <c r="AE78" t="str">
        <f>ESTADISTICA!AE77</f>
        <v>APAGADO</v>
      </c>
      <c r="AF78" t="str">
        <f>ESTADISTICA!AF77</f>
        <v>APAGADO</v>
      </c>
      <c r="AG78" t="str">
        <f>ESTADISTICA!AG77</f>
        <v>APAGADO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 t="str">
        <f>ESTADISTICA!AF78</f>
        <v>APAGADO</v>
      </c>
      <c r="AG79" t="str">
        <f>ESTADISTICA!AG78</f>
        <v>APAGADO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 t="str">
        <f>ESTADISTICA!AF79</f>
        <v>APAGADO</v>
      </c>
      <c r="AG80" t="str">
        <f>ESTADISTICA!AG79</f>
        <v>APAGADO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 t="str">
        <f>ESTADISTICA!I82</f>
        <v>APAGADO</v>
      </c>
      <c r="J83" t="str">
        <f>ESTADISTICA!J82</f>
        <v>APAGADO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>
        <f>ESTADISTICA!G89</f>
        <v>0</v>
      </c>
      <c r="H90">
        <f>ESTADISTICA!H89</f>
        <v>0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 t="str">
        <f>ESTADISTICA!AF98</f>
        <v>APAGADO</v>
      </c>
      <c r="AG99" t="str">
        <f>ESTADISTICA!AG98</f>
        <v>APAGADO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 t="str">
        <f>ESTADISTICA!V99</f>
        <v>APAGADO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 t="str">
        <f>ESTADISTICA!AD101</f>
        <v>APAGADO</v>
      </c>
      <c r="AE102" t="str">
        <f>ESTADISTICA!AE101</f>
        <v>APAGADO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 t="str">
        <f>ESTADISTICA!AD102</f>
        <v>APAGADO</v>
      </c>
      <c r="AE103" t="str">
        <f>ESTADISTICA!AE102</f>
        <v>APAGADO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 t="str">
        <f>ESTADISTICA!AF111</f>
        <v>APAGADO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>
        <f>ESTADISTICA!AB112</f>
        <v>0</v>
      </c>
      <c r="AC113">
        <f>ESTADISTICA!AC112</f>
        <v>0</v>
      </c>
      <c r="AD113" t="str">
        <f>ESTADISTICA!AD112</f>
        <v>APAGADO</v>
      </c>
      <c r="AE113" t="str">
        <f>ESTADISTICA!AE112</f>
        <v>APAGADO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>
        <f>ESTADISTICA!AC113</f>
        <v>0</v>
      </c>
      <c r="AD114" t="str">
        <f>ESTADISTICA!AD113</f>
        <v>APAGADO</v>
      </c>
      <c r="AE114" t="str">
        <f>ESTADISTICA!AE113</f>
        <v>APAGADO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 t="str">
        <f>ESTADISTICA!AF114</f>
        <v>APAGADO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 t="str">
        <f>ESTADISTICA!AF115</f>
        <v>APAGADO</v>
      </c>
      <c r="AG116" t="str">
        <f>ESTADISTICA!AG115</f>
        <v>APAGADO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 t="str">
        <f>ESTADISTICA!AF116</f>
        <v>APAGADO</v>
      </c>
      <c r="AG117" t="str">
        <f>ESTADISTICA!AG116</f>
        <v>APAGADO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 t="str">
        <f>ESTADISTICA!AF117</f>
        <v>APAGADO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 t="str">
        <f>ESTADISTICA!AF118</f>
        <v>APAGADO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 t="str">
        <f>ESTADISTICA!AF119</f>
        <v>APAGADO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 t="str">
        <f>ESTADISTICA!AF120</f>
        <v>APAGADO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>
        <f>ESTADISTICA!AA121</f>
        <v>0</v>
      </c>
      <c r="AB122">
        <f>ESTADISTICA!AB121</f>
        <v>0</v>
      </c>
      <c r="AC122">
        <f>ESTADISTICA!AC121</f>
        <v>0</v>
      </c>
      <c r="AD122" t="str">
        <f>ESTADISTICA!AD121</f>
        <v>APAGADO</v>
      </c>
      <c r="AE122" t="str">
        <f>ESTADISTICA!AE121</f>
        <v>APAGADO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 t="str">
        <f>ESTADISTICA!AD126</f>
        <v>APAGADO</v>
      </c>
      <c r="AE127" t="str">
        <f>ESTADISTICA!AE126</f>
        <v>APAGADO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 t="str">
        <f>ESTADISTICA!AD127</f>
        <v>APAGADO</v>
      </c>
      <c r="AE128" t="str">
        <f>ESTADISTICA!AE127</f>
        <v>APAGADO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 t="str">
        <f>ESTADISTICA!AG130</f>
        <v>APAGADO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 t="str">
        <f>ESTADISTICA!AD135</f>
        <v>APAGADO</v>
      </c>
      <c r="AE136" t="str">
        <f>ESTADISTICA!AE135</f>
        <v>APAGADO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 t="str">
        <f>ESTADISTICA!AD136</f>
        <v>APAGADO</v>
      </c>
      <c r="AE137" t="str">
        <f>ESTADISTICA!AE136</f>
        <v>APAGADO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 t="str">
        <f>ESTADISTICA!AD137</f>
        <v>APAGADO</v>
      </c>
      <c r="AE138" t="str">
        <f>ESTADISTICA!AE137</f>
        <v>APAGADO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 t="str">
        <f>ESTADISTICA!AD138</f>
        <v>APAGADO</v>
      </c>
      <c r="AE139" t="str">
        <f>ESTADISTICA!AE138</f>
        <v>APAGADO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 t="str">
        <f>ESTADISTICA!J150</f>
        <v>APAGAD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 t="str">
        <f>ESTADISTICA!Z150</f>
        <v>APAGADO</v>
      </c>
      <c r="AA151" t="str">
        <f>ESTADISTICA!AA150</f>
        <v>APAGADO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 t="str">
        <f>ESTADISTICA!S153</f>
        <v>APAGADO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 t="str">
        <f>ESTADISTICA!P154</f>
        <v>APAGADO</v>
      </c>
      <c r="Q155" t="str">
        <f>ESTADISTICA!Q154</f>
        <v>APAGADO</v>
      </c>
      <c r="R155" t="str">
        <f>ESTADISTICA!R154</f>
        <v>APAGADO</v>
      </c>
      <c r="S155" t="str">
        <f>ESTADISTICA!S154</f>
        <v>APAGADO</v>
      </c>
      <c r="T155" t="str">
        <f>ESTADISTICA!T154</f>
        <v>APAGADO</v>
      </c>
      <c r="U155" t="str">
        <f>ESTADISTICA!U154</f>
        <v>APAGADO</v>
      </c>
      <c r="V155" t="str">
        <f>ESTADISTICA!V154</f>
        <v>APAGADO</v>
      </c>
      <c r="W155" t="str">
        <f>ESTADISTICA!W154</f>
        <v>APAGADO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 t="str">
        <f>ESTADISTICA!V158</f>
        <v>APAGADO</v>
      </c>
      <c r="W159" t="str">
        <f>ESTADISTICA!W158</f>
        <v>APAGADO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 t="str">
        <f>ESTADISTICA!AG163</f>
        <v>APAGADO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 t="str">
        <f>ESTADISTICA!AA165</f>
        <v>APAGADO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 t="str">
        <f>ESTADISTICA!N170</f>
        <v>APAGADO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 t="str">
        <f>ESTADISTICA!S170</f>
        <v>APAGADO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>
        <f>ESTADISTICA!G171</f>
        <v>0</v>
      </c>
      <c r="H172">
        <f>ESTADISTICA!H171</f>
        <v>0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>
        <f>ESTADISTICA!T174</f>
        <v>0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 t="str">
        <f>ESTADISTICA!AE174</f>
        <v>APAGADO</v>
      </c>
      <c r="AF175" t="str">
        <f>ESTADISTICA!AF174</f>
        <v>APAGADO</v>
      </c>
      <c r="AG175" t="str">
        <f>ESTADISTICA!AG174</f>
        <v>APAGADO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 t="str">
        <f>ESTADISTICA!X183</f>
        <v>APAGADO</v>
      </c>
      <c r="Y184" t="str">
        <f>ESTADISTICA!Y183</f>
        <v>APAGADO</v>
      </c>
      <c r="Z184">
        <f>ESTADISTICA!Z183</f>
        <v>0</v>
      </c>
      <c r="AA184" t="str">
        <f>ESTADISTICA!AA183</f>
        <v>APAGADO</v>
      </c>
      <c r="AB184" t="str">
        <f>ESTADISTICA!AB183</f>
        <v>APAGADO</v>
      </c>
      <c r="AC184">
        <f>ESTADISTICA!AC183</f>
        <v>0</v>
      </c>
      <c r="AD184" t="str">
        <f>ESTADISTICA!AD183</f>
        <v>APAGADO</v>
      </c>
      <c r="AE184" t="str">
        <f>ESTADISTICA!AE183</f>
        <v>APAGADO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 t="str">
        <f>ESTADISTICA!Y187</f>
        <v>APAGADO</v>
      </c>
      <c r="Z188" t="str">
        <f>ESTADISTICA!Z187</f>
        <v>APAGADO</v>
      </c>
      <c r="AA188" t="str">
        <f>ESTADISTICA!AA187</f>
        <v>APAGADO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 t="str">
        <f>ESTADISTICA!AF188</f>
        <v>APAGADO</v>
      </c>
      <c r="AG189" t="str">
        <f>ESTADISTICA!AG188</f>
        <v>APAGADO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 t="str">
        <f>ESTADISTICA!AC189</f>
        <v>APAGADO</v>
      </c>
      <c r="AD190" t="str">
        <f>ESTADISTICA!AD189</f>
        <v>APAGADO</v>
      </c>
      <c r="AE190" t="str">
        <f>ESTADISTICA!AE189</f>
        <v>APAGADO</v>
      </c>
      <c r="AF190" t="str">
        <f>ESTADISTICA!AF189</f>
        <v>APAGADO</v>
      </c>
      <c r="AG190" t="str">
        <f>ESTADISTICA!AG189</f>
        <v>APAGADO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 t="str">
        <f>ESTADISTICA!P190</f>
        <v>APAGADO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>
        <f>ESTADISTICA!R191</f>
        <v>0</v>
      </c>
      <c r="S192">
        <f>ESTADISTICA!S191</f>
        <v>0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 t="str">
        <f>ESTADISTICA!AF191</f>
        <v>APAGADO</v>
      </c>
      <c r="AG192" t="str">
        <f>ESTADISTICA!AG191</f>
        <v>APAGADO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 t="str">
        <f>ESTADISTICA!AC192</f>
        <v>APAGADO</v>
      </c>
      <c r="AD193" t="str">
        <f>ESTADISTICA!AD192</f>
        <v>APAGADO</v>
      </c>
      <c r="AE193" t="str">
        <f>ESTADISTICA!AE192</f>
        <v>APAGADO</v>
      </c>
      <c r="AF193" t="str">
        <f>ESTADISTICA!AF192</f>
        <v>APAGADO</v>
      </c>
      <c r="AG193" t="str">
        <f>ESTADISTICA!AG192</f>
        <v>APAGADO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 t="str">
        <f>ESTADISTICA!AF193</f>
        <v>APAGADO</v>
      </c>
      <c r="AG194" t="str">
        <f>ESTADISTICA!AG193</f>
        <v>APAGADO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 t="str">
        <f>ESTADISTICA!W196</f>
        <v>APAGADO</v>
      </c>
      <c r="X197" t="str">
        <f>ESTADISTICA!X196</f>
        <v>APAGADO</v>
      </c>
      <c r="Y197" t="str">
        <f>ESTADISTICA!Y196</f>
        <v>APAGADO</v>
      </c>
      <c r="Z197" t="str">
        <f>ESTADISTICA!Z196</f>
        <v>APAGADO</v>
      </c>
      <c r="AA197" t="str">
        <f>ESTADISTICA!AA196</f>
        <v>APAGADO</v>
      </c>
      <c r="AB197" t="str">
        <f>ESTADISTICA!AB196</f>
        <v>APAGADO</v>
      </c>
      <c r="AC197" t="str">
        <f>ESTADISTICA!AC196</f>
        <v>APAGADO</v>
      </c>
      <c r="AD197">
        <f>ESTADISTICA!AD196</f>
        <v>0</v>
      </c>
      <c r="AE197">
        <f>ESTADISTICA!AE196</f>
        <v>0</v>
      </c>
      <c r="AF197" t="str">
        <f>ESTADISTICA!AF196</f>
        <v>APAGADO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 t="str">
        <f>ESTADISTICA!R197</f>
        <v>APAGADO</v>
      </c>
      <c r="S198" t="str">
        <f>ESTADISTICA!S197</f>
        <v>APAGADO</v>
      </c>
      <c r="T198" t="str">
        <f>ESTADISTICA!T197</f>
        <v>APAGADO</v>
      </c>
      <c r="U198" t="str">
        <f>ESTADISTICA!U197</f>
        <v>APAGADO</v>
      </c>
      <c r="V198" t="str">
        <f>ESTADISTICA!V197</f>
        <v>APAGADO</v>
      </c>
      <c r="W198" t="str">
        <f>ESTADISTICA!W197</f>
        <v>APAGADO</v>
      </c>
      <c r="X198" t="str">
        <f>ESTADISTICA!X197</f>
        <v>APAGADO</v>
      </c>
      <c r="Y198" t="str">
        <f>ESTADISTICA!Y197</f>
        <v>APAGADO</v>
      </c>
      <c r="Z198" t="str">
        <f>ESTADISTICA!Z197</f>
        <v>APAGADO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 t="str">
        <f>ESTADISTICA!AF197</f>
        <v>APAGADO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 t="str">
        <f>ESTADISTICA!AD198</f>
        <v>APAGADO</v>
      </c>
      <c r="AE199" t="str">
        <f>ESTADISTICA!AE198</f>
        <v>APAGADO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 t="str">
        <f>ESTADISTICA!F199</f>
        <v>APAGADO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 t="str">
        <f>ESTADISTICA!AA200</f>
        <v>APAGADO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 t="str">
        <f>ESTADISTICA!AD201</f>
        <v>APAGADO</v>
      </c>
      <c r="AE202" t="str">
        <f>ESTADISTICA!AE201</f>
        <v>APAGADO</v>
      </c>
      <c r="AF202" t="str">
        <f>ESTADISTICA!AF201</f>
        <v>APAGADO</v>
      </c>
      <c r="AG202" t="str">
        <f>ESTADISTICA!AG201</f>
        <v>APAGADO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 t="str">
        <f>ESTADISTICA!AD202</f>
        <v>APAGADO</v>
      </c>
      <c r="AE203" t="str">
        <f>ESTADISTICA!AE202</f>
        <v>APAGADO</v>
      </c>
      <c r="AF203" t="str">
        <f>ESTADISTICA!AF202</f>
        <v>APAGADO</v>
      </c>
      <c r="AG203" t="str">
        <f>ESTADISTICA!AG202</f>
        <v>APAGADO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 t="str">
        <f>ESTADISTICA!AA203</f>
        <v>APAGADO</v>
      </c>
      <c r="AB204" t="str">
        <f>ESTADISTICA!AB203</f>
        <v>APAGADO</v>
      </c>
      <c r="AC204" t="str">
        <f>ESTADISTICA!AC203</f>
        <v>APAGADO</v>
      </c>
      <c r="AD204" t="str">
        <f>ESTADISTICA!AD203</f>
        <v>APAGADO</v>
      </c>
      <c r="AE204" t="str">
        <f>ESTADISTICA!AE203</f>
        <v>APAGADO</v>
      </c>
      <c r="AF204" t="str">
        <f>ESTADISTICA!AF203</f>
        <v>APAGADO</v>
      </c>
      <c r="AG204" t="str">
        <f>ESTADISTICA!AG203</f>
        <v>APAGADO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 t="str">
        <f>ESTADISTICA!V204</f>
        <v>APAGADO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 t="str">
        <f>ESTADISTICA!AF206</f>
        <v>APAGADO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 t="str">
        <f>ESTADISTICA!AF207</f>
        <v>APAGADO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 t="str">
        <f>ESTADISTICA!AA210</f>
        <v>APAGADO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 t="str">
        <f>ESTADISTICA!AF211</f>
        <v>APAGADO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 t="str">
        <f>ESTADISTICA!AF212</f>
        <v>APAGADO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 t="str">
        <f>ESTADISTICA!AF213</f>
        <v>APAGADO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 t="str">
        <f>ESTADISTICA!AF214</f>
        <v>APAGADO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 t="str">
        <f>ESTADISTICA!AD215</f>
        <v>APAGADO</v>
      </c>
      <c r="AE216">
        <f>ESTADISTICA!AE215</f>
        <v>0</v>
      </c>
      <c r="AF216" t="str">
        <f>ESTADISTICA!AF215</f>
        <v>APAGADO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 t="str">
        <f>ESTADISTICA!AD216</f>
        <v>APAGADO</v>
      </c>
      <c r="AE217">
        <f>ESTADISTICA!AE216</f>
        <v>0</v>
      </c>
      <c r="AF217" t="str">
        <f>ESTADISTICA!AF216</f>
        <v>APAGADO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 t="str">
        <f>ESTADISTICA!AF217</f>
        <v>APAGADO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 t="str">
        <f>ESTADISTICA!AF218</f>
        <v>APAGADO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 t="str">
        <f>ESTADISTICA!AF219</f>
        <v>APAGADO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 t="str">
        <f>ESTADISTICA!AF220</f>
        <v>APAGADO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 t="str">
        <f>ESTADISTICA!AF221</f>
        <v>APAGADO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 t="str">
        <f>ESTADISTICA!AC224</f>
        <v>APAGADO</v>
      </c>
      <c r="AD225" t="str">
        <f>ESTADISTICA!AD224</f>
        <v>APAGADO</v>
      </c>
      <c r="AE225" t="str">
        <f>ESTADISTICA!AE224</f>
        <v>APAGADO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 t="str">
        <f>ESTADISTICA!S227</f>
        <v>APAGADO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 t="str">
        <f>ESTADISTICA!AD227</f>
        <v>APAGADO</v>
      </c>
      <c r="AE228" t="str">
        <f>ESTADISTICA!AE227</f>
        <v>APAGADO</v>
      </c>
      <c r="AF228" t="str">
        <f>ESTADISTICA!AF227</f>
        <v>APAGADO</v>
      </c>
      <c r="AG228" t="str">
        <f>ESTADISTICA!AG227</f>
        <v>APAGADO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 t="str">
        <f>ESTADISTICA!Z230</f>
        <v>APAGADO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 t="str">
        <f>ESTADISTICA!P238</f>
        <v>APAGADO</v>
      </c>
      <c r="Q239">
        <f>ESTADISTICA!Q238</f>
        <v>0</v>
      </c>
      <c r="R239">
        <f>ESTADISTICA!R238</f>
        <v>0</v>
      </c>
      <c r="S239">
        <f>ESTADISTICA!S238</f>
        <v>0</v>
      </c>
      <c r="T239" t="str">
        <f>ESTADISTICA!T238</f>
        <v>APAGADO</v>
      </c>
      <c r="U239" t="str">
        <f>ESTADISTICA!U238</f>
        <v>APAGADO</v>
      </c>
      <c r="V239" t="str">
        <f>ESTADISTICA!V238</f>
        <v>APAGADO</v>
      </c>
      <c r="W239" t="str">
        <f>ESTADISTICA!W238</f>
        <v>APAGADO</v>
      </c>
      <c r="X239" t="str">
        <f>ESTADISTICA!X238</f>
        <v>APAGADO</v>
      </c>
      <c r="Y239" t="str">
        <f>ESTADISTICA!Y238</f>
        <v>APAGADO</v>
      </c>
      <c r="Z239" t="str">
        <f>ESTADISTICA!Z238</f>
        <v>APAGADO</v>
      </c>
      <c r="AA239" t="str">
        <f>ESTADISTICA!AA238</f>
        <v>APAGADO</v>
      </c>
      <c r="AB239" t="str">
        <f>ESTADISTICA!AB238</f>
        <v>APAGADO</v>
      </c>
      <c r="AC239" t="str">
        <f>ESTADISTICA!AC238</f>
        <v>APAGADO</v>
      </c>
      <c r="AD239" t="str">
        <f>ESTADISTICA!AD238</f>
        <v>APAGADO</v>
      </c>
      <c r="AE239" t="str">
        <f>ESTADISTICA!AE238</f>
        <v>APAGADO</v>
      </c>
      <c r="AF239" t="str">
        <f>ESTADISTICA!AF238</f>
        <v>APAGADO</v>
      </c>
      <c r="AG239" t="str">
        <f>ESTADISTICA!AG238</f>
        <v>APAGADO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 t="str">
        <f>ESTADISTICA!T239</f>
        <v>APAGADO</v>
      </c>
      <c r="U240" t="str">
        <f>ESTADISTICA!U239</f>
        <v>APAGADO</v>
      </c>
      <c r="V240" t="str">
        <f>ESTADISTICA!V239</f>
        <v>APAGADO</v>
      </c>
      <c r="W240" t="str">
        <f>ESTADISTICA!W239</f>
        <v>APAGADO</v>
      </c>
      <c r="X240" t="str">
        <f>ESTADISTICA!X239</f>
        <v>APAGADO</v>
      </c>
      <c r="Y240" t="str">
        <f>ESTADISTICA!Y239</f>
        <v>APAGADO</v>
      </c>
      <c r="Z240" t="str">
        <f>ESTADISTICA!Z239</f>
        <v>APAGADO</v>
      </c>
      <c r="AA240" t="str">
        <f>ESTADISTICA!AA239</f>
        <v>APAGADO</v>
      </c>
      <c r="AB240" t="str">
        <f>ESTADISTICA!AB239</f>
        <v>APAGADO</v>
      </c>
      <c r="AC240" t="str">
        <f>ESTADISTICA!AC239</f>
        <v>APAGADO</v>
      </c>
      <c r="AD240" t="str">
        <f>ESTADISTICA!AD239</f>
        <v>APAGADO</v>
      </c>
      <c r="AE240" t="str">
        <f>ESTADISTICA!AE239</f>
        <v>APAGADO</v>
      </c>
      <c r="AF240" t="str">
        <f>ESTADISTICA!AF239</f>
        <v>APAGADO</v>
      </c>
      <c r="AG240" t="str">
        <f>ESTADISTICA!AG239</f>
        <v>APAGADO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 t="str">
        <f>ESTADISTICA!AC240</f>
        <v>APAGADO</v>
      </c>
      <c r="AD241" t="str">
        <f>ESTADISTICA!AD240</f>
        <v>APAGADO</v>
      </c>
      <c r="AE241" t="str">
        <f>ESTADISTICA!AE240</f>
        <v>APAGADO</v>
      </c>
      <c r="AF241" t="str">
        <f>ESTADISTICA!AF240</f>
        <v>APAGADO</v>
      </c>
      <c r="AG241" t="str">
        <f>ESTADISTICA!AG240</f>
        <v>APAGADO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 t="str">
        <f>ESTADISTICA!Z241</f>
        <v>APAGADO</v>
      </c>
      <c r="AA242" t="str">
        <f>ESTADISTICA!AA241</f>
        <v>APAGADO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 t="str">
        <f>ESTADISTICA!AE241</f>
        <v>APAGADO</v>
      </c>
      <c r="AF242" t="str">
        <f>ESTADISTICA!AF241</f>
        <v>APAGADO</v>
      </c>
      <c r="AG242" t="str">
        <f>ESTADISTICA!AG241</f>
        <v>APAGADO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>
        <f>ESTADISTICA!Q243</f>
        <v>0</v>
      </c>
      <c r="R244">
        <f>ESTADISTICA!R243</f>
        <v>0</v>
      </c>
      <c r="S244">
        <f>ESTADISTICA!S243</f>
        <v>0</v>
      </c>
      <c r="T244" t="str">
        <f>ESTADISTICA!T243</f>
        <v>APAGADO</v>
      </c>
      <c r="U244" t="str">
        <f>ESTADISTICA!U243</f>
        <v>APAGADO</v>
      </c>
      <c r="V244" t="str">
        <f>ESTADISTICA!V243</f>
        <v>APAGADO</v>
      </c>
      <c r="W244" t="str">
        <f>ESTADISTICA!W243</f>
        <v>APAGADO</v>
      </c>
      <c r="X244" t="str">
        <f>ESTADISTICA!X243</f>
        <v>APAGADO</v>
      </c>
      <c r="Y244" t="str">
        <f>ESTADISTICA!Y243</f>
        <v>APAGADO</v>
      </c>
      <c r="Z244" t="str">
        <f>ESTADISTICA!Z243</f>
        <v>APAGADO</v>
      </c>
      <c r="AA244" t="str">
        <f>ESTADISTICA!AA243</f>
        <v>APAGADO</v>
      </c>
      <c r="AB244" t="str">
        <f>ESTADISTICA!AB243</f>
        <v>APAGADO</v>
      </c>
      <c r="AC244" t="str">
        <f>ESTADISTICA!AC243</f>
        <v>APAGADO</v>
      </c>
      <c r="AD244" t="str">
        <f>ESTADISTICA!AD243</f>
        <v>APAGADO</v>
      </c>
      <c r="AE244" t="str">
        <f>ESTADISTICA!AE243</f>
        <v>APAGADO</v>
      </c>
      <c r="AF244" t="str">
        <f>ESTADISTICA!AF243</f>
        <v>APAGADO</v>
      </c>
      <c r="AG244" t="str">
        <f>ESTADISTICA!AG243</f>
        <v>APAGADO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 t="str">
        <f>ESTADISTICA!V244</f>
        <v>APAGADO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 t="str">
        <f>ESTADISTICA!AF244</f>
        <v>APAGADO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 t="str">
        <f>ESTADISTICA!AC247</f>
        <v>APAGADO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 t="str">
        <f>ESTADISTICA!T258</f>
        <v>APAGADO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 t="str">
        <f>ESTADISTICA!AF264</f>
        <v>APAGADO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 t="str">
        <f>ESTADISTICA!X267</f>
        <v>APAGADO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 t="str">
        <f>ESTADISTICA!AD267</f>
        <v>APAGADO</v>
      </c>
      <c r="AE268" t="str">
        <f>ESTADISTICA!AE267</f>
        <v>APAGADO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 t="str">
        <f>ESTADISTICA!F269</f>
        <v>APAGADO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 t="str">
        <f>ESTADISTICA!O269</f>
        <v>APAGADO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 t="str">
        <f>ESTADISTICA!AF269</f>
        <v>APAGADO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 t="str">
        <f>ESTADISTICA!AF276</f>
        <v>APAGADO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 t="str">
        <f>ESTADISTICA!L278</f>
        <v>APAGADO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>
        <f>ESTADISTICA!O280</f>
        <v>0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 t="str">
        <f>ESTADISTICA!L281</f>
        <v>APAGADO</v>
      </c>
      <c r="M282" t="str">
        <f>ESTADISTICA!M281</f>
        <v>APAGADO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 t="str">
        <f>ESTADISTICA!AF281</f>
        <v>APAGADO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 t="str">
        <f>ESTADISTICA!AF282</f>
        <v>APAGADO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 t="str">
        <f>ESTADISTICA!AF283</f>
        <v>APAGADO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 t="str">
        <f>ESTADISTICA!AF284</f>
        <v>APAGADO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 t="str">
        <f>ESTADISTICA!T285</f>
        <v>APAGADO</v>
      </c>
      <c r="U286">
        <f>ESTADISTICA!U285</f>
        <v>0</v>
      </c>
      <c r="V286" t="str">
        <f>ESTADISTICA!V285</f>
        <v>APAGADO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 t="str">
        <f>ESTADISTICA!Y286</f>
        <v>APAGADO</v>
      </c>
      <c r="Z287" t="str">
        <f>ESTADISTICA!Z286</f>
        <v>APAGADO</v>
      </c>
      <c r="AA287" t="str">
        <f>ESTADISTICA!AA286</f>
        <v>APAGADO</v>
      </c>
      <c r="AB287" t="str">
        <f>ESTADISTICA!AB286</f>
        <v>APAGADO</v>
      </c>
      <c r="AC287" t="str">
        <f>ESTADISTICA!AC286</f>
        <v>APAGADO</v>
      </c>
      <c r="AD287" t="str">
        <f>ESTADISTICA!AD286</f>
        <v>APAGADO</v>
      </c>
      <c r="AE287" t="str">
        <f>ESTADISTICA!AE286</f>
        <v>APAGADO</v>
      </c>
      <c r="AF287" t="str">
        <f>ESTADISTICA!AF286</f>
        <v>APAGADO</v>
      </c>
      <c r="AG287" t="str">
        <f>ESTADISTICA!AG286</f>
        <v>APAGADO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 t="str">
        <f>ESTADISTICA!AG287</f>
        <v>APAGADO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 t="str">
        <f>ESTADISTICA!AG288</f>
        <v>APAGADO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 t="str">
        <f>ESTADISTICA!AG289</f>
        <v>APAGADO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 t="str">
        <f>ESTADISTICA!AG290</f>
        <v>APAGADO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 t="str">
        <f>ESTADISTICA!AG291</f>
        <v>APAGADO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 t="str">
        <f>ESTADISTICA!AG292</f>
        <v>APAGADO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 t="str">
        <f>ESTADISTICA!F293</f>
        <v>APAGADO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 t="str">
        <f>ESTADISTICA!X293</f>
        <v>APAGADO</v>
      </c>
      <c r="Y294" t="str">
        <f>ESTADISTICA!Y293</f>
        <v>APAGADO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 t="str">
        <f>ESTADISTICA!AD293</f>
        <v>APAGADO</v>
      </c>
      <c r="AE294" t="str">
        <f>ESTADISTICA!AE293</f>
        <v>APAGADO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 t="str">
        <f>ESTADISTICA!F294</f>
        <v>APAGADO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 t="str">
        <f>ESTADISTICA!AC294</f>
        <v>APAGADO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 t="str">
        <f>ESTADISTICA!V300</f>
        <v>APAGADO</v>
      </c>
      <c r="W301" t="str">
        <f>ESTADISTICA!W300</f>
        <v>APAGADO</v>
      </c>
      <c r="X301" t="str">
        <f>ESTADISTICA!X300</f>
        <v>APAGADO</v>
      </c>
      <c r="Y301" t="str">
        <f>ESTADISTICA!Y300</f>
        <v>APAGADO</v>
      </c>
      <c r="Z301" t="str">
        <f>ESTADISTICA!Z300</f>
        <v>APAGADO</v>
      </c>
      <c r="AA301" t="str">
        <f>ESTADISTICA!AA300</f>
        <v>APAGADO</v>
      </c>
      <c r="AB301" t="str">
        <f>ESTADISTICA!AB300</f>
        <v>APAGADO</v>
      </c>
      <c r="AC301" t="str">
        <f>ESTADISTICA!AC300</f>
        <v>APAGADO</v>
      </c>
      <c r="AD301" t="str">
        <f>ESTADISTICA!AD300</f>
        <v>APAGADO</v>
      </c>
      <c r="AE301" t="str">
        <f>ESTADISTICA!AE300</f>
        <v>APAGADO</v>
      </c>
      <c r="AF301" t="str">
        <f>ESTADISTICA!AF300</f>
        <v>APAGADO</v>
      </c>
      <c r="AG301" t="str">
        <f>ESTADISTICA!AG300</f>
        <v>APAGADO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 t="str">
        <f>ESTADISTICA!AD301</f>
        <v>APAGADO</v>
      </c>
      <c r="AE302" t="str">
        <f>ESTADISTICA!AE301</f>
        <v>APAGADO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 t="str">
        <f>ESTADISTICA!AD302</f>
        <v>APAGADO</v>
      </c>
      <c r="AE303" t="str">
        <f>ESTADISTICA!AE302</f>
        <v>APAGADO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 t="str">
        <f>ESTADISTICA!AD303</f>
        <v>APAGADO</v>
      </c>
      <c r="AE304" t="str">
        <f>ESTADISTICA!AE303</f>
        <v>APAGADO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 t="str">
        <f>ESTADISTICA!AD304</f>
        <v>APAGADO</v>
      </c>
      <c r="AE305" t="str">
        <f>ESTADISTICA!AE304</f>
        <v>APAGADO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 t="str">
        <f>ESTADISTICA!L306</f>
        <v>APAGADO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 t="str">
        <f>ESTADISTICA!X306</f>
        <v>APAGADO</v>
      </c>
      <c r="Y307" t="str">
        <f>ESTADISTICA!Y306</f>
        <v>APAGADO</v>
      </c>
      <c r="Z307" t="str">
        <f>ESTADISTICA!Z306</f>
        <v>APAGADO</v>
      </c>
      <c r="AA307" t="str">
        <f>ESTADISTICA!AA306</f>
        <v>APAGADO</v>
      </c>
      <c r="AB307">
        <f>ESTADISTICA!AB306</f>
        <v>0</v>
      </c>
      <c r="AC307">
        <f>ESTADISTICA!AC306</f>
        <v>0</v>
      </c>
      <c r="AD307" t="str">
        <f>ESTADISTICA!AD306</f>
        <v>APAGADO</v>
      </c>
      <c r="AE307" t="str">
        <f>ESTADISTICA!AE306</f>
        <v>APAGADO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 t="str">
        <f>ESTADISTICA!AD307</f>
        <v>APAGADO</v>
      </c>
      <c r="AE308" t="str">
        <f>ESTADISTICA!AE307</f>
        <v>APAGADO</v>
      </c>
      <c r="AF308" t="str">
        <f>ESTADISTICA!AF307</f>
        <v>APAGADO</v>
      </c>
      <c r="AG308" t="str">
        <f>ESTADISTICA!AG307</f>
        <v>APAGADO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 t="str">
        <f>ESTADISTICA!AF310</f>
        <v>APAGADO</v>
      </c>
      <c r="AG311" t="str">
        <f>ESTADISTICA!AG310</f>
        <v>APAGADO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 t="str">
        <f>ESTADISTICA!AF315</f>
        <v>APAGADO</v>
      </c>
      <c r="AG316" t="str">
        <f>ESTADISTICA!AG315</f>
        <v>APAGADO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 t="str">
        <f>ESTADISTICA!AF316</f>
        <v>APAGADO</v>
      </c>
      <c r="AG317" t="str">
        <f>ESTADISTICA!AG316</f>
        <v>APAGADO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 t="str">
        <f>ESTADISTICA!P318</f>
        <v>APAGADO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>
        <f>ESTADISTICA!AA322</f>
        <v>0</v>
      </c>
      <c r="AB323" t="str">
        <f>ESTADISTICA!AB322</f>
        <v>APAGADO</v>
      </c>
      <c r="AC323">
        <f>ESTADISTICA!AC322</f>
        <v>0</v>
      </c>
      <c r="AD323" t="str">
        <f>ESTADISTICA!AD322</f>
        <v>APAGADO</v>
      </c>
      <c r="AE323" t="str">
        <f>ESTADISTICA!AE322</f>
        <v>APAGADO</v>
      </c>
      <c r="AF323" t="str">
        <f>ESTADISTICA!AF322</f>
        <v>APAGADO</v>
      </c>
      <c r="AG323" t="str">
        <f>ESTADISTICA!AG322</f>
        <v>APAGADO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 t="str">
        <f>ESTADISTICA!X324</f>
        <v>APAGADO</v>
      </c>
      <c r="Y325" t="str">
        <f>ESTADISTICA!Y324</f>
        <v>APAGADO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 t="str">
        <f>ESTADISTICA!AD324</f>
        <v>APAGADO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 t="str">
        <f>ESTADISTICA!AF325</f>
        <v>APAGADO</v>
      </c>
      <c r="AG326" t="str">
        <f>ESTADISTICA!AG325</f>
        <v>APAGADO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 t="str">
        <f>ESTADISTICA!AF326</f>
        <v>APAGADO</v>
      </c>
      <c r="AG327" t="str">
        <f>ESTADISTICA!AG326</f>
        <v>APAGADO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 t="str">
        <f>ESTADISTICA!X331</f>
        <v>APAGADO</v>
      </c>
      <c r="Y332" t="str">
        <f>ESTADISTICA!Y331</f>
        <v>APAGADO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 t="str">
        <f>ESTADISTICA!AD331</f>
        <v>APAGADO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 t="str">
        <f>ESTADISTICA!AG337</f>
        <v>APAGADO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 t="str">
        <f>ESTADISTICA!X340</f>
        <v>APAGADO</v>
      </c>
      <c r="Y341" t="str">
        <f>ESTADISTICA!Y340</f>
        <v>APAGADO</v>
      </c>
      <c r="Z341" t="str">
        <f>ESTADISTICA!Z340</f>
        <v>APAGADO</v>
      </c>
      <c r="AA341" t="str">
        <f>ESTADISTICA!AA340</f>
        <v>APAGADO</v>
      </c>
      <c r="AB341" t="str">
        <f>ESTADISTICA!AB340</f>
        <v>APAGADO</v>
      </c>
      <c r="AC341" t="str">
        <f>ESTADISTICA!AC340</f>
        <v>APAGADO</v>
      </c>
      <c r="AD341" t="str">
        <f>ESTADISTICA!AD340</f>
        <v>APAGADO</v>
      </c>
      <c r="AE341" t="str">
        <f>ESTADISTICA!AE340</f>
        <v>APAGADO</v>
      </c>
      <c r="AF341" t="str">
        <f>ESTADISTICA!AF340</f>
        <v>APAGADO</v>
      </c>
      <c r="AG341" t="str">
        <f>ESTADISTICA!AG340</f>
        <v>APAGADO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 t="str">
        <f>ESTADISTICA!AF342</f>
        <v>APAGADO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 t="str">
        <f>ESTADISTICA!AF343</f>
        <v>APAGADO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 t="str">
        <f>ESTADISTICA!AF344</f>
        <v>APAGADO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 t="str">
        <f>ESTADISTICA!AF345</f>
        <v>APAGADO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 t="str">
        <f>ESTADISTICA!AB349</f>
        <v>APAGADO</v>
      </c>
      <c r="AC350" t="str">
        <f>ESTADISTICA!AC349</f>
        <v>APAGADO</v>
      </c>
      <c r="AD350" t="str">
        <f>ESTADISTICA!AD349</f>
        <v>APAGADO</v>
      </c>
      <c r="AE350" t="str">
        <f>ESTADISTICA!AE349</f>
        <v>APAGADO</v>
      </c>
      <c r="AF350" t="str">
        <f>ESTADISTICA!AF349</f>
        <v>APAGADO</v>
      </c>
      <c r="AG350" t="str">
        <f>ESTADISTICA!AG349</f>
        <v>APAGADO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 t="str">
        <f>ESTADISTICA!AC352</f>
        <v>APAGADO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 t="str">
        <f>ESTADISTICA!I355</f>
        <v>APAGADO</v>
      </c>
      <c r="J356" t="str">
        <f>ESTADISTICA!J355</f>
        <v>APAGADO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>
        <f>ESTADISTICA!AC360</f>
        <v>0</v>
      </c>
      <c r="AD361" t="str">
        <f>ESTADISTICA!AD360</f>
        <v>APAGADO</v>
      </c>
      <c r="AE361" t="str">
        <f>ESTADISTICA!AE360</f>
        <v>APAGADO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 t="str">
        <f>ESTADISTICA!AF368</f>
        <v>APAGADO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 t="str">
        <f>ESTADISTICA!AF369</f>
        <v>APAGADO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 t="str">
        <f>ESTADISTICA!AF370</f>
        <v>APAGADO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 t="str">
        <f>ESTADISTICA!AF371</f>
        <v>APAGADO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 t="str">
        <f>ESTADISTICA!AF372</f>
        <v>APAGADO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 t="str">
        <f>ESTADISTICA!AF373</f>
        <v>APAGADO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 t="str">
        <f>ESTADISTICA!AE374</f>
        <v>APAGADO</v>
      </c>
      <c r="AF375" t="str">
        <f>ESTADISTICA!AF374</f>
        <v>APAGADO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D217" sqref="AD217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3" t="s">
        <v>1321</v>
      </c>
      <c r="D1" s="54">
        <f>COUNTIFS(E4:E369,"=Fibra Optica")</f>
        <v>237</v>
      </c>
    </row>
    <row r="2" spans="1:36" ht="21" x14ac:dyDescent="0.35">
      <c r="E2" s="26" t="s">
        <v>934</v>
      </c>
      <c r="F2" s="26">
        <f>COUNTIFS(F4:F367, "=APAGADO",E4:E367,"=Fibra Optica")</f>
        <v>30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29</v>
      </c>
      <c r="J2" s="26">
        <f>COUNTIFS(J4:J367, "=APAGADO",E4:E367,"=Fibra Optica")</f>
        <v>26</v>
      </c>
      <c r="K2" s="26">
        <f>COUNTIFS(K4:K367, "=APAGADO",E4:E367,"=Fibra Optica")</f>
        <v>20</v>
      </c>
      <c r="L2" s="26">
        <f>COUNTIFS(L4:L367, "=APAGADO",E4:E367,"=Fibra Optica")</f>
        <v>24</v>
      </c>
      <c r="M2" s="26">
        <f>COUNTIFS(M4:M367, "=APAGADO",E4:E367,"=Fibra Optica")</f>
        <v>18</v>
      </c>
      <c r="N2" s="26">
        <f>COUNTIFS(N4:N367, "=APAGADO",E4:E367,"=Fibra Optica")</f>
        <v>17</v>
      </c>
      <c r="O2" s="26">
        <f>COUNTIFS(O4:O367, "=APAGADO",E4:E367,"=Fibra Optica")</f>
        <v>17</v>
      </c>
      <c r="P2" s="26">
        <f>COUNTIFS(P4:P367, "=APAGADO",E4:E367,"=Fibra Optica")</f>
        <v>36</v>
      </c>
      <c r="Q2" s="26">
        <f>COUNTIFS(Q4:Q367, "=APAGADO",E4:E367,"=Fibra Optica")</f>
        <v>17</v>
      </c>
      <c r="R2" s="26">
        <f>COUNTIFS(R4:R367, "=APAGADO",E4:E367,"=Fibra Optica")</f>
        <v>18</v>
      </c>
      <c r="S2" s="26">
        <f>COUNTIFS(S4:S367, "=APAGADO",E4:E367,"=Fibra Optica")</f>
        <v>25</v>
      </c>
      <c r="T2" s="26">
        <f>COUNTIFS(T4:T367, "=APAGADO",E4:E367,"=Fibra Optica")</f>
        <v>17</v>
      </c>
      <c r="U2" s="26">
        <f>COUNTIFS(U4:U367, "=APAGADO",E4:E367,"=Fibra Optica")</f>
        <v>18</v>
      </c>
      <c r="V2" s="26">
        <f>COUNTIFS(V4:V367, "=APAGADO",E4:E367,"=Fibra Optica")</f>
        <v>17</v>
      </c>
      <c r="W2" s="26">
        <f>COUNTIFS(W4:W367, "=APAGADO",E4:E367,"=Fibra Optica")</f>
        <v>18</v>
      </c>
      <c r="X2" s="26">
        <f>COUNTIFS(X4:X367, "=APAGADO",E4:E367,"=Fibra Optica")</f>
        <v>31</v>
      </c>
      <c r="Y2" s="26">
        <f>COUNTIFS(Y4:Y367, "=APAGADO",E4:E367,"=Fibra Optica")</f>
        <v>28</v>
      </c>
      <c r="Z2" s="26">
        <f>COUNTIFS(Z4:Z367, "=APAGADO",E4:E367,"=Fibra Optica")</f>
        <v>25</v>
      </c>
      <c r="AA2" s="26">
        <f>COUNTIFS(AA4:AA367, "=APAGADO",E4:E367,"=Fibra Optica")</f>
        <v>25</v>
      </c>
      <c r="AB2" s="26">
        <f>COUNTIFS(AB4:AB367, "=APAGADO",E4:E367,"=Fibra Optica")</f>
        <v>20</v>
      </c>
      <c r="AC2" s="26">
        <f>COUNTIFS(AC4:AC367, "=APAGADO",E4:E367,"=Fibra Optica")</f>
        <v>19</v>
      </c>
      <c r="AD2" s="26">
        <f>COUNTIFS(AD4:AD367, "=APAGADO",E4:E367,"=Fibra Optica")</f>
        <v>45</v>
      </c>
      <c r="AE2" s="26">
        <f>COUNTIFS(AE4:AE367, "=APAGADO",E4:E367,"=Fibra Optica")</f>
        <v>39</v>
      </c>
      <c r="AF2" s="26">
        <f>COUNTIFS(AF4:AF367, "=APAGADO",E4:E367,"=Fibra Optica")</f>
        <v>62</v>
      </c>
      <c r="AG2" s="26">
        <f>COUNTIFS(AG4:AG367, "=APAGADO",E4:E367,"=Fibra Optica")</f>
        <v>37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 t="str">
        <f>ESTADISTICA!AF2</f>
        <v>APAGADO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 t="str">
        <f>ESTADISTICA!AE7</f>
        <v>APAGADO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 t="str">
        <f>ESTADISTICA!Z9</f>
        <v>APAGADO</v>
      </c>
      <c r="AA11" t="str">
        <f>ESTADISTICA!AA9</f>
        <v>APAGADO</v>
      </c>
      <c r="AB11" t="str">
        <f>ESTADISTICA!AB9</f>
        <v>APAGADO</v>
      </c>
      <c r="AC11">
        <f>ESTADISTICA!AC9</f>
        <v>0</v>
      </c>
      <c r="AD11" t="str">
        <f>ESTADISTICA!AD9</f>
        <v>APAGADO</v>
      </c>
      <c r="AE11" t="str">
        <f>ESTADISTICA!AE9</f>
        <v>APAGADO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 t="str">
        <f>ESTADISTICA!AD10</f>
        <v>APAGADO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 t="str">
        <f>ESTADISTICA!AD11</f>
        <v>APAGADO</v>
      </c>
      <c r="AE13" t="str">
        <f>ESTADISTICA!AE11</f>
        <v>APAGADO</v>
      </c>
      <c r="AF13" t="str">
        <f>ESTADISTICA!AF11</f>
        <v>APAGADO</v>
      </c>
      <c r="AG13" t="str">
        <f>ESTADISTICA!AG11</f>
        <v>APAGADO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 t="str">
        <f>ESTADISTICA!AC16</f>
        <v>APAGADO</v>
      </c>
      <c r="AD18" t="str">
        <f>ESTADISTICA!AD16</f>
        <v>APAGADO</v>
      </c>
      <c r="AE18" t="str">
        <f>ESTADISTICA!AE16</f>
        <v>APAGADO</v>
      </c>
      <c r="AF18" t="str">
        <f>ESTADISTICA!AF16</f>
        <v>APAGADO</v>
      </c>
      <c r="AG18" t="str">
        <f>ESTADISTICA!AG16</f>
        <v>APAGADO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 t="str">
        <f>ESTADISTICA!Z18</f>
        <v>APAGADO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 t="str">
        <f>ESTADISTICA!AD19</f>
        <v>APAGADO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 t="str">
        <f>ESTADISTICA!AF25</f>
        <v>APAGADO</v>
      </c>
      <c r="AG27" t="str">
        <f>ESTADISTICA!AG25</f>
        <v>APAGADO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 t="str">
        <f>ESTADISTICA!AD42</f>
        <v>APAGADO</v>
      </c>
      <c r="AE44" t="str">
        <f>ESTADISTICA!AE42</f>
        <v>APAGADO</v>
      </c>
      <c r="AF44" t="str">
        <f>ESTADISTICA!AF42</f>
        <v>APAGADO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 t="str">
        <f>ESTADISTICA!Z50</f>
        <v>APAGADO</v>
      </c>
      <c r="AA52" t="str">
        <f>ESTADISTICA!AA50</f>
        <v>APAGADO</v>
      </c>
      <c r="AB52" t="str">
        <f>ESTADISTICA!AB50</f>
        <v>APAGADO</v>
      </c>
      <c r="AC52">
        <f>ESTADISTICA!AC50</f>
        <v>0</v>
      </c>
      <c r="AD52" t="str">
        <f>ESTADISTICA!AD50</f>
        <v>APAGADO</v>
      </c>
      <c r="AE52" t="str">
        <f>ESTADISTICA!AE50</f>
        <v>APAGADO</v>
      </c>
      <c r="AF52">
        <f>ESTADISTICA!AF50</f>
        <v>0</v>
      </c>
      <c r="AG52">
        <f>ESTADISTICA!AG50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 t="str">
        <f>ESTADISTICA!AD52</f>
        <v>APAGADO</v>
      </c>
      <c r="AE54" t="str">
        <f>ESTADISTICA!AE52</f>
        <v>APAGADO</v>
      </c>
      <c r="AF54" t="str">
        <f>ESTADISTICA!AF52</f>
        <v>APAGADO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 t="str">
        <f>ESTADISTICA!Z63</f>
        <v>APAGADO</v>
      </c>
      <c r="AA65" t="str">
        <f>ESTADISTICA!AA63</f>
        <v>APAGADO</v>
      </c>
      <c r="AB65" t="str">
        <f>ESTADISTICA!AB63</f>
        <v>APAGADO</v>
      </c>
      <c r="AC65" t="str">
        <f>ESTADISTICA!AC63</f>
        <v>APAGADO</v>
      </c>
      <c r="AD65" t="str">
        <f>ESTADISTICA!AD63</f>
        <v>APAGADO</v>
      </c>
      <c r="AE65" t="str">
        <f>ESTADISTICA!AE63</f>
        <v>APAGADO</v>
      </c>
      <c r="AF65" t="str">
        <f>ESTADISTICA!AF63</f>
        <v>APAGADO</v>
      </c>
      <c r="AG65" t="str">
        <f>ESTADISTICA!AG63</f>
        <v>APAGADO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 t="str">
        <f>ESTADISTICA!AD70</f>
        <v>APAGADO</v>
      </c>
      <c r="AE72" t="str">
        <f>ESTADISTICA!AE70</f>
        <v>APAGADO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 t="str">
        <f>ESTADISTICA!AF78</f>
        <v>APAGADO</v>
      </c>
      <c r="AG80" t="str">
        <f>ESTADISTICA!AG78</f>
        <v>APAGADO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 t="str">
        <f>ESTADISTICA!AF79</f>
        <v>APAGADO</v>
      </c>
      <c r="AG81" t="str">
        <f>ESTADISTICA!AG79</f>
        <v>APAGADO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 t="str">
        <f>ESTADISTICA!AF98</f>
        <v>APAGADO</v>
      </c>
      <c r="AG100" t="str">
        <f>ESTADISTICA!AG98</f>
        <v>APAGADO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 t="str">
        <f>ESTADISTICA!AE101</f>
        <v>APAGADO</v>
      </c>
      <c r="AF103">
        <f>ESTADISTICA!AF101</f>
        <v>0</v>
      </c>
      <c r="AG103">
        <f>ESTADISTICA!AG101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 t="str">
        <f>ESTADISTICA!AE102</f>
        <v>APAGADO</v>
      </c>
      <c r="AF104">
        <f>ESTADISTICA!AF102</f>
        <v>0</v>
      </c>
      <c r="AG104">
        <f>ESTADISTICA!AG102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 t="str">
        <f>ESTADISTICA!AF111</f>
        <v>APAGADO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 t="str">
        <f>ESTADISTICA!AD112</f>
        <v>APAGADO</v>
      </c>
      <c r="AE114" t="str">
        <f>ESTADISTICA!AE112</f>
        <v>APAGADO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 t="str">
        <f>ESTADISTICA!AD113</f>
        <v>APAGADO</v>
      </c>
      <c r="AE115" t="str">
        <f>ESTADISTICA!AE113</f>
        <v>APAGADO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 t="str">
        <f>ESTADISTICA!AF114</f>
        <v>APAGADO</v>
      </c>
      <c r="AG116">
        <f>ESTADISTICA!AG114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 t="str">
        <f>ESTADISTICA!AF115</f>
        <v>APAGADO</v>
      </c>
      <c r="AG117" t="str">
        <f>ESTADISTICA!AG115</f>
        <v>APAGADO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 t="str">
        <f>ESTADISTICA!AF116</f>
        <v>APAGADO</v>
      </c>
      <c r="AG118" t="str">
        <f>ESTADISTICA!AG116</f>
        <v>APAGADO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 t="str">
        <f>ESTADISTICA!AF117</f>
        <v>APAGADO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 t="str">
        <f>ESTADISTICA!AF118</f>
        <v>APAGADO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 t="str">
        <f>ESTADISTICA!AF120</f>
        <v>APAGADO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 t="str">
        <f>ESTADISTICA!AD121</f>
        <v>APAGADO</v>
      </c>
      <c r="AE123" t="str">
        <f>ESTADISTICA!AE121</f>
        <v>APAGADO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 t="str">
        <f>ESTADISTICA!AE127</f>
        <v>APAGADO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 t="str">
        <f>ESTADISTICA!AE135</f>
        <v>APAGADO</v>
      </c>
      <c r="AF137">
        <f>ESTADISTICA!AF135</f>
        <v>0</v>
      </c>
      <c r="AG137">
        <f>ESTADISTICA!AG135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>
        <f>ESTADISTICA!AF136</f>
        <v>0</v>
      </c>
      <c r="AG138">
        <f>ESTADISTICA!AG136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>
        <f>ESTADISTICA!AF137</f>
        <v>0</v>
      </c>
      <c r="AG139">
        <f>ESTADISTICA!AG137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 t="str">
        <f>ESTADISTICA!AE138</f>
        <v>APAGADO</v>
      </c>
      <c r="AF140">
        <f>ESTADISTICA!AF138</f>
        <v>0</v>
      </c>
      <c r="AG140">
        <f>ESTADISTICA!AG138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 t="str">
        <f>ESTADISTICA!AG163</f>
        <v>APAGADO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 t="str">
        <f>ESTADISTICA!AA165</f>
        <v>APAGADO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 t="str">
        <f>ESTADISTICA!AG174</f>
        <v>APAGADO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 t="str">
        <f>ESTADISTICA!AA183</f>
        <v>APAGADO</v>
      </c>
      <c r="AB185" t="str">
        <f>ESTADISTICA!AB183</f>
        <v>APAGADO</v>
      </c>
      <c r="AC185">
        <f>ESTADISTICA!AC183</f>
        <v>0</v>
      </c>
      <c r="AD185" t="str">
        <f>ESTADISTICA!AD183</f>
        <v>APAGADO</v>
      </c>
      <c r="AE185" t="str">
        <f>ESTADISTICA!AE183</f>
        <v>APAGADO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 t="str">
        <f>ESTADISTICA!AC191</f>
        <v>APAGADO</v>
      </c>
      <c r="AD193" t="str">
        <f>ESTADISTICA!AD191</f>
        <v>APAGADO</v>
      </c>
      <c r="AE193" t="str">
        <f>ESTADISTICA!AE191</f>
        <v>APAGADO</v>
      </c>
      <c r="AF193" t="str">
        <f>ESTADISTICA!AF191</f>
        <v>APAGADO</v>
      </c>
      <c r="AG193" t="str">
        <f>ESTADISTICA!AG191</f>
        <v>APAGADO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 t="str">
        <f>ESTADISTICA!AC192</f>
        <v>APAGADO</v>
      </c>
      <c r="AD194" t="str">
        <f>ESTADISTICA!AD192</f>
        <v>APAGADO</v>
      </c>
      <c r="AE194" t="str">
        <f>ESTADISTICA!AE192</f>
        <v>APAGADO</v>
      </c>
      <c r="AF194" t="str">
        <f>ESTADISTICA!AF192</f>
        <v>APAGADO</v>
      </c>
      <c r="AG194" t="str">
        <f>ESTADISTICA!AG192</f>
        <v>APAGADO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 t="str">
        <f>ESTADISTICA!AC193</f>
        <v>APAGADO</v>
      </c>
      <c r="AD195" t="str">
        <f>ESTADISTICA!AD193</f>
        <v>APAGADO</v>
      </c>
      <c r="AE195" t="str">
        <f>ESTADISTICA!AE193</f>
        <v>APAGADO</v>
      </c>
      <c r="AF195" t="str">
        <f>ESTADISTICA!AF193</f>
        <v>APAGADO</v>
      </c>
      <c r="AG195" t="str">
        <f>ESTADISTICA!AG193</f>
        <v>APAGADO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 t="str">
        <f>ESTADISTICA!AF196</f>
        <v>APAGADO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 t="str">
        <f>ESTADISTICA!AF197</f>
        <v>APAGADO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 t="str">
        <f>ESTADISTICA!AD198</f>
        <v>APAGADO</v>
      </c>
      <c r="AE200" t="str">
        <f>ESTADISTICA!AE198</f>
        <v>APAGADO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 t="str">
        <f>ESTADISTICA!AA200</f>
        <v>APAGADO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 t="str">
        <f>ESTADISTICA!AD201</f>
        <v>APAGADO</v>
      </c>
      <c r="AE203" t="str">
        <f>ESTADISTICA!AE201</f>
        <v>APAGADO</v>
      </c>
      <c r="AF203" t="str">
        <f>ESTADISTICA!AF201</f>
        <v>APAGADO</v>
      </c>
      <c r="AG203" t="str">
        <f>ESTADISTICA!AG201</f>
        <v>APAGADO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 t="str">
        <f>ESTADISTICA!AD202</f>
        <v>APAGADO</v>
      </c>
      <c r="AE204" t="str">
        <f>ESTADISTICA!AE202</f>
        <v>APAGADO</v>
      </c>
      <c r="AF204" t="str">
        <f>ESTADISTICA!AF202</f>
        <v>APAGADO</v>
      </c>
      <c r="AG204" t="str">
        <f>ESTADISTICA!AG202</f>
        <v>APAGADO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 t="str">
        <f>ESTADISTICA!AF206</f>
        <v>APAGADO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 t="str">
        <f>ESTADISTICA!AF207</f>
        <v>APAGADO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 t="str">
        <f>ESTADISTICA!AF213</f>
        <v>APAGADO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 t="str">
        <f>ESTADISTICA!AF214</f>
        <v>APAGADO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 t="str">
        <f>ESTADISTICA!AD215</f>
        <v>APAGADO</v>
      </c>
      <c r="AE217">
        <f>ESTADISTICA!AE215</f>
        <v>0</v>
      </c>
      <c r="AF217" t="str">
        <f>ESTADISTICA!AF215</f>
        <v>APAGADO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 t="str">
        <f>ESTADISTICA!AD216</f>
        <v>APAGADO</v>
      </c>
      <c r="AE218">
        <f>ESTADISTICA!AE216</f>
        <v>0</v>
      </c>
      <c r="AF218" t="str">
        <f>ESTADISTICA!AF216</f>
        <v>APAGADO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 t="str">
        <f>ESTADISTICA!Z224</f>
        <v>APAGADO</v>
      </c>
      <c r="AA226" t="str">
        <f>ESTADISTICA!AA224</f>
        <v>APAGADO</v>
      </c>
      <c r="AB226" t="str">
        <f>ESTADISTICA!AB224</f>
        <v>APAGADO</v>
      </c>
      <c r="AC226" t="str">
        <f>ESTADISTICA!AC224</f>
        <v>APAGADO</v>
      </c>
      <c r="AD226" t="str">
        <f>ESTADISTICA!AD224</f>
        <v>APAGADO</v>
      </c>
      <c r="AE226" t="str">
        <f>ESTADISTICA!AE224</f>
        <v>APAGADO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 t="str">
        <f>ESTADISTICA!Z238</f>
        <v>APAGADO</v>
      </c>
      <c r="AA240" t="str">
        <f>ESTADISTICA!AA238</f>
        <v>APAGADO</v>
      </c>
      <c r="AB240" t="str">
        <f>ESTADISTICA!AB238</f>
        <v>APAGADO</v>
      </c>
      <c r="AC240" t="str">
        <f>ESTADISTICA!AC238</f>
        <v>APAGADO</v>
      </c>
      <c r="AD240" t="str">
        <f>ESTADISTICA!AD238</f>
        <v>APAGADO</v>
      </c>
      <c r="AE240" t="str">
        <f>ESTADISTICA!AE238</f>
        <v>APAGADO</v>
      </c>
      <c r="AF240" t="str">
        <f>ESTADISTICA!AF238</f>
        <v>APAGADO</v>
      </c>
      <c r="AG240" t="str">
        <f>ESTADISTICA!AG238</f>
        <v>APAGADO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 t="str">
        <f>ESTADISTICA!Z239</f>
        <v>APAGADO</v>
      </c>
      <c r="AA241" t="str">
        <f>ESTADISTICA!AA239</f>
        <v>APAGADO</v>
      </c>
      <c r="AB241" t="str">
        <f>ESTADISTICA!AB239</f>
        <v>APAGADO</v>
      </c>
      <c r="AC241" t="str">
        <f>ESTADISTICA!AC239</f>
        <v>APAGADO</v>
      </c>
      <c r="AD241" t="str">
        <f>ESTADISTICA!AD239</f>
        <v>APAGADO</v>
      </c>
      <c r="AE241" t="str">
        <f>ESTADISTICA!AE239</f>
        <v>APAGADO</v>
      </c>
      <c r="AF241" t="str">
        <f>ESTADISTICA!AF239</f>
        <v>APAGADO</v>
      </c>
      <c r="AG241" t="str">
        <f>ESTADISTICA!AG239</f>
        <v>APAGADO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 t="str">
        <f>ESTADISTICA!Z240</f>
        <v>APAGADO</v>
      </c>
      <c r="AA242" t="str">
        <f>ESTADISTICA!AA240</f>
        <v>APAGADO</v>
      </c>
      <c r="AB242" t="str">
        <f>ESTADISTICA!AB240</f>
        <v>APAGADO</v>
      </c>
      <c r="AC242" t="str">
        <f>ESTADISTICA!AC240</f>
        <v>APAGADO</v>
      </c>
      <c r="AD242" t="str">
        <f>ESTADISTICA!AD240</f>
        <v>APAGADO</v>
      </c>
      <c r="AE242" t="str">
        <f>ESTADISTICA!AE240</f>
        <v>APAGADO</v>
      </c>
      <c r="AF242" t="str">
        <f>ESTADISTICA!AF240</f>
        <v>APAGADO</v>
      </c>
      <c r="AG242" t="str">
        <f>ESTADISTICA!AG240</f>
        <v>APAGADO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 t="str">
        <f>ESTADISTICA!AF241</f>
        <v>APAGADO</v>
      </c>
      <c r="AG243" t="str">
        <f>ESTADISTICA!AG241</f>
        <v>APAGADO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 t="str">
        <f>ESTADISTICA!AD243</f>
        <v>APAGADO</v>
      </c>
      <c r="AE245" t="str">
        <f>ESTADISTICA!AE243</f>
        <v>APAGADO</v>
      </c>
      <c r="AF245" t="str">
        <f>ESTADISTICA!AF243</f>
        <v>APAGADO</v>
      </c>
      <c r="AG245" t="str">
        <f>ESTADISTICA!AG243</f>
        <v>APAGADO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 t="str">
        <f>ESTADISTICA!AF244</f>
        <v>APAGADO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 t="str">
        <f>ESTADISTICA!AC247</f>
        <v>APAGADO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 t="str">
        <f>ESTADISTICA!AF264</f>
        <v>APAGADO</v>
      </c>
      <c r="AG266">
        <f>ESTADISTICA!AG264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 t="str">
        <f>ESTADISTICA!AD267</f>
        <v>APAGADO</v>
      </c>
      <c r="AE269" t="str">
        <f>ESTADISTICA!AE267</f>
        <v>APAGADO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 t="str">
        <f>ESTADISTICA!AF269</f>
        <v>APAGADO</v>
      </c>
      <c r="AG271">
        <f>ESTADISTICA!AG269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 t="str">
        <f>ESTADISTICA!AF281</f>
        <v>APAGADO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 t="str">
        <f>ESTADISTICA!AF282</f>
        <v>APAGADO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 t="str">
        <f>ESTADISTICA!AF283</f>
        <v>APAGADO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 t="str">
        <f>ESTADISTICA!AF284</f>
        <v>APAGADO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 t="str">
        <f>ESTADISTICA!AG287</f>
        <v>APAGADO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 t="str">
        <f>ESTADISTICA!AG288</f>
        <v>APAGADO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 t="str">
        <f>ESTADISTICA!AG289</f>
        <v>APAGADO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 t="str">
        <f>ESTADISTICA!AG290</f>
        <v>APAGADO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 t="str">
        <f>ESTADISTICA!AG291</f>
        <v>APAGADO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 t="str">
        <f>ESTADISTICA!AG292</f>
        <v>APAGADO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 t="str">
        <f>ESTADISTICA!AD293</f>
        <v>APAGADO</v>
      </c>
      <c r="AE295" t="str">
        <f>ESTADISTICA!AE293</f>
        <v>APAGADO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 t="str">
        <f>ESTADISTICA!AG300</f>
        <v>APAGADO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 t="str">
        <f>ESTADISTICA!AE301</f>
        <v>APAGADO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 t="str">
        <f>ESTADISTICA!AE302</f>
        <v>APAGADO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 t="str">
        <f>ESTADISTICA!AE303</f>
        <v>APAGADO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 t="str">
        <f>ESTADISTICA!AE304</f>
        <v>APAGADO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 t="str">
        <f>ESTADISTICA!Z306</f>
        <v>APAGADO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 t="str">
        <f>ESTADISTICA!AD306</f>
        <v>APAGADO</v>
      </c>
      <c r="AE308" t="str">
        <f>ESTADISTICA!AE306</f>
        <v>APAGADO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 t="str">
        <f>ESTADISTICA!AD307</f>
        <v>APAGADO</v>
      </c>
      <c r="AE309" t="str">
        <f>ESTADISTICA!AE307</f>
        <v>APAGADO</v>
      </c>
      <c r="AF309" t="str">
        <f>ESTADISTICA!AF307</f>
        <v>APAGADO</v>
      </c>
      <c r="AG309" t="str">
        <f>ESTADISTICA!AG307</f>
        <v>APAGADO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 t="str">
        <f>ESTADISTICA!AF310</f>
        <v>APAGADO</v>
      </c>
      <c r="AG312" t="str">
        <f>ESTADISTICA!AG310</f>
        <v>APAGADO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 t="str">
        <f>ESTADISTICA!AF315</f>
        <v>APAGADO</v>
      </c>
      <c r="AG317" t="str">
        <f>ESTADISTICA!AG315</f>
        <v>APAGADO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 t="str">
        <f>ESTADISTICA!AF316</f>
        <v>APAGADO</v>
      </c>
      <c r="AG318" t="str">
        <f>ESTADISTICA!AG316</f>
        <v>APAGADO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 t="str">
        <f>ESTADISTICA!AB322</f>
        <v>APAGADO</v>
      </c>
      <c r="AC324">
        <f>ESTADISTICA!AC322</f>
        <v>0</v>
      </c>
      <c r="AD324" t="str">
        <f>ESTADISTICA!AD322</f>
        <v>APAGADO</v>
      </c>
      <c r="AE324" t="str">
        <f>ESTADISTICA!AE322</f>
        <v>APAGADO</v>
      </c>
      <c r="AF324" t="str">
        <f>ESTADISTICA!AF322</f>
        <v>APAGADO</v>
      </c>
      <c r="AG324" t="str">
        <f>ESTADISTICA!AG322</f>
        <v>APAGADO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 t="str">
        <f>ESTADISTICA!AF325</f>
        <v>APAGADO</v>
      </c>
      <c r="AG327" t="str">
        <f>ESTADISTICA!AG325</f>
        <v>APAGADO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 t="str">
        <f>ESTADISTICA!AF326</f>
        <v>APAGADO</v>
      </c>
      <c r="AG328" t="str">
        <f>ESTADISTICA!AG326</f>
        <v>APAGADO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 t="str">
        <f>ESTADISTICA!AD331</f>
        <v>APAGADO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 t="str">
        <f>ESTADISTICA!AG337</f>
        <v>APAGADO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 t="str">
        <f>ESTADISTICA!AD340</f>
        <v>APAGADO</v>
      </c>
      <c r="AE342" t="str">
        <f>ESTADISTICA!AE340</f>
        <v>APAGADO</v>
      </c>
      <c r="AF342" t="str">
        <f>ESTADISTICA!AF340</f>
        <v>APAGADO</v>
      </c>
      <c r="AG342" t="str">
        <f>ESTADISTICA!AG340</f>
        <v>APAGADO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 t="str">
        <f>ESTADISTICA!AF342</f>
        <v>APAGADO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 t="str">
        <f>ESTADISTICA!AF343</f>
        <v>APAGADO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 t="str">
        <f>ESTADISTICA!AF344</f>
        <v>APAGADO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 t="str">
        <f>ESTADISTICA!AF345</f>
        <v>APAGADO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 t="str">
        <f>ESTADISTICA!AE360</f>
        <v>APAGADO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  <filterColumn colId="30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D245" sqref="AD24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5" t="s">
        <v>1322</v>
      </c>
      <c r="D1" s="55">
        <f>COUNTIFS(E4:E367,"=PTP A FO")</f>
        <v>38</v>
      </c>
    </row>
    <row r="2" spans="1:36" ht="21" x14ac:dyDescent="0.35">
      <c r="E2" s="26" t="s">
        <v>934</v>
      </c>
      <c r="F2" s="26">
        <f>COUNTIFS(F4:F367, "=APAGADO",E4:E367,"=PTP A FO")</f>
        <v>4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3</v>
      </c>
      <c r="J2" s="26">
        <f>COUNTIFS(J4:J367, "=APAGADO",E4:E367,"=PTP A FO")</f>
        <v>2</v>
      </c>
      <c r="K2" s="26">
        <f>COUNTIFS(K4:K367, "=APAGADO",E4:E367,"=PTP A FO")</f>
        <v>2</v>
      </c>
      <c r="L2" s="26">
        <f>COUNTIFS(L4:L367, "=APAGADO",E4:E367,"=PTP A FO")</f>
        <v>4</v>
      </c>
      <c r="M2" s="26">
        <f>COUNTIFS(M4:M367, "=APAGADO",E4:E367,"=PTP A FO")</f>
        <v>3</v>
      </c>
      <c r="N2" s="26">
        <f>COUNTIFS(N4:N367, "=APAGADO",E4:E367,"=PTP A FO")</f>
        <v>3</v>
      </c>
      <c r="O2" s="26">
        <f>COUNTIFS(O4:O367,"APAGADO", E4:E367,"=PTP A FO" )</f>
        <v>2</v>
      </c>
      <c r="P2" s="26">
        <f>COUNTIFS(P4:P367, "=APAGADO",E4:E367,"=PTP A FO")</f>
        <v>3</v>
      </c>
      <c r="Q2" s="26">
        <f>COUNTIFS(Q4:Q367, "=APAGADO",E4:E367,"=PTP A FO")</f>
        <v>1</v>
      </c>
      <c r="R2" s="26">
        <f>COUNTIFS(R4:R367, "=APAGADO",E4:E367,"=PTP A FO")</f>
        <v>2</v>
      </c>
      <c r="S2" s="26">
        <f>COUNTIFS(S4:S367, "=APAGADO",E4:E367,"=PTP A FO")</f>
        <v>7</v>
      </c>
      <c r="T2" s="26">
        <f>COUNTIFS(T4:T367, "=APAGADO",E4:E367,"=PTP A FO")</f>
        <v>3</v>
      </c>
      <c r="U2" s="26">
        <f>COUNTIFS(U4:U367, "=APAGADO",E4:E367,"=PTP A FO")</f>
        <v>2</v>
      </c>
      <c r="V2" s="26">
        <f>COUNTIFS(V4:V367, "=APAGADO",E4:E367,"=PTP A FO")</f>
        <v>3</v>
      </c>
      <c r="W2" s="26">
        <f>COUNTIFS(W4:W367, "=APAGADO",E4:E367,"=PTP A FO")</f>
        <v>3</v>
      </c>
      <c r="X2" s="26">
        <f>COUNTIFS(X4:X367, "=APAGADO",E4:E367,"=PTP A FO")</f>
        <v>7</v>
      </c>
      <c r="Y2" s="26">
        <f>COUNTIFS(Y4:Y367, "=APAGADO",E4:E367,"=PTP A FO")</f>
        <v>6</v>
      </c>
      <c r="Z2" s="26">
        <f>COUNTIFS(Z4:Z367, "=APAGADO",E4:E367,"=PTP A FO")</f>
        <v>5</v>
      </c>
      <c r="AA2" s="26">
        <f>COUNTIFS(AA4:AA367, "=APAGADO",E4:E367,"=PTP A FO")</f>
        <v>5</v>
      </c>
      <c r="AB2" s="26">
        <f>COUNTIFS(AB4:AB367, "=APAGADO",E4:E367,"=PTP A FO")</f>
        <v>4</v>
      </c>
      <c r="AC2" s="26">
        <f>COUNTIFS(AC4:AC367, "=APAGADO",E4:E367,"=PTP A FO")</f>
        <v>2</v>
      </c>
      <c r="AD2" s="26">
        <f>COUNTIFS(AD4:AD367, "=APAGADO",E4:E367,"=PTP A FO")</f>
        <v>14</v>
      </c>
      <c r="AE2" s="26">
        <f>COUNTIFS(AE4:AE367, "=APAGADO",E4:E367,"=PTP A FO")</f>
        <v>15</v>
      </c>
      <c r="AF2" s="26">
        <f>COUNTIFS(AF4:AF367, "=APAGADO",E4:E367,"=PTP A FO")</f>
        <v>4</v>
      </c>
      <c r="AG2" s="26">
        <f>COUNTIFS(AG4:AG367, "=APAGADO",E4:E367,"=PTP A FO")</f>
        <v>4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 t="str">
        <f>ESTADISTICA!AF2</f>
        <v>APAGADO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 t="str">
        <f>ESTADISTICA!AE7</f>
        <v>APAGADO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 t="str">
        <f>ESTADISTICA!Z9</f>
        <v>APAGADO</v>
      </c>
      <c r="AA11" t="str">
        <f>ESTADISTICA!AA9</f>
        <v>APAGADO</v>
      </c>
      <c r="AB11" t="str">
        <f>ESTADISTICA!AB9</f>
        <v>APAGADO</v>
      </c>
      <c r="AC11">
        <f>ESTADISTICA!AC9</f>
        <v>0</v>
      </c>
      <c r="AD11" t="str">
        <f>ESTADISTICA!AD9</f>
        <v>APAGADO</v>
      </c>
      <c r="AE11" t="str">
        <f>ESTADISTICA!AE9</f>
        <v>APAGADO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 t="str">
        <f>ESTADISTICA!AD10</f>
        <v>APAGADO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 t="str">
        <f>ESTADISTICA!AD11</f>
        <v>APAGADO</v>
      </c>
      <c r="AE13" t="str">
        <f>ESTADISTICA!AE11</f>
        <v>APAGADO</v>
      </c>
      <c r="AF13" t="str">
        <f>ESTADISTICA!AF11</f>
        <v>APAGADO</v>
      </c>
      <c r="AG13" t="str">
        <f>ESTADISTICA!AG11</f>
        <v>APAGADO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 t="str">
        <f>ESTADISTICA!AC16</f>
        <v>APAGADO</v>
      </c>
      <c r="AD18" t="str">
        <f>ESTADISTICA!AD16</f>
        <v>APAGADO</v>
      </c>
      <c r="AE18" t="str">
        <f>ESTADISTICA!AE16</f>
        <v>APAGADO</v>
      </c>
      <c r="AF18" t="str">
        <f>ESTADISTICA!AF16</f>
        <v>APAGADO</v>
      </c>
      <c r="AG18" t="str">
        <f>ESTADISTICA!AG16</f>
        <v>APAGADO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 t="str">
        <f>ESTADISTICA!Z18</f>
        <v>APAGADO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 t="str">
        <f>ESTADISTICA!AD19</f>
        <v>APAGADO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 t="str">
        <f>ESTADISTICA!AF25</f>
        <v>APAGADO</v>
      </c>
      <c r="AG27" t="str">
        <f>ESTADISTICA!AG25</f>
        <v>APAGADO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 t="str">
        <f>ESTADISTICA!AD42</f>
        <v>APAGADO</v>
      </c>
      <c r="AE44" t="str">
        <f>ESTADISTICA!AE42</f>
        <v>APAGADO</v>
      </c>
      <c r="AF44" t="str">
        <f>ESTADISTICA!AF42</f>
        <v>APAGADO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 t="str">
        <f>ESTADISTICA!Z50</f>
        <v>APAGADO</v>
      </c>
      <c r="AA52" t="str">
        <f>ESTADISTICA!AA50</f>
        <v>APAGADO</v>
      </c>
      <c r="AB52" t="str">
        <f>ESTADISTICA!AB50</f>
        <v>APAGADO</v>
      </c>
      <c r="AC52">
        <f>ESTADISTICA!AC50</f>
        <v>0</v>
      </c>
      <c r="AD52" t="str">
        <f>ESTADISTICA!AD50</f>
        <v>APAGADO</v>
      </c>
      <c r="AE52" t="str">
        <f>ESTADISTICA!AE50</f>
        <v>APAGADO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 t="str">
        <f>ESTADISTICA!AD52</f>
        <v>APAGADO</v>
      </c>
      <c r="AE54" t="str">
        <f>ESTADISTICA!AE52</f>
        <v>APAGADO</v>
      </c>
      <c r="AF54" t="str">
        <f>ESTADISTICA!AF52</f>
        <v>APAGADO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 t="str">
        <f>ESTADISTICA!Z63</f>
        <v>APAGADO</v>
      </c>
      <c r="AA65" t="str">
        <f>ESTADISTICA!AA63</f>
        <v>APAGADO</v>
      </c>
      <c r="AB65" t="str">
        <f>ESTADISTICA!AB63</f>
        <v>APAGADO</v>
      </c>
      <c r="AC65" t="str">
        <f>ESTADISTICA!AC63</f>
        <v>APAGADO</v>
      </c>
      <c r="AD65" t="str">
        <f>ESTADISTICA!AD63</f>
        <v>APAGADO</v>
      </c>
      <c r="AE65" t="str">
        <f>ESTADISTICA!AE63</f>
        <v>APAGADO</v>
      </c>
      <c r="AF65" t="str">
        <f>ESTADISTICA!AF63</f>
        <v>APAGADO</v>
      </c>
      <c r="AG65" t="str">
        <f>ESTADISTICA!AG63</f>
        <v>APAGADO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 t="str">
        <f>ESTADISTICA!AD70</f>
        <v>APAGADO</v>
      </c>
      <c r="AE72" t="str">
        <f>ESTADISTICA!AE70</f>
        <v>APAGADO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 t="str">
        <f>ESTADISTICA!AF78</f>
        <v>APAGADO</v>
      </c>
      <c r="AG80" t="str">
        <f>ESTADISTICA!AG78</f>
        <v>APAGADO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 t="str">
        <f>ESTADISTICA!AF79</f>
        <v>APAGADO</v>
      </c>
      <c r="AG81" t="str">
        <f>ESTADISTICA!AG79</f>
        <v>APAGADO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 t="str">
        <f>ESTADISTICA!AF98</f>
        <v>APAGADO</v>
      </c>
      <c r="AG100" t="str">
        <f>ESTADISTICA!AG98</f>
        <v>APAGADO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 t="str">
        <f>ESTADISTICA!AE101</f>
        <v>APAGADO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 t="str">
        <f>ESTADISTICA!AE102</f>
        <v>APAGADO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 t="str">
        <f>ESTADISTICA!AF111</f>
        <v>APAGADO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 t="str">
        <f>ESTADISTICA!AD112</f>
        <v>APAGADO</v>
      </c>
      <c r="AE114" t="str">
        <f>ESTADISTICA!AE112</f>
        <v>APAGADO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 t="str">
        <f>ESTADISTICA!AD113</f>
        <v>APAGADO</v>
      </c>
      <c r="AE115" t="str">
        <f>ESTADISTICA!AE113</f>
        <v>APAGADO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 t="str">
        <f>ESTADISTICA!AF114</f>
        <v>APAGADO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 t="str">
        <f>ESTADISTICA!AF115</f>
        <v>APAGADO</v>
      </c>
      <c r="AG117" t="str">
        <f>ESTADISTICA!AG115</f>
        <v>APAGADO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 t="str">
        <f>ESTADISTICA!AF116</f>
        <v>APAGADO</v>
      </c>
      <c r="AG118" t="str">
        <f>ESTADISTICA!AG116</f>
        <v>APAGADO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 t="str">
        <f>ESTADISTICA!AF117</f>
        <v>APAGADO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 t="str">
        <f>ESTADISTICA!AF118</f>
        <v>APAGADO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 t="str">
        <f>ESTADISTICA!AF120</f>
        <v>APAGADO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 t="str">
        <f>ESTADISTICA!AD121</f>
        <v>APAGADO</v>
      </c>
      <c r="AE123" t="str">
        <f>ESTADISTICA!AE121</f>
        <v>APAGADO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 t="str">
        <f>ESTADISTICA!AE127</f>
        <v>APAGADO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 t="str">
        <f>ESTADISTICA!AE135</f>
        <v>APAGADO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 t="str">
        <f>ESTADISTICA!AE138</f>
        <v>APAGADO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 t="str">
        <f>ESTADISTICA!AG163</f>
        <v>APAGADO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 t="str">
        <f>ESTADISTICA!AA165</f>
        <v>APAGADO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 t="str">
        <f>ESTADISTICA!AG174</f>
        <v>APAGADO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 t="str">
        <f>ESTADISTICA!AA183</f>
        <v>APAGADO</v>
      </c>
      <c r="AB185" t="str">
        <f>ESTADISTICA!AB183</f>
        <v>APAGADO</v>
      </c>
      <c r="AC185">
        <f>ESTADISTICA!AC183</f>
        <v>0</v>
      </c>
      <c r="AD185" t="str">
        <f>ESTADISTICA!AD183</f>
        <v>APAGADO</v>
      </c>
      <c r="AE185" t="str">
        <f>ESTADISTICA!AE183</f>
        <v>APAGADO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 t="str">
        <f>ESTADISTICA!AC191</f>
        <v>APAGADO</v>
      </c>
      <c r="AD193" t="str">
        <f>ESTADISTICA!AD191</f>
        <v>APAGADO</v>
      </c>
      <c r="AE193" t="str">
        <f>ESTADISTICA!AE191</f>
        <v>APAGADO</v>
      </c>
      <c r="AF193" t="str">
        <f>ESTADISTICA!AF191</f>
        <v>APAGADO</v>
      </c>
      <c r="AG193" t="str">
        <f>ESTADISTICA!AG191</f>
        <v>APAGADO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 t="str">
        <f>ESTADISTICA!AC192</f>
        <v>APAGADO</v>
      </c>
      <c r="AD194" t="str">
        <f>ESTADISTICA!AD192</f>
        <v>APAGADO</v>
      </c>
      <c r="AE194" t="str">
        <f>ESTADISTICA!AE192</f>
        <v>APAGADO</v>
      </c>
      <c r="AF194" t="str">
        <f>ESTADISTICA!AF192</f>
        <v>APAGADO</v>
      </c>
      <c r="AG194" t="str">
        <f>ESTADISTICA!AG192</f>
        <v>APAGADO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 t="str">
        <f>ESTADISTICA!AC193</f>
        <v>APAGADO</v>
      </c>
      <c r="AD195" t="str">
        <f>ESTADISTICA!AD193</f>
        <v>APAGADO</v>
      </c>
      <c r="AE195" t="str">
        <f>ESTADISTICA!AE193</f>
        <v>APAGADO</v>
      </c>
      <c r="AF195" t="str">
        <f>ESTADISTICA!AF193</f>
        <v>APAGADO</v>
      </c>
      <c r="AG195" t="str">
        <f>ESTADISTICA!AG193</f>
        <v>APAGADO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 t="str">
        <f>ESTADISTICA!AF196</f>
        <v>APAGADO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 t="str">
        <f>ESTADISTICA!AF197</f>
        <v>APAGADO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 t="str">
        <f>ESTADISTICA!AD198</f>
        <v>APAGADO</v>
      </c>
      <c r="AE200" t="str">
        <f>ESTADISTICA!AE198</f>
        <v>APAGADO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 t="str">
        <f>ESTADISTICA!AA200</f>
        <v>APAGADO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 t="str">
        <f>ESTADISTICA!AD201</f>
        <v>APAGADO</v>
      </c>
      <c r="AE203" t="str">
        <f>ESTADISTICA!AE201</f>
        <v>APAGADO</v>
      </c>
      <c r="AF203" t="str">
        <f>ESTADISTICA!AF201</f>
        <v>APAGADO</v>
      </c>
      <c r="AG203" t="str">
        <f>ESTADISTICA!AG201</f>
        <v>APAGADO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 t="str">
        <f>ESTADISTICA!AD202</f>
        <v>APAGADO</v>
      </c>
      <c r="AE204" t="str">
        <f>ESTADISTICA!AE202</f>
        <v>APAGADO</v>
      </c>
      <c r="AF204" t="str">
        <f>ESTADISTICA!AF202</f>
        <v>APAGADO</v>
      </c>
      <c r="AG204" t="str">
        <f>ESTADISTICA!AG202</f>
        <v>APAGADO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 t="str">
        <f>ESTADISTICA!AF206</f>
        <v>APAGADO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 t="str">
        <f>ESTADISTICA!AF207</f>
        <v>APAGADO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 t="str">
        <f>ESTADISTICA!AF213</f>
        <v>APAGADO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 t="str">
        <f>ESTADISTICA!AF214</f>
        <v>APAGADO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 t="str">
        <f>ESTADISTICA!AD215</f>
        <v>APAGADO</v>
      </c>
      <c r="AE217">
        <f>ESTADISTICA!AE215</f>
        <v>0</v>
      </c>
      <c r="AF217" t="str">
        <f>ESTADISTICA!AF215</f>
        <v>APAGADO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 t="str">
        <f>ESTADISTICA!AD216</f>
        <v>APAGADO</v>
      </c>
      <c r="AE218">
        <f>ESTADISTICA!AE216</f>
        <v>0</v>
      </c>
      <c r="AF218" t="str">
        <f>ESTADISTICA!AF216</f>
        <v>APAGADO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 t="str">
        <f>ESTADISTICA!Z224</f>
        <v>APAGADO</v>
      </c>
      <c r="AA226" t="str">
        <f>ESTADISTICA!AA224</f>
        <v>APAGADO</v>
      </c>
      <c r="AB226" t="str">
        <f>ESTADISTICA!AB224</f>
        <v>APAGADO</v>
      </c>
      <c r="AC226" t="str">
        <f>ESTADISTICA!AC224</f>
        <v>APAGADO</v>
      </c>
      <c r="AD226" t="str">
        <f>ESTADISTICA!AD224</f>
        <v>APAGADO</v>
      </c>
      <c r="AE226" t="str">
        <f>ESTADISTICA!AE224</f>
        <v>APAGADO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 t="str">
        <f>ESTADISTICA!Z238</f>
        <v>APAGADO</v>
      </c>
      <c r="AA240" t="str">
        <f>ESTADISTICA!AA238</f>
        <v>APAGADO</v>
      </c>
      <c r="AB240" t="str">
        <f>ESTADISTICA!AB238</f>
        <v>APAGADO</v>
      </c>
      <c r="AC240" t="str">
        <f>ESTADISTICA!AC238</f>
        <v>APAGADO</v>
      </c>
      <c r="AD240" t="str">
        <f>ESTADISTICA!AD238</f>
        <v>APAGADO</v>
      </c>
      <c r="AE240" t="str">
        <f>ESTADISTICA!AE238</f>
        <v>APAGADO</v>
      </c>
      <c r="AF240" t="str">
        <f>ESTADISTICA!AF238</f>
        <v>APAGADO</v>
      </c>
      <c r="AG240" t="str">
        <f>ESTADISTICA!AG238</f>
        <v>APAGADO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 t="str">
        <f>ESTADISTICA!Z239</f>
        <v>APAGADO</v>
      </c>
      <c r="AA241" t="str">
        <f>ESTADISTICA!AA239</f>
        <v>APAGADO</v>
      </c>
      <c r="AB241" t="str">
        <f>ESTADISTICA!AB239</f>
        <v>APAGADO</v>
      </c>
      <c r="AC241" t="str">
        <f>ESTADISTICA!AC239</f>
        <v>APAGADO</v>
      </c>
      <c r="AD241" t="str">
        <f>ESTADISTICA!AD239</f>
        <v>APAGADO</v>
      </c>
      <c r="AE241" t="str">
        <f>ESTADISTICA!AE239</f>
        <v>APAGADO</v>
      </c>
      <c r="AF241" t="str">
        <f>ESTADISTICA!AF239</f>
        <v>APAGADO</v>
      </c>
      <c r="AG241" t="str">
        <f>ESTADISTICA!AG239</f>
        <v>APAGADO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 t="str">
        <f>ESTADISTICA!Z240</f>
        <v>APAGADO</v>
      </c>
      <c r="AA242" t="str">
        <f>ESTADISTICA!AA240</f>
        <v>APAGADO</v>
      </c>
      <c r="AB242" t="str">
        <f>ESTADISTICA!AB240</f>
        <v>APAGADO</v>
      </c>
      <c r="AC242" t="str">
        <f>ESTADISTICA!AC240</f>
        <v>APAGADO</v>
      </c>
      <c r="AD242" t="str">
        <f>ESTADISTICA!AD240</f>
        <v>APAGADO</v>
      </c>
      <c r="AE242" t="str">
        <f>ESTADISTICA!AE240</f>
        <v>APAGADO</v>
      </c>
      <c r="AF242" t="str">
        <f>ESTADISTICA!AF240</f>
        <v>APAGADO</v>
      </c>
      <c r="AG242" t="str">
        <f>ESTADISTICA!AG240</f>
        <v>APAGADO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 t="str">
        <f>ESTADISTICA!AF241</f>
        <v>APAGADO</v>
      </c>
      <c r="AG243" t="str">
        <f>ESTADISTICA!AG241</f>
        <v>APAGADO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 t="str">
        <f>ESTADISTICA!AD243</f>
        <v>APAGADO</v>
      </c>
      <c r="AE245" t="str">
        <f>ESTADISTICA!AE243</f>
        <v>APAGADO</v>
      </c>
      <c r="AF245" t="str">
        <f>ESTADISTICA!AF243</f>
        <v>APAGADO</v>
      </c>
      <c r="AG245" t="str">
        <f>ESTADISTICA!AG243</f>
        <v>APAGADO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 t="str">
        <f>ESTADISTICA!AF244</f>
        <v>APAGADO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 t="str">
        <f>ESTADISTICA!AC247</f>
        <v>APAGADO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 t="str">
        <f>ESTADISTICA!AF264</f>
        <v>APAGADO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 t="str">
        <f>ESTADISTICA!AD267</f>
        <v>APAGADO</v>
      </c>
      <c r="AE269" t="str">
        <f>ESTADISTICA!AE267</f>
        <v>APAGADO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 t="str">
        <f>ESTADISTICA!AF269</f>
        <v>APAGADO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hidden="1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 t="str">
        <f>ESTADISTICA!AF281</f>
        <v>APAGADO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 t="str">
        <f>ESTADISTICA!AF282</f>
        <v>APAGADO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 t="str">
        <f>ESTADISTICA!AF283</f>
        <v>APAGADO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 t="str">
        <f>ESTADISTICA!AF284</f>
        <v>APAGADO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 t="str">
        <f>ESTADISTICA!AG287</f>
        <v>APAGADO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 t="str">
        <f>ESTADISTICA!AG288</f>
        <v>APAGADO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 t="str">
        <f>ESTADISTICA!AG289</f>
        <v>APAGADO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 t="str">
        <f>ESTADISTICA!AG290</f>
        <v>APAGADO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 t="str">
        <f>ESTADISTICA!AG291</f>
        <v>APAGADO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 t="str">
        <f>ESTADISTICA!AG292</f>
        <v>APAGADO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 t="str">
        <f>ESTADISTICA!AD293</f>
        <v>APAGADO</v>
      </c>
      <c r="AE295" t="str">
        <f>ESTADISTICA!AE293</f>
        <v>APAGADO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 t="str">
        <f>ESTADISTICA!AG300</f>
        <v>APAGADO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 t="str">
        <f>ESTADISTICA!AE301</f>
        <v>APAGADO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 t="str">
        <f>ESTADISTICA!AE302</f>
        <v>APAGADO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 t="str">
        <f>ESTADISTICA!AE303</f>
        <v>APAGADO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 t="str">
        <f>ESTADISTICA!AE304</f>
        <v>APAGADO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 t="str">
        <f>ESTADISTICA!Z306</f>
        <v>APAGADO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 t="str">
        <f>ESTADISTICA!AD306</f>
        <v>APAGADO</v>
      </c>
      <c r="AE308" t="str">
        <f>ESTADISTICA!AE306</f>
        <v>APAGADO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 t="str">
        <f>ESTADISTICA!AD307</f>
        <v>APAGADO</v>
      </c>
      <c r="AE309" t="str">
        <f>ESTADISTICA!AE307</f>
        <v>APAGADO</v>
      </c>
      <c r="AF309" t="str">
        <f>ESTADISTICA!AF307</f>
        <v>APAGADO</v>
      </c>
      <c r="AG309" t="str">
        <f>ESTADISTICA!AG307</f>
        <v>APAGADO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 t="str">
        <f>ESTADISTICA!AF310</f>
        <v>APAGADO</v>
      </c>
      <c r="AG312" t="str">
        <f>ESTADISTICA!AG310</f>
        <v>APAGADO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 t="str">
        <f>ESTADISTICA!AF315</f>
        <v>APAGADO</v>
      </c>
      <c r="AG317" t="str">
        <f>ESTADISTICA!AG315</f>
        <v>APAGADO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 t="str">
        <f>ESTADISTICA!AF316</f>
        <v>APAGADO</v>
      </c>
      <c r="AG318" t="str">
        <f>ESTADISTICA!AG316</f>
        <v>APAGADO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 t="str">
        <f>ESTADISTICA!AB322</f>
        <v>APAGADO</v>
      </c>
      <c r="AC324">
        <f>ESTADISTICA!AC322</f>
        <v>0</v>
      </c>
      <c r="AD324" t="str">
        <f>ESTADISTICA!AD322</f>
        <v>APAGADO</v>
      </c>
      <c r="AE324" t="str">
        <f>ESTADISTICA!AE322</f>
        <v>APAGADO</v>
      </c>
      <c r="AF324" t="str">
        <f>ESTADISTICA!AF322</f>
        <v>APAGADO</v>
      </c>
      <c r="AG324" t="str">
        <f>ESTADISTICA!AG322</f>
        <v>APAGADO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 t="str">
        <f>ESTADISTICA!AF325</f>
        <v>APAGADO</v>
      </c>
      <c r="AG327" t="str">
        <f>ESTADISTICA!AG325</f>
        <v>APAGADO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 t="str">
        <f>ESTADISTICA!AF326</f>
        <v>APAGADO</v>
      </c>
      <c r="AG328" t="str">
        <f>ESTADISTICA!AG326</f>
        <v>APAGADO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 t="str">
        <f>ESTADISTICA!AD331</f>
        <v>APAGADO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 t="str">
        <f>ESTADISTICA!AG337</f>
        <v>APAGADO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 t="str">
        <f>ESTADISTICA!AD340</f>
        <v>APAGADO</v>
      </c>
      <c r="AE342" t="str">
        <f>ESTADISTICA!AE340</f>
        <v>APAGADO</v>
      </c>
      <c r="AF342" t="str">
        <f>ESTADISTICA!AF340</f>
        <v>APAGADO</v>
      </c>
      <c r="AG342" t="str">
        <f>ESTADISTICA!AG340</f>
        <v>APAGADO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 t="str">
        <f>ESTADISTICA!AF342</f>
        <v>APAGADO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 t="str">
        <f>ESTADISTICA!AF343</f>
        <v>APAGADO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 t="str">
        <f>ESTADISTICA!AF344</f>
        <v>APAGADO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 t="str">
        <f>ESTADISTICA!AF345</f>
        <v>APAGADO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 t="str">
        <f>ESTADISTICA!AE360</f>
        <v>APAGADO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>
    <filterColumn colId="4">
      <filters>
        <filter val="PTP A FO"/>
      </filters>
    </filterColumn>
    <filterColumn colId="30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D2" sqref="AD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5" t="s">
        <v>1323</v>
      </c>
      <c r="D1" s="55">
        <f>COUNTIFS(E4:E367,"=radio")</f>
        <v>88</v>
      </c>
    </row>
    <row r="2" spans="1:36" ht="21" x14ac:dyDescent="0.35">
      <c r="E2" s="26" t="s">
        <v>934</v>
      </c>
      <c r="F2" s="26">
        <f>COUNTIFS(F4:F367, "=APAGADO",E4:E367,"=radio")</f>
        <v>4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4</v>
      </c>
      <c r="J2" s="26">
        <f>COUNTIFS(J4:J367, "=APAGADO",E4:E367,"=radio")</f>
        <v>4</v>
      </c>
      <c r="K2" s="26">
        <f>COUNTIFS(K4:K367, "=APAGADO",E4:E367,"=radio")</f>
        <v>3</v>
      </c>
      <c r="L2" s="26">
        <f>COUNTIFS(L4:L367, "=APAGADO",E4:E367,"=radio")</f>
        <v>6</v>
      </c>
      <c r="M2" s="26">
        <f>COUNTIFS(M4:M367, "=APAGADO",E4:E367,"=radio")</f>
        <v>4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3</v>
      </c>
      <c r="T2" s="26">
        <f>COUNTIFS(T4:T367, "=APAGADO",E4:E367,"=radio")</f>
        <v>3</v>
      </c>
      <c r="U2" s="26">
        <f>COUNTIFS(U4:U367, "=APAGADO",E4:E367,"=radio")</f>
        <v>3</v>
      </c>
      <c r="V2" s="26">
        <f>COUNTIFS(V4:V367, "=APAGADO",E4:E367,"=radio")</f>
        <v>5</v>
      </c>
      <c r="W2" s="26">
        <f>COUNTIFS(W4:W367, "=APAGADO",E4:E367,"=radio")</f>
        <v>4</v>
      </c>
      <c r="X2" s="26">
        <f>COUNTIFS(X4:X367, "=APAGADO",E4:E367,"=radio")</f>
        <v>3</v>
      </c>
      <c r="Y2" s="26">
        <f>COUNTIFS(Y4:Y367, "=APAGADO",E4:E367,"=radio")</f>
        <v>3</v>
      </c>
      <c r="Z2" s="26">
        <f>COUNTIFS(Z4:Z367, "=APAGADO",E4:E367,"=radio")</f>
        <v>4</v>
      </c>
      <c r="AA2" s="26">
        <f>COUNTIFS(AA4:AA367, "=APAGADO",E4:E367,"=radio")</f>
        <v>3</v>
      </c>
      <c r="AB2" s="26">
        <f>COUNTIFS(AB4:AB367, "=APAGADO",E4:E367,"=radio")</f>
        <v>3</v>
      </c>
      <c r="AC2" s="26">
        <f>COUNTIFS(AC4:AC367, "=APAGADO",E4:E367,"=radio")</f>
        <v>5</v>
      </c>
      <c r="AD2" s="26">
        <f>COUNTIFS(AD4:AD367, "=APAGADO",E4:E367,"=radio")</f>
        <v>3</v>
      </c>
      <c r="AE2" s="26">
        <f>COUNTIFS(AE4:AE367, "=APAGADO",E4:E367,"=radio")</f>
        <v>3</v>
      </c>
      <c r="AF2" s="26">
        <f>COUNTIFS(AF4:AF367, "=APAGADO",E4:E367,"=radio")</f>
        <v>9</v>
      </c>
      <c r="AG2" s="26">
        <f>COUNTIFS(AG4:AG367, "=APAGADO",E4:E367,"=radio")</f>
        <v>5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 t="str">
        <f>ESTADISTICA!AF2</f>
        <v>APAGADO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 t="str">
        <f>ESTADISTICA!AE7</f>
        <v>APAGADO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 t="str">
        <f>ESTADISTICA!Z9</f>
        <v>APAGADO</v>
      </c>
      <c r="AA11" t="str">
        <f>ESTADISTICA!AA9</f>
        <v>APAGADO</v>
      </c>
      <c r="AB11" t="str">
        <f>ESTADISTICA!AB9</f>
        <v>APAGADO</v>
      </c>
      <c r="AC11">
        <f>ESTADISTICA!AC9</f>
        <v>0</v>
      </c>
      <c r="AD11" t="str">
        <f>ESTADISTICA!AD9</f>
        <v>APAGADO</v>
      </c>
      <c r="AE11" t="str">
        <f>ESTADISTICA!AE9</f>
        <v>APAGADO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 t="str">
        <f>ESTADISTICA!AD10</f>
        <v>APAGADO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 t="str">
        <f>ESTADISTICA!AD11</f>
        <v>APAGADO</v>
      </c>
      <c r="AE13" t="str">
        <f>ESTADISTICA!AE11</f>
        <v>APAGADO</v>
      </c>
      <c r="AF13" t="str">
        <f>ESTADISTICA!AF11</f>
        <v>APAGADO</v>
      </c>
      <c r="AG13" t="str">
        <f>ESTADISTICA!AG11</f>
        <v>APAGADO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 t="str">
        <f>ESTADISTICA!AC16</f>
        <v>APAGADO</v>
      </c>
      <c r="AD18" t="str">
        <f>ESTADISTICA!AD16</f>
        <v>APAGADO</v>
      </c>
      <c r="AE18" t="str">
        <f>ESTADISTICA!AE16</f>
        <v>APAGADO</v>
      </c>
      <c r="AF18" t="str">
        <f>ESTADISTICA!AF16</f>
        <v>APAGADO</v>
      </c>
      <c r="AG18" t="str">
        <f>ESTADISTICA!AG16</f>
        <v>APAGADO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 t="str">
        <f>ESTADISTICA!Z18</f>
        <v>APAGADO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 t="str">
        <f>ESTADISTICA!AD19</f>
        <v>APAGADO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 t="str">
        <f>ESTADISTICA!AF25</f>
        <v>APAGADO</v>
      </c>
      <c r="AG27" t="str">
        <f>ESTADISTICA!AG25</f>
        <v>APAGADO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 t="str">
        <f>ESTADISTICA!AD42</f>
        <v>APAGADO</v>
      </c>
      <c r="AE44" t="str">
        <f>ESTADISTICA!AE42</f>
        <v>APAGADO</v>
      </c>
      <c r="AF44" t="str">
        <f>ESTADISTICA!AF42</f>
        <v>APAGADO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 t="str">
        <f>ESTADISTICA!Z50</f>
        <v>APAGADO</v>
      </c>
      <c r="AA52" t="str">
        <f>ESTADISTICA!AA50</f>
        <v>APAGADO</v>
      </c>
      <c r="AB52" t="str">
        <f>ESTADISTICA!AB50</f>
        <v>APAGADO</v>
      </c>
      <c r="AC52">
        <f>ESTADISTICA!AC50</f>
        <v>0</v>
      </c>
      <c r="AD52" t="str">
        <f>ESTADISTICA!AD50</f>
        <v>APAGADO</v>
      </c>
      <c r="AE52" t="str">
        <f>ESTADISTICA!AE50</f>
        <v>APAGADO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 t="str">
        <f>ESTADISTICA!AD52</f>
        <v>APAGADO</v>
      </c>
      <c r="AE54" t="str">
        <f>ESTADISTICA!AE52</f>
        <v>APAGADO</v>
      </c>
      <c r="AF54" t="str">
        <f>ESTADISTICA!AF52</f>
        <v>APAGADO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 t="str">
        <f>ESTADISTICA!Z63</f>
        <v>APAGADO</v>
      </c>
      <c r="AA65" t="str">
        <f>ESTADISTICA!AA63</f>
        <v>APAGADO</v>
      </c>
      <c r="AB65" t="str">
        <f>ESTADISTICA!AB63</f>
        <v>APAGADO</v>
      </c>
      <c r="AC65" t="str">
        <f>ESTADISTICA!AC63</f>
        <v>APAGADO</v>
      </c>
      <c r="AD65" t="str">
        <f>ESTADISTICA!AD63</f>
        <v>APAGADO</v>
      </c>
      <c r="AE65" t="str">
        <f>ESTADISTICA!AE63</f>
        <v>APAGADO</v>
      </c>
      <c r="AF65" t="str">
        <f>ESTADISTICA!AF63</f>
        <v>APAGADO</v>
      </c>
      <c r="AG65" t="str">
        <f>ESTADISTICA!AG63</f>
        <v>APAGADO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 t="str">
        <f>ESTADISTICA!AD70</f>
        <v>APAGADO</v>
      </c>
      <c r="AE72" t="str">
        <f>ESTADISTICA!AE70</f>
        <v>APAGADO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 t="str">
        <f>ESTADISTICA!AF78</f>
        <v>APAGADO</v>
      </c>
      <c r="AG80" t="str">
        <f>ESTADISTICA!AG78</f>
        <v>APAGADO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 t="str">
        <f>ESTADISTICA!AF79</f>
        <v>APAGADO</v>
      </c>
      <c r="AG81" t="str">
        <f>ESTADISTICA!AG79</f>
        <v>APAGADO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 t="str">
        <f>ESTADISTICA!AF98</f>
        <v>APAGADO</v>
      </c>
      <c r="AG100" t="str">
        <f>ESTADISTICA!AG98</f>
        <v>APAGADO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 t="str">
        <f>ESTADISTICA!AE101</f>
        <v>APAGADO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 t="str">
        <f>ESTADISTICA!AE102</f>
        <v>APAGADO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 t="str">
        <f>ESTADISTICA!AF111</f>
        <v>APAGADO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 t="str">
        <f>ESTADISTICA!AD112</f>
        <v>APAGADO</v>
      </c>
      <c r="AE114" t="str">
        <f>ESTADISTICA!AE112</f>
        <v>APAGADO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 t="str">
        <f>ESTADISTICA!AD113</f>
        <v>APAGADO</v>
      </c>
      <c r="AE115" t="str">
        <f>ESTADISTICA!AE113</f>
        <v>APAGADO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 t="str">
        <f>ESTADISTICA!AF114</f>
        <v>APAGADO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 t="str">
        <f>ESTADISTICA!AF115</f>
        <v>APAGADO</v>
      </c>
      <c r="AG117" t="str">
        <f>ESTADISTICA!AG115</f>
        <v>APAGADO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 t="str">
        <f>ESTADISTICA!AF116</f>
        <v>APAGADO</v>
      </c>
      <c r="AG118" t="str">
        <f>ESTADISTICA!AG116</f>
        <v>APAGADO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 t="str">
        <f>ESTADISTICA!AF117</f>
        <v>APAGADO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 t="str">
        <f>ESTADISTICA!AF118</f>
        <v>APAGADO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 t="str">
        <f>ESTADISTICA!AF120</f>
        <v>APAGADO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 t="str">
        <f>ESTADISTICA!AD121</f>
        <v>APAGADO</v>
      </c>
      <c r="AE123" t="str">
        <f>ESTADISTICA!AE121</f>
        <v>APAGADO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 t="str">
        <f>ESTADISTICA!AE127</f>
        <v>APAGADO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 t="str">
        <f>ESTADISTICA!AE135</f>
        <v>APAGADO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 t="str">
        <f>ESTADISTICA!AE138</f>
        <v>APAGADO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 t="str">
        <f>ESTADISTICA!AG163</f>
        <v>APAGADO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 t="str">
        <f>ESTADISTICA!AA165</f>
        <v>APAGADO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 t="str">
        <f>ESTADISTICA!AG174</f>
        <v>APAGADO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 t="str">
        <f>ESTADISTICA!AA183</f>
        <v>APAGADO</v>
      </c>
      <c r="AB185" t="str">
        <f>ESTADISTICA!AB183</f>
        <v>APAGADO</v>
      </c>
      <c r="AC185">
        <f>ESTADISTICA!AC183</f>
        <v>0</v>
      </c>
      <c r="AD185" t="str">
        <f>ESTADISTICA!AD183</f>
        <v>APAGADO</v>
      </c>
      <c r="AE185" t="str">
        <f>ESTADISTICA!AE183</f>
        <v>APAGADO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 t="str">
        <f>ESTADISTICA!AC191</f>
        <v>APAGADO</v>
      </c>
      <c r="AD193" t="str">
        <f>ESTADISTICA!AD191</f>
        <v>APAGADO</v>
      </c>
      <c r="AE193" t="str">
        <f>ESTADISTICA!AE191</f>
        <v>APAGADO</v>
      </c>
      <c r="AF193" t="str">
        <f>ESTADISTICA!AF191</f>
        <v>APAGADO</v>
      </c>
      <c r="AG193" t="str">
        <f>ESTADISTICA!AG191</f>
        <v>APAGADO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 t="str">
        <f>ESTADISTICA!AC192</f>
        <v>APAGADO</v>
      </c>
      <c r="AD194" t="str">
        <f>ESTADISTICA!AD192</f>
        <v>APAGADO</v>
      </c>
      <c r="AE194" t="str">
        <f>ESTADISTICA!AE192</f>
        <v>APAGADO</v>
      </c>
      <c r="AF194" t="str">
        <f>ESTADISTICA!AF192</f>
        <v>APAGADO</v>
      </c>
      <c r="AG194" t="str">
        <f>ESTADISTICA!AG192</f>
        <v>APAGADO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 t="str">
        <f>ESTADISTICA!AC193</f>
        <v>APAGADO</v>
      </c>
      <c r="AD195" t="str">
        <f>ESTADISTICA!AD193</f>
        <v>APAGADO</v>
      </c>
      <c r="AE195" t="str">
        <f>ESTADISTICA!AE193</f>
        <v>APAGADO</v>
      </c>
      <c r="AF195" t="str">
        <f>ESTADISTICA!AF193</f>
        <v>APAGADO</v>
      </c>
      <c r="AG195" t="str">
        <f>ESTADISTICA!AG193</f>
        <v>APAGADO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 t="str">
        <f>ESTADISTICA!AF196</f>
        <v>APAGADO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 t="str">
        <f>ESTADISTICA!AF197</f>
        <v>APAGADO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 t="str">
        <f>ESTADISTICA!AD198</f>
        <v>APAGADO</v>
      </c>
      <c r="AE200" t="str">
        <f>ESTADISTICA!AE198</f>
        <v>APAGADO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 t="str">
        <f>ESTADISTICA!AA200</f>
        <v>APAGADO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 t="str">
        <f>ESTADISTICA!AD201</f>
        <v>APAGADO</v>
      </c>
      <c r="AE203" t="str">
        <f>ESTADISTICA!AE201</f>
        <v>APAGADO</v>
      </c>
      <c r="AF203" t="str">
        <f>ESTADISTICA!AF201</f>
        <v>APAGADO</v>
      </c>
      <c r="AG203" t="str">
        <f>ESTADISTICA!AG201</f>
        <v>APAGADO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 t="str">
        <f>ESTADISTICA!AD202</f>
        <v>APAGADO</v>
      </c>
      <c r="AE204" t="str">
        <f>ESTADISTICA!AE202</f>
        <v>APAGADO</v>
      </c>
      <c r="AF204" t="str">
        <f>ESTADISTICA!AF202</f>
        <v>APAGADO</v>
      </c>
      <c r="AG204" t="str">
        <f>ESTADISTICA!AG202</f>
        <v>APAGADO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 t="str">
        <f>ESTADISTICA!AF206</f>
        <v>APAGADO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 t="str">
        <f>ESTADISTICA!AF207</f>
        <v>APAGADO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 t="str">
        <f>ESTADISTICA!AF213</f>
        <v>APAGADO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 t="str">
        <f>ESTADISTICA!AF214</f>
        <v>APAGADO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 t="str">
        <f>ESTADISTICA!AD215</f>
        <v>APAGADO</v>
      </c>
      <c r="AE217">
        <f>ESTADISTICA!AE215</f>
        <v>0</v>
      </c>
      <c r="AF217" t="str">
        <f>ESTADISTICA!AF215</f>
        <v>APAGADO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 t="str">
        <f>ESTADISTICA!AD216</f>
        <v>APAGADO</v>
      </c>
      <c r="AE218">
        <f>ESTADISTICA!AE216</f>
        <v>0</v>
      </c>
      <c r="AF218" t="str">
        <f>ESTADISTICA!AF216</f>
        <v>APAGADO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 t="str">
        <f>ESTADISTICA!Z224</f>
        <v>APAGADO</v>
      </c>
      <c r="AA226" t="str">
        <f>ESTADISTICA!AA224</f>
        <v>APAGADO</v>
      </c>
      <c r="AB226" t="str">
        <f>ESTADISTICA!AB224</f>
        <v>APAGADO</v>
      </c>
      <c r="AC226" t="str">
        <f>ESTADISTICA!AC224</f>
        <v>APAGADO</v>
      </c>
      <c r="AD226" t="str">
        <f>ESTADISTICA!AD224</f>
        <v>APAGADO</v>
      </c>
      <c r="AE226" t="str">
        <f>ESTADISTICA!AE224</f>
        <v>APAGADO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 t="str">
        <f>ESTADISTICA!Z238</f>
        <v>APAGADO</v>
      </c>
      <c r="AA240" t="str">
        <f>ESTADISTICA!AA238</f>
        <v>APAGADO</v>
      </c>
      <c r="AB240" t="str">
        <f>ESTADISTICA!AB238</f>
        <v>APAGADO</v>
      </c>
      <c r="AC240" t="str">
        <f>ESTADISTICA!AC238</f>
        <v>APAGADO</v>
      </c>
      <c r="AD240" t="str">
        <f>ESTADISTICA!AD238</f>
        <v>APAGADO</v>
      </c>
      <c r="AE240" t="str">
        <f>ESTADISTICA!AE238</f>
        <v>APAGADO</v>
      </c>
      <c r="AF240" t="str">
        <f>ESTADISTICA!AF238</f>
        <v>APAGADO</v>
      </c>
      <c r="AG240" t="str">
        <f>ESTADISTICA!AG238</f>
        <v>APAGADO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 t="str">
        <f>ESTADISTICA!Z239</f>
        <v>APAGADO</v>
      </c>
      <c r="AA241" t="str">
        <f>ESTADISTICA!AA239</f>
        <v>APAGADO</v>
      </c>
      <c r="AB241" t="str">
        <f>ESTADISTICA!AB239</f>
        <v>APAGADO</v>
      </c>
      <c r="AC241" t="str">
        <f>ESTADISTICA!AC239</f>
        <v>APAGADO</v>
      </c>
      <c r="AD241" t="str">
        <f>ESTADISTICA!AD239</f>
        <v>APAGADO</v>
      </c>
      <c r="AE241" t="str">
        <f>ESTADISTICA!AE239</f>
        <v>APAGADO</v>
      </c>
      <c r="AF241" t="str">
        <f>ESTADISTICA!AF239</f>
        <v>APAGADO</v>
      </c>
      <c r="AG241" t="str">
        <f>ESTADISTICA!AG239</f>
        <v>APAGADO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 t="str">
        <f>ESTADISTICA!Z240</f>
        <v>APAGADO</v>
      </c>
      <c r="AA242" t="str">
        <f>ESTADISTICA!AA240</f>
        <v>APAGADO</v>
      </c>
      <c r="AB242" t="str">
        <f>ESTADISTICA!AB240</f>
        <v>APAGADO</v>
      </c>
      <c r="AC242" t="str">
        <f>ESTADISTICA!AC240</f>
        <v>APAGADO</v>
      </c>
      <c r="AD242" t="str">
        <f>ESTADISTICA!AD240</f>
        <v>APAGADO</v>
      </c>
      <c r="AE242" t="str">
        <f>ESTADISTICA!AE240</f>
        <v>APAGADO</v>
      </c>
      <c r="AF242" t="str">
        <f>ESTADISTICA!AF240</f>
        <v>APAGADO</v>
      </c>
      <c r="AG242" t="str">
        <f>ESTADISTICA!AG240</f>
        <v>APAGADO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 t="str">
        <f>ESTADISTICA!AF241</f>
        <v>APAGADO</v>
      </c>
      <c r="AG243" t="str">
        <f>ESTADISTICA!AG241</f>
        <v>APAGADO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 t="str">
        <f>ESTADISTICA!AD243</f>
        <v>APAGADO</v>
      </c>
      <c r="AE245" t="str">
        <f>ESTADISTICA!AE243</f>
        <v>APAGADO</v>
      </c>
      <c r="AF245" t="str">
        <f>ESTADISTICA!AF243</f>
        <v>APAGADO</v>
      </c>
      <c r="AG245" t="str">
        <f>ESTADISTICA!AG243</f>
        <v>APAGADO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 t="str">
        <f>ESTADISTICA!AF244</f>
        <v>APAGADO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 t="str">
        <f>ESTADISTICA!AC247</f>
        <v>APAGADO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 t="str">
        <f>ESTADISTICA!AF264</f>
        <v>APAGADO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 t="str">
        <f>ESTADISTICA!AD267</f>
        <v>APAGADO</v>
      </c>
      <c r="AE269" t="str">
        <f>ESTADISTICA!AE267</f>
        <v>APAGADO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 t="str">
        <f>ESTADISTICA!AF269</f>
        <v>APAGADO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hidden="1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 t="str">
        <f>ESTADISTICA!AF281</f>
        <v>APAGADO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 t="str">
        <f>ESTADISTICA!AF282</f>
        <v>APAGADO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 t="str">
        <f>ESTADISTICA!AF283</f>
        <v>APAGADO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 t="str">
        <f>ESTADISTICA!AF284</f>
        <v>APAGADO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 t="str">
        <f>ESTADISTICA!AG287</f>
        <v>APAGADO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 t="str">
        <f>ESTADISTICA!AG288</f>
        <v>APAGADO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 t="str">
        <f>ESTADISTICA!AG289</f>
        <v>APAGADO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 t="str">
        <f>ESTADISTICA!AG290</f>
        <v>APAGADO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 t="str">
        <f>ESTADISTICA!AG291</f>
        <v>APAGADO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 t="str">
        <f>ESTADISTICA!AG292</f>
        <v>APAGADO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 t="str">
        <f>ESTADISTICA!AD293</f>
        <v>APAGADO</v>
      </c>
      <c r="AE295" t="str">
        <f>ESTADISTICA!AE293</f>
        <v>APAGADO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 t="str">
        <f>ESTADISTICA!AG300</f>
        <v>APAGADO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 t="str">
        <f>ESTADISTICA!AE301</f>
        <v>APAGADO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 t="str">
        <f>ESTADISTICA!AE302</f>
        <v>APAGADO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 t="str">
        <f>ESTADISTICA!AE303</f>
        <v>APAGADO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 t="str">
        <f>ESTADISTICA!AE304</f>
        <v>APAGADO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 t="str">
        <f>ESTADISTICA!Z306</f>
        <v>APAGADO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 t="str">
        <f>ESTADISTICA!AD306</f>
        <v>APAGADO</v>
      </c>
      <c r="AE308" t="str">
        <f>ESTADISTICA!AE306</f>
        <v>APAGADO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 t="str">
        <f>ESTADISTICA!AD307</f>
        <v>APAGADO</v>
      </c>
      <c r="AE309" t="str">
        <f>ESTADISTICA!AE307</f>
        <v>APAGADO</v>
      </c>
      <c r="AF309" t="str">
        <f>ESTADISTICA!AF307</f>
        <v>APAGADO</v>
      </c>
      <c r="AG309" t="str">
        <f>ESTADISTICA!AG307</f>
        <v>APAGADO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 t="str">
        <f>ESTADISTICA!AF310</f>
        <v>APAGADO</v>
      </c>
      <c r="AG312" t="str">
        <f>ESTADISTICA!AG310</f>
        <v>APAGADO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 t="str">
        <f>ESTADISTICA!AF315</f>
        <v>APAGADO</v>
      </c>
      <c r="AG317" t="str">
        <f>ESTADISTICA!AG315</f>
        <v>APAGADO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 t="str">
        <f>ESTADISTICA!AF316</f>
        <v>APAGADO</v>
      </c>
      <c r="AG318" t="str">
        <f>ESTADISTICA!AG316</f>
        <v>APAGADO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 t="str">
        <f>ESTADISTICA!AB322</f>
        <v>APAGADO</v>
      </c>
      <c r="AC324">
        <f>ESTADISTICA!AC322</f>
        <v>0</v>
      </c>
      <c r="AD324" t="str">
        <f>ESTADISTICA!AD322</f>
        <v>APAGADO</v>
      </c>
      <c r="AE324" t="str">
        <f>ESTADISTICA!AE322</f>
        <v>APAGADO</v>
      </c>
      <c r="AF324" t="str">
        <f>ESTADISTICA!AF322</f>
        <v>APAGADO</v>
      </c>
      <c r="AG324" t="str">
        <f>ESTADISTICA!AG322</f>
        <v>APAGADO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 t="str">
        <f>ESTADISTICA!AF325</f>
        <v>APAGADO</v>
      </c>
      <c r="AG327" t="str">
        <f>ESTADISTICA!AG325</f>
        <v>APAGADO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 t="str">
        <f>ESTADISTICA!AF326</f>
        <v>APAGADO</v>
      </c>
      <c r="AG328" t="str">
        <f>ESTADISTICA!AG326</f>
        <v>APAGADO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 t="str">
        <f>ESTADISTICA!AD331</f>
        <v>APAGADO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 t="str">
        <f>ESTADISTICA!AG337</f>
        <v>APAGADO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 t="str">
        <f>ESTADISTICA!AD340</f>
        <v>APAGADO</v>
      </c>
      <c r="AE342" t="str">
        <f>ESTADISTICA!AE340</f>
        <v>APAGADO</v>
      </c>
      <c r="AF342" t="str">
        <f>ESTADISTICA!AF340</f>
        <v>APAGADO</v>
      </c>
      <c r="AG342" t="str">
        <f>ESTADISTICA!AG340</f>
        <v>APAGADO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 t="str">
        <f>ESTADISTICA!AF342</f>
        <v>APAGADO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 t="str">
        <f>ESTADISTICA!AF343</f>
        <v>APAGADO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 t="str">
        <f>ESTADISTICA!AF344</f>
        <v>APAGADO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 t="str">
        <f>ESTADISTICA!AF345</f>
        <v>APAGADO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 t="str">
        <f>ESTADISTICA!AE360</f>
        <v>APAGADO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>
    <filterColumn colId="4">
      <filters>
        <filter val="Radio"/>
      </filters>
    </filterColumn>
    <filterColumn colId="30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topLeftCell="A10" workbookViewId="0">
      <selection activeCell="H25" sqref="H25"/>
    </sheetView>
  </sheetViews>
  <sheetFormatPr baseColWidth="10" defaultRowHeight="15" x14ac:dyDescent="0.25"/>
  <cols>
    <col min="5" max="5" width="15.7109375" bestFit="1" customWidth="1"/>
    <col min="7" max="7" width="11.5703125" style="77"/>
  </cols>
  <sheetData>
    <row r="1" spans="1:7" x14ac:dyDescent="0.25">
      <c r="A1" t="s">
        <v>935</v>
      </c>
      <c r="B1" t="s">
        <v>20</v>
      </c>
      <c r="C1" t="s">
        <v>936</v>
      </c>
      <c r="D1" t="s">
        <v>1311</v>
      </c>
      <c r="E1" t="s">
        <v>938</v>
      </c>
      <c r="F1" t="s">
        <v>937</v>
      </c>
      <c r="G1" s="77" t="s">
        <v>1350</v>
      </c>
    </row>
    <row r="2" spans="1:7" x14ac:dyDescent="0.25">
      <c r="A2" s="25">
        <f>'APAGADOS RADIO'!F3</f>
        <v>44652</v>
      </c>
      <c r="B2">
        <f>'APAGADOS RADIO'!F2+D2</f>
        <v>8</v>
      </c>
      <c r="C2">
        <f>'APAGADOS FIBRA'!F2</f>
        <v>30</v>
      </c>
      <c r="D2">
        <f>'APAGADOS ANTENA'!F2</f>
        <v>4</v>
      </c>
      <c r="E2">
        <f>B2+C2</f>
        <v>38</v>
      </c>
      <c r="F2">
        <f>'RESUMEN TOTAL'!C1</f>
        <v>373</v>
      </c>
      <c r="G2" s="77">
        <f>E2/F2</f>
        <v>0.10187667560321716</v>
      </c>
    </row>
    <row r="3" spans="1:7" x14ac:dyDescent="0.25">
      <c r="A3" s="25">
        <f>'APAGADOS RADIO'!G3</f>
        <v>44653</v>
      </c>
      <c r="B3" s="25">
        <v>4</v>
      </c>
      <c r="C3" s="70">
        <v>30</v>
      </c>
      <c r="D3" s="70">
        <v>3</v>
      </c>
      <c r="E3" s="70">
        <v>34</v>
      </c>
      <c r="F3">
        <f>'RESUMEN TOTAL'!C1</f>
        <v>373</v>
      </c>
      <c r="G3" s="77">
        <f t="shared" ref="G3:G27" si="0">E3/F3</f>
        <v>9.1152815013404831E-2</v>
      </c>
    </row>
    <row r="4" spans="1:7" x14ac:dyDescent="0.25">
      <c r="A4" s="25">
        <f>'APAGADOS RADIO'!H3</f>
        <v>44654</v>
      </c>
      <c r="B4" s="25">
        <v>4</v>
      </c>
      <c r="C4" s="70">
        <v>30</v>
      </c>
      <c r="D4" s="70">
        <v>3</v>
      </c>
      <c r="E4" s="70">
        <v>34</v>
      </c>
      <c r="F4">
        <f>'RESUMEN TOTAL'!C1</f>
        <v>373</v>
      </c>
      <c r="G4" s="77">
        <f t="shared" si="0"/>
        <v>9.1152815013404831E-2</v>
      </c>
    </row>
    <row r="5" spans="1:7" x14ac:dyDescent="0.25">
      <c r="A5" s="25">
        <f>'APAGADOS RADIO'!I3</f>
        <v>44655</v>
      </c>
      <c r="B5" s="70">
        <f>'APAGADOS RADIO'!I2+D5</f>
        <v>7</v>
      </c>
      <c r="C5" s="70">
        <f>'APAGADOS FIBRA'!I2</f>
        <v>29</v>
      </c>
      <c r="D5" s="70">
        <f>'APAGADOS ANTENA'!I2</f>
        <v>3</v>
      </c>
      <c r="E5" s="70">
        <f t="shared" ref="E5:E6" si="1">B5+C5</f>
        <v>36</v>
      </c>
      <c r="F5">
        <f>'RESUMEN TOTAL'!C1</f>
        <v>373</v>
      </c>
      <c r="G5" s="77">
        <f t="shared" si="0"/>
        <v>9.6514745308310987E-2</v>
      </c>
    </row>
    <row r="6" spans="1:7" x14ac:dyDescent="0.25">
      <c r="A6" s="25">
        <f>'APAGADOS RADIO'!J3</f>
        <v>44656</v>
      </c>
      <c r="B6" s="70">
        <f>'APAGADOS RADIO'!J2+D6</f>
        <v>6</v>
      </c>
      <c r="C6" s="70">
        <f>'APAGADOS FIBRA'!J2</f>
        <v>26</v>
      </c>
      <c r="D6" s="70">
        <f>'APAGADOS ANTENA'!J2</f>
        <v>2</v>
      </c>
      <c r="E6" s="70">
        <f t="shared" si="1"/>
        <v>32</v>
      </c>
      <c r="F6">
        <f>'RESUMEN TOTAL'!C1</f>
        <v>373</v>
      </c>
      <c r="G6" s="77">
        <f t="shared" si="0"/>
        <v>8.5790884718498661E-2</v>
      </c>
    </row>
    <row r="7" spans="1:7" x14ac:dyDescent="0.25">
      <c r="A7" s="25">
        <f>'APAGADOS RADIO'!K3</f>
        <v>44657</v>
      </c>
      <c r="B7" s="70">
        <f>'APAGADOS RADIO'!K2+D7</f>
        <v>5</v>
      </c>
      <c r="C7" s="70">
        <f>'APAGADOS FIBRA'!K2</f>
        <v>20</v>
      </c>
      <c r="D7" s="70">
        <f>'APAGADOS ANTENA'!K2</f>
        <v>2</v>
      </c>
      <c r="E7" s="70">
        <f t="shared" ref="E7" si="2">B7+C7</f>
        <v>25</v>
      </c>
      <c r="F7">
        <f>'RESUMEN TOTAL'!C1</f>
        <v>373</v>
      </c>
      <c r="G7" s="77">
        <f t="shared" si="0"/>
        <v>6.7024128686327081E-2</v>
      </c>
    </row>
    <row r="8" spans="1:7" x14ac:dyDescent="0.25">
      <c r="A8" s="25">
        <f>'APAGADOS RADIO'!L3</f>
        <v>44658</v>
      </c>
      <c r="B8" s="70">
        <f>'APAGADOS RADIO'!L2+D8</f>
        <v>10</v>
      </c>
      <c r="C8" s="70">
        <f>'APAGADOS FIBRA'!L2</f>
        <v>24</v>
      </c>
      <c r="D8" s="70">
        <f>'APAGADOS ANTENA'!L2</f>
        <v>4</v>
      </c>
      <c r="E8" s="70">
        <f t="shared" ref="E8:E12" si="3">B8+C8</f>
        <v>34</v>
      </c>
      <c r="F8">
        <f>'RESUMEN TOTAL'!C1</f>
        <v>373</v>
      </c>
      <c r="G8" s="77">
        <f t="shared" si="0"/>
        <v>9.1152815013404831E-2</v>
      </c>
    </row>
    <row r="9" spans="1:7" x14ac:dyDescent="0.25">
      <c r="A9" s="25">
        <f>'APAGADOS RADIO'!M3</f>
        <v>44659</v>
      </c>
      <c r="B9" s="70">
        <f>'APAGADOS RADIO'!M2+D9</f>
        <v>7</v>
      </c>
      <c r="C9" s="70">
        <f>'APAGADOS FIBRA'!M2</f>
        <v>18</v>
      </c>
      <c r="D9" s="70">
        <f>'APAGADOS ANTENA'!M2</f>
        <v>3</v>
      </c>
      <c r="E9" s="70">
        <f t="shared" si="3"/>
        <v>25</v>
      </c>
      <c r="F9">
        <f>'RESUMEN TOTAL'!C1</f>
        <v>373</v>
      </c>
      <c r="G9" s="77">
        <f t="shared" si="0"/>
        <v>6.7024128686327081E-2</v>
      </c>
    </row>
    <row r="10" spans="1:7" x14ac:dyDescent="0.25">
      <c r="A10" s="25">
        <f>'APAGADOS RADIO'!N3</f>
        <v>44660</v>
      </c>
      <c r="B10" s="70">
        <f>'APAGADOS RADIO'!N2+D10</f>
        <v>9</v>
      </c>
      <c r="C10" s="70">
        <f>'APAGADOS FIBRA'!N2</f>
        <v>17</v>
      </c>
      <c r="D10" s="70">
        <f>'APAGADOS ANTENA'!N2</f>
        <v>3</v>
      </c>
      <c r="E10" s="70">
        <f t="shared" ref="E10:E11" si="4">B10+C10</f>
        <v>26</v>
      </c>
      <c r="F10">
        <f>'RESUMEN TOTAL'!C1</f>
        <v>373</v>
      </c>
      <c r="G10" s="77">
        <f t="shared" si="0"/>
        <v>6.9705093833780166E-2</v>
      </c>
    </row>
    <row r="11" spans="1:7" x14ac:dyDescent="0.25">
      <c r="A11" s="25">
        <f>'APAGADOS RADIO'!O3</f>
        <v>44661</v>
      </c>
      <c r="B11" s="70">
        <f>'APAGADOS RADIO'!O2+D11</f>
        <v>9</v>
      </c>
      <c r="C11" s="70">
        <f>'APAGADOS FIBRA'!O2</f>
        <v>17</v>
      </c>
      <c r="D11" s="70">
        <f>'APAGADOS ANTENA'!O2</f>
        <v>2</v>
      </c>
      <c r="E11" s="70">
        <f t="shared" si="4"/>
        <v>26</v>
      </c>
      <c r="F11">
        <f>'RESUMEN TOTAL'!C1</f>
        <v>373</v>
      </c>
      <c r="G11" s="77">
        <f t="shared" si="0"/>
        <v>6.9705093833780166E-2</v>
      </c>
    </row>
    <row r="12" spans="1:7" x14ac:dyDescent="0.25">
      <c r="A12" s="25">
        <f>'APAGADOS RADIO'!P3</f>
        <v>44662</v>
      </c>
      <c r="B12" s="70">
        <f>'APAGADOS RADIO'!P2+D12</f>
        <v>7</v>
      </c>
      <c r="C12" s="70">
        <f>'APAGADOS FIBRA'!P2</f>
        <v>36</v>
      </c>
      <c r="D12" s="70">
        <f>'APAGADOS ANTENA'!P2</f>
        <v>3</v>
      </c>
      <c r="E12" s="70">
        <f t="shared" si="3"/>
        <v>43</v>
      </c>
      <c r="F12">
        <f>'RESUMEN TOTAL'!C1</f>
        <v>373</v>
      </c>
      <c r="G12" s="77">
        <f t="shared" si="0"/>
        <v>0.11528150134048257</v>
      </c>
    </row>
    <row r="13" spans="1:7" x14ac:dyDescent="0.25">
      <c r="A13" s="25">
        <f>'APAGADOS RADIO'!Q3</f>
        <v>44663</v>
      </c>
      <c r="B13" s="70">
        <f>'APAGADOS RADIO'!Q2+D13</f>
        <v>5</v>
      </c>
      <c r="C13" s="70">
        <f>'APAGADOS FIBRA'!Q2</f>
        <v>17</v>
      </c>
      <c r="D13" s="70">
        <f>'APAGADOS ANTENA'!Q2</f>
        <v>1</v>
      </c>
      <c r="E13" s="70">
        <f t="shared" ref="E13" si="5">B13+C13</f>
        <v>22</v>
      </c>
      <c r="F13">
        <f>'RESUMEN TOTAL'!C1</f>
        <v>373</v>
      </c>
      <c r="G13" s="77">
        <f t="shared" si="0"/>
        <v>5.8981233243967826E-2</v>
      </c>
    </row>
    <row r="14" spans="1:7" x14ac:dyDescent="0.25">
      <c r="A14" s="25">
        <f>'APAGADOS RADIO'!R3</f>
        <v>44664</v>
      </c>
      <c r="B14" s="70">
        <f>'APAGADOS RADIO'!R2+D14</f>
        <v>5</v>
      </c>
      <c r="C14" s="70">
        <f>'APAGADOS FIBRA'!R2</f>
        <v>18</v>
      </c>
      <c r="D14" s="70">
        <f>'APAGADOS ANTENA'!R2</f>
        <v>2</v>
      </c>
      <c r="E14" s="70">
        <f t="shared" ref="E14:E20" si="6">B14+C14</f>
        <v>23</v>
      </c>
      <c r="F14">
        <f>'RESUMEN TOTAL'!C1</f>
        <v>373</v>
      </c>
      <c r="G14" s="77">
        <f t="shared" si="0"/>
        <v>6.1662198391420911E-2</v>
      </c>
    </row>
    <row r="15" spans="1:7" x14ac:dyDescent="0.25">
      <c r="A15" s="25">
        <f>'APAGADOS RADIO'!S3</f>
        <v>44665</v>
      </c>
      <c r="B15" s="70">
        <f>'APAGADOS RADIO'!S2+D15</f>
        <v>10</v>
      </c>
      <c r="C15" s="70">
        <f>'APAGADOS FIBRA'!S2</f>
        <v>25</v>
      </c>
      <c r="D15" s="70">
        <f>'APAGADOS ANTENA'!S2</f>
        <v>7</v>
      </c>
      <c r="E15" s="70">
        <f t="shared" si="6"/>
        <v>35</v>
      </c>
      <c r="F15">
        <f>'RESUMEN TOTAL'!C1</f>
        <v>373</v>
      </c>
      <c r="G15" s="77">
        <f t="shared" si="0"/>
        <v>9.3833780160857902E-2</v>
      </c>
    </row>
    <row r="16" spans="1:7" x14ac:dyDescent="0.25">
      <c r="A16" s="25">
        <f>'APAGADOS RADIO'!T3</f>
        <v>44666</v>
      </c>
      <c r="B16" s="70">
        <f>'APAGADOS RADIO'!T2+D16</f>
        <v>6</v>
      </c>
      <c r="C16" s="70">
        <f>'APAGADOS FIBRA'!T2</f>
        <v>17</v>
      </c>
      <c r="D16" s="70">
        <f>'APAGADOS ANTENA'!T2</f>
        <v>3</v>
      </c>
      <c r="E16" s="70">
        <f t="shared" si="6"/>
        <v>23</v>
      </c>
      <c r="F16">
        <f>'RESUMEN TOTAL'!C1</f>
        <v>373</v>
      </c>
      <c r="G16" s="77">
        <f t="shared" si="0"/>
        <v>6.1662198391420911E-2</v>
      </c>
    </row>
    <row r="17" spans="1:7" x14ac:dyDescent="0.25">
      <c r="A17" s="25">
        <f>'APAGADOS RADIO'!U3</f>
        <v>44667</v>
      </c>
      <c r="B17" s="70">
        <f>'APAGADOS RADIO'!U2+D17</f>
        <v>5</v>
      </c>
      <c r="C17" s="70">
        <f>'APAGADOS FIBRA'!U2</f>
        <v>18</v>
      </c>
      <c r="D17" s="70">
        <f>'APAGADOS ANTENA'!U2</f>
        <v>2</v>
      </c>
      <c r="E17" s="70">
        <f t="shared" si="6"/>
        <v>23</v>
      </c>
      <c r="F17">
        <f>'RESUMEN TOTAL'!C1</f>
        <v>373</v>
      </c>
      <c r="G17" s="77">
        <f t="shared" si="0"/>
        <v>6.1662198391420911E-2</v>
      </c>
    </row>
    <row r="18" spans="1:7" x14ac:dyDescent="0.25">
      <c r="A18" s="25">
        <f>'APAGADOS RADIO'!V3</f>
        <v>44668</v>
      </c>
      <c r="B18" s="70">
        <f>'APAGADOS RADIO'!V2+D18</f>
        <v>8</v>
      </c>
      <c r="C18" s="70">
        <f>'APAGADOS FIBRA'!V2</f>
        <v>17</v>
      </c>
      <c r="D18" s="70">
        <f>'APAGADOS ANTENA'!V2</f>
        <v>3</v>
      </c>
      <c r="E18" s="70">
        <f t="shared" si="6"/>
        <v>25</v>
      </c>
      <c r="F18">
        <f>'RESUMEN TOTAL'!C1</f>
        <v>373</v>
      </c>
      <c r="G18" s="77">
        <f t="shared" si="0"/>
        <v>6.7024128686327081E-2</v>
      </c>
    </row>
    <row r="19" spans="1:7" x14ac:dyDescent="0.25">
      <c r="A19" s="25">
        <f>'APAGADOS RADIO'!W3</f>
        <v>44669</v>
      </c>
      <c r="B19" s="70">
        <f>'APAGADOS RADIO'!W2+D19</f>
        <v>7</v>
      </c>
      <c r="C19" s="70">
        <f>'APAGADOS FIBRA'!W2</f>
        <v>18</v>
      </c>
      <c r="D19" s="70">
        <f>'APAGADOS ANTENA'!W2</f>
        <v>3</v>
      </c>
      <c r="E19" s="70">
        <f t="shared" si="6"/>
        <v>25</v>
      </c>
      <c r="F19">
        <f>'RESUMEN TOTAL'!C1</f>
        <v>373</v>
      </c>
      <c r="G19" s="77">
        <f t="shared" si="0"/>
        <v>6.7024128686327081E-2</v>
      </c>
    </row>
    <row r="20" spans="1:7" x14ac:dyDescent="0.25">
      <c r="A20" s="25">
        <f>'APAGADOS RADIO'!X3</f>
        <v>44670</v>
      </c>
      <c r="B20" s="70">
        <f>'APAGADOS RADIO'!X2+D20</f>
        <v>10</v>
      </c>
      <c r="C20" s="70">
        <f>'APAGADOS FIBRA'!X2</f>
        <v>31</v>
      </c>
      <c r="D20" s="70">
        <f>'APAGADOS ANTENA'!X2</f>
        <v>7</v>
      </c>
      <c r="E20" s="70">
        <f t="shared" si="6"/>
        <v>41</v>
      </c>
      <c r="F20">
        <f>'RESUMEN TOTAL'!C1</f>
        <v>373</v>
      </c>
      <c r="G20" s="77">
        <f t="shared" si="0"/>
        <v>0.10991957104557641</v>
      </c>
    </row>
    <row r="21" spans="1:7" x14ac:dyDescent="0.25">
      <c r="A21" s="25">
        <f>'APAGADOS RADIO'!Y3</f>
        <v>44671</v>
      </c>
      <c r="B21" s="70">
        <f>'APAGADOS RADIO'!Y2+D21</f>
        <v>9</v>
      </c>
      <c r="C21" s="70">
        <f>'APAGADOS FIBRA'!Y2</f>
        <v>28</v>
      </c>
      <c r="D21" s="70">
        <f>'APAGADOS ANTENA'!Y2</f>
        <v>6</v>
      </c>
      <c r="E21" s="70">
        <f t="shared" ref="E21" si="7">B21+C21</f>
        <v>37</v>
      </c>
      <c r="F21">
        <f>'RESUMEN TOTAL'!C1</f>
        <v>373</v>
      </c>
      <c r="G21" s="77">
        <f t="shared" si="0"/>
        <v>9.9195710455764072E-2</v>
      </c>
    </row>
    <row r="22" spans="1:7" x14ac:dyDescent="0.25">
      <c r="A22" s="25">
        <f>'APAGADOS RADIO'!Z3</f>
        <v>44672</v>
      </c>
      <c r="B22" s="70">
        <f>'APAGADOS RADIO'!Z2+D22</f>
        <v>9</v>
      </c>
      <c r="C22" s="70">
        <f>'APAGADOS FIBRA'!Z2</f>
        <v>25</v>
      </c>
      <c r="D22" s="70">
        <f>'APAGADOS ANTENA'!Z2</f>
        <v>5</v>
      </c>
      <c r="E22" s="70">
        <f t="shared" ref="E22" si="8">B22+C22</f>
        <v>34</v>
      </c>
      <c r="F22">
        <f>'RESUMEN TOTAL'!C1</f>
        <v>373</v>
      </c>
      <c r="G22" s="77">
        <f t="shared" si="0"/>
        <v>9.1152815013404831E-2</v>
      </c>
    </row>
    <row r="23" spans="1:7" x14ac:dyDescent="0.25">
      <c r="A23" s="25">
        <f>'APAGADOS RADIO'!AA3</f>
        <v>44673</v>
      </c>
      <c r="B23" s="70">
        <f>'APAGADOS RADIO'!AA2+D23</f>
        <v>8</v>
      </c>
      <c r="C23" s="70">
        <f>'APAGADOS FIBRA'!AA2</f>
        <v>25</v>
      </c>
      <c r="D23" s="70">
        <f>'APAGADOS ANTENA'!AA2</f>
        <v>5</v>
      </c>
      <c r="E23" s="70">
        <f t="shared" ref="E23:E26" si="9">B23+C23</f>
        <v>33</v>
      </c>
      <c r="F23">
        <f>'RESUMEN TOTAL'!C1</f>
        <v>373</v>
      </c>
      <c r="G23" s="77">
        <f t="shared" si="0"/>
        <v>8.8471849865951746E-2</v>
      </c>
    </row>
    <row r="24" spans="1:7" x14ac:dyDescent="0.25">
      <c r="A24" s="25">
        <f>'APAGADOS RADIO'!AB3</f>
        <v>44674</v>
      </c>
      <c r="B24" s="70">
        <f>'APAGADOS RADIO'!AB2+D24</f>
        <v>7</v>
      </c>
      <c r="C24" s="70">
        <f>'APAGADOS FIBRA'!AB2</f>
        <v>20</v>
      </c>
      <c r="D24" s="70">
        <f>'APAGADOS ANTENA'!AB2</f>
        <v>4</v>
      </c>
      <c r="E24" s="70">
        <f t="shared" si="9"/>
        <v>27</v>
      </c>
      <c r="F24">
        <f>'RESUMEN TOTAL'!C1</f>
        <v>373</v>
      </c>
      <c r="G24" s="77">
        <f t="shared" si="0"/>
        <v>7.2386058981233251E-2</v>
      </c>
    </row>
    <row r="25" spans="1:7" x14ac:dyDescent="0.25">
      <c r="A25" s="25">
        <f>'APAGADOS RADIO'!AC3</f>
        <v>44675</v>
      </c>
      <c r="B25" s="70">
        <f>'APAGADOS RADIO'!AC2+D25</f>
        <v>7</v>
      </c>
      <c r="C25" s="70">
        <f>'APAGADOS FIBRA'!AC2</f>
        <v>19</v>
      </c>
      <c r="D25" s="70">
        <f>'APAGADOS ANTENA'!AC2</f>
        <v>2</v>
      </c>
      <c r="E25" s="70">
        <f t="shared" si="9"/>
        <v>26</v>
      </c>
      <c r="F25">
        <f>'RESUMEN TOTAL'!C1</f>
        <v>373</v>
      </c>
      <c r="G25" s="77">
        <f t="shared" si="0"/>
        <v>6.9705093833780166E-2</v>
      </c>
    </row>
    <row r="26" spans="1:7" x14ac:dyDescent="0.25">
      <c r="A26" s="25">
        <f>'APAGADOS RADIO'!AD3</f>
        <v>44676</v>
      </c>
      <c r="B26" s="70">
        <f>'APAGADOS RADIO'!AD2+D26</f>
        <v>17</v>
      </c>
      <c r="C26" s="70">
        <f>'APAGADOS FIBRA'!AD2</f>
        <v>45</v>
      </c>
      <c r="D26" s="70">
        <f>'APAGADOS ANTENA'!AD2</f>
        <v>14</v>
      </c>
      <c r="E26" s="70">
        <f t="shared" si="9"/>
        <v>62</v>
      </c>
      <c r="F26">
        <f>'RESUMEN TOTAL'!C1</f>
        <v>373</v>
      </c>
      <c r="G26" s="77">
        <f t="shared" si="0"/>
        <v>0.16621983914209115</v>
      </c>
    </row>
    <row r="27" spans="1:7" x14ac:dyDescent="0.25">
      <c r="A27" s="25">
        <f>'APAGADOS RADIO'!AE3</f>
        <v>44677</v>
      </c>
      <c r="B27" s="70">
        <f>'APAGADOS RADIO'!AE2+D27</f>
        <v>18</v>
      </c>
      <c r="C27" s="70">
        <f>'APAGADOS FIBRA'!AE2</f>
        <v>39</v>
      </c>
      <c r="D27" s="70">
        <f>'APAGADOS ANTENA'!AE2</f>
        <v>15</v>
      </c>
      <c r="E27" s="70">
        <f t="shared" ref="E27" si="10">B27+C27</f>
        <v>57</v>
      </c>
      <c r="F27">
        <f>'RESUMEN TOTAL'!C1</f>
        <v>373</v>
      </c>
      <c r="G27" s="77">
        <f t="shared" si="0"/>
        <v>0.15281501340482573</v>
      </c>
    </row>
    <row r="28" spans="1:7" x14ac:dyDescent="0.25">
      <c r="A28" s="25">
        <f>'APAGADOS RADIO'!AF3</f>
        <v>44678</v>
      </c>
      <c r="C28" s="30"/>
      <c r="F28">
        <f>'RESUMEN TOTAL'!C1</f>
        <v>373</v>
      </c>
    </row>
    <row r="29" spans="1:7" x14ac:dyDescent="0.25">
      <c r="A29" s="25">
        <f>'APAGADOS RADIO'!AG3</f>
        <v>44679</v>
      </c>
      <c r="C29" s="30"/>
      <c r="F29">
        <f>'RESUMEN TOTAL'!C1</f>
        <v>373</v>
      </c>
    </row>
    <row r="30" spans="1:7" x14ac:dyDescent="0.25">
      <c r="A30" s="25">
        <f>'APAGADOS RADIO'!AH3</f>
        <v>44680</v>
      </c>
      <c r="C30" s="30"/>
      <c r="F30">
        <f>'RESUMEN TOTAL'!C1</f>
        <v>373</v>
      </c>
    </row>
    <row r="31" spans="1:7" x14ac:dyDescent="0.25">
      <c r="A31" s="25">
        <f>'APAGADOS RADIO'!AI3</f>
        <v>44681</v>
      </c>
      <c r="F31">
        <f>'RESUMEN TOTAL'!C1</f>
        <v>373</v>
      </c>
    </row>
    <row r="32" spans="1:7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77"/>
    </row>
    <row r="36" spans="1:30" s="30" customFormat="1" x14ac:dyDescent="0.25">
      <c r="G36" s="77"/>
    </row>
    <row r="37" spans="1:30" s="20" customFormat="1" x14ac:dyDescent="0.25">
      <c r="G37" s="77"/>
    </row>
    <row r="40" spans="1:30" x14ac:dyDescent="0.25">
      <c r="A40" s="70" t="s">
        <v>938</v>
      </c>
      <c r="B40" s="70" t="s">
        <v>937</v>
      </c>
    </row>
    <row r="41" spans="1:30" x14ac:dyDescent="0.25">
      <c r="A41" s="70">
        <v>38</v>
      </c>
      <c r="B41" s="70">
        <v>373</v>
      </c>
      <c r="D41" s="25">
        <v>44652</v>
      </c>
      <c r="E41" s="77">
        <f t="shared" ref="E41:E60" si="11">A41/B41</f>
        <v>0.10187667560321716</v>
      </c>
    </row>
    <row r="42" spans="1:30" x14ac:dyDescent="0.25">
      <c r="A42" s="70">
        <v>34</v>
      </c>
      <c r="B42" s="70">
        <v>373</v>
      </c>
      <c r="D42" s="25">
        <v>44653</v>
      </c>
      <c r="E42" s="77">
        <f t="shared" si="11"/>
        <v>9.1152815013404831E-2</v>
      </c>
    </row>
    <row r="43" spans="1:30" x14ac:dyDescent="0.25">
      <c r="A43" s="70">
        <v>34</v>
      </c>
      <c r="B43" s="70">
        <v>373</v>
      </c>
      <c r="D43" s="25">
        <v>44654</v>
      </c>
      <c r="E43" s="77">
        <f t="shared" si="11"/>
        <v>9.1152815013404831E-2</v>
      </c>
    </row>
    <row r="44" spans="1:30" x14ac:dyDescent="0.25">
      <c r="A44" s="70">
        <v>36</v>
      </c>
      <c r="B44" s="70">
        <v>373</v>
      </c>
      <c r="D44" s="25">
        <v>44655</v>
      </c>
      <c r="E44" s="77">
        <f t="shared" si="11"/>
        <v>9.6514745308310987E-2</v>
      </c>
    </row>
    <row r="45" spans="1:30" x14ac:dyDescent="0.25">
      <c r="A45" s="70">
        <v>32</v>
      </c>
      <c r="B45" s="70">
        <v>373</v>
      </c>
      <c r="D45" s="25">
        <v>44656</v>
      </c>
      <c r="E45" s="77">
        <f t="shared" si="11"/>
        <v>8.5790884718498661E-2</v>
      </c>
    </row>
    <row r="46" spans="1:30" x14ac:dyDescent="0.25">
      <c r="A46" s="70">
        <v>25</v>
      </c>
      <c r="B46" s="70">
        <v>373</v>
      </c>
      <c r="D46" s="25">
        <v>44657</v>
      </c>
      <c r="E46" s="77">
        <f t="shared" si="11"/>
        <v>6.7024128686327081E-2</v>
      </c>
    </row>
    <row r="47" spans="1:30" x14ac:dyDescent="0.25">
      <c r="A47" s="70">
        <v>34</v>
      </c>
      <c r="B47" s="70">
        <v>373</v>
      </c>
      <c r="D47" s="25">
        <v>44658</v>
      </c>
      <c r="E47" s="77">
        <f t="shared" si="11"/>
        <v>9.1152815013404831E-2</v>
      </c>
    </row>
    <row r="48" spans="1:30" x14ac:dyDescent="0.25">
      <c r="A48" s="70">
        <v>25</v>
      </c>
      <c r="B48" s="70">
        <v>373</v>
      </c>
      <c r="D48" s="25">
        <v>44659</v>
      </c>
      <c r="E48" s="77">
        <f t="shared" si="11"/>
        <v>6.7024128686327081E-2</v>
      </c>
    </row>
    <row r="49" spans="1:5" x14ac:dyDescent="0.25">
      <c r="A49" s="70">
        <v>26</v>
      </c>
      <c r="B49" s="70">
        <v>373</v>
      </c>
      <c r="D49" s="25">
        <v>44660</v>
      </c>
      <c r="E49" s="77">
        <f t="shared" si="11"/>
        <v>6.9705093833780166E-2</v>
      </c>
    </row>
    <row r="50" spans="1:5" x14ac:dyDescent="0.25">
      <c r="A50" s="70">
        <v>26</v>
      </c>
      <c r="B50" s="70">
        <v>373</v>
      </c>
      <c r="D50" s="25">
        <v>44661</v>
      </c>
      <c r="E50" s="77">
        <f t="shared" si="11"/>
        <v>6.9705093833780166E-2</v>
      </c>
    </row>
    <row r="51" spans="1:5" x14ac:dyDescent="0.25">
      <c r="A51" s="70">
        <v>43</v>
      </c>
      <c r="B51" s="70">
        <v>373</v>
      </c>
      <c r="D51" s="25">
        <v>44662</v>
      </c>
      <c r="E51" s="77">
        <f t="shared" si="11"/>
        <v>0.11528150134048257</v>
      </c>
    </row>
    <row r="52" spans="1:5" x14ac:dyDescent="0.25">
      <c r="A52" s="70">
        <v>22</v>
      </c>
      <c r="B52" s="70">
        <v>373</v>
      </c>
      <c r="D52" s="25">
        <v>44663</v>
      </c>
      <c r="E52" s="77">
        <f t="shared" si="11"/>
        <v>5.8981233243967826E-2</v>
      </c>
    </row>
    <row r="53" spans="1:5" x14ac:dyDescent="0.25">
      <c r="A53" s="70"/>
      <c r="B53" s="70">
        <v>373</v>
      </c>
      <c r="D53" s="25">
        <v>44664</v>
      </c>
      <c r="E53" s="77">
        <f t="shared" si="11"/>
        <v>0</v>
      </c>
    </row>
    <row r="54" spans="1:5" x14ac:dyDescent="0.25">
      <c r="A54" s="70"/>
      <c r="B54" s="70">
        <v>373</v>
      </c>
      <c r="D54" s="25">
        <v>44665</v>
      </c>
      <c r="E54" s="77">
        <f t="shared" si="11"/>
        <v>0</v>
      </c>
    </row>
    <row r="55" spans="1:5" x14ac:dyDescent="0.25">
      <c r="A55" s="70"/>
      <c r="B55" s="70">
        <v>373</v>
      </c>
      <c r="D55" s="25">
        <v>44666</v>
      </c>
      <c r="E55" s="77">
        <f t="shared" si="11"/>
        <v>0</v>
      </c>
    </row>
    <row r="56" spans="1:5" x14ac:dyDescent="0.25">
      <c r="A56" s="70"/>
      <c r="B56" s="70">
        <v>373</v>
      </c>
      <c r="D56" s="25">
        <v>44667</v>
      </c>
      <c r="E56" s="77">
        <f t="shared" si="11"/>
        <v>0</v>
      </c>
    </row>
    <row r="57" spans="1:5" x14ac:dyDescent="0.25">
      <c r="A57" s="70"/>
      <c r="B57" s="70">
        <v>373</v>
      </c>
      <c r="D57" s="25">
        <v>44668</v>
      </c>
      <c r="E57" s="77">
        <f t="shared" si="11"/>
        <v>0</v>
      </c>
    </row>
    <row r="58" spans="1:5" x14ac:dyDescent="0.25">
      <c r="A58" s="70"/>
      <c r="B58" s="70">
        <v>373</v>
      </c>
      <c r="D58" s="25">
        <v>44669</v>
      </c>
      <c r="E58" s="77">
        <f t="shared" si="11"/>
        <v>0</v>
      </c>
    </row>
    <row r="59" spans="1:5" x14ac:dyDescent="0.25">
      <c r="A59" s="70"/>
      <c r="B59" s="70">
        <v>373</v>
      </c>
      <c r="D59" s="25">
        <v>44670</v>
      </c>
      <c r="E59" s="77">
        <f t="shared" si="11"/>
        <v>0</v>
      </c>
    </row>
    <row r="60" spans="1:5" x14ac:dyDescent="0.25">
      <c r="A60" s="70"/>
      <c r="B60" s="70">
        <v>373</v>
      </c>
      <c r="D60" s="25">
        <v>44671</v>
      </c>
      <c r="E60" s="77">
        <f t="shared" si="11"/>
        <v>0</v>
      </c>
    </row>
    <row r="61" spans="1:5" x14ac:dyDescent="0.25">
      <c r="A61" s="70"/>
      <c r="B61" s="70">
        <v>373</v>
      </c>
      <c r="D61" s="25">
        <v>44672</v>
      </c>
    </row>
    <row r="62" spans="1:5" x14ac:dyDescent="0.25">
      <c r="A62" s="70"/>
      <c r="B62" s="70">
        <v>373</v>
      </c>
      <c r="D62" s="25">
        <v>44673</v>
      </c>
    </row>
    <row r="63" spans="1:5" x14ac:dyDescent="0.25">
      <c r="A63" s="70"/>
      <c r="B63" s="70">
        <v>373</v>
      </c>
      <c r="D63" s="25">
        <v>44674</v>
      </c>
    </row>
    <row r="64" spans="1:5" x14ac:dyDescent="0.25">
      <c r="A64" s="70"/>
      <c r="B64" s="70">
        <v>373</v>
      </c>
      <c r="D64" s="25">
        <v>44675</v>
      </c>
    </row>
    <row r="65" spans="1:4" x14ac:dyDescent="0.25">
      <c r="A65" s="70"/>
      <c r="B65" s="70">
        <v>373</v>
      </c>
      <c r="D65" s="25">
        <v>44676</v>
      </c>
    </row>
    <row r="66" spans="1:4" x14ac:dyDescent="0.25">
      <c r="A66" s="70"/>
      <c r="B66" s="70">
        <v>373</v>
      </c>
      <c r="D66" s="25">
        <v>44677</v>
      </c>
    </row>
    <row r="67" spans="1:4" x14ac:dyDescent="0.25">
      <c r="A67" s="70"/>
      <c r="B67" s="70">
        <v>373</v>
      </c>
      <c r="D67" s="25">
        <v>44678</v>
      </c>
    </row>
    <row r="68" spans="1:4" x14ac:dyDescent="0.25">
      <c r="A68" s="70"/>
      <c r="B68" s="70">
        <v>373</v>
      </c>
      <c r="D68" s="25">
        <v>44679</v>
      </c>
    </row>
    <row r="69" spans="1:4" x14ac:dyDescent="0.25">
      <c r="A69" s="70"/>
      <c r="B69" s="70">
        <v>373</v>
      </c>
      <c r="D69" s="25">
        <v>44680</v>
      </c>
    </row>
    <row r="70" spans="1:4" x14ac:dyDescent="0.25">
      <c r="A70" s="70"/>
      <c r="B70" s="70">
        <v>373</v>
      </c>
      <c r="D70" s="25">
        <v>44681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PORCENTAJE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2022-04-28T11:06:04Z</dcterms:modified>
</cp:coreProperties>
</file>