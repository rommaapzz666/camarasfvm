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5D109354-593A-47D3-A2C8-6BF12946413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<sst xmlns="http://schemas.openxmlformats.org/spreadsheetml/2006/main" count="3165" uniqueCount="1371">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</sst>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U200" activePane="bottomRight" state="frozen"/>
      <selection pane="topRight" activeCell="M1" sqref="M1"/>
      <selection pane="bottomLeft" activeCell="A5" sqref="A5"/>
      <selection pane="bottomRight" activeCell="U207" sqref="U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24</v>
      </c>
      <c r="M7" s="17">
        <f t="shared" si="8"/>
        <v>6</v>
      </c>
      <c r="N7" s="18">
        <f t="shared" si="9"/>
        <v>0.8</v>
      </c>
      <c r="O7" s="27" t="s">
        <v>1369</v>
      </c>
      <c r="P7" s="8" t="s">
        <v>1369</v>
      </c>
      <c r="Q7" s="8" t="s">
        <v>1369</v>
      </c>
      <c r="R7" s="8" t="s">
        <v>1369</v>
      </c>
      <c r="S7" s="27" t="s">
        <v>1369</v>
      </c>
      <c r="T7" s="27"/>
      <c r="U7" s="8" t="s">
        <v>1369</v>
      </c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29</v>
      </c>
      <c r="M10" s="17">
        <f t="shared" si="8"/>
        <v>1</v>
      </c>
      <c r="N10" s="18">
        <f t="shared" si="9"/>
        <v>0.96666666666666667</v>
      </c>
      <c r="O10" s="27"/>
      <c r="P10" s="8"/>
      <c r="Q10" s="8"/>
      <c r="R10" s="8"/>
      <c r="S10" s="27"/>
      <c r="T10" s="27"/>
      <c r="U10" s="8" t="s">
        <v>1369</v>
      </c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29</v>
      </c>
      <c r="M13" s="17">
        <f t="shared" si="8"/>
        <v>1</v>
      </c>
      <c r="N13" s="18">
        <f t="shared" si="9"/>
        <v>0.96666666666666667</v>
      </c>
      <c r="O13" s="27"/>
      <c r="P13" s="8"/>
      <c r="Q13" s="8"/>
      <c r="R13" s="8"/>
      <c r="S13" s="27"/>
      <c r="T13" s="27"/>
      <c r="U13" s="8" t="s">
        <v>1369</v>
      </c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29</v>
      </c>
      <c r="M14" s="17">
        <f t="shared" si="8"/>
        <v>1</v>
      </c>
      <c r="N14" s="18">
        <f t="shared" si="9"/>
        <v>0.96666666666666667</v>
      </c>
      <c r="O14" s="27"/>
      <c r="P14" s="8"/>
      <c r="Q14" s="8"/>
      <c r="R14" s="8"/>
      <c r="S14" s="27"/>
      <c r="T14" s="27"/>
      <c r="U14" s="8" t="s">
        <v>1369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29</v>
      </c>
      <c r="M17" s="17">
        <f t="shared" si="8"/>
        <v>1</v>
      </c>
      <c r="N17" s="18">
        <f t="shared" si="9"/>
        <v>0.96666666666666667</v>
      </c>
      <c r="O17" s="27"/>
      <c r="P17" s="8"/>
      <c r="Q17" s="8"/>
      <c r="R17" s="8"/>
      <c r="S17" s="27"/>
      <c r="T17" s="27"/>
      <c r="U17" s="8" t="s">
        <v>1369</v>
      </c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29</v>
      </c>
      <c r="M18" s="17">
        <f t="shared" si="8"/>
        <v>1</v>
      </c>
      <c r="N18" s="18">
        <f t="shared" si="9"/>
        <v>0.96666666666666667</v>
      </c>
      <c r="O18" s="27"/>
      <c r="P18" s="8"/>
      <c r="Q18" s="8"/>
      <c r="R18" s="8"/>
      <c r="S18" s="27"/>
      <c r="T18" s="27"/>
      <c r="U18" s="8" t="s">
        <v>1369</v>
      </c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25</v>
      </c>
      <c r="M36" s="17">
        <f t="shared" si="8"/>
        <v>5</v>
      </c>
      <c r="N36" s="18">
        <f t="shared" si="9"/>
        <v>0.83333333333333337</v>
      </c>
      <c r="O36" s="27"/>
      <c r="P36" s="8" t="s">
        <v>1369</v>
      </c>
      <c r="Q36" s="8" t="s">
        <v>1369</v>
      </c>
      <c r="R36" s="8" t="s">
        <v>1369</v>
      </c>
      <c r="S36" s="27" t="s">
        <v>1369</v>
      </c>
      <c r="T36" s="27"/>
      <c r="U36" s="8" t="s">
        <v>1369</v>
      </c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 t="s">
        <v>1369</v>
      </c>
      <c r="T74" s="27"/>
      <c r="U74" s="8" t="s">
        <v>1369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1369</v>
      </c>
      <c r="R80" s="8" t="s">
        <v>1369</v>
      </c>
      <c r="S80" s="27" t="s">
        <v>1369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1369</v>
      </c>
      <c r="R83" s="8" t="s">
        <v>1369</v>
      </c>
      <c r="S83" s="27" t="s">
        <v>1369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29</v>
      </c>
      <c r="M102" s="17">
        <f t="shared" si="11"/>
        <v>1</v>
      </c>
      <c r="N102" s="18">
        <f t="shared" si="12"/>
        <v>0.96666666666666667</v>
      </c>
      <c r="O102" s="27"/>
      <c r="P102" s="8"/>
      <c r="Q102" s="8"/>
      <c r="R102" s="8" t="s">
        <v>1369</v>
      </c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1369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1369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29</v>
      </c>
      <c r="M106" s="17">
        <f t="shared" si="11"/>
        <v>1</v>
      </c>
      <c r="N106" s="18">
        <f t="shared" si="12"/>
        <v>0.96666666666666667</v>
      </c>
      <c r="O106" s="27"/>
      <c r="P106" s="8"/>
      <c r="Q106" s="8"/>
      <c r="R106" s="8"/>
      <c r="S106" s="27"/>
      <c r="T106" s="27"/>
      <c r="U106" s="8" t="s">
        <v>1369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29</v>
      </c>
      <c r="M107" s="17">
        <f t="shared" si="11"/>
        <v>1</v>
      </c>
      <c r="N107" s="18">
        <f t="shared" si="12"/>
        <v>0.96666666666666667</v>
      </c>
      <c r="O107" s="27"/>
      <c r="P107" s="8"/>
      <c r="Q107" s="8"/>
      <c r="R107" s="8"/>
      <c r="S107" s="27"/>
      <c r="T107" s="27"/>
      <c r="U107" s="8" t="s">
        <v>1369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29</v>
      </c>
      <c r="M108" s="17">
        <f t="shared" si="11"/>
        <v>1</v>
      </c>
      <c r="N108" s="18">
        <f t="shared" si="12"/>
        <v>0.96666666666666667</v>
      </c>
      <c r="O108" s="27"/>
      <c r="P108" s="8"/>
      <c r="Q108" s="8"/>
      <c r="R108" s="8"/>
      <c r="S108" s="27"/>
      <c r="T108" s="27"/>
      <c r="U108" s="8" t="s">
        <v>1369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29</v>
      </c>
      <c r="M109" s="17">
        <f t="shared" si="11"/>
        <v>1</v>
      </c>
      <c r="N109" s="18">
        <f t="shared" si="12"/>
        <v>0.96666666666666667</v>
      </c>
      <c r="O109" s="27"/>
      <c r="P109" s="8"/>
      <c r="Q109" s="8"/>
      <c r="R109" s="8"/>
      <c r="S109" s="27"/>
      <c r="T109" s="27"/>
      <c r="U109" s="8" t="s">
        <v>1369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9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24</v>
      </c>
      <c r="M120" s="17">
        <f t="shared" si="11"/>
        <v>6</v>
      </c>
      <c r="N120" s="18">
        <f t="shared" si="12"/>
        <v>0.8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 t="s">
        <v>1369</v>
      </c>
      <c r="T120" s="27"/>
      <c r="U120" s="8" t="s">
        <v>1369</v>
      </c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24</v>
      </c>
      <c r="M121" s="17">
        <f t="shared" si="11"/>
        <v>6</v>
      </c>
      <c r="N121" s="18">
        <f t="shared" si="12"/>
        <v>0.8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 t="s">
        <v>1369</v>
      </c>
      <c r="T121" s="27"/>
      <c r="U121" s="8" t="s">
        <v>1369</v>
      </c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29</v>
      </c>
      <c r="M122" s="17">
        <f t="shared" si="11"/>
        <v>1</v>
      </c>
      <c r="N122" s="18">
        <f t="shared" si="12"/>
        <v>0.96666666666666667</v>
      </c>
      <c r="O122" s="27"/>
      <c r="P122" s="8"/>
      <c r="Q122" s="8"/>
      <c r="R122" s="8"/>
      <c r="S122" s="27"/>
      <c r="T122" s="27"/>
      <c r="U122" s="8" t="s">
        <v>1369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29</v>
      </c>
      <c r="M123" s="17">
        <f t="shared" si="11"/>
        <v>1</v>
      </c>
      <c r="N123" s="18">
        <f t="shared" si="12"/>
        <v>0.96666666666666667</v>
      </c>
      <c r="O123" s="27"/>
      <c r="P123" s="8"/>
      <c r="Q123" s="8"/>
      <c r="R123" s="8"/>
      <c r="S123" s="27"/>
      <c r="T123" s="27"/>
      <c r="U123" s="8" t="s">
        <v>1369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1369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1369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24</v>
      </c>
      <c r="M133" s="17">
        <f t="shared" ref="M133:M196" si="14">COUNTIF(O133:AP133,"APAGADO")</f>
        <v>6</v>
      </c>
      <c r="N133" s="18">
        <f t="shared" ref="N133:N196" si="15">(L133)/(M133+L133)</f>
        <v>0.8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 t="s">
        <v>1369</v>
      </c>
      <c r="T133" s="27"/>
      <c r="U133" s="8" t="s">
        <v>1369</v>
      </c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1369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1369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1369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1369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29</v>
      </c>
      <c r="M169" s="17">
        <f t="shared" si="14"/>
        <v>1</v>
      </c>
      <c r="N169" s="18">
        <f t="shared" si="15"/>
        <v>0.96666666666666667</v>
      </c>
      <c r="O169" s="27"/>
      <c r="P169" s="8"/>
      <c r="Q169" s="8"/>
      <c r="R169" s="8"/>
      <c r="S169" s="27"/>
      <c r="T169" s="27"/>
      <c r="U169" s="8" t="s">
        <v>1369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29</v>
      </c>
      <c r="M171" s="17">
        <f t="shared" si="14"/>
        <v>1</v>
      </c>
      <c r="N171" s="18">
        <f t="shared" si="15"/>
        <v>0.96666666666666667</v>
      </c>
      <c r="O171" s="27"/>
      <c r="P171" s="8"/>
      <c r="Q171" s="8"/>
      <c r="R171" s="8"/>
      <c r="S171" s="27"/>
      <c r="T171" s="27"/>
      <c r="U171" s="8" t="s">
        <v>1369</v>
      </c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29</v>
      </c>
      <c r="M173" s="17">
        <f t="shared" si="14"/>
        <v>1</v>
      </c>
      <c r="N173" s="18">
        <f t="shared" si="15"/>
        <v>0.96666666666666667</v>
      </c>
      <c r="O173" s="27"/>
      <c r="P173" s="8"/>
      <c r="Q173" s="8"/>
      <c r="R173" s="8"/>
      <c r="S173" s="27"/>
      <c r="T173" s="27"/>
      <c r="U173" s="8" t="s">
        <v>1369</v>
      </c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29</v>
      </c>
      <c r="M174" s="17">
        <f t="shared" si="14"/>
        <v>1</v>
      </c>
      <c r="N174" s="18">
        <f t="shared" si="15"/>
        <v>0.96666666666666667</v>
      </c>
      <c r="O174" s="27"/>
      <c r="P174" s="8"/>
      <c r="Q174" s="8"/>
      <c r="R174" s="8"/>
      <c r="S174" s="27"/>
      <c r="T174" s="27"/>
      <c r="U174" s="8" t="s">
        <v>1369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 t="s">
        <v>1369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25</v>
      </c>
      <c r="M182" s="17">
        <f t="shared" si="14"/>
        <v>5</v>
      </c>
      <c r="N182" s="18">
        <f t="shared" si="15"/>
        <v>0.83333333333333337</v>
      </c>
      <c r="O182" s="27"/>
      <c r="P182" s="8" t="s">
        <v>1369</v>
      </c>
      <c r="Q182" s="8" t="s">
        <v>1369</v>
      </c>
      <c r="R182" s="8" t="s">
        <v>1369</v>
      </c>
      <c r="S182" s="27" t="s">
        <v>1369</v>
      </c>
      <c r="T182" s="27"/>
      <c r="U182" s="8" t="s">
        <v>1369</v>
      </c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1369</v>
      </c>
      <c r="R185" s="8" t="s">
        <v>1369</v>
      </c>
      <c r="S185" s="27" t="s">
        <v>1369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 t="s">
        <v>1369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24</v>
      </c>
      <c r="M191" s="17">
        <f t="shared" si="14"/>
        <v>6</v>
      </c>
      <c r="N191" s="18">
        <f t="shared" si="15"/>
        <v>0.8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 t="s">
        <v>1369</v>
      </c>
      <c r="T191" s="27"/>
      <c r="U191" s="8" t="s">
        <v>1369</v>
      </c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24</v>
      </c>
      <c r="M192" s="17">
        <f t="shared" si="14"/>
        <v>6</v>
      </c>
      <c r="N192" s="18">
        <f t="shared" si="15"/>
        <v>0.8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 t="s">
        <v>1369</v>
      </c>
      <c r="T192" s="27"/>
      <c r="U192" s="8" t="s">
        <v>1369</v>
      </c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29</v>
      </c>
      <c r="M197" s="17">
        <f t="shared" ref="M197:M262" si="17">COUNTIF(O197:AP197,"APAGADO")</f>
        <v>1</v>
      </c>
      <c r="N197" s="18">
        <f t="shared" ref="N197:N262" si="18">(L197)/(M197+L197)</f>
        <v>0.96666666666666667</v>
      </c>
      <c r="O197" s="27"/>
      <c r="P197" s="8"/>
      <c r="Q197" s="8"/>
      <c r="R197" s="8"/>
      <c r="S197" s="27"/>
      <c r="T197" s="27"/>
      <c r="U197" s="8" t="s">
        <v>1369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29</v>
      </c>
      <c r="M198" s="17">
        <f t="shared" si="17"/>
        <v>1</v>
      </c>
      <c r="N198" s="18">
        <f t="shared" si="18"/>
        <v>0.96666666666666667</v>
      </c>
      <c r="O198" s="27"/>
      <c r="P198" s="8"/>
      <c r="Q198" s="8"/>
      <c r="R198" s="8"/>
      <c r="S198" s="27"/>
      <c r="T198" s="27"/>
      <c r="U198" s="8" t="s">
        <v>1369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29</v>
      </c>
      <c r="M201" s="17">
        <f t="shared" si="17"/>
        <v>1</v>
      </c>
      <c r="N201" s="18">
        <f t="shared" si="18"/>
        <v>0.96666666666666667</v>
      </c>
      <c r="O201" s="27"/>
      <c r="P201" s="8"/>
      <c r="Q201" s="8"/>
      <c r="R201" s="8" t="s">
        <v>1369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29</v>
      </c>
      <c r="M202" s="17">
        <f t="shared" si="17"/>
        <v>1</v>
      </c>
      <c r="N202" s="18">
        <f t="shared" si="18"/>
        <v>0.96666666666666667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24</v>
      </c>
      <c r="M206" s="17">
        <f t="shared" si="17"/>
        <v>6</v>
      </c>
      <c r="N206" s="18">
        <f t="shared" si="18"/>
        <v>0.8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 t="s">
        <v>1369</v>
      </c>
      <c r="T206" s="27"/>
      <c r="U206" s="8" t="s">
        <v>1369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24</v>
      </c>
      <c r="M207" s="17">
        <f t="shared" si="17"/>
        <v>6</v>
      </c>
      <c r="N207" s="18">
        <f t="shared" si="18"/>
        <v>0.8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 t="s">
        <v>1369</v>
      </c>
      <c r="T207" s="27"/>
      <c r="U207" s="8" t="s">
        <v>1369</v>
      </c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24</v>
      </c>
      <c r="M211" s="17">
        <f t="shared" si="17"/>
        <v>6</v>
      </c>
      <c r="N211" s="18">
        <f t="shared" si="18"/>
        <v>0.8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 t="s">
        <v>1369</v>
      </c>
      <c r="T211" s="27"/>
      <c r="U211" s="8" t="s">
        <v>1369</v>
      </c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24</v>
      </c>
      <c r="M212" s="17">
        <f t="shared" si="17"/>
        <v>6</v>
      </c>
      <c r="N212" s="18">
        <f t="shared" si="18"/>
        <v>0.8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 t="s">
        <v>1369</v>
      </c>
      <c r="T212" s="27"/>
      <c r="U212" s="8" t="s">
        <v>1369</v>
      </c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29</v>
      </c>
      <c r="M230" s="17">
        <f t="shared" si="17"/>
        <v>1</v>
      </c>
      <c r="N230" s="18">
        <f t="shared" si="18"/>
        <v>0.96666666666666667</v>
      </c>
      <c r="O230" s="27"/>
      <c r="P230" s="8"/>
      <c r="Q230" s="8"/>
      <c r="R230" s="8"/>
      <c r="S230" s="27"/>
      <c r="T230" s="27"/>
      <c r="U230" s="8" t="s">
        <v>1369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24</v>
      </c>
      <c r="M231" s="17">
        <f t="shared" si="17"/>
        <v>6</v>
      </c>
      <c r="N231" s="18">
        <f t="shared" si="18"/>
        <v>0.8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 t="s">
        <v>1369</v>
      </c>
      <c r="T231" s="27"/>
      <c r="U231" s="8" t="s">
        <v>1369</v>
      </c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24</v>
      </c>
      <c r="M232" s="17">
        <f t="shared" si="17"/>
        <v>6</v>
      </c>
      <c r="N232" s="18">
        <f t="shared" si="18"/>
        <v>0.8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 t="s">
        <v>1369</v>
      </c>
      <c r="T232" s="27"/>
      <c r="U232" s="8" t="s">
        <v>1369</v>
      </c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24</v>
      </c>
      <c r="M283" s="17">
        <f t="shared" si="21"/>
        <v>6</v>
      </c>
      <c r="N283" s="18">
        <f t="shared" si="22"/>
        <v>0.8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 t="s">
        <v>1369</v>
      </c>
      <c r="T283" s="27"/>
      <c r="U283" s="8" t="s">
        <v>1369</v>
      </c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25</v>
      </c>
      <c r="M299" s="17">
        <f t="shared" si="21"/>
        <v>5</v>
      </c>
      <c r="N299" s="18">
        <f t="shared" si="22"/>
        <v>0.83333333333333337</v>
      </c>
      <c r="O299" s="27"/>
      <c r="P299" s="8" t="s">
        <v>1369</v>
      </c>
      <c r="Q299" s="8" t="s">
        <v>1369</v>
      </c>
      <c r="R299" s="8" t="s">
        <v>1369</v>
      </c>
      <c r="S299" s="27" t="s">
        <v>1369</v>
      </c>
      <c r="T299" s="27"/>
      <c r="U299" s="8" t="s">
        <v>1369</v>
      </c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25</v>
      </c>
      <c r="M300" s="17">
        <f t="shared" si="21"/>
        <v>5</v>
      </c>
      <c r="N300" s="18">
        <f t="shared" si="22"/>
        <v>0.83333333333333337</v>
      </c>
      <c r="O300" s="27"/>
      <c r="P300" s="8" t="s">
        <v>1369</v>
      </c>
      <c r="Q300" s="8" t="s">
        <v>1369</v>
      </c>
      <c r="R300" s="8" t="s">
        <v>1369</v>
      </c>
      <c r="S300" s="27" t="s">
        <v>1369</v>
      </c>
      <c r="T300" s="27"/>
      <c r="U300" s="8" t="s">
        <v>1369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24</v>
      </c>
      <c r="M303" s="17">
        <f t="shared" si="21"/>
        <v>6</v>
      </c>
      <c r="N303" s="18">
        <f t="shared" si="22"/>
        <v>0.8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 t="s">
        <v>1369</v>
      </c>
      <c r="T303" s="27"/>
      <c r="U303" s="8" t="s">
        <v>1369</v>
      </c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1369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1369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1369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1369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24</v>
      </c>
      <c r="M308" s="17">
        <f t="shared" si="21"/>
        <v>6</v>
      </c>
      <c r="N308" s="18">
        <f t="shared" si="22"/>
        <v>0.8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 t="s">
        <v>1369</v>
      </c>
      <c r="T308" s="27"/>
      <c r="U308" s="8" t="s">
        <v>1369</v>
      </c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24</v>
      </c>
      <c r="M335" s="17">
        <f t="shared" si="24"/>
        <v>6</v>
      </c>
      <c r="N335" s="18">
        <f t="shared" si="25"/>
        <v>0.8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 t="s">
        <v>1369</v>
      </c>
      <c r="T335" s="27"/>
      <c r="U335" s="8" t="s">
        <v>1369</v>
      </c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24</v>
      </c>
      <c r="M336" s="17">
        <f t="shared" si="24"/>
        <v>6</v>
      </c>
      <c r="N336" s="18">
        <f t="shared" si="25"/>
        <v>0.8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 t="s">
        <v>1369</v>
      </c>
      <c r="T336" s="27"/>
      <c r="U336" s="8" t="s">
        <v>1369</v>
      </c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24</v>
      </c>
      <c r="M352" s="17">
        <f t="shared" si="24"/>
        <v>6</v>
      </c>
      <c r="N352" s="18">
        <f t="shared" si="25"/>
        <v>0.8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 t="s">
        <v>1369</v>
      </c>
      <c r="T352" s="27"/>
      <c r="U352" s="8" t="s">
        <v>1369</v>
      </c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24</v>
      </c>
      <c r="M359" s="17">
        <f t="shared" si="24"/>
        <v>6</v>
      </c>
      <c r="N359" s="18">
        <f t="shared" si="25"/>
        <v>0.8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 t="s">
        <v>1369</v>
      </c>
      <c r="T359" s="27"/>
      <c r="U359" s="8" t="s">
        <v>1369</v>
      </c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24</v>
      </c>
      <c r="M360" s="17">
        <f t="shared" si="24"/>
        <v>6</v>
      </c>
      <c r="N360" s="18">
        <f t="shared" si="25"/>
        <v>0.8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 t="s">
        <v>1369</v>
      </c>
      <c r="T360" s="27"/>
      <c r="U360" s="8" t="s">
        <v>1369</v>
      </c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24</v>
      </c>
      <c r="M361" s="17">
        <f t="shared" si="24"/>
        <v>6</v>
      </c>
      <c r="N361" s="18">
        <f t="shared" si="25"/>
        <v>0.8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 t="s">
        <v>1369</v>
      </c>
      <c r="T361" s="27"/>
      <c r="U361" s="8" t="s">
        <v>1369</v>
      </c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24</v>
      </c>
      <c r="M362" s="17">
        <f t="shared" si="24"/>
        <v>6</v>
      </c>
      <c r="N362" s="18">
        <f t="shared" si="25"/>
        <v>0.8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 t="s">
        <v>1369</v>
      </c>
      <c r="T362" s="27"/>
      <c r="U362" s="8" t="s">
        <v>1369</v>
      </c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6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7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3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7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4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7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4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8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5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6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7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3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7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4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7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4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8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4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6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4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7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7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7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8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100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6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1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7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1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7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1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7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1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8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2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6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7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7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100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7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1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8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1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6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1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7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1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7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2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7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8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6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7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7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7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8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6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7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7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7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100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8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1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1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1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1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2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2022-07-07T11:23:08Z</dcterms:modified>
</cp:coreProperties>
</file>