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MARZO\"/>
    </mc:Choice>
  </mc:AlternateContent>
  <xr:revisionPtr revIDLastSave="0" documentId="13_ncr:1_{9D330175-3F32-42D8-8E41-C56F3045709F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REPARACIONES DIARIAS" sheetId="20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GRAFICO" sheetId="15" r:id="rId8"/>
    <sheet name="GRAFICO2" sheetId="16" r:id="rId9"/>
    <sheet name="BARRAS" sheetId="18" r:id="rId10"/>
    <sheet name="AUXILIAR" sheetId="14" r:id="rId11"/>
  </sheets>
  <definedNames>
    <definedName name="_25_de_agosto" localSheetId="0">'RESUMEN TOTAL'!$A$4:$D$349</definedName>
    <definedName name="_xlnm._FilterDatabase" localSheetId="3" hidden="1">APAGADOS!$A$2:$AG$379</definedName>
    <definedName name="_xlnm._FilterDatabase" localSheetId="5" hidden="1">'APAGADOS ANTENA'!$A$3:$AG$369</definedName>
    <definedName name="_xlnm._FilterDatabase" localSheetId="4" hidden="1">'APAGADOS FIBRA'!$A$3:$AG$369</definedName>
    <definedName name="_xlnm._FilterDatabase" localSheetId="6" hidden="1">'APAGADOS RADIO'!$A$3:$AG$369</definedName>
    <definedName name="_xlnm._FilterDatabase" localSheetId="2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D366" i="8"/>
  <c r="E366" i="8"/>
  <c r="F366" i="8"/>
  <c r="G366" i="8"/>
  <c r="H366" i="8"/>
  <c r="I366" i="8"/>
  <c r="J366" i="8"/>
  <c r="J367" i="9" s="1"/>
  <c r="K366" i="8"/>
  <c r="L366" i="8"/>
  <c r="M366" i="8"/>
  <c r="N366" i="8"/>
  <c r="O366" i="8"/>
  <c r="P366" i="8"/>
  <c r="Q366" i="8"/>
  <c r="R366" i="8"/>
  <c r="R367" i="9" s="1"/>
  <c r="S366" i="8"/>
  <c r="T366" i="8"/>
  <c r="U366" i="8"/>
  <c r="V366" i="8"/>
  <c r="W366" i="8"/>
  <c r="X366" i="8"/>
  <c r="X368" i="21" s="1"/>
  <c r="Y366" i="8"/>
  <c r="Y367" i="9" s="1"/>
  <c r="Z366" i="8"/>
  <c r="Z367" i="9" s="1"/>
  <c r="AA366" i="8"/>
  <c r="AB366" i="8"/>
  <c r="AC366" i="8"/>
  <c r="AD366" i="8"/>
  <c r="AE366" i="8"/>
  <c r="AF366" i="8"/>
  <c r="AG366" i="8"/>
  <c r="A367" i="8"/>
  <c r="A369" i="11" s="1"/>
  <c r="B367" i="8"/>
  <c r="C367" i="8"/>
  <c r="D367" i="8"/>
  <c r="E367" i="8"/>
  <c r="F367" i="8"/>
  <c r="G367" i="8"/>
  <c r="H367" i="8"/>
  <c r="I367" i="8"/>
  <c r="I368" i="9" s="1"/>
  <c r="J367" i="8"/>
  <c r="K367" i="8"/>
  <c r="L367" i="8"/>
  <c r="M367" i="8"/>
  <c r="N367" i="8"/>
  <c r="O367" i="8"/>
  <c r="P367" i="8"/>
  <c r="Q367" i="8"/>
  <c r="Q368" i="9" s="1"/>
  <c r="R367" i="8"/>
  <c r="S367" i="8"/>
  <c r="T367" i="8"/>
  <c r="U367" i="8"/>
  <c r="V367" i="8"/>
  <c r="W367" i="8"/>
  <c r="X367" i="8"/>
  <c r="X368" i="9" s="1"/>
  <c r="Y367" i="8"/>
  <c r="Y368" i="9" s="1"/>
  <c r="Z367" i="8"/>
  <c r="Z368" i="9" s="1"/>
  <c r="AA367" i="8"/>
  <c r="AB367" i="8"/>
  <c r="AC367" i="8"/>
  <c r="AD367" i="8"/>
  <c r="AE367" i="8"/>
  <c r="AF367" i="8"/>
  <c r="AG367" i="8"/>
  <c r="AG368" i="9" s="1"/>
  <c r="A368" i="8"/>
  <c r="B368" i="8"/>
  <c r="C368" i="8"/>
  <c r="D368" i="8"/>
  <c r="E368" i="8"/>
  <c r="F368" i="8"/>
  <c r="G368" i="8"/>
  <c r="H368" i="8"/>
  <c r="H369" i="9" s="1"/>
  <c r="I368" i="8"/>
  <c r="I369" i="9" s="1"/>
  <c r="J368" i="8"/>
  <c r="K368" i="8"/>
  <c r="L368" i="8"/>
  <c r="M368" i="8"/>
  <c r="N368" i="8"/>
  <c r="O368" i="8"/>
  <c r="P368" i="8"/>
  <c r="Q368" i="8"/>
  <c r="Q369" i="9" s="1"/>
  <c r="R368" i="8"/>
  <c r="S368" i="8"/>
  <c r="T368" i="8"/>
  <c r="U368" i="8"/>
  <c r="V368" i="8"/>
  <c r="W368" i="8"/>
  <c r="X368" i="8"/>
  <c r="X369" i="9" s="1"/>
  <c r="Y368" i="8"/>
  <c r="Z368" i="8"/>
  <c r="AA368" i="8"/>
  <c r="AB368" i="8"/>
  <c r="AC368" i="8"/>
  <c r="AD368" i="8"/>
  <c r="AE368" i="8"/>
  <c r="AF368" i="8"/>
  <c r="AF369" i="9" s="1"/>
  <c r="AG368" i="8"/>
  <c r="AG369" i="9" s="1"/>
  <c r="A369" i="8"/>
  <c r="B369" i="8"/>
  <c r="C369" i="8"/>
  <c r="D369" i="8"/>
  <c r="E369" i="8"/>
  <c r="F369" i="8"/>
  <c r="G369" i="8"/>
  <c r="G370" i="9" s="1"/>
  <c r="H369" i="8"/>
  <c r="H370" i="9" s="1"/>
  <c r="I369" i="8"/>
  <c r="J369" i="8"/>
  <c r="K369" i="8"/>
  <c r="L369" i="8"/>
  <c r="M369" i="8"/>
  <c r="N369" i="8"/>
  <c r="O369" i="8"/>
  <c r="O370" i="9" s="1"/>
  <c r="P369" i="8"/>
  <c r="Q369" i="8"/>
  <c r="R369" i="8"/>
  <c r="S369" i="8"/>
  <c r="T369" i="8"/>
  <c r="U369" i="8"/>
  <c r="V369" i="8"/>
  <c r="W369" i="8"/>
  <c r="W370" i="9" s="1"/>
  <c r="X369" i="8"/>
  <c r="Y369" i="8"/>
  <c r="Z369" i="8"/>
  <c r="AA369" i="8"/>
  <c r="AB369" i="8"/>
  <c r="AC369" i="8"/>
  <c r="AD369" i="8"/>
  <c r="AE369" i="8"/>
  <c r="AE370" i="9" s="1"/>
  <c r="AF369" i="8"/>
  <c r="AF370" i="9" s="1"/>
  <c r="AG369" i="8"/>
  <c r="A370" i="8"/>
  <c r="B370" i="8"/>
  <c r="C370" i="8"/>
  <c r="D370" i="8"/>
  <c r="E370" i="8"/>
  <c r="F370" i="8"/>
  <c r="F371" i="9" s="1"/>
  <c r="G370" i="8"/>
  <c r="G371" i="9" s="1"/>
  <c r="H370" i="8"/>
  <c r="I370" i="8"/>
  <c r="J370" i="8"/>
  <c r="K370" i="8"/>
  <c r="L370" i="8"/>
  <c r="M370" i="8"/>
  <c r="N370" i="8"/>
  <c r="N371" i="9" s="1"/>
  <c r="O370" i="8"/>
  <c r="O371" i="9" s="1"/>
  <c r="P370" i="8"/>
  <c r="Q370" i="8"/>
  <c r="R370" i="8"/>
  <c r="S370" i="8"/>
  <c r="T370" i="8"/>
  <c r="U370" i="8"/>
  <c r="V370" i="8"/>
  <c r="V371" i="9" s="1"/>
  <c r="W370" i="8"/>
  <c r="X370" i="8"/>
  <c r="X371" i="9" s="1"/>
  <c r="Y370" i="8"/>
  <c r="Z370" i="8"/>
  <c r="AA370" i="8"/>
  <c r="AB370" i="8"/>
  <c r="AC370" i="8"/>
  <c r="AD370" i="8"/>
  <c r="AD371" i="9" s="1"/>
  <c r="AE370" i="8"/>
  <c r="AE371" i="9" s="1"/>
  <c r="AF370" i="8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P371" i="8"/>
  <c r="Q371" i="8"/>
  <c r="R371" i="8"/>
  <c r="S371" i="8"/>
  <c r="T371" i="8"/>
  <c r="U371" i="8"/>
  <c r="V371" i="8"/>
  <c r="V372" i="9" s="1"/>
  <c r="W371" i="8"/>
  <c r="X371" i="8"/>
  <c r="Y371" i="8"/>
  <c r="Y372" i="9" s="1"/>
  <c r="Z371" i="8"/>
  <c r="AA371" i="8"/>
  <c r="AB371" i="8"/>
  <c r="AC371" i="8"/>
  <c r="AC372" i="9" s="1"/>
  <c r="AD371" i="8"/>
  <c r="AE371" i="8"/>
  <c r="AF371" i="8"/>
  <c r="AG371" i="8"/>
  <c r="A372" i="8"/>
  <c r="B372" i="8"/>
  <c r="C372" i="8"/>
  <c r="D372" i="8"/>
  <c r="D373" i="9" s="1"/>
  <c r="E372" i="8"/>
  <c r="F372" i="8"/>
  <c r="G372" i="8"/>
  <c r="H372" i="8"/>
  <c r="I372" i="8"/>
  <c r="J372" i="8"/>
  <c r="K372" i="8"/>
  <c r="L372" i="8"/>
  <c r="L373" i="9" s="1"/>
  <c r="M372" i="8"/>
  <c r="M373" i="9" s="1"/>
  <c r="N372" i="8"/>
  <c r="O372" i="8"/>
  <c r="P372" i="8"/>
  <c r="Q372" i="8"/>
  <c r="R372" i="8"/>
  <c r="S372" i="8"/>
  <c r="T372" i="8"/>
  <c r="T373" i="9" s="1"/>
  <c r="U372" i="8"/>
  <c r="U373" i="9" s="1"/>
  <c r="V372" i="8"/>
  <c r="W372" i="8"/>
  <c r="X372" i="8"/>
  <c r="X373" i="9" s="1"/>
  <c r="Y372" i="8"/>
  <c r="Z372" i="8"/>
  <c r="AA372" i="8"/>
  <c r="AB372" i="8"/>
  <c r="AB373" i="9" s="1"/>
  <c r="AC372" i="8"/>
  <c r="AD372" i="8"/>
  <c r="AE372" i="8"/>
  <c r="AF372" i="8"/>
  <c r="AG372" i="8"/>
  <c r="A373" i="8"/>
  <c r="B373" i="8"/>
  <c r="C373" i="8"/>
  <c r="D373" i="8"/>
  <c r="E373" i="8"/>
  <c r="F373" i="8"/>
  <c r="G373" i="8"/>
  <c r="H373" i="8"/>
  <c r="I373" i="8"/>
  <c r="J373" i="8"/>
  <c r="K373" i="8"/>
  <c r="K374" i="9" s="1"/>
  <c r="L373" i="8"/>
  <c r="L374" i="9" s="1"/>
  <c r="M373" i="8"/>
  <c r="N373" i="8"/>
  <c r="O373" i="8"/>
  <c r="P373" i="8"/>
  <c r="Q373" i="8"/>
  <c r="R373" i="8"/>
  <c r="S373" i="8"/>
  <c r="S374" i="9" s="1"/>
  <c r="T373" i="8"/>
  <c r="T374" i="9" s="1"/>
  <c r="U373" i="8"/>
  <c r="V373" i="8"/>
  <c r="W373" i="8"/>
  <c r="X373" i="8"/>
  <c r="X374" i="9" s="1"/>
  <c r="Y373" i="8"/>
  <c r="Z373" i="8"/>
  <c r="AA373" i="8"/>
  <c r="AA374" i="9" s="1"/>
  <c r="AB373" i="8"/>
  <c r="AC373" i="8"/>
  <c r="AD373" i="8"/>
  <c r="AE373" i="8"/>
  <c r="AF373" i="8"/>
  <c r="AG373" i="8"/>
  <c r="A374" i="8"/>
  <c r="B374" i="8"/>
  <c r="B375" i="9" s="1"/>
  <c r="C374" i="8"/>
  <c r="C375" i="9" s="1"/>
  <c r="D374" i="8"/>
  <c r="E374" i="8"/>
  <c r="F374" i="8"/>
  <c r="G374" i="8"/>
  <c r="H374" i="8"/>
  <c r="I374" i="8"/>
  <c r="J374" i="8"/>
  <c r="J375" i="9" s="1"/>
  <c r="K374" i="8"/>
  <c r="K375" i="9" s="1"/>
  <c r="L374" i="8"/>
  <c r="M374" i="8"/>
  <c r="N374" i="8"/>
  <c r="O374" i="8"/>
  <c r="P374" i="8"/>
  <c r="Q374" i="8"/>
  <c r="R374" i="8"/>
  <c r="R375" i="9" s="1"/>
  <c r="S374" i="8"/>
  <c r="S375" i="9" s="1"/>
  <c r="T374" i="8"/>
  <c r="U374" i="8"/>
  <c r="V374" i="8"/>
  <c r="W374" i="8"/>
  <c r="X374" i="8"/>
  <c r="Y374" i="8"/>
  <c r="Y375" i="9" s="1"/>
  <c r="Z374" i="8"/>
  <c r="Z375" i="9" s="1"/>
  <c r="AA374" i="8"/>
  <c r="AB374" i="8"/>
  <c r="AC374" i="8"/>
  <c r="AD374" i="8"/>
  <c r="AE374" i="8"/>
  <c r="AF374" i="8"/>
  <c r="AG374" i="8"/>
  <c r="A369" i="9"/>
  <c r="G369" i="9"/>
  <c r="K369" i="9"/>
  <c r="O369" i="9"/>
  <c r="S369" i="9"/>
  <c r="W369" i="9"/>
  <c r="Y369" i="9"/>
  <c r="AA369" i="9"/>
  <c r="AE369" i="9"/>
  <c r="F370" i="9"/>
  <c r="N370" i="9"/>
  <c r="P370" i="9"/>
  <c r="V370" i="9"/>
  <c r="X370" i="9"/>
  <c r="AD370" i="9"/>
  <c r="I371" i="9"/>
  <c r="Q371" i="9"/>
  <c r="W371" i="9"/>
  <c r="Y371" i="9"/>
  <c r="AG371" i="9"/>
  <c r="AD372" i="9"/>
  <c r="E373" i="9"/>
  <c r="G373" i="9"/>
  <c r="K373" i="9"/>
  <c r="O373" i="9"/>
  <c r="S373" i="9"/>
  <c r="W373" i="9"/>
  <c r="AA373" i="9"/>
  <c r="AC373" i="9"/>
  <c r="AE373" i="9"/>
  <c r="F374" i="9"/>
  <c r="N374" i="9"/>
  <c r="V374" i="9"/>
  <c r="AB374" i="9"/>
  <c r="AD374" i="9"/>
  <c r="I375" i="9"/>
  <c r="Q375" i="9"/>
  <c r="AA375" i="9"/>
  <c r="AG375" i="9"/>
  <c r="F367" i="9"/>
  <c r="G367" i="9"/>
  <c r="H367" i="9"/>
  <c r="I367" i="9"/>
  <c r="K367" i="9"/>
  <c r="L367" i="9"/>
  <c r="M367" i="9"/>
  <c r="N367" i="9"/>
  <c r="O367" i="9"/>
  <c r="P367" i="9"/>
  <c r="Q367" i="9"/>
  <c r="S367" i="9"/>
  <c r="T367" i="9"/>
  <c r="U367" i="9"/>
  <c r="V367" i="9"/>
  <c r="W367" i="9"/>
  <c r="AA367" i="9"/>
  <c r="AB367" i="9"/>
  <c r="AC367" i="9"/>
  <c r="AD367" i="9"/>
  <c r="AE367" i="9"/>
  <c r="AF367" i="9"/>
  <c r="AG367" i="9"/>
  <c r="F368" i="9"/>
  <c r="G368" i="9"/>
  <c r="H368" i="9"/>
  <c r="J368" i="9"/>
  <c r="K368" i="9"/>
  <c r="L368" i="9"/>
  <c r="M368" i="9"/>
  <c r="N368" i="9"/>
  <c r="O368" i="9"/>
  <c r="P368" i="9"/>
  <c r="R368" i="9"/>
  <c r="S368" i="9"/>
  <c r="T368" i="9"/>
  <c r="U368" i="9"/>
  <c r="V368" i="9"/>
  <c r="W368" i="9"/>
  <c r="AA368" i="9"/>
  <c r="AB368" i="9"/>
  <c r="AC368" i="9"/>
  <c r="AD368" i="9"/>
  <c r="AE368" i="9"/>
  <c r="AF368" i="9"/>
  <c r="F369" i="9"/>
  <c r="J369" i="9"/>
  <c r="L369" i="9"/>
  <c r="M369" i="9"/>
  <c r="N369" i="9"/>
  <c r="P369" i="9"/>
  <c r="R369" i="9"/>
  <c r="T369" i="9"/>
  <c r="U369" i="9"/>
  <c r="V369" i="9"/>
  <c r="Z369" i="9"/>
  <c r="AB369" i="9"/>
  <c r="AC369" i="9"/>
  <c r="AD369" i="9"/>
  <c r="I370" i="9"/>
  <c r="J370" i="9"/>
  <c r="K370" i="9"/>
  <c r="L370" i="9"/>
  <c r="M370" i="9"/>
  <c r="Q370" i="9"/>
  <c r="R370" i="9"/>
  <c r="S370" i="9"/>
  <c r="T370" i="9"/>
  <c r="U370" i="9"/>
  <c r="Y370" i="9"/>
  <c r="Z370" i="9"/>
  <c r="AA370" i="9"/>
  <c r="AB370" i="9"/>
  <c r="AC370" i="9"/>
  <c r="AG370" i="9"/>
  <c r="H371" i="9"/>
  <c r="J371" i="9"/>
  <c r="K371" i="9"/>
  <c r="L371" i="9"/>
  <c r="M371" i="9"/>
  <c r="P371" i="9"/>
  <c r="R371" i="9"/>
  <c r="S371" i="9"/>
  <c r="T371" i="9"/>
  <c r="U371" i="9"/>
  <c r="Z371" i="9"/>
  <c r="AA371" i="9"/>
  <c r="AB371" i="9"/>
  <c r="AC371" i="9"/>
  <c r="AF371" i="9"/>
  <c r="G372" i="9"/>
  <c r="H372" i="9"/>
  <c r="I372" i="9"/>
  <c r="J372" i="9"/>
  <c r="K372" i="9"/>
  <c r="L372" i="9"/>
  <c r="O372" i="9"/>
  <c r="P372" i="9"/>
  <c r="Q372" i="9"/>
  <c r="R372" i="9"/>
  <c r="S372" i="9"/>
  <c r="T372" i="9"/>
  <c r="U372" i="9"/>
  <c r="W372" i="9"/>
  <c r="X372" i="9"/>
  <c r="Z372" i="9"/>
  <c r="AA372" i="9"/>
  <c r="AB372" i="9"/>
  <c r="AE372" i="9"/>
  <c r="AF372" i="9"/>
  <c r="AG372" i="9"/>
  <c r="F373" i="9"/>
  <c r="H373" i="9"/>
  <c r="I373" i="9"/>
  <c r="J373" i="9"/>
  <c r="N373" i="9"/>
  <c r="P373" i="9"/>
  <c r="Q373" i="9"/>
  <c r="R373" i="9"/>
  <c r="V373" i="9"/>
  <c r="Y373" i="9"/>
  <c r="Z373" i="9"/>
  <c r="AD373" i="9"/>
  <c r="AF373" i="9"/>
  <c r="AG373" i="9"/>
  <c r="G374" i="9"/>
  <c r="H374" i="9"/>
  <c r="I374" i="9"/>
  <c r="J374" i="9"/>
  <c r="M374" i="9"/>
  <c r="O374" i="9"/>
  <c r="P374" i="9"/>
  <c r="Q374" i="9"/>
  <c r="R374" i="9"/>
  <c r="U374" i="9"/>
  <c r="W374" i="9"/>
  <c r="Y374" i="9"/>
  <c r="Z374" i="9"/>
  <c r="AC374" i="9"/>
  <c r="AE374" i="9"/>
  <c r="AF374" i="9"/>
  <c r="AG374" i="9"/>
  <c r="F375" i="9"/>
  <c r="G375" i="9"/>
  <c r="H375" i="9"/>
  <c r="L375" i="9"/>
  <c r="M375" i="9"/>
  <c r="N375" i="9"/>
  <c r="O375" i="9"/>
  <c r="P375" i="9"/>
  <c r="T375" i="9"/>
  <c r="U375" i="9"/>
  <c r="V375" i="9"/>
  <c r="W375" i="9"/>
  <c r="X375" i="9"/>
  <c r="AB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B369" i="9"/>
  <c r="C369" i="9"/>
  <c r="D369" i="9"/>
  <c r="E369" i="9"/>
  <c r="A370" i="9"/>
  <c r="B370" i="9"/>
  <c r="C370" i="9"/>
  <c r="D370" i="9"/>
  <c r="E370" i="9"/>
  <c r="A371" i="9"/>
  <c r="B371" i="9"/>
  <c r="C371" i="9"/>
  <c r="D371" i="9"/>
  <c r="E371" i="9"/>
  <c r="A372" i="9"/>
  <c r="B372" i="9"/>
  <c r="C372" i="9"/>
  <c r="D372" i="9"/>
  <c r="A373" i="9"/>
  <c r="B373" i="9"/>
  <c r="C373" i="9"/>
  <c r="A374" i="9"/>
  <c r="B374" i="9"/>
  <c r="C374" i="9"/>
  <c r="D374" i="9"/>
  <c r="E374" i="9"/>
  <c r="A375" i="9"/>
  <c r="D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D367" i="9"/>
  <c r="E367" i="9"/>
  <c r="A368" i="9"/>
  <c r="B368" i="9"/>
  <c r="C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P2" i="2"/>
  <c r="Q2" i="2"/>
  <c r="O2" i="2"/>
  <c r="AA369" i="11"/>
  <c r="AA368" i="21"/>
  <c r="AB368" i="21"/>
  <c r="AC368" i="11"/>
  <c r="AD368" i="10"/>
  <c r="AE368" i="10"/>
  <c r="AF368" i="10"/>
  <c r="AG368" i="11"/>
  <c r="AA369" i="21"/>
  <c r="AB369" i="11"/>
  <c r="AC369" i="11"/>
  <c r="AD369" i="21"/>
  <c r="AE369" i="21"/>
  <c r="AF369" i="11"/>
  <c r="O368" i="10"/>
  <c r="P368" i="21"/>
  <c r="Q368" i="10"/>
  <c r="S368" i="21"/>
  <c r="T368" i="21"/>
  <c r="U368" i="11"/>
  <c r="V368" i="10"/>
  <c r="W368" i="10"/>
  <c r="Y368" i="10"/>
  <c r="O369" i="21"/>
  <c r="P369" i="11"/>
  <c r="R369" i="21"/>
  <c r="S369" i="21"/>
  <c r="T369" i="11"/>
  <c r="U369" i="11"/>
  <c r="V369" i="11"/>
  <c r="W369" i="21"/>
  <c r="X369" i="11"/>
  <c r="Z369" i="21"/>
  <c r="E368" i="11"/>
  <c r="F368" i="10"/>
  <c r="G368" i="10"/>
  <c r="H368" i="11"/>
  <c r="I368" i="11"/>
  <c r="J368" i="10"/>
  <c r="K368" i="21"/>
  <c r="L368" i="21"/>
  <c r="M368" i="11"/>
  <c r="N368" i="10"/>
  <c r="E369" i="11"/>
  <c r="F369" i="11"/>
  <c r="G369" i="21"/>
  <c r="H369" i="11"/>
  <c r="J369" i="21"/>
  <c r="K369" i="21"/>
  <c r="L369" i="11"/>
  <c r="M369" i="11"/>
  <c r="N369" i="11"/>
  <c r="A368" i="10"/>
  <c r="B368" i="10"/>
  <c r="C368" i="21"/>
  <c r="D368" i="21"/>
  <c r="B369" i="21"/>
  <c r="C369" i="21"/>
  <c r="D369" i="11"/>
  <c r="AH2" i="21"/>
  <c r="AI2" i="21"/>
  <c r="AJ2" i="21"/>
  <c r="AH2" i="10"/>
  <c r="AI2" i="10"/>
  <c r="AJ2" i="10"/>
  <c r="AH2" i="11"/>
  <c r="AI2" i="11"/>
  <c r="AJ2" i="11"/>
  <c r="AJ1" i="8"/>
  <c r="AJ3" i="21" s="1"/>
  <c r="AH1" i="8"/>
  <c r="AH3" i="11" s="1"/>
  <c r="A30" i="14" s="1"/>
  <c r="AI1" i="8"/>
  <c r="AI3" i="11" s="1"/>
  <c r="A31" i="14" s="1"/>
  <c r="AQ3" i="2"/>
  <c r="AR3" i="2"/>
  <c r="AS3" i="2"/>
  <c r="X367" i="9" l="1"/>
  <c r="AG369" i="21"/>
  <c r="I369" i="11"/>
  <c r="Y369" i="11"/>
  <c r="Q369" i="11"/>
  <c r="Z368" i="10"/>
  <c r="R368" i="10"/>
  <c r="AQ1" i="2"/>
  <c r="AS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32" i="14" s="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M372" i="2"/>
  <c r="L372" i="2"/>
  <c r="M371" i="2"/>
  <c r="L371" i="2"/>
  <c r="N372" i="2" l="1"/>
  <c r="N371" i="2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D6" i="14" s="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G346" i="9" l="1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B2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2" i="14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D17" i="14" s="1"/>
  <c r="M2" i="21"/>
  <c r="D9" i="14" s="1"/>
  <c r="N261" i="2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D16" i="14" s="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D7" i="14" s="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D21" i="14" s="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D20" i="14" s="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D19" i="14" s="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D22" i="14" s="1"/>
  <c r="V2" i="21"/>
  <c r="D18" i="14" s="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368" i="2"/>
  <c r="N360" i="2"/>
  <c r="N352" i="2"/>
  <c r="N344" i="2"/>
  <c r="N336" i="2"/>
  <c r="N328" i="2"/>
  <c r="N320" i="2"/>
  <c r="N312" i="2"/>
  <c r="N264" i="2"/>
  <c r="N256" i="2"/>
  <c r="N248" i="2"/>
  <c r="N222" i="2"/>
  <c r="N214" i="2"/>
  <c r="N190" i="2"/>
  <c r="N182" i="2"/>
  <c r="N327" i="2"/>
  <c r="N319" i="2"/>
  <c r="N311" i="2"/>
  <c r="N287" i="2"/>
  <c r="N271" i="2"/>
  <c r="N263" i="2"/>
  <c r="N255" i="2"/>
  <c r="N247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303" i="2"/>
  <c r="N189" i="2"/>
  <c r="N47" i="2"/>
  <c r="N363" i="2"/>
  <c r="N339" i="2"/>
  <c r="N331" i="2"/>
  <c r="N323" i="2"/>
  <c r="N315" i="2"/>
  <c r="N299" i="2"/>
  <c r="N283" i="2"/>
  <c r="N275" i="2"/>
  <c r="N267" i="2"/>
  <c r="N259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370" i="2"/>
  <c r="N346" i="2"/>
  <c r="N330" i="2"/>
  <c r="N314" i="2"/>
  <c r="N298" i="2"/>
  <c r="N266" i="2"/>
  <c r="N258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334" i="2"/>
  <c r="N326" i="2"/>
  <c r="N310" i="2"/>
  <c r="N302" i="2"/>
  <c r="N270" i="2"/>
  <c r="N262" i="2"/>
  <c r="N156" i="2"/>
  <c r="N132" i="2"/>
  <c r="N124" i="2"/>
  <c r="N52" i="2"/>
  <c r="N20" i="2"/>
  <c r="N42" i="2"/>
  <c r="N365" i="2"/>
  <c r="N357" i="2"/>
  <c r="N341" i="2"/>
  <c r="N333" i="2"/>
  <c r="N325" i="2"/>
  <c r="N317" i="2"/>
  <c r="N309" i="2"/>
  <c r="N301" i="2"/>
  <c r="N285" i="2"/>
  <c r="N277" i="2"/>
  <c r="N269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295" i="2"/>
  <c r="N293" i="2"/>
  <c r="N291" i="2"/>
  <c r="N290" i="2"/>
  <c r="N109" i="2"/>
  <c r="N203" i="2"/>
  <c r="N187" i="2"/>
  <c r="N112" i="2"/>
  <c r="N250" i="2"/>
  <c r="N64" i="2"/>
  <c r="N58" i="2"/>
  <c r="N12" i="2"/>
  <c r="N41" i="2"/>
  <c r="N353" i="2"/>
  <c r="N345" i="2"/>
  <c r="N329" i="2"/>
  <c r="N313" i="2"/>
  <c r="N289" i="2"/>
  <c r="N265" i="2"/>
  <c r="N257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N367" i="2"/>
  <c r="N359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364" i="2"/>
  <c r="N356" i="2"/>
  <c r="N340" i="2"/>
  <c r="N332" i="2"/>
  <c r="N324" i="2"/>
  <c r="N316" i="2"/>
  <c r="N300" i="2"/>
  <c r="N292" i="2"/>
  <c r="N284" i="2"/>
  <c r="N276" i="2"/>
  <c r="N268" i="2"/>
  <c r="N260" i="2"/>
  <c r="N242" i="2"/>
  <c r="N234" i="2"/>
  <c r="N226" i="2"/>
  <c r="N218" i="2"/>
  <c r="N210" i="2"/>
  <c r="N186" i="2"/>
  <c r="N178" i="2"/>
  <c r="N170" i="2"/>
  <c r="N278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N308" i="2"/>
  <c r="AF305" i="11"/>
  <c r="N296" i="2"/>
  <c r="AF292" i="9"/>
  <c r="AF293" i="10"/>
  <c r="N288" i="2"/>
  <c r="AF284" i="9"/>
  <c r="AF285" i="10"/>
  <c r="AF131" i="9"/>
  <c r="AF132" i="11"/>
  <c r="N133" i="2"/>
  <c r="N70" i="2"/>
  <c r="AF68" i="9"/>
  <c r="AF69" i="10"/>
  <c r="N354" i="2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N351" i="2"/>
  <c r="AF347" i="9"/>
  <c r="AF346" i="10"/>
  <c r="AF345" i="9"/>
  <c r="AF345" i="10"/>
  <c r="AF344" i="9"/>
  <c r="AF344" i="10"/>
  <c r="AF344" i="11"/>
  <c r="AF335" i="10"/>
  <c r="AF335" i="11"/>
  <c r="AF334" i="10"/>
  <c r="AF334" i="11"/>
  <c r="N335" i="2"/>
  <c r="AF332" i="11"/>
  <c r="AF332" i="10"/>
  <c r="AF319" i="10"/>
  <c r="AF317" i="9"/>
  <c r="AF318" i="10"/>
  <c r="AF304" i="11"/>
  <c r="AF303" i="9"/>
  <c r="AF303" i="11"/>
  <c r="AF302" i="9"/>
  <c r="N305" i="2"/>
  <c r="AF302" i="10"/>
  <c r="AF300" i="9"/>
  <c r="AF301" i="10"/>
  <c r="AF271" i="11"/>
  <c r="AF271" i="10"/>
  <c r="AF269" i="9"/>
  <c r="AF270" i="11"/>
  <c r="AF279" i="10"/>
  <c r="AF278" i="10"/>
  <c r="AF277" i="9"/>
  <c r="N281" i="2"/>
  <c r="AF276" i="11"/>
  <c r="AF275" i="9"/>
  <c r="AF269" i="10"/>
  <c r="AF268" i="9"/>
  <c r="AF258" i="10"/>
  <c r="AF258" i="11"/>
  <c r="AF250" i="9"/>
  <c r="AF251" i="10"/>
  <c r="N253" i="2"/>
  <c r="AF250" i="10"/>
  <c r="AF249" i="9"/>
  <c r="AF249" i="10"/>
  <c r="AF248" i="9"/>
  <c r="N252" i="2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86" i="2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366" i="2"/>
  <c r="N358" i="2"/>
  <c r="N342" i="2"/>
  <c r="N318" i="2"/>
  <c r="N294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350" i="2"/>
  <c r="N280" i="2"/>
  <c r="N135" i="2"/>
  <c r="N131" i="2"/>
  <c r="N297" i="2"/>
  <c r="N249" i="2"/>
  <c r="N228" i="2"/>
  <c r="N183" i="2"/>
  <c r="N167" i="2"/>
  <c r="N355" i="2"/>
  <c r="N204" i="2"/>
  <c r="N369" i="2"/>
  <c r="N362" i="2"/>
  <c r="N361" i="2"/>
  <c r="N349" i="2"/>
  <c r="N348" i="2"/>
  <c r="N347" i="2"/>
  <c r="N343" i="2"/>
  <c r="N338" i="2"/>
  <c r="N337" i="2"/>
  <c r="N322" i="2"/>
  <c r="N321" i="2"/>
  <c r="N307" i="2"/>
  <c r="N306" i="2"/>
  <c r="N304" i="2"/>
  <c r="N274" i="2"/>
  <c r="N282" i="2"/>
  <c r="N279" i="2"/>
  <c r="N272" i="2"/>
  <c r="N25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273" i="2"/>
  <c r="N8" i="2"/>
  <c r="N7" i="2"/>
  <c r="N5" i="2"/>
  <c r="N31" i="2"/>
  <c r="N17" i="2"/>
  <c r="N251" i="2"/>
  <c r="AI1" i="2"/>
  <c r="N9" i="2"/>
  <c r="O1" i="2"/>
  <c r="W1" i="2"/>
  <c r="AE1" i="2"/>
  <c r="AM1" i="2"/>
  <c r="W1" i="9" l="1"/>
  <c r="AG2" i="21"/>
  <c r="D1" i="11"/>
  <c r="F2" i="10"/>
  <c r="O2" i="11"/>
  <c r="B11" i="14" s="1"/>
  <c r="D1" i="10"/>
  <c r="AE2" i="21"/>
  <c r="AF2" i="21"/>
  <c r="AB2" i="10"/>
  <c r="AD2" i="10"/>
  <c r="AC2" i="10"/>
  <c r="AA2" i="10"/>
  <c r="K2" i="10"/>
  <c r="C7" i="14" s="1"/>
  <c r="AG2" i="11"/>
  <c r="Z2" i="10"/>
  <c r="C22" i="14" s="1"/>
  <c r="X2" i="10"/>
  <c r="C20" i="14" s="1"/>
  <c r="Y2" i="10"/>
  <c r="C21" i="14" s="1"/>
  <c r="W2" i="10"/>
  <c r="C19" i="14" s="1"/>
  <c r="V2" i="10"/>
  <c r="C18" i="14" s="1"/>
  <c r="U2" i="10"/>
  <c r="C17" i="14" s="1"/>
  <c r="T2" i="10"/>
  <c r="C16" i="14" s="1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B18" i="14" s="1"/>
  <c r="G2" i="11"/>
  <c r="B3" i="14" s="1"/>
  <c r="Q2" i="11"/>
  <c r="B13" i="14" s="1"/>
  <c r="K2" i="11"/>
  <c r="B7" i="14" s="1"/>
  <c r="AA2" i="11"/>
  <c r="L2" i="11"/>
  <c r="B8" i="14" s="1"/>
  <c r="AC2" i="11"/>
  <c r="F2" i="11"/>
  <c r="B2" i="14" s="1"/>
  <c r="U2" i="11"/>
  <c r="B17" i="14" s="1"/>
  <c r="AE2" i="11"/>
  <c r="AF2" i="11"/>
  <c r="X2" i="11"/>
  <c r="B20" i="14" s="1"/>
  <c r="AD2" i="11"/>
  <c r="Y2" i="11"/>
  <c r="B21" i="14" s="1"/>
  <c r="Z2" i="11"/>
  <c r="B22" i="14" s="1"/>
  <c r="E22" i="14" s="1"/>
  <c r="S2" i="11"/>
  <c r="B15" i="14" s="1"/>
  <c r="M2" i="11"/>
  <c r="B9" i="14" s="1"/>
  <c r="H2" i="11"/>
  <c r="B4" i="14" s="1"/>
  <c r="T2" i="11"/>
  <c r="B16" i="14" s="1"/>
  <c r="N2" i="11"/>
  <c r="B10" i="14" s="1"/>
  <c r="I2" i="11"/>
  <c r="B5" i="14" s="1"/>
  <c r="J2" i="11"/>
  <c r="B6" i="14" s="1"/>
  <c r="W2" i="11"/>
  <c r="B19" i="14" s="1"/>
  <c r="C2" i="14"/>
  <c r="AE2" i="10"/>
  <c r="AF2" i="10"/>
  <c r="AG2" i="10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0" i="14" l="1"/>
  <c r="E21" i="14"/>
  <c r="E19" i="14"/>
  <c r="E17" i="14"/>
  <c r="E18" i="14"/>
  <c r="E16" i="14"/>
  <c r="E12" i="14"/>
  <c r="E15" i="14"/>
  <c r="E13" i="14"/>
  <c r="E14" i="14"/>
  <c r="E11" i="14"/>
  <c r="E8" i="14"/>
  <c r="E9" i="14"/>
  <c r="E10" i="14"/>
  <c r="E7" i="14"/>
  <c r="E4" i="14"/>
  <c r="E5" i="14"/>
  <c r="E6" i="14"/>
  <c r="E2" i="14"/>
  <c r="E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<sst xmlns="http://schemas.openxmlformats.org/spreadsheetml/2006/main" count="3918" uniqueCount="1333">
  <si>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</si>
  <si>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</si>
  <si>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</si>
  <si>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</si>
  <si>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</si>
  <si>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</si>
  <si>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</si>
  <si>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</si>
  <si>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</si>
  <si>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</si>
  <si>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</si>
  <si>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</si>
  <si>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</si>
  <si>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</si>
  <si>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</si>
  <si>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</si>
  <si>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</si>
  <si>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</si>
  <si>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</si>
  <si>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</si>
  <si>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</si>
  <si>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</si>
  <si>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</si>
  <si>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</si>
  <si>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</si>
  <si>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</si>
  <si>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</si>
  <si>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</si>
  <si>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</si>
  <si>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</si>
  <si>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</si>
  <si>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</si>
  <si>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</si>
  <si>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</si>
  <si>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</si>
  <si>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</si>
  <si>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</si>
  <si>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</si>
  <si>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</si>
  <si>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</si>
  <si>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</si>
  <si>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</si>
  <si>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</si>
  <si>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</si>
  <si>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</si>
  <si>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</si>
  <si>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</si>
  <si>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</si>
  <si>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</si>
  <si>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</si>
  <si>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</si>
  <si>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</si>
  <si>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</si>
  <si>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</si>
  <si>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</si>
  <si>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</si>
  <si>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</si>
  <si>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</si>
  <si>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</si>
  <si>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</si>
  <si>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</si>
  <si>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</si>
  <si>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</si>
  <si>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</si>
  <si>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</si>
  <si>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</si>
  <si>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</si>
  <si>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</si>
  <si>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</si>
  <si>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</si>
  <si>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</si>
  <si>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</si>
  <si>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</si>
  <si>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</si>
  <si>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</si>
  <si>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</si>
  <si>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</si>
  <si>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</si>
  <si>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</si>
  <si>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</si>
  <si>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</si>
  <si>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</si>
  <si>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</si>
  <si>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</si>
  <si>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</si>
  <si>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</si>
  <si>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</si>
  <si>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</si>
  <si>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</si>
  <si>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</si>
  <si>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</si>
  <si>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</si>
  <si>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</si>
  <si>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</si>
  <si>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</si>
  <si>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</si>
  <si>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</si>
  <si>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</si>
  <si>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</si>
  <si>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</si>
  <si>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</si>
  <si>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</si>
  <si>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</si>
  <si>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</si>
  <si>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</si>
  <si>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</si>
  <si>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</si>
  <si>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</si>
  <si>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</si>
  <si>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</si>
  <si>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</si>
  <si>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</si>
  <si>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</si>
  <si>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</si>
  <si>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</si>
  <si>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</si>
  <si>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</si>
  <si>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</si>
  <si>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</si>
  <si>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</si>
  <si>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</si>
  <si>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</si>
  <si>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</si>
  <si>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</si>
  <si>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</si>
  <si>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</si>
  <si>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</si>
  <si>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</si>
  <si>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</si>
  <si>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</si>
  <si>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</si>
  <si>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</si>
  <si>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</si>
  <si>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</si>
  <si>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</si>
  <si>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</si>
  <si>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</si>
  <si>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</si>
  <si>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</si>
  <si>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</si>
  <si>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</si>
  <si>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</si>
  <si>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</si>
  <si>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</si>
  <si>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</si>
  <si>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</si>
  <si>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</si>
  <si>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</si>
  <si>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</si>
  <si>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</si>
  <si>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</si>
  <si>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</si>
  <si>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</si>
  <si>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</si>
  <si>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</si>
  <si>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</si>
  <si>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</si>
  <si>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</si>
  <si>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</si>
  <si>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</si>
  <si>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</si>
  <si>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</si>
  <si>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</si>
  <si>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</si>
  <si>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</si>
  <si>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</si>
  <si>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</si>
  <si>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</si>
  <si>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</si>
  <si>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</si>
  <si>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</si>
  <si>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</si>
  <si>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</si>
  <si>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</si>
  <si>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</si>
  <si>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</si>
  <si>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</si>
  <si>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</si>
  <si>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</si>
  <si>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</si>
  <si>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</si>
  <si>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</si>
  <si>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</si>
  <si>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</si>
  <si>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</si>
  <si>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</si>
  <si>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</si>
  <si>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</si>
  <si>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</si>
  <si>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</si>
  <si>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</si>
  <si>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</si>
  <si>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</si>
  <si>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</si>
  <si>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</si>
  <si>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</si>
  <si>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</si>
  <si>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</si>
  <si>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</si>
  <si>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</si>
  <si>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</si>
  <si>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</si>
  <si>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</si>
  <si>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</si>
  <si>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</si>
  <si>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</si>
  <si>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</si>
  <si>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</si>
  <si>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</si>
  <si>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</si>
  <si>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</si>
  <si>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</si>
  <si>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</si>
  <si>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</si>
  <si>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</si>
  <si>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</si>
  <si>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</si>
  <si>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</si>
  <si>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</si>
  <si>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</si>
  <si>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</si>
  <si>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</si>
  <si>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</si>
  <si>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</si>
  <si>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</si>
  <si>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</si>
  <si>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</si>
  <si>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</si>
  <si>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</si>
  <si>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</si>
  <si>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</si>
  <si>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</si>
  <si>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</si>
  <si>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</si>
  <si>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</si>
  <si>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</si>
  <si>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</si>
  <si>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</si>
  <si>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</si>
  <si>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</si>
  <si>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</si>
  <si>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</si>
  <si>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</si>
  <si>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</si>
  <si>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</si>
  <si>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</si>
  <si>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</si>
  <si>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</si>
  <si>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</si>
  <si>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</si>
  <si>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</si>
  <si>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</si>
  <si>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</si>
  <si>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</si>
  <si>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</si>
  <si>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</si>
  <si>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</si>
  <si>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</si>
  <si>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</si>
  <si>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</si>
  <si>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</si>
  <si>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</si>
  <si>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</si>
  <si>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</si>
  <si>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</si>
  <si>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</si>
  <si>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</si>
  <si>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</si>
  <si>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</si>
  <si>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</si>
  <si>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</si>
  <si>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</si>
  <si>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</si>
  <si>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</si>
  <si>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</si>
  <si>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</si>
  <si>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</si>
  <si>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</si>
  <si>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</si>
  <si>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</si>
  <si>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</si>
  <si>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</si>
  <si>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</si>
  <si>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</si>
  <si>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</si>
  <si>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</si>
  <si>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</si>
  <si>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</si>
  <si>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</si>
  <si>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</si>
  <si>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</si>
  <si>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</si>
  <si>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</si>
  <si>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</si>
  <si>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</si>
  <si>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</si>
  <si>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</si>
  <si>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</si>
  <si>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</si>
  <si>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</si>
  <si>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</si>
  <si>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</si>
  <si>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</si>
  <si>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</si>
  <si>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</si>
  <si>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</si>
  <si>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</si>
  <si>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</si>
  <si>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</si>
  <si>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</si>
  <si>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</si>
  <si>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</si>
  <si>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</si>
  <si>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</si>
  <si>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</si>
  <si>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</si>
  <si>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</si>
  <si>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</si>
  <si>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</si>
  <si>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</si>
  <si>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</si>
  <si>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</si>
  <si>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</si>
  <si>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</si>
  <si>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</si>
  <si>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</si>
  <si>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</si>
  <si>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</si>
  <si>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</si>
  <si>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</si>
  <si>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</si>
  <si>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</si>
  <si>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</si>
  <si>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</si>
  <si>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</si>
  <si>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</si>
  <si>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</si>
  <si>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</si>
  <si>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</si>
  <si>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</si>
  <si>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</si>
  <si>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</si>
  <si>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</si>
  <si>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</si>
  <si>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</si>
  <si>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</si>
  <si>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</si>
  <si>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</si>
  <si>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</si>
  <si>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</si>
  <si>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</si>
  <si>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</si>
  <si>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</si>
  <si>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</si>
  <si>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</si>
  <si>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</si>
  <si>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</si>
  <si>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</si>
  <si>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</si>
  <si>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</si>
  <si>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</si>
  <si>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</si>
  <si>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</si>
  <si>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</si>
  <si>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</si>
  <si>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</si>
  <si>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</si>
  <si>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</si>
  <si>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</si>
  <si>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</si>
  <si>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</si>
  <si>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</si>
  <si>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</si>
  <si>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</si>
  <si>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</si>
  <si>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</si>
  <si>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</si>
  <si>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</si>
  <si>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</si>
  <si>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</si>
  <si>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</si>
  <si>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</si>
  <si>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</si>
  <si>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</si>
  <si>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</si>
  <si>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</si>
  <si>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</si>
  <si>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</si>
  <si>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</si>
  <si>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</si>
  <si>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</si>
  <si>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</si>
  <si>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</si>
  <si>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</si>
  <si>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</si>
  <si>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</si>
  <si>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</si>
  <si>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</si>
  <si>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</si>
  <si>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</si>
  <si>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</si>
  <si>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</si>
  <si>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</si>
  <si>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</si>
  <si>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</si>
  <si>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</si>
  <si>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</si>
  <si>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</si>
  <si>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</si>
  <si>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</si>
  <si>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</si>
  <si>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</si>
  <si>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</si>
  <si>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</si>
  <si>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</si>
  <si>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</si>
  <si>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</si>
  <si>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</si>
  <si>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</si>
  <si>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</si>
  <si>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</si>
  <si>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</si>
  <si>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</si>
  <si>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</si>
  <si>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</si>
  <si>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</si>
  <si>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</si>
  <si>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</si>
  <si>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</si>
  <si>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</si>
  <si>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</si>
  <si>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</si>
  <si>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</si>
  <si>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</si>
  <si>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</si>
  <si>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</si>
  <si>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</si>
  <si>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</si>
  <si>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</si>
  <si>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</si>
  <si>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</si>
  <si>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</si>
  <si>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</si>
  <si>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</si>
  <si>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</si>
  <si>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</si>
  <si>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</si>
  <si>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</si>
  <si>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</si>
  <si>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</si>
  <si>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</si>
  <si>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</si>
  <si>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</si>
  <si>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</si>
  <si>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</si>
  <si>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</si>
  <si>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</si>
  <si>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</si>
  <si>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</si>
  <si>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</si>
  <si>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</si>
  <si>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</si>
  <si>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</si>
  <si>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</si>
  <si>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</si>
  <si>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</si>
  <si>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</si>
  <si>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</si>
  <si>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</si>
  <si>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</si>
  <si>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</si>
  <si>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</si>
  <si>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</si>
  <si>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</si>
  <si>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</si>
  <si>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</si>
  <si>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</si>
  <si>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</si>
  <si>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</si>
  <si>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</si>
  <si>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</si>
  <si>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</si>
  <si>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</si>
  <si>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</si>
  <si>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</si>
  <si>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</si>
  <si>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</si>
  <si>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</si>
  <si>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</si>
  <si>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</si>
  <si>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</si>
  <si>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</si>
  <si>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</si>
  <si>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</si>
  <si>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</si>
  <si>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</si>
  <si>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</si>
  <si>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</si>
  <si>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</si>
  <si>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</si>
  <si>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</si>
  <si>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</si>
  <si>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</si>
  <si>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</si>
  <si>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</si>
  <si>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</si>
  <si>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</si>
  <si>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</si>
  <si>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</si>
  <si>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</si>
  <si>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</si>
  <si>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</si>
  <si>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</si>
  <si>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</si>
  <si>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</si>
  <si>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</si>
  <si>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</si>
  <si>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</si>
  <si>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</si>
  <si>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</si>
  <si>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</si>
  <si>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</si>
  <si>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</si>
  <si>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</si>
  <si>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</si>
  <si>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</si>
  <si>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</si>
  <si>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</si>
  <si>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</si>
  <si>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</si>
  <si>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</si>
  <si>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</si>
  <si>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</si>
  <si>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</si>
  <si>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</si>
  <si>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</si>
  <si>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</si>
  <si>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</si>
  <si>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</si>
  <si>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</si>
  <si>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</si>
  <si>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</si>
  <si>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</si>
  <si>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</si>
  <si>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</si>
  <si>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</si>
  <si>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</si>
  <si>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</si>
  <si>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</si>
  <si>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</si>
  <si>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</si>
  <si>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</si>
  <si>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</si>
  <si>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</si>
  <si>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</si>
  <si>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</si>
  <si>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</si>
  <si>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</si>
  <si>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</si>
  <si>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</si>
  <si>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</si>
  <si>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</si>
  <si>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</si>
  <si>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</si>
  <si>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</si>
  <si>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</si>
  <si>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</si>
  <si>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</si>
  <si>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</si>
  <si>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</si>
  <si>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</si>
  <si>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</si>
  <si>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</si>
  <si>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</si>
  <si>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</si>
  <si>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</si>
  <si>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</si>
  <si>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</si>
  <si>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</si>
  <si>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</si>
  <si>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</si>
  <si>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</si>
  <si>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</si>
  <si>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</si>
  <si>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</si>
  <si>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</si>
  <si>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</si>
  <si>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</si>
  <si>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</si>
  <si>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</si>
  <si>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</si>
  <si>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</si>
  <si>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</si>
  <si>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</si>
  <si>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</si>
  <si>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</si>
  <si>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</si>
  <si>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</si>
  <si>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</si>
  <si>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</si>
  <si>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</si>
  <si>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</si>
  <si>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</si>
  <si>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</si>
  <si>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</si>
  <si>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</si>
  <si>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</si>
  <si>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</si>
  <si>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</si>
  <si>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</si>
  <si>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</si>
  <si>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</si>
  <si>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</si>
  <si>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</si>
  <si>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</si>
  <si>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</si>
  <si>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</si>
  <si>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</si>
  <si>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</si>
  <si>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</si>
  <si>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</si>
  <si>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</si>
  <si>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</si>
  <si>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</si>
  <si>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</si>
  <si>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</si>
  <si>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</si>
  <si>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</si>
  <si>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</si>
  <si>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</si>
  <si>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</si>
  <si>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</si>
  <si>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</si>
  <si>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</si>
  <si>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</si>
  <si>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</si>
  <si>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</si>
  <si>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</si>
  <si>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</si>
  <si>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</si>
  <si>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</si>
  <si>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</si>
  <si>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</si>
  <si>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</si>
  <si>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</si>
  <si>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</si>
  <si>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</si>
  <si>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</si>
  <si>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</si>
  <si>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</si>
  <si>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</si>
  <si>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</si>
  <si>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</si>
  <si>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</si>
  <si>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</si>
  <si>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</si>
  <si>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</si>
  <si>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</si>
  <si>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</si>
  <si>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</si>
  <si>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</si>
  <si>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</si>
  <si>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</si>
  <si>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</si>
  <si>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</si>
  <si>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</si>
  <si>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</si>
  <si>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</si>
  <si>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</si>
  <si>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</si>
  <si>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</si>
  <si>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</si>
  <si>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</si>
  <si>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</si>
  <si>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</si>
  <si>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</si>
  <si>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</si>
  <si>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</si>
  <si>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</si>
  <si>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</si>
  <si>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</si>
  <si>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</si>
  <si>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</si>
  <si>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</si>
  <si>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</si>
  <si>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</si>
  <si>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</si>
  <si>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</si>
  <si>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</si>
  <si>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</si>
  <si>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</si>
  <si>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</si>
  <si>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</si>
  <si>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</si>
  <si>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</si>
  <si>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</si>
  <si>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</si>
  <si>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</si>
  <si>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</si>
  <si>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</si>
  <si>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</si>
  <si>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</si>
  <si>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</si>
  <si>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</si>
  <si>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</si>
  <si>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</si>
  <si>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</si>
  <si>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</si>
  <si>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</si>
  <si>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</si>
  <si>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</si>
  <si>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</si>
  <si>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</si>
  <si>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</si>
  <si>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</si>
  <si>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</si>
  <si>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</si>
  <si>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</si>
  <si>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</si>
  <si>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</si>
  <si>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</si>
  <si>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</si>
  <si>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</si>
  <si>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</si>
  <si>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</si>
  <si>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</si>
  <si>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</si>
  <si>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</si>
  <si>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</si>
  <si>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</si>
  <si>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</si>
  <si>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</si>
  <si>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</si>
  <si>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</si>
  <si>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</si>
  <si>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</si>
  <si>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</si>
  <si>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</si>
  <si>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</si>
  <si>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</si>
  <si>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</si>
  <si>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</si>
  <si>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</si>
  <si>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</si>
  <si>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</si>
  <si>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</si>
  <si>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</si>
  <si>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</si>
  <si>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</si>
  <si>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</si>
  <si>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</si>
  <si>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</si>
  <si>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</si>
  <si>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</si>
  <si>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</si>
  <si>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</si>
  <si>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</si>
  <si>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</si>
  <si>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</si>
  <si>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</si>
  <si>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</si>
  <si>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</si>
  <si>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</si>
  <si>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</si>
  <si>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</si>
  <si>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</si>
  <si>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</si>
  <si>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</si>
  <si>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</si>
  <si>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</si>
  <si>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</si>
  <si>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</si>
  <si>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</si>
  <si>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</si>
  <si>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</si>
  <si>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</si>
  <si>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</si>
  <si>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</si>
  <si>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</si>
  <si>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</si>
  <si>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</si>
  <si>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</si>
  <si>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</si>
  <si>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</si>
  <si>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</si>
  <si>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</si>
  <si>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</si>
  <si>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</si>
  <si>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</si>
  <si>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</si>
  <si>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</si>
  <si>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</si>
  <si>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</si>
  <si>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</si>
  <si>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</si>
  <si>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</si>
  <si>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</si>
  <si>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</si>
  <si>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</si>
  <si>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</si>
  <si>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</si>
  <si>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</si>
  <si>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</si>
  <si>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</si>
  <si>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</si>
  <si>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</si>
  <si>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</si>
  <si>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</si>
  <si>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</si>
  <si>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</si>
  <si>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</si>
  <si>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</si>
  <si>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</si>
  <si>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</si>
  <si>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</si>
  <si>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</si>
  <si>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</si>
  <si>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</si>
  <si>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</si>
  <si>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</si>
  <si>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</si>
  <si>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</si>
  <si>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</si>
  <si>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</si>
  <si>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</si>
  <si>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</si>
  <si>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</si>
  <si>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</si>
  <si>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</si>
  <si>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</si>
  <si>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</si>
  <si>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</si>
  <si>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</si>
  <si>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</si>
  <si>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</si>
  <si>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</si>
  <si>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</si>
  <si>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</si>
  <si>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</si>
  <si>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</si>
  <si>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</si>
  <si>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</si>
  <si>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</si>
  <si>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</si>
  <si>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</si>
  <si>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</si>
  <si>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</si>
  <si>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</si>
  <si>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</si>
  <si>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</si>
  <si>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</si>
  <si>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</si>
  <si>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</si>
  <si>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</si>
  <si>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</si>
  <si>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</si>
  <si>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</si>
  <si>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</si>
  <si>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</si>
  <si>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</si>
  <si>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</si>
  <si>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</si>
  <si>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</si>
  <si>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</si>
  <si>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</si>
  <si>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</si>
  <si>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</si>
  <si>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</si>
  <si>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</si>
  <si>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</si>
  <si>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</si>
  <si>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</si>
  <si>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</si>
  <si>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</si>
  <si>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</si>
  <si>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</si>
  <si>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</si>
  <si>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</si>
  <si>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</si>
  <si>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</si>
  <si>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</si>
  <si>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</si>
  <si>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</si>
  <si>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</si>
  <si>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</si>
  <si>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</si>
  <si>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</si>
  <si>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</si>
  <si>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</si>
  <si>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</si>
  <si>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</si>
  <si>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</si>
  <si>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</si>
  <si>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</si>
  <si>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</si>
  <si>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</si>
  <si>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</si>
  <si>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</si>
  <si>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</si>
  <si>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</si>
  <si>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</si>
  <si>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</si>
  <si>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</si>
  <si>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</si>
  <si>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</si>
  <si>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</si>
  <si>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</si>
  <si>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</si>
  <si>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</si>
  <si>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</si>
  <si>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</si>
  <si>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</si>
  <si>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</si>
  <si>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</si>
  <si>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</si>
  <si>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</si>
  <si>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</si>
  <si>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</si>
  <si>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</si>
  <si>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</si>
  <si>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</si>
  <si>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</si>
  <si>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</si>
  <si>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</si>
  <si>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</si>
  <si>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</si>
  <si>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</si>
  <si>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</si>
  <si>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</si>
  <si>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</si>
  <si>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</si>
  <si>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</si>
  <si>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</si>
  <si>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</si>
  <si>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</si>
  <si>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</si>
  <si>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</si>
  <si>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</si>
  <si>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</si>
  <si>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>APAGADO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</si>
  <si>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</si>
  <si>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</si>
  <si>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</si>
  <si>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</si>
  <si>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</si>
  <si>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</si>
  <si>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</si>
  <si>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</si>
  <si>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</si>
  <si>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</si>
  <si>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</si>
  <si>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</si>
  <si>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</si>
  <si>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</si>
  <si>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</si>
  <si>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</si>
  <si>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</si>
  <si>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</si>
  <si>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</si>
  <si>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</si>
  <si>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</si>
  <si>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</si>
  <si>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</si>
  <si>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</si>
  <si>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</si>
  <si>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</si>
  <si>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</si>
  <si>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</si>
  <si>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</si>
  <si>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</si>
  <si>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</si>
  <si>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</si>
  <si>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</si>
  <si>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</si>
  <si>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</si>
  <si>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</si>
  <si>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</si>
  <si>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</si>
  <si>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</si>
  <si>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</si>
  <si>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</si>
  <si>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</si>
  <si>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</si>
  <si>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</si>
  <si>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</si>
  <si>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</si>
  <si>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</si>
  <si>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</si>
  <si>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</si>
  <si>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</si>
  <si>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</si>
  <si>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</si>
  <si>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</si>
  <si>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</si>
  <si>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</si>
  <si>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</si>
  <si>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</si>
  <si>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</si>
  <si>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</si>
  <si>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</si>
  <si>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</si>
  <si>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</si>
  <si>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</si>
  <si>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</si>
  <si>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</si>
  <si>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</si>
  <si>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</si>
  <si>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</si>
  <si>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</si>
  <si>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</si>
  <si>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</si>
  <si>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</si>
  <si>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</si>
  <si>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</si>
  <si>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</si>
  <si>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</si>
  <si>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</si>
  <si>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</si>
  <si>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</si>
  <si>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</si>
  <si>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</si>
  <si>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</si>
  <si>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</si>
  <si>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</si>
  <si>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</si>
  <si>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172.20.11.135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</si>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</sst>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</cellXfs>
  <cellStyles count="2">
    <cellStyle name="Normal" xfId="0" builtinId="0"/>
    <cellStyle name="Porcentaje" xfId="1" builtinId="5"/>
  </cellStyles>
  <dxfs count="8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9A-4A92-B1EC-504CCC6B1C5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9A-4A92-B1EC-504CCC6B1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CC-47B8-8082-1CB214B3F92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CC-47B8-8082-1CB214B3F92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CC-47B8-8082-1CB214B3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APAGADOS X 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816-8B68-CA56C300087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816-8B68-CA56C3000876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816-8B68-CA56C300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AUXILIAR!$B$2:$B$32</c:f>
              <c:numCache>
                <c:formatCode>General</c:formatCode>
                <c:ptCount val="31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  <c:pt idx="28">
                  <c:v>44649</c:v>
                </c:pt>
                <c:pt idx="29">
                  <c:v>44650</c:v>
                </c:pt>
                <c:pt idx="30">
                  <c:v>44651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AUXILIAR!$B$2:$B$29</c:f>
              <c:numCache>
                <c:formatCode>General</c:formatCode>
                <c:ptCount val="28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10</c:v>
                </c:pt>
                <c:pt idx="8">
                  <c:v>15</c:v>
                </c:pt>
                <c:pt idx="9">
                  <c:v>9</c:v>
                </c:pt>
                <c:pt idx="10">
                  <c:v>16</c:v>
                </c:pt>
                <c:pt idx="11">
                  <c:v>12</c:v>
                </c:pt>
                <c:pt idx="12">
                  <c:v>15</c:v>
                </c:pt>
                <c:pt idx="13">
                  <c:v>12</c:v>
                </c:pt>
                <c:pt idx="14">
                  <c:v>13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22</c:v>
                </c:pt>
                <c:pt idx="19">
                  <c:v>16</c:v>
                </c:pt>
                <c:pt idx="2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AUXILIAR!$C$2:$C$29</c:f>
              <c:numCache>
                <c:formatCode>General</c:formatCode>
                <c:ptCount val="28"/>
                <c:pt idx="0">
                  <c:v>52</c:v>
                </c:pt>
                <c:pt idx="1">
                  <c:v>69</c:v>
                </c:pt>
                <c:pt idx="2">
                  <c:v>66</c:v>
                </c:pt>
                <c:pt idx="3">
                  <c:v>60</c:v>
                </c:pt>
                <c:pt idx="4">
                  <c:v>56</c:v>
                </c:pt>
                <c:pt idx="5">
                  <c:v>60</c:v>
                </c:pt>
                <c:pt idx="6">
                  <c:v>61</c:v>
                </c:pt>
                <c:pt idx="7">
                  <c:v>56</c:v>
                </c:pt>
                <c:pt idx="8">
                  <c:v>63</c:v>
                </c:pt>
                <c:pt idx="9">
                  <c:v>59</c:v>
                </c:pt>
                <c:pt idx="10">
                  <c:v>42</c:v>
                </c:pt>
                <c:pt idx="11">
                  <c:v>35</c:v>
                </c:pt>
                <c:pt idx="12">
                  <c:v>37</c:v>
                </c:pt>
                <c:pt idx="13">
                  <c:v>46</c:v>
                </c:pt>
                <c:pt idx="14">
                  <c:v>35</c:v>
                </c:pt>
                <c:pt idx="15">
                  <c:v>49</c:v>
                </c:pt>
                <c:pt idx="16">
                  <c:v>28</c:v>
                </c:pt>
                <c:pt idx="17">
                  <c:v>37</c:v>
                </c:pt>
                <c:pt idx="18">
                  <c:v>50</c:v>
                </c:pt>
                <c:pt idx="19">
                  <c:v>36</c:v>
                </c:pt>
                <c:pt idx="20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AUXILIAR!$A$2:$A$29</c:f>
              <c:numCache>
                <c:formatCode>d\-mmm</c:formatCode>
                <c:ptCount val="28"/>
                <c:pt idx="0">
                  <c:v>44621</c:v>
                </c:pt>
                <c:pt idx="1">
                  <c:v>44622</c:v>
                </c:pt>
                <c:pt idx="2">
                  <c:v>44623</c:v>
                </c:pt>
                <c:pt idx="3">
                  <c:v>44624</c:v>
                </c:pt>
                <c:pt idx="4">
                  <c:v>44625</c:v>
                </c:pt>
                <c:pt idx="5">
                  <c:v>44626</c:v>
                </c:pt>
                <c:pt idx="6">
                  <c:v>44627</c:v>
                </c:pt>
                <c:pt idx="7">
                  <c:v>44628</c:v>
                </c:pt>
                <c:pt idx="8">
                  <c:v>44629</c:v>
                </c:pt>
                <c:pt idx="9">
                  <c:v>44630</c:v>
                </c:pt>
                <c:pt idx="10">
                  <c:v>44631</c:v>
                </c:pt>
                <c:pt idx="11">
                  <c:v>44632</c:v>
                </c:pt>
                <c:pt idx="12">
                  <c:v>44633</c:v>
                </c:pt>
                <c:pt idx="13">
                  <c:v>44634</c:v>
                </c:pt>
                <c:pt idx="14">
                  <c:v>44635</c:v>
                </c:pt>
                <c:pt idx="15">
                  <c:v>44636</c:v>
                </c:pt>
                <c:pt idx="16">
                  <c:v>44637</c:v>
                </c:pt>
                <c:pt idx="17">
                  <c:v>44638</c:v>
                </c:pt>
                <c:pt idx="18">
                  <c:v>44639</c:v>
                </c:pt>
                <c:pt idx="19">
                  <c:v>44640</c:v>
                </c:pt>
                <c:pt idx="20">
                  <c:v>44641</c:v>
                </c:pt>
                <c:pt idx="21">
                  <c:v>44642</c:v>
                </c:pt>
                <c:pt idx="22">
                  <c:v>44643</c:v>
                </c:pt>
                <c:pt idx="23">
                  <c:v>44644</c:v>
                </c:pt>
                <c:pt idx="24">
                  <c:v>44645</c:v>
                </c:pt>
                <c:pt idx="25">
                  <c:v>44646</c:v>
                </c:pt>
                <c:pt idx="26">
                  <c:v>44647</c:v>
                </c:pt>
                <c:pt idx="27">
                  <c:v>44648</c:v>
                </c:pt>
              </c:numCache>
            </c:numRef>
          </c:cat>
          <c:val>
            <c:numRef>
              <c:f>AUXILIAR!$E$2:$E$29</c:f>
              <c:numCache>
                <c:formatCode>General</c:formatCode>
                <c:ptCount val="28"/>
                <c:pt idx="0">
                  <c:v>61</c:v>
                </c:pt>
                <c:pt idx="1">
                  <c:v>79</c:v>
                </c:pt>
                <c:pt idx="2">
                  <c:v>76</c:v>
                </c:pt>
                <c:pt idx="3">
                  <c:v>69</c:v>
                </c:pt>
                <c:pt idx="4">
                  <c:v>64</c:v>
                </c:pt>
                <c:pt idx="5">
                  <c:v>67</c:v>
                </c:pt>
                <c:pt idx="6">
                  <c:v>70</c:v>
                </c:pt>
                <c:pt idx="7">
                  <c:v>66</c:v>
                </c:pt>
                <c:pt idx="8">
                  <c:v>78</c:v>
                </c:pt>
                <c:pt idx="9">
                  <c:v>68</c:v>
                </c:pt>
                <c:pt idx="10">
                  <c:v>58</c:v>
                </c:pt>
                <c:pt idx="11">
                  <c:v>47</c:v>
                </c:pt>
                <c:pt idx="12">
                  <c:v>52</c:v>
                </c:pt>
                <c:pt idx="13">
                  <c:v>58</c:v>
                </c:pt>
                <c:pt idx="14">
                  <c:v>48</c:v>
                </c:pt>
                <c:pt idx="15">
                  <c:v>64</c:v>
                </c:pt>
                <c:pt idx="16">
                  <c:v>43</c:v>
                </c:pt>
                <c:pt idx="17">
                  <c:v>52</c:v>
                </c:pt>
                <c:pt idx="18">
                  <c:v>72</c:v>
                </c:pt>
                <c:pt idx="19">
                  <c:v>52</c:v>
                </c:pt>
                <c:pt idx="2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22860</xdr:rowOff>
    </xdr:from>
    <xdr:to>
      <xdr:col>15</xdr:col>
      <xdr:colOff>769620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91DEB50-765E-46EB-9820-ADF350E6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205740</xdr:colOff>
      <xdr:row>1</xdr:row>
      <xdr:rowOff>22860</xdr:rowOff>
    </xdr:from>
    <xdr:to>
      <xdr:col>17</xdr:col>
      <xdr:colOff>15240</xdr:colOff>
      <xdr:row>26</xdr:row>
      <xdr:rowOff>160020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7BBAAD-27BB-41A1-8861-36F961A55E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0</xdr:row>
      <xdr:rowOff>167640</xdr:rowOff>
    </xdr:from>
    <xdr:to>
      <xdr:col>16</xdr:col>
      <xdr:colOff>7620</xdr:colOff>
      <xdr:row>27</xdr:row>
      <xdr:rowOff>30480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751FB3-9AB5-49C5-8306-9CA96320F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762000</xdr:colOff>
      <xdr:row>10</xdr:row>
      <xdr:rowOff>118110</xdr:rowOff>
    </xdr:from>
    <xdr:to>
      <xdr:col>20</xdr:col>
      <xdr:colOff>60960</xdr:colOff>
      <xdr:row>29</xdr:row>
      <xdr:rowOff>68580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746760</xdr:colOff>
      <xdr:row>4</xdr:row>
      <xdr:rowOff>95250</xdr:rowOff>
    </xdr:from>
    <xdr:to>
      <xdr:col>16</xdr:col>
      <xdr:colOff>563880</xdr:colOff>
      <xdr:row>19</xdr:row>
      <xdr:rowOff>95250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472440</xdr:colOff>
      <xdr:row>18</xdr:row>
      <xdr:rowOff>34290</xdr:rowOff>
    </xdr:from>
    <xdr:to>
      <xdr:col>12</xdr:col>
      <xdr:colOff>289560</xdr:colOff>
      <xdr:row>33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0" zoomScaleNormal="80" workbookViewId="0">
      <pane xSplit="14" ySplit="4" topLeftCell="AF5" activePane="bottomRight" state="frozen"/>
      <selection pane="topRight" activeCell="M1" sqref="M1"/>
      <selection pane="bottomLeft" activeCell="A5" sqref="A5"/>
      <selection pane="bottomRight" activeCell="AH384" sqref="AH38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33.3320312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5" width="8.6640625" style="22" customWidth="1"/>
  </cols>
  <sheetData>
    <row r="1" spans="1:45" s="5" customFormat="1" ht="27.75" customHeight="1" thickTop="1" x14ac:dyDescent="0.3">
      <c r="A1" s="1" t="s">
        <v>0</v>
      </c>
      <c r="B1" s="56"/>
      <c r="C1" s="42">
        <f>COUNTA(C5:C527)</f>
        <v>368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0.16847826086956522</v>
      </c>
      <c r="P1" s="4">
        <f t="shared" si="0"/>
        <v>0.21739130434782608</v>
      </c>
      <c r="Q1" s="4">
        <f t="shared" si="0"/>
        <v>0.20923913043478262</v>
      </c>
      <c r="R1" s="4">
        <f t="shared" si="0"/>
        <v>0.19021739130434784</v>
      </c>
      <c r="S1" s="4">
        <f t="shared" si="0"/>
        <v>0.19021739130434784</v>
      </c>
      <c r="T1" s="4">
        <f t="shared" si="0"/>
        <v>0.1875</v>
      </c>
      <c r="U1" s="4">
        <f t="shared" si="0"/>
        <v>0.19346049046321526</v>
      </c>
      <c r="V1" s="4">
        <f t="shared" si="0"/>
        <v>0.18206521739130435</v>
      </c>
      <c r="W1" s="4">
        <f t="shared" si="0"/>
        <v>0.21467391304347827</v>
      </c>
      <c r="X1" s="4">
        <f t="shared" si="0"/>
        <v>0.1875</v>
      </c>
      <c r="Y1" s="4">
        <f t="shared" si="0"/>
        <v>0.16032608695652173</v>
      </c>
      <c r="Z1" s="4">
        <f t="shared" si="0"/>
        <v>0.13043478260869565</v>
      </c>
      <c r="AA1" s="4">
        <f t="shared" si="0"/>
        <v>0.14402173913043478</v>
      </c>
      <c r="AB1" s="4">
        <f t="shared" si="0"/>
        <v>0.15760869565217392</v>
      </c>
      <c r="AC1" s="4">
        <f>(AC3)/(AC2+AC3)</f>
        <v>0.13043478260869565</v>
      </c>
      <c r="AD1" s="4">
        <f t="shared" si="0"/>
        <v>0.1766304347826087</v>
      </c>
      <c r="AE1" s="4">
        <f t="shared" si="0"/>
        <v>0.11684782608695653</v>
      </c>
      <c r="AF1" s="4">
        <f t="shared" si="0"/>
        <v>0.14130434782608695</v>
      </c>
      <c r="AG1" s="4">
        <f t="shared" si="0"/>
        <v>0.1983695652173913</v>
      </c>
      <c r="AH1" s="4">
        <f t="shared" si="0"/>
        <v>0.14130434782608695</v>
      </c>
      <c r="AI1" s="4">
        <f t="shared" si="0"/>
        <v>0.14986376021798364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S1" si="1">(AQ3)/(AQ2+AQ3)</f>
        <v>0</v>
      </c>
      <c r="AR1" s="4">
        <f t="shared" si="1"/>
        <v>0</v>
      </c>
      <c r="AS1" s="4">
        <f t="shared" si="1"/>
        <v>0</v>
      </c>
    </row>
    <row r="2" spans="1:45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306</v>
      </c>
      <c r="P2" s="10">
        <f t="shared" ref="P2:AS2" si="2">COUNTIF(P5:P372, "")</f>
        <v>288</v>
      </c>
      <c r="Q2" s="10">
        <f t="shared" si="2"/>
        <v>291</v>
      </c>
      <c r="R2" s="10">
        <f t="shared" si="2"/>
        <v>298</v>
      </c>
      <c r="S2" s="10">
        <f t="shared" si="2"/>
        <v>298</v>
      </c>
      <c r="T2" s="10">
        <f t="shared" si="2"/>
        <v>299</v>
      </c>
      <c r="U2" s="10">
        <f t="shared" si="2"/>
        <v>296</v>
      </c>
      <c r="V2" s="10">
        <f t="shared" si="2"/>
        <v>301</v>
      </c>
      <c r="W2" s="10">
        <f t="shared" si="2"/>
        <v>289</v>
      </c>
      <c r="X2" s="10">
        <f t="shared" si="2"/>
        <v>299</v>
      </c>
      <c r="Y2" s="10">
        <f t="shared" si="2"/>
        <v>309</v>
      </c>
      <c r="Z2" s="10">
        <f t="shared" si="2"/>
        <v>320</v>
      </c>
      <c r="AA2" s="10">
        <f t="shared" si="2"/>
        <v>315</v>
      </c>
      <c r="AB2" s="10">
        <f t="shared" si="2"/>
        <v>310</v>
      </c>
      <c r="AC2" s="10">
        <f t="shared" si="2"/>
        <v>320</v>
      </c>
      <c r="AD2" s="10">
        <f t="shared" si="2"/>
        <v>303</v>
      </c>
      <c r="AE2" s="10">
        <f t="shared" si="2"/>
        <v>325</v>
      </c>
      <c r="AF2" s="10">
        <f t="shared" si="2"/>
        <v>316</v>
      </c>
      <c r="AG2" s="10">
        <f t="shared" si="2"/>
        <v>295</v>
      </c>
      <c r="AH2" s="10">
        <f t="shared" si="2"/>
        <v>316</v>
      </c>
      <c r="AI2" s="10">
        <f t="shared" si="2"/>
        <v>312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  <c r="AS2" s="10">
        <f t="shared" si="2"/>
        <v>368</v>
      </c>
    </row>
    <row r="3" spans="1:45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62</v>
      </c>
      <c r="P3" s="14">
        <f t="shared" ref="P3:AP3" si="3">COUNTIF(P4:P447, "apagado")</f>
        <v>80</v>
      </c>
      <c r="Q3" s="14">
        <f t="shared" si="3"/>
        <v>77</v>
      </c>
      <c r="R3" s="14">
        <f t="shared" si="3"/>
        <v>70</v>
      </c>
      <c r="S3" s="14">
        <f t="shared" si="3"/>
        <v>70</v>
      </c>
      <c r="T3" s="14">
        <f t="shared" si="3"/>
        <v>69</v>
      </c>
      <c r="U3" s="14">
        <f t="shared" si="3"/>
        <v>71</v>
      </c>
      <c r="V3" s="14">
        <f t="shared" si="3"/>
        <v>67</v>
      </c>
      <c r="W3" s="14">
        <f t="shared" si="3"/>
        <v>79</v>
      </c>
      <c r="X3" s="14">
        <f t="shared" si="3"/>
        <v>69</v>
      </c>
      <c r="Y3" s="14">
        <f t="shared" si="3"/>
        <v>59</v>
      </c>
      <c r="Z3" s="14">
        <f t="shared" si="3"/>
        <v>48</v>
      </c>
      <c r="AA3" s="14">
        <f t="shared" si="3"/>
        <v>53</v>
      </c>
      <c r="AB3" s="14">
        <f t="shared" si="3"/>
        <v>58</v>
      </c>
      <c r="AC3" s="14">
        <f t="shared" si="3"/>
        <v>48</v>
      </c>
      <c r="AD3" s="14">
        <f t="shared" si="3"/>
        <v>65</v>
      </c>
      <c r="AE3" s="14">
        <f t="shared" si="3"/>
        <v>43</v>
      </c>
      <c r="AF3" s="14">
        <f t="shared" si="3"/>
        <v>52</v>
      </c>
      <c r="AG3" s="14">
        <f t="shared" si="3"/>
        <v>73</v>
      </c>
      <c r="AH3" s="14">
        <f t="shared" si="3"/>
        <v>52</v>
      </c>
      <c r="AI3" s="14">
        <f t="shared" si="3"/>
        <v>55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S3" si="4">COUNTIF(AQ4:AQ447, "apagado")</f>
        <v>0</v>
      </c>
      <c r="AR3" s="14">
        <f t="shared" si="4"/>
        <v>0</v>
      </c>
      <c r="AS3" s="14">
        <f t="shared" si="4"/>
        <v>0</v>
      </c>
    </row>
    <row r="4" spans="1:45" s="11" customFormat="1" ht="30" thickTop="1" thickBot="1" x14ac:dyDescent="0.4">
      <c r="A4" t="s">
        <v>7</v>
      </c>
      <c r="B4" t="s">
        <v>1326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44621</v>
      </c>
      <c r="P4" s="15">
        <v>44622</v>
      </c>
      <c r="Q4" s="15">
        <v>44623</v>
      </c>
      <c r="R4" s="15">
        <v>44624</v>
      </c>
      <c r="S4" s="15">
        <v>44625</v>
      </c>
      <c r="T4" s="15">
        <v>44626</v>
      </c>
      <c r="U4" s="15">
        <v>44627</v>
      </c>
      <c r="V4" s="15">
        <v>44628</v>
      </c>
      <c r="W4" s="15">
        <v>44629</v>
      </c>
      <c r="X4" s="15">
        <v>44630</v>
      </c>
      <c r="Y4" s="15">
        <v>44631</v>
      </c>
      <c r="Z4" s="15">
        <v>44632</v>
      </c>
      <c r="AA4" s="15">
        <v>44633</v>
      </c>
      <c r="AB4" s="15">
        <v>44634</v>
      </c>
      <c r="AC4" s="15">
        <v>44635</v>
      </c>
      <c r="AD4" s="15">
        <v>44636</v>
      </c>
      <c r="AE4" s="15">
        <v>44637</v>
      </c>
      <c r="AF4" s="15">
        <v>44638</v>
      </c>
      <c r="AG4" s="15">
        <v>44639</v>
      </c>
      <c r="AH4" s="15">
        <v>44640</v>
      </c>
      <c r="AI4" s="15">
        <v>44641</v>
      </c>
      <c r="AJ4" s="15">
        <v>44642</v>
      </c>
      <c r="AK4" s="15">
        <v>44643</v>
      </c>
      <c r="AL4" s="15">
        <v>44644</v>
      </c>
      <c r="AM4" s="15">
        <v>44645</v>
      </c>
      <c r="AN4" s="15">
        <v>44646</v>
      </c>
      <c r="AO4" s="15">
        <v>44647</v>
      </c>
      <c r="AP4" s="15">
        <v>44648</v>
      </c>
      <c r="AQ4" s="15">
        <v>44649</v>
      </c>
      <c r="AR4" s="15">
        <v>44650</v>
      </c>
      <c r="AS4" s="15">
        <v>44651</v>
      </c>
    </row>
    <row r="5" spans="1:45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1109</v>
      </c>
      <c r="L5" s="17">
        <f t="shared" ref="L5:L68" si="5">COUNTIF(O5:AP5,"")</f>
        <v>17</v>
      </c>
      <c r="M5" s="17">
        <f t="shared" ref="M5:M68" si="6">COUNTIF(O5:AP5,"APAGADO")</f>
        <v>11</v>
      </c>
      <c r="N5" s="18">
        <f t="shared" ref="N5:N68" si="7">(L5)/(M5+L5)</f>
        <v>0.6071428571428571</v>
      </c>
      <c r="O5" s="29" t="s">
        <v>939</v>
      </c>
      <c r="P5" s="19" t="s">
        <v>939</v>
      </c>
      <c r="Q5" s="19" t="s">
        <v>939</v>
      </c>
      <c r="R5" s="19" t="s">
        <v>939</v>
      </c>
      <c r="S5" s="29" t="s">
        <v>939</v>
      </c>
      <c r="T5" s="29" t="s">
        <v>939</v>
      </c>
      <c r="U5" s="19" t="s">
        <v>939</v>
      </c>
      <c r="V5" s="19" t="s">
        <v>939</v>
      </c>
      <c r="W5" s="19" t="s">
        <v>939</v>
      </c>
      <c r="X5" s="29" t="s">
        <v>939</v>
      </c>
      <c r="Y5" s="29" t="s">
        <v>939</v>
      </c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7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1110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8"/>
      <c r="AK6" s="8"/>
      <c r="AL6" s="8"/>
      <c r="AM6" s="8"/>
      <c r="AN6" s="27"/>
      <c r="AO6" s="8"/>
      <c r="AP6" s="8"/>
      <c r="AQ6" s="27"/>
      <c r="AR6" s="27"/>
      <c r="AS6" s="27"/>
    </row>
    <row r="7" spans="1:45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1057</v>
      </c>
      <c r="L7" s="17">
        <f t="shared" si="5"/>
        <v>28</v>
      </c>
      <c r="M7" s="17">
        <f t="shared" si="6"/>
        <v>0</v>
      </c>
      <c r="N7" s="18">
        <f t="shared" si="7"/>
        <v>1</v>
      </c>
      <c r="O7" s="27"/>
      <c r="P7" s="8"/>
      <c r="Q7" s="8"/>
      <c r="R7" s="8"/>
      <c r="S7" s="27"/>
      <c r="T7" s="27"/>
      <c r="U7" s="8"/>
      <c r="V7" s="8"/>
      <c r="W7" s="8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8"/>
      <c r="AK7" s="8"/>
      <c r="AL7" s="8"/>
      <c r="AM7" s="8"/>
      <c r="AN7" s="27"/>
      <c r="AO7" s="8"/>
      <c r="AP7" s="8"/>
      <c r="AQ7" s="27"/>
      <c r="AR7" s="27"/>
      <c r="AS7" s="27"/>
    </row>
    <row r="8" spans="1:45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945</v>
      </c>
      <c r="G8"/>
      <c r="H8" t="s">
        <v>30</v>
      </c>
      <c r="I8" s="16">
        <v>-348230700000</v>
      </c>
      <c r="J8" s="16">
        <v>-582702540000</v>
      </c>
      <c r="K8" s="16" t="s">
        <v>1111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8"/>
      <c r="AK8" s="8"/>
      <c r="AL8" s="8"/>
      <c r="AM8" s="8"/>
      <c r="AN8" s="27"/>
      <c r="AO8" s="8"/>
      <c r="AP8" s="8"/>
      <c r="AQ8" s="27"/>
      <c r="AR8" s="27"/>
      <c r="AS8" s="27"/>
    </row>
    <row r="9" spans="1:45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1112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8"/>
      <c r="AK9" s="8"/>
      <c r="AL9" s="8"/>
      <c r="AM9" s="8"/>
      <c r="AN9" s="27"/>
      <c r="AO9" s="8"/>
      <c r="AP9" s="8"/>
      <c r="AQ9" s="27"/>
      <c r="AR9" s="27"/>
      <c r="AS9" s="27"/>
    </row>
    <row r="10" spans="1:45" ht="15" thickBot="1" x14ac:dyDescent="0.35">
      <c r="A10" t="s">
        <v>34</v>
      </c>
      <c r="C10" s="45" t="s">
        <v>950</v>
      </c>
      <c r="D10" t="s">
        <v>35</v>
      </c>
      <c r="E10" t="s">
        <v>24</v>
      </c>
      <c r="F10" t="s">
        <v>945</v>
      </c>
      <c r="G10"/>
      <c r="H10" t="s">
        <v>37</v>
      </c>
      <c r="I10" s="16">
        <v>-347738090000</v>
      </c>
      <c r="J10" s="16">
        <v>-582721410000</v>
      </c>
      <c r="K10" s="16" t="s">
        <v>951</v>
      </c>
      <c r="L10" s="17">
        <f t="shared" si="5"/>
        <v>28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944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8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945</v>
      </c>
      <c r="G12" t="s">
        <v>43</v>
      </c>
      <c r="H12"/>
      <c r="I12" s="16">
        <v>-347718470000</v>
      </c>
      <c r="J12" s="16">
        <v>-582688560000</v>
      </c>
      <c r="K12" s="16" t="s">
        <v>946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8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" thickBot="1" x14ac:dyDescent="0.35">
      <c r="A13" t="s">
        <v>34</v>
      </c>
      <c r="C13" s="4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947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8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" thickBot="1" x14ac:dyDescent="0.35">
      <c r="C14" s="4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948</v>
      </c>
      <c r="L14" s="17">
        <f t="shared" si="5"/>
        <v>26</v>
      </c>
      <c r="M14" s="17">
        <f t="shared" si="6"/>
        <v>2</v>
      </c>
      <c r="N14" s="18">
        <f t="shared" si="7"/>
        <v>0.9285714285714286</v>
      </c>
      <c r="O14" s="27" t="s">
        <v>939</v>
      </c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939</v>
      </c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945</v>
      </c>
      <c r="G15" t="s">
        <v>52</v>
      </c>
      <c r="H15"/>
      <c r="I15" s="16">
        <v>-347708370000</v>
      </c>
      <c r="J15" s="16">
        <v>-582698000000</v>
      </c>
      <c r="K15" s="16" t="s">
        <v>949</v>
      </c>
      <c r="L15" s="17">
        <f t="shared" si="5"/>
        <v>27</v>
      </c>
      <c r="M15" s="17">
        <f t="shared" si="6"/>
        <v>1</v>
      </c>
      <c r="N15" s="18">
        <f t="shared" si="7"/>
        <v>0.9642857142857143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 t="s">
        <v>939</v>
      </c>
      <c r="AH15" s="27"/>
      <c r="AI15" s="27"/>
      <c r="AJ15" s="8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945</v>
      </c>
      <c r="G16"/>
      <c r="H16" t="s">
        <v>55</v>
      </c>
      <c r="I16" s="16">
        <v>-347737570000</v>
      </c>
      <c r="J16" s="16">
        <v>-582676650000</v>
      </c>
      <c r="K16" s="16" t="s">
        <v>953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8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" thickBot="1" x14ac:dyDescent="0.35">
      <c r="A17" t="s">
        <v>34</v>
      </c>
      <c r="C17" s="4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954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" thickBot="1" x14ac:dyDescent="0.35">
      <c r="A18" t="s">
        <v>34</v>
      </c>
      <c r="C18" s="4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955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958</v>
      </c>
      <c r="L19" s="17">
        <f t="shared" si="5"/>
        <v>19</v>
      </c>
      <c r="M19" s="17">
        <f t="shared" si="6"/>
        <v>9</v>
      </c>
      <c r="N19" s="18">
        <f t="shared" si="7"/>
        <v>0.6785714285714286</v>
      </c>
      <c r="O19" s="27"/>
      <c r="P19" s="8" t="s">
        <v>939</v>
      </c>
      <c r="Q19" s="8" t="s">
        <v>939</v>
      </c>
      <c r="R19" s="8" t="s">
        <v>939</v>
      </c>
      <c r="S19" s="27" t="s">
        <v>939</v>
      </c>
      <c r="T19" s="27" t="s">
        <v>939</v>
      </c>
      <c r="U19" s="8" t="s">
        <v>939</v>
      </c>
      <c r="V19" s="8" t="s">
        <v>939</v>
      </c>
      <c r="W19" s="8" t="s">
        <v>939</v>
      </c>
      <c r="X19" s="27" t="s">
        <v>939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8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" thickBot="1" x14ac:dyDescent="0.35">
      <c r="A20" t="s">
        <v>34</v>
      </c>
      <c r="C20" s="45" t="s">
        <v>956</v>
      </c>
      <c r="D20" t="s">
        <v>66</v>
      </c>
      <c r="E20" t="s">
        <v>19</v>
      </c>
      <c r="F20" t="s">
        <v>945</v>
      </c>
      <c r="G20"/>
      <c r="H20" t="s">
        <v>67</v>
      </c>
      <c r="I20" s="16">
        <v>-347689160000</v>
      </c>
      <c r="J20" s="16">
        <v>-582717100000</v>
      </c>
      <c r="K20" s="16" t="s">
        <v>957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8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959</v>
      </c>
      <c r="L21" s="17">
        <f t="shared" si="5"/>
        <v>28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8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" thickBot="1" x14ac:dyDescent="0.35">
      <c r="C22" s="45" t="s">
        <v>1009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1010</v>
      </c>
      <c r="L22" s="17">
        <f t="shared" si="5"/>
        <v>26</v>
      </c>
      <c r="M22" s="17">
        <f t="shared" si="6"/>
        <v>2</v>
      </c>
      <c r="N22" s="18">
        <f t="shared" si="7"/>
        <v>0.9285714285714286</v>
      </c>
      <c r="O22" s="27"/>
      <c r="P22" s="8"/>
      <c r="Q22" s="8"/>
      <c r="R22" s="8"/>
      <c r="S22" s="27"/>
      <c r="T22" s="27"/>
      <c r="U22" s="8"/>
      <c r="V22" s="8"/>
      <c r="W22" s="8" t="s">
        <v>939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 t="s">
        <v>939</v>
      </c>
      <c r="AH22" s="27"/>
      <c r="AI22" s="27"/>
      <c r="AJ22" s="8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" thickBot="1" x14ac:dyDescent="0.35">
      <c r="C23" s="45" t="s">
        <v>1012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1013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8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1014</v>
      </c>
      <c r="L24" s="17">
        <f t="shared" si="5"/>
        <v>23</v>
      </c>
      <c r="M24" s="17">
        <f t="shared" si="6"/>
        <v>5</v>
      </c>
      <c r="N24" s="18">
        <f t="shared" si="7"/>
        <v>0.8214285714285714</v>
      </c>
      <c r="O24" s="27"/>
      <c r="P24" s="8"/>
      <c r="Q24" s="8"/>
      <c r="R24" s="8" t="s">
        <v>939</v>
      </c>
      <c r="S24" s="27" t="s">
        <v>939</v>
      </c>
      <c r="T24" s="27" t="s">
        <v>939</v>
      </c>
      <c r="U24" s="8" t="s">
        <v>939</v>
      </c>
      <c r="V24" s="8"/>
      <c r="W24" s="8" t="s">
        <v>939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8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1015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8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1016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8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1017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8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1018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8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1019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8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945</v>
      </c>
      <c r="G30"/>
      <c r="H30" t="s">
        <v>94</v>
      </c>
      <c r="I30" s="16">
        <v>-347999170000</v>
      </c>
      <c r="J30" s="16">
        <v>-582863530000</v>
      </c>
      <c r="K30" s="16" t="s">
        <v>1020</v>
      </c>
      <c r="L30" s="17">
        <f t="shared" si="5"/>
        <v>24</v>
      </c>
      <c r="M30" s="17">
        <f t="shared" si="6"/>
        <v>4</v>
      </c>
      <c r="N30" s="18">
        <f t="shared" si="7"/>
        <v>0.8571428571428571</v>
      </c>
      <c r="O30" s="27"/>
      <c r="P30" s="8"/>
      <c r="Q30" s="8"/>
      <c r="R30" s="8"/>
      <c r="S30" s="27"/>
      <c r="T30" s="27"/>
      <c r="U30" s="8"/>
      <c r="V30" s="8"/>
      <c r="W30" s="8" t="s">
        <v>939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 t="s">
        <v>939</v>
      </c>
      <c r="AH30" s="27" t="s">
        <v>939</v>
      </c>
      <c r="AI30" s="27" t="s">
        <v>939</v>
      </c>
      <c r="AJ30" s="8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1021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8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945</v>
      </c>
      <c r="G32"/>
      <c r="H32" t="s">
        <v>99</v>
      </c>
      <c r="I32" s="16">
        <v>-348038200000</v>
      </c>
      <c r="J32" s="16">
        <v>-582766160000</v>
      </c>
      <c r="K32" s="16" t="s">
        <v>1022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8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1023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8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1033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8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1034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8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1035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8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960</v>
      </c>
      <c r="L37" s="17">
        <f t="shared" si="5"/>
        <v>21</v>
      </c>
      <c r="M37" s="17">
        <f t="shared" si="6"/>
        <v>7</v>
      </c>
      <c r="N37" s="18">
        <f t="shared" si="7"/>
        <v>0.75</v>
      </c>
      <c r="O37" s="27" t="s">
        <v>939</v>
      </c>
      <c r="P37" s="8" t="s">
        <v>939</v>
      </c>
      <c r="Q37" s="8" t="s">
        <v>939</v>
      </c>
      <c r="R37" s="8" t="s">
        <v>939</v>
      </c>
      <c r="S37" s="27" t="s">
        <v>939</v>
      </c>
      <c r="T37" s="27" t="s">
        <v>939</v>
      </c>
      <c r="U37" s="8" t="s">
        <v>939</v>
      </c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952</v>
      </c>
      <c r="L38" s="17">
        <f t="shared" si="5"/>
        <v>27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 t="s">
        <v>940</v>
      </c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8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961</v>
      </c>
      <c r="L39" s="17">
        <f t="shared" si="5"/>
        <v>28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8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962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8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" thickBot="1" x14ac:dyDescent="0.35">
      <c r="A41" t="s">
        <v>80</v>
      </c>
      <c r="C41" s="45" t="s">
        <v>124</v>
      </c>
      <c r="D41" t="s">
        <v>943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963</v>
      </c>
      <c r="L41" s="17">
        <f t="shared" si="5"/>
        <v>19</v>
      </c>
      <c r="M41" s="17">
        <f t="shared" si="6"/>
        <v>9</v>
      </c>
      <c r="N41" s="18">
        <f t="shared" si="7"/>
        <v>0.6785714285714286</v>
      </c>
      <c r="O41" s="27"/>
      <c r="P41" s="8" t="s">
        <v>939</v>
      </c>
      <c r="Q41" s="8" t="s">
        <v>939</v>
      </c>
      <c r="R41" s="8" t="s">
        <v>939</v>
      </c>
      <c r="S41" s="27" t="s">
        <v>939</v>
      </c>
      <c r="T41" s="27" t="s">
        <v>939</v>
      </c>
      <c r="U41" s="8" t="s">
        <v>939</v>
      </c>
      <c r="V41" s="8"/>
      <c r="W41" s="8" t="s">
        <v>939</v>
      </c>
      <c r="X41" s="27" t="s">
        <v>939</v>
      </c>
      <c r="Y41" s="27"/>
      <c r="Z41" s="27"/>
      <c r="AA41" s="27"/>
      <c r="AB41" s="27"/>
      <c r="AC41" s="27"/>
      <c r="AD41" s="27"/>
      <c r="AE41" s="27"/>
      <c r="AF41" s="27"/>
      <c r="AG41" s="27" t="s">
        <v>939</v>
      </c>
      <c r="AH41" s="27"/>
      <c r="AI41" s="27"/>
      <c r="AJ41" s="8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964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8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" thickBot="1" x14ac:dyDescent="0.35">
      <c r="A43" t="s">
        <v>80</v>
      </c>
      <c r="C43" s="45" t="s">
        <v>130</v>
      </c>
      <c r="D43" t="s">
        <v>942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965</v>
      </c>
      <c r="L43" s="17">
        <f t="shared" si="5"/>
        <v>25</v>
      </c>
      <c r="M43" s="17">
        <f t="shared" si="6"/>
        <v>3</v>
      </c>
      <c r="N43" s="18">
        <f t="shared" si="7"/>
        <v>0.8928571428571429</v>
      </c>
      <c r="O43" s="27"/>
      <c r="P43" s="8"/>
      <c r="Q43" s="8"/>
      <c r="R43" s="8"/>
      <c r="S43" s="27"/>
      <c r="T43" s="27"/>
      <c r="U43" s="8"/>
      <c r="V43" s="8"/>
      <c r="W43" s="8" t="s">
        <v>939</v>
      </c>
      <c r="X43" s="27" t="s">
        <v>939</v>
      </c>
      <c r="Y43" s="27" t="s">
        <v>939</v>
      </c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8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" thickBot="1" x14ac:dyDescent="0.35">
      <c r="A44" t="s">
        <v>80</v>
      </c>
      <c r="C44" s="45" t="s">
        <v>133</v>
      </c>
      <c r="D44" t="s">
        <v>941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966</v>
      </c>
      <c r="L44" s="17">
        <f t="shared" si="5"/>
        <v>16</v>
      </c>
      <c r="M44" s="17">
        <f t="shared" si="6"/>
        <v>12</v>
      </c>
      <c r="N44" s="18">
        <f t="shared" si="7"/>
        <v>0.5714285714285714</v>
      </c>
      <c r="O44" s="27" t="s">
        <v>939</v>
      </c>
      <c r="P44" s="8" t="s">
        <v>939</v>
      </c>
      <c r="Q44" s="8" t="s">
        <v>939</v>
      </c>
      <c r="R44" s="8" t="s">
        <v>939</v>
      </c>
      <c r="S44" s="27" t="s">
        <v>939</v>
      </c>
      <c r="T44" s="27" t="s">
        <v>939</v>
      </c>
      <c r="U44" s="8" t="s">
        <v>939</v>
      </c>
      <c r="V44" s="8" t="s">
        <v>939</v>
      </c>
      <c r="W44" s="8" t="s">
        <v>939</v>
      </c>
      <c r="X44" s="27" t="s">
        <v>939</v>
      </c>
      <c r="Y44" s="27" t="s">
        <v>939</v>
      </c>
      <c r="Z44" s="27"/>
      <c r="AA44" s="27"/>
      <c r="AB44" s="27"/>
      <c r="AC44" s="27"/>
      <c r="AD44" s="27"/>
      <c r="AE44" s="27"/>
      <c r="AF44" s="27"/>
      <c r="AG44" s="27" t="s">
        <v>939</v>
      </c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967</v>
      </c>
      <c r="L45" s="17">
        <f t="shared" si="5"/>
        <v>28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8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968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8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969</v>
      </c>
      <c r="L47" s="17">
        <f t="shared" si="5"/>
        <v>28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8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970</v>
      </c>
      <c r="L48" s="17">
        <f t="shared" si="5"/>
        <v>25</v>
      </c>
      <c r="M48" s="17">
        <f t="shared" si="6"/>
        <v>3</v>
      </c>
      <c r="N48" s="18">
        <f t="shared" si="7"/>
        <v>0.8928571428571429</v>
      </c>
      <c r="O48" s="27"/>
      <c r="P48" s="8"/>
      <c r="Q48" s="8"/>
      <c r="R48" s="8"/>
      <c r="S48" s="27"/>
      <c r="T48" s="27"/>
      <c r="U48" s="8"/>
      <c r="V48" s="8"/>
      <c r="W48" s="8" t="s">
        <v>939</v>
      </c>
      <c r="X48" s="27" t="s">
        <v>939</v>
      </c>
      <c r="Y48" s="27" t="s">
        <v>939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8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971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 t="s">
        <v>939</v>
      </c>
      <c r="AH49" s="27"/>
      <c r="AI49" s="27"/>
      <c r="AJ49" s="8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" thickBot="1" x14ac:dyDescent="0.35">
      <c r="A50" t="s">
        <v>80</v>
      </c>
      <c r="C50" s="45" t="s">
        <v>150</v>
      </c>
      <c r="D50" t="s">
        <v>1328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972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8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973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 t="s">
        <v>939</v>
      </c>
      <c r="AH51" s="27"/>
      <c r="AI51" s="27"/>
      <c r="AJ51" s="8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974</v>
      </c>
      <c r="L52" s="17">
        <f t="shared" si="5"/>
        <v>16</v>
      </c>
      <c r="M52" s="17">
        <f t="shared" si="6"/>
        <v>12</v>
      </c>
      <c r="N52" s="18">
        <f t="shared" si="7"/>
        <v>0.5714285714285714</v>
      </c>
      <c r="O52" s="27" t="s">
        <v>939</v>
      </c>
      <c r="P52" s="8" t="s">
        <v>939</v>
      </c>
      <c r="Q52" s="8" t="s">
        <v>939</v>
      </c>
      <c r="R52" s="8" t="s">
        <v>939</v>
      </c>
      <c r="S52" s="27" t="s">
        <v>939</v>
      </c>
      <c r="T52" s="27" t="s">
        <v>939</v>
      </c>
      <c r="U52" s="8" t="s">
        <v>939</v>
      </c>
      <c r="V52" s="8" t="s">
        <v>939</v>
      </c>
      <c r="W52" s="8" t="s">
        <v>939</v>
      </c>
      <c r="X52" s="27" t="s">
        <v>939</v>
      </c>
      <c r="Y52" s="27" t="s">
        <v>939</v>
      </c>
      <c r="Z52" s="27"/>
      <c r="AA52" s="27"/>
      <c r="AB52" s="27"/>
      <c r="AC52" s="27"/>
      <c r="AD52" s="27"/>
      <c r="AE52" s="27"/>
      <c r="AF52" s="27"/>
      <c r="AG52" s="27" t="s">
        <v>939</v>
      </c>
      <c r="AH52" s="27"/>
      <c r="AI52" s="27"/>
      <c r="AJ52" s="8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" thickBot="1" x14ac:dyDescent="0.35">
      <c r="C53" s="45" t="s">
        <v>159</v>
      </c>
      <c r="D53" t="s">
        <v>160</v>
      </c>
      <c r="E53" t="s">
        <v>24</v>
      </c>
      <c r="F53" t="s">
        <v>945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975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8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976</v>
      </c>
      <c r="L54" s="17">
        <f t="shared" si="5"/>
        <v>21</v>
      </c>
      <c r="M54" s="17">
        <f t="shared" si="6"/>
        <v>7</v>
      </c>
      <c r="N54" s="18">
        <f t="shared" si="7"/>
        <v>0.75</v>
      </c>
      <c r="O54" s="27" t="s">
        <v>939</v>
      </c>
      <c r="P54" s="8" t="s">
        <v>939</v>
      </c>
      <c r="Q54" s="8" t="s">
        <v>939</v>
      </c>
      <c r="R54" s="8" t="s">
        <v>939</v>
      </c>
      <c r="S54" s="27" t="s">
        <v>939</v>
      </c>
      <c r="T54" s="27" t="s">
        <v>939</v>
      </c>
      <c r="U54" s="8" t="s">
        <v>939</v>
      </c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977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8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978</v>
      </c>
      <c r="L56" s="17">
        <f t="shared" si="5"/>
        <v>27</v>
      </c>
      <c r="M56" s="17">
        <f t="shared" si="6"/>
        <v>1</v>
      </c>
      <c r="N56" s="18">
        <f t="shared" si="7"/>
        <v>0.9642857142857143</v>
      </c>
      <c r="O56" s="27"/>
      <c r="P56" s="8"/>
      <c r="Q56" s="8"/>
      <c r="R56" s="8"/>
      <c r="S56" s="27"/>
      <c r="T56" s="27"/>
      <c r="U56" s="8"/>
      <c r="V56" s="8"/>
      <c r="W56" s="8" t="s">
        <v>939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8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979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8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980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8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981</v>
      </c>
      <c r="L59" s="17">
        <f t="shared" si="5"/>
        <v>25</v>
      </c>
      <c r="M59" s="17">
        <f t="shared" si="6"/>
        <v>3</v>
      </c>
      <c r="N59" s="18">
        <f t="shared" si="7"/>
        <v>0.8928571428571429</v>
      </c>
      <c r="O59" s="27"/>
      <c r="P59" s="8"/>
      <c r="Q59" s="8"/>
      <c r="R59" s="8"/>
      <c r="S59" s="27"/>
      <c r="T59" s="27"/>
      <c r="U59" s="8"/>
      <c r="V59" s="8"/>
      <c r="W59" s="8" t="s">
        <v>939</v>
      </c>
      <c r="X59" s="27" t="s">
        <v>939</v>
      </c>
      <c r="Y59" s="27" t="s">
        <v>939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8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982</v>
      </c>
      <c r="L60" s="17">
        <f t="shared" si="5"/>
        <v>18</v>
      </c>
      <c r="M60" s="17">
        <f t="shared" si="6"/>
        <v>10</v>
      </c>
      <c r="N60" s="18">
        <f t="shared" si="7"/>
        <v>0.6428571428571429</v>
      </c>
      <c r="O60" s="27" t="s">
        <v>939</v>
      </c>
      <c r="P60" s="8" t="s">
        <v>939</v>
      </c>
      <c r="Q60" s="8" t="s">
        <v>939</v>
      </c>
      <c r="R60" s="8" t="s">
        <v>939</v>
      </c>
      <c r="S60" s="27" t="s">
        <v>939</v>
      </c>
      <c r="T60" s="27" t="s">
        <v>939</v>
      </c>
      <c r="U60" s="8" t="s">
        <v>939</v>
      </c>
      <c r="V60" s="8"/>
      <c r="W60" s="8" t="s">
        <v>939</v>
      </c>
      <c r="X60" s="27" t="s">
        <v>939</v>
      </c>
      <c r="Y60" s="27" t="s">
        <v>939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983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8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984</v>
      </c>
      <c r="L62" s="17">
        <f t="shared" si="5"/>
        <v>27</v>
      </c>
      <c r="M62" s="17">
        <f t="shared" si="6"/>
        <v>1</v>
      </c>
      <c r="N62" s="18">
        <f t="shared" si="7"/>
        <v>0.9642857142857143</v>
      </c>
      <c r="O62" s="27"/>
      <c r="P62" s="8"/>
      <c r="Q62" s="8"/>
      <c r="R62" s="8"/>
      <c r="S62" s="27"/>
      <c r="T62" s="27"/>
      <c r="U62" s="8"/>
      <c r="V62" s="8" t="s">
        <v>939</v>
      </c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8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985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939</v>
      </c>
      <c r="P63" s="8" t="s">
        <v>939</v>
      </c>
      <c r="Q63" s="8" t="s">
        <v>939</v>
      </c>
      <c r="R63" s="8" t="s">
        <v>939</v>
      </c>
      <c r="S63" s="27" t="s">
        <v>939</v>
      </c>
      <c r="T63" s="27" t="s">
        <v>939</v>
      </c>
      <c r="U63" s="8" t="s">
        <v>939</v>
      </c>
      <c r="V63" s="8" t="s">
        <v>939</v>
      </c>
      <c r="W63" s="8" t="s">
        <v>939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986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8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987</v>
      </c>
      <c r="L65" s="17">
        <f t="shared" si="5"/>
        <v>17</v>
      </c>
      <c r="M65" s="17">
        <f t="shared" si="6"/>
        <v>11</v>
      </c>
      <c r="N65" s="18">
        <f t="shared" si="7"/>
        <v>0.6071428571428571</v>
      </c>
      <c r="O65" s="27" t="s">
        <v>939</v>
      </c>
      <c r="P65" s="8" t="s">
        <v>939</v>
      </c>
      <c r="Q65" s="8" t="s">
        <v>939</v>
      </c>
      <c r="R65" s="8" t="s">
        <v>939</v>
      </c>
      <c r="S65" s="27" t="s">
        <v>939</v>
      </c>
      <c r="T65" s="27" t="s">
        <v>939</v>
      </c>
      <c r="U65" s="8" t="s">
        <v>939</v>
      </c>
      <c r="V65" s="8" t="s">
        <v>939</v>
      </c>
      <c r="W65" s="8" t="s">
        <v>939</v>
      </c>
      <c r="X65" s="27" t="s">
        <v>939</v>
      </c>
      <c r="Y65" s="27" t="s">
        <v>939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988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8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989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8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990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939</v>
      </c>
      <c r="P68" s="8" t="s">
        <v>939</v>
      </c>
      <c r="Q68" s="8" t="s">
        <v>939</v>
      </c>
      <c r="R68" s="8" t="s">
        <v>939</v>
      </c>
      <c r="S68" s="27" t="s">
        <v>939</v>
      </c>
      <c r="T68" s="27" t="s">
        <v>939</v>
      </c>
      <c r="U68" s="8" t="s">
        <v>939</v>
      </c>
      <c r="V68" s="8" t="s">
        <v>939</v>
      </c>
      <c r="W68" s="8" t="s">
        <v>939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991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8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992</v>
      </c>
      <c r="L70" s="17">
        <f t="shared" si="8"/>
        <v>17</v>
      </c>
      <c r="M70" s="17">
        <f t="shared" si="9"/>
        <v>11</v>
      </c>
      <c r="N70" s="18">
        <f t="shared" si="10"/>
        <v>0.6071428571428571</v>
      </c>
      <c r="O70" s="27" t="s">
        <v>939</v>
      </c>
      <c r="P70" s="8" t="s">
        <v>939</v>
      </c>
      <c r="Q70" s="8" t="s">
        <v>939</v>
      </c>
      <c r="R70" s="8" t="s">
        <v>939</v>
      </c>
      <c r="S70" s="27" t="s">
        <v>939</v>
      </c>
      <c r="T70" s="27" t="s">
        <v>939</v>
      </c>
      <c r="U70" s="8" t="s">
        <v>939</v>
      </c>
      <c r="V70" s="8" t="s">
        <v>939</v>
      </c>
      <c r="W70" s="8" t="s">
        <v>939</v>
      </c>
      <c r="X70" s="27" t="s">
        <v>939</v>
      </c>
      <c r="Y70" s="27"/>
      <c r="Z70" s="27"/>
      <c r="AA70" s="27"/>
      <c r="AB70" s="27"/>
      <c r="AC70" s="27"/>
      <c r="AD70" s="27"/>
      <c r="AE70" s="27"/>
      <c r="AF70" s="27"/>
      <c r="AG70" s="27" t="s">
        <v>939</v>
      </c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993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8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994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8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995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8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996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8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997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8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998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8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999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8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1000</v>
      </c>
      <c r="L78" s="17">
        <f t="shared" si="8"/>
        <v>28</v>
      </c>
      <c r="M78" s="17">
        <f t="shared" si="9"/>
        <v>0</v>
      </c>
      <c r="N78" s="18">
        <f t="shared" si="10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8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1001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8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1002</v>
      </c>
      <c r="L80" s="17">
        <f t="shared" si="8"/>
        <v>7</v>
      </c>
      <c r="M80" s="17">
        <f t="shared" si="9"/>
        <v>21</v>
      </c>
      <c r="N80" s="18">
        <f t="shared" si="10"/>
        <v>0.25</v>
      </c>
      <c r="O80" s="27" t="s">
        <v>939</v>
      </c>
      <c r="P80" s="8" t="s">
        <v>939</v>
      </c>
      <c r="Q80" s="8" t="s">
        <v>939</v>
      </c>
      <c r="R80" s="8" t="s">
        <v>939</v>
      </c>
      <c r="S80" s="27" t="s">
        <v>939</v>
      </c>
      <c r="T80" s="27" t="s">
        <v>939</v>
      </c>
      <c r="U80" s="8" t="s">
        <v>939</v>
      </c>
      <c r="V80" s="8" t="s">
        <v>939</v>
      </c>
      <c r="W80" s="8" t="s">
        <v>939</v>
      </c>
      <c r="X80" s="27" t="s">
        <v>939</v>
      </c>
      <c r="Y80" s="27" t="s">
        <v>939</v>
      </c>
      <c r="Z80" s="27" t="s">
        <v>939</v>
      </c>
      <c r="AA80" s="27" t="s">
        <v>939</v>
      </c>
      <c r="AB80" s="27" t="s">
        <v>939</v>
      </c>
      <c r="AC80" s="27" t="s">
        <v>939</v>
      </c>
      <c r="AD80" s="27" t="s">
        <v>939</v>
      </c>
      <c r="AE80" s="27" t="s">
        <v>939</v>
      </c>
      <c r="AF80" s="27" t="s">
        <v>939</v>
      </c>
      <c r="AG80" s="27" t="s">
        <v>939</v>
      </c>
      <c r="AH80" s="27" t="s">
        <v>939</v>
      </c>
      <c r="AI80" s="27" t="s">
        <v>939</v>
      </c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1003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8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1004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8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1005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8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1006</v>
      </c>
      <c r="L84" s="17">
        <f t="shared" si="8"/>
        <v>27</v>
      </c>
      <c r="M84" s="17">
        <f t="shared" si="9"/>
        <v>1</v>
      </c>
      <c r="N84" s="18">
        <f t="shared" si="10"/>
        <v>0.9642857142857143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 t="s">
        <v>939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8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1007</v>
      </c>
      <c r="L85" s="17">
        <f t="shared" si="8"/>
        <v>28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8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1008</v>
      </c>
      <c r="L86" s="17">
        <f t="shared" si="8"/>
        <v>27</v>
      </c>
      <c r="M86" s="17">
        <f t="shared" si="9"/>
        <v>1</v>
      </c>
      <c r="N86" s="18">
        <f t="shared" si="10"/>
        <v>0.9642857142857143</v>
      </c>
      <c r="O86" s="27" t="s">
        <v>939</v>
      </c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8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1011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8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1024</v>
      </c>
      <c r="L88" s="17">
        <f t="shared" si="8"/>
        <v>18</v>
      </c>
      <c r="M88" s="17">
        <f t="shared" si="9"/>
        <v>10</v>
      </c>
      <c r="N88" s="18">
        <f t="shared" si="10"/>
        <v>0.6428571428571429</v>
      </c>
      <c r="O88" s="27" t="s">
        <v>939</v>
      </c>
      <c r="P88" s="8" t="s">
        <v>939</v>
      </c>
      <c r="Q88" s="8" t="s">
        <v>939</v>
      </c>
      <c r="R88" s="8" t="s">
        <v>939</v>
      </c>
      <c r="S88" s="27" t="s">
        <v>939</v>
      </c>
      <c r="T88" s="27" t="s">
        <v>939</v>
      </c>
      <c r="U88" s="8" t="s">
        <v>939</v>
      </c>
      <c r="V88" s="8" t="s">
        <v>939</v>
      </c>
      <c r="W88" s="8" t="s">
        <v>939</v>
      </c>
      <c r="X88" s="27" t="s">
        <v>939</v>
      </c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1025</v>
      </c>
      <c r="L89" s="17">
        <f t="shared" si="8"/>
        <v>12</v>
      </c>
      <c r="M89" s="17">
        <f t="shared" si="9"/>
        <v>16</v>
      </c>
      <c r="N89" s="18">
        <f t="shared" si="10"/>
        <v>0.42857142857142855</v>
      </c>
      <c r="O89" s="27"/>
      <c r="P89" s="8" t="s">
        <v>939</v>
      </c>
      <c r="Q89" s="8" t="s">
        <v>939</v>
      </c>
      <c r="R89" s="8" t="s">
        <v>939</v>
      </c>
      <c r="S89" s="27" t="s">
        <v>939</v>
      </c>
      <c r="T89" s="27" t="s">
        <v>939</v>
      </c>
      <c r="U89" s="8" t="s">
        <v>939</v>
      </c>
      <c r="V89" s="8" t="s">
        <v>939</v>
      </c>
      <c r="W89" s="8" t="s">
        <v>939</v>
      </c>
      <c r="X89" s="27" t="s">
        <v>939</v>
      </c>
      <c r="Y89" s="27"/>
      <c r="Z89" s="27"/>
      <c r="AA89" s="27"/>
      <c r="AB89" s="27"/>
      <c r="AC89" s="27" t="s">
        <v>939</v>
      </c>
      <c r="AD89" s="27" t="s">
        <v>939</v>
      </c>
      <c r="AE89" s="27" t="s">
        <v>939</v>
      </c>
      <c r="AF89" s="27" t="s">
        <v>939</v>
      </c>
      <c r="AG89" s="27" t="s">
        <v>939</v>
      </c>
      <c r="AH89" s="27" t="s">
        <v>939</v>
      </c>
      <c r="AI89" s="27" t="s">
        <v>939</v>
      </c>
      <c r="AJ89" s="8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1026</v>
      </c>
      <c r="L90" s="17">
        <f t="shared" si="8"/>
        <v>11</v>
      </c>
      <c r="M90" s="17">
        <f t="shared" si="9"/>
        <v>17</v>
      </c>
      <c r="N90" s="18">
        <f t="shared" si="10"/>
        <v>0.39285714285714285</v>
      </c>
      <c r="O90" s="27" t="s">
        <v>939</v>
      </c>
      <c r="P90" s="8" t="s">
        <v>939</v>
      </c>
      <c r="Q90" s="8" t="s">
        <v>939</v>
      </c>
      <c r="R90" s="8" t="s">
        <v>939</v>
      </c>
      <c r="S90" s="27" t="s">
        <v>939</v>
      </c>
      <c r="T90" s="27" t="s">
        <v>939</v>
      </c>
      <c r="U90" s="8" t="s">
        <v>939</v>
      </c>
      <c r="V90" s="8" t="s">
        <v>939</v>
      </c>
      <c r="W90" s="8" t="s">
        <v>939</v>
      </c>
      <c r="X90" s="27" t="s">
        <v>939</v>
      </c>
      <c r="Y90" s="27"/>
      <c r="Z90" s="27"/>
      <c r="AA90" s="27"/>
      <c r="AB90" s="27"/>
      <c r="AC90" s="27" t="s">
        <v>939</v>
      </c>
      <c r="AD90" s="27" t="s">
        <v>939</v>
      </c>
      <c r="AE90" s="27" t="s">
        <v>939</v>
      </c>
      <c r="AF90" s="27" t="s">
        <v>939</v>
      </c>
      <c r="AG90" s="27" t="s">
        <v>939</v>
      </c>
      <c r="AH90" s="27" t="s">
        <v>939</v>
      </c>
      <c r="AI90" s="27" t="s">
        <v>939</v>
      </c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1030</v>
      </c>
      <c r="L91" s="17">
        <f t="shared" si="8"/>
        <v>7</v>
      </c>
      <c r="M91" s="17">
        <f t="shared" si="9"/>
        <v>21</v>
      </c>
      <c r="N91" s="18">
        <f t="shared" si="10"/>
        <v>0.25</v>
      </c>
      <c r="O91" s="27" t="s">
        <v>939</v>
      </c>
      <c r="P91" s="8" t="s">
        <v>939</v>
      </c>
      <c r="Q91" s="8" t="s">
        <v>939</v>
      </c>
      <c r="R91" s="8" t="s">
        <v>939</v>
      </c>
      <c r="S91" s="27" t="s">
        <v>939</v>
      </c>
      <c r="T91" s="27" t="s">
        <v>939</v>
      </c>
      <c r="U91" s="8" t="s">
        <v>939</v>
      </c>
      <c r="V91" s="8" t="s">
        <v>939</v>
      </c>
      <c r="W91" s="8" t="s">
        <v>939</v>
      </c>
      <c r="X91" s="27" t="s">
        <v>939</v>
      </c>
      <c r="Y91" s="27" t="s">
        <v>939</v>
      </c>
      <c r="Z91" s="27" t="s">
        <v>939</v>
      </c>
      <c r="AA91" s="27" t="s">
        <v>939</v>
      </c>
      <c r="AB91" s="27" t="s">
        <v>939</v>
      </c>
      <c r="AC91" s="27" t="s">
        <v>939</v>
      </c>
      <c r="AD91" s="27" t="s">
        <v>939</v>
      </c>
      <c r="AE91" s="27" t="s">
        <v>939</v>
      </c>
      <c r="AF91" s="27" t="s">
        <v>939</v>
      </c>
      <c r="AG91" s="27" t="s">
        <v>939</v>
      </c>
      <c r="AH91" s="27" t="s">
        <v>939</v>
      </c>
      <c r="AI91" s="27" t="s">
        <v>939</v>
      </c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1031</v>
      </c>
      <c r="L92" s="17">
        <f t="shared" si="8"/>
        <v>7</v>
      </c>
      <c r="M92" s="17">
        <f t="shared" si="9"/>
        <v>21</v>
      </c>
      <c r="N92" s="18">
        <f t="shared" si="10"/>
        <v>0.25</v>
      </c>
      <c r="O92" s="27" t="s">
        <v>939</v>
      </c>
      <c r="P92" s="8" t="s">
        <v>939</v>
      </c>
      <c r="Q92" s="8" t="s">
        <v>939</v>
      </c>
      <c r="R92" s="8" t="s">
        <v>939</v>
      </c>
      <c r="S92" s="27" t="s">
        <v>939</v>
      </c>
      <c r="T92" s="27" t="s">
        <v>939</v>
      </c>
      <c r="U92" s="8" t="s">
        <v>939</v>
      </c>
      <c r="V92" s="8" t="s">
        <v>939</v>
      </c>
      <c r="W92" s="8" t="s">
        <v>939</v>
      </c>
      <c r="X92" s="27" t="s">
        <v>939</v>
      </c>
      <c r="Y92" s="27" t="s">
        <v>939</v>
      </c>
      <c r="Z92" s="27" t="s">
        <v>939</v>
      </c>
      <c r="AA92" s="27" t="s">
        <v>939</v>
      </c>
      <c r="AB92" s="27" t="s">
        <v>939</v>
      </c>
      <c r="AC92" s="27" t="s">
        <v>939</v>
      </c>
      <c r="AD92" s="27" t="s">
        <v>939</v>
      </c>
      <c r="AE92" s="27" t="s">
        <v>939</v>
      </c>
      <c r="AF92" s="27" t="s">
        <v>939</v>
      </c>
      <c r="AG92" s="27" t="s">
        <v>939</v>
      </c>
      <c r="AH92" s="27" t="s">
        <v>939</v>
      </c>
      <c r="AI92" s="27" t="s">
        <v>939</v>
      </c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1032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8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1036</v>
      </c>
      <c r="L94" s="17">
        <f t="shared" si="8"/>
        <v>27</v>
      </c>
      <c r="M94" s="17">
        <f t="shared" si="9"/>
        <v>1</v>
      </c>
      <c r="N94" s="18">
        <f t="shared" si="10"/>
        <v>0.9642857142857143</v>
      </c>
      <c r="O94" s="27"/>
      <c r="P94" s="8"/>
      <c r="Q94" s="8"/>
      <c r="R94" s="8"/>
      <c r="S94" s="27"/>
      <c r="T94" s="27"/>
      <c r="U94" s="8"/>
      <c r="V94" s="8"/>
      <c r="W94" s="8" t="s">
        <v>939</v>
      </c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8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1037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8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1038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8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1039</v>
      </c>
      <c r="L97" s="17">
        <f t="shared" si="8"/>
        <v>26</v>
      </c>
      <c r="M97" s="17">
        <f t="shared" si="9"/>
        <v>2</v>
      </c>
      <c r="N97" s="18">
        <f t="shared" si="10"/>
        <v>0.9285714285714286</v>
      </c>
      <c r="O97" s="27"/>
      <c r="P97" s="8"/>
      <c r="Q97" s="8"/>
      <c r="R97" s="8"/>
      <c r="S97" s="27"/>
      <c r="T97" s="27"/>
      <c r="U97" s="8" t="s">
        <v>939</v>
      </c>
      <c r="V97" s="8" t="s">
        <v>939</v>
      </c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8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1040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8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1041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8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1042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8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1043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8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1044</v>
      </c>
      <c r="L102" s="17">
        <f t="shared" si="8"/>
        <v>26</v>
      </c>
      <c r="M102" s="17">
        <f t="shared" si="9"/>
        <v>2</v>
      </c>
      <c r="N102" s="18">
        <f t="shared" si="10"/>
        <v>0.9285714285714286</v>
      </c>
      <c r="O102" s="27"/>
      <c r="P102" s="8"/>
      <c r="Q102" s="8"/>
      <c r="R102" s="8"/>
      <c r="S102" s="27"/>
      <c r="T102" s="27"/>
      <c r="U102" s="8" t="s">
        <v>939</v>
      </c>
      <c r="V102" s="8"/>
      <c r="W102" s="8"/>
      <c r="X102" s="27"/>
      <c r="Y102" s="27"/>
      <c r="Z102" s="27" t="s">
        <v>939</v>
      </c>
      <c r="AA102" s="27"/>
      <c r="AB102" s="27"/>
      <c r="AC102" s="27"/>
      <c r="AD102" s="27"/>
      <c r="AE102" s="27"/>
      <c r="AF102" s="27"/>
      <c r="AG102" s="27"/>
      <c r="AH102" s="27"/>
      <c r="AI102" s="27"/>
      <c r="AJ102" s="8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1045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8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945</v>
      </c>
      <c r="G104"/>
      <c r="H104" t="s">
        <v>286</v>
      </c>
      <c r="I104" s="16">
        <v>-347971580000</v>
      </c>
      <c r="J104" s="16">
        <v>-583070820000</v>
      </c>
      <c r="K104" s="16" t="s">
        <v>1046</v>
      </c>
      <c r="L104" s="17">
        <f t="shared" si="8"/>
        <v>17</v>
      </c>
      <c r="M104" s="17">
        <f t="shared" si="9"/>
        <v>11</v>
      </c>
      <c r="N104" s="18">
        <f t="shared" si="10"/>
        <v>0.6071428571428571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 t="s">
        <v>939</v>
      </c>
      <c r="Z104" s="27" t="s">
        <v>939</v>
      </c>
      <c r="AA104" s="27" t="s">
        <v>939</v>
      </c>
      <c r="AB104" s="27" t="s">
        <v>939</v>
      </c>
      <c r="AC104" s="27" t="s">
        <v>939</v>
      </c>
      <c r="AD104" s="27" t="s">
        <v>939</v>
      </c>
      <c r="AE104" s="27" t="s">
        <v>939</v>
      </c>
      <c r="AF104" s="27" t="s">
        <v>939</v>
      </c>
      <c r="AG104" s="27" t="s">
        <v>939</v>
      </c>
      <c r="AH104" s="27" t="s">
        <v>939</v>
      </c>
      <c r="AI104" s="27" t="s">
        <v>939</v>
      </c>
      <c r="AJ104" s="8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945</v>
      </c>
      <c r="G105"/>
      <c r="H105" t="s">
        <v>288</v>
      </c>
      <c r="I105" s="16">
        <v>-347971580000</v>
      </c>
      <c r="J105" s="16">
        <v>-583070820000</v>
      </c>
      <c r="K105" s="16" t="s">
        <v>1047</v>
      </c>
      <c r="L105" s="17">
        <f t="shared" si="8"/>
        <v>17</v>
      </c>
      <c r="M105" s="17">
        <f t="shared" si="9"/>
        <v>11</v>
      </c>
      <c r="N105" s="18">
        <f t="shared" si="10"/>
        <v>0.6071428571428571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 t="s">
        <v>939</v>
      </c>
      <c r="Z105" s="27" t="s">
        <v>939</v>
      </c>
      <c r="AA105" s="27" t="s">
        <v>939</v>
      </c>
      <c r="AB105" s="27" t="s">
        <v>939</v>
      </c>
      <c r="AC105" s="27" t="s">
        <v>939</v>
      </c>
      <c r="AD105" s="27" t="s">
        <v>939</v>
      </c>
      <c r="AE105" s="27" t="s">
        <v>939</v>
      </c>
      <c r="AF105" s="27" t="s">
        <v>939</v>
      </c>
      <c r="AG105" s="27" t="s">
        <v>939</v>
      </c>
      <c r="AH105" s="27" t="s">
        <v>939</v>
      </c>
      <c r="AI105" s="27" t="s">
        <v>939</v>
      </c>
      <c r="AJ105" s="8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1048</v>
      </c>
      <c r="L106" s="17">
        <f t="shared" si="8"/>
        <v>23</v>
      </c>
      <c r="M106" s="17">
        <f t="shared" si="9"/>
        <v>5</v>
      </c>
      <c r="N106" s="18">
        <f t="shared" si="10"/>
        <v>0.8214285714285714</v>
      </c>
      <c r="O106" s="27"/>
      <c r="P106" s="8" t="s">
        <v>939</v>
      </c>
      <c r="Q106" s="8" t="s">
        <v>939</v>
      </c>
      <c r="R106" s="8"/>
      <c r="S106" s="27"/>
      <c r="T106" s="27"/>
      <c r="U106" s="8"/>
      <c r="V106" s="8"/>
      <c r="W106" s="8"/>
      <c r="X106" s="27" t="s">
        <v>939</v>
      </c>
      <c r="Y106" s="27"/>
      <c r="Z106" s="27"/>
      <c r="AA106" s="27"/>
      <c r="AB106" s="27" t="s">
        <v>939</v>
      </c>
      <c r="AC106" s="27"/>
      <c r="AD106" s="27" t="s">
        <v>939</v>
      </c>
      <c r="AE106" s="27"/>
      <c r="AF106" s="27"/>
      <c r="AG106" s="27"/>
      <c r="AH106" s="27"/>
      <c r="AI106" s="27"/>
      <c r="AJ106" s="8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1049</v>
      </c>
      <c r="L107" s="17">
        <f t="shared" si="8"/>
        <v>23</v>
      </c>
      <c r="M107" s="17">
        <f t="shared" si="9"/>
        <v>5</v>
      </c>
      <c r="N107" s="18">
        <f t="shared" si="10"/>
        <v>0.8214285714285714</v>
      </c>
      <c r="O107" s="27"/>
      <c r="P107" s="8" t="s">
        <v>939</v>
      </c>
      <c r="Q107" s="8" t="s">
        <v>939</v>
      </c>
      <c r="R107" s="8"/>
      <c r="S107" s="27"/>
      <c r="T107" s="27"/>
      <c r="U107" s="8"/>
      <c r="V107" s="8"/>
      <c r="W107" s="8"/>
      <c r="X107" s="27" t="s">
        <v>939</v>
      </c>
      <c r="Y107" s="27"/>
      <c r="Z107" s="27"/>
      <c r="AA107" s="27"/>
      <c r="AB107" s="27" t="s">
        <v>939</v>
      </c>
      <c r="AC107" s="27"/>
      <c r="AD107" s="27" t="s">
        <v>939</v>
      </c>
      <c r="AE107" s="27"/>
      <c r="AF107" s="27"/>
      <c r="AG107" s="27"/>
      <c r="AH107" s="27"/>
      <c r="AI107" s="27"/>
      <c r="AJ107" s="8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1050</v>
      </c>
      <c r="L108" s="17">
        <f t="shared" si="8"/>
        <v>23</v>
      </c>
      <c r="M108" s="17">
        <f t="shared" si="9"/>
        <v>5</v>
      </c>
      <c r="N108" s="18">
        <f t="shared" si="10"/>
        <v>0.8214285714285714</v>
      </c>
      <c r="O108" s="27"/>
      <c r="P108" s="8" t="s">
        <v>939</v>
      </c>
      <c r="Q108" s="8" t="s">
        <v>939</v>
      </c>
      <c r="R108" s="8"/>
      <c r="S108" s="27"/>
      <c r="T108" s="27"/>
      <c r="U108" s="8"/>
      <c r="V108" s="8"/>
      <c r="W108" s="8"/>
      <c r="X108" s="27" t="s">
        <v>939</v>
      </c>
      <c r="Y108" s="27"/>
      <c r="Z108" s="27"/>
      <c r="AA108" s="27"/>
      <c r="AB108" s="27" t="s">
        <v>939</v>
      </c>
      <c r="AC108" s="27"/>
      <c r="AD108" s="27" t="s">
        <v>939</v>
      </c>
      <c r="AE108" s="27"/>
      <c r="AF108" s="27"/>
      <c r="AG108" s="27"/>
      <c r="AH108" s="27"/>
      <c r="AI108" s="27"/>
      <c r="AJ108" s="8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1051</v>
      </c>
      <c r="L109" s="17">
        <f t="shared" si="8"/>
        <v>23</v>
      </c>
      <c r="M109" s="17">
        <f t="shared" si="9"/>
        <v>5</v>
      </c>
      <c r="N109" s="18">
        <f t="shared" si="10"/>
        <v>0.8214285714285714</v>
      </c>
      <c r="O109" s="27"/>
      <c r="P109" s="8" t="s">
        <v>939</v>
      </c>
      <c r="Q109" s="8" t="s">
        <v>939</v>
      </c>
      <c r="R109" s="8"/>
      <c r="S109" s="27"/>
      <c r="T109" s="27"/>
      <c r="U109" s="8"/>
      <c r="V109" s="8"/>
      <c r="W109" s="8"/>
      <c r="X109" s="27" t="s">
        <v>939</v>
      </c>
      <c r="Y109" s="27"/>
      <c r="Z109" s="27"/>
      <c r="AA109" s="27"/>
      <c r="AB109" s="27" t="s">
        <v>939</v>
      </c>
      <c r="AC109" s="27"/>
      <c r="AD109" s="27" t="s">
        <v>939</v>
      </c>
      <c r="AE109" s="27"/>
      <c r="AF109" s="27"/>
      <c r="AG109" s="27"/>
      <c r="AH109" s="27"/>
      <c r="AI109" s="27"/>
      <c r="AJ109" s="8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945</v>
      </c>
      <c r="G110"/>
      <c r="H110" t="s">
        <v>304</v>
      </c>
      <c r="I110" s="16">
        <v>-348185740000</v>
      </c>
      <c r="J110" s="16">
        <v>-582866380000</v>
      </c>
      <c r="K110" s="16" t="s">
        <v>1058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8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1059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8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1052</v>
      </c>
      <c r="L112" s="17">
        <f t="shared" si="8"/>
        <v>25</v>
      </c>
      <c r="M112" s="17">
        <f t="shared" si="9"/>
        <v>3</v>
      </c>
      <c r="N112" s="18">
        <f t="shared" si="10"/>
        <v>0.8928571428571429</v>
      </c>
      <c r="O112" s="27"/>
      <c r="P112" s="8"/>
      <c r="Q112" s="8"/>
      <c r="R112" s="8"/>
      <c r="S112" s="27" t="s">
        <v>939</v>
      </c>
      <c r="T112" s="27"/>
      <c r="U112" s="8"/>
      <c r="V112" s="8"/>
      <c r="W112" s="8" t="s">
        <v>939</v>
      </c>
      <c r="X112" s="27"/>
      <c r="Y112" s="27"/>
      <c r="Z112" s="27"/>
      <c r="AA112" s="27"/>
      <c r="AB112" s="27"/>
      <c r="AC112" s="27"/>
      <c r="AD112" s="27"/>
      <c r="AE112" s="27"/>
      <c r="AF112" s="27"/>
      <c r="AG112" s="27" t="s">
        <v>939</v>
      </c>
      <c r="AH112" s="27"/>
      <c r="AI112" s="27"/>
      <c r="AJ112" s="8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945</v>
      </c>
      <c r="G113" t="s">
        <v>151</v>
      </c>
      <c r="H113"/>
      <c r="I113" s="16">
        <v>-348125000000</v>
      </c>
      <c r="J113" s="16">
        <v>-582916650000</v>
      </c>
      <c r="K113" s="16" t="s">
        <v>1053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8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945</v>
      </c>
      <c r="G114" t="s">
        <v>316</v>
      </c>
      <c r="H114"/>
      <c r="I114" s="16">
        <v>-348215020000</v>
      </c>
      <c r="J114" s="16">
        <v>-582844880000</v>
      </c>
      <c r="K114" s="16" t="s">
        <v>1054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8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1055</v>
      </c>
      <c r="L115" s="17">
        <f t="shared" si="8"/>
        <v>12</v>
      </c>
      <c r="M115" s="17">
        <f t="shared" si="9"/>
        <v>16</v>
      </c>
      <c r="N115" s="18">
        <f t="shared" si="10"/>
        <v>0.42857142857142855</v>
      </c>
      <c r="O115" s="27" t="s">
        <v>939</v>
      </c>
      <c r="P115" s="8" t="s">
        <v>939</v>
      </c>
      <c r="Q115" s="8" t="s">
        <v>939</v>
      </c>
      <c r="R115" s="8" t="s">
        <v>939</v>
      </c>
      <c r="S115" s="27" t="s">
        <v>939</v>
      </c>
      <c r="T115" s="27" t="s">
        <v>939</v>
      </c>
      <c r="U115" s="8" t="s">
        <v>939</v>
      </c>
      <c r="V115" s="8" t="s">
        <v>939</v>
      </c>
      <c r="W115" s="8" t="s">
        <v>939</v>
      </c>
      <c r="X115" s="27" t="s">
        <v>939</v>
      </c>
      <c r="Y115" s="27"/>
      <c r="Z115" s="27"/>
      <c r="AA115" s="27"/>
      <c r="AB115" s="27"/>
      <c r="AC115" s="27"/>
      <c r="AD115" s="27" t="s">
        <v>939</v>
      </c>
      <c r="AE115" s="27" t="s">
        <v>939</v>
      </c>
      <c r="AF115" s="27" t="s">
        <v>939</v>
      </c>
      <c r="AG115" s="27" t="s">
        <v>939</v>
      </c>
      <c r="AH115" s="27" t="s">
        <v>939</v>
      </c>
      <c r="AI115" s="27" t="s">
        <v>939</v>
      </c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1056</v>
      </c>
      <c r="L116" s="17">
        <f t="shared" si="8"/>
        <v>12</v>
      </c>
      <c r="M116" s="17">
        <f t="shared" si="9"/>
        <v>16</v>
      </c>
      <c r="N116" s="18">
        <f t="shared" si="10"/>
        <v>0.42857142857142855</v>
      </c>
      <c r="O116" s="27" t="s">
        <v>939</v>
      </c>
      <c r="P116" s="8" t="s">
        <v>939</v>
      </c>
      <c r="Q116" s="8" t="s">
        <v>939</v>
      </c>
      <c r="R116" s="8" t="s">
        <v>939</v>
      </c>
      <c r="S116" s="27" t="s">
        <v>939</v>
      </c>
      <c r="T116" s="27" t="s">
        <v>939</v>
      </c>
      <c r="U116" s="8" t="s">
        <v>939</v>
      </c>
      <c r="V116" s="8" t="s">
        <v>939</v>
      </c>
      <c r="W116" s="8" t="s">
        <v>939</v>
      </c>
      <c r="X116" s="27" t="s">
        <v>939</v>
      </c>
      <c r="Y116" s="27"/>
      <c r="Z116" s="27"/>
      <c r="AA116" s="27"/>
      <c r="AB116" s="27"/>
      <c r="AC116" s="27"/>
      <c r="AD116" s="27" t="s">
        <v>939</v>
      </c>
      <c r="AE116" s="27" t="s">
        <v>939</v>
      </c>
      <c r="AF116" s="27" t="s">
        <v>939</v>
      </c>
      <c r="AG116" s="27" t="s">
        <v>939</v>
      </c>
      <c r="AH116" s="27" t="s">
        <v>939</v>
      </c>
      <c r="AI116" s="27" t="s">
        <v>939</v>
      </c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1057</v>
      </c>
      <c r="L117" s="17">
        <f t="shared" si="8"/>
        <v>27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 t="s">
        <v>940</v>
      </c>
      <c r="AJ117" s="8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1060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8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1061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8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1028</v>
      </c>
      <c r="L120" s="17">
        <f t="shared" si="8"/>
        <v>14</v>
      </c>
      <c r="M120" s="17">
        <f t="shared" si="9"/>
        <v>14</v>
      </c>
      <c r="N120" s="18">
        <f t="shared" si="10"/>
        <v>0.5</v>
      </c>
      <c r="O120" s="27" t="s">
        <v>939</v>
      </c>
      <c r="P120" s="8" t="s">
        <v>939</v>
      </c>
      <c r="Q120" s="8" t="s">
        <v>939</v>
      </c>
      <c r="R120" s="8" t="s">
        <v>939</v>
      </c>
      <c r="S120" s="27" t="s">
        <v>939</v>
      </c>
      <c r="T120" s="27" t="s">
        <v>939</v>
      </c>
      <c r="U120" s="8" t="s">
        <v>939</v>
      </c>
      <c r="V120" s="8" t="s">
        <v>939</v>
      </c>
      <c r="W120" s="8" t="s">
        <v>939</v>
      </c>
      <c r="X120" s="27" t="s">
        <v>939</v>
      </c>
      <c r="Y120" s="27" t="s">
        <v>939</v>
      </c>
      <c r="Z120" s="27" t="s">
        <v>939</v>
      </c>
      <c r="AA120" s="27" t="s">
        <v>939</v>
      </c>
      <c r="AB120" s="27" t="s">
        <v>939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1029</v>
      </c>
      <c r="L121" s="17">
        <f t="shared" si="8"/>
        <v>14</v>
      </c>
      <c r="M121" s="17">
        <f t="shared" si="9"/>
        <v>14</v>
      </c>
      <c r="N121" s="18">
        <f t="shared" si="10"/>
        <v>0.5</v>
      </c>
      <c r="O121" s="27" t="s">
        <v>939</v>
      </c>
      <c r="P121" s="8" t="s">
        <v>939</v>
      </c>
      <c r="Q121" s="8" t="s">
        <v>939</v>
      </c>
      <c r="R121" s="8" t="s">
        <v>939</v>
      </c>
      <c r="S121" s="27" t="s">
        <v>939</v>
      </c>
      <c r="T121" s="27" t="s">
        <v>939</v>
      </c>
      <c r="U121" s="8" t="s">
        <v>939</v>
      </c>
      <c r="V121" s="8" t="s">
        <v>939</v>
      </c>
      <c r="W121" s="8" t="s">
        <v>939</v>
      </c>
      <c r="X121" s="27" t="s">
        <v>939</v>
      </c>
      <c r="Y121" s="27" t="s">
        <v>939</v>
      </c>
      <c r="Z121" s="27" t="s">
        <v>939</v>
      </c>
      <c r="AA121" s="27" t="s">
        <v>939</v>
      </c>
      <c r="AB121" s="27" t="s">
        <v>939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1063</v>
      </c>
      <c r="L122" s="17">
        <f t="shared" si="8"/>
        <v>22</v>
      </c>
      <c r="M122" s="17">
        <f t="shared" si="9"/>
        <v>6</v>
      </c>
      <c r="N122" s="18">
        <f t="shared" si="10"/>
        <v>0.7857142857142857</v>
      </c>
      <c r="O122" s="27"/>
      <c r="P122" s="8" t="s">
        <v>939</v>
      </c>
      <c r="Q122" s="8" t="s">
        <v>939</v>
      </c>
      <c r="R122" s="8"/>
      <c r="S122" s="27"/>
      <c r="T122" s="27"/>
      <c r="U122" s="8" t="s">
        <v>939</v>
      </c>
      <c r="V122" s="8"/>
      <c r="W122" s="8"/>
      <c r="X122" s="27" t="s">
        <v>939</v>
      </c>
      <c r="Y122" s="27"/>
      <c r="Z122" s="27"/>
      <c r="AA122" s="27"/>
      <c r="AB122" s="27" t="s">
        <v>939</v>
      </c>
      <c r="AC122" s="27"/>
      <c r="AD122" s="27" t="s">
        <v>939</v>
      </c>
      <c r="AE122" s="27"/>
      <c r="AF122" s="27"/>
      <c r="AG122" s="27"/>
      <c r="AH122" s="27"/>
      <c r="AI122" s="27"/>
      <c r="AJ122" s="8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1064</v>
      </c>
      <c r="L123" s="17">
        <f t="shared" si="8"/>
        <v>22</v>
      </c>
      <c r="M123" s="17">
        <f t="shared" si="9"/>
        <v>6</v>
      </c>
      <c r="N123" s="18">
        <f t="shared" si="10"/>
        <v>0.7857142857142857</v>
      </c>
      <c r="O123" s="27"/>
      <c r="P123" s="8" t="s">
        <v>939</v>
      </c>
      <c r="Q123" s="8" t="s">
        <v>939</v>
      </c>
      <c r="R123" s="8"/>
      <c r="S123" s="27"/>
      <c r="T123" s="27"/>
      <c r="U123" s="8" t="s">
        <v>939</v>
      </c>
      <c r="V123" s="8"/>
      <c r="W123" s="8"/>
      <c r="X123" s="27" t="s">
        <v>939</v>
      </c>
      <c r="Y123" s="27"/>
      <c r="Z123" s="27"/>
      <c r="AA123" s="27"/>
      <c r="AB123" s="27" t="s">
        <v>939</v>
      </c>
      <c r="AC123" s="27"/>
      <c r="AD123" s="27" t="s">
        <v>939</v>
      </c>
      <c r="AE123" s="27"/>
      <c r="AF123" s="27"/>
      <c r="AG123" s="27"/>
      <c r="AH123" s="27"/>
      <c r="AI123" s="27"/>
      <c r="AJ123" s="8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1065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8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1072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8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1073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8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1074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8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1075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8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945</v>
      </c>
      <c r="G129"/>
      <c r="H129" t="s">
        <v>297</v>
      </c>
      <c r="I129" s="16">
        <v>-348034360000</v>
      </c>
      <c r="J129" s="16">
        <v>-583009630000</v>
      </c>
      <c r="K129" s="16" t="s">
        <v>1077</v>
      </c>
      <c r="L129" s="17">
        <f t="shared" si="8"/>
        <v>16</v>
      </c>
      <c r="M129" s="17">
        <f t="shared" si="9"/>
        <v>12</v>
      </c>
      <c r="N129" s="18">
        <f t="shared" si="10"/>
        <v>0.5714285714285714</v>
      </c>
      <c r="O129" s="27"/>
      <c r="P129" s="8"/>
      <c r="Q129" s="8"/>
      <c r="R129" s="8"/>
      <c r="S129" s="27" t="s">
        <v>939</v>
      </c>
      <c r="T129" s="27"/>
      <c r="U129" s="8"/>
      <c r="V129" s="8"/>
      <c r="W129" s="8"/>
      <c r="X129" s="27"/>
      <c r="Y129" s="27" t="s">
        <v>939</v>
      </c>
      <c r="Z129" s="27" t="s">
        <v>939</v>
      </c>
      <c r="AA129" s="27" t="s">
        <v>939</v>
      </c>
      <c r="AB129" s="27" t="s">
        <v>939</v>
      </c>
      <c r="AC129" s="27" t="s">
        <v>939</v>
      </c>
      <c r="AD129" s="27" t="s">
        <v>939</v>
      </c>
      <c r="AE129" s="27" t="s">
        <v>939</v>
      </c>
      <c r="AF129" s="27" t="s">
        <v>939</v>
      </c>
      <c r="AG129" s="27" t="s">
        <v>939</v>
      </c>
      <c r="AH129" s="27" t="s">
        <v>939</v>
      </c>
      <c r="AI129" s="27" t="s">
        <v>939</v>
      </c>
      <c r="AJ129" s="8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945</v>
      </c>
      <c r="G130"/>
      <c r="H130" t="s">
        <v>297</v>
      </c>
      <c r="I130" s="16">
        <v>-348034540000</v>
      </c>
      <c r="J130" s="16">
        <v>-583010170000</v>
      </c>
      <c r="K130" s="16" t="s">
        <v>1078</v>
      </c>
      <c r="L130" s="17">
        <f t="shared" si="8"/>
        <v>17</v>
      </c>
      <c r="M130" s="17">
        <f t="shared" si="9"/>
        <v>11</v>
      </c>
      <c r="N130" s="18">
        <f t="shared" si="10"/>
        <v>0.6071428571428571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 t="s">
        <v>939</v>
      </c>
      <c r="Z130" s="27" t="s">
        <v>939</v>
      </c>
      <c r="AA130" s="27" t="s">
        <v>939</v>
      </c>
      <c r="AB130" s="27" t="s">
        <v>939</v>
      </c>
      <c r="AC130" s="27" t="s">
        <v>939</v>
      </c>
      <c r="AD130" s="27" t="s">
        <v>939</v>
      </c>
      <c r="AE130" s="27" t="s">
        <v>939</v>
      </c>
      <c r="AF130" s="27" t="s">
        <v>939</v>
      </c>
      <c r="AG130" s="27" t="s">
        <v>939</v>
      </c>
      <c r="AH130" s="27" t="s">
        <v>939</v>
      </c>
      <c r="AI130" s="27" t="s">
        <v>939</v>
      </c>
      <c r="AJ130" s="8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1066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8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1067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8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1068</v>
      </c>
      <c r="L133" s="17">
        <f t="shared" ref="L133:L196" si="11">COUNTIF(O133:AP133,"")</f>
        <v>7</v>
      </c>
      <c r="M133" s="17">
        <f t="shared" ref="M133:M196" si="12">COUNTIF(O133:AP133,"APAGADO")</f>
        <v>21</v>
      </c>
      <c r="N133" s="18">
        <f t="shared" ref="N133:N196" si="13">(L133)/(M133+L133)</f>
        <v>0.25</v>
      </c>
      <c r="O133" s="27" t="s">
        <v>939</v>
      </c>
      <c r="P133" s="8" t="s">
        <v>939</v>
      </c>
      <c r="Q133" s="8" t="s">
        <v>939</v>
      </c>
      <c r="R133" s="8" t="s">
        <v>939</v>
      </c>
      <c r="S133" s="27" t="s">
        <v>939</v>
      </c>
      <c r="T133" s="27" t="s">
        <v>939</v>
      </c>
      <c r="U133" s="8" t="s">
        <v>939</v>
      </c>
      <c r="V133" s="8" t="s">
        <v>939</v>
      </c>
      <c r="W133" s="8" t="s">
        <v>939</v>
      </c>
      <c r="X133" s="27" t="s">
        <v>939</v>
      </c>
      <c r="Y133" s="27" t="s">
        <v>939</v>
      </c>
      <c r="Z133" s="27" t="s">
        <v>939</v>
      </c>
      <c r="AA133" s="27" t="s">
        <v>939</v>
      </c>
      <c r="AB133" s="27" t="s">
        <v>939</v>
      </c>
      <c r="AC133" s="27" t="s">
        <v>939</v>
      </c>
      <c r="AD133" s="27" t="s">
        <v>939</v>
      </c>
      <c r="AE133" s="27" t="s">
        <v>939</v>
      </c>
      <c r="AF133" s="27" t="s">
        <v>939</v>
      </c>
      <c r="AG133" s="27" t="s">
        <v>939</v>
      </c>
      <c r="AH133" s="27" t="s">
        <v>939</v>
      </c>
      <c r="AI133" s="27" t="s">
        <v>939</v>
      </c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1069</v>
      </c>
      <c r="L134" s="17">
        <f t="shared" si="11"/>
        <v>27</v>
      </c>
      <c r="M134" s="17">
        <f t="shared" si="12"/>
        <v>1</v>
      </c>
      <c r="N134" s="18">
        <f t="shared" si="13"/>
        <v>0.9642857142857143</v>
      </c>
      <c r="O134" s="27"/>
      <c r="P134" s="8"/>
      <c r="Q134" s="8"/>
      <c r="R134" s="8"/>
      <c r="S134" s="27" t="s">
        <v>939</v>
      </c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8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1070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8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1071</v>
      </c>
      <c r="L136" s="17">
        <f t="shared" si="11"/>
        <v>27</v>
      </c>
      <c r="M136" s="17">
        <f t="shared" si="12"/>
        <v>1</v>
      </c>
      <c r="N136" s="18">
        <f t="shared" si="13"/>
        <v>0.9642857142857143</v>
      </c>
      <c r="O136" s="27" t="s">
        <v>939</v>
      </c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8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1076</v>
      </c>
      <c r="L137" s="17">
        <f t="shared" si="11"/>
        <v>24</v>
      </c>
      <c r="M137" s="17">
        <f t="shared" si="12"/>
        <v>4</v>
      </c>
      <c r="N137" s="18">
        <f t="shared" si="13"/>
        <v>0.8571428571428571</v>
      </c>
      <c r="O137" s="27" t="s">
        <v>939</v>
      </c>
      <c r="P137" s="8" t="s">
        <v>939</v>
      </c>
      <c r="Q137" s="8" t="s">
        <v>939</v>
      </c>
      <c r="R137" s="8" t="s">
        <v>939</v>
      </c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945</v>
      </c>
      <c r="G138"/>
      <c r="H138" t="s">
        <v>380</v>
      </c>
      <c r="I138" s="16">
        <v>-348053300000</v>
      </c>
      <c r="J138" s="16">
        <v>-583014930000</v>
      </c>
      <c r="K138" s="16" t="s">
        <v>1079</v>
      </c>
      <c r="L138" s="17">
        <f t="shared" si="11"/>
        <v>17</v>
      </c>
      <c r="M138" s="17">
        <f t="shared" si="12"/>
        <v>11</v>
      </c>
      <c r="N138" s="18">
        <f t="shared" si="13"/>
        <v>0.6071428571428571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 t="s">
        <v>939</v>
      </c>
      <c r="Z138" s="27" t="s">
        <v>939</v>
      </c>
      <c r="AA138" s="27" t="s">
        <v>939</v>
      </c>
      <c r="AB138" s="27" t="s">
        <v>939</v>
      </c>
      <c r="AC138" s="27" t="s">
        <v>939</v>
      </c>
      <c r="AD138" s="27" t="s">
        <v>939</v>
      </c>
      <c r="AE138" s="27" t="s">
        <v>939</v>
      </c>
      <c r="AF138" s="27" t="s">
        <v>939</v>
      </c>
      <c r="AG138" s="27" t="s">
        <v>939</v>
      </c>
      <c r="AH138" s="27" t="s">
        <v>939</v>
      </c>
      <c r="AI138" s="27" t="s">
        <v>939</v>
      </c>
      <c r="AJ138" s="8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945</v>
      </c>
      <c r="G139"/>
      <c r="H139" t="s">
        <v>382</v>
      </c>
      <c r="I139" s="16">
        <v>-348053300000</v>
      </c>
      <c r="J139" s="16">
        <v>-583014930000</v>
      </c>
      <c r="K139" s="16" t="s">
        <v>1080</v>
      </c>
      <c r="L139" s="17">
        <f t="shared" si="11"/>
        <v>17</v>
      </c>
      <c r="M139" s="17">
        <f t="shared" si="12"/>
        <v>11</v>
      </c>
      <c r="N139" s="18">
        <f t="shared" si="13"/>
        <v>0.6071428571428571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 t="s">
        <v>939</v>
      </c>
      <c r="Z139" s="27" t="s">
        <v>939</v>
      </c>
      <c r="AA139" s="27" t="s">
        <v>939</v>
      </c>
      <c r="AB139" s="27" t="s">
        <v>939</v>
      </c>
      <c r="AC139" s="27" t="s">
        <v>939</v>
      </c>
      <c r="AD139" s="27" t="s">
        <v>939</v>
      </c>
      <c r="AE139" s="27" t="s">
        <v>939</v>
      </c>
      <c r="AF139" s="27" t="s">
        <v>939</v>
      </c>
      <c r="AG139" s="27" t="s">
        <v>939</v>
      </c>
      <c r="AH139" s="27" t="s">
        <v>939</v>
      </c>
      <c r="AI139" s="27" t="s">
        <v>939</v>
      </c>
      <c r="AJ139" s="8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945</v>
      </c>
      <c r="G140"/>
      <c r="H140" t="s">
        <v>385</v>
      </c>
      <c r="I140" s="16">
        <v>-348051560000</v>
      </c>
      <c r="J140" s="16">
        <v>-583023560000</v>
      </c>
      <c r="K140" s="16" t="s">
        <v>1081</v>
      </c>
      <c r="L140" s="17">
        <f t="shared" si="11"/>
        <v>17</v>
      </c>
      <c r="M140" s="17">
        <f t="shared" si="12"/>
        <v>11</v>
      </c>
      <c r="N140" s="18">
        <f t="shared" si="13"/>
        <v>0.6071428571428571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 t="s">
        <v>939</v>
      </c>
      <c r="Z140" s="27" t="s">
        <v>939</v>
      </c>
      <c r="AA140" s="27" t="s">
        <v>939</v>
      </c>
      <c r="AB140" s="27" t="s">
        <v>939</v>
      </c>
      <c r="AC140" s="27" t="s">
        <v>939</v>
      </c>
      <c r="AD140" s="27" t="s">
        <v>939</v>
      </c>
      <c r="AE140" s="27" t="s">
        <v>939</v>
      </c>
      <c r="AF140" s="27" t="s">
        <v>939</v>
      </c>
      <c r="AG140" s="27" t="s">
        <v>939</v>
      </c>
      <c r="AH140" s="27" t="s">
        <v>939</v>
      </c>
      <c r="AI140" s="27" t="s">
        <v>939</v>
      </c>
      <c r="AJ140" s="8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945</v>
      </c>
      <c r="G141"/>
      <c r="H141" t="s">
        <v>385</v>
      </c>
      <c r="I141" s="16">
        <v>-348051560000</v>
      </c>
      <c r="J141" s="16">
        <v>-583023560000</v>
      </c>
      <c r="K141" s="16" t="s">
        <v>1082</v>
      </c>
      <c r="L141" s="17">
        <f t="shared" si="11"/>
        <v>16</v>
      </c>
      <c r="M141" s="17">
        <f t="shared" si="12"/>
        <v>12</v>
      </c>
      <c r="N141" s="18">
        <f t="shared" si="13"/>
        <v>0.5714285714285714</v>
      </c>
      <c r="O141" s="27"/>
      <c r="P141" s="8"/>
      <c r="Q141" s="8"/>
      <c r="R141" s="8"/>
      <c r="S141" s="27" t="s">
        <v>939</v>
      </c>
      <c r="T141" s="27"/>
      <c r="U141" s="8"/>
      <c r="V141" s="8"/>
      <c r="W141" s="8"/>
      <c r="X141" s="27"/>
      <c r="Y141" s="27" t="s">
        <v>939</v>
      </c>
      <c r="Z141" s="27" t="s">
        <v>939</v>
      </c>
      <c r="AA141" s="27" t="s">
        <v>939</v>
      </c>
      <c r="AB141" s="27" t="s">
        <v>939</v>
      </c>
      <c r="AC141" s="27" t="s">
        <v>939</v>
      </c>
      <c r="AD141" s="27" t="s">
        <v>939</v>
      </c>
      <c r="AE141" s="27" t="s">
        <v>939</v>
      </c>
      <c r="AF141" s="27" t="s">
        <v>939</v>
      </c>
      <c r="AG141" s="27" t="s">
        <v>939</v>
      </c>
      <c r="AH141" s="27" t="s">
        <v>939</v>
      </c>
      <c r="AI141" s="27" t="s">
        <v>939</v>
      </c>
      <c r="AJ141" s="8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945</v>
      </c>
      <c r="G142"/>
      <c r="H142" t="s">
        <v>389</v>
      </c>
      <c r="I142" s="16">
        <v>-347976230000</v>
      </c>
      <c r="J142" s="16">
        <v>-582821290000</v>
      </c>
      <c r="K142" s="16" t="s">
        <v>1083</v>
      </c>
      <c r="L142" s="17">
        <f t="shared" si="11"/>
        <v>26</v>
      </c>
      <c r="M142" s="17">
        <f t="shared" si="12"/>
        <v>2</v>
      </c>
      <c r="N142" s="18">
        <f t="shared" si="13"/>
        <v>0.9285714285714286</v>
      </c>
      <c r="O142" s="27"/>
      <c r="P142" s="8"/>
      <c r="Q142" s="8"/>
      <c r="R142" s="8"/>
      <c r="S142" s="27"/>
      <c r="T142" s="27"/>
      <c r="U142" s="8"/>
      <c r="V142" s="8"/>
      <c r="W142" s="8" t="s">
        <v>939</v>
      </c>
      <c r="X142" s="27"/>
      <c r="Y142" s="27"/>
      <c r="Z142" s="27"/>
      <c r="AA142" s="27"/>
      <c r="AB142" s="27"/>
      <c r="AC142" s="27"/>
      <c r="AD142" s="27"/>
      <c r="AE142" s="27"/>
      <c r="AF142" s="27"/>
      <c r="AG142" s="27" t="s">
        <v>939</v>
      </c>
      <c r="AH142" s="27"/>
      <c r="AI142" s="27"/>
      <c r="AJ142" s="8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945</v>
      </c>
      <c r="G143"/>
      <c r="H143" t="s">
        <v>389</v>
      </c>
      <c r="I143" s="16">
        <v>-347960180000</v>
      </c>
      <c r="J143" s="16">
        <v>-582861620000</v>
      </c>
      <c r="K143" s="16" t="s">
        <v>1084</v>
      </c>
      <c r="L143" s="17">
        <f t="shared" si="11"/>
        <v>27</v>
      </c>
      <c r="M143" s="17">
        <f t="shared" si="12"/>
        <v>1</v>
      </c>
      <c r="N143" s="18">
        <f t="shared" si="13"/>
        <v>0.9642857142857143</v>
      </c>
      <c r="O143" s="27"/>
      <c r="P143" s="8"/>
      <c r="Q143" s="8"/>
      <c r="R143" s="8"/>
      <c r="S143" s="27"/>
      <c r="T143" s="27"/>
      <c r="U143" s="8"/>
      <c r="V143" s="8"/>
      <c r="W143" s="8" t="s">
        <v>939</v>
      </c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8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945</v>
      </c>
      <c r="G144"/>
      <c r="H144" t="s">
        <v>389</v>
      </c>
      <c r="I144" s="16">
        <v>-347947670000</v>
      </c>
      <c r="J144" s="16">
        <v>-582871810000</v>
      </c>
      <c r="K144" s="16" t="s">
        <v>1085</v>
      </c>
      <c r="L144" s="17">
        <f t="shared" si="11"/>
        <v>26</v>
      </c>
      <c r="M144" s="17">
        <f t="shared" si="12"/>
        <v>2</v>
      </c>
      <c r="N144" s="18">
        <f t="shared" si="13"/>
        <v>0.9285714285714286</v>
      </c>
      <c r="O144" s="27"/>
      <c r="P144" s="8"/>
      <c r="Q144" s="8"/>
      <c r="R144" s="8"/>
      <c r="S144" s="27"/>
      <c r="T144" s="27"/>
      <c r="U144" s="8"/>
      <c r="V144" s="8" t="s">
        <v>939</v>
      </c>
      <c r="W144" s="8" t="s">
        <v>939</v>
      </c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8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" thickBot="1" x14ac:dyDescent="0.35">
      <c r="A145" t="s">
        <v>261</v>
      </c>
      <c r="C145" s="45" t="s">
        <v>394</v>
      </c>
      <c r="D145" t="s">
        <v>1322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1086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8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1087</v>
      </c>
      <c r="L146" s="17">
        <f t="shared" si="11"/>
        <v>25</v>
      </c>
      <c r="M146" s="17">
        <f t="shared" si="12"/>
        <v>3</v>
      </c>
      <c r="N146" s="18">
        <f t="shared" si="13"/>
        <v>0.8928571428571429</v>
      </c>
      <c r="O146" s="27"/>
      <c r="P146" s="8"/>
      <c r="Q146" s="8"/>
      <c r="R146" s="8" t="s">
        <v>939</v>
      </c>
      <c r="S146" s="27" t="s">
        <v>939</v>
      </c>
      <c r="T146" s="27" t="s">
        <v>939</v>
      </c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8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1088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8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1062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8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1089</v>
      </c>
      <c r="L149" s="17">
        <f t="shared" si="11"/>
        <v>26</v>
      </c>
      <c r="M149" s="17">
        <f t="shared" si="12"/>
        <v>2</v>
      </c>
      <c r="N149" s="18">
        <f t="shared" si="13"/>
        <v>0.9285714285714286</v>
      </c>
      <c r="O149" s="27" t="s">
        <v>939</v>
      </c>
      <c r="P149" s="8" t="s">
        <v>939</v>
      </c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1090</v>
      </c>
      <c r="L150" s="17">
        <f t="shared" si="11"/>
        <v>26</v>
      </c>
      <c r="M150" s="17">
        <f t="shared" si="12"/>
        <v>2</v>
      </c>
      <c r="N150" s="18">
        <f t="shared" si="13"/>
        <v>0.9285714285714286</v>
      </c>
      <c r="O150" s="27" t="s">
        <v>939</v>
      </c>
      <c r="P150" s="8" t="s">
        <v>939</v>
      </c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1091</v>
      </c>
      <c r="L151" s="17">
        <f t="shared" si="11"/>
        <v>26</v>
      </c>
      <c r="M151" s="17">
        <f t="shared" si="12"/>
        <v>2</v>
      </c>
      <c r="N151" s="18">
        <f t="shared" si="13"/>
        <v>0.9285714285714286</v>
      </c>
      <c r="O151" s="27" t="s">
        <v>939</v>
      </c>
      <c r="P151" s="8" t="s">
        <v>939</v>
      </c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1092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8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" thickBot="1" x14ac:dyDescent="0.35">
      <c r="A153" t="s">
        <v>412</v>
      </c>
      <c r="C153" s="45" t="s">
        <v>413</v>
      </c>
      <c r="D153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1093</v>
      </c>
      <c r="L153" s="17">
        <f t="shared" si="11"/>
        <v>14</v>
      </c>
      <c r="M153" s="17">
        <f t="shared" si="12"/>
        <v>14</v>
      </c>
      <c r="N153" s="18">
        <f t="shared" si="13"/>
        <v>0.5</v>
      </c>
      <c r="O153" s="27"/>
      <c r="P153" s="8"/>
      <c r="Q153" s="8"/>
      <c r="R153" s="8"/>
      <c r="S153" s="27"/>
      <c r="T153" s="27"/>
      <c r="U153" s="8"/>
      <c r="V153" s="8" t="s">
        <v>939</v>
      </c>
      <c r="W153" s="8" t="s">
        <v>939</v>
      </c>
      <c r="X153" s="27" t="s">
        <v>939</v>
      </c>
      <c r="Y153" s="27" t="s">
        <v>939</v>
      </c>
      <c r="Z153" s="27" t="s">
        <v>939</v>
      </c>
      <c r="AA153" s="27" t="s">
        <v>939</v>
      </c>
      <c r="AB153" s="27" t="s">
        <v>939</v>
      </c>
      <c r="AC153" s="27" t="s">
        <v>939</v>
      </c>
      <c r="AD153" s="27" t="s">
        <v>939</v>
      </c>
      <c r="AE153" s="27" t="s">
        <v>939</v>
      </c>
      <c r="AF153" s="27" t="s">
        <v>939</v>
      </c>
      <c r="AG153" s="27" t="s">
        <v>939</v>
      </c>
      <c r="AH153" s="27" t="s">
        <v>939</v>
      </c>
      <c r="AI153" s="27" t="s">
        <v>939</v>
      </c>
      <c r="AJ153" s="8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1094</v>
      </c>
      <c r="L154" s="17">
        <f t="shared" si="11"/>
        <v>27</v>
      </c>
      <c r="M154" s="17">
        <f t="shared" si="12"/>
        <v>1</v>
      </c>
      <c r="N154" s="18">
        <f t="shared" si="13"/>
        <v>0.9642857142857143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 t="s">
        <v>939</v>
      </c>
      <c r="AH154" s="27"/>
      <c r="AI154" s="27"/>
      <c r="AJ154" s="8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1095</v>
      </c>
      <c r="L155" s="17">
        <f t="shared" si="11"/>
        <v>26</v>
      </c>
      <c r="M155" s="17">
        <f t="shared" si="12"/>
        <v>2</v>
      </c>
      <c r="N155" s="18">
        <f t="shared" si="13"/>
        <v>0.9285714285714286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 t="s">
        <v>939</v>
      </c>
      <c r="AF155" s="27"/>
      <c r="AG155" s="27" t="s">
        <v>939</v>
      </c>
      <c r="AH155" s="27"/>
      <c r="AI155" s="27"/>
      <c r="AJ155" s="8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" thickBot="1" x14ac:dyDescent="0.35">
      <c r="A156" t="s">
        <v>415</v>
      </c>
      <c r="C156" s="45" t="s">
        <v>421</v>
      </c>
      <c r="D15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1096</v>
      </c>
      <c r="L156" s="17">
        <f t="shared" si="11"/>
        <v>8</v>
      </c>
      <c r="M156" s="17">
        <f t="shared" si="12"/>
        <v>20</v>
      </c>
      <c r="N156" s="18">
        <f t="shared" si="13"/>
        <v>0.2857142857142857</v>
      </c>
      <c r="O156" s="27"/>
      <c r="P156" s="8" t="s">
        <v>939</v>
      </c>
      <c r="Q156" s="8" t="s">
        <v>939</v>
      </c>
      <c r="R156" s="8" t="s">
        <v>939</v>
      </c>
      <c r="S156" s="27" t="s">
        <v>939</v>
      </c>
      <c r="T156" s="27" t="s">
        <v>939</v>
      </c>
      <c r="U156" s="8" t="s">
        <v>939</v>
      </c>
      <c r="V156" s="8" t="s">
        <v>939</v>
      </c>
      <c r="W156" s="8" t="s">
        <v>939</v>
      </c>
      <c r="X156" s="27" t="s">
        <v>939</v>
      </c>
      <c r="Y156" s="27" t="s">
        <v>939</v>
      </c>
      <c r="Z156" s="27" t="s">
        <v>939</v>
      </c>
      <c r="AA156" s="27" t="s">
        <v>939</v>
      </c>
      <c r="AB156" s="27" t="s">
        <v>939</v>
      </c>
      <c r="AC156" s="27" t="s">
        <v>939</v>
      </c>
      <c r="AD156" s="27" t="s">
        <v>939</v>
      </c>
      <c r="AE156" s="27" t="s">
        <v>939</v>
      </c>
      <c r="AF156" s="27" t="s">
        <v>939</v>
      </c>
      <c r="AG156" s="27" t="s">
        <v>939</v>
      </c>
      <c r="AH156" s="27" t="s">
        <v>939</v>
      </c>
      <c r="AI156" s="27" t="s">
        <v>939</v>
      </c>
      <c r="AJ156" s="8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1097</v>
      </c>
      <c r="L157" s="17">
        <f t="shared" si="11"/>
        <v>28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8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1098</v>
      </c>
      <c r="L158" s="17">
        <f t="shared" si="11"/>
        <v>28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8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" thickBot="1" x14ac:dyDescent="0.35">
      <c r="A159" t="s">
        <v>415</v>
      </c>
      <c r="C159" s="45" t="s">
        <v>428</v>
      </c>
      <c r="D159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1099</v>
      </c>
      <c r="L159" s="17">
        <f t="shared" si="11"/>
        <v>9</v>
      </c>
      <c r="M159" s="17">
        <f t="shared" si="12"/>
        <v>19</v>
      </c>
      <c r="N159" s="18">
        <f t="shared" si="13"/>
        <v>0.32142857142857145</v>
      </c>
      <c r="O159" s="27" t="s">
        <v>939</v>
      </c>
      <c r="P159" s="8" t="s">
        <v>939</v>
      </c>
      <c r="Q159" s="8" t="s">
        <v>939</v>
      </c>
      <c r="R159" s="8" t="s">
        <v>939</v>
      </c>
      <c r="S159" s="27" t="s">
        <v>939</v>
      </c>
      <c r="T159" s="27" t="s">
        <v>939</v>
      </c>
      <c r="U159" s="8" t="s">
        <v>939</v>
      </c>
      <c r="V159" s="8"/>
      <c r="W159" s="8" t="s">
        <v>939</v>
      </c>
      <c r="X159" s="27" t="s">
        <v>939</v>
      </c>
      <c r="Y159" s="27" t="s">
        <v>939</v>
      </c>
      <c r="Z159" s="27" t="s">
        <v>939</v>
      </c>
      <c r="AA159" s="27" t="s">
        <v>939</v>
      </c>
      <c r="AB159" s="27" t="s">
        <v>939</v>
      </c>
      <c r="AC159" s="27"/>
      <c r="AD159" s="27" t="s">
        <v>939</v>
      </c>
      <c r="AE159" s="27" t="s">
        <v>939</v>
      </c>
      <c r="AF159" s="27" t="s">
        <v>939</v>
      </c>
      <c r="AG159" s="27" t="s">
        <v>939</v>
      </c>
      <c r="AH159" s="27" t="s">
        <v>939</v>
      </c>
      <c r="AI159" s="27" t="s">
        <v>939</v>
      </c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" thickBot="1" x14ac:dyDescent="0.35">
      <c r="A160" t="s">
        <v>415</v>
      </c>
      <c r="C160" s="45" t="s">
        <v>430</v>
      </c>
      <c r="D160" t="s">
        <v>1327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1100</v>
      </c>
      <c r="L160" s="17">
        <f t="shared" si="11"/>
        <v>15</v>
      </c>
      <c r="M160" s="17">
        <f t="shared" si="12"/>
        <v>13</v>
      </c>
      <c r="N160" s="18">
        <f t="shared" si="13"/>
        <v>0.5357142857142857</v>
      </c>
      <c r="O160" s="27"/>
      <c r="P160" s="8" t="s">
        <v>939</v>
      </c>
      <c r="Q160" s="8" t="s">
        <v>939</v>
      </c>
      <c r="R160" s="8" t="s">
        <v>939</v>
      </c>
      <c r="S160" s="27" t="s">
        <v>939</v>
      </c>
      <c r="T160" s="27" t="s">
        <v>939</v>
      </c>
      <c r="U160" s="8" t="s">
        <v>939</v>
      </c>
      <c r="V160" s="8" t="s">
        <v>939</v>
      </c>
      <c r="W160" s="8" t="s">
        <v>939</v>
      </c>
      <c r="X160" s="27" t="s">
        <v>939</v>
      </c>
      <c r="Y160" s="27" t="s">
        <v>939</v>
      </c>
      <c r="Z160" s="27" t="s">
        <v>939</v>
      </c>
      <c r="AA160" s="27"/>
      <c r="AB160" s="27" t="s">
        <v>939</v>
      </c>
      <c r="AC160" s="27" t="s">
        <v>939</v>
      </c>
      <c r="AD160" s="27"/>
      <c r="AE160" s="27"/>
      <c r="AF160" s="27"/>
      <c r="AG160" s="27"/>
      <c r="AH160" s="27"/>
      <c r="AI160" s="27"/>
      <c r="AJ160" s="8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1101</v>
      </c>
      <c r="L161" s="17">
        <f t="shared" si="11"/>
        <v>27</v>
      </c>
      <c r="M161" s="17">
        <f t="shared" si="12"/>
        <v>1</v>
      </c>
      <c r="N161" s="18">
        <f t="shared" si="13"/>
        <v>0.9642857142857143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 t="s">
        <v>939</v>
      </c>
      <c r="AA161" s="27"/>
      <c r="AB161" s="27"/>
      <c r="AC161" s="27"/>
      <c r="AD161" s="27"/>
      <c r="AE161" s="27"/>
      <c r="AF161" s="27"/>
      <c r="AG161" s="27"/>
      <c r="AH161" s="27"/>
      <c r="AI161" s="27"/>
      <c r="AJ161" s="8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1102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8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1103</v>
      </c>
      <c r="L163" s="17">
        <f t="shared" si="11"/>
        <v>14</v>
      </c>
      <c r="M163" s="17">
        <f t="shared" si="12"/>
        <v>14</v>
      </c>
      <c r="N163" s="18">
        <f t="shared" si="13"/>
        <v>0.5</v>
      </c>
      <c r="O163" s="27"/>
      <c r="P163" s="8" t="s">
        <v>939</v>
      </c>
      <c r="Q163" s="8" t="s">
        <v>939</v>
      </c>
      <c r="R163" s="8" t="s">
        <v>939</v>
      </c>
      <c r="S163" s="27" t="s">
        <v>939</v>
      </c>
      <c r="T163" s="27" t="s">
        <v>939</v>
      </c>
      <c r="U163" s="8" t="s">
        <v>939</v>
      </c>
      <c r="V163" s="8" t="s">
        <v>939</v>
      </c>
      <c r="W163" s="8" t="s">
        <v>939</v>
      </c>
      <c r="X163" s="27" t="s">
        <v>939</v>
      </c>
      <c r="Y163" s="27" t="s">
        <v>939</v>
      </c>
      <c r="Z163" s="27" t="s">
        <v>939</v>
      </c>
      <c r="AA163" s="27" t="s">
        <v>939</v>
      </c>
      <c r="AB163" s="27" t="s">
        <v>939</v>
      </c>
      <c r="AC163" s="27" t="s">
        <v>939</v>
      </c>
      <c r="AD163" s="27"/>
      <c r="AE163" s="27"/>
      <c r="AF163" s="27"/>
      <c r="AG163" s="27"/>
      <c r="AH163" s="27"/>
      <c r="AI163" s="27"/>
      <c r="AJ163" s="8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1104</v>
      </c>
      <c r="L164" s="17">
        <f t="shared" si="11"/>
        <v>14</v>
      </c>
      <c r="M164" s="17">
        <f t="shared" si="12"/>
        <v>14</v>
      </c>
      <c r="N164" s="18">
        <f t="shared" si="13"/>
        <v>0.5</v>
      </c>
      <c r="O164" s="27"/>
      <c r="P164" s="8" t="s">
        <v>939</v>
      </c>
      <c r="Q164" s="8" t="s">
        <v>939</v>
      </c>
      <c r="R164" s="8" t="s">
        <v>939</v>
      </c>
      <c r="S164" s="27" t="s">
        <v>939</v>
      </c>
      <c r="T164" s="27" t="s">
        <v>939</v>
      </c>
      <c r="U164" s="8" t="s">
        <v>939</v>
      </c>
      <c r="V164" s="8" t="s">
        <v>939</v>
      </c>
      <c r="W164" s="8" t="s">
        <v>939</v>
      </c>
      <c r="X164" s="27" t="s">
        <v>939</v>
      </c>
      <c r="Y164" s="27" t="s">
        <v>939</v>
      </c>
      <c r="Z164" s="27" t="s">
        <v>939</v>
      </c>
      <c r="AA164" s="27" t="s">
        <v>939</v>
      </c>
      <c r="AB164" s="27" t="s">
        <v>939</v>
      </c>
      <c r="AC164" s="27" t="s">
        <v>939</v>
      </c>
      <c r="AD164" s="27"/>
      <c r="AE164" s="27"/>
      <c r="AF164" s="27"/>
      <c r="AG164" s="27"/>
      <c r="AH164" s="27"/>
      <c r="AI164" s="27"/>
      <c r="AJ164" s="8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1105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8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1107</v>
      </c>
      <c r="L166" s="17">
        <f t="shared" si="11"/>
        <v>22</v>
      </c>
      <c r="M166" s="17">
        <f t="shared" si="12"/>
        <v>6</v>
      </c>
      <c r="N166" s="18">
        <f t="shared" si="13"/>
        <v>0.7857142857142857</v>
      </c>
      <c r="O166" s="27"/>
      <c r="P166" s="8"/>
      <c r="Q166" s="8"/>
      <c r="R166" s="8"/>
      <c r="S166" s="27" t="s">
        <v>939</v>
      </c>
      <c r="T166" s="27" t="s">
        <v>939</v>
      </c>
      <c r="U166" s="8" t="s">
        <v>939</v>
      </c>
      <c r="V166" s="8" t="s">
        <v>939</v>
      </c>
      <c r="W166" s="8" t="s">
        <v>939</v>
      </c>
      <c r="X166" s="27" t="s">
        <v>939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8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1106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8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1108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8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" thickBot="1" x14ac:dyDescent="0.35">
      <c r="A169" t="s">
        <v>450</v>
      </c>
      <c r="C169" s="45" t="s">
        <v>451</v>
      </c>
      <c r="D169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1113</v>
      </c>
      <c r="L169" s="17">
        <f t="shared" si="11"/>
        <v>22</v>
      </c>
      <c r="M169" s="17">
        <f t="shared" si="12"/>
        <v>6</v>
      </c>
      <c r="N169" s="18">
        <f t="shared" si="13"/>
        <v>0.7857142857142857</v>
      </c>
      <c r="O169" s="27"/>
      <c r="P169" s="8" t="s">
        <v>939</v>
      </c>
      <c r="Q169" s="8" t="s">
        <v>939</v>
      </c>
      <c r="R169" s="8" t="s">
        <v>939</v>
      </c>
      <c r="S169" s="27" t="s">
        <v>939</v>
      </c>
      <c r="T169" s="27" t="s">
        <v>939</v>
      </c>
      <c r="U169" s="8" t="s">
        <v>939</v>
      </c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1114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8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" thickBot="1" x14ac:dyDescent="0.35">
      <c r="A171" t="s">
        <v>456</v>
      </c>
      <c r="C171" s="45" t="s">
        <v>457</v>
      </c>
      <c r="D171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1115</v>
      </c>
      <c r="L171" s="17">
        <f t="shared" si="11"/>
        <v>14</v>
      </c>
      <c r="M171" s="17">
        <f t="shared" si="12"/>
        <v>14</v>
      </c>
      <c r="N171" s="18">
        <f t="shared" si="13"/>
        <v>0.5</v>
      </c>
      <c r="O171" s="27" t="s">
        <v>939</v>
      </c>
      <c r="P171" s="8" t="s">
        <v>939</v>
      </c>
      <c r="Q171" s="8" t="s">
        <v>939</v>
      </c>
      <c r="R171" s="8" t="s">
        <v>939</v>
      </c>
      <c r="S171" s="27" t="s">
        <v>939</v>
      </c>
      <c r="T171" s="27" t="s">
        <v>939</v>
      </c>
      <c r="U171" s="8" t="s">
        <v>939</v>
      </c>
      <c r="V171" s="8" t="s">
        <v>939</v>
      </c>
      <c r="W171" s="8"/>
      <c r="X171" s="27"/>
      <c r="Y171" s="27"/>
      <c r="Z171" s="27" t="s">
        <v>939</v>
      </c>
      <c r="AA171" s="27" t="s">
        <v>939</v>
      </c>
      <c r="AB171" s="27" t="s">
        <v>939</v>
      </c>
      <c r="AC171" s="27" t="s">
        <v>939</v>
      </c>
      <c r="AD171" s="27" t="s">
        <v>939</v>
      </c>
      <c r="AE171" s="27" t="s">
        <v>939</v>
      </c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1116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8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" thickBot="1" x14ac:dyDescent="0.35">
      <c r="C173" s="45" t="s">
        <v>463</v>
      </c>
      <c r="D173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1117</v>
      </c>
      <c r="L173" s="17">
        <f t="shared" si="11"/>
        <v>28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" thickBot="1" x14ac:dyDescent="0.35">
      <c r="A174" t="s">
        <v>456</v>
      </c>
      <c r="C174" s="45" t="s">
        <v>466</v>
      </c>
      <c r="D174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1118</v>
      </c>
      <c r="L174" s="17">
        <f t="shared" si="11"/>
        <v>18</v>
      </c>
      <c r="M174" s="17">
        <f t="shared" si="12"/>
        <v>10</v>
      </c>
      <c r="N174" s="18">
        <f t="shared" si="13"/>
        <v>0.6428571428571429</v>
      </c>
      <c r="O174" s="27" t="s">
        <v>939</v>
      </c>
      <c r="P174" s="8" t="s">
        <v>939</v>
      </c>
      <c r="Q174" s="8" t="s">
        <v>939</v>
      </c>
      <c r="R174" s="8" t="s">
        <v>939</v>
      </c>
      <c r="S174" s="27"/>
      <c r="T174" s="27" t="s">
        <v>939</v>
      </c>
      <c r="U174" s="8" t="s">
        <v>939</v>
      </c>
      <c r="V174" s="8" t="s">
        <v>939</v>
      </c>
      <c r="W174" s="8" t="s">
        <v>939</v>
      </c>
      <c r="X174" s="27" t="s">
        <v>939</v>
      </c>
      <c r="Y174" s="27"/>
      <c r="Z174" s="27"/>
      <c r="AA174" s="27"/>
      <c r="AB174" s="27"/>
      <c r="AC174" s="27"/>
      <c r="AD174" s="27" t="s">
        <v>939</v>
      </c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1119</v>
      </c>
      <c r="L175" s="17">
        <f t="shared" si="11"/>
        <v>28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8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1120</v>
      </c>
      <c r="L176" s="17">
        <f t="shared" si="11"/>
        <v>28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8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1121</v>
      </c>
      <c r="L177" s="17">
        <f t="shared" si="11"/>
        <v>28</v>
      </c>
      <c r="M177" s="17">
        <f t="shared" si="12"/>
        <v>0</v>
      </c>
      <c r="N177" s="18">
        <f t="shared" si="13"/>
        <v>1</v>
      </c>
      <c r="O177" s="27"/>
      <c r="P177" s="8"/>
      <c r="Q177" s="8"/>
      <c r="R177" s="8"/>
      <c r="S177" s="27"/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8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1122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8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1130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8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1123</v>
      </c>
      <c r="L180" s="17">
        <f t="shared" si="11"/>
        <v>24</v>
      </c>
      <c r="M180" s="17">
        <f t="shared" si="12"/>
        <v>4</v>
      </c>
      <c r="N180" s="18">
        <f t="shared" si="13"/>
        <v>0.8571428571428571</v>
      </c>
      <c r="O180" s="27" t="s">
        <v>939</v>
      </c>
      <c r="P180" s="8"/>
      <c r="Q180" s="8"/>
      <c r="R180" s="8" t="s">
        <v>939</v>
      </c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 t="s">
        <v>939</v>
      </c>
      <c r="AE180" s="27"/>
      <c r="AF180" s="27"/>
      <c r="AG180" s="27"/>
      <c r="AH180" s="27"/>
      <c r="AI180" s="27" t="s">
        <v>939</v>
      </c>
      <c r="AJ180" s="8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1124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8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945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1125</v>
      </c>
      <c r="L182" s="17">
        <f t="shared" si="11"/>
        <v>25</v>
      </c>
      <c r="M182" s="17">
        <f t="shared" si="12"/>
        <v>3</v>
      </c>
      <c r="N182" s="18">
        <f t="shared" si="13"/>
        <v>0.8928571428571429</v>
      </c>
      <c r="O182" s="27"/>
      <c r="P182" s="8"/>
      <c r="Q182" s="8"/>
      <c r="R182" s="8"/>
      <c r="S182" s="27"/>
      <c r="T182" s="27"/>
      <c r="U182" s="8"/>
      <c r="V182" s="8"/>
      <c r="W182" s="8" t="s">
        <v>939</v>
      </c>
      <c r="X182" s="27" t="s">
        <v>939</v>
      </c>
      <c r="Y182" s="27" t="s">
        <v>939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8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1126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8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1127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8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1128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8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1129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8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1131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8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1132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8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1133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8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1134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8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1135</v>
      </c>
      <c r="L191" s="17">
        <f t="shared" si="11"/>
        <v>7</v>
      </c>
      <c r="M191" s="17">
        <f t="shared" si="12"/>
        <v>21</v>
      </c>
      <c r="N191" s="18">
        <f t="shared" si="13"/>
        <v>0.25</v>
      </c>
      <c r="O191" s="27" t="s">
        <v>939</v>
      </c>
      <c r="P191" s="8" t="s">
        <v>939</v>
      </c>
      <c r="Q191" s="8" t="s">
        <v>939</v>
      </c>
      <c r="R191" s="8" t="s">
        <v>939</v>
      </c>
      <c r="S191" s="27" t="s">
        <v>939</v>
      </c>
      <c r="T191" s="27" t="s">
        <v>939</v>
      </c>
      <c r="U191" s="8" t="s">
        <v>939</v>
      </c>
      <c r="V191" s="8" t="s">
        <v>939</v>
      </c>
      <c r="W191" s="8" t="s">
        <v>939</v>
      </c>
      <c r="X191" s="27" t="s">
        <v>939</v>
      </c>
      <c r="Y191" s="27" t="s">
        <v>939</v>
      </c>
      <c r="Z191" s="27" t="s">
        <v>939</v>
      </c>
      <c r="AA191" s="27" t="s">
        <v>939</v>
      </c>
      <c r="AB191" s="27" t="s">
        <v>939</v>
      </c>
      <c r="AC191" s="27" t="s">
        <v>939</v>
      </c>
      <c r="AD191" s="27" t="s">
        <v>939</v>
      </c>
      <c r="AE191" s="27" t="s">
        <v>939</v>
      </c>
      <c r="AF191" s="27" t="s">
        <v>939</v>
      </c>
      <c r="AG191" s="27" t="s">
        <v>939</v>
      </c>
      <c r="AH191" s="27" t="s">
        <v>939</v>
      </c>
      <c r="AI191" s="27" t="s">
        <v>939</v>
      </c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1136</v>
      </c>
      <c r="L192" s="17">
        <f t="shared" si="11"/>
        <v>7</v>
      </c>
      <c r="M192" s="17">
        <f t="shared" si="12"/>
        <v>21</v>
      </c>
      <c r="N192" s="18">
        <f t="shared" si="13"/>
        <v>0.25</v>
      </c>
      <c r="O192" s="27" t="s">
        <v>939</v>
      </c>
      <c r="P192" s="8" t="s">
        <v>939</v>
      </c>
      <c r="Q192" s="8" t="s">
        <v>939</v>
      </c>
      <c r="R192" s="8" t="s">
        <v>939</v>
      </c>
      <c r="S192" s="27" t="s">
        <v>939</v>
      </c>
      <c r="T192" s="27" t="s">
        <v>939</v>
      </c>
      <c r="U192" s="8" t="s">
        <v>939</v>
      </c>
      <c r="V192" s="8" t="s">
        <v>939</v>
      </c>
      <c r="W192" s="8" t="s">
        <v>939</v>
      </c>
      <c r="X192" s="27" t="s">
        <v>939</v>
      </c>
      <c r="Y192" s="27" t="s">
        <v>939</v>
      </c>
      <c r="Z192" s="27" t="s">
        <v>939</v>
      </c>
      <c r="AA192" s="27" t="s">
        <v>939</v>
      </c>
      <c r="AB192" s="27" t="s">
        <v>939</v>
      </c>
      <c r="AC192" s="27" t="s">
        <v>939</v>
      </c>
      <c r="AD192" s="27" t="s">
        <v>939</v>
      </c>
      <c r="AE192" s="27" t="s">
        <v>939</v>
      </c>
      <c r="AF192" s="27" t="s">
        <v>939</v>
      </c>
      <c r="AG192" s="27" t="s">
        <v>939</v>
      </c>
      <c r="AH192" s="27" t="s">
        <v>939</v>
      </c>
      <c r="AI192" s="27" t="s">
        <v>939</v>
      </c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1137</v>
      </c>
      <c r="L193" s="17">
        <f t="shared" si="11"/>
        <v>11</v>
      </c>
      <c r="M193" s="17">
        <f t="shared" si="12"/>
        <v>17</v>
      </c>
      <c r="N193" s="18">
        <f t="shared" si="13"/>
        <v>0.39285714285714285</v>
      </c>
      <c r="O193" s="27" t="s">
        <v>939</v>
      </c>
      <c r="P193" s="8" t="s">
        <v>939</v>
      </c>
      <c r="Q193" s="8" t="s">
        <v>939</v>
      </c>
      <c r="R193" s="8" t="s">
        <v>939</v>
      </c>
      <c r="S193" s="27" t="s">
        <v>939</v>
      </c>
      <c r="T193" s="27" t="s">
        <v>939</v>
      </c>
      <c r="U193" s="8" t="s">
        <v>939</v>
      </c>
      <c r="V193" s="8" t="s">
        <v>939</v>
      </c>
      <c r="W193" s="8" t="s">
        <v>939</v>
      </c>
      <c r="X193" s="27" t="s">
        <v>939</v>
      </c>
      <c r="Y193" s="27" t="s">
        <v>939</v>
      </c>
      <c r="Z193" s="27" t="s">
        <v>939</v>
      </c>
      <c r="AA193" s="27" t="s">
        <v>939</v>
      </c>
      <c r="AB193" s="27" t="s">
        <v>939</v>
      </c>
      <c r="AC193" s="27" t="s">
        <v>939</v>
      </c>
      <c r="AD193" s="27" t="s">
        <v>939</v>
      </c>
      <c r="AE193" s="27"/>
      <c r="AF193" s="27" t="s">
        <v>939</v>
      </c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" thickBot="1" x14ac:dyDescent="0.35">
      <c r="A194" t="s">
        <v>412</v>
      </c>
      <c r="C194" s="45" t="s">
        <v>519</v>
      </c>
      <c r="D194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1138</v>
      </c>
      <c r="L194" s="17">
        <f t="shared" si="11"/>
        <v>12</v>
      </c>
      <c r="M194" s="17">
        <f t="shared" si="12"/>
        <v>16</v>
      </c>
      <c r="N194" s="18">
        <f t="shared" si="13"/>
        <v>0.42857142857142855</v>
      </c>
      <c r="O194" s="27" t="s">
        <v>939</v>
      </c>
      <c r="P194" s="8" t="s">
        <v>939</v>
      </c>
      <c r="Q194" s="8" t="s">
        <v>939</v>
      </c>
      <c r="R194" s="8" t="s">
        <v>939</v>
      </c>
      <c r="S194" s="27" t="s">
        <v>939</v>
      </c>
      <c r="T194" s="27" t="s">
        <v>939</v>
      </c>
      <c r="U194" s="8" t="s">
        <v>939</v>
      </c>
      <c r="V194" s="8" t="s">
        <v>939</v>
      </c>
      <c r="W194" s="8" t="s">
        <v>939</v>
      </c>
      <c r="X194" s="27" t="s">
        <v>939</v>
      </c>
      <c r="Y194" s="27" t="s">
        <v>939</v>
      </c>
      <c r="Z194" s="27"/>
      <c r="AA194" s="27" t="s">
        <v>939</v>
      </c>
      <c r="AB194" s="27" t="s">
        <v>939</v>
      </c>
      <c r="AC194" s="27" t="s">
        <v>939</v>
      </c>
      <c r="AD194" s="27" t="s">
        <v>939</v>
      </c>
      <c r="AE194" s="27"/>
      <c r="AF194" s="27" t="s">
        <v>939</v>
      </c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1139</v>
      </c>
      <c r="L195" s="17">
        <f t="shared" si="11"/>
        <v>19</v>
      </c>
      <c r="M195" s="17">
        <f t="shared" si="12"/>
        <v>9</v>
      </c>
      <c r="N195" s="18">
        <f t="shared" si="13"/>
        <v>0.6785714285714286</v>
      </c>
      <c r="O195" s="27"/>
      <c r="P195" s="8" t="s">
        <v>939</v>
      </c>
      <c r="Q195" s="8" t="s">
        <v>939</v>
      </c>
      <c r="R195" s="8" t="s">
        <v>939</v>
      </c>
      <c r="S195" s="27" t="s">
        <v>939</v>
      </c>
      <c r="T195" s="27" t="s">
        <v>939</v>
      </c>
      <c r="U195" s="8" t="s">
        <v>939</v>
      </c>
      <c r="V195" s="8" t="s">
        <v>939</v>
      </c>
      <c r="W195" s="8" t="s">
        <v>939</v>
      </c>
      <c r="X195" s="27" t="s">
        <v>939</v>
      </c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8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1140</v>
      </c>
      <c r="L196" s="17">
        <f t="shared" si="11"/>
        <v>19</v>
      </c>
      <c r="M196" s="17">
        <f t="shared" si="12"/>
        <v>9</v>
      </c>
      <c r="N196" s="18">
        <f t="shared" si="13"/>
        <v>0.6785714285714286</v>
      </c>
      <c r="O196" s="27"/>
      <c r="P196" s="8" t="s">
        <v>939</v>
      </c>
      <c r="Q196" s="8" t="s">
        <v>939</v>
      </c>
      <c r="R196" s="8" t="s">
        <v>939</v>
      </c>
      <c r="S196" s="27" t="s">
        <v>939</v>
      </c>
      <c r="T196" s="27" t="s">
        <v>939</v>
      </c>
      <c r="U196" s="8" t="s">
        <v>939</v>
      </c>
      <c r="V196" s="8" t="s">
        <v>939</v>
      </c>
      <c r="W196" s="8" t="s">
        <v>939</v>
      </c>
      <c r="X196" s="27" t="s">
        <v>939</v>
      </c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8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1141</v>
      </c>
      <c r="L197" s="17">
        <f t="shared" ref="L197:L262" si="14">COUNTIF(O197:AP197,"")</f>
        <v>18</v>
      </c>
      <c r="M197" s="17">
        <f t="shared" ref="M197:M262" si="15">COUNTIF(O197:AP197,"APAGADO")</f>
        <v>10</v>
      </c>
      <c r="N197" s="18">
        <f t="shared" ref="N197:N262" si="16">(L197)/(M197+L197)</f>
        <v>0.6428571428571429</v>
      </c>
      <c r="O197" s="27" t="s">
        <v>939</v>
      </c>
      <c r="P197" s="8" t="s">
        <v>939</v>
      </c>
      <c r="Q197" s="8" t="s">
        <v>939</v>
      </c>
      <c r="R197" s="8" t="s">
        <v>939</v>
      </c>
      <c r="S197" s="27" t="s">
        <v>939</v>
      </c>
      <c r="T197" s="27" t="s">
        <v>939</v>
      </c>
      <c r="U197" s="8"/>
      <c r="V197" s="8"/>
      <c r="W197" s="8"/>
      <c r="X197" s="27" t="s">
        <v>939</v>
      </c>
      <c r="Y197" s="27"/>
      <c r="Z197" s="27"/>
      <c r="AA197" s="27" t="s">
        <v>939</v>
      </c>
      <c r="AB197" s="27" t="s">
        <v>939</v>
      </c>
      <c r="AC197" s="27"/>
      <c r="AD197" s="27" t="s">
        <v>939</v>
      </c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1142</v>
      </c>
      <c r="L198" s="17">
        <f t="shared" si="14"/>
        <v>22</v>
      </c>
      <c r="M198" s="17">
        <f t="shared" si="15"/>
        <v>6</v>
      </c>
      <c r="N198" s="18">
        <f t="shared" si="16"/>
        <v>0.7857142857142857</v>
      </c>
      <c r="O198" s="27"/>
      <c r="P198" s="8" t="s">
        <v>939</v>
      </c>
      <c r="Q198" s="8" t="s">
        <v>939</v>
      </c>
      <c r="R198" s="8"/>
      <c r="S198" s="27"/>
      <c r="T198" s="27"/>
      <c r="U198" s="8"/>
      <c r="V198" s="8"/>
      <c r="W198" s="8"/>
      <c r="X198" s="27" t="s">
        <v>939</v>
      </c>
      <c r="Y198" s="27"/>
      <c r="Z198" s="27"/>
      <c r="AA198" s="27" t="s">
        <v>939</v>
      </c>
      <c r="AB198" s="27" t="s">
        <v>939</v>
      </c>
      <c r="AC198" s="27"/>
      <c r="AD198" s="27" t="s">
        <v>939</v>
      </c>
      <c r="AE198" s="27"/>
      <c r="AF198" s="27"/>
      <c r="AG198" s="27"/>
      <c r="AH198" s="27"/>
      <c r="AI198" s="27"/>
      <c r="AJ198" s="8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1143</v>
      </c>
      <c r="L199" s="17">
        <f t="shared" si="14"/>
        <v>24</v>
      </c>
      <c r="M199" s="17">
        <f t="shared" si="15"/>
        <v>4</v>
      </c>
      <c r="N199" s="18">
        <f t="shared" si="16"/>
        <v>0.8571428571428571</v>
      </c>
      <c r="O199" s="27"/>
      <c r="P199" s="8"/>
      <c r="Q199" s="8"/>
      <c r="R199" s="8"/>
      <c r="S199" s="27"/>
      <c r="T199" s="27"/>
      <c r="U199" s="8" t="s">
        <v>939</v>
      </c>
      <c r="V199" s="8" t="s">
        <v>939</v>
      </c>
      <c r="W199" s="8" t="s">
        <v>939</v>
      </c>
      <c r="X199" s="27"/>
      <c r="Y199" s="27" t="s">
        <v>939</v>
      </c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8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1144</v>
      </c>
      <c r="L200" s="17">
        <f t="shared" si="14"/>
        <v>27</v>
      </c>
      <c r="M200" s="17">
        <f t="shared" si="15"/>
        <v>1</v>
      </c>
      <c r="N200" s="18">
        <f t="shared" si="16"/>
        <v>0.9642857142857143</v>
      </c>
      <c r="O200" s="27"/>
      <c r="P200" s="8"/>
      <c r="Q200" s="8"/>
      <c r="R200" s="8"/>
      <c r="S200" s="27"/>
      <c r="T200" s="27"/>
      <c r="U200" s="8" t="s">
        <v>939</v>
      </c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8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" thickBot="1" x14ac:dyDescent="0.35">
      <c r="A201" t="s">
        <v>358</v>
      </c>
      <c r="C201" s="45" t="s">
        <v>1154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1155</v>
      </c>
      <c r="L201" s="17">
        <f t="shared" si="14"/>
        <v>28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8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1145</v>
      </c>
      <c r="L202" s="17">
        <f t="shared" si="14"/>
        <v>28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8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1146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8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1148</v>
      </c>
      <c r="L204" s="17">
        <f t="shared" si="14"/>
        <v>21</v>
      </c>
      <c r="M204" s="17">
        <f t="shared" si="15"/>
        <v>7</v>
      </c>
      <c r="N204" s="18">
        <f t="shared" si="16"/>
        <v>0.75</v>
      </c>
      <c r="O204" s="27" t="s">
        <v>939</v>
      </c>
      <c r="P204" s="8"/>
      <c r="Q204" s="8"/>
      <c r="R204" s="8"/>
      <c r="S204" s="27"/>
      <c r="T204" s="27" t="s">
        <v>939</v>
      </c>
      <c r="U204" s="8" t="s">
        <v>939</v>
      </c>
      <c r="V204" s="8" t="s">
        <v>939</v>
      </c>
      <c r="W204" s="8" t="s">
        <v>939</v>
      </c>
      <c r="X204" s="27" t="s">
        <v>939</v>
      </c>
      <c r="Y204" s="27" t="s">
        <v>939</v>
      </c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1149</v>
      </c>
      <c r="L205" s="17">
        <f t="shared" si="14"/>
        <v>22</v>
      </c>
      <c r="M205" s="17">
        <f t="shared" si="15"/>
        <v>6</v>
      </c>
      <c r="N205" s="18">
        <f t="shared" si="16"/>
        <v>0.7857142857142857</v>
      </c>
      <c r="O205" s="27"/>
      <c r="P205" s="8"/>
      <c r="Q205" s="8"/>
      <c r="R205" s="8"/>
      <c r="S205" s="27"/>
      <c r="T205" s="27" t="s">
        <v>939</v>
      </c>
      <c r="U205" s="8" t="s">
        <v>939</v>
      </c>
      <c r="V205" s="8" t="s">
        <v>939</v>
      </c>
      <c r="W205" s="8" t="s">
        <v>939</v>
      </c>
      <c r="X205" s="27" t="s">
        <v>939</v>
      </c>
      <c r="Y205" s="27" t="s">
        <v>939</v>
      </c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8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1156</v>
      </c>
      <c r="L206" s="17">
        <f t="shared" si="14"/>
        <v>7</v>
      </c>
      <c r="M206" s="17">
        <f t="shared" si="15"/>
        <v>21</v>
      </c>
      <c r="N206" s="18">
        <f t="shared" si="16"/>
        <v>0.25</v>
      </c>
      <c r="O206" s="27" t="s">
        <v>939</v>
      </c>
      <c r="P206" s="8" t="s">
        <v>939</v>
      </c>
      <c r="Q206" s="8" t="s">
        <v>939</v>
      </c>
      <c r="R206" s="8" t="s">
        <v>939</v>
      </c>
      <c r="S206" s="27" t="s">
        <v>939</v>
      </c>
      <c r="T206" s="27" t="s">
        <v>939</v>
      </c>
      <c r="U206" s="8" t="s">
        <v>939</v>
      </c>
      <c r="V206" s="8" t="s">
        <v>939</v>
      </c>
      <c r="W206" s="8" t="s">
        <v>939</v>
      </c>
      <c r="X206" s="27" t="s">
        <v>939</v>
      </c>
      <c r="Y206" s="27" t="s">
        <v>939</v>
      </c>
      <c r="Z206" s="27" t="s">
        <v>939</v>
      </c>
      <c r="AA206" s="27" t="s">
        <v>939</v>
      </c>
      <c r="AB206" s="27" t="s">
        <v>939</v>
      </c>
      <c r="AC206" s="27" t="s">
        <v>939</v>
      </c>
      <c r="AD206" s="27" t="s">
        <v>939</v>
      </c>
      <c r="AE206" s="27" t="s">
        <v>939</v>
      </c>
      <c r="AF206" s="27" t="s">
        <v>939</v>
      </c>
      <c r="AG206" s="27" t="s">
        <v>939</v>
      </c>
      <c r="AH206" s="27" t="s">
        <v>939</v>
      </c>
      <c r="AI206" s="27" t="s">
        <v>939</v>
      </c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945</v>
      </c>
      <c r="G207"/>
      <c r="H207" t="s">
        <v>547</v>
      </c>
      <c r="I207" s="16">
        <v>-348181990000</v>
      </c>
      <c r="J207" s="16">
        <v>-583002490000</v>
      </c>
      <c r="K207" s="16" t="s">
        <v>1150</v>
      </c>
      <c r="L207" s="17">
        <f t="shared" si="14"/>
        <v>26</v>
      </c>
      <c r="M207" s="17">
        <f t="shared" si="15"/>
        <v>2</v>
      </c>
      <c r="N207" s="18">
        <f t="shared" si="16"/>
        <v>0.9285714285714286</v>
      </c>
      <c r="O207" s="27"/>
      <c r="P207" s="8" t="s">
        <v>939</v>
      </c>
      <c r="Q207" s="8" t="s">
        <v>939</v>
      </c>
      <c r="R207" s="8"/>
      <c r="S207" s="27"/>
      <c r="T207" s="27"/>
      <c r="U207" s="8"/>
      <c r="V207" s="8"/>
      <c r="W207" s="8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8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945</v>
      </c>
      <c r="G208"/>
      <c r="H208" t="s">
        <v>547</v>
      </c>
      <c r="I208" s="16">
        <v>-348181940000</v>
      </c>
      <c r="J208" s="16">
        <v>-583002740000</v>
      </c>
      <c r="K208" s="16" t="s">
        <v>1151</v>
      </c>
      <c r="L208" s="17">
        <f t="shared" si="14"/>
        <v>26</v>
      </c>
      <c r="M208" s="17">
        <f t="shared" si="15"/>
        <v>2</v>
      </c>
      <c r="N208" s="18">
        <f t="shared" si="16"/>
        <v>0.9285714285714286</v>
      </c>
      <c r="O208" s="27"/>
      <c r="P208" s="8" t="s">
        <v>939</v>
      </c>
      <c r="Q208" s="8" t="s">
        <v>939</v>
      </c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8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1157</v>
      </c>
      <c r="L209" s="17">
        <f t="shared" si="14"/>
        <v>28</v>
      </c>
      <c r="M209" s="17">
        <f t="shared" si="15"/>
        <v>0</v>
      </c>
      <c r="N209" s="18">
        <f t="shared" si="16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8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1158</v>
      </c>
      <c r="L210" s="17">
        <f t="shared" si="14"/>
        <v>28</v>
      </c>
      <c r="M210" s="17">
        <f t="shared" si="15"/>
        <v>0</v>
      </c>
      <c r="N210" s="18">
        <f t="shared" si="16"/>
        <v>1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8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1153</v>
      </c>
      <c r="L211" s="17">
        <f t="shared" si="14"/>
        <v>24</v>
      </c>
      <c r="M211" s="17">
        <f t="shared" si="15"/>
        <v>4</v>
      </c>
      <c r="N211" s="18">
        <f t="shared" si="16"/>
        <v>0.8571428571428571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 t="s">
        <v>939</v>
      </c>
      <c r="AG211" s="27" t="s">
        <v>939</v>
      </c>
      <c r="AH211" s="27" t="s">
        <v>939</v>
      </c>
      <c r="AI211" s="27" t="s">
        <v>939</v>
      </c>
      <c r="AJ211" s="8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1152</v>
      </c>
      <c r="L212" s="17">
        <f t="shared" si="14"/>
        <v>24</v>
      </c>
      <c r="M212" s="17">
        <f t="shared" si="15"/>
        <v>4</v>
      </c>
      <c r="N212" s="18">
        <f t="shared" si="16"/>
        <v>0.8571428571428571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 t="s">
        <v>939</v>
      </c>
      <c r="AG212" s="27" t="s">
        <v>939</v>
      </c>
      <c r="AH212" s="27" t="s">
        <v>939</v>
      </c>
      <c r="AI212" s="27" t="s">
        <v>939</v>
      </c>
      <c r="AJ212" s="8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1147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8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1159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8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1160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8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1161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8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1162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8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1163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8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1164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8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1165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8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1168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8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1166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8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1167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8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1169</v>
      </c>
      <c r="L224" s="17">
        <f t="shared" si="14"/>
        <v>17</v>
      </c>
      <c r="M224" s="17">
        <f t="shared" si="15"/>
        <v>11</v>
      </c>
      <c r="N224" s="18">
        <f t="shared" si="16"/>
        <v>0.6071428571428571</v>
      </c>
      <c r="O224" s="27" t="s">
        <v>939</v>
      </c>
      <c r="P224" s="8" t="s">
        <v>939</v>
      </c>
      <c r="Q224" s="8" t="s">
        <v>939</v>
      </c>
      <c r="R224" s="8" t="s">
        <v>939</v>
      </c>
      <c r="S224" s="27" t="s">
        <v>939</v>
      </c>
      <c r="T224" s="27" t="s">
        <v>939</v>
      </c>
      <c r="U224" s="8" t="s">
        <v>939</v>
      </c>
      <c r="V224" s="8" t="s">
        <v>939</v>
      </c>
      <c r="W224" s="8" t="s">
        <v>939</v>
      </c>
      <c r="X224" s="27" t="s">
        <v>939</v>
      </c>
      <c r="Y224" s="27" t="s">
        <v>939</v>
      </c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1170</v>
      </c>
      <c r="L225" s="17">
        <f t="shared" si="14"/>
        <v>26</v>
      </c>
      <c r="M225" s="17">
        <f t="shared" si="15"/>
        <v>2</v>
      </c>
      <c r="N225" s="18">
        <f t="shared" si="16"/>
        <v>0.9285714285714286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 t="s">
        <v>939</v>
      </c>
      <c r="AA225" s="27" t="s">
        <v>939</v>
      </c>
      <c r="AB225" s="27"/>
      <c r="AC225" s="27"/>
      <c r="AD225" s="27"/>
      <c r="AE225" s="27"/>
      <c r="AF225" s="27"/>
      <c r="AG225" s="27"/>
      <c r="AH225" s="27"/>
      <c r="AI225" s="27"/>
      <c r="AJ225" s="8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1171</v>
      </c>
      <c r="L226" s="17">
        <f t="shared" si="14"/>
        <v>28</v>
      </c>
      <c r="M226" s="17">
        <f t="shared" si="15"/>
        <v>0</v>
      </c>
      <c r="N226" s="18">
        <f t="shared" si="16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8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1172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8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1173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8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1176</v>
      </c>
      <c r="L229" s="17">
        <f t="shared" si="14"/>
        <v>28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8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" thickBot="1" x14ac:dyDescent="0.35">
      <c r="A230" t="s">
        <v>456</v>
      </c>
      <c r="C230" s="4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1177</v>
      </c>
      <c r="L230" s="17">
        <f t="shared" si="14"/>
        <v>27</v>
      </c>
      <c r="M230" s="17">
        <f t="shared" si="15"/>
        <v>1</v>
      </c>
      <c r="N230" s="18">
        <f t="shared" si="16"/>
        <v>0.9642857142857143</v>
      </c>
      <c r="O230" s="27" t="s">
        <v>939</v>
      </c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1174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/>
      <c r="Z231" s="27"/>
      <c r="AA231" s="27"/>
      <c r="AB231" s="27"/>
      <c r="AC231" s="27"/>
      <c r="AD231" s="27"/>
      <c r="AE231" s="27"/>
      <c r="AF231" s="27"/>
      <c r="AG231" s="27" t="s">
        <v>939</v>
      </c>
      <c r="AH231" s="27"/>
      <c r="AI231" s="27"/>
      <c r="AJ231" s="8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1175</v>
      </c>
      <c r="L232" s="17">
        <f t="shared" si="14"/>
        <v>27</v>
      </c>
      <c r="M232" s="17">
        <f t="shared" si="15"/>
        <v>1</v>
      </c>
      <c r="N232" s="18">
        <f t="shared" si="16"/>
        <v>0.9642857142857143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 t="s">
        <v>939</v>
      </c>
      <c r="AH232" s="27"/>
      <c r="AI232" s="27"/>
      <c r="AJ232" s="8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1179</v>
      </c>
      <c r="L233" s="17">
        <f t="shared" si="14"/>
        <v>27</v>
      </c>
      <c r="M233" s="17">
        <f t="shared" si="15"/>
        <v>1</v>
      </c>
      <c r="N233" s="18">
        <f t="shared" si="16"/>
        <v>0.9642857142857143</v>
      </c>
      <c r="O233" s="27"/>
      <c r="P233" s="8"/>
      <c r="Q233" s="8" t="s">
        <v>939</v>
      </c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8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1180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8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1181</v>
      </c>
      <c r="L235" s="17">
        <f t="shared" si="14"/>
        <v>23</v>
      </c>
      <c r="M235" s="17">
        <f t="shared" si="15"/>
        <v>5</v>
      </c>
      <c r="N235" s="18">
        <f t="shared" si="16"/>
        <v>0.8214285714285714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 t="s">
        <v>939</v>
      </c>
      <c r="AA235" s="27" t="s">
        <v>939</v>
      </c>
      <c r="AB235" s="27" t="s">
        <v>939</v>
      </c>
      <c r="AC235" s="27" t="s">
        <v>939</v>
      </c>
      <c r="AD235" s="27" t="s">
        <v>939</v>
      </c>
      <c r="AE235" s="27"/>
      <c r="AF235" s="27"/>
      <c r="AG235" s="27"/>
      <c r="AH235" s="27"/>
      <c r="AI235" s="27"/>
      <c r="AJ235" s="8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1182</v>
      </c>
      <c r="L236" s="17">
        <f t="shared" si="14"/>
        <v>23</v>
      </c>
      <c r="M236" s="17">
        <f t="shared" si="15"/>
        <v>5</v>
      </c>
      <c r="N236" s="18">
        <f t="shared" si="16"/>
        <v>0.8214285714285714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 t="s">
        <v>939</v>
      </c>
      <c r="AA236" s="27" t="s">
        <v>939</v>
      </c>
      <c r="AB236" s="27" t="s">
        <v>939</v>
      </c>
      <c r="AC236" s="27" t="s">
        <v>939</v>
      </c>
      <c r="AD236" s="27" t="s">
        <v>939</v>
      </c>
      <c r="AE236" s="27"/>
      <c r="AF236" s="27"/>
      <c r="AG236" s="27"/>
      <c r="AH236" s="27"/>
      <c r="AI236" s="27"/>
      <c r="AJ236" s="8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1183</v>
      </c>
      <c r="L237" s="17">
        <f t="shared" si="14"/>
        <v>22</v>
      </c>
      <c r="M237" s="17">
        <f t="shared" si="15"/>
        <v>6</v>
      </c>
      <c r="N237" s="18">
        <f t="shared" si="16"/>
        <v>0.7857142857142857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 t="s">
        <v>939</v>
      </c>
      <c r="AA237" s="27" t="s">
        <v>939</v>
      </c>
      <c r="AB237" s="27" t="s">
        <v>939</v>
      </c>
      <c r="AC237" s="27" t="s">
        <v>939</v>
      </c>
      <c r="AD237" s="27" t="s">
        <v>939</v>
      </c>
      <c r="AE237" s="27"/>
      <c r="AF237" s="27"/>
      <c r="AG237" s="27"/>
      <c r="AH237" s="27"/>
      <c r="AI237" s="27" t="s">
        <v>939</v>
      </c>
      <c r="AJ237" s="8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1178</v>
      </c>
      <c r="L238" s="17">
        <f t="shared" si="14"/>
        <v>24</v>
      </c>
      <c r="M238" s="17">
        <f t="shared" si="15"/>
        <v>4</v>
      </c>
      <c r="N238" s="18">
        <f t="shared" si="16"/>
        <v>0.8571428571428571</v>
      </c>
      <c r="O238" s="27" t="s">
        <v>939</v>
      </c>
      <c r="P238" s="8" t="s">
        <v>939</v>
      </c>
      <c r="Q238" s="8" t="s">
        <v>939</v>
      </c>
      <c r="R238" s="8" t="s">
        <v>939</v>
      </c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1184</v>
      </c>
      <c r="L239" s="17">
        <f t="shared" si="14"/>
        <v>19</v>
      </c>
      <c r="M239" s="17">
        <f t="shared" si="15"/>
        <v>9</v>
      </c>
      <c r="N239" s="18">
        <f t="shared" si="16"/>
        <v>0.6785714285714286</v>
      </c>
      <c r="O239" s="27" t="s">
        <v>939</v>
      </c>
      <c r="P239" s="8" t="s">
        <v>939</v>
      </c>
      <c r="Q239" s="8" t="s">
        <v>939</v>
      </c>
      <c r="R239" s="8" t="s">
        <v>939</v>
      </c>
      <c r="S239" s="27" t="s">
        <v>939</v>
      </c>
      <c r="T239" s="27" t="s">
        <v>939</v>
      </c>
      <c r="U239" s="8" t="s">
        <v>939</v>
      </c>
      <c r="V239" s="8" t="s">
        <v>939</v>
      </c>
      <c r="W239" s="8" t="s">
        <v>939</v>
      </c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1185</v>
      </c>
      <c r="L240" s="17">
        <f t="shared" si="14"/>
        <v>18</v>
      </c>
      <c r="M240" s="17">
        <f t="shared" si="15"/>
        <v>10</v>
      </c>
      <c r="N240" s="18">
        <f t="shared" si="16"/>
        <v>0.6428571428571429</v>
      </c>
      <c r="O240" s="27" t="s">
        <v>939</v>
      </c>
      <c r="P240" s="8" t="s">
        <v>939</v>
      </c>
      <c r="Q240" s="8" t="s">
        <v>939</v>
      </c>
      <c r="R240" s="8" t="s">
        <v>939</v>
      </c>
      <c r="S240" s="27" t="s">
        <v>939</v>
      </c>
      <c r="T240" s="27" t="s">
        <v>939</v>
      </c>
      <c r="U240" s="8" t="s">
        <v>939</v>
      </c>
      <c r="V240" s="8" t="s">
        <v>939</v>
      </c>
      <c r="W240" s="8" t="s">
        <v>939</v>
      </c>
      <c r="X240" s="27"/>
      <c r="Y240" s="27"/>
      <c r="Z240" s="27"/>
      <c r="AA240" s="27"/>
      <c r="AB240" s="27"/>
      <c r="AC240" s="27"/>
      <c r="AD240" s="27"/>
      <c r="AE240" s="27"/>
      <c r="AF240" s="27"/>
      <c r="AG240" s="27" t="s">
        <v>939</v>
      </c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1186</v>
      </c>
      <c r="L241" s="17">
        <f t="shared" si="14"/>
        <v>23</v>
      </c>
      <c r="M241" s="17">
        <f t="shared" si="15"/>
        <v>5</v>
      </c>
      <c r="N241" s="18">
        <f t="shared" si="16"/>
        <v>0.8214285714285714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 t="s">
        <v>939</v>
      </c>
      <c r="AA241" s="27" t="s">
        <v>939</v>
      </c>
      <c r="AB241" s="27" t="s">
        <v>939</v>
      </c>
      <c r="AC241" s="27" t="s">
        <v>939</v>
      </c>
      <c r="AD241" s="27" t="s">
        <v>939</v>
      </c>
      <c r="AE241" s="27"/>
      <c r="AF241" s="27"/>
      <c r="AG241" s="27"/>
      <c r="AH241" s="27"/>
      <c r="AI241" s="27"/>
      <c r="AJ241" s="8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1187</v>
      </c>
      <c r="L242" s="17">
        <f t="shared" si="14"/>
        <v>23</v>
      </c>
      <c r="M242" s="17">
        <f t="shared" si="15"/>
        <v>5</v>
      </c>
      <c r="N242" s="18">
        <f t="shared" si="16"/>
        <v>0.8214285714285714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 t="s">
        <v>939</v>
      </c>
      <c r="AA242" s="27" t="s">
        <v>939</v>
      </c>
      <c r="AB242" s="27" t="s">
        <v>939</v>
      </c>
      <c r="AC242" s="27" t="s">
        <v>939</v>
      </c>
      <c r="AD242" s="27" t="s">
        <v>939</v>
      </c>
      <c r="AE242" s="27"/>
      <c r="AF242" s="27"/>
      <c r="AG242" s="27"/>
      <c r="AH242" s="27"/>
      <c r="AI242" s="27"/>
      <c r="AJ242" s="8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1188</v>
      </c>
      <c r="L243" s="17">
        <f t="shared" si="14"/>
        <v>23</v>
      </c>
      <c r="M243" s="17">
        <f t="shared" si="15"/>
        <v>5</v>
      </c>
      <c r="N243" s="18">
        <f t="shared" si="16"/>
        <v>0.8214285714285714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 t="s">
        <v>939</v>
      </c>
      <c r="AA243" s="27" t="s">
        <v>939</v>
      </c>
      <c r="AB243" s="27" t="s">
        <v>939</v>
      </c>
      <c r="AC243" s="27" t="s">
        <v>939</v>
      </c>
      <c r="AD243" s="27" t="s">
        <v>939</v>
      </c>
      <c r="AE243" s="27"/>
      <c r="AF243" s="27"/>
      <c r="AG243" s="27"/>
      <c r="AH243" s="27"/>
      <c r="AI243" s="27"/>
      <c r="AJ243" s="8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1189</v>
      </c>
      <c r="L244" s="17">
        <f t="shared" si="14"/>
        <v>23</v>
      </c>
      <c r="M244" s="17">
        <f t="shared" si="15"/>
        <v>5</v>
      </c>
      <c r="N244" s="18">
        <f t="shared" si="16"/>
        <v>0.8214285714285714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 t="s">
        <v>939</v>
      </c>
      <c r="AA244" s="27" t="s">
        <v>939</v>
      </c>
      <c r="AB244" s="27" t="s">
        <v>939</v>
      </c>
      <c r="AC244" s="27" t="s">
        <v>939</v>
      </c>
      <c r="AD244" s="27" t="s">
        <v>939</v>
      </c>
      <c r="AE244" s="27"/>
      <c r="AF244" s="27"/>
      <c r="AG244" s="27"/>
      <c r="AH244" s="27"/>
      <c r="AI244" s="27"/>
      <c r="AJ244" s="8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" thickBot="1" x14ac:dyDescent="0.35">
      <c r="A245" t="s">
        <v>619</v>
      </c>
      <c r="C245" s="45" t="s">
        <v>1329</v>
      </c>
      <c r="D245" t="s">
        <v>1330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/>
      <c r="L245" s="17"/>
      <c r="M245" s="17"/>
      <c r="N245" s="18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 t="s">
        <v>939</v>
      </c>
      <c r="AF245" s="27" t="s">
        <v>939</v>
      </c>
      <c r="AG245" s="27" t="s">
        <v>939</v>
      </c>
      <c r="AH245" s="27" t="s">
        <v>939</v>
      </c>
      <c r="AI245" s="27" t="s">
        <v>939</v>
      </c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" thickBot="1" x14ac:dyDescent="0.35">
      <c r="A246" t="s">
        <v>609</v>
      </c>
      <c r="C246" s="45" t="s">
        <v>1331</v>
      </c>
      <c r="D246" t="s">
        <v>1332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/>
      <c r="L246" s="17"/>
      <c r="M246" s="17"/>
      <c r="N246" s="18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 t="s">
        <v>939</v>
      </c>
      <c r="AC246" s="27" t="s">
        <v>939</v>
      </c>
      <c r="AD246" s="27" t="s">
        <v>939</v>
      </c>
      <c r="AE246" s="27"/>
      <c r="AF246" s="27" t="s">
        <v>939</v>
      </c>
      <c r="AG246" s="27" t="s">
        <v>939</v>
      </c>
      <c r="AH246" s="27" t="s">
        <v>939</v>
      </c>
      <c r="AI246" s="27" t="s">
        <v>939</v>
      </c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1192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8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1194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8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1190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8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1191</v>
      </c>
      <c r="L250" s="17">
        <f t="shared" si="14"/>
        <v>26</v>
      </c>
      <c r="M250" s="17">
        <f t="shared" si="15"/>
        <v>2</v>
      </c>
      <c r="N250" s="18">
        <f t="shared" si="16"/>
        <v>0.9285714285714286</v>
      </c>
      <c r="O250" s="27"/>
      <c r="P250" s="8"/>
      <c r="Q250" s="8"/>
      <c r="R250" s="8"/>
      <c r="S250" s="27" t="s">
        <v>939</v>
      </c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 t="s">
        <v>939</v>
      </c>
      <c r="AH250" s="27"/>
      <c r="AI250" s="27"/>
      <c r="AJ250" s="8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1195</v>
      </c>
      <c r="L251" s="17">
        <f t="shared" si="14"/>
        <v>7</v>
      </c>
      <c r="M251" s="17">
        <f t="shared" si="15"/>
        <v>21</v>
      </c>
      <c r="N251" s="18">
        <f t="shared" si="16"/>
        <v>0.25</v>
      </c>
      <c r="O251" s="27" t="s">
        <v>939</v>
      </c>
      <c r="P251" s="8" t="s">
        <v>939</v>
      </c>
      <c r="Q251" s="8" t="s">
        <v>939</v>
      </c>
      <c r="R251" s="8" t="s">
        <v>939</v>
      </c>
      <c r="S251" s="27" t="s">
        <v>939</v>
      </c>
      <c r="T251" s="27" t="s">
        <v>939</v>
      </c>
      <c r="U251" s="8" t="s">
        <v>939</v>
      </c>
      <c r="V251" s="8" t="s">
        <v>939</v>
      </c>
      <c r="W251" s="8" t="s">
        <v>939</v>
      </c>
      <c r="X251" s="27" t="s">
        <v>939</v>
      </c>
      <c r="Y251" s="27" t="s">
        <v>939</v>
      </c>
      <c r="Z251" s="27" t="s">
        <v>939</v>
      </c>
      <c r="AA251" s="27" t="s">
        <v>939</v>
      </c>
      <c r="AB251" s="27" t="s">
        <v>939</v>
      </c>
      <c r="AC251" s="27" t="s">
        <v>939</v>
      </c>
      <c r="AD251" s="27" t="s">
        <v>939</v>
      </c>
      <c r="AE251" s="27" t="s">
        <v>939</v>
      </c>
      <c r="AF251" s="27" t="s">
        <v>939</v>
      </c>
      <c r="AG251" s="27" t="s">
        <v>939</v>
      </c>
      <c r="AH251" s="27" t="s">
        <v>939</v>
      </c>
      <c r="AI251" s="27" t="s">
        <v>939</v>
      </c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1196</v>
      </c>
      <c r="L252" s="17">
        <f t="shared" si="14"/>
        <v>7</v>
      </c>
      <c r="M252" s="17">
        <f t="shared" si="15"/>
        <v>21</v>
      </c>
      <c r="N252" s="18">
        <f t="shared" si="16"/>
        <v>0.25</v>
      </c>
      <c r="O252" s="27" t="s">
        <v>939</v>
      </c>
      <c r="P252" s="8" t="s">
        <v>939</v>
      </c>
      <c r="Q252" s="8" t="s">
        <v>939</v>
      </c>
      <c r="R252" s="8" t="s">
        <v>939</v>
      </c>
      <c r="S252" s="27" t="s">
        <v>939</v>
      </c>
      <c r="T252" s="27" t="s">
        <v>939</v>
      </c>
      <c r="U252" s="8" t="s">
        <v>939</v>
      </c>
      <c r="V252" s="8" t="s">
        <v>939</v>
      </c>
      <c r="W252" s="8" t="s">
        <v>939</v>
      </c>
      <c r="X252" s="27" t="s">
        <v>939</v>
      </c>
      <c r="Y252" s="27" t="s">
        <v>939</v>
      </c>
      <c r="Z252" s="27" t="s">
        <v>939</v>
      </c>
      <c r="AA252" s="27" t="s">
        <v>939</v>
      </c>
      <c r="AB252" s="27" t="s">
        <v>939</v>
      </c>
      <c r="AC252" s="27" t="s">
        <v>939</v>
      </c>
      <c r="AD252" s="27" t="s">
        <v>939</v>
      </c>
      <c r="AE252" s="27" t="s">
        <v>939</v>
      </c>
      <c r="AF252" s="27" t="s">
        <v>939</v>
      </c>
      <c r="AG252" s="27" t="s">
        <v>939</v>
      </c>
      <c r="AH252" s="27" t="s">
        <v>939</v>
      </c>
      <c r="AI252" s="27" t="s">
        <v>939</v>
      </c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1197</v>
      </c>
      <c r="L253" s="17">
        <f t="shared" si="14"/>
        <v>7</v>
      </c>
      <c r="M253" s="17">
        <f t="shared" si="15"/>
        <v>21</v>
      </c>
      <c r="N253" s="18">
        <f t="shared" si="16"/>
        <v>0.25</v>
      </c>
      <c r="O253" s="27" t="s">
        <v>939</v>
      </c>
      <c r="P253" s="8" t="s">
        <v>939</v>
      </c>
      <c r="Q253" s="8" t="s">
        <v>939</v>
      </c>
      <c r="R253" s="8" t="s">
        <v>939</v>
      </c>
      <c r="S253" s="27" t="s">
        <v>939</v>
      </c>
      <c r="T253" s="27" t="s">
        <v>939</v>
      </c>
      <c r="U253" s="8" t="s">
        <v>939</v>
      </c>
      <c r="V253" s="8" t="s">
        <v>939</v>
      </c>
      <c r="W253" s="8" t="s">
        <v>939</v>
      </c>
      <c r="X253" s="27" t="s">
        <v>939</v>
      </c>
      <c r="Y253" s="27" t="s">
        <v>939</v>
      </c>
      <c r="Z253" s="27" t="s">
        <v>939</v>
      </c>
      <c r="AA253" s="27" t="s">
        <v>939</v>
      </c>
      <c r="AB253" s="27" t="s">
        <v>939</v>
      </c>
      <c r="AC253" s="27" t="s">
        <v>939</v>
      </c>
      <c r="AD253" s="27" t="s">
        <v>939</v>
      </c>
      <c r="AE253" s="27" t="s">
        <v>939</v>
      </c>
      <c r="AF253" s="27" t="s">
        <v>939</v>
      </c>
      <c r="AG253" s="27" t="s">
        <v>939</v>
      </c>
      <c r="AH253" s="27" t="s">
        <v>939</v>
      </c>
      <c r="AI253" s="27" t="s">
        <v>939</v>
      </c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1198</v>
      </c>
      <c r="L254" s="17">
        <f t="shared" si="14"/>
        <v>7</v>
      </c>
      <c r="M254" s="17">
        <f t="shared" si="15"/>
        <v>21</v>
      </c>
      <c r="N254" s="18">
        <f t="shared" si="16"/>
        <v>0.25</v>
      </c>
      <c r="O254" s="27" t="s">
        <v>939</v>
      </c>
      <c r="P254" s="8" t="s">
        <v>939</v>
      </c>
      <c r="Q254" s="8" t="s">
        <v>939</v>
      </c>
      <c r="R254" s="8" t="s">
        <v>939</v>
      </c>
      <c r="S254" s="27" t="s">
        <v>939</v>
      </c>
      <c r="T254" s="27" t="s">
        <v>939</v>
      </c>
      <c r="U254" s="8" t="s">
        <v>939</v>
      </c>
      <c r="V254" s="8" t="s">
        <v>939</v>
      </c>
      <c r="W254" s="8" t="s">
        <v>939</v>
      </c>
      <c r="X254" s="27" t="s">
        <v>939</v>
      </c>
      <c r="Y254" s="27" t="s">
        <v>939</v>
      </c>
      <c r="Z254" s="27" t="s">
        <v>939</v>
      </c>
      <c r="AA254" s="27" t="s">
        <v>939</v>
      </c>
      <c r="AB254" s="27" t="s">
        <v>939</v>
      </c>
      <c r="AC254" s="27" t="s">
        <v>939</v>
      </c>
      <c r="AD254" s="27" t="s">
        <v>939</v>
      </c>
      <c r="AE254" s="27" t="s">
        <v>939</v>
      </c>
      <c r="AF254" s="27" t="s">
        <v>939</v>
      </c>
      <c r="AG254" s="27" t="s">
        <v>939</v>
      </c>
      <c r="AH254" s="27" t="s">
        <v>939</v>
      </c>
      <c r="AI254" s="27" t="s">
        <v>939</v>
      </c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1199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8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1202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8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1203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8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1205</v>
      </c>
      <c r="L258" s="17">
        <f t="shared" si="14"/>
        <v>28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8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1206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8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1200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8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1201</v>
      </c>
      <c r="L261" s="17">
        <f t="shared" si="14"/>
        <v>18</v>
      </c>
      <c r="M261" s="17">
        <f t="shared" si="15"/>
        <v>10</v>
      </c>
      <c r="N261" s="18">
        <f t="shared" si="16"/>
        <v>0.6428571428571429</v>
      </c>
      <c r="O261" s="27" t="s">
        <v>939</v>
      </c>
      <c r="P261" s="8" t="s">
        <v>939</v>
      </c>
      <c r="Q261" s="8" t="s">
        <v>939</v>
      </c>
      <c r="R261" s="8" t="s">
        <v>939</v>
      </c>
      <c r="S261" s="27" t="s">
        <v>939</v>
      </c>
      <c r="T261" s="27" t="s">
        <v>939</v>
      </c>
      <c r="U261" s="8" t="s">
        <v>939</v>
      </c>
      <c r="V261" s="8" t="s">
        <v>939</v>
      </c>
      <c r="W261" s="8" t="s">
        <v>939</v>
      </c>
      <c r="X261" s="27" t="s">
        <v>939</v>
      </c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945</v>
      </c>
      <c r="G262"/>
      <c r="H262" t="s">
        <v>669</v>
      </c>
      <c r="I262" s="16">
        <v>-348150250000</v>
      </c>
      <c r="J262" s="16">
        <v>-582640890000</v>
      </c>
      <c r="K262" s="16" t="s">
        <v>1204</v>
      </c>
      <c r="L262" s="17">
        <f t="shared" si="14"/>
        <v>22</v>
      </c>
      <c r="M262" s="17">
        <f t="shared" si="15"/>
        <v>6</v>
      </c>
      <c r="N262" s="18">
        <f t="shared" si="16"/>
        <v>0.7857142857142857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 t="s">
        <v>939</v>
      </c>
      <c r="AE262" s="27" t="s">
        <v>939</v>
      </c>
      <c r="AF262" s="27" t="s">
        <v>939</v>
      </c>
      <c r="AG262" s="27" t="s">
        <v>939</v>
      </c>
      <c r="AH262" s="27" t="s">
        <v>939</v>
      </c>
      <c r="AI262" s="27" t="s">
        <v>939</v>
      </c>
      <c r="AJ262" s="8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1207</v>
      </c>
      <c r="L263" s="17">
        <f t="shared" ref="L263:L326" si="17">COUNTIF(O263:AP263,"")</f>
        <v>23</v>
      </c>
      <c r="M263" s="17">
        <f t="shared" ref="M263:M326" si="18">COUNTIF(O263:AP263,"APAGADO")</f>
        <v>5</v>
      </c>
      <c r="N263" s="18">
        <f t="shared" ref="N263:N326" si="19">(L263)/(M263+L263)</f>
        <v>0.8214285714285714</v>
      </c>
      <c r="O263" s="27"/>
      <c r="P263" s="8"/>
      <c r="Q263" s="8"/>
      <c r="R263" s="8"/>
      <c r="S263" s="27"/>
      <c r="T263" s="27"/>
      <c r="U263" s="8"/>
      <c r="V263" s="8"/>
      <c r="W263" s="8" t="s">
        <v>939</v>
      </c>
      <c r="X263" s="27"/>
      <c r="Y263" s="27"/>
      <c r="Z263" s="27"/>
      <c r="AA263" s="27"/>
      <c r="AB263" s="27"/>
      <c r="AC263" s="27"/>
      <c r="AD263" s="27"/>
      <c r="AE263" s="27"/>
      <c r="AF263" s="27" t="s">
        <v>939</v>
      </c>
      <c r="AG263" s="27" t="s">
        <v>939</v>
      </c>
      <c r="AH263" s="27" t="s">
        <v>939</v>
      </c>
      <c r="AI263" s="27" t="s">
        <v>939</v>
      </c>
      <c r="AJ263" s="8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1208</v>
      </c>
      <c r="L264" s="17">
        <f t="shared" si="17"/>
        <v>23</v>
      </c>
      <c r="M264" s="17">
        <f t="shared" si="18"/>
        <v>5</v>
      </c>
      <c r="N264" s="18">
        <f t="shared" si="19"/>
        <v>0.8214285714285714</v>
      </c>
      <c r="O264" s="27"/>
      <c r="P264" s="8"/>
      <c r="Q264" s="8"/>
      <c r="R264" s="8"/>
      <c r="S264" s="27"/>
      <c r="T264" s="27"/>
      <c r="U264" s="8"/>
      <c r="V264" s="8"/>
      <c r="W264" s="8" t="s">
        <v>939</v>
      </c>
      <c r="X264" s="27"/>
      <c r="Y264" s="27"/>
      <c r="Z264" s="27"/>
      <c r="AA264" s="27"/>
      <c r="AB264" s="27"/>
      <c r="AC264" s="27"/>
      <c r="AD264" s="27"/>
      <c r="AE264" s="27"/>
      <c r="AF264" s="27" t="s">
        <v>939</v>
      </c>
      <c r="AG264" s="27" t="s">
        <v>939</v>
      </c>
      <c r="AH264" s="27" t="s">
        <v>939</v>
      </c>
      <c r="AI264" s="27" t="s">
        <v>939</v>
      </c>
      <c r="AJ264" s="8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1209</v>
      </c>
      <c r="L265" s="17">
        <f t="shared" si="17"/>
        <v>16</v>
      </c>
      <c r="M265" s="17">
        <f t="shared" si="18"/>
        <v>12</v>
      </c>
      <c r="N265" s="18">
        <f t="shared" si="19"/>
        <v>0.5714285714285714</v>
      </c>
      <c r="O265" s="27"/>
      <c r="P265" s="8" t="s">
        <v>939</v>
      </c>
      <c r="Q265" s="8" t="s">
        <v>939</v>
      </c>
      <c r="R265" s="8" t="s">
        <v>939</v>
      </c>
      <c r="S265" s="27" t="s">
        <v>939</v>
      </c>
      <c r="T265" s="27" t="s">
        <v>939</v>
      </c>
      <c r="U265" s="8" t="s">
        <v>939</v>
      </c>
      <c r="V265" s="8" t="s">
        <v>939</v>
      </c>
      <c r="W265" s="8" t="s">
        <v>939</v>
      </c>
      <c r="X265" s="27"/>
      <c r="Y265" s="27"/>
      <c r="Z265" s="27"/>
      <c r="AA265" s="27"/>
      <c r="AB265" s="27"/>
      <c r="AC265" s="27"/>
      <c r="AD265" s="27"/>
      <c r="AE265" s="27"/>
      <c r="AF265" s="27" t="s">
        <v>939</v>
      </c>
      <c r="AG265" s="27" t="s">
        <v>939</v>
      </c>
      <c r="AH265" s="27" t="s">
        <v>939</v>
      </c>
      <c r="AI265" s="27" t="s">
        <v>939</v>
      </c>
      <c r="AJ265" s="8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1210</v>
      </c>
      <c r="L266" s="17">
        <f t="shared" si="17"/>
        <v>16</v>
      </c>
      <c r="M266" s="17">
        <f t="shared" si="18"/>
        <v>12</v>
      </c>
      <c r="N266" s="18">
        <f t="shared" si="19"/>
        <v>0.5714285714285714</v>
      </c>
      <c r="O266" s="27"/>
      <c r="P266" s="8" t="s">
        <v>939</v>
      </c>
      <c r="Q266" s="8" t="s">
        <v>939</v>
      </c>
      <c r="R266" s="8" t="s">
        <v>939</v>
      </c>
      <c r="S266" s="27" t="s">
        <v>939</v>
      </c>
      <c r="T266" s="27" t="s">
        <v>939</v>
      </c>
      <c r="U266" s="8" t="s">
        <v>939</v>
      </c>
      <c r="V266" s="8" t="s">
        <v>939</v>
      </c>
      <c r="W266" s="8" t="s">
        <v>939</v>
      </c>
      <c r="X266" s="27"/>
      <c r="Y266" s="27"/>
      <c r="Z266" s="27"/>
      <c r="AA266" s="27"/>
      <c r="AB266" s="27"/>
      <c r="AC266" s="27"/>
      <c r="AD266" s="27"/>
      <c r="AE266" s="27"/>
      <c r="AF266" s="27" t="s">
        <v>939</v>
      </c>
      <c r="AG266" s="27" t="s">
        <v>939</v>
      </c>
      <c r="AH266" s="27" t="s">
        <v>939</v>
      </c>
      <c r="AI266" s="27" t="s">
        <v>939</v>
      </c>
      <c r="AJ266" s="8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1217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8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1218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8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1219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8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1220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8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1193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8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1221</v>
      </c>
      <c r="L272" s="17">
        <f t="shared" si="17"/>
        <v>28</v>
      </c>
      <c r="M272" s="17">
        <f t="shared" si="18"/>
        <v>0</v>
      </c>
      <c r="N272" s="18">
        <f t="shared" si="19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8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1225</v>
      </c>
      <c r="L273" s="17">
        <f t="shared" si="17"/>
        <v>15</v>
      </c>
      <c r="M273" s="17">
        <f t="shared" si="18"/>
        <v>13</v>
      </c>
      <c r="N273" s="18">
        <f t="shared" si="19"/>
        <v>0.5357142857142857</v>
      </c>
      <c r="O273" s="27" t="s">
        <v>939</v>
      </c>
      <c r="P273" s="8" t="s">
        <v>939</v>
      </c>
      <c r="Q273" s="8" t="s">
        <v>939</v>
      </c>
      <c r="R273" s="8" t="s">
        <v>939</v>
      </c>
      <c r="S273" s="27" t="s">
        <v>939</v>
      </c>
      <c r="T273" s="27" t="s">
        <v>939</v>
      </c>
      <c r="U273" s="8"/>
      <c r="V273" s="8" t="s">
        <v>939</v>
      </c>
      <c r="W273" s="8" t="s">
        <v>939</v>
      </c>
      <c r="X273" s="27" t="s">
        <v>939</v>
      </c>
      <c r="Y273" s="27" t="s">
        <v>939</v>
      </c>
      <c r="Z273" s="27" t="s">
        <v>939</v>
      </c>
      <c r="AA273" s="27" t="s">
        <v>939</v>
      </c>
      <c r="AB273" s="27" t="s">
        <v>939</v>
      </c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1226</v>
      </c>
      <c r="L274" s="17">
        <f t="shared" si="17"/>
        <v>16</v>
      </c>
      <c r="M274" s="17">
        <f t="shared" si="18"/>
        <v>12</v>
      </c>
      <c r="N274" s="18">
        <f t="shared" si="19"/>
        <v>0.5714285714285714</v>
      </c>
      <c r="O274" s="27" t="s">
        <v>939</v>
      </c>
      <c r="P274" s="8" t="s">
        <v>939</v>
      </c>
      <c r="Q274" s="8" t="s">
        <v>939</v>
      </c>
      <c r="R274" s="8" t="s">
        <v>939</v>
      </c>
      <c r="S274" s="27" t="s">
        <v>939</v>
      </c>
      <c r="T274" s="27" t="s">
        <v>939</v>
      </c>
      <c r="U274" s="8"/>
      <c r="V274" s="8" t="s">
        <v>939</v>
      </c>
      <c r="W274" s="8" t="s">
        <v>939</v>
      </c>
      <c r="X274" s="27" t="s">
        <v>939</v>
      </c>
      <c r="Y274" s="27" t="s">
        <v>939</v>
      </c>
      <c r="Z274" s="27"/>
      <c r="AA274" s="27" t="s">
        <v>939</v>
      </c>
      <c r="AB274" s="27" t="s">
        <v>939</v>
      </c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1213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8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1214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8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1215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8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1216</v>
      </c>
      <c r="L278" s="17">
        <f t="shared" si="17"/>
        <v>24</v>
      </c>
      <c r="M278" s="17">
        <f t="shared" si="18"/>
        <v>4</v>
      </c>
      <c r="N278" s="18">
        <f t="shared" si="19"/>
        <v>0.8571428571428571</v>
      </c>
      <c r="O278" s="27"/>
      <c r="P278" s="8" t="s">
        <v>939</v>
      </c>
      <c r="Q278" s="8" t="s">
        <v>939</v>
      </c>
      <c r="R278" s="8" t="s">
        <v>939</v>
      </c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 t="s">
        <v>939</v>
      </c>
      <c r="AH278" s="27"/>
      <c r="AI278" s="27"/>
      <c r="AJ278" s="8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1211</v>
      </c>
      <c r="L279" s="17">
        <f t="shared" si="17"/>
        <v>24</v>
      </c>
      <c r="M279" s="17">
        <f t="shared" si="18"/>
        <v>4</v>
      </c>
      <c r="N279" s="18">
        <f t="shared" si="19"/>
        <v>0.8571428571428571</v>
      </c>
      <c r="O279" s="27" t="s">
        <v>939</v>
      </c>
      <c r="P279" s="8" t="s">
        <v>939</v>
      </c>
      <c r="Q279" s="8" t="s">
        <v>939</v>
      </c>
      <c r="R279" s="8" t="s">
        <v>939</v>
      </c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1212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8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1222</v>
      </c>
      <c r="L281" s="17">
        <f t="shared" si="17"/>
        <v>14</v>
      </c>
      <c r="M281" s="17">
        <f t="shared" si="18"/>
        <v>14</v>
      </c>
      <c r="N281" s="18">
        <f t="shared" si="19"/>
        <v>0.5</v>
      </c>
      <c r="O281" s="27"/>
      <c r="P281" s="8"/>
      <c r="Q281" s="8"/>
      <c r="R281" s="8"/>
      <c r="S281" s="27"/>
      <c r="T281" s="27"/>
      <c r="U281" s="8"/>
      <c r="V281" s="8" t="s">
        <v>939</v>
      </c>
      <c r="W281" s="8" t="s">
        <v>939</v>
      </c>
      <c r="X281" s="27" t="s">
        <v>939</v>
      </c>
      <c r="Y281" s="27" t="s">
        <v>939</v>
      </c>
      <c r="Z281" s="27" t="s">
        <v>939</v>
      </c>
      <c r="AA281" s="27" t="s">
        <v>939</v>
      </c>
      <c r="AB281" s="27" t="s">
        <v>939</v>
      </c>
      <c r="AC281" s="27" t="s">
        <v>939</v>
      </c>
      <c r="AD281" s="27" t="s">
        <v>939</v>
      </c>
      <c r="AE281" s="27" t="s">
        <v>939</v>
      </c>
      <c r="AF281" s="27" t="s">
        <v>939</v>
      </c>
      <c r="AG281" s="27" t="s">
        <v>939</v>
      </c>
      <c r="AH281" s="27" t="s">
        <v>939</v>
      </c>
      <c r="AI281" s="27" t="s">
        <v>939</v>
      </c>
      <c r="AJ281" s="8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1223</v>
      </c>
      <c r="L282" s="17">
        <f t="shared" si="17"/>
        <v>9</v>
      </c>
      <c r="M282" s="17">
        <f t="shared" si="18"/>
        <v>19</v>
      </c>
      <c r="N282" s="18">
        <f t="shared" si="19"/>
        <v>0.32142857142857145</v>
      </c>
      <c r="O282" s="27" t="s">
        <v>939</v>
      </c>
      <c r="P282" s="8" t="s">
        <v>939</v>
      </c>
      <c r="Q282" s="8" t="s">
        <v>939</v>
      </c>
      <c r="R282" s="8" t="s">
        <v>939</v>
      </c>
      <c r="S282" s="27"/>
      <c r="T282" s="27"/>
      <c r="U282" s="8" t="s">
        <v>939</v>
      </c>
      <c r="V282" s="8" t="s">
        <v>939</v>
      </c>
      <c r="W282" s="8" t="s">
        <v>939</v>
      </c>
      <c r="X282" s="27" t="s">
        <v>939</v>
      </c>
      <c r="Y282" s="27" t="s">
        <v>939</v>
      </c>
      <c r="Z282" s="27" t="s">
        <v>939</v>
      </c>
      <c r="AA282" s="27" t="s">
        <v>939</v>
      </c>
      <c r="AB282" s="27" t="s">
        <v>939</v>
      </c>
      <c r="AC282" s="27" t="s">
        <v>939</v>
      </c>
      <c r="AD282" s="27" t="s">
        <v>939</v>
      </c>
      <c r="AE282" s="27" t="s">
        <v>939</v>
      </c>
      <c r="AF282" s="27" t="s">
        <v>939</v>
      </c>
      <c r="AG282" s="27" t="s">
        <v>939</v>
      </c>
      <c r="AH282" s="27" t="s">
        <v>939</v>
      </c>
      <c r="AI282" s="27" t="s">
        <v>939</v>
      </c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1224</v>
      </c>
      <c r="L283" s="17">
        <f t="shared" si="17"/>
        <v>28</v>
      </c>
      <c r="M283" s="17">
        <f t="shared" si="18"/>
        <v>0</v>
      </c>
      <c r="N283" s="18">
        <f t="shared" si="19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8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1227</v>
      </c>
      <c r="L284" s="17">
        <f t="shared" si="17"/>
        <v>24</v>
      </c>
      <c r="M284" s="17">
        <f t="shared" si="18"/>
        <v>4</v>
      </c>
      <c r="N284" s="18">
        <f t="shared" si="19"/>
        <v>0.8571428571428571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 t="s">
        <v>939</v>
      </c>
      <c r="AG284" s="27" t="s">
        <v>939</v>
      </c>
      <c r="AH284" s="27" t="s">
        <v>939</v>
      </c>
      <c r="AI284" s="27" t="s">
        <v>939</v>
      </c>
      <c r="AJ284" s="8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1228</v>
      </c>
      <c r="L285" s="17">
        <f t="shared" si="17"/>
        <v>24</v>
      </c>
      <c r="M285" s="17">
        <f t="shared" si="18"/>
        <v>4</v>
      </c>
      <c r="N285" s="18">
        <f t="shared" si="19"/>
        <v>0.8571428571428571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 t="s">
        <v>939</v>
      </c>
      <c r="AG285" s="27" t="s">
        <v>939</v>
      </c>
      <c r="AH285" s="27" t="s">
        <v>939</v>
      </c>
      <c r="AI285" s="27" t="s">
        <v>939</v>
      </c>
      <c r="AJ285" s="8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1229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8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1230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8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945</v>
      </c>
      <c r="G288" t="s">
        <v>727</v>
      </c>
      <c r="H288"/>
      <c r="I288" s="16">
        <v>-347888010000</v>
      </c>
      <c r="J288" s="16">
        <v>-582597900000</v>
      </c>
      <c r="K288" s="16" t="s">
        <v>1231</v>
      </c>
      <c r="L288" s="17">
        <f t="shared" si="17"/>
        <v>27</v>
      </c>
      <c r="M288" s="17">
        <f t="shared" si="18"/>
        <v>1</v>
      </c>
      <c r="N288" s="18">
        <f t="shared" si="19"/>
        <v>0.9642857142857143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 t="s">
        <v>939</v>
      </c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8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1232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8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1233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8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1234</v>
      </c>
      <c r="L291" s="17">
        <f t="shared" si="17"/>
        <v>28</v>
      </c>
      <c r="M291" s="17">
        <f t="shared" si="18"/>
        <v>0</v>
      </c>
      <c r="N291" s="18">
        <f t="shared" si="19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8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1235</v>
      </c>
      <c r="L292" s="17">
        <f t="shared" si="17"/>
        <v>28</v>
      </c>
      <c r="M292" s="17">
        <f t="shared" si="18"/>
        <v>0</v>
      </c>
      <c r="N292" s="18">
        <f t="shared" si="19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8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1236</v>
      </c>
      <c r="L293" s="17">
        <f t="shared" si="17"/>
        <v>28</v>
      </c>
      <c r="M293" s="17">
        <f t="shared" si="18"/>
        <v>0</v>
      </c>
      <c r="N293" s="18">
        <f t="shared" si="19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8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1237</v>
      </c>
      <c r="L294" s="17">
        <f t="shared" si="17"/>
        <v>28</v>
      </c>
      <c r="M294" s="17">
        <f t="shared" si="18"/>
        <v>0</v>
      </c>
      <c r="N294" s="18">
        <f t="shared" si="19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8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945</v>
      </c>
      <c r="G295" t="s">
        <v>735</v>
      </c>
      <c r="H295"/>
      <c r="I295" s="16">
        <v>-347917260000</v>
      </c>
      <c r="J295" s="16">
        <v>-582524730000</v>
      </c>
      <c r="K295" s="16" t="s">
        <v>1238</v>
      </c>
      <c r="L295" s="17">
        <f t="shared" si="17"/>
        <v>28</v>
      </c>
      <c r="M295" s="17">
        <f t="shared" si="18"/>
        <v>0</v>
      </c>
      <c r="N295" s="18">
        <f t="shared" si="19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8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945</v>
      </c>
      <c r="G296" t="s">
        <v>161</v>
      </c>
      <c r="H296"/>
      <c r="I296" s="16">
        <v>-347867610000</v>
      </c>
      <c r="J296" s="16">
        <v>-582563190000</v>
      </c>
      <c r="K296" s="16" t="s">
        <v>1239</v>
      </c>
      <c r="L296" s="17">
        <f t="shared" si="17"/>
        <v>27</v>
      </c>
      <c r="M296" s="17">
        <f t="shared" si="18"/>
        <v>1</v>
      </c>
      <c r="N296" s="18">
        <f t="shared" si="19"/>
        <v>0.9642857142857143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 t="s">
        <v>939</v>
      </c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8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1240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/>
      <c r="P297" s="8"/>
      <c r="Q297" s="8"/>
      <c r="R297" s="8"/>
      <c r="S297" s="27"/>
      <c r="T297" s="27" t="s">
        <v>939</v>
      </c>
      <c r="U297" s="8"/>
      <c r="V297" s="8" t="s">
        <v>939</v>
      </c>
      <c r="W297" s="8" t="s">
        <v>939</v>
      </c>
      <c r="X297" s="27" t="s">
        <v>939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8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1241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8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1242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8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1243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8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1244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8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1245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8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1246</v>
      </c>
      <c r="L303" s="17">
        <f t="shared" si="17"/>
        <v>28</v>
      </c>
      <c r="M303" s="17">
        <f t="shared" si="18"/>
        <v>0</v>
      </c>
      <c r="N303" s="18">
        <f t="shared" si="19"/>
        <v>1</v>
      </c>
      <c r="O303" s="27"/>
      <c r="P303" s="8"/>
      <c r="Q303" s="8"/>
      <c r="R303" s="8"/>
      <c r="S303" s="27"/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8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1247</v>
      </c>
      <c r="L304" s="17">
        <f t="shared" si="17"/>
        <v>17</v>
      </c>
      <c r="M304" s="17">
        <f t="shared" si="18"/>
        <v>11</v>
      </c>
      <c r="N304" s="18">
        <f t="shared" si="19"/>
        <v>0.6071428571428571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 t="s">
        <v>939</v>
      </c>
      <c r="Z304" s="27" t="s">
        <v>939</v>
      </c>
      <c r="AA304" s="27" t="s">
        <v>939</v>
      </c>
      <c r="AB304" s="27" t="s">
        <v>939</v>
      </c>
      <c r="AC304" s="27" t="s">
        <v>939</v>
      </c>
      <c r="AD304" s="27" t="s">
        <v>939</v>
      </c>
      <c r="AE304" s="27" t="s">
        <v>939</v>
      </c>
      <c r="AF304" s="27" t="s">
        <v>939</v>
      </c>
      <c r="AG304" s="27" t="s">
        <v>939</v>
      </c>
      <c r="AH304" s="27" t="s">
        <v>939</v>
      </c>
      <c r="AI304" s="27" t="s">
        <v>939</v>
      </c>
      <c r="AJ304" s="8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1248</v>
      </c>
      <c r="L305" s="17">
        <f t="shared" si="17"/>
        <v>17</v>
      </c>
      <c r="M305" s="17">
        <f t="shared" si="18"/>
        <v>11</v>
      </c>
      <c r="N305" s="18">
        <f t="shared" si="19"/>
        <v>0.6071428571428571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 t="s">
        <v>939</v>
      </c>
      <c r="Z305" s="27" t="s">
        <v>939</v>
      </c>
      <c r="AA305" s="27" t="s">
        <v>939</v>
      </c>
      <c r="AB305" s="27" t="s">
        <v>939</v>
      </c>
      <c r="AC305" s="27" t="s">
        <v>939</v>
      </c>
      <c r="AD305" s="27" t="s">
        <v>939</v>
      </c>
      <c r="AE305" s="27" t="s">
        <v>939</v>
      </c>
      <c r="AF305" s="27" t="s">
        <v>939</v>
      </c>
      <c r="AG305" s="27" t="s">
        <v>939</v>
      </c>
      <c r="AH305" s="27" t="s">
        <v>939</v>
      </c>
      <c r="AI305" s="27" t="s">
        <v>939</v>
      </c>
      <c r="AJ305" s="8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1249</v>
      </c>
      <c r="L306" s="17">
        <f t="shared" si="17"/>
        <v>17</v>
      </c>
      <c r="M306" s="17">
        <f t="shared" si="18"/>
        <v>11</v>
      </c>
      <c r="N306" s="18">
        <f t="shared" si="19"/>
        <v>0.6071428571428571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 t="s">
        <v>939</v>
      </c>
      <c r="Z306" s="27" t="s">
        <v>939</v>
      </c>
      <c r="AA306" s="27" t="s">
        <v>939</v>
      </c>
      <c r="AB306" s="27" t="s">
        <v>939</v>
      </c>
      <c r="AC306" s="27" t="s">
        <v>939</v>
      </c>
      <c r="AD306" s="27" t="s">
        <v>939</v>
      </c>
      <c r="AE306" s="27" t="s">
        <v>939</v>
      </c>
      <c r="AF306" s="27" t="s">
        <v>939</v>
      </c>
      <c r="AG306" s="27" t="s">
        <v>939</v>
      </c>
      <c r="AH306" s="27" t="s">
        <v>939</v>
      </c>
      <c r="AI306" s="27" t="s">
        <v>939</v>
      </c>
      <c r="AJ306" s="8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1250</v>
      </c>
      <c r="L307" s="17">
        <f t="shared" si="17"/>
        <v>17</v>
      </c>
      <c r="M307" s="17">
        <f t="shared" si="18"/>
        <v>11</v>
      </c>
      <c r="N307" s="18">
        <f t="shared" si="19"/>
        <v>0.6071428571428571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 t="s">
        <v>939</v>
      </c>
      <c r="Z307" s="27" t="s">
        <v>939</v>
      </c>
      <c r="AA307" s="27" t="s">
        <v>939</v>
      </c>
      <c r="AB307" s="27" t="s">
        <v>939</v>
      </c>
      <c r="AC307" s="27" t="s">
        <v>939</v>
      </c>
      <c r="AD307" s="27" t="s">
        <v>939</v>
      </c>
      <c r="AE307" s="27" t="s">
        <v>939</v>
      </c>
      <c r="AF307" s="27" t="s">
        <v>939</v>
      </c>
      <c r="AG307" s="27" t="s">
        <v>939</v>
      </c>
      <c r="AH307" s="27" t="s">
        <v>939</v>
      </c>
      <c r="AI307" s="27" t="s">
        <v>939</v>
      </c>
      <c r="AJ307" s="8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" thickBot="1" x14ac:dyDescent="0.35">
      <c r="C308" s="45" t="s">
        <v>769</v>
      </c>
      <c r="D308" t="s">
        <v>770</v>
      </c>
      <c r="E308" t="s">
        <v>19</v>
      </c>
      <c r="F308" t="s">
        <v>945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1262</v>
      </c>
      <c r="L308" s="17">
        <f t="shared" si="17"/>
        <v>24</v>
      </c>
      <c r="M308" s="17">
        <f t="shared" si="18"/>
        <v>4</v>
      </c>
      <c r="N308" s="18">
        <f t="shared" si="19"/>
        <v>0.8571428571428571</v>
      </c>
      <c r="O308" s="27" t="s">
        <v>939</v>
      </c>
      <c r="P308" s="8" t="s">
        <v>939</v>
      </c>
      <c r="Q308" s="8"/>
      <c r="R308" s="8"/>
      <c r="S308" s="27" t="s">
        <v>939</v>
      </c>
      <c r="T308" s="27"/>
      <c r="U308" s="8"/>
      <c r="V308" s="8"/>
      <c r="W308" s="8"/>
      <c r="X308" s="27"/>
      <c r="Y308" s="27"/>
      <c r="Z308" s="27"/>
      <c r="AA308" s="27" t="s">
        <v>939</v>
      </c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945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1263</v>
      </c>
      <c r="L309" s="17">
        <f t="shared" si="17"/>
        <v>28</v>
      </c>
      <c r="M309" s="17">
        <f t="shared" si="18"/>
        <v>0</v>
      </c>
      <c r="N309" s="18">
        <f t="shared" si="19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8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" thickBot="1" x14ac:dyDescent="0.35">
      <c r="C310" s="45" t="s">
        <v>776</v>
      </c>
      <c r="D310" t="s">
        <v>777</v>
      </c>
      <c r="E310" t="s">
        <v>19</v>
      </c>
      <c r="F310" t="s">
        <v>945</v>
      </c>
      <c r="G310" t="s">
        <v>778</v>
      </c>
      <c r="H310"/>
      <c r="I310" s="16">
        <v>-348129440000</v>
      </c>
      <c r="J310" s="16">
        <v>-582759900000</v>
      </c>
      <c r="K310" s="16" t="s">
        <v>1265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8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945</v>
      </c>
      <c r="G311"/>
      <c r="H311" t="s">
        <v>782</v>
      </c>
      <c r="I311" s="16">
        <v>-348174960000</v>
      </c>
      <c r="J311" s="16">
        <v>-582687670000</v>
      </c>
      <c r="K311" s="16" t="s">
        <v>1266</v>
      </c>
      <c r="L311" s="17">
        <f t="shared" si="17"/>
        <v>22</v>
      </c>
      <c r="M311" s="17">
        <f t="shared" si="18"/>
        <v>6</v>
      </c>
      <c r="N311" s="18">
        <f t="shared" si="19"/>
        <v>0.7857142857142857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 t="s">
        <v>939</v>
      </c>
      <c r="AE311" s="27" t="s">
        <v>939</v>
      </c>
      <c r="AF311" s="27" t="s">
        <v>939</v>
      </c>
      <c r="AG311" s="27" t="s">
        <v>939</v>
      </c>
      <c r="AH311" s="27" t="s">
        <v>939</v>
      </c>
      <c r="AI311" s="27" t="s">
        <v>939</v>
      </c>
      <c r="AJ311" s="8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945</v>
      </c>
      <c r="G312"/>
      <c r="H312" t="s">
        <v>30</v>
      </c>
      <c r="I312" s="16">
        <v>-348206040000</v>
      </c>
      <c r="J312" s="16">
        <v>-582725050000</v>
      </c>
      <c r="K312" s="16" t="s">
        <v>1267</v>
      </c>
      <c r="L312" s="17">
        <f t="shared" si="17"/>
        <v>23</v>
      </c>
      <c r="M312" s="17">
        <f t="shared" si="18"/>
        <v>5</v>
      </c>
      <c r="N312" s="18">
        <f t="shared" si="19"/>
        <v>0.8214285714285714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 t="s">
        <v>939</v>
      </c>
      <c r="AF312" s="27" t="s">
        <v>939</v>
      </c>
      <c r="AG312" s="27" t="s">
        <v>939</v>
      </c>
      <c r="AH312" s="27" t="s">
        <v>939</v>
      </c>
      <c r="AI312" s="27" t="s">
        <v>939</v>
      </c>
      <c r="AJ312" s="8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945</v>
      </c>
      <c r="G313"/>
      <c r="H313" t="s">
        <v>692</v>
      </c>
      <c r="I313" s="16">
        <v>-348117590000</v>
      </c>
      <c r="J313" s="16">
        <v>-582727020000</v>
      </c>
      <c r="K313" s="16" t="s">
        <v>1268</v>
      </c>
      <c r="L313" s="17">
        <f t="shared" si="17"/>
        <v>22</v>
      </c>
      <c r="M313" s="17">
        <f t="shared" si="18"/>
        <v>6</v>
      </c>
      <c r="N313" s="18">
        <f t="shared" si="19"/>
        <v>0.7857142857142857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 t="s">
        <v>939</v>
      </c>
      <c r="AB313" s="27"/>
      <c r="AC313" s="27"/>
      <c r="AD313" s="27"/>
      <c r="AE313" s="27" t="s">
        <v>939</v>
      </c>
      <c r="AF313" s="27" t="s">
        <v>939</v>
      </c>
      <c r="AG313" s="27" t="s">
        <v>939</v>
      </c>
      <c r="AH313" s="27" t="s">
        <v>939</v>
      </c>
      <c r="AI313" s="27" t="s">
        <v>939</v>
      </c>
      <c r="AJ313" s="8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1269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8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1270</v>
      </c>
      <c r="L315" s="17">
        <f t="shared" si="17"/>
        <v>27</v>
      </c>
      <c r="M315" s="17">
        <f t="shared" si="18"/>
        <v>1</v>
      </c>
      <c r="N315" s="18">
        <f t="shared" si="19"/>
        <v>0.9642857142857143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 t="s">
        <v>939</v>
      </c>
      <c r="AB315" s="27"/>
      <c r="AC315" s="27"/>
      <c r="AD315" s="27"/>
      <c r="AE315" s="27"/>
      <c r="AF315" s="27"/>
      <c r="AG315" s="27"/>
      <c r="AH315" s="27"/>
      <c r="AI315" s="27"/>
      <c r="AJ315" s="8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1251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8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1252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8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1253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8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1254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8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1255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8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1256</v>
      </c>
      <c r="L321" s="17">
        <f t="shared" si="17"/>
        <v>12</v>
      </c>
      <c r="M321" s="17">
        <f t="shared" si="18"/>
        <v>16</v>
      </c>
      <c r="N321" s="18">
        <f t="shared" si="19"/>
        <v>0.42857142857142855</v>
      </c>
      <c r="O321" s="27" t="s">
        <v>939</v>
      </c>
      <c r="P321" s="8" t="s">
        <v>939</v>
      </c>
      <c r="Q321" s="8" t="s">
        <v>939</v>
      </c>
      <c r="R321" s="8" t="s">
        <v>939</v>
      </c>
      <c r="S321" s="27" t="s">
        <v>939</v>
      </c>
      <c r="T321" s="27" t="s">
        <v>939</v>
      </c>
      <c r="U321" s="8" t="s">
        <v>939</v>
      </c>
      <c r="V321" s="8" t="s">
        <v>939</v>
      </c>
      <c r="W321" s="8" t="s">
        <v>939</v>
      </c>
      <c r="X321" s="27" t="s">
        <v>939</v>
      </c>
      <c r="Y321" s="27"/>
      <c r="Z321" s="27"/>
      <c r="AA321" s="27"/>
      <c r="AB321" s="27"/>
      <c r="AC321" s="27"/>
      <c r="AD321" s="27" t="s">
        <v>939</v>
      </c>
      <c r="AE321" s="27" t="s">
        <v>939</v>
      </c>
      <c r="AF321" s="27" t="s">
        <v>939</v>
      </c>
      <c r="AG321" s="27" t="s">
        <v>939</v>
      </c>
      <c r="AH321" s="27" t="s">
        <v>939</v>
      </c>
      <c r="AI321" s="27" t="s">
        <v>939</v>
      </c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945</v>
      </c>
      <c r="G322" t="s">
        <v>804</v>
      </c>
      <c r="H322"/>
      <c r="I322" s="16">
        <v>-348119360000</v>
      </c>
      <c r="J322" s="16">
        <v>-582777500000</v>
      </c>
      <c r="K322" s="16" t="s">
        <v>1257</v>
      </c>
      <c r="L322" s="17">
        <f t="shared" si="17"/>
        <v>15</v>
      </c>
      <c r="M322" s="17">
        <f t="shared" si="18"/>
        <v>13</v>
      </c>
      <c r="N322" s="18">
        <f t="shared" si="19"/>
        <v>0.5357142857142857</v>
      </c>
      <c r="O322" s="27" t="s">
        <v>939</v>
      </c>
      <c r="P322" s="8" t="s">
        <v>939</v>
      </c>
      <c r="Q322" s="8" t="s">
        <v>939</v>
      </c>
      <c r="R322" s="8" t="s">
        <v>939</v>
      </c>
      <c r="S322" s="27" t="s">
        <v>939</v>
      </c>
      <c r="T322" s="27" t="s">
        <v>939</v>
      </c>
      <c r="U322" s="8" t="s">
        <v>939</v>
      </c>
      <c r="V322" s="8" t="s">
        <v>939</v>
      </c>
      <c r="W322" s="8" t="s">
        <v>939</v>
      </c>
      <c r="X322" s="27" t="s">
        <v>939</v>
      </c>
      <c r="Y322" s="27"/>
      <c r="Z322" s="27"/>
      <c r="AA322" s="27"/>
      <c r="AB322" s="27"/>
      <c r="AC322" s="27" t="s">
        <v>939</v>
      </c>
      <c r="AD322" s="27" t="s">
        <v>939</v>
      </c>
      <c r="AE322" s="27"/>
      <c r="AF322" s="27"/>
      <c r="AG322" s="27" t="s">
        <v>939</v>
      </c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1258</v>
      </c>
      <c r="L323" s="17">
        <f t="shared" si="17"/>
        <v>27</v>
      </c>
      <c r="M323" s="17">
        <f t="shared" si="18"/>
        <v>1</v>
      </c>
      <c r="N323" s="18">
        <f t="shared" si="19"/>
        <v>0.9642857142857143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 t="s">
        <v>939</v>
      </c>
      <c r="AH323" s="27"/>
      <c r="AI323" s="27"/>
      <c r="AJ323" s="8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1259</v>
      </c>
      <c r="L324" s="17">
        <f t="shared" si="17"/>
        <v>24</v>
      </c>
      <c r="M324" s="17">
        <f t="shared" si="18"/>
        <v>4</v>
      </c>
      <c r="N324" s="18">
        <f t="shared" si="19"/>
        <v>0.8571428571428571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 t="s">
        <v>939</v>
      </c>
      <c r="AE324" s="27" t="s">
        <v>939</v>
      </c>
      <c r="AF324" s="27" t="s">
        <v>939</v>
      </c>
      <c r="AG324" s="27"/>
      <c r="AH324" s="27"/>
      <c r="AI324" s="27" t="s">
        <v>939</v>
      </c>
      <c r="AJ324" s="8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1260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8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1261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8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1264</v>
      </c>
      <c r="L327" s="17">
        <f t="shared" ref="L327:L370" si="20">COUNTIF(O327:AP327,"")</f>
        <v>28</v>
      </c>
      <c r="M327" s="17">
        <f t="shared" ref="M327:M370" si="21">COUNTIF(O327:AP327,"APAGADO")</f>
        <v>0</v>
      </c>
      <c r="N327" s="18">
        <f t="shared" ref="N327:N370" si="22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8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1271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8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1272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8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1027</v>
      </c>
      <c r="L330" s="17">
        <f t="shared" si="20"/>
        <v>13</v>
      </c>
      <c r="M330" s="17">
        <f t="shared" si="21"/>
        <v>15</v>
      </c>
      <c r="N330" s="18">
        <f t="shared" si="22"/>
        <v>0.4642857142857143</v>
      </c>
      <c r="O330" s="27"/>
      <c r="P330" s="8" t="s">
        <v>939</v>
      </c>
      <c r="Q330" s="8" t="s">
        <v>939</v>
      </c>
      <c r="R330" s="8" t="s">
        <v>939</v>
      </c>
      <c r="S330" s="27" t="s">
        <v>939</v>
      </c>
      <c r="T330" s="27" t="s">
        <v>939</v>
      </c>
      <c r="U330" s="8" t="s">
        <v>939</v>
      </c>
      <c r="V330" s="8" t="s">
        <v>939</v>
      </c>
      <c r="W330" s="8" t="s">
        <v>939</v>
      </c>
      <c r="X330" s="27" t="s">
        <v>939</v>
      </c>
      <c r="Y330" s="27"/>
      <c r="Z330" s="27"/>
      <c r="AA330" s="27"/>
      <c r="AB330" s="27" t="s">
        <v>939</v>
      </c>
      <c r="AC330" s="27" t="s">
        <v>939</v>
      </c>
      <c r="AD330" s="27" t="s">
        <v>939</v>
      </c>
      <c r="AE330" s="27"/>
      <c r="AF330" s="27"/>
      <c r="AG330" s="27" t="s">
        <v>939</v>
      </c>
      <c r="AH330" s="27" t="s">
        <v>939</v>
      </c>
      <c r="AI330" s="27" t="s">
        <v>939</v>
      </c>
      <c r="AJ330" s="8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1273</v>
      </c>
      <c r="L331" s="17">
        <f t="shared" si="20"/>
        <v>13</v>
      </c>
      <c r="M331" s="17">
        <f t="shared" si="21"/>
        <v>15</v>
      </c>
      <c r="N331" s="18">
        <f t="shared" si="22"/>
        <v>0.4642857142857143</v>
      </c>
      <c r="O331" s="27"/>
      <c r="P331" s="8" t="s">
        <v>939</v>
      </c>
      <c r="Q331" s="8" t="s">
        <v>939</v>
      </c>
      <c r="R331" s="8" t="s">
        <v>939</v>
      </c>
      <c r="S331" s="27" t="s">
        <v>939</v>
      </c>
      <c r="T331" s="27" t="s">
        <v>939</v>
      </c>
      <c r="U331" s="8" t="s">
        <v>939</v>
      </c>
      <c r="V331" s="8" t="s">
        <v>939</v>
      </c>
      <c r="W331" s="8" t="s">
        <v>939</v>
      </c>
      <c r="X331" s="27" t="s">
        <v>939</v>
      </c>
      <c r="Y331" s="27"/>
      <c r="Z331" s="27"/>
      <c r="AA331" s="27"/>
      <c r="AB331" s="27" t="s">
        <v>939</v>
      </c>
      <c r="AC331" s="27" t="s">
        <v>939</v>
      </c>
      <c r="AD331" s="27" t="s">
        <v>939</v>
      </c>
      <c r="AE331" s="27"/>
      <c r="AF331" s="27"/>
      <c r="AG331" s="27" t="s">
        <v>939</v>
      </c>
      <c r="AH331" s="27" t="s">
        <v>939</v>
      </c>
      <c r="AI331" s="27" t="s">
        <v>939</v>
      </c>
      <c r="AJ331" s="8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1280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8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1276</v>
      </c>
      <c r="L333" s="17">
        <f t="shared" si="20"/>
        <v>20</v>
      </c>
      <c r="M333" s="17">
        <f t="shared" si="21"/>
        <v>8</v>
      </c>
      <c r="N333" s="18">
        <f t="shared" si="22"/>
        <v>0.7142857142857143</v>
      </c>
      <c r="O333" s="27" t="s">
        <v>939</v>
      </c>
      <c r="P333" s="8" t="s">
        <v>939</v>
      </c>
      <c r="Q333" s="8" t="s">
        <v>939</v>
      </c>
      <c r="R333" s="8" t="s">
        <v>939</v>
      </c>
      <c r="S333" s="27" t="s">
        <v>939</v>
      </c>
      <c r="T333" s="27" t="s">
        <v>939</v>
      </c>
      <c r="U333" s="8" t="s">
        <v>939</v>
      </c>
      <c r="V333" s="8" t="s">
        <v>939</v>
      </c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1277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8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1274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8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1275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8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1278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8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1279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8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1281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 t="s">
        <v>939</v>
      </c>
      <c r="AE339" s="27"/>
      <c r="AF339" s="27"/>
      <c r="AG339" s="27"/>
      <c r="AH339" s="27"/>
      <c r="AI339" s="27"/>
      <c r="AJ339" s="8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1282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8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1283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8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1284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8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945</v>
      </c>
      <c r="G343" t="s">
        <v>65</v>
      </c>
      <c r="H343"/>
      <c r="I343" s="16">
        <v>-347937530000</v>
      </c>
      <c r="J343" s="16">
        <v>-582478490000</v>
      </c>
      <c r="K343" s="16" t="s">
        <v>1285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8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1286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8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1287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8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1288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8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1289</v>
      </c>
      <c r="L347" s="17">
        <f t="shared" si="20"/>
        <v>17</v>
      </c>
      <c r="M347" s="17">
        <f t="shared" si="21"/>
        <v>11</v>
      </c>
      <c r="N347" s="18">
        <f t="shared" si="22"/>
        <v>0.6071428571428571</v>
      </c>
      <c r="O347" s="27" t="s">
        <v>939</v>
      </c>
      <c r="P347" s="8" t="s">
        <v>939</v>
      </c>
      <c r="Q347" s="8" t="s">
        <v>939</v>
      </c>
      <c r="R347" s="8" t="s">
        <v>939</v>
      </c>
      <c r="S347" s="27" t="s">
        <v>939</v>
      </c>
      <c r="T347" s="27" t="s">
        <v>939</v>
      </c>
      <c r="U347" s="8" t="s">
        <v>939</v>
      </c>
      <c r="V347" s="8" t="s">
        <v>939</v>
      </c>
      <c r="W347" s="8" t="s">
        <v>939</v>
      </c>
      <c r="X347" s="27" t="s">
        <v>939</v>
      </c>
      <c r="Y347" s="27" t="s">
        <v>939</v>
      </c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1290</v>
      </c>
      <c r="L348" s="17">
        <f t="shared" si="20"/>
        <v>17</v>
      </c>
      <c r="M348" s="17">
        <f t="shared" si="21"/>
        <v>11</v>
      </c>
      <c r="N348" s="18">
        <f t="shared" si="22"/>
        <v>0.6071428571428571</v>
      </c>
      <c r="O348" s="27" t="s">
        <v>939</v>
      </c>
      <c r="P348" s="8" t="s">
        <v>939</v>
      </c>
      <c r="Q348" s="8" t="s">
        <v>939</v>
      </c>
      <c r="R348" s="8" t="s">
        <v>939</v>
      </c>
      <c r="S348" s="27" t="s">
        <v>939</v>
      </c>
      <c r="T348" s="27" t="s">
        <v>939</v>
      </c>
      <c r="U348" s="8" t="s">
        <v>939</v>
      </c>
      <c r="V348" s="8" t="s">
        <v>939</v>
      </c>
      <c r="W348" s="8" t="s">
        <v>939</v>
      </c>
      <c r="X348" s="27" t="s">
        <v>939</v>
      </c>
      <c r="Y348" s="27" t="s">
        <v>939</v>
      </c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1291</v>
      </c>
      <c r="L349" s="17">
        <f t="shared" si="20"/>
        <v>9</v>
      </c>
      <c r="M349" s="17">
        <f t="shared" si="21"/>
        <v>19</v>
      </c>
      <c r="N349" s="18">
        <f t="shared" si="22"/>
        <v>0.32142857142857145</v>
      </c>
      <c r="O349" s="27" t="s">
        <v>939</v>
      </c>
      <c r="P349" s="8" t="s">
        <v>939</v>
      </c>
      <c r="Q349" s="8" t="s">
        <v>939</v>
      </c>
      <c r="R349" s="8" t="s">
        <v>939</v>
      </c>
      <c r="S349" s="27" t="s">
        <v>939</v>
      </c>
      <c r="T349" s="27" t="s">
        <v>939</v>
      </c>
      <c r="U349" s="8" t="s">
        <v>939</v>
      </c>
      <c r="V349" s="8" t="s">
        <v>939</v>
      </c>
      <c r="W349" s="8" t="s">
        <v>939</v>
      </c>
      <c r="X349" s="27" t="s">
        <v>939</v>
      </c>
      <c r="Y349" s="27" t="s">
        <v>939</v>
      </c>
      <c r="Z349" s="27"/>
      <c r="AA349" s="27"/>
      <c r="AB349" s="27" t="s">
        <v>939</v>
      </c>
      <c r="AC349" s="27" t="s">
        <v>939</v>
      </c>
      <c r="AD349" s="27" t="s">
        <v>939</v>
      </c>
      <c r="AE349" s="27" t="s">
        <v>939</v>
      </c>
      <c r="AF349" s="27" t="s">
        <v>939</v>
      </c>
      <c r="AG349" s="27" t="s">
        <v>939</v>
      </c>
      <c r="AH349" s="27" t="s">
        <v>939</v>
      </c>
      <c r="AI349" s="27" t="s">
        <v>939</v>
      </c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1292</v>
      </c>
      <c r="L350" s="17">
        <f t="shared" si="20"/>
        <v>13</v>
      </c>
      <c r="M350" s="17">
        <f t="shared" si="21"/>
        <v>15</v>
      </c>
      <c r="N350" s="18">
        <f t="shared" si="22"/>
        <v>0.4642857142857143</v>
      </c>
      <c r="O350" s="27" t="s">
        <v>939</v>
      </c>
      <c r="P350" s="8" t="s">
        <v>939</v>
      </c>
      <c r="Q350" s="8" t="s">
        <v>939</v>
      </c>
      <c r="R350" s="8" t="s">
        <v>939</v>
      </c>
      <c r="S350" s="27"/>
      <c r="T350" s="27" t="s">
        <v>939</v>
      </c>
      <c r="U350" s="8" t="s">
        <v>939</v>
      </c>
      <c r="V350" s="8" t="s">
        <v>939</v>
      </c>
      <c r="W350" s="8"/>
      <c r="X350" s="27"/>
      <c r="Y350" s="27"/>
      <c r="Z350" s="27" t="s">
        <v>939</v>
      </c>
      <c r="AA350" s="27" t="s">
        <v>939</v>
      </c>
      <c r="AB350" s="27"/>
      <c r="AC350" s="27"/>
      <c r="AD350" s="27" t="s">
        <v>939</v>
      </c>
      <c r="AE350" s="27" t="s">
        <v>939</v>
      </c>
      <c r="AF350" s="27" t="s">
        <v>939</v>
      </c>
      <c r="AG350" s="27" t="s">
        <v>939</v>
      </c>
      <c r="AH350" s="27" t="s">
        <v>939</v>
      </c>
      <c r="AI350" s="27" t="s">
        <v>939</v>
      </c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1293</v>
      </c>
      <c r="L351" s="17">
        <f t="shared" si="20"/>
        <v>17</v>
      </c>
      <c r="M351" s="17">
        <f t="shared" si="21"/>
        <v>11</v>
      </c>
      <c r="N351" s="18">
        <f t="shared" si="22"/>
        <v>0.6071428571428571</v>
      </c>
      <c r="O351" s="27" t="s">
        <v>939</v>
      </c>
      <c r="P351" s="8" t="s">
        <v>939</v>
      </c>
      <c r="Q351" s="8" t="s">
        <v>939</v>
      </c>
      <c r="R351" s="8" t="s">
        <v>939</v>
      </c>
      <c r="S351" s="27" t="s">
        <v>939</v>
      </c>
      <c r="T351" s="27" t="s">
        <v>939</v>
      </c>
      <c r="U351" s="8" t="s">
        <v>939</v>
      </c>
      <c r="V351" s="8" t="s">
        <v>939</v>
      </c>
      <c r="W351" s="8" t="s">
        <v>939</v>
      </c>
      <c r="X351" s="27" t="s">
        <v>939</v>
      </c>
      <c r="Y351" s="27" t="s">
        <v>939</v>
      </c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1294</v>
      </c>
      <c r="L352" s="17">
        <f t="shared" si="20"/>
        <v>28</v>
      </c>
      <c r="M352" s="17">
        <f t="shared" si="21"/>
        <v>0</v>
      </c>
      <c r="N352" s="18">
        <f t="shared" si="22"/>
        <v>1</v>
      </c>
      <c r="O352" s="27"/>
      <c r="P352" s="8"/>
      <c r="Q352" s="8"/>
      <c r="R352" s="8"/>
      <c r="S352" s="27"/>
      <c r="T352" s="27"/>
      <c r="U352" s="8"/>
      <c r="V352" s="8"/>
      <c r="W352" s="8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8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1295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8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1296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8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23</v>
      </c>
      <c r="M355" s="17">
        <f t="shared" si="21"/>
        <v>5</v>
      </c>
      <c r="N355" s="18">
        <f t="shared" si="22"/>
        <v>0.8214285714285714</v>
      </c>
      <c r="O355" s="27"/>
      <c r="P355" s="8"/>
      <c r="Q355" s="8"/>
      <c r="R355" s="8"/>
      <c r="S355" s="27" t="s">
        <v>939</v>
      </c>
      <c r="T355" s="27" t="s">
        <v>939</v>
      </c>
      <c r="U355" s="8"/>
      <c r="V355" s="8"/>
      <c r="W355" s="8"/>
      <c r="X355" s="27"/>
      <c r="Y355" s="27"/>
      <c r="Z355" s="27" t="s">
        <v>939</v>
      </c>
      <c r="AA355" s="27" t="s">
        <v>939</v>
      </c>
      <c r="AB355" s="27"/>
      <c r="AC355" s="27"/>
      <c r="AD355" s="27"/>
      <c r="AE355" s="27"/>
      <c r="AF355" s="27"/>
      <c r="AG355" s="27" t="s">
        <v>939</v>
      </c>
      <c r="AH355" s="27"/>
      <c r="AI355" s="27"/>
      <c r="AJ355" s="8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1297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8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1298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8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1299</v>
      </c>
      <c r="L358" s="17">
        <f t="shared" si="20"/>
        <v>28</v>
      </c>
      <c r="M358" s="17">
        <f t="shared" si="21"/>
        <v>0</v>
      </c>
      <c r="N358" s="18">
        <f t="shared" si="22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8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1300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8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1301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8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1302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8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1303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8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1304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8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1305</v>
      </c>
      <c r="L364" s="17">
        <f t="shared" si="20"/>
        <v>19</v>
      </c>
      <c r="M364" s="17">
        <f t="shared" si="21"/>
        <v>9</v>
      </c>
      <c r="N364" s="18">
        <f t="shared" si="22"/>
        <v>0.6785714285714286</v>
      </c>
      <c r="O364" s="27"/>
      <c r="P364" s="8"/>
      <c r="Q364" s="8"/>
      <c r="R364" s="8"/>
      <c r="S364" s="27"/>
      <c r="T364" s="27"/>
      <c r="U364" s="8" t="s">
        <v>939</v>
      </c>
      <c r="V364" s="8" t="s">
        <v>939</v>
      </c>
      <c r="W364" s="8" t="s">
        <v>939</v>
      </c>
      <c r="X364" s="27" t="s">
        <v>939</v>
      </c>
      <c r="Y364" s="27" t="s">
        <v>939</v>
      </c>
      <c r="Z364" s="27"/>
      <c r="AA364" s="27" t="s">
        <v>939</v>
      </c>
      <c r="AB364" s="27" t="s">
        <v>939</v>
      </c>
      <c r="AC364" s="27" t="s">
        <v>939</v>
      </c>
      <c r="AD364" s="27" t="s">
        <v>939</v>
      </c>
      <c r="AE364" s="27"/>
      <c r="AF364" s="27"/>
      <c r="AG364" s="27"/>
      <c r="AH364" s="27"/>
      <c r="AI364" s="27"/>
      <c r="AJ364" s="8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1306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8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1307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8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1311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8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1308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8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1309</v>
      </c>
      <c r="L369" s="17">
        <f t="shared" si="20"/>
        <v>17</v>
      </c>
      <c r="M369" s="17">
        <f t="shared" si="21"/>
        <v>11</v>
      </c>
      <c r="N369" s="18">
        <f t="shared" si="22"/>
        <v>0.6071428571428571</v>
      </c>
      <c r="O369" s="27" t="s">
        <v>939</v>
      </c>
      <c r="P369" s="8" t="s">
        <v>939</v>
      </c>
      <c r="Q369" s="8" t="s">
        <v>939</v>
      </c>
      <c r="R369" s="8" t="s">
        <v>939</v>
      </c>
      <c r="S369" s="27" t="s">
        <v>939</v>
      </c>
      <c r="T369" s="27" t="s">
        <v>939</v>
      </c>
      <c r="U369" s="8" t="s">
        <v>939</v>
      </c>
      <c r="V369" s="8" t="s">
        <v>939</v>
      </c>
      <c r="W369" s="8" t="s">
        <v>939</v>
      </c>
      <c r="X369" s="27" t="s">
        <v>939</v>
      </c>
      <c r="Y369" s="27" t="s">
        <v>939</v>
      </c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1310</v>
      </c>
      <c r="L370" s="17">
        <f t="shared" si="20"/>
        <v>27</v>
      </c>
      <c r="M370" s="17">
        <f t="shared" si="21"/>
        <v>1</v>
      </c>
      <c r="N370" s="18">
        <f t="shared" si="22"/>
        <v>0.9642857142857143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 t="s">
        <v>939</v>
      </c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" thickBot="1" x14ac:dyDescent="0.35">
      <c r="A371" t="s">
        <v>1318</v>
      </c>
      <c r="C371" s="45" t="s">
        <v>1314</v>
      </c>
      <c r="D371" t="s">
        <v>1316</v>
      </c>
      <c r="E371" s="45" t="s">
        <v>113</v>
      </c>
      <c r="F371" s="45" t="s">
        <v>36</v>
      </c>
      <c r="G371" s="9"/>
      <c r="H371" s="9" t="s">
        <v>1321</v>
      </c>
      <c r="I371" s="9"/>
      <c r="J371" s="9"/>
      <c r="K371" s="28" t="s">
        <v>1319</v>
      </c>
      <c r="L371" s="17">
        <f t="shared" ref="L371:L372" si="23">COUNTIF(O371:AP371,"")</f>
        <v>28</v>
      </c>
      <c r="M371" s="17">
        <f t="shared" ref="M371:M372" si="24">COUNTIF(O371:AP371,"APAGADO")</f>
        <v>0</v>
      </c>
      <c r="N371" s="18">
        <f t="shared" ref="N371:N372" si="25">(L371)/(M371+L371)</f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" thickBot="1" x14ac:dyDescent="0.35">
      <c r="A372" t="s">
        <v>1318</v>
      </c>
      <c r="C372" s="45" t="s">
        <v>1315</v>
      </c>
      <c r="D372" t="s">
        <v>1317</v>
      </c>
      <c r="E372" s="45" t="s">
        <v>113</v>
      </c>
      <c r="F372" s="45" t="s">
        <v>36</v>
      </c>
      <c r="G372" s="9" t="s">
        <v>1321</v>
      </c>
      <c r="H372" s="9"/>
      <c r="I372" s="9"/>
      <c r="J372" s="9"/>
      <c r="K372" s="28" t="s">
        <v>1320</v>
      </c>
      <c r="L372" s="17">
        <f t="shared" si="23"/>
        <v>28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x14ac:dyDescent="0.3">
      <c r="E373" s="9"/>
      <c r="F373" s="9"/>
      <c r="G373" s="9"/>
      <c r="H373" s="9"/>
      <c r="I373" s="9"/>
      <c r="J373" s="9"/>
      <c r="K373" s="28"/>
      <c r="N373" s="21"/>
      <c r="O373" s="28"/>
      <c r="P373" s="9"/>
      <c r="Q373" s="9"/>
      <c r="R373" s="9"/>
      <c r="S373" s="9"/>
      <c r="T373" s="9"/>
      <c r="U373" s="9"/>
      <c r="V373" s="9"/>
      <c r="W373" s="9"/>
      <c r="X373" s="9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9"/>
      <c r="AK373" s="9"/>
      <c r="AL373" s="9"/>
      <c r="AM373" s="9"/>
      <c r="AN373" s="9"/>
      <c r="AO373" s="9"/>
      <c r="AP373" s="9"/>
      <c r="AQ373" s="28"/>
      <c r="AR373" s="28"/>
      <c r="AS373" s="28"/>
    </row>
    <row r="374" spans="1:45" x14ac:dyDescent="0.3">
      <c r="E374" s="9"/>
      <c r="F374" s="9"/>
      <c r="G374" s="9"/>
      <c r="H374" s="9"/>
      <c r="I374" s="9"/>
      <c r="J374" s="9"/>
      <c r="K374" s="28"/>
      <c r="N374" s="21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9"/>
      <c r="AK374" s="9"/>
      <c r="AL374" s="9"/>
      <c r="AM374" s="9"/>
      <c r="AN374" s="9"/>
      <c r="AO374" s="9"/>
      <c r="AP374" s="9"/>
      <c r="AQ374" s="28"/>
      <c r="AR374" s="28"/>
      <c r="AS374" s="28"/>
    </row>
    <row r="375" spans="1:45" x14ac:dyDescent="0.3">
      <c r="E375" s="9"/>
      <c r="F375" s="9"/>
      <c r="G375" s="9"/>
      <c r="H375" s="9"/>
      <c r="I375" s="9"/>
      <c r="J375" s="9"/>
      <c r="K375" s="28"/>
      <c r="N375" s="21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9"/>
      <c r="AK375" s="9"/>
      <c r="AL375" s="9"/>
      <c r="AM375" s="9"/>
      <c r="AN375" s="9"/>
      <c r="AO375" s="9"/>
      <c r="AP375" s="9"/>
      <c r="AQ375" s="28"/>
      <c r="AR375" s="28"/>
      <c r="AS375" s="28"/>
    </row>
    <row r="376" spans="1:45" x14ac:dyDescent="0.3">
      <c r="E376" s="9"/>
      <c r="F376" s="9"/>
      <c r="G376" s="9"/>
      <c r="H376" s="9"/>
      <c r="I376" s="9"/>
      <c r="J376" s="9"/>
      <c r="K376" s="28"/>
      <c r="N376" s="21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9"/>
      <c r="AK376" s="9"/>
      <c r="AL376" s="9"/>
      <c r="AM376" s="9"/>
      <c r="AN376" s="9"/>
      <c r="AO376" s="9"/>
      <c r="AP376" s="9"/>
      <c r="AQ376" s="28"/>
      <c r="AR376" s="28"/>
      <c r="AS376" s="28"/>
    </row>
    <row r="377" spans="1:45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9"/>
      <c r="AK377" s="9"/>
      <c r="AL377" s="9"/>
      <c r="AM377" s="9"/>
      <c r="AN377" s="9"/>
      <c r="AO377" s="9"/>
      <c r="AP377" s="9"/>
      <c r="AQ377" s="28"/>
      <c r="AR377" s="28"/>
      <c r="AS377" s="28"/>
    </row>
    <row r="378" spans="1:45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9"/>
      <c r="AK378" s="9"/>
      <c r="AL378" s="9"/>
      <c r="AM378" s="9"/>
      <c r="AN378" s="9"/>
      <c r="AO378" s="9"/>
      <c r="AP378" s="9"/>
      <c r="AQ378" s="28"/>
      <c r="AR378" s="28"/>
      <c r="AS378" s="28"/>
    </row>
    <row r="379" spans="1:45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9"/>
      <c r="AK379" s="9"/>
      <c r="AL379" s="9"/>
      <c r="AM379" s="9"/>
      <c r="AN379" s="9"/>
      <c r="AO379" s="9"/>
      <c r="AP379" s="9"/>
      <c r="AQ379" s="28"/>
      <c r="AR379" s="28"/>
      <c r="AS379" s="28"/>
    </row>
    <row r="380" spans="1:45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9"/>
      <c r="AK380" s="9"/>
      <c r="AL380" s="9"/>
      <c r="AM380" s="9"/>
      <c r="AN380" s="9"/>
      <c r="AO380" s="9"/>
      <c r="AP380" s="9"/>
      <c r="AQ380" s="28"/>
      <c r="AR380" s="28"/>
      <c r="AS380" s="28"/>
    </row>
    <row r="381" spans="1:45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9"/>
      <c r="AK381" s="9"/>
      <c r="AL381" s="9"/>
      <c r="AM381" s="9"/>
      <c r="AN381" s="9"/>
      <c r="AO381" s="9"/>
      <c r="AP381" s="9"/>
      <c r="AQ381" s="28"/>
      <c r="AR381" s="28"/>
      <c r="AS381" s="28"/>
    </row>
    <row r="382" spans="1:45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9"/>
      <c r="AK382" s="9"/>
      <c r="AL382" s="9"/>
      <c r="AM382" s="9"/>
      <c r="AN382" s="9"/>
      <c r="AO382" s="9"/>
      <c r="AP382" s="9"/>
      <c r="AQ382" s="28"/>
      <c r="AR382" s="28"/>
      <c r="AS382" s="28"/>
    </row>
    <row r="383" spans="1:45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9"/>
      <c r="AK383" s="9"/>
      <c r="AL383" s="9"/>
      <c r="AM383" s="9"/>
      <c r="AN383" s="9"/>
      <c r="AO383" s="9"/>
      <c r="AP383" s="9"/>
      <c r="AQ383" s="28"/>
      <c r="AR383" s="28"/>
      <c r="AS383" s="28"/>
    </row>
    <row r="384" spans="1:45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9"/>
      <c r="AK384" s="9"/>
      <c r="AL384" s="9"/>
      <c r="AM384" s="9"/>
      <c r="AN384" s="9"/>
      <c r="AO384" s="9"/>
      <c r="AP384" s="9"/>
      <c r="AQ384" s="28"/>
      <c r="AR384" s="28"/>
      <c r="AS384" s="28"/>
    </row>
    <row r="385" spans="5:45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9"/>
      <c r="AK385" s="9"/>
      <c r="AL385" s="9"/>
      <c r="AM385" s="9"/>
      <c r="AN385" s="9"/>
      <c r="AO385" s="9"/>
      <c r="AP385" s="9"/>
      <c r="AQ385" s="28"/>
      <c r="AR385" s="28"/>
      <c r="AS385" s="28"/>
    </row>
    <row r="386" spans="5:45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9"/>
      <c r="AK386" s="9"/>
      <c r="AL386" s="9"/>
      <c r="AM386" s="9"/>
      <c r="AN386" s="9"/>
      <c r="AO386" s="9"/>
      <c r="AP386" s="9"/>
      <c r="AQ386" s="28"/>
      <c r="AR386" s="28"/>
      <c r="AS386" s="28"/>
    </row>
    <row r="387" spans="5:45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9"/>
      <c r="AK387" s="9"/>
      <c r="AL387" s="9"/>
      <c r="AM387" s="9"/>
      <c r="AN387" s="9"/>
      <c r="AO387" s="9"/>
      <c r="AP387" s="9"/>
      <c r="AQ387" s="28"/>
      <c r="AR387" s="28"/>
      <c r="AS387" s="28"/>
    </row>
    <row r="388" spans="5:45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9"/>
      <c r="AK388" s="9"/>
      <c r="AL388" s="9"/>
      <c r="AM388" s="9"/>
      <c r="AN388" s="9"/>
      <c r="AO388" s="9"/>
      <c r="AP388" s="9"/>
      <c r="AQ388" s="28"/>
      <c r="AR388" s="28"/>
      <c r="AS388" s="28"/>
    </row>
    <row r="389" spans="5:45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9"/>
      <c r="AK389" s="9"/>
      <c r="AL389" s="9"/>
      <c r="AM389" s="9"/>
      <c r="AN389" s="9"/>
      <c r="AO389" s="9"/>
      <c r="AP389" s="9"/>
      <c r="AQ389" s="28"/>
      <c r="AR389" s="28"/>
      <c r="AS389" s="28"/>
    </row>
    <row r="390" spans="5:45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9"/>
      <c r="AK390" s="9"/>
      <c r="AL390" s="9"/>
      <c r="AM390" s="9"/>
      <c r="AN390" s="9"/>
      <c r="AO390" s="9"/>
      <c r="AP390" s="9"/>
      <c r="AQ390" s="28"/>
      <c r="AR390" s="28"/>
      <c r="AS390" s="28"/>
    </row>
    <row r="391" spans="5:45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9"/>
      <c r="AK391" s="9"/>
      <c r="AL391" s="9"/>
      <c r="AM391" s="9"/>
      <c r="AN391" s="9"/>
      <c r="AO391" s="9"/>
      <c r="AP391" s="9"/>
      <c r="AQ391" s="28"/>
      <c r="AR391" s="28"/>
      <c r="AS391" s="28"/>
    </row>
    <row r="392" spans="5:45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9"/>
      <c r="AK392" s="9"/>
      <c r="AL392" s="9"/>
      <c r="AM392" s="9"/>
      <c r="AN392" s="9"/>
      <c r="AO392" s="9"/>
      <c r="AP392" s="9"/>
      <c r="AQ392" s="28"/>
      <c r="AR392" s="28"/>
      <c r="AS392" s="28"/>
    </row>
    <row r="393" spans="5:45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9"/>
      <c r="AK393" s="9"/>
      <c r="AL393" s="9"/>
      <c r="AM393" s="9"/>
      <c r="AN393" s="9"/>
      <c r="AO393" s="9"/>
      <c r="AP393" s="9"/>
      <c r="AQ393" s="28"/>
      <c r="AR393" s="28"/>
      <c r="AS393" s="28"/>
    </row>
    <row r="394" spans="5:45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9"/>
      <c r="AK394" s="9"/>
      <c r="AL394" s="9"/>
      <c r="AM394" s="9"/>
      <c r="AN394" s="9"/>
      <c r="AO394" s="9"/>
      <c r="AP394" s="9"/>
      <c r="AQ394" s="28"/>
      <c r="AR394" s="28"/>
      <c r="AS394" s="28"/>
    </row>
    <row r="395" spans="5:45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9"/>
      <c r="AK395" s="9"/>
      <c r="AL395" s="9"/>
      <c r="AM395" s="9"/>
      <c r="AN395" s="9"/>
      <c r="AO395" s="9"/>
      <c r="AP395" s="9"/>
      <c r="AQ395" s="28"/>
      <c r="AR395" s="28"/>
      <c r="AS395" s="28"/>
    </row>
    <row r="396" spans="5:45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9"/>
      <c r="AK396" s="9"/>
      <c r="AL396" s="9"/>
      <c r="AM396" s="9"/>
      <c r="AN396" s="9"/>
      <c r="AO396" s="9"/>
      <c r="AP396" s="9"/>
      <c r="AQ396" s="28"/>
      <c r="AR396" s="28"/>
      <c r="AS396" s="28"/>
    </row>
    <row r="397" spans="5:45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9"/>
      <c r="AK397" s="9"/>
      <c r="AL397" s="9"/>
      <c r="AM397" s="9"/>
      <c r="AN397" s="9"/>
      <c r="AO397" s="9"/>
      <c r="AP397" s="9"/>
      <c r="AQ397" s="28"/>
      <c r="AR397" s="28"/>
      <c r="AS397" s="28"/>
    </row>
    <row r="398" spans="5:45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9"/>
      <c r="AK398" s="9"/>
      <c r="AL398" s="9"/>
      <c r="AM398" s="9"/>
      <c r="AN398" s="9"/>
      <c r="AO398" s="9"/>
      <c r="AP398" s="9"/>
      <c r="AQ398" s="28"/>
      <c r="AR398" s="28"/>
      <c r="AS398" s="28"/>
    </row>
    <row r="399" spans="5:45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9"/>
      <c r="AK399" s="9"/>
      <c r="AL399" s="9"/>
      <c r="AM399" s="9"/>
      <c r="AN399" s="9"/>
      <c r="AO399" s="9"/>
      <c r="AP399" s="9"/>
      <c r="AQ399" s="28"/>
      <c r="AR399" s="28"/>
      <c r="AS399" s="28"/>
    </row>
    <row r="400" spans="5:45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9"/>
      <c r="AK400" s="9"/>
      <c r="AL400" s="9"/>
      <c r="AM400" s="9"/>
      <c r="AN400" s="9"/>
      <c r="AO400" s="9"/>
      <c r="AP400" s="9"/>
      <c r="AQ400" s="28"/>
      <c r="AR400" s="28"/>
      <c r="AS400" s="28"/>
    </row>
    <row r="401" spans="5:45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9"/>
      <c r="AK401" s="9"/>
      <c r="AL401" s="9"/>
      <c r="AM401" s="9"/>
      <c r="AN401" s="9"/>
      <c r="AO401" s="9"/>
      <c r="AP401" s="9"/>
      <c r="AQ401" s="28"/>
      <c r="AR401" s="28"/>
      <c r="AS401" s="28"/>
    </row>
    <row r="402" spans="5:45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9"/>
      <c r="AK402" s="9"/>
      <c r="AL402" s="9"/>
      <c r="AM402" s="9"/>
      <c r="AN402" s="9"/>
      <c r="AO402" s="9"/>
      <c r="AP402" s="9"/>
      <c r="AQ402" s="28"/>
      <c r="AR402" s="28"/>
      <c r="AS402" s="28"/>
    </row>
    <row r="403" spans="5:45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9"/>
      <c r="AK403" s="9"/>
      <c r="AL403" s="9"/>
      <c r="AM403" s="9"/>
      <c r="AN403" s="9"/>
      <c r="AO403" s="9"/>
      <c r="AP403" s="9"/>
      <c r="AQ403" s="28"/>
      <c r="AR403" s="28"/>
      <c r="AS403" s="28"/>
    </row>
    <row r="404" spans="5:45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9"/>
      <c r="AK404" s="9"/>
      <c r="AL404" s="9"/>
      <c r="AM404" s="9"/>
      <c r="AN404" s="9"/>
      <c r="AO404" s="9"/>
      <c r="AP404" s="9"/>
      <c r="AQ404" s="28"/>
      <c r="AR404" s="28"/>
      <c r="AS404" s="28"/>
    </row>
    <row r="405" spans="5:45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9"/>
      <c r="AK405" s="9"/>
      <c r="AL405" s="9"/>
      <c r="AM405" s="9"/>
      <c r="AN405" s="9"/>
      <c r="AO405" s="9"/>
      <c r="AP405" s="9"/>
      <c r="AQ405" s="28"/>
      <c r="AR405" s="28"/>
      <c r="AS405" s="28"/>
    </row>
    <row r="406" spans="5:45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9"/>
      <c r="AK406" s="9"/>
      <c r="AL406" s="9"/>
      <c r="AM406" s="9"/>
      <c r="AN406" s="9"/>
      <c r="AO406" s="9"/>
      <c r="AP406" s="9"/>
      <c r="AQ406" s="28"/>
      <c r="AR406" s="28"/>
      <c r="AS406" s="28"/>
    </row>
    <row r="407" spans="5:45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9"/>
      <c r="AK407" s="9"/>
      <c r="AL407" s="9"/>
      <c r="AM407" s="9"/>
      <c r="AN407" s="9"/>
      <c r="AO407" s="9"/>
      <c r="AP407" s="9"/>
      <c r="AQ407" s="28"/>
      <c r="AR407" s="28"/>
      <c r="AS407" s="28"/>
    </row>
    <row r="408" spans="5:45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9"/>
      <c r="AK408" s="9"/>
      <c r="AL408" s="9"/>
      <c r="AM408" s="9"/>
      <c r="AN408" s="9"/>
      <c r="AO408" s="9"/>
      <c r="AP408" s="9"/>
      <c r="AQ408" s="28"/>
      <c r="AR408" s="28"/>
      <c r="AS408" s="28"/>
    </row>
    <row r="409" spans="5:45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9"/>
      <c r="AK409" s="9"/>
      <c r="AL409" s="9"/>
      <c r="AM409" s="9"/>
      <c r="AN409" s="9"/>
      <c r="AO409" s="9"/>
      <c r="AP409" s="9"/>
      <c r="AQ409" s="28"/>
      <c r="AR409" s="28"/>
      <c r="AS409" s="28"/>
    </row>
    <row r="410" spans="5:45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9"/>
      <c r="AK410" s="9"/>
      <c r="AL410" s="9"/>
      <c r="AM410" s="9"/>
      <c r="AN410" s="9"/>
      <c r="AO410" s="9"/>
      <c r="AP410" s="9"/>
      <c r="AQ410" s="28"/>
      <c r="AR410" s="28"/>
      <c r="AS410" s="28"/>
    </row>
    <row r="411" spans="5:45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9"/>
      <c r="AK411" s="9"/>
      <c r="AL411" s="9"/>
      <c r="AM411" s="9"/>
      <c r="AN411" s="9"/>
      <c r="AO411" s="9"/>
      <c r="AP411" s="9"/>
      <c r="AQ411" s="28"/>
      <c r="AR411" s="28"/>
      <c r="AS411" s="28"/>
    </row>
    <row r="412" spans="5:45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9"/>
      <c r="AK412" s="9"/>
      <c r="AL412" s="9"/>
      <c r="AM412" s="9"/>
      <c r="AN412" s="9"/>
      <c r="AO412" s="9"/>
      <c r="AP412" s="9"/>
      <c r="AQ412" s="28"/>
      <c r="AR412" s="28"/>
      <c r="AS412" s="28"/>
    </row>
    <row r="413" spans="5:45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9"/>
      <c r="AK413" s="9"/>
      <c r="AL413" s="9"/>
      <c r="AM413" s="9"/>
      <c r="AN413" s="9"/>
      <c r="AO413" s="9"/>
      <c r="AP413" s="9"/>
      <c r="AQ413" s="28"/>
      <c r="AR413" s="28"/>
      <c r="AS413" s="28"/>
    </row>
    <row r="414" spans="5:45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9"/>
      <c r="AK414" s="9"/>
      <c r="AL414" s="9"/>
      <c r="AM414" s="9"/>
      <c r="AN414" s="9"/>
      <c r="AO414" s="9"/>
      <c r="AP414" s="9"/>
      <c r="AQ414" s="28"/>
      <c r="AR414" s="28"/>
      <c r="AS414" s="28"/>
    </row>
    <row r="415" spans="5:45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9"/>
      <c r="AK415" s="9"/>
      <c r="AL415" s="9"/>
      <c r="AM415" s="9"/>
      <c r="AN415" s="9"/>
      <c r="AO415" s="9"/>
      <c r="AP415" s="9"/>
      <c r="AQ415" s="28"/>
      <c r="AR415" s="28"/>
      <c r="AS415" s="28"/>
    </row>
    <row r="416" spans="5:45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9"/>
      <c r="AK416" s="9"/>
      <c r="AL416" s="9"/>
      <c r="AM416" s="9"/>
      <c r="AN416" s="9"/>
      <c r="AO416" s="9"/>
      <c r="AP416" s="9"/>
      <c r="AQ416" s="28"/>
      <c r="AR416" s="28"/>
      <c r="AS416" s="28"/>
    </row>
    <row r="417" spans="5:45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9"/>
      <c r="AK417" s="9"/>
      <c r="AL417" s="9"/>
      <c r="AM417" s="9"/>
      <c r="AN417" s="9"/>
      <c r="AO417" s="9"/>
      <c r="AP417" s="9"/>
      <c r="AQ417" s="28"/>
      <c r="AR417" s="28"/>
      <c r="AS417" s="28"/>
    </row>
    <row r="418" spans="5:45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9"/>
      <c r="AK418" s="9"/>
      <c r="AL418" s="9"/>
      <c r="AM418" s="9"/>
      <c r="AN418" s="9"/>
      <c r="AO418" s="9"/>
      <c r="AP418" s="9"/>
      <c r="AQ418" s="28"/>
      <c r="AR418" s="28"/>
      <c r="AS418" s="28"/>
    </row>
    <row r="419" spans="5:45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9"/>
      <c r="AK419" s="9"/>
      <c r="AL419" s="9"/>
      <c r="AM419" s="9"/>
      <c r="AN419" s="9"/>
      <c r="AO419" s="9"/>
      <c r="AP419" s="9"/>
      <c r="AQ419" s="28"/>
      <c r="AR419" s="28"/>
      <c r="AS419" s="28"/>
    </row>
    <row r="420" spans="5:45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9"/>
      <c r="AK420" s="9"/>
      <c r="AL420" s="9"/>
      <c r="AM420" s="9"/>
      <c r="AN420" s="9"/>
      <c r="AO420" s="9"/>
      <c r="AP420" s="9"/>
      <c r="AQ420" s="28"/>
      <c r="AR420" s="28"/>
      <c r="AS420" s="28"/>
    </row>
    <row r="421" spans="5:45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9"/>
      <c r="AK421" s="9"/>
      <c r="AL421" s="9"/>
      <c r="AM421" s="9"/>
      <c r="AN421" s="9"/>
      <c r="AO421" s="9"/>
      <c r="AP421" s="9"/>
      <c r="AQ421" s="28"/>
      <c r="AR421" s="28"/>
      <c r="AS421" s="28"/>
    </row>
    <row r="422" spans="5:45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9"/>
      <c r="AK422" s="9"/>
      <c r="AL422" s="9"/>
      <c r="AM422" s="9"/>
      <c r="AN422" s="9"/>
      <c r="AO422" s="9"/>
      <c r="AP422" s="9"/>
      <c r="AQ422" s="28"/>
      <c r="AR422" s="28"/>
      <c r="AS422" s="28"/>
    </row>
    <row r="423" spans="5:45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9"/>
      <c r="AK423" s="9"/>
      <c r="AL423" s="9"/>
      <c r="AM423" s="9"/>
      <c r="AN423" s="9"/>
      <c r="AO423" s="9"/>
      <c r="AP423" s="9"/>
      <c r="AQ423" s="28"/>
      <c r="AR423" s="28"/>
      <c r="AS423" s="28"/>
    </row>
    <row r="424" spans="5:45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9"/>
      <c r="AK424" s="9"/>
      <c r="AL424" s="9"/>
      <c r="AM424" s="9"/>
      <c r="AN424" s="9"/>
      <c r="AO424" s="9"/>
      <c r="AP424" s="9"/>
      <c r="AQ424" s="28"/>
      <c r="AR424" s="28"/>
      <c r="AS424" s="28"/>
    </row>
    <row r="425" spans="5:45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9"/>
      <c r="AK425" s="9"/>
      <c r="AL425" s="9"/>
      <c r="AM425" s="9"/>
      <c r="AN425" s="9"/>
      <c r="AO425" s="9"/>
      <c r="AP425" s="9"/>
      <c r="AQ425" s="28"/>
      <c r="AR425" s="28"/>
      <c r="AS425" s="28"/>
    </row>
    <row r="426" spans="5:45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9"/>
      <c r="AK426" s="9"/>
      <c r="AL426" s="9"/>
      <c r="AM426" s="9"/>
      <c r="AN426" s="9"/>
      <c r="AO426" s="9"/>
      <c r="AP426" s="9"/>
      <c r="AQ426" s="28"/>
      <c r="AR426" s="28"/>
      <c r="AS426" s="28"/>
    </row>
    <row r="427" spans="5:45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9"/>
      <c r="AK427" s="9"/>
      <c r="AL427" s="9"/>
      <c r="AM427" s="9"/>
      <c r="AN427" s="9"/>
      <c r="AO427" s="9"/>
      <c r="AP427" s="9"/>
      <c r="AQ427" s="28"/>
      <c r="AR427" s="28"/>
      <c r="AS427" s="28"/>
    </row>
    <row r="428" spans="5:45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9"/>
      <c r="AK428" s="9"/>
      <c r="AL428" s="9"/>
      <c r="AM428" s="9"/>
      <c r="AN428" s="9"/>
      <c r="AO428" s="9"/>
      <c r="AP428" s="9"/>
      <c r="AQ428" s="28"/>
      <c r="AR428" s="28"/>
      <c r="AS428" s="28"/>
    </row>
    <row r="429" spans="5:45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9"/>
      <c r="AK429" s="9"/>
      <c r="AL429" s="9"/>
      <c r="AM429" s="9"/>
      <c r="AN429" s="9"/>
      <c r="AO429" s="9"/>
      <c r="AP429" s="9"/>
      <c r="AQ429" s="28"/>
      <c r="AR429" s="28"/>
      <c r="AS429" s="28"/>
    </row>
    <row r="430" spans="5:45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9"/>
      <c r="AK430" s="9"/>
      <c r="AL430" s="9"/>
      <c r="AM430" s="9"/>
      <c r="AN430" s="9"/>
      <c r="AO430" s="9"/>
      <c r="AP430" s="9"/>
      <c r="AQ430" s="28"/>
      <c r="AR430" s="28"/>
      <c r="AS430" s="28"/>
    </row>
    <row r="431" spans="5:45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9"/>
      <c r="AK431" s="9"/>
      <c r="AL431" s="9"/>
      <c r="AM431" s="9"/>
      <c r="AN431" s="9"/>
      <c r="AO431" s="9"/>
      <c r="AP431" s="9"/>
      <c r="AQ431" s="28"/>
      <c r="AR431" s="28"/>
      <c r="AS431" s="28"/>
    </row>
    <row r="432" spans="5:45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9"/>
      <c r="AK432" s="9"/>
      <c r="AL432" s="9"/>
      <c r="AM432" s="9"/>
      <c r="AN432" s="9"/>
      <c r="AO432" s="9"/>
      <c r="AP432" s="9"/>
      <c r="AQ432" s="28"/>
      <c r="AR432" s="28"/>
      <c r="AS432" s="28"/>
    </row>
    <row r="433" spans="5:45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9"/>
      <c r="AK433" s="9"/>
      <c r="AL433" s="9"/>
      <c r="AM433" s="9"/>
      <c r="AN433" s="9"/>
      <c r="AO433" s="9"/>
      <c r="AP433" s="9"/>
      <c r="AQ433" s="28"/>
      <c r="AR433" s="28"/>
      <c r="AS433" s="28"/>
    </row>
    <row r="434" spans="5:45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9"/>
      <c r="AK434" s="9"/>
      <c r="AL434" s="9"/>
      <c r="AM434" s="9"/>
      <c r="AN434" s="9"/>
      <c r="AO434" s="9"/>
      <c r="AP434" s="9"/>
      <c r="AQ434" s="28"/>
      <c r="AR434" s="28"/>
      <c r="AS434" s="28"/>
    </row>
    <row r="435" spans="5:45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9"/>
      <c r="AK435" s="9"/>
      <c r="AL435" s="9"/>
      <c r="AM435" s="9"/>
      <c r="AN435" s="9"/>
      <c r="AO435" s="9"/>
      <c r="AP435" s="9"/>
      <c r="AQ435" s="28"/>
      <c r="AR435" s="28"/>
      <c r="AS435" s="28"/>
    </row>
    <row r="436" spans="5:45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9"/>
      <c r="AK436" s="9"/>
      <c r="AL436" s="9"/>
      <c r="AM436" s="9"/>
      <c r="AN436" s="9"/>
      <c r="AO436" s="9"/>
      <c r="AP436" s="9"/>
      <c r="AQ436" s="28"/>
      <c r="AR436" s="28"/>
      <c r="AS436" s="28"/>
    </row>
    <row r="437" spans="5:45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9"/>
      <c r="AK437" s="9"/>
      <c r="AL437" s="9"/>
      <c r="AM437" s="9"/>
      <c r="AN437" s="9"/>
      <c r="AO437" s="9"/>
      <c r="AP437" s="9"/>
      <c r="AQ437" s="28"/>
      <c r="AR437" s="28"/>
      <c r="AS437" s="28"/>
    </row>
    <row r="438" spans="5:45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9"/>
      <c r="AK438" s="9"/>
      <c r="AL438" s="9"/>
      <c r="AM438" s="9"/>
      <c r="AN438" s="9"/>
      <c r="AO438" s="9"/>
      <c r="AP438" s="9"/>
      <c r="AQ438" s="28"/>
      <c r="AR438" s="28"/>
      <c r="AS438" s="28"/>
    </row>
    <row r="439" spans="5:45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9"/>
      <c r="AK439" s="9"/>
      <c r="AL439" s="9"/>
      <c r="AM439" s="9"/>
      <c r="AN439" s="9"/>
      <c r="AO439" s="9"/>
      <c r="AP439" s="9"/>
      <c r="AQ439" s="28"/>
      <c r="AR439" s="28"/>
      <c r="AS439" s="28"/>
    </row>
    <row r="440" spans="5:45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9"/>
      <c r="AK440" s="9"/>
      <c r="AL440" s="9"/>
      <c r="AM440" s="9"/>
      <c r="AN440" s="9"/>
      <c r="AO440" s="9"/>
      <c r="AP440" s="9"/>
      <c r="AQ440" s="28"/>
      <c r="AR440" s="28"/>
      <c r="AS440" s="28"/>
    </row>
    <row r="441" spans="5:45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9"/>
      <c r="AK441" s="9"/>
      <c r="AL441" s="9"/>
      <c r="AM441" s="9"/>
      <c r="AN441" s="9"/>
      <c r="AO441" s="9"/>
      <c r="AP441" s="9"/>
      <c r="AQ441" s="28"/>
      <c r="AR441" s="28"/>
      <c r="AS441" s="28"/>
    </row>
    <row r="442" spans="5:45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9"/>
      <c r="AK442" s="9"/>
      <c r="AL442" s="9"/>
      <c r="AM442" s="9"/>
      <c r="AN442" s="9"/>
      <c r="AO442" s="9"/>
      <c r="AP442" s="9"/>
      <c r="AQ442" s="28"/>
      <c r="AR442" s="28"/>
      <c r="AS442" s="28"/>
    </row>
    <row r="443" spans="5:45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9"/>
      <c r="AK443" s="9"/>
      <c r="AL443" s="9"/>
      <c r="AM443" s="9"/>
      <c r="AN443" s="9"/>
      <c r="AO443" s="9"/>
      <c r="AP443" s="9"/>
      <c r="AQ443" s="28"/>
      <c r="AR443" s="28"/>
      <c r="AS443" s="28"/>
    </row>
    <row r="444" spans="5:45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9"/>
      <c r="AK444" s="9"/>
      <c r="AL444" s="9"/>
      <c r="AM444" s="9"/>
      <c r="AN444" s="9"/>
      <c r="AO444" s="9"/>
      <c r="AP444" s="9"/>
      <c r="AQ444" s="28"/>
      <c r="AR444" s="28"/>
      <c r="AS444" s="28"/>
    </row>
    <row r="445" spans="5:45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9"/>
      <c r="AK445" s="9"/>
      <c r="AL445" s="9"/>
      <c r="AM445" s="9"/>
      <c r="AN445" s="9"/>
      <c r="AO445" s="9"/>
      <c r="AP445" s="9"/>
      <c r="AQ445" s="28"/>
      <c r="AR445" s="28"/>
      <c r="AS445" s="28"/>
    </row>
    <row r="446" spans="5:45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9"/>
      <c r="AK446" s="9"/>
      <c r="AL446" s="9"/>
      <c r="AM446" s="9"/>
      <c r="AN446" s="9"/>
      <c r="AO446" s="9"/>
      <c r="AP446" s="9"/>
      <c r="AQ446" s="28"/>
      <c r="AR446" s="28"/>
      <c r="AS446" s="28"/>
    </row>
    <row r="447" spans="5:45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9"/>
      <c r="AK447" s="9"/>
      <c r="AL447" s="9"/>
      <c r="AM447" s="9"/>
      <c r="AN447" s="9"/>
      <c r="AO447" s="9"/>
      <c r="AP447" s="9"/>
      <c r="AQ447" s="28"/>
      <c r="AR447" s="28"/>
      <c r="AS447" s="28"/>
    </row>
    <row r="448" spans="5:45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9"/>
      <c r="AK448" s="9"/>
      <c r="AL448" s="9"/>
      <c r="AM448" s="9"/>
      <c r="AN448" s="9"/>
      <c r="AO448" s="9"/>
      <c r="AP448" s="9"/>
      <c r="AQ448" s="28"/>
      <c r="AR448" s="28"/>
      <c r="AS448" s="28"/>
    </row>
    <row r="449" spans="5:45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9"/>
      <c r="AK449" s="9"/>
      <c r="AL449" s="9"/>
      <c r="AM449" s="9"/>
      <c r="AN449" s="9"/>
      <c r="AO449" s="9"/>
      <c r="AP449" s="9"/>
      <c r="AQ449" s="28"/>
      <c r="AR449" s="28"/>
      <c r="AS449" s="28"/>
    </row>
    <row r="450" spans="5:45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9"/>
      <c r="AK450" s="9"/>
      <c r="AL450" s="9"/>
      <c r="AM450" s="9"/>
      <c r="AN450" s="9"/>
      <c r="AO450" s="9"/>
      <c r="AP450" s="9"/>
      <c r="AQ450" s="28"/>
      <c r="AR450" s="28"/>
      <c r="AS450" s="28"/>
    </row>
    <row r="451" spans="5:45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9"/>
      <c r="AK451" s="9"/>
      <c r="AL451" s="9"/>
      <c r="AM451" s="9"/>
      <c r="AN451" s="9"/>
      <c r="AO451" s="9"/>
      <c r="AP451" s="9"/>
      <c r="AQ451" s="28"/>
      <c r="AR451" s="28"/>
      <c r="AS451" s="28"/>
    </row>
    <row r="452" spans="5:45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9"/>
      <c r="AK452" s="9"/>
      <c r="AL452" s="9"/>
      <c r="AM452" s="9"/>
      <c r="AN452" s="9"/>
      <c r="AO452" s="9"/>
      <c r="AP452" s="9"/>
      <c r="AQ452" s="28"/>
      <c r="AR452" s="28"/>
      <c r="AS452" s="28"/>
    </row>
    <row r="453" spans="5:45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9"/>
      <c r="AK453" s="9"/>
      <c r="AL453" s="9"/>
      <c r="AM453" s="9"/>
      <c r="AN453" s="9"/>
      <c r="AO453" s="9"/>
      <c r="AP453" s="9"/>
      <c r="AQ453" s="28"/>
      <c r="AR453" s="28"/>
      <c r="AS453" s="28"/>
    </row>
    <row r="454" spans="5:45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9"/>
      <c r="AK454" s="9"/>
      <c r="AL454" s="9"/>
      <c r="AM454" s="9"/>
      <c r="AN454" s="9"/>
      <c r="AO454" s="9"/>
      <c r="AP454" s="9"/>
      <c r="AQ454" s="28"/>
      <c r="AR454" s="28"/>
      <c r="AS454" s="28"/>
    </row>
    <row r="455" spans="5:45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9"/>
      <c r="AK455" s="9"/>
      <c r="AL455" s="9"/>
      <c r="AM455" s="9"/>
      <c r="AN455" s="9"/>
      <c r="AO455" s="9"/>
      <c r="AP455" s="9"/>
      <c r="AQ455" s="28"/>
      <c r="AR455" s="28"/>
      <c r="AS455" s="28"/>
    </row>
    <row r="456" spans="5:45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9"/>
      <c r="AK456" s="9"/>
      <c r="AL456" s="9"/>
      <c r="AM456" s="9"/>
      <c r="AN456" s="9"/>
      <c r="AO456" s="9"/>
      <c r="AP456" s="9"/>
      <c r="AQ456" s="28"/>
      <c r="AR456" s="28"/>
      <c r="AS456" s="28"/>
    </row>
    <row r="457" spans="5:45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9"/>
      <c r="AK457" s="9"/>
      <c r="AL457" s="9"/>
      <c r="AM457" s="9"/>
      <c r="AN457" s="9"/>
      <c r="AO457" s="9"/>
      <c r="AP457" s="9"/>
      <c r="AQ457" s="28"/>
      <c r="AR457" s="28"/>
      <c r="AS457" s="28"/>
    </row>
    <row r="458" spans="5:45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9"/>
      <c r="AK458" s="9"/>
      <c r="AL458" s="9"/>
      <c r="AM458" s="9"/>
      <c r="AN458" s="9"/>
      <c r="AO458" s="9"/>
      <c r="AP458" s="9"/>
      <c r="AQ458" s="28"/>
      <c r="AR458" s="28"/>
      <c r="AS458" s="28"/>
    </row>
    <row r="459" spans="5:45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9"/>
      <c r="AK459" s="9"/>
      <c r="AL459" s="9"/>
      <c r="AM459" s="9"/>
      <c r="AN459" s="9"/>
      <c r="AO459" s="9"/>
      <c r="AP459" s="9"/>
      <c r="AQ459" s="28"/>
      <c r="AR459" s="28"/>
      <c r="AS459" s="28"/>
    </row>
    <row r="460" spans="5:45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9"/>
      <c r="AK460" s="9"/>
      <c r="AL460" s="9"/>
      <c r="AM460" s="9"/>
      <c r="AN460" s="9"/>
      <c r="AO460" s="9"/>
      <c r="AP460" s="9"/>
      <c r="AQ460" s="28"/>
      <c r="AR460" s="28"/>
      <c r="AS460" s="28"/>
    </row>
    <row r="461" spans="5:45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9"/>
      <c r="AK461" s="9"/>
      <c r="AL461" s="9"/>
      <c r="AM461" s="9"/>
      <c r="AN461" s="9"/>
      <c r="AO461" s="9"/>
      <c r="AP461" s="9"/>
      <c r="AQ461" s="28"/>
      <c r="AR461" s="28"/>
      <c r="AS461" s="28"/>
    </row>
    <row r="462" spans="5:45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9"/>
      <c r="AK462" s="9"/>
      <c r="AL462" s="9"/>
      <c r="AM462" s="9"/>
      <c r="AN462" s="9"/>
      <c r="AO462" s="9"/>
      <c r="AP462" s="9"/>
      <c r="AQ462" s="28"/>
      <c r="AR462" s="28"/>
      <c r="AS462" s="28"/>
    </row>
    <row r="463" spans="5:45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9"/>
      <c r="AK463" s="9"/>
      <c r="AL463" s="9"/>
      <c r="AM463" s="9"/>
      <c r="AN463" s="9"/>
      <c r="AO463" s="9"/>
      <c r="AP463" s="9"/>
      <c r="AQ463" s="28"/>
      <c r="AR463" s="28"/>
      <c r="AS463" s="28"/>
    </row>
    <row r="464" spans="5:45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9"/>
      <c r="AK464" s="9"/>
      <c r="AL464" s="9"/>
      <c r="AM464" s="9"/>
      <c r="AN464" s="9"/>
      <c r="AO464" s="9"/>
      <c r="AP464" s="9"/>
      <c r="AQ464" s="28"/>
      <c r="AR464" s="28"/>
      <c r="AS464" s="28"/>
    </row>
    <row r="465" spans="5:45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9"/>
      <c r="AK465" s="9"/>
      <c r="AL465" s="9"/>
      <c r="AM465" s="9"/>
      <c r="AN465" s="9"/>
      <c r="AO465" s="9"/>
      <c r="AP465" s="9"/>
      <c r="AQ465" s="28"/>
      <c r="AR465" s="28"/>
      <c r="AS465" s="28"/>
    </row>
    <row r="466" spans="5:45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9"/>
      <c r="AK466" s="9"/>
      <c r="AL466" s="9"/>
      <c r="AM466" s="9"/>
      <c r="AN466" s="9"/>
      <c r="AO466" s="9"/>
      <c r="AP466" s="9"/>
      <c r="AQ466" s="28"/>
      <c r="AR466" s="28"/>
      <c r="AS466" s="28"/>
    </row>
    <row r="467" spans="5:45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9"/>
      <c r="AK467" s="9"/>
      <c r="AL467" s="9"/>
      <c r="AM467" s="9"/>
      <c r="AN467" s="9"/>
      <c r="AO467" s="9"/>
      <c r="AP467" s="9"/>
      <c r="AQ467" s="28"/>
      <c r="AR467" s="28"/>
      <c r="AS467" s="28"/>
    </row>
    <row r="468" spans="5:45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9"/>
      <c r="AK468" s="9"/>
      <c r="AL468" s="9"/>
      <c r="AM468" s="9"/>
      <c r="AN468" s="9"/>
      <c r="AO468" s="9"/>
      <c r="AP468" s="9"/>
      <c r="AQ468" s="28"/>
      <c r="AR468" s="28"/>
      <c r="AS468" s="28"/>
    </row>
    <row r="469" spans="5:45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9"/>
      <c r="AK469" s="9"/>
      <c r="AL469" s="9"/>
      <c r="AM469" s="9"/>
      <c r="AN469" s="9"/>
      <c r="AO469" s="9"/>
      <c r="AP469" s="9"/>
      <c r="AQ469" s="28"/>
      <c r="AR469" s="28"/>
      <c r="AS469" s="28"/>
    </row>
    <row r="470" spans="5:45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9"/>
      <c r="AK470" s="9"/>
      <c r="AL470" s="9"/>
      <c r="AM470" s="9"/>
      <c r="AN470" s="9"/>
      <c r="AO470" s="9"/>
      <c r="AP470" s="9"/>
      <c r="AQ470" s="28"/>
      <c r="AR470" s="28"/>
      <c r="AS470" s="28"/>
    </row>
    <row r="471" spans="5:45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9"/>
      <c r="AK471" s="9"/>
      <c r="AL471" s="9"/>
      <c r="AM471" s="9"/>
      <c r="AN471" s="9"/>
      <c r="AO471" s="9"/>
      <c r="AP471" s="9"/>
      <c r="AQ471" s="28"/>
      <c r="AR471" s="28"/>
      <c r="AS471" s="28"/>
    </row>
    <row r="472" spans="5:45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9"/>
      <c r="AK472" s="9"/>
      <c r="AL472" s="9"/>
      <c r="AM472" s="9"/>
      <c r="AN472" s="9"/>
      <c r="AO472" s="9"/>
      <c r="AP472" s="9"/>
      <c r="AQ472" s="28"/>
      <c r="AR472" s="28"/>
      <c r="AS472" s="28"/>
    </row>
    <row r="473" spans="5:45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9"/>
      <c r="AK473" s="9"/>
      <c r="AL473" s="9"/>
      <c r="AM473" s="9"/>
      <c r="AN473" s="9"/>
      <c r="AO473" s="9"/>
      <c r="AP473" s="9"/>
      <c r="AQ473" s="28"/>
      <c r="AR473" s="28"/>
      <c r="AS473" s="28"/>
    </row>
    <row r="474" spans="5:45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9"/>
      <c r="AK474" s="9"/>
      <c r="AL474" s="9"/>
      <c r="AM474" s="9"/>
      <c r="AN474" s="9"/>
      <c r="AO474" s="9"/>
      <c r="AP474" s="9"/>
      <c r="AQ474" s="28"/>
      <c r="AR474" s="28"/>
      <c r="AS474" s="28"/>
    </row>
    <row r="475" spans="5:45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9"/>
      <c r="AK475" s="9"/>
      <c r="AL475" s="9"/>
      <c r="AM475" s="9"/>
      <c r="AN475" s="9"/>
      <c r="AO475" s="9"/>
      <c r="AP475" s="9"/>
      <c r="AQ475" s="28"/>
      <c r="AR475" s="28"/>
      <c r="AS475" s="28"/>
    </row>
    <row r="476" spans="5:45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9"/>
      <c r="AK476" s="9"/>
      <c r="AL476" s="9"/>
      <c r="AM476" s="9"/>
      <c r="AN476" s="9"/>
      <c r="AO476" s="9"/>
      <c r="AP476" s="9"/>
      <c r="AQ476" s="28"/>
      <c r="AR476" s="28"/>
      <c r="AS476" s="28"/>
    </row>
    <row r="477" spans="5:45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9"/>
      <c r="AK477" s="9"/>
      <c r="AL477" s="9"/>
      <c r="AM477" s="9"/>
      <c r="AN477" s="9"/>
      <c r="AO477" s="9"/>
      <c r="AP477" s="9"/>
      <c r="AQ477" s="28"/>
      <c r="AR477" s="28"/>
      <c r="AS477" s="28"/>
    </row>
    <row r="478" spans="5:45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9"/>
      <c r="AK478" s="9"/>
      <c r="AL478" s="9"/>
      <c r="AM478" s="9"/>
      <c r="AN478" s="9"/>
      <c r="AO478" s="9"/>
      <c r="AP478" s="9"/>
      <c r="AQ478" s="28"/>
      <c r="AR478" s="28"/>
      <c r="AS478" s="28"/>
    </row>
    <row r="479" spans="5:45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9"/>
      <c r="AK479" s="9"/>
      <c r="AL479" s="9"/>
      <c r="AM479" s="9"/>
      <c r="AN479" s="9"/>
      <c r="AO479" s="9"/>
      <c r="AP479" s="9"/>
      <c r="AQ479" s="28"/>
      <c r="AR479" s="28"/>
      <c r="AS479" s="28"/>
    </row>
    <row r="480" spans="5:45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9"/>
      <c r="AK480" s="9"/>
      <c r="AL480" s="9"/>
      <c r="AM480" s="9"/>
      <c r="AN480" s="9"/>
      <c r="AO480" s="9"/>
      <c r="AP480" s="9"/>
      <c r="AQ480" s="28"/>
      <c r="AR480" s="28"/>
      <c r="AS480" s="28"/>
    </row>
    <row r="481" spans="5:45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9"/>
      <c r="AK481" s="9"/>
      <c r="AL481" s="9"/>
      <c r="AM481" s="9"/>
      <c r="AN481" s="9"/>
      <c r="AO481" s="9"/>
      <c r="AP481" s="9"/>
      <c r="AQ481" s="28"/>
      <c r="AR481" s="28"/>
      <c r="AS481" s="28"/>
    </row>
    <row r="482" spans="5:45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9"/>
      <c r="AK482" s="9"/>
      <c r="AL482" s="9"/>
      <c r="AM482" s="9"/>
      <c r="AN482" s="9"/>
      <c r="AO482" s="9"/>
      <c r="AP482" s="9"/>
      <c r="AQ482" s="28"/>
      <c r="AR482" s="28"/>
      <c r="AS482" s="28"/>
    </row>
    <row r="483" spans="5:45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9"/>
      <c r="AK483" s="9"/>
      <c r="AL483" s="9"/>
      <c r="AM483" s="9"/>
      <c r="AN483" s="9"/>
      <c r="AO483" s="9"/>
      <c r="AP483" s="9"/>
      <c r="AQ483" s="28"/>
      <c r="AR483" s="28"/>
      <c r="AS483" s="28"/>
    </row>
    <row r="484" spans="5:45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9"/>
      <c r="AK484" s="9"/>
      <c r="AL484" s="9"/>
      <c r="AM484" s="9"/>
      <c r="AN484" s="9"/>
      <c r="AO484" s="9"/>
      <c r="AP484" s="9"/>
      <c r="AQ484" s="28"/>
      <c r="AR484" s="28"/>
      <c r="AS484" s="28"/>
    </row>
    <row r="485" spans="5:45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9"/>
      <c r="AK485" s="9"/>
      <c r="AL485" s="9"/>
      <c r="AM485" s="9"/>
      <c r="AN485" s="9"/>
      <c r="AO485" s="9"/>
      <c r="AP485" s="9"/>
      <c r="AQ485" s="28"/>
      <c r="AR485" s="28"/>
      <c r="AS485" s="28"/>
    </row>
    <row r="486" spans="5:45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9"/>
      <c r="AK486" s="9"/>
      <c r="AL486" s="9"/>
      <c r="AM486" s="9"/>
      <c r="AN486" s="9"/>
      <c r="AO486" s="9"/>
      <c r="AP486" s="9"/>
      <c r="AQ486" s="28"/>
      <c r="AR486" s="28"/>
      <c r="AS486" s="28"/>
    </row>
    <row r="487" spans="5:45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9"/>
      <c r="AK487" s="9"/>
      <c r="AL487" s="9"/>
      <c r="AM487" s="9"/>
      <c r="AN487" s="9"/>
      <c r="AO487" s="9"/>
      <c r="AP487" s="9"/>
      <c r="AQ487" s="28"/>
      <c r="AR487" s="28"/>
      <c r="AS487" s="28"/>
    </row>
    <row r="488" spans="5:45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9"/>
      <c r="AK488" s="9"/>
      <c r="AL488" s="9"/>
      <c r="AM488" s="9"/>
      <c r="AN488" s="9"/>
      <c r="AO488" s="9"/>
      <c r="AP488" s="9"/>
      <c r="AQ488" s="28"/>
      <c r="AR488" s="28"/>
      <c r="AS488" s="28"/>
    </row>
    <row r="489" spans="5:45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9"/>
      <c r="AK489" s="9"/>
      <c r="AL489" s="9"/>
      <c r="AM489" s="9"/>
      <c r="AN489" s="9"/>
      <c r="AO489" s="9"/>
      <c r="AP489" s="9"/>
      <c r="AQ489" s="28"/>
      <c r="AR489" s="28"/>
      <c r="AS489" s="28"/>
    </row>
    <row r="490" spans="5:45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9"/>
      <c r="AK490" s="9"/>
      <c r="AL490" s="9"/>
      <c r="AM490" s="9"/>
      <c r="AN490" s="9"/>
      <c r="AO490" s="9"/>
      <c r="AP490" s="9"/>
      <c r="AQ490" s="28"/>
      <c r="AR490" s="28"/>
      <c r="AS490" s="28"/>
    </row>
    <row r="491" spans="5:45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9"/>
      <c r="AK491" s="9"/>
      <c r="AL491" s="9"/>
      <c r="AM491" s="9"/>
      <c r="AN491" s="9"/>
      <c r="AO491" s="9"/>
      <c r="AP491" s="9"/>
      <c r="AQ491" s="28"/>
      <c r="AR491" s="28"/>
      <c r="AS491" s="28"/>
    </row>
    <row r="492" spans="5:45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9"/>
      <c r="AK492" s="9"/>
      <c r="AL492" s="9"/>
      <c r="AM492" s="9"/>
      <c r="AN492" s="9"/>
      <c r="AO492" s="9"/>
      <c r="AP492" s="9"/>
      <c r="AQ492" s="28"/>
      <c r="AR492" s="28"/>
      <c r="AS492" s="28"/>
    </row>
    <row r="493" spans="5:45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9"/>
      <c r="AK493" s="9"/>
      <c r="AL493" s="9"/>
      <c r="AM493" s="9"/>
      <c r="AN493" s="9"/>
      <c r="AO493" s="9"/>
      <c r="AP493" s="9"/>
      <c r="AQ493" s="28"/>
      <c r="AR493" s="28"/>
      <c r="AS493" s="28"/>
    </row>
    <row r="494" spans="5:45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9"/>
      <c r="AK494" s="9"/>
      <c r="AL494" s="9"/>
      <c r="AM494" s="9"/>
      <c r="AN494" s="9"/>
      <c r="AO494" s="9"/>
      <c r="AP494" s="9"/>
      <c r="AQ494" s="28"/>
      <c r="AR494" s="28"/>
      <c r="AS494" s="28"/>
    </row>
    <row r="495" spans="5:45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9"/>
      <c r="AK495" s="9"/>
      <c r="AL495" s="9"/>
      <c r="AM495" s="9"/>
      <c r="AN495" s="9"/>
      <c r="AO495" s="9"/>
      <c r="AP495" s="9"/>
      <c r="AQ495" s="28"/>
      <c r="AR495" s="28"/>
      <c r="AS495" s="28"/>
    </row>
    <row r="496" spans="5:45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9"/>
      <c r="AK496" s="9"/>
      <c r="AL496" s="9"/>
      <c r="AM496" s="9"/>
      <c r="AN496" s="9"/>
      <c r="AO496" s="9"/>
      <c r="AP496" s="9"/>
      <c r="AQ496" s="28"/>
      <c r="AR496" s="28"/>
      <c r="AS496" s="28"/>
    </row>
    <row r="497" spans="5:45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9"/>
      <c r="AK497" s="9"/>
      <c r="AL497" s="9"/>
      <c r="AM497" s="9"/>
      <c r="AN497" s="9"/>
      <c r="AO497" s="9"/>
      <c r="AP497" s="9"/>
      <c r="AQ497" s="28"/>
      <c r="AR497" s="28"/>
      <c r="AS497" s="28"/>
    </row>
    <row r="498" spans="5:45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9"/>
      <c r="AK498" s="9"/>
      <c r="AL498" s="9"/>
      <c r="AM498" s="9"/>
      <c r="AN498" s="9"/>
      <c r="AO498" s="9"/>
      <c r="AP498" s="9"/>
      <c r="AQ498" s="28"/>
      <c r="AR498" s="28"/>
      <c r="AS498" s="28"/>
    </row>
    <row r="499" spans="5:45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9"/>
      <c r="AK499" s="9"/>
      <c r="AL499" s="9"/>
      <c r="AM499" s="9"/>
      <c r="AN499" s="9"/>
      <c r="AO499" s="9"/>
      <c r="AP499" s="9"/>
      <c r="AQ499" s="28"/>
      <c r="AR499" s="28"/>
      <c r="AS499" s="28"/>
    </row>
    <row r="500" spans="5:45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9"/>
      <c r="AK500" s="9"/>
      <c r="AL500" s="9"/>
      <c r="AM500" s="9"/>
      <c r="AN500" s="9"/>
      <c r="AO500" s="9"/>
      <c r="AP500" s="9"/>
      <c r="AQ500" s="28"/>
      <c r="AR500" s="28"/>
      <c r="AS500" s="28"/>
    </row>
    <row r="501" spans="5:45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9"/>
      <c r="AK501" s="9"/>
      <c r="AL501" s="9"/>
      <c r="AM501" s="9"/>
      <c r="AN501" s="9"/>
      <c r="AO501" s="9"/>
      <c r="AP501" s="9"/>
      <c r="AQ501" s="28"/>
      <c r="AR501" s="28"/>
      <c r="AS501" s="28"/>
    </row>
    <row r="502" spans="5:45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9"/>
      <c r="AK502" s="9"/>
      <c r="AL502" s="9"/>
      <c r="AM502" s="9"/>
      <c r="AN502" s="9"/>
      <c r="AO502" s="9"/>
      <c r="AP502" s="9"/>
      <c r="AQ502" s="28"/>
      <c r="AR502" s="28"/>
      <c r="AS502" s="28"/>
    </row>
    <row r="503" spans="5:45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9"/>
      <c r="AK503" s="9"/>
      <c r="AL503" s="9"/>
      <c r="AM503" s="9"/>
      <c r="AN503" s="9"/>
      <c r="AO503" s="9"/>
      <c r="AP503" s="9"/>
      <c r="AQ503" s="28"/>
      <c r="AR503" s="28"/>
      <c r="AS503" s="28"/>
    </row>
    <row r="504" spans="5:45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9"/>
      <c r="AK504" s="9"/>
      <c r="AL504" s="9"/>
      <c r="AM504" s="9"/>
      <c r="AN504" s="9"/>
      <c r="AO504" s="9"/>
      <c r="AP504" s="9"/>
      <c r="AQ504" s="28"/>
      <c r="AR504" s="28"/>
      <c r="AS504" s="28"/>
    </row>
    <row r="505" spans="5:45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9"/>
      <c r="AK505" s="9"/>
      <c r="AL505" s="9"/>
      <c r="AM505" s="9"/>
      <c r="AN505" s="9"/>
      <c r="AO505" s="9"/>
      <c r="AP505" s="9"/>
      <c r="AQ505" s="28"/>
      <c r="AR505" s="28"/>
      <c r="AS505" s="28"/>
    </row>
    <row r="506" spans="5:45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9"/>
      <c r="AK506" s="9"/>
      <c r="AL506" s="9"/>
      <c r="AM506" s="9"/>
      <c r="AN506" s="9"/>
      <c r="AO506" s="9"/>
      <c r="AP506" s="9"/>
      <c r="AQ506" s="28"/>
      <c r="AR506" s="28"/>
      <c r="AS506" s="28"/>
    </row>
    <row r="507" spans="5:45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9"/>
      <c r="AK507" s="9"/>
      <c r="AL507" s="9"/>
      <c r="AM507" s="9"/>
      <c r="AN507" s="9"/>
      <c r="AO507" s="9"/>
      <c r="AP507" s="9"/>
      <c r="AQ507" s="28"/>
      <c r="AR507" s="28"/>
      <c r="AS507" s="28"/>
    </row>
    <row r="508" spans="5:45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9"/>
      <c r="AK508" s="9"/>
      <c r="AL508" s="9"/>
      <c r="AM508" s="9"/>
      <c r="AN508" s="9"/>
      <c r="AO508" s="9"/>
      <c r="AP508" s="9"/>
      <c r="AQ508" s="28"/>
      <c r="AR508" s="28"/>
      <c r="AS508" s="28"/>
    </row>
    <row r="509" spans="5:45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9"/>
      <c r="AK509" s="9"/>
      <c r="AL509" s="9"/>
      <c r="AM509" s="9"/>
      <c r="AN509" s="9"/>
      <c r="AO509" s="9"/>
      <c r="AP509" s="9"/>
      <c r="AQ509" s="28"/>
      <c r="AR509" s="28"/>
      <c r="AS509" s="28"/>
    </row>
    <row r="510" spans="5:45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9"/>
      <c r="AK510" s="9"/>
      <c r="AL510" s="9"/>
      <c r="AM510" s="9"/>
      <c r="AN510" s="9"/>
      <c r="AO510" s="9"/>
      <c r="AP510" s="9"/>
      <c r="AQ510" s="28"/>
      <c r="AR510" s="28"/>
      <c r="AS510" s="28"/>
    </row>
    <row r="511" spans="5:45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9"/>
      <c r="AK511" s="9"/>
      <c r="AL511" s="9"/>
      <c r="AM511" s="9"/>
      <c r="AN511" s="9"/>
      <c r="AO511" s="9"/>
      <c r="AP511" s="9"/>
      <c r="AQ511" s="28"/>
      <c r="AR511" s="28"/>
      <c r="AS511" s="28"/>
    </row>
    <row r="512" spans="5:45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9"/>
      <c r="AK512" s="9"/>
      <c r="AL512" s="9"/>
      <c r="AM512" s="9"/>
      <c r="AN512" s="9"/>
      <c r="AO512" s="9"/>
      <c r="AP512" s="9"/>
      <c r="AQ512" s="28"/>
      <c r="AR512" s="28"/>
      <c r="AS512" s="28"/>
    </row>
    <row r="513" spans="5:45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9"/>
      <c r="AK513" s="9"/>
      <c r="AL513" s="9"/>
      <c r="AM513" s="9"/>
      <c r="AN513" s="9"/>
      <c r="AO513" s="9"/>
      <c r="AP513" s="9"/>
      <c r="AQ513" s="28"/>
      <c r="AR513" s="28"/>
      <c r="AS513" s="28"/>
    </row>
    <row r="514" spans="5:45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9"/>
      <c r="AK514" s="9"/>
      <c r="AL514" s="9"/>
      <c r="AM514" s="9"/>
      <c r="AN514" s="9"/>
      <c r="AO514" s="9"/>
      <c r="AP514" s="9"/>
      <c r="AQ514" s="28"/>
      <c r="AR514" s="28"/>
      <c r="AS514" s="28"/>
    </row>
    <row r="515" spans="5:45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9"/>
      <c r="AK515" s="9"/>
      <c r="AL515" s="9"/>
      <c r="AM515" s="9"/>
      <c r="AN515" s="9"/>
      <c r="AO515" s="9"/>
      <c r="AP515" s="9"/>
      <c r="AQ515" s="28"/>
      <c r="AR515" s="28"/>
      <c r="AS515" s="28"/>
    </row>
    <row r="516" spans="5:45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9"/>
      <c r="AK516" s="9"/>
      <c r="AL516" s="9"/>
      <c r="AM516" s="9"/>
      <c r="AN516" s="9"/>
      <c r="AO516" s="9"/>
      <c r="AP516" s="9"/>
      <c r="AQ516" s="28"/>
      <c r="AR516" s="28"/>
      <c r="AS516" s="28"/>
    </row>
    <row r="517" spans="5:45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9"/>
      <c r="AK517" s="9"/>
      <c r="AL517" s="9"/>
      <c r="AM517" s="9"/>
      <c r="AN517" s="9"/>
      <c r="AO517" s="9"/>
      <c r="AP517" s="9"/>
      <c r="AQ517" s="28"/>
      <c r="AR517" s="28"/>
      <c r="AS517" s="28"/>
    </row>
    <row r="518" spans="5:45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9"/>
      <c r="AK518" s="9"/>
      <c r="AL518" s="9"/>
      <c r="AM518" s="9"/>
      <c r="AN518" s="9"/>
      <c r="AO518" s="9"/>
      <c r="AP518" s="9"/>
      <c r="AQ518" s="28"/>
      <c r="AR518" s="28"/>
      <c r="AS518" s="28"/>
    </row>
    <row r="519" spans="5:45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9"/>
      <c r="AK519" s="9"/>
      <c r="AL519" s="9"/>
      <c r="AM519" s="9"/>
      <c r="AN519" s="9"/>
      <c r="AO519" s="9"/>
      <c r="AP519" s="9"/>
      <c r="AQ519" s="28"/>
      <c r="AR519" s="28"/>
      <c r="AS519" s="28"/>
    </row>
    <row r="520" spans="5:45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9"/>
      <c r="AK520" s="9"/>
      <c r="AL520" s="9"/>
      <c r="AM520" s="9"/>
      <c r="AN520" s="9"/>
      <c r="AO520" s="9"/>
      <c r="AP520" s="9"/>
      <c r="AQ520" s="28"/>
      <c r="AR520" s="28"/>
      <c r="AS520" s="28"/>
    </row>
    <row r="521" spans="5:45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9"/>
      <c r="AK521" s="9"/>
      <c r="AL521" s="9"/>
      <c r="AM521" s="9"/>
      <c r="AN521" s="9"/>
      <c r="AO521" s="9"/>
      <c r="AP521" s="9"/>
      <c r="AQ521" s="28"/>
      <c r="AR521" s="28"/>
      <c r="AS521" s="28"/>
    </row>
    <row r="522" spans="5:45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9"/>
      <c r="AK522" s="9"/>
      <c r="AL522" s="9"/>
      <c r="AM522" s="9"/>
      <c r="AN522" s="9"/>
      <c r="AO522" s="9"/>
      <c r="AP522" s="9"/>
      <c r="AQ522" s="28"/>
      <c r="AR522" s="28"/>
      <c r="AS522" s="28"/>
    </row>
    <row r="523" spans="5:45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9"/>
      <c r="AK523" s="9"/>
      <c r="AL523" s="9"/>
      <c r="AM523" s="9"/>
      <c r="AN523" s="9"/>
      <c r="AO523" s="9"/>
      <c r="AP523" s="9"/>
      <c r="AQ523" s="28"/>
      <c r="AR523" s="28"/>
      <c r="AS523" s="28"/>
    </row>
    <row r="524" spans="5:45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9"/>
      <c r="AK524" s="9"/>
      <c r="AL524" s="9"/>
      <c r="AM524" s="9"/>
      <c r="AN524" s="9"/>
      <c r="AO524" s="9"/>
      <c r="AP524" s="9"/>
      <c r="AQ524" s="28"/>
      <c r="AR524" s="28"/>
      <c r="AS524" s="28"/>
    </row>
    <row r="525" spans="5:45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9"/>
      <c r="AK525" s="9"/>
      <c r="AL525" s="9"/>
      <c r="AM525" s="9"/>
      <c r="AN525" s="9"/>
      <c r="AO525" s="9"/>
      <c r="AP525" s="9"/>
      <c r="AQ525" s="28"/>
      <c r="AR525" s="28"/>
      <c r="AS525" s="28"/>
    </row>
    <row r="526" spans="5:45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9"/>
      <c r="AK526" s="9"/>
      <c r="AL526" s="9"/>
      <c r="AM526" s="9"/>
      <c r="AN526" s="9"/>
      <c r="AO526" s="9"/>
      <c r="AP526" s="9"/>
      <c r="AQ526" s="28"/>
      <c r="AR526" s="28"/>
      <c r="AS526" s="28"/>
    </row>
    <row r="527" spans="5:45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9"/>
      <c r="AK527" s="9"/>
      <c r="AL527" s="9"/>
      <c r="AM527" s="9"/>
      <c r="AN527" s="9"/>
      <c r="AO527" s="9"/>
      <c r="AP527" s="9"/>
      <c r="AQ527" s="28"/>
      <c r="AR527" s="28"/>
      <c r="AS527" s="28"/>
    </row>
    <row r="528" spans="5:45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9"/>
      <c r="AK528" s="9"/>
      <c r="AL528" s="9"/>
      <c r="AM528" s="9"/>
      <c r="AN528" s="9"/>
      <c r="AO528" s="9"/>
      <c r="AP528" s="9"/>
      <c r="AQ528" s="28"/>
      <c r="AR528" s="28"/>
      <c r="AS528" s="28"/>
    </row>
    <row r="529" spans="5:45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9"/>
      <c r="AK529" s="9"/>
      <c r="AL529" s="9"/>
      <c r="AM529" s="9"/>
      <c r="AN529" s="9"/>
      <c r="AO529" s="9"/>
      <c r="AP529" s="9"/>
      <c r="AQ529" s="28"/>
      <c r="AR529" s="28"/>
      <c r="AS529" s="28"/>
    </row>
    <row r="530" spans="5:45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9"/>
      <c r="AK530" s="9"/>
      <c r="AL530" s="9"/>
      <c r="AM530" s="9"/>
      <c r="AN530" s="9"/>
      <c r="AO530" s="9"/>
      <c r="AP530" s="9"/>
      <c r="AQ530" s="28"/>
      <c r="AR530" s="28"/>
      <c r="AS530" s="28"/>
    </row>
    <row r="531" spans="5:45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9"/>
      <c r="AK531" s="9"/>
      <c r="AL531" s="9"/>
      <c r="AM531" s="9"/>
      <c r="AN531" s="9"/>
      <c r="AO531" s="9"/>
      <c r="AP531" s="9"/>
      <c r="AQ531" s="28"/>
      <c r="AR531" s="28"/>
      <c r="AS531" s="28"/>
    </row>
    <row r="532" spans="5:45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9"/>
      <c r="AK532" s="9"/>
      <c r="AL532" s="9"/>
      <c r="AM532" s="9"/>
      <c r="AN532" s="9"/>
      <c r="AO532" s="9"/>
      <c r="AP532" s="9"/>
      <c r="AQ532" s="28"/>
      <c r="AR532" s="28"/>
      <c r="AS532" s="28"/>
    </row>
    <row r="533" spans="5:45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9"/>
      <c r="AK533" s="9"/>
      <c r="AL533" s="9"/>
      <c r="AM533" s="9"/>
      <c r="AN533" s="9"/>
      <c r="AO533" s="9"/>
      <c r="AP533" s="9"/>
      <c r="AQ533" s="28"/>
      <c r="AR533" s="28"/>
      <c r="AS533" s="28"/>
    </row>
    <row r="534" spans="5:45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9"/>
      <c r="AK534" s="9"/>
      <c r="AL534" s="9"/>
      <c r="AM534" s="9"/>
      <c r="AN534" s="9"/>
      <c r="AO534" s="9"/>
      <c r="AP534" s="9"/>
      <c r="AQ534" s="28"/>
      <c r="AR534" s="28"/>
      <c r="AS534" s="28"/>
    </row>
    <row r="535" spans="5:45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9"/>
      <c r="AK535" s="9"/>
      <c r="AL535" s="9"/>
      <c r="AM535" s="9"/>
      <c r="AN535" s="9"/>
      <c r="AO535" s="9"/>
      <c r="AP535" s="9"/>
      <c r="AQ535" s="28"/>
      <c r="AR535" s="28"/>
      <c r="AS535" s="28"/>
    </row>
    <row r="536" spans="5:45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9"/>
      <c r="AK536" s="9"/>
      <c r="AL536" s="9"/>
      <c r="AM536" s="9"/>
      <c r="AN536" s="9"/>
      <c r="AO536" s="9"/>
      <c r="AP536" s="9"/>
      <c r="AQ536" s="28"/>
      <c r="AR536" s="28"/>
      <c r="AS536" s="28"/>
    </row>
    <row r="537" spans="5:45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9"/>
      <c r="AK537" s="9"/>
      <c r="AL537" s="9"/>
      <c r="AM537" s="9"/>
      <c r="AN537" s="9"/>
      <c r="AO537" s="9"/>
      <c r="AP537" s="9"/>
      <c r="AQ537" s="28"/>
      <c r="AR537" s="28"/>
      <c r="AS537" s="28"/>
    </row>
    <row r="538" spans="5:45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9"/>
      <c r="AK538" s="9"/>
      <c r="AL538" s="9"/>
      <c r="AM538" s="9"/>
      <c r="AN538" s="9"/>
      <c r="AO538" s="9"/>
      <c r="AP538" s="9"/>
      <c r="AQ538" s="28"/>
      <c r="AR538" s="28"/>
      <c r="AS538" s="28"/>
    </row>
    <row r="539" spans="5:45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9"/>
      <c r="AK539" s="9"/>
      <c r="AL539" s="9"/>
      <c r="AM539" s="9"/>
      <c r="AN539" s="9"/>
      <c r="AO539" s="9"/>
      <c r="AP539" s="9"/>
      <c r="AQ539" s="28"/>
      <c r="AR539" s="28"/>
      <c r="AS539" s="28"/>
    </row>
    <row r="540" spans="5:45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9"/>
      <c r="AK540" s="9"/>
      <c r="AL540" s="9"/>
      <c r="AM540" s="9"/>
      <c r="AN540" s="9"/>
      <c r="AO540" s="9"/>
      <c r="AP540" s="9"/>
      <c r="AQ540" s="28"/>
      <c r="AR540" s="28"/>
      <c r="AS540" s="28"/>
    </row>
    <row r="541" spans="5:45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9"/>
      <c r="AK541" s="9"/>
      <c r="AL541" s="9"/>
      <c r="AM541" s="9"/>
      <c r="AN541" s="9"/>
      <c r="AO541" s="9"/>
      <c r="AP541" s="9"/>
      <c r="AQ541" s="28"/>
      <c r="AR541" s="28"/>
      <c r="AS541" s="28"/>
    </row>
    <row r="542" spans="5:45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9"/>
      <c r="AK542" s="9"/>
      <c r="AL542" s="9"/>
      <c r="AM542" s="9"/>
      <c r="AN542" s="9"/>
      <c r="AO542" s="9"/>
      <c r="AP542" s="9"/>
      <c r="AQ542" s="28"/>
      <c r="AR542" s="28"/>
      <c r="AS542" s="28"/>
    </row>
    <row r="543" spans="5:45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9"/>
      <c r="AK543" s="9"/>
      <c r="AL543" s="9"/>
      <c r="AM543" s="9"/>
      <c r="AN543" s="9"/>
      <c r="AO543" s="9"/>
      <c r="AP543" s="9"/>
      <c r="AQ543" s="28"/>
      <c r="AR543" s="28"/>
      <c r="AS543" s="28"/>
    </row>
    <row r="544" spans="5:45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9"/>
      <c r="AK544" s="9"/>
      <c r="AL544" s="9"/>
      <c r="AM544" s="9"/>
      <c r="AN544" s="9"/>
      <c r="AO544" s="9"/>
      <c r="AP544" s="9"/>
      <c r="AQ544" s="28"/>
      <c r="AR544" s="28"/>
      <c r="AS544" s="28"/>
    </row>
    <row r="545" spans="5:45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9"/>
      <c r="AK545" s="9"/>
      <c r="AL545" s="9"/>
      <c r="AM545" s="9"/>
      <c r="AN545" s="9"/>
      <c r="AO545" s="9"/>
      <c r="AP545" s="9"/>
      <c r="AQ545" s="28"/>
      <c r="AR545" s="28"/>
      <c r="AS545" s="28"/>
    </row>
    <row r="546" spans="5:45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9"/>
      <c r="AK546" s="9"/>
      <c r="AL546" s="9"/>
      <c r="AM546" s="9"/>
      <c r="AN546" s="9"/>
      <c r="AO546" s="9"/>
      <c r="AP546" s="9"/>
      <c r="AQ546" s="28"/>
      <c r="AR546" s="28"/>
      <c r="AS546" s="28"/>
    </row>
    <row r="547" spans="5:45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9"/>
      <c r="AK547" s="9"/>
      <c r="AL547" s="9"/>
      <c r="AM547" s="9"/>
      <c r="AN547" s="9"/>
      <c r="AO547" s="9"/>
      <c r="AP547" s="9"/>
      <c r="AQ547" s="28"/>
      <c r="AR547" s="28"/>
      <c r="AS547" s="28"/>
    </row>
    <row r="548" spans="5:45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9"/>
      <c r="AK548" s="9"/>
      <c r="AL548" s="9"/>
      <c r="AM548" s="9"/>
      <c r="AN548" s="9"/>
      <c r="AO548" s="9"/>
      <c r="AP548" s="9"/>
      <c r="AQ548" s="28"/>
      <c r="AR548" s="28"/>
      <c r="AS548" s="28"/>
    </row>
    <row r="549" spans="5:45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9"/>
      <c r="AK549" s="9"/>
      <c r="AL549" s="9"/>
      <c r="AM549" s="9"/>
      <c r="AN549" s="9"/>
      <c r="AO549" s="9"/>
      <c r="AP549" s="9"/>
      <c r="AQ549" s="28"/>
      <c r="AR549" s="28"/>
      <c r="AS549" s="28"/>
    </row>
    <row r="550" spans="5:45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9"/>
      <c r="AK550" s="9"/>
      <c r="AL550" s="9"/>
      <c r="AM550" s="9"/>
      <c r="AN550" s="9"/>
      <c r="AO550" s="9"/>
      <c r="AP550" s="9"/>
      <c r="AQ550" s="28"/>
      <c r="AR550" s="28"/>
      <c r="AS550" s="28"/>
    </row>
    <row r="551" spans="5:45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9"/>
      <c r="AK551" s="9"/>
      <c r="AL551" s="9"/>
      <c r="AM551" s="9"/>
      <c r="AN551" s="9"/>
      <c r="AO551" s="9"/>
      <c r="AP551" s="9"/>
      <c r="AQ551" s="28"/>
      <c r="AR551" s="28"/>
      <c r="AS551" s="28"/>
    </row>
    <row r="552" spans="5:45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9"/>
      <c r="AK552" s="9"/>
      <c r="AL552" s="9"/>
      <c r="AM552" s="9"/>
      <c r="AN552" s="9"/>
      <c r="AO552" s="9"/>
      <c r="AP552" s="9"/>
      <c r="AQ552" s="28"/>
      <c r="AR552" s="28"/>
      <c r="AS552" s="28"/>
    </row>
    <row r="553" spans="5:45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9"/>
      <c r="AK553" s="9"/>
      <c r="AL553" s="9"/>
      <c r="AM553" s="9"/>
      <c r="AN553" s="9"/>
      <c r="AO553" s="9"/>
      <c r="AP553" s="9"/>
      <c r="AQ553" s="28"/>
      <c r="AR553" s="28"/>
      <c r="AS553" s="28"/>
    </row>
    <row r="554" spans="5:45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9"/>
      <c r="AK554" s="9"/>
      <c r="AL554" s="9"/>
      <c r="AM554" s="9"/>
      <c r="AN554" s="9"/>
      <c r="AO554" s="9"/>
      <c r="AP554" s="9"/>
      <c r="AQ554" s="28"/>
      <c r="AR554" s="28"/>
      <c r="AS554" s="28"/>
    </row>
    <row r="555" spans="5:45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9"/>
      <c r="AK555" s="9"/>
      <c r="AL555" s="9"/>
      <c r="AM555" s="9"/>
      <c r="AN555" s="9"/>
      <c r="AO555" s="9"/>
      <c r="AP555" s="9"/>
      <c r="AQ555" s="28"/>
      <c r="AR555" s="28"/>
      <c r="AS555" s="28"/>
    </row>
    <row r="556" spans="5:45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9"/>
      <c r="AK556" s="9"/>
      <c r="AL556" s="9"/>
      <c r="AM556" s="9"/>
      <c r="AN556" s="9"/>
      <c r="AO556" s="9"/>
      <c r="AP556" s="9"/>
      <c r="AQ556" s="28"/>
      <c r="AR556" s="28"/>
      <c r="AS556" s="28"/>
    </row>
    <row r="557" spans="5:45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9"/>
      <c r="AK557" s="9"/>
      <c r="AL557" s="9"/>
      <c r="AM557" s="9"/>
      <c r="AN557" s="9"/>
      <c r="AO557" s="9"/>
      <c r="AP557" s="9"/>
      <c r="AQ557" s="28"/>
      <c r="AR557" s="28"/>
      <c r="AS557" s="28"/>
    </row>
    <row r="558" spans="5:45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9"/>
      <c r="AK558" s="9"/>
      <c r="AL558" s="9"/>
      <c r="AM558" s="9"/>
      <c r="AN558" s="9"/>
      <c r="AO558" s="9"/>
      <c r="AP558" s="9"/>
      <c r="AQ558" s="28"/>
      <c r="AR558" s="28"/>
      <c r="AS558" s="28"/>
    </row>
    <row r="559" spans="5:45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9"/>
      <c r="AK559" s="9"/>
      <c r="AL559" s="9"/>
      <c r="AM559" s="9"/>
      <c r="AN559" s="9"/>
      <c r="AO559" s="9"/>
      <c r="AP559" s="9"/>
      <c r="AQ559" s="28"/>
      <c r="AR559" s="28"/>
      <c r="AS559" s="28"/>
    </row>
    <row r="560" spans="5:45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9"/>
      <c r="AK560" s="9"/>
      <c r="AL560" s="9"/>
      <c r="AM560" s="9"/>
      <c r="AN560" s="9"/>
      <c r="AO560" s="9"/>
      <c r="AP560" s="9"/>
      <c r="AQ560" s="28"/>
      <c r="AR560" s="28"/>
      <c r="AS560" s="28"/>
    </row>
    <row r="561" spans="5:45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9"/>
      <c r="AK561" s="9"/>
      <c r="AL561" s="9"/>
      <c r="AM561" s="9"/>
      <c r="AN561" s="9"/>
      <c r="AO561" s="9"/>
      <c r="AP561" s="9"/>
      <c r="AQ561" s="28"/>
      <c r="AR561" s="28"/>
      <c r="AS561" s="28"/>
    </row>
    <row r="562" spans="5:45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9"/>
      <c r="AK562" s="9"/>
      <c r="AL562" s="9"/>
      <c r="AM562" s="9"/>
      <c r="AN562" s="9"/>
      <c r="AO562" s="9"/>
      <c r="AP562" s="9"/>
      <c r="AQ562" s="28"/>
      <c r="AR562" s="28"/>
      <c r="AS562" s="28"/>
    </row>
    <row r="563" spans="5:45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9"/>
      <c r="AK563" s="9"/>
      <c r="AL563" s="9"/>
      <c r="AM563" s="9"/>
      <c r="AN563" s="9"/>
      <c r="AO563" s="9"/>
      <c r="AP563" s="9"/>
      <c r="AQ563" s="28"/>
      <c r="AR563" s="28"/>
      <c r="AS563" s="28"/>
    </row>
    <row r="564" spans="5:45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9"/>
      <c r="AK564" s="9"/>
      <c r="AL564" s="9"/>
      <c r="AM564" s="9"/>
      <c r="AN564" s="9"/>
      <c r="AO564" s="9"/>
      <c r="AP564" s="9"/>
      <c r="AQ564" s="28"/>
      <c r="AR564" s="28"/>
      <c r="AS564" s="28"/>
    </row>
    <row r="565" spans="5:45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9"/>
      <c r="AK565" s="9"/>
      <c r="AL565" s="9"/>
      <c r="AM565" s="9"/>
      <c r="AN565" s="9"/>
      <c r="AO565" s="9"/>
      <c r="AP565" s="9"/>
      <c r="AQ565" s="28"/>
      <c r="AR565" s="28"/>
      <c r="AS565" s="28"/>
    </row>
    <row r="566" spans="5:45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9"/>
      <c r="AK566" s="9"/>
      <c r="AL566" s="9"/>
      <c r="AM566" s="9"/>
      <c r="AN566" s="9"/>
      <c r="AO566" s="9"/>
      <c r="AP566" s="9"/>
      <c r="AQ566" s="28"/>
      <c r="AR566" s="28"/>
      <c r="AS566" s="28"/>
    </row>
    <row r="567" spans="5:45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9"/>
      <c r="AK567" s="9"/>
      <c r="AL567" s="9"/>
      <c r="AM567" s="9"/>
      <c r="AN567" s="9"/>
      <c r="AO567" s="9"/>
      <c r="AP567" s="9"/>
      <c r="AQ567" s="28"/>
      <c r="AR567" s="28"/>
      <c r="AS567" s="28"/>
    </row>
    <row r="568" spans="5:45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9"/>
      <c r="AK568" s="9"/>
      <c r="AL568" s="9"/>
      <c r="AM568" s="9"/>
      <c r="AN568" s="9"/>
      <c r="AO568" s="9"/>
      <c r="AP568" s="9"/>
      <c r="AQ568" s="28"/>
      <c r="AR568" s="28"/>
      <c r="AS568" s="28"/>
    </row>
    <row r="569" spans="5:45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9"/>
      <c r="AK569" s="9"/>
      <c r="AL569" s="9"/>
      <c r="AM569" s="9"/>
      <c r="AN569" s="9"/>
      <c r="AO569" s="9"/>
      <c r="AP569" s="9"/>
      <c r="AQ569" s="28"/>
      <c r="AR569" s="28"/>
      <c r="AS569" s="28"/>
    </row>
    <row r="570" spans="5:45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9"/>
      <c r="AK570" s="9"/>
      <c r="AL570" s="9"/>
      <c r="AM570" s="9"/>
      <c r="AN570" s="9"/>
      <c r="AO570" s="9"/>
      <c r="AP570" s="9"/>
      <c r="AQ570" s="28"/>
      <c r="AR570" s="28"/>
      <c r="AS570" s="28"/>
    </row>
    <row r="571" spans="5:45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9"/>
      <c r="AK571" s="9"/>
      <c r="AL571" s="9"/>
      <c r="AM571" s="9"/>
      <c r="AN571" s="9"/>
      <c r="AO571" s="9"/>
      <c r="AP571" s="9"/>
      <c r="AQ571" s="28"/>
      <c r="AR571" s="28"/>
      <c r="AS571" s="28"/>
    </row>
    <row r="572" spans="5:45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9"/>
      <c r="AK572" s="9"/>
      <c r="AL572" s="9"/>
      <c r="AM572" s="9"/>
      <c r="AN572" s="9"/>
      <c r="AO572" s="9"/>
      <c r="AP572" s="9"/>
      <c r="AQ572" s="28"/>
      <c r="AR572" s="28"/>
      <c r="AS572" s="28"/>
    </row>
    <row r="573" spans="5:45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9"/>
      <c r="AK573" s="9"/>
      <c r="AL573" s="9"/>
      <c r="AM573" s="9"/>
      <c r="AN573" s="9"/>
      <c r="AO573" s="9"/>
      <c r="AP573" s="9"/>
      <c r="AQ573" s="28"/>
      <c r="AR573" s="28"/>
      <c r="AS573" s="28"/>
    </row>
    <row r="574" spans="5:45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9"/>
      <c r="AK574" s="9"/>
      <c r="AL574" s="9"/>
      <c r="AM574" s="9"/>
      <c r="AN574" s="9"/>
      <c r="AO574" s="9"/>
      <c r="AP574" s="9"/>
      <c r="AQ574" s="28"/>
      <c r="AR574" s="28"/>
      <c r="AS574" s="28"/>
    </row>
    <row r="575" spans="5:45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9"/>
      <c r="AK575" s="9"/>
      <c r="AL575" s="9"/>
      <c r="AM575" s="9"/>
      <c r="AN575" s="9"/>
      <c r="AO575" s="9"/>
      <c r="AP575" s="9"/>
      <c r="AQ575" s="28"/>
      <c r="AR575" s="28"/>
      <c r="AS575" s="28"/>
    </row>
    <row r="576" spans="5:45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9"/>
      <c r="AK576" s="9"/>
      <c r="AL576" s="9"/>
      <c r="AM576" s="9"/>
      <c r="AN576" s="9"/>
      <c r="AO576" s="9"/>
      <c r="AP576" s="9"/>
      <c r="AQ576" s="28"/>
      <c r="AR576" s="28"/>
      <c r="AS576" s="28"/>
    </row>
    <row r="577" spans="5:45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9"/>
      <c r="AK577" s="9"/>
      <c r="AL577" s="9"/>
      <c r="AM577" s="9"/>
      <c r="AN577" s="9"/>
      <c r="AO577" s="9"/>
      <c r="AP577" s="9"/>
      <c r="AQ577" s="28"/>
      <c r="AR577" s="28"/>
      <c r="AS577" s="28"/>
    </row>
    <row r="578" spans="5:45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9"/>
      <c r="AK578" s="9"/>
      <c r="AL578" s="9"/>
      <c r="AM578" s="9"/>
      <c r="AN578" s="9"/>
      <c r="AO578" s="9"/>
      <c r="AP578" s="9"/>
      <c r="AQ578" s="28"/>
      <c r="AR578" s="28"/>
      <c r="AS578" s="28"/>
    </row>
    <row r="579" spans="5:45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9"/>
      <c r="AK579" s="9"/>
      <c r="AL579" s="9"/>
      <c r="AM579" s="9"/>
      <c r="AN579" s="9"/>
      <c r="AO579" s="9"/>
      <c r="AP579" s="9"/>
      <c r="AQ579" s="28"/>
      <c r="AR579" s="28"/>
      <c r="AS579" s="28"/>
    </row>
    <row r="580" spans="5:45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9"/>
      <c r="AK580" s="9"/>
      <c r="AL580" s="9"/>
      <c r="AM580" s="9"/>
      <c r="AN580" s="9"/>
      <c r="AO580" s="9"/>
      <c r="AP580" s="9"/>
      <c r="AQ580" s="28"/>
      <c r="AR580" s="28"/>
      <c r="AS580" s="28"/>
    </row>
    <row r="581" spans="5:45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9"/>
      <c r="AK581" s="9"/>
      <c r="AL581" s="9"/>
      <c r="AM581" s="9"/>
      <c r="AN581" s="9"/>
      <c r="AO581" s="9"/>
      <c r="AP581" s="9"/>
      <c r="AQ581" s="28"/>
      <c r="AR581" s="28"/>
      <c r="AS581" s="28"/>
    </row>
    <row r="582" spans="5:45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9"/>
      <c r="AK582" s="9"/>
      <c r="AL582" s="9"/>
      <c r="AM582" s="9"/>
      <c r="AN582" s="9"/>
      <c r="AO582" s="9"/>
      <c r="AP582" s="9"/>
      <c r="AQ582" s="28"/>
      <c r="AR582" s="28"/>
      <c r="AS582" s="28"/>
    </row>
    <row r="583" spans="5:45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9"/>
      <c r="AK583" s="9"/>
      <c r="AL583" s="9"/>
      <c r="AM583" s="9"/>
      <c r="AN583" s="9"/>
      <c r="AO583" s="9"/>
      <c r="AP583" s="9"/>
      <c r="AQ583" s="28"/>
      <c r="AR583" s="28"/>
      <c r="AS583" s="28"/>
    </row>
    <row r="584" spans="5:45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9"/>
      <c r="AK584" s="9"/>
      <c r="AL584" s="9"/>
      <c r="AM584" s="9"/>
      <c r="AN584" s="9"/>
      <c r="AO584" s="9"/>
      <c r="AP584" s="9"/>
      <c r="AQ584" s="28"/>
      <c r="AR584" s="28"/>
      <c r="AS584" s="28"/>
    </row>
    <row r="585" spans="5:45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9"/>
      <c r="AK585" s="9"/>
      <c r="AL585" s="9"/>
      <c r="AM585" s="9"/>
      <c r="AN585" s="9"/>
      <c r="AO585" s="9"/>
      <c r="AP585" s="9"/>
      <c r="AQ585" s="28"/>
      <c r="AR585" s="28"/>
      <c r="AS585" s="28"/>
    </row>
    <row r="586" spans="5:45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9"/>
      <c r="AK586" s="9"/>
      <c r="AL586" s="9"/>
      <c r="AM586" s="9"/>
      <c r="AN586" s="9"/>
      <c r="AO586" s="9"/>
      <c r="AP586" s="9"/>
      <c r="AQ586" s="28"/>
      <c r="AR586" s="28"/>
      <c r="AS586" s="28"/>
    </row>
    <row r="587" spans="5:45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9"/>
      <c r="AK587" s="9"/>
      <c r="AL587" s="9"/>
      <c r="AM587" s="9"/>
      <c r="AN587" s="9"/>
      <c r="AO587" s="9"/>
      <c r="AP587" s="9"/>
      <c r="AQ587" s="28"/>
      <c r="AR587" s="28"/>
      <c r="AS587" s="28"/>
    </row>
    <row r="588" spans="5:45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9"/>
      <c r="AK588" s="9"/>
      <c r="AL588" s="9"/>
      <c r="AM588" s="9"/>
      <c r="AN588" s="9"/>
      <c r="AO588" s="9"/>
      <c r="AP588" s="9"/>
      <c r="AQ588" s="28"/>
      <c r="AR588" s="28"/>
      <c r="AS588" s="28"/>
    </row>
    <row r="589" spans="5:45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9"/>
      <c r="AK589" s="9"/>
      <c r="AL589" s="9"/>
      <c r="AM589" s="9"/>
      <c r="AN589" s="9"/>
      <c r="AO589" s="9"/>
      <c r="AP589" s="9"/>
      <c r="AQ589" s="28"/>
      <c r="AR589" s="28"/>
      <c r="AS589" s="28"/>
    </row>
    <row r="590" spans="5:45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9"/>
      <c r="AK590" s="9"/>
      <c r="AL590" s="9"/>
      <c r="AM590" s="9"/>
      <c r="AN590" s="9"/>
      <c r="AO590" s="9"/>
      <c r="AP590" s="9"/>
      <c r="AQ590" s="28"/>
      <c r="AR590" s="28"/>
      <c r="AS590" s="28"/>
    </row>
    <row r="591" spans="5:45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9"/>
      <c r="AK591" s="9"/>
      <c r="AL591" s="9"/>
      <c r="AM591" s="9"/>
      <c r="AN591" s="9"/>
      <c r="AO591" s="9"/>
      <c r="AP591" s="9"/>
      <c r="AQ591" s="28"/>
      <c r="AR591" s="28"/>
      <c r="AS591" s="28"/>
    </row>
    <row r="592" spans="5:45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9"/>
      <c r="AK592" s="9"/>
      <c r="AL592" s="9"/>
      <c r="AM592" s="9"/>
      <c r="AN592" s="9"/>
      <c r="AO592" s="9"/>
      <c r="AP592" s="9"/>
      <c r="AQ592" s="28"/>
      <c r="AR592" s="28"/>
      <c r="AS592" s="28"/>
    </row>
    <row r="593" spans="5:45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9"/>
      <c r="AK593" s="9"/>
      <c r="AL593" s="9"/>
      <c r="AM593" s="9"/>
      <c r="AN593" s="9"/>
      <c r="AO593" s="9"/>
      <c r="AP593" s="9"/>
      <c r="AQ593" s="28"/>
      <c r="AR593" s="28"/>
      <c r="AS593" s="28"/>
    </row>
    <row r="594" spans="5:45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9"/>
      <c r="AK594" s="9"/>
      <c r="AL594" s="9"/>
      <c r="AM594" s="9"/>
      <c r="AN594" s="9"/>
      <c r="AO594" s="9"/>
      <c r="AP594" s="9"/>
      <c r="AQ594" s="28"/>
      <c r="AR594" s="28"/>
      <c r="AS594" s="28"/>
    </row>
    <row r="595" spans="5:45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9"/>
      <c r="AK595" s="9"/>
      <c r="AL595" s="9"/>
      <c r="AM595" s="9"/>
      <c r="AN595" s="9"/>
      <c r="AO595" s="9"/>
      <c r="AP595" s="9"/>
      <c r="AQ595" s="28"/>
      <c r="AR595" s="28"/>
      <c r="AS595" s="28"/>
    </row>
    <row r="596" spans="5:45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9"/>
      <c r="AK596" s="9"/>
      <c r="AL596" s="9"/>
      <c r="AM596" s="9"/>
      <c r="AN596" s="9"/>
      <c r="AO596" s="9"/>
      <c r="AP596" s="9"/>
      <c r="AQ596" s="28"/>
      <c r="AR596" s="28"/>
      <c r="AS596" s="28"/>
    </row>
    <row r="597" spans="5:45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9"/>
      <c r="AK597" s="9"/>
      <c r="AL597" s="9"/>
      <c r="AM597" s="9"/>
      <c r="AN597" s="9"/>
      <c r="AO597" s="9"/>
      <c r="AP597" s="9"/>
      <c r="AQ597" s="28"/>
      <c r="AR597" s="28"/>
      <c r="AS597" s="28"/>
    </row>
    <row r="598" spans="5:45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9"/>
      <c r="AK598" s="9"/>
      <c r="AL598" s="9"/>
      <c r="AM598" s="9"/>
      <c r="AN598" s="9"/>
      <c r="AO598" s="9"/>
      <c r="AP598" s="9"/>
      <c r="AQ598" s="28"/>
      <c r="AR598" s="28"/>
      <c r="AS598" s="28"/>
    </row>
    <row r="599" spans="5:45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9"/>
      <c r="AK599" s="9"/>
      <c r="AL599" s="9"/>
      <c r="AM599" s="9"/>
      <c r="AN599" s="9"/>
      <c r="AO599" s="9"/>
      <c r="AP599" s="9"/>
      <c r="AQ599" s="28"/>
      <c r="AR599" s="28"/>
      <c r="AS599" s="28"/>
    </row>
    <row r="600" spans="5:45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9"/>
      <c r="AK600" s="9"/>
      <c r="AL600" s="9"/>
      <c r="AM600" s="9"/>
      <c r="AN600" s="9"/>
      <c r="AO600" s="9"/>
      <c r="AP600" s="9"/>
      <c r="AQ600" s="28"/>
      <c r="AR600" s="28"/>
      <c r="AS600" s="28"/>
    </row>
    <row r="601" spans="5:45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9"/>
      <c r="AK601" s="9"/>
      <c r="AL601" s="9"/>
      <c r="AM601" s="9"/>
      <c r="AN601" s="9"/>
      <c r="AO601" s="9"/>
      <c r="AP601" s="9"/>
      <c r="AQ601" s="28"/>
      <c r="AR601" s="28"/>
      <c r="AS601" s="28"/>
    </row>
    <row r="602" spans="5:45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9"/>
      <c r="AK602" s="9"/>
      <c r="AL602" s="9"/>
      <c r="AM602" s="9"/>
      <c r="AN602" s="9"/>
      <c r="AO602" s="9"/>
      <c r="AP602" s="9"/>
      <c r="AQ602" s="28"/>
      <c r="AR602" s="28"/>
      <c r="AS602" s="28"/>
    </row>
    <row r="603" spans="5:45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9"/>
      <c r="AK603" s="9"/>
      <c r="AL603" s="9"/>
      <c r="AM603" s="9"/>
      <c r="AN603" s="9"/>
      <c r="AO603" s="9"/>
      <c r="AP603" s="9"/>
      <c r="AQ603" s="28"/>
      <c r="AR603" s="28"/>
      <c r="AS603" s="28"/>
    </row>
    <row r="604" spans="5:45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9"/>
      <c r="AK604" s="9"/>
      <c r="AL604" s="9"/>
      <c r="AM604" s="9"/>
      <c r="AN604" s="9"/>
      <c r="AO604" s="9"/>
      <c r="AP604" s="9"/>
      <c r="AQ604" s="28"/>
      <c r="AR604" s="28"/>
      <c r="AS604" s="28"/>
    </row>
    <row r="605" spans="5:45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9"/>
      <c r="AK605" s="9"/>
      <c r="AL605" s="9"/>
      <c r="AM605" s="9"/>
      <c r="AN605" s="9"/>
      <c r="AO605" s="9"/>
      <c r="AP605" s="9"/>
      <c r="AQ605" s="28"/>
      <c r="AR605" s="28"/>
      <c r="AS605" s="28"/>
    </row>
    <row r="606" spans="5:45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9"/>
      <c r="AK606" s="9"/>
      <c r="AL606" s="9"/>
      <c r="AM606" s="9"/>
      <c r="AN606" s="9"/>
      <c r="AO606" s="9"/>
      <c r="AP606" s="9"/>
      <c r="AQ606" s="28"/>
      <c r="AR606" s="28"/>
      <c r="AS606" s="28"/>
    </row>
    <row r="607" spans="5:45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9"/>
      <c r="AK607" s="9"/>
      <c r="AL607" s="9"/>
      <c r="AM607" s="9"/>
      <c r="AN607" s="9"/>
      <c r="AO607" s="9"/>
      <c r="AP607" s="9"/>
      <c r="AQ607" s="28"/>
      <c r="AR607" s="28"/>
      <c r="AS607" s="28"/>
    </row>
    <row r="608" spans="5:45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9"/>
      <c r="AK608" s="9"/>
      <c r="AL608" s="9"/>
      <c r="AM608" s="9"/>
      <c r="AN608" s="9"/>
      <c r="AO608" s="9"/>
      <c r="AP608" s="9"/>
      <c r="AQ608" s="28"/>
      <c r="AR608" s="28"/>
      <c r="AS608" s="28"/>
    </row>
    <row r="609" spans="5:45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9"/>
      <c r="AK609" s="9"/>
      <c r="AL609" s="9"/>
      <c r="AM609" s="9"/>
      <c r="AN609" s="9"/>
      <c r="AO609" s="9"/>
      <c r="AP609" s="9"/>
      <c r="AQ609" s="28"/>
      <c r="AR609" s="28"/>
      <c r="AS609" s="28"/>
    </row>
    <row r="610" spans="5:45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9"/>
      <c r="AK610" s="9"/>
      <c r="AL610" s="9"/>
      <c r="AM610" s="9"/>
      <c r="AN610" s="9"/>
      <c r="AO610" s="9"/>
      <c r="AP610" s="9"/>
      <c r="AQ610" s="28"/>
      <c r="AR610" s="28"/>
      <c r="AS610" s="28"/>
    </row>
    <row r="611" spans="5:45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9"/>
      <c r="AK611" s="9"/>
      <c r="AL611" s="9"/>
      <c r="AM611" s="9"/>
      <c r="AN611" s="9"/>
      <c r="AO611" s="9"/>
      <c r="AP611" s="9"/>
      <c r="AQ611" s="28"/>
      <c r="AR611" s="28"/>
      <c r="AS611" s="28"/>
    </row>
    <row r="612" spans="5:45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9"/>
      <c r="AK612" s="9"/>
      <c r="AL612" s="9"/>
      <c r="AM612" s="9"/>
      <c r="AN612" s="9"/>
      <c r="AO612" s="9"/>
      <c r="AP612" s="9"/>
      <c r="AQ612" s="28"/>
      <c r="AR612" s="28"/>
      <c r="AS612" s="28"/>
    </row>
    <row r="613" spans="5:45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9"/>
      <c r="AK613" s="9"/>
      <c r="AL613" s="9"/>
      <c r="AM613" s="9"/>
      <c r="AN613" s="9"/>
      <c r="AO613" s="9"/>
      <c r="AP613" s="9"/>
      <c r="AQ613" s="28"/>
      <c r="AR613" s="28"/>
      <c r="AS613" s="28"/>
    </row>
    <row r="614" spans="5:45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9"/>
      <c r="AK614" s="9"/>
      <c r="AL614" s="9"/>
      <c r="AM614" s="9"/>
      <c r="AN614" s="9"/>
      <c r="AO614" s="9"/>
      <c r="AP614" s="9"/>
      <c r="AQ614" s="28"/>
      <c r="AR614" s="28"/>
      <c r="AS614" s="28"/>
    </row>
    <row r="615" spans="5:45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9"/>
      <c r="AK615" s="9"/>
      <c r="AL615" s="9"/>
      <c r="AM615" s="9"/>
      <c r="AN615" s="9"/>
      <c r="AO615" s="9"/>
      <c r="AP615" s="9"/>
      <c r="AQ615" s="28"/>
      <c r="AR615" s="28"/>
      <c r="AS615" s="28"/>
    </row>
    <row r="616" spans="5:45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9"/>
      <c r="AK616" s="9"/>
      <c r="AL616" s="9"/>
      <c r="AM616" s="9"/>
      <c r="AN616" s="9"/>
      <c r="AO616" s="9"/>
      <c r="AP616" s="9"/>
      <c r="AQ616" s="28"/>
      <c r="AR616" s="28"/>
      <c r="AS616" s="28"/>
    </row>
    <row r="617" spans="5:45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9"/>
      <c r="AK617" s="9"/>
      <c r="AL617" s="9"/>
      <c r="AM617" s="9"/>
      <c r="AN617" s="9"/>
      <c r="AO617" s="9"/>
      <c r="AP617" s="9"/>
      <c r="AQ617" s="28"/>
      <c r="AR617" s="28"/>
      <c r="AS617" s="28"/>
    </row>
    <row r="618" spans="5:45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9"/>
      <c r="AK618" s="9"/>
      <c r="AL618" s="9"/>
      <c r="AM618" s="9"/>
      <c r="AN618" s="9"/>
      <c r="AO618" s="9"/>
      <c r="AP618" s="9"/>
      <c r="AQ618" s="28"/>
      <c r="AR618" s="28"/>
      <c r="AS618" s="28"/>
    </row>
    <row r="619" spans="5:45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9"/>
      <c r="AK619" s="9"/>
      <c r="AL619" s="9"/>
      <c r="AM619" s="9"/>
      <c r="AN619" s="9"/>
      <c r="AO619" s="9"/>
      <c r="AP619" s="9"/>
      <c r="AQ619" s="28"/>
      <c r="AR619" s="28"/>
      <c r="AS619" s="28"/>
    </row>
    <row r="620" spans="5:45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9"/>
      <c r="AK620" s="9"/>
      <c r="AL620" s="9"/>
      <c r="AM620" s="9"/>
      <c r="AN620" s="9"/>
      <c r="AO620" s="9"/>
      <c r="AP620" s="9"/>
      <c r="AQ620" s="28"/>
      <c r="AR620" s="28"/>
      <c r="AS620" s="28"/>
    </row>
    <row r="621" spans="5:45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9"/>
      <c r="AK621" s="9"/>
      <c r="AL621" s="9"/>
      <c r="AM621" s="9"/>
      <c r="AN621" s="9"/>
      <c r="AO621" s="9"/>
      <c r="AP621" s="9"/>
      <c r="AQ621" s="28"/>
      <c r="AR621" s="28"/>
      <c r="AS621" s="28"/>
    </row>
    <row r="622" spans="5:45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9"/>
      <c r="AK622" s="9"/>
      <c r="AL622" s="9"/>
      <c r="AM622" s="9"/>
      <c r="AN622" s="9"/>
      <c r="AO622" s="9"/>
      <c r="AP622" s="9"/>
      <c r="AQ622" s="28"/>
      <c r="AR622" s="28"/>
      <c r="AS622" s="28"/>
    </row>
    <row r="623" spans="5:45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9"/>
      <c r="AK623" s="9"/>
      <c r="AL623" s="9"/>
      <c r="AM623" s="9"/>
      <c r="AN623" s="9"/>
      <c r="AO623" s="9"/>
      <c r="AP623" s="9"/>
      <c r="AQ623" s="28"/>
      <c r="AR623" s="28"/>
      <c r="AS623" s="28"/>
    </row>
    <row r="624" spans="5:45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9"/>
      <c r="AK624" s="9"/>
      <c r="AL624" s="9"/>
      <c r="AM624" s="9"/>
      <c r="AN624" s="9"/>
      <c r="AO624" s="9"/>
      <c r="AP624" s="9"/>
      <c r="AQ624" s="28"/>
      <c r="AR624" s="28"/>
      <c r="AS624" s="28"/>
    </row>
    <row r="625" spans="5:45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9"/>
      <c r="AK625" s="9"/>
      <c r="AL625" s="9"/>
      <c r="AM625" s="9"/>
      <c r="AN625" s="9"/>
      <c r="AO625" s="9"/>
      <c r="AP625" s="9"/>
      <c r="AQ625" s="28"/>
      <c r="AR625" s="28"/>
      <c r="AS625" s="28"/>
    </row>
    <row r="626" spans="5:45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9"/>
      <c r="AK626" s="9"/>
      <c r="AL626" s="9"/>
      <c r="AM626" s="9"/>
      <c r="AN626" s="9"/>
      <c r="AO626" s="9"/>
      <c r="AP626" s="9"/>
      <c r="AQ626" s="28"/>
      <c r="AR626" s="28"/>
      <c r="AS626" s="28"/>
    </row>
    <row r="627" spans="5:45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9"/>
      <c r="AK627" s="9"/>
      <c r="AL627" s="9"/>
      <c r="AM627" s="9"/>
      <c r="AN627" s="9"/>
      <c r="AO627" s="9"/>
      <c r="AP627" s="9"/>
      <c r="AQ627" s="28"/>
      <c r="AR627" s="28"/>
      <c r="AS627" s="28"/>
    </row>
    <row r="628" spans="5:45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9"/>
      <c r="AK628" s="9"/>
      <c r="AL628" s="9"/>
      <c r="AM628" s="9"/>
      <c r="AN628" s="9"/>
      <c r="AO628" s="9"/>
      <c r="AP628" s="9"/>
      <c r="AQ628" s="28"/>
      <c r="AR628" s="28"/>
      <c r="AS628" s="28"/>
    </row>
    <row r="629" spans="5:45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9"/>
      <c r="AK629" s="9"/>
      <c r="AL629" s="9"/>
      <c r="AM629" s="9"/>
      <c r="AN629" s="9"/>
      <c r="AO629" s="9"/>
      <c r="AP629" s="9"/>
      <c r="AQ629" s="28"/>
      <c r="AR629" s="28"/>
      <c r="AS629" s="28"/>
    </row>
    <row r="630" spans="5:45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9"/>
      <c r="AK630" s="9"/>
      <c r="AL630" s="9"/>
      <c r="AM630" s="9"/>
      <c r="AN630" s="9"/>
      <c r="AO630" s="9"/>
      <c r="AP630" s="9"/>
      <c r="AQ630" s="28"/>
      <c r="AR630" s="28"/>
      <c r="AS630" s="28"/>
    </row>
    <row r="631" spans="5:45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9"/>
      <c r="AK631" s="9"/>
      <c r="AL631" s="9"/>
      <c r="AM631" s="9"/>
      <c r="AN631" s="9"/>
      <c r="AO631" s="9"/>
      <c r="AP631" s="9"/>
      <c r="AQ631" s="28"/>
      <c r="AR631" s="28"/>
      <c r="AS631" s="28"/>
    </row>
    <row r="632" spans="5:45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9"/>
      <c r="AK632" s="9"/>
      <c r="AL632" s="9"/>
      <c r="AM632" s="9"/>
      <c r="AN632" s="9"/>
      <c r="AO632" s="9"/>
      <c r="AP632" s="9"/>
      <c r="AQ632" s="28"/>
      <c r="AR632" s="28"/>
      <c r="AS632" s="28"/>
    </row>
    <row r="633" spans="5:45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9"/>
      <c r="AK633" s="9"/>
      <c r="AL633" s="9"/>
      <c r="AM633" s="9"/>
      <c r="AN633" s="9"/>
      <c r="AO633" s="9"/>
      <c r="AP633" s="9"/>
      <c r="AQ633" s="28"/>
      <c r="AR633" s="28"/>
      <c r="AS633" s="28"/>
    </row>
    <row r="634" spans="5:45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9"/>
      <c r="AK634" s="9"/>
      <c r="AL634" s="9"/>
      <c r="AM634" s="9"/>
      <c r="AN634" s="9"/>
      <c r="AO634" s="9"/>
      <c r="AP634" s="9"/>
      <c r="AQ634" s="28"/>
      <c r="AR634" s="28"/>
      <c r="AS634" s="28"/>
    </row>
    <row r="635" spans="5:45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9"/>
      <c r="AK635" s="9"/>
      <c r="AL635" s="9"/>
      <c r="AM635" s="9"/>
      <c r="AN635" s="9"/>
      <c r="AO635" s="9"/>
      <c r="AP635" s="9"/>
      <c r="AQ635" s="28"/>
      <c r="AR635" s="28"/>
      <c r="AS635" s="28"/>
    </row>
    <row r="636" spans="5:45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9"/>
      <c r="AK636" s="9"/>
      <c r="AL636" s="9"/>
      <c r="AM636" s="9"/>
      <c r="AN636" s="9"/>
      <c r="AO636" s="9"/>
      <c r="AP636" s="9"/>
      <c r="AQ636" s="28"/>
      <c r="AR636" s="28"/>
      <c r="AS636" s="28"/>
    </row>
    <row r="637" spans="5:45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9"/>
      <c r="AK637" s="9"/>
      <c r="AL637" s="9"/>
      <c r="AM637" s="9"/>
      <c r="AN637" s="9"/>
      <c r="AO637" s="9"/>
      <c r="AP637" s="9"/>
      <c r="AQ637" s="28"/>
      <c r="AR637" s="28"/>
      <c r="AS637" s="28"/>
    </row>
    <row r="638" spans="5:45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9"/>
      <c r="AK638" s="9"/>
      <c r="AL638" s="9"/>
      <c r="AM638" s="9"/>
      <c r="AN638" s="9"/>
      <c r="AO638" s="9"/>
      <c r="AP638" s="9"/>
      <c r="AQ638" s="28"/>
      <c r="AR638" s="28"/>
      <c r="AS638" s="28"/>
    </row>
    <row r="639" spans="5:45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9"/>
      <c r="AK639" s="9"/>
      <c r="AL639" s="9"/>
      <c r="AM639" s="9"/>
      <c r="AN639" s="9"/>
      <c r="AO639" s="9"/>
      <c r="AP639" s="9"/>
      <c r="AQ639" s="28"/>
      <c r="AR639" s="28"/>
      <c r="AS639" s="28"/>
    </row>
    <row r="640" spans="5:45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9"/>
      <c r="AK640" s="9"/>
      <c r="AL640" s="9"/>
      <c r="AM640" s="9"/>
      <c r="AN640" s="9"/>
      <c r="AO640" s="9"/>
      <c r="AP640" s="9"/>
      <c r="AQ640" s="28"/>
      <c r="AR640" s="28"/>
      <c r="AS640" s="28"/>
    </row>
    <row r="641" spans="5:45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9"/>
      <c r="AK641" s="9"/>
      <c r="AL641" s="9"/>
      <c r="AM641" s="9"/>
      <c r="AN641" s="9"/>
      <c r="AO641" s="9"/>
      <c r="AP641" s="9"/>
      <c r="AQ641" s="28"/>
      <c r="AR641" s="28"/>
      <c r="AS641" s="28"/>
    </row>
    <row r="642" spans="5:45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9"/>
      <c r="AK642" s="9"/>
      <c r="AL642" s="9"/>
      <c r="AM642" s="9"/>
      <c r="AN642" s="9"/>
      <c r="AO642" s="9"/>
      <c r="AP642" s="9"/>
      <c r="AQ642" s="28"/>
      <c r="AR642" s="28"/>
      <c r="AS642" s="28"/>
    </row>
    <row r="643" spans="5:45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9"/>
      <c r="AK643" s="9"/>
      <c r="AL643" s="9"/>
      <c r="AM643" s="9"/>
      <c r="AN643" s="9"/>
      <c r="AO643" s="9"/>
      <c r="AP643" s="9"/>
      <c r="AQ643" s="28"/>
      <c r="AR643" s="28"/>
      <c r="AS643" s="28"/>
    </row>
    <row r="644" spans="5:45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9"/>
      <c r="AK644" s="9"/>
      <c r="AL644" s="9"/>
      <c r="AM644" s="9"/>
      <c r="AN644" s="9"/>
      <c r="AO644" s="9"/>
      <c r="AP644" s="9"/>
      <c r="AQ644" s="28"/>
      <c r="AR644" s="28"/>
      <c r="AS644" s="28"/>
    </row>
    <row r="645" spans="5:45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9"/>
      <c r="AK645" s="9"/>
      <c r="AL645" s="9"/>
      <c r="AM645" s="9"/>
      <c r="AN645" s="9"/>
      <c r="AO645" s="9"/>
      <c r="AP645" s="9"/>
      <c r="AQ645" s="28"/>
      <c r="AR645" s="28"/>
      <c r="AS645" s="28"/>
    </row>
    <row r="646" spans="5:45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9"/>
      <c r="AK646" s="9"/>
      <c r="AL646" s="9"/>
      <c r="AM646" s="9"/>
      <c r="AN646" s="9"/>
      <c r="AO646" s="9"/>
      <c r="AP646" s="9"/>
      <c r="AQ646" s="28"/>
      <c r="AR646" s="28"/>
      <c r="AS646" s="28"/>
    </row>
    <row r="647" spans="5:45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9"/>
      <c r="AK647" s="9"/>
      <c r="AL647" s="9"/>
      <c r="AM647" s="9"/>
      <c r="AN647" s="9"/>
      <c r="AO647" s="9"/>
      <c r="AP647" s="9"/>
      <c r="AQ647" s="28"/>
      <c r="AR647" s="28"/>
      <c r="AS647" s="28"/>
    </row>
    <row r="648" spans="5:45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9"/>
      <c r="AK648" s="9"/>
      <c r="AL648" s="9"/>
      <c r="AM648" s="9"/>
      <c r="AN648" s="9"/>
      <c r="AO648" s="9"/>
      <c r="AP648" s="9"/>
      <c r="AQ648" s="28"/>
      <c r="AR648" s="28"/>
      <c r="AS648" s="28"/>
    </row>
    <row r="649" spans="5:45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9"/>
      <c r="AK649" s="9"/>
      <c r="AL649" s="9"/>
      <c r="AM649" s="9"/>
      <c r="AN649" s="9"/>
      <c r="AO649" s="9"/>
      <c r="AP649" s="9"/>
      <c r="AQ649" s="28"/>
      <c r="AR649" s="28"/>
      <c r="AS649" s="28"/>
    </row>
    <row r="650" spans="5:45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9"/>
      <c r="AK650" s="9"/>
      <c r="AL650" s="9"/>
      <c r="AM650" s="9"/>
      <c r="AN650" s="9"/>
      <c r="AO650" s="9"/>
      <c r="AP650" s="9"/>
      <c r="AQ650" s="28"/>
      <c r="AR650" s="28"/>
      <c r="AS650" s="28"/>
    </row>
    <row r="651" spans="5:45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9"/>
      <c r="AK651" s="9"/>
      <c r="AL651" s="9"/>
      <c r="AM651" s="9"/>
      <c r="AN651" s="9"/>
      <c r="AO651" s="9"/>
      <c r="AP651" s="9"/>
      <c r="AQ651" s="28"/>
      <c r="AR651" s="28"/>
      <c r="AS651" s="28"/>
    </row>
    <row r="652" spans="5:45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9"/>
      <c r="AK652" s="9"/>
      <c r="AL652" s="9"/>
      <c r="AM652" s="9"/>
      <c r="AN652" s="9"/>
      <c r="AO652" s="9"/>
      <c r="AP652" s="9"/>
      <c r="AQ652" s="28"/>
      <c r="AR652" s="28"/>
      <c r="AS652" s="28"/>
    </row>
    <row r="653" spans="5:45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9"/>
      <c r="AK653" s="9"/>
      <c r="AL653" s="9"/>
      <c r="AM653" s="9"/>
      <c r="AN653" s="9"/>
      <c r="AO653" s="9"/>
      <c r="AP653" s="9"/>
      <c r="AQ653" s="28"/>
      <c r="AR653" s="28"/>
      <c r="AS653" s="28"/>
    </row>
    <row r="654" spans="5:45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9"/>
      <c r="AK654" s="9"/>
      <c r="AL654" s="9"/>
      <c r="AM654" s="9"/>
      <c r="AN654" s="9"/>
      <c r="AO654" s="9"/>
      <c r="AP654" s="9"/>
      <c r="AQ654" s="28"/>
      <c r="AR654" s="28"/>
      <c r="AS654" s="28"/>
    </row>
    <row r="655" spans="5:45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9"/>
      <c r="AK655" s="9"/>
      <c r="AL655" s="9"/>
      <c r="AM655" s="9"/>
      <c r="AN655" s="9"/>
      <c r="AO655" s="9"/>
      <c r="AP655" s="9"/>
      <c r="AQ655" s="28"/>
      <c r="AR655" s="28"/>
      <c r="AS655" s="28"/>
    </row>
    <row r="656" spans="5:45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9"/>
      <c r="AK656" s="9"/>
      <c r="AL656" s="9"/>
      <c r="AM656" s="9"/>
      <c r="AN656" s="9"/>
      <c r="AO656" s="9"/>
      <c r="AP656" s="9"/>
      <c r="AQ656" s="28"/>
      <c r="AR656" s="28"/>
      <c r="AS656" s="28"/>
    </row>
    <row r="657" spans="5:45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9"/>
      <c r="AK657" s="9"/>
      <c r="AL657" s="9"/>
      <c r="AM657" s="9"/>
      <c r="AN657" s="9"/>
      <c r="AO657" s="9"/>
      <c r="AP657" s="9"/>
      <c r="AQ657" s="28"/>
      <c r="AR657" s="28"/>
      <c r="AS657" s="28"/>
    </row>
    <row r="658" spans="5:45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9"/>
      <c r="AK658" s="9"/>
      <c r="AL658" s="9"/>
      <c r="AM658" s="9"/>
      <c r="AN658" s="9"/>
      <c r="AO658" s="9"/>
      <c r="AP658" s="9"/>
      <c r="AQ658" s="28"/>
      <c r="AR658" s="28"/>
      <c r="AS658" s="28"/>
    </row>
    <row r="659" spans="5:45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9"/>
      <c r="AK659" s="9"/>
      <c r="AL659" s="9"/>
      <c r="AM659" s="9"/>
      <c r="AN659" s="9"/>
      <c r="AO659" s="9"/>
      <c r="AP659" s="9"/>
      <c r="AQ659" s="28"/>
      <c r="AR659" s="28"/>
      <c r="AS659" s="28"/>
    </row>
    <row r="660" spans="5:45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9"/>
      <c r="AK660" s="9"/>
      <c r="AL660" s="9"/>
      <c r="AM660" s="9"/>
      <c r="AN660" s="9"/>
      <c r="AO660" s="9"/>
      <c r="AP660" s="9"/>
      <c r="AQ660" s="28"/>
      <c r="AR660" s="28"/>
      <c r="AS660" s="28"/>
    </row>
    <row r="661" spans="5:45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9"/>
      <c r="AK661" s="9"/>
      <c r="AL661" s="9"/>
      <c r="AM661" s="9"/>
      <c r="AN661" s="9"/>
      <c r="AO661" s="9"/>
      <c r="AP661" s="9"/>
      <c r="AQ661" s="28"/>
      <c r="AR661" s="28"/>
      <c r="AS661" s="28"/>
    </row>
    <row r="662" spans="5:45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9"/>
      <c r="AK662" s="9"/>
      <c r="AL662" s="9"/>
      <c r="AM662" s="9"/>
      <c r="AN662" s="9"/>
      <c r="AO662" s="9"/>
      <c r="AP662" s="9"/>
      <c r="AQ662" s="28"/>
      <c r="AR662" s="28"/>
      <c r="AS662" s="28"/>
    </row>
    <row r="663" spans="5:45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9"/>
      <c r="AK663" s="9"/>
      <c r="AL663" s="9"/>
      <c r="AM663" s="9"/>
      <c r="AN663" s="9"/>
      <c r="AO663" s="9"/>
      <c r="AP663" s="9"/>
      <c r="AQ663" s="28"/>
      <c r="AR663" s="28"/>
      <c r="AS663" s="28"/>
    </row>
    <row r="664" spans="5:45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9"/>
      <c r="AK664" s="9"/>
      <c r="AL664" s="9"/>
      <c r="AM664" s="9"/>
      <c r="AN664" s="9"/>
      <c r="AO664" s="9"/>
      <c r="AP664" s="9"/>
      <c r="AQ664" s="28"/>
      <c r="AR664" s="28"/>
      <c r="AS664" s="28"/>
    </row>
    <row r="665" spans="5:45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9"/>
      <c r="AK665" s="9"/>
      <c r="AL665" s="9"/>
      <c r="AM665" s="9"/>
      <c r="AN665" s="9"/>
      <c r="AO665" s="9"/>
      <c r="AP665" s="9"/>
      <c r="AQ665" s="28"/>
      <c r="AR665" s="28"/>
      <c r="AS665" s="28"/>
    </row>
    <row r="666" spans="5:45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9"/>
      <c r="AK666" s="9"/>
      <c r="AL666" s="9"/>
      <c r="AM666" s="9"/>
      <c r="AN666" s="9"/>
      <c r="AO666" s="9"/>
      <c r="AP666" s="9"/>
      <c r="AQ666" s="28"/>
      <c r="AR666" s="28"/>
      <c r="AS666" s="28"/>
    </row>
    <row r="667" spans="5:45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9"/>
      <c r="AK667" s="9"/>
      <c r="AL667" s="9"/>
      <c r="AM667" s="9"/>
      <c r="AN667" s="9"/>
      <c r="AO667" s="9"/>
      <c r="AP667" s="9"/>
      <c r="AQ667" s="28"/>
      <c r="AR667" s="28"/>
      <c r="AS667" s="28"/>
    </row>
    <row r="668" spans="5:45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9"/>
      <c r="AK668" s="9"/>
      <c r="AL668" s="9"/>
      <c r="AM668" s="9"/>
      <c r="AN668" s="9"/>
      <c r="AO668" s="9"/>
      <c r="AP668" s="9"/>
      <c r="AQ668" s="28"/>
      <c r="AR668" s="28"/>
      <c r="AS668" s="28"/>
    </row>
    <row r="669" spans="5:45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9"/>
      <c r="AK669" s="9"/>
      <c r="AL669" s="9"/>
      <c r="AM669" s="9"/>
      <c r="AN669" s="9"/>
      <c r="AO669" s="9"/>
      <c r="AP669" s="9"/>
      <c r="AQ669" s="28"/>
      <c r="AR669" s="28"/>
      <c r="AS669" s="28"/>
    </row>
    <row r="670" spans="5:45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9"/>
      <c r="AK670" s="9"/>
      <c r="AL670" s="9"/>
      <c r="AM670" s="9"/>
      <c r="AN670" s="9"/>
      <c r="AO670" s="9"/>
      <c r="AP670" s="9"/>
      <c r="AQ670" s="28"/>
      <c r="AR670" s="28"/>
      <c r="AS670" s="28"/>
    </row>
    <row r="671" spans="5:45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9"/>
      <c r="AK671" s="9"/>
      <c r="AL671" s="9"/>
      <c r="AM671" s="9"/>
      <c r="AN671" s="9"/>
      <c r="AO671" s="9"/>
      <c r="AP671" s="9"/>
      <c r="AQ671" s="28"/>
      <c r="AR671" s="28"/>
      <c r="AS671" s="28"/>
    </row>
    <row r="672" spans="5:45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N247:N372 P236:U244 P247:U281 O95:O244 O247:O369 V96:X244 V247:X372 N245:X246 AJ95:AS369 Y96:AI372">
    <cfRule type="cellIs" dxfId="839" priority="1832" operator="lessThan">
      <formula>0.8</formula>
    </cfRule>
    <cfRule type="cellIs" dxfId="838" priority="1833" operator="greaterThan">
      <formula>0.8</formula>
    </cfRule>
  </conditionalFormatting>
  <conditionalFormatting sqref="E1:K3 E284:K334 E236:K236 E5:K32 E36:K91 E94:K230 E337:K364 E369:K372 E243:K281 E391:K1048576">
    <cfRule type="containsText" dxfId="837" priority="1831" operator="containsText" text="Radio">
      <formula>NOT(ISERROR(SEARCH("Radio",E1)))</formula>
    </cfRule>
  </conditionalFormatting>
  <conditionalFormatting sqref="P236:U244 P247:U281 O95:O244 O247:O372 V96:X244 V247:X372 O245:X246 AJ95:AS372 Y96:AI372 V391:AS1048576">
    <cfRule type="notContainsText" dxfId="836" priority="1827" operator="notContains" text="Caida">
      <formula>ISERROR(SEARCH("Caida",O95))</formula>
    </cfRule>
    <cfRule type="containsText" dxfId="835" priority="1828" operator="containsText" text="Caida">
      <formula>NOT(ISERROR(SEARCH("Caida",O95)))</formula>
    </cfRule>
  </conditionalFormatting>
  <conditionalFormatting sqref="E282:K282">
    <cfRule type="containsText" dxfId="834" priority="1800" operator="containsText" text="Radio">
      <formula>NOT(ISERROR(SEARCH("Radio",E282)))</formula>
    </cfRule>
  </conditionalFormatting>
  <conditionalFormatting sqref="E283:K283">
    <cfRule type="containsText" dxfId="833" priority="1775" operator="containsText" text="Radio">
      <formula>NOT(ISERROR(SEARCH("Radio",E283)))</formula>
    </cfRule>
  </conditionalFormatting>
  <conditionalFormatting sqref="E4:K4">
    <cfRule type="containsText" dxfId="832" priority="1750" operator="containsText" text="Radio">
      <formula>NOT(ISERROR(SEARCH("Radio",E4)))</formula>
    </cfRule>
  </conditionalFormatting>
  <conditionalFormatting sqref="E231:K231">
    <cfRule type="containsText" dxfId="831" priority="1749" operator="containsText" text="Radio">
      <formula>NOT(ISERROR(SEARCH("Radio",E231)))</formula>
    </cfRule>
  </conditionalFormatting>
  <conditionalFormatting sqref="E232:K232">
    <cfRule type="containsText" dxfId="830" priority="1724" operator="containsText" text="Radio">
      <formula>NOT(ISERROR(SEARCH("Radio",E232)))</formula>
    </cfRule>
  </conditionalFormatting>
  <conditionalFormatting sqref="E233:K233">
    <cfRule type="containsText" dxfId="829" priority="1699" operator="containsText" text="Radio">
      <formula>NOT(ISERROR(SEARCH("Radio",E233)))</formula>
    </cfRule>
  </conditionalFormatting>
  <conditionalFormatting sqref="E234:K234">
    <cfRule type="containsText" dxfId="828" priority="1674" operator="containsText" text="Radio">
      <formula>NOT(ISERROR(SEARCH("Radio",E234)))</formula>
    </cfRule>
  </conditionalFormatting>
  <conditionalFormatting sqref="E235:K235">
    <cfRule type="containsText" dxfId="827" priority="1649" operator="containsText" text="Radio">
      <formula>NOT(ISERROR(SEARCH("Radio",E235)))</formula>
    </cfRule>
  </conditionalFormatting>
  <conditionalFormatting sqref="E335:K335">
    <cfRule type="containsText" dxfId="826" priority="1600" operator="containsText" text="Radio">
      <formula>NOT(ISERROR(SEARCH("Radio",E335)))</formula>
    </cfRule>
  </conditionalFormatting>
  <conditionalFormatting sqref="E336:K336">
    <cfRule type="containsText" dxfId="825" priority="1575" operator="containsText" text="Radio">
      <formula>NOT(ISERROR(SEARCH("Radio",E336)))</formula>
    </cfRule>
  </conditionalFormatting>
  <conditionalFormatting sqref="E237:K237">
    <cfRule type="containsText" dxfId="824" priority="1550" operator="containsText" text="Radio">
      <formula>NOT(ISERROR(SEARCH("Radio",E237)))</formula>
    </cfRule>
  </conditionalFormatting>
  <conditionalFormatting sqref="E238:K238">
    <cfRule type="containsText" dxfId="823" priority="1525" operator="containsText" text="Radio">
      <formula>NOT(ISERROR(SEARCH("Radio",E238)))</formula>
    </cfRule>
  </conditionalFormatting>
  <conditionalFormatting sqref="E33:K35">
    <cfRule type="containsText" dxfId="822" priority="1500" operator="containsText" text="Radio">
      <formula>NOT(ISERROR(SEARCH("Radio",E33)))</formula>
    </cfRule>
  </conditionalFormatting>
  <conditionalFormatting sqref="E239:K239">
    <cfRule type="containsText" dxfId="821" priority="1475" operator="containsText" text="Radio">
      <formula>NOT(ISERROR(SEARCH("Radio",E239)))</formula>
    </cfRule>
  </conditionalFormatting>
  <conditionalFormatting sqref="E240:K240">
    <cfRule type="containsText" dxfId="820" priority="1450" operator="containsText" text="Radio">
      <formula>NOT(ISERROR(SEARCH("Radio",E240)))</formula>
    </cfRule>
  </conditionalFormatting>
  <conditionalFormatting sqref="E241:K241">
    <cfRule type="containsText" dxfId="819" priority="1425" operator="containsText" text="Radio">
      <formula>NOT(ISERROR(SEARCH("Radio",E241)))</formula>
    </cfRule>
  </conditionalFormatting>
  <conditionalFormatting sqref="E242:K242">
    <cfRule type="containsText" dxfId="818" priority="1400" operator="containsText" text="Radio">
      <formula>NOT(ISERROR(SEARCH("Radio",E242)))</formula>
    </cfRule>
  </conditionalFormatting>
  <conditionalFormatting sqref="P6:P92 P96:P230">
    <cfRule type="cellIs" dxfId="817" priority="1325" operator="lessThan">
      <formula>0.8</formula>
    </cfRule>
    <cfRule type="cellIs" dxfId="816" priority="1326" operator="greaterThan">
      <formula>0.8</formula>
    </cfRule>
  </conditionalFormatting>
  <conditionalFormatting sqref="P6:P92 P96:P230">
    <cfRule type="notContainsText" dxfId="815" priority="1323" operator="notContains" text="Caida">
      <formula>ISERROR(SEARCH("Caida",P6))</formula>
    </cfRule>
    <cfRule type="containsText" dxfId="814" priority="1324" operator="containsText" text="Caida">
      <formula>NOT(ISERROR(SEARCH("Caida",P6)))</formula>
    </cfRule>
  </conditionalFormatting>
  <conditionalFormatting sqref="P337:P366 P284:P334">
    <cfRule type="cellIs" dxfId="813" priority="1321" operator="lessThan">
      <formula>0.8</formula>
    </cfRule>
    <cfRule type="cellIs" dxfId="812" priority="1322" operator="greaterThan">
      <formula>0.8</formula>
    </cfRule>
  </conditionalFormatting>
  <conditionalFormatting sqref="P337:P366 P284:P334 P391:P1048576">
    <cfRule type="notContainsText" dxfId="811" priority="1319" operator="notContains" text="Caida">
      <formula>ISERROR(SEARCH("Caida",P284))</formula>
    </cfRule>
    <cfRule type="containsText" dxfId="810" priority="1320" operator="containsText" text="Caida">
      <formula>NOT(ISERROR(SEARCH("Caida",P284)))</formula>
    </cfRule>
  </conditionalFormatting>
  <conditionalFormatting sqref="O391:O1048576">
    <cfRule type="notContainsText" dxfId="809" priority="1368" operator="notContains" text="Caida">
      <formula>ISERROR(SEARCH("Caida",O391))</formula>
    </cfRule>
    <cfRule type="containsText" dxfId="808" priority="1369" operator="containsText" text="Caida">
      <formula>NOT(ISERROR(SEARCH("Caida",O391)))</formula>
    </cfRule>
  </conditionalFormatting>
  <conditionalFormatting sqref="P336">
    <cfRule type="cellIs" dxfId="807" priority="1280" operator="lessThan">
      <formula>0.8</formula>
    </cfRule>
    <cfRule type="cellIs" dxfId="806" priority="1281" operator="greaterThan">
      <formula>0.8</formula>
    </cfRule>
  </conditionalFormatting>
  <conditionalFormatting sqref="P336">
    <cfRule type="notContainsText" dxfId="805" priority="1278" operator="notContains" text="Caida">
      <formula>ISERROR(SEARCH("Caida",P336))</formula>
    </cfRule>
    <cfRule type="containsText" dxfId="804" priority="1279" operator="containsText" text="Caida">
      <formula>NOT(ISERROR(SEARCH("Caida",P336)))</formula>
    </cfRule>
  </conditionalFormatting>
  <conditionalFormatting sqref="P22">
    <cfRule type="containsText" dxfId="803" priority="1318" operator="containsText" text="Instaladas en Funcionamiento Caida">
      <formula>NOT(ISERROR(SEARCH("Instaladas en Funcionamiento Caida",P22)))</formula>
    </cfRule>
  </conditionalFormatting>
  <conditionalFormatting sqref="P282">
    <cfRule type="cellIs" dxfId="802" priority="1316" operator="lessThan">
      <formula>0.8</formula>
    </cfRule>
    <cfRule type="cellIs" dxfId="801" priority="1317" operator="greaterThan">
      <formula>0.8</formula>
    </cfRule>
  </conditionalFormatting>
  <conditionalFormatting sqref="P282">
    <cfRule type="notContainsText" dxfId="800" priority="1314" operator="notContains" text="Caida">
      <formula>ISERROR(SEARCH("Caida",P282))</formula>
    </cfRule>
    <cfRule type="containsText" dxfId="799" priority="1315" operator="containsText" text="Caida">
      <formula>NOT(ISERROR(SEARCH("Caida",P282)))</formula>
    </cfRule>
  </conditionalFormatting>
  <conditionalFormatting sqref="P283">
    <cfRule type="cellIs" dxfId="798" priority="1312" operator="lessThan">
      <formula>0.8</formula>
    </cfRule>
    <cfRule type="cellIs" dxfId="797" priority="1313" operator="greaterThan">
      <formula>0.8</formula>
    </cfRule>
  </conditionalFormatting>
  <conditionalFormatting sqref="P283">
    <cfRule type="notContainsText" dxfId="796" priority="1310" operator="notContains" text="Caida">
      <formula>ISERROR(SEARCH("Caida",P283))</formula>
    </cfRule>
    <cfRule type="containsText" dxfId="795" priority="1311" operator="containsText" text="Caida">
      <formula>NOT(ISERROR(SEARCH("Caida",P283)))</formula>
    </cfRule>
  </conditionalFormatting>
  <conditionalFormatting sqref="P5">
    <cfRule type="cellIs" dxfId="794" priority="1308" operator="lessThan">
      <formula>0.8</formula>
    </cfRule>
    <cfRule type="cellIs" dxfId="793" priority="1309" operator="greaterThan">
      <formula>0.8</formula>
    </cfRule>
  </conditionalFormatting>
  <conditionalFormatting sqref="P5">
    <cfRule type="notContainsText" dxfId="792" priority="1306" operator="notContains" text="Caida">
      <formula>ISERROR(SEARCH("Caida",P5))</formula>
    </cfRule>
    <cfRule type="containsText" dxfId="791" priority="1307" operator="containsText" text="Caida">
      <formula>NOT(ISERROR(SEARCH("Caida",P5)))</formula>
    </cfRule>
  </conditionalFormatting>
  <conditionalFormatting sqref="P231">
    <cfRule type="cellIs" dxfId="790" priority="1304" operator="lessThan">
      <formula>0.8</formula>
    </cfRule>
    <cfRule type="cellIs" dxfId="789" priority="1305" operator="greaterThan">
      <formula>0.8</formula>
    </cfRule>
  </conditionalFormatting>
  <conditionalFormatting sqref="P231">
    <cfRule type="notContainsText" dxfId="788" priority="1302" operator="notContains" text="Caida">
      <formula>ISERROR(SEARCH("Caida",P231))</formula>
    </cfRule>
    <cfRule type="containsText" dxfId="787" priority="1303" operator="containsText" text="Caida">
      <formula>NOT(ISERROR(SEARCH("Caida",P231)))</formula>
    </cfRule>
  </conditionalFormatting>
  <conditionalFormatting sqref="P232">
    <cfRule type="cellIs" dxfId="786" priority="1300" operator="lessThan">
      <formula>0.8</formula>
    </cfRule>
    <cfRule type="cellIs" dxfId="785" priority="1301" operator="greaterThan">
      <formula>0.8</formula>
    </cfRule>
  </conditionalFormatting>
  <conditionalFormatting sqref="P232">
    <cfRule type="notContainsText" dxfId="784" priority="1298" operator="notContains" text="Caida">
      <formula>ISERROR(SEARCH("Caida",P232))</formula>
    </cfRule>
    <cfRule type="containsText" dxfId="783" priority="1299" operator="containsText" text="Caida">
      <formula>NOT(ISERROR(SEARCH("Caida",P232)))</formula>
    </cfRule>
  </conditionalFormatting>
  <conditionalFormatting sqref="P233">
    <cfRule type="cellIs" dxfId="782" priority="1296" operator="lessThan">
      <formula>0.8</formula>
    </cfRule>
    <cfRule type="cellIs" dxfId="781" priority="1297" operator="greaterThan">
      <formula>0.8</formula>
    </cfRule>
  </conditionalFormatting>
  <conditionalFormatting sqref="P233">
    <cfRule type="notContainsText" dxfId="780" priority="1294" operator="notContains" text="Caida">
      <formula>ISERROR(SEARCH("Caida",P233))</formula>
    </cfRule>
    <cfRule type="containsText" dxfId="779" priority="1295" operator="containsText" text="Caida">
      <formula>NOT(ISERROR(SEARCH("Caida",P233)))</formula>
    </cfRule>
  </conditionalFormatting>
  <conditionalFormatting sqref="P234">
    <cfRule type="cellIs" dxfId="778" priority="1292" operator="lessThan">
      <formula>0.8</formula>
    </cfRule>
    <cfRule type="cellIs" dxfId="777" priority="1293" operator="greaterThan">
      <formula>0.8</formula>
    </cfRule>
  </conditionalFormatting>
  <conditionalFormatting sqref="P234">
    <cfRule type="notContainsText" dxfId="776" priority="1290" operator="notContains" text="Caida">
      <formula>ISERROR(SEARCH("Caida",P234))</formula>
    </cfRule>
    <cfRule type="containsText" dxfId="775" priority="1291" operator="containsText" text="Caida">
      <formula>NOT(ISERROR(SEARCH("Caida",P234)))</formula>
    </cfRule>
  </conditionalFormatting>
  <conditionalFormatting sqref="P235">
    <cfRule type="cellIs" dxfId="774" priority="1288" operator="lessThan">
      <formula>0.8</formula>
    </cfRule>
    <cfRule type="cellIs" dxfId="773" priority="1289" operator="greaterThan">
      <formula>0.8</formula>
    </cfRule>
  </conditionalFormatting>
  <conditionalFormatting sqref="P235">
    <cfRule type="notContainsText" dxfId="772" priority="1286" operator="notContains" text="Caida">
      <formula>ISERROR(SEARCH("Caida",P235))</formula>
    </cfRule>
    <cfRule type="containsText" dxfId="771" priority="1287" operator="containsText" text="Caida">
      <formula>NOT(ISERROR(SEARCH("Caida",P235)))</formula>
    </cfRule>
  </conditionalFormatting>
  <conditionalFormatting sqref="P335">
    <cfRule type="cellIs" dxfId="770" priority="1284" operator="lessThan">
      <formula>0.8</formula>
    </cfRule>
    <cfRule type="cellIs" dxfId="769" priority="1285" operator="greaterThan">
      <formula>0.8</formula>
    </cfRule>
  </conditionalFormatting>
  <conditionalFormatting sqref="P335">
    <cfRule type="notContainsText" dxfId="768" priority="1282" operator="notContains" text="Caida">
      <formula>ISERROR(SEARCH("Caida",P335))</formula>
    </cfRule>
    <cfRule type="containsText" dxfId="767" priority="1283" operator="containsText" text="Caida">
      <formula>NOT(ISERROR(SEARCH("Caida",P335)))</formula>
    </cfRule>
  </conditionalFormatting>
  <conditionalFormatting sqref="Q6:Q92 Q96:Q230">
    <cfRule type="cellIs" dxfId="766" priority="1276" operator="lessThan">
      <formula>0.8</formula>
    </cfRule>
    <cfRule type="cellIs" dxfId="765" priority="1277" operator="greaterThan">
      <formula>0.8</formula>
    </cfRule>
  </conditionalFormatting>
  <conditionalFormatting sqref="Q6:Q92 Q96:Q230">
    <cfRule type="notContainsText" dxfId="764" priority="1274" operator="notContains" text="Caida">
      <formula>ISERROR(SEARCH("Caida",Q6))</formula>
    </cfRule>
    <cfRule type="containsText" dxfId="763" priority="1275" operator="containsText" text="Caida">
      <formula>NOT(ISERROR(SEARCH("Caida",Q6)))</formula>
    </cfRule>
  </conditionalFormatting>
  <conditionalFormatting sqref="Q336">
    <cfRule type="cellIs" dxfId="762" priority="1231" operator="lessThan">
      <formula>0.8</formula>
    </cfRule>
    <cfRule type="cellIs" dxfId="761" priority="1232" operator="greaterThan">
      <formula>0.8</formula>
    </cfRule>
  </conditionalFormatting>
  <conditionalFormatting sqref="Q336">
    <cfRule type="notContainsText" dxfId="760" priority="1229" operator="notContains" text="Caida">
      <formula>ISERROR(SEARCH("Caida",Q336))</formula>
    </cfRule>
    <cfRule type="containsText" dxfId="759" priority="1230" operator="containsText" text="Caida">
      <formula>NOT(ISERROR(SEARCH("Caida",Q336)))</formula>
    </cfRule>
  </conditionalFormatting>
  <conditionalFormatting sqref="Q337:Q366 Q284:Q334">
    <cfRule type="cellIs" dxfId="758" priority="1272" operator="lessThan">
      <formula>0.8</formula>
    </cfRule>
    <cfRule type="cellIs" dxfId="757" priority="1273" operator="greaterThan">
      <formula>0.8</formula>
    </cfRule>
  </conditionalFormatting>
  <conditionalFormatting sqref="Q337:Q366 Q284:Q334 Q391:Q1048576">
    <cfRule type="notContainsText" dxfId="756" priority="1270" operator="notContains" text="Caida">
      <formula>ISERROR(SEARCH("Caida",Q284))</formula>
    </cfRule>
    <cfRule type="containsText" dxfId="755" priority="1271" operator="containsText" text="Caida">
      <formula>NOT(ISERROR(SEARCH("Caida",Q284)))</formula>
    </cfRule>
  </conditionalFormatting>
  <conditionalFormatting sqref="Q22">
    <cfRule type="containsText" dxfId="754" priority="1269" operator="containsText" text="Instaladas en Funcionamiento Caida">
      <formula>NOT(ISERROR(SEARCH("Instaladas en Funcionamiento Caida",Q22)))</formula>
    </cfRule>
  </conditionalFormatting>
  <conditionalFormatting sqref="Q282">
    <cfRule type="cellIs" dxfId="753" priority="1267" operator="lessThan">
      <formula>0.8</formula>
    </cfRule>
    <cfRule type="cellIs" dxfId="752" priority="1268" operator="greaterThan">
      <formula>0.8</formula>
    </cfRule>
  </conditionalFormatting>
  <conditionalFormatting sqref="Q282">
    <cfRule type="notContainsText" dxfId="751" priority="1265" operator="notContains" text="Caida">
      <formula>ISERROR(SEARCH("Caida",Q282))</formula>
    </cfRule>
    <cfRule type="containsText" dxfId="750" priority="1266" operator="containsText" text="Caida">
      <formula>NOT(ISERROR(SEARCH("Caida",Q282)))</formula>
    </cfRule>
  </conditionalFormatting>
  <conditionalFormatting sqref="Q283">
    <cfRule type="cellIs" dxfId="749" priority="1263" operator="lessThan">
      <formula>0.8</formula>
    </cfRule>
    <cfRule type="cellIs" dxfId="748" priority="1264" operator="greaterThan">
      <formula>0.8</formula>
    </cfRule>
  </conditionalFormatting>
  <conditionalFormatting sqref="Q283">
    <cfRule type="notContainsText" dxfId="747" priority="1261" operator="notContains" text="Caida">
      <formula>ISERROR(SEARCH("Caida",Q283))</formula>
    </cfRule>
    <cfRule type="containsText" dxfId="746" priority="1262" operator="containsText" text="Caida">
      <formula>NOT(ISERROR(SEARCH("Caida",Q283)))</formula>
    </cfRule>
  </conditionalFormatting>
  <conditionalFormatting sqref="Q5">
    <cfRule type="cellIs" dxfId="745" priority="1259" operator="lessThan">
      <formula>0.8</formula>
    </cfRule>
    <cfRule type="cellIs" dxfId="744" priority="1260" operator="greaterThan">
      <formula>0.8</formula>
    </cfRule>
  </conditionalFormatting>
  <conditionalFormatting sqref="Q5">
    <cfRule type="notContainsText" dxfId="743" priority="1257" operator="notContains" text="Caida">
      <formula>ISERROR(SEARCH("Caida",Q5))</formula>
    </cfRule>
    <cfRule type="containsText" dxfId="742" priority="1258" operator="containsText" text="Caida">
      <formula>NOT(ISERROR(SEARCH("Caida",Q5)))</formula>
    </cfRule>
  </conditionalFormatting>
  <conditionalFormatting sqref="Q231">
    <cfRule type="cellIs" dxfId="741" priority="1255" operator="lessThan">
      <formula>0.8</formula>
    </cfRule>
    <cfRule type="cellIs" dxfId="740" priority="1256" operator="greaterThan">
      <formula>0.8</formula>
    </cfRule>
  </conditionalFormatting>
  <conditionalFormatting sqref="Q231">
    <cfRule type="notContainsText" dxfId="739" priority="1253" operator="notContains" text="Caida">
      <formula>ISERROR(SEARCH("Caida",Q231))</formula>
    </cfRule>
    <cfRule type="containsText" dxfId="738" priority="1254" operator="containsText" text="Caida">
      <formula>NOT(ISERROR(SEARCH("Caida",Q231)))</formula>
    </cfRule>
  </conditionalFormatting>
  <conditionalFormatting sqref="Q232">
    <cfRule type="cellIs" dxfId="737" priority="1251" operator="lessThan">
      <formula>0.8</formula>
    </cfRule>
    <cfRule type="cellIs" dxfId="736" priority="1252" operator="greaterThan">
      <formula>0.8</formula>
    </cfRule>
  </conditionalFormatting>
  <conditionalFormatting sqref="Q232">
    <cfRule type="notContainsText" dxfId="735" priority="1249" operator="notContains" text="Caida">
      <formula>ISERROR(SEARCH("Caida",Q232))</formula>
    </cfRule>
    <cfRule type="containsText" dxfId="734" priority="1250" operator="containsText" text="Caida">
      <formula>NOT(ISERROR(SEARCH("Caida",Q232)))</formula>
    </cfRule>
  </conditionalFormatting>
  <conditionalFormatting sqref="Q233">
    <cfRule type="cellIs" dxfId="733" priority="1247" operator="lessThan">
      <formula>0.8</formula>
    </cfRule>
    <cfRule type="cellIs" dxfId="732" priority="1248" operator="greaterThan">
      <formula>0.8</formula>
    </cfRule>
  </conditionalFormatting>
  <conditionalFormatting sqref="Q233">
    <cfRule type="notContainsText" dxfId="731" priority="1245" operator="notContains" text="Caida">
      <formula>ISERROR(SEARCH("Caida",Q233))</formula>
    </cfRule>
    <cfRule type="containsText" dxfId="730" priority="1246" operator="containsText" text="Caida">
      <formula>NOT(ISERROR(SEARCH("Caida",Q233)))</formula>
    </cfRule>
  </conditionalFormatting>
  <conditionalFormatting sqref="Q234">
    <cfRule type="cellIs" dxfId="729" priority="1243" operator="lessThan">
      <formula>0.8</formula>
    </cfRule>
    <cfRule type="cellIs" dxfId="728" priority="1244" operator="greaterThan">
      <formula>0.8</formula>
    </cfRule>
  </conditionalFormatting>
  <conditionalFormatting sqref="Q234">
    <cfRule type="notContainsText" dxfId="727" priority="1241" operator="notContains" text="Caida">
      <formula>ISERROR(SEARCH("Caida",Q234))</formula>
    </cfRule>
    <cfRule type="containsText" dxfId="726" priority="1242" operator="containsText" text="Caida">
      <formula>NOT(ISERROR(SEARCH("Caida",Q234)))</formula>
    </cfRule>
  </conditionalFormatting>
  <conditionalFormatting sqref="Q235">
    <cfRule type="cellIs" dxfId="725" priority="1239" operator="lessThan">
      <formula>0.8</formula>
    </cfRule>
    <cfRule type="cellIs" dxfId="724" priority="1240" operator="greaterThan">
      <formula>0.8</formula>
    </cfRule>
  </conditionalFormatting>
  <conditionalFormatting sqref="Q235">
    <cfRule type="notContainsText" dxfId="723" priority="1237" operator="notContains" text="Caida">
      <formula>ISERROR(SEARCH("Caida",Q235))</formula>
    </cfRule>
    <cfRule type="containsText" dxfId="722" priority="1238" operator="containsText" text="Caida">
      <formula>NOT(ISERROR(SEARCH("Caida",Q235)))</formula>
    </cfRule>
  </conditionalFormatting>
  <conditionalFormatting sqref="Q335">
    <cfRule type="cellIs" dxfId="721" priority="1235" operator="lessThan">
      <formula>0.8</formula>
    </cfRule>
    <cfRule type="cellIs" dxfId="720" priority="1236" operator="greaterThan">
      <formula>0.8</formula>
    </cfRule>
  </conditionalFormatting>
  <conditionalFormatting sqref="Q335">
    <cfRule type="notContainsText" dxfId="719" priority="1233" operator="notContains" text="Caida">
      <formula>ISERROR(SEARCH("Caida",Q335))</formula>
    </cfRule>
    <cfRule type="containsText" dxfId="718" priority="1234" operator="containsText" text="Caida">
      <formula>NOT(ISERROR(SEARCH("Caida",Q335)))</formula>
    </cfRule>
  </conditionalFormatting>
  <conditionalFormatting sqref="R6:R92 R96:R230">
    <cfRule type="cellIs" dxfId="717" priority="1227" operator="lessThan">
      <formula>0.8</formula>
    </cfRule>
    <cfRule type="cellIs" dxfId="716" priority="1228" operator="greaterThan">
      <formula>0.8</formula>
    </cfRule>
  </conditionalFormatting>
  <conditionalFormatting sqref="R6:R92 R96:R230">
    <cfRule type="notContainsText" dxfId="715" priority="1225" operator="notContains" text="Caida">
      <formula>ISERROR(SEARCH("Caida",R6))</formula>
    </cfRule>
    <cfRule type="containsText" dxfId="714" priority="1226" operator="containsText" text="Caida">
      <formula>NOT(ISERROR(SEARCH("Caida",R6)))</formula>
    </cfRule>
  </conditionalFormatting>
  <conditionalFormatting sqref="R336:T336">
    <cfRule type="cellIs" dxfId="713" priority="1182" operator="lessThan">
      <formula>0.8</formula>
    </cfRule>
    <cfRule type="cellIs" dxfId="712" priority="1183" operator="greaterThan">
      <formula>0.8</formula>
    </cfRule>
  </conditionalFormatting>
  <conditionalFormatting sqref="R336:T336">
    <cfRule type="notContainsText" dxfId="711" priority="1180" operator="notContains" text="Caida">
      <formula>ISERROR(SEARCH("Caida",R336))</formula>
    </cfRule>
    <cfRule type="containsText" dxfId="710" priority="1181" operator="containsText" text="Caida">
      <formula>NOT(ISERROR(SEARCH("Caida",R336)))</formula>
    </cfRule>
  </conditionalFormatting>
  <conditionalFormatting sqref="R337:R366 R284:R334">
    <cfRule type="cellIs" dxfId="709" priority="1223" operator="lessThan">
      <formula>0.8</formula>
    </cfRule>
    <cfRule type="cellIs" dxfId="708" priority="1224" operator="greaterThan">
      <formula>0.8</formula>
    </cfRule>
  </conditionalFormatting>
  <conditionalFormatting sqref="R337:R366 R284:R334 R391:R1048576">
    <cfRule type="notContainsText" dxfId="707" priority="1221" operator="notContains" text="Caida">
      <formula>ISERROR(SEARCH("Caida",R284))</formula>
    </cfRule>
    <cfRule type="containsText" dxfId="706" priority="1222" operator="containsText" text="Caida">
      <formula>NOT(ISERROR(SEARCH("Caida",R284)))</formula>
    </cfRule>
  </conditionalFormatting>
  <conditionalFormatting sqref="R22:T22">
    <cfRule type="containsText" dxfId="705" priority="1220" operator="containsText" text="Instaladas en Funcionamiento Caida">
      <formula>NOT(ISERROR(SEARCH("Instaladas en Funcionamiento Caida",R22)))</formula>
    </cfRule>
  </conditionalFormatting>
  <conditionalFormatting sqref="R282:T282">
    <cfRule type="cellIs" dxfId="704" priority="1218" operator="lessThan">
      <formula>0.8</formula>
    </cfRule>
    <cfRule type="cellIs" dxfId="703" priority="1219" operator="greaterThan">
      <formula>0.8</formula>
    </cfRule>
  </conditionalFormatting>
  <conditionalFormatting sqref="R282:T282">
    <cfRule type="notContainsText" dxfId="702" priority="1216" operator="notContains" text="Caida">
      <formula>ISERROR(SEARCH("Caida",R282))</formula>
    </cfRule>
    <cfRule type="containsText" dxfId="701" priority="1217" operator="containsText" text="Caida">
      <formula>NOT(ISERROR(SEARCH("Caida",R282)))</formula>
    </cfRule>
  </conditionalFormatting>
  <conditionalFormatting sqref="R283:T283">
    <cfRule type="cellIs" dxfId="700" priority="1214" operator="lessThan">
      <formula>0.8</formula>
    </cfRule>
    <cfRule type="cellIs" dxfId="699" priority="1215" operator="greaterThan">
      <formula>0.8</formula>
    </cfRule>
  </conditionalFormatting>
  <conditionalFormatting sqref="R283:T283">
    <cfRule type="notContainsText" dxfId="698" priority="1212" operator="notContains" text="Caida">
      <formula>ISERROR(SEARCH("Caida",R283))</formula>
    </cfRule>
    <cfRule type="containsText" dxfId="697" priority="1213" operator="containsText" text="Caida">
      <formula>NOT(ISERROR(SEARCH("Caida",R283)))</formula>
    </cfRule>
  </conditionalFormatting>
  <conditionalFormatting sqref="R5:T5">
    <cfRule type="cellIs" dxfId="696" priority="1210" operator="lessThan">
      <formula>0.8</formula>
    </cfRule>
    <cfRule type="cellIs" dxfId="695" priority="1211" operator="greaterThan">
      <formula>0.8</formula>
    </cfRule>
  </conditionalFormatting>
  <conditionalFormatting sqref="R5:T5">
    <cfRule type="notContainsText" dxfId="694" priority="1208" operator="notContains" text="Caida">
      <formula>ISERROR(SEARCH("Caida",R5))</formula>
    </cfRule>
    <cfRule type="containsText" dxfId="693" priority="1209" operator="containsText" text="Caida">
      <formula>NOT(ISERROR(SEARCH("Caida",R5)))</formula>
    </cfRule>
  </conditionalFormatting>
  <conditionalFormatting sqref="R231:T231">
    <cfRule type="cellIs" dxfId="692" priority="1206" operator="lessThan">
      <formula>0.8</formula>
    </cfRule>
    <cfRule type="cellIs" dxfId="691" priority="1207" operator="greaterThan">
      <formula>0.8</formula>
    </cfRule>
  </conditionalFormatting>
  <conditionalFormatting sqref="R231:T231">
    <cfRule type="notContainsText" dxfId="690" priority="1204" operator="notContains" text="Caida">
      <formula>ISERROR(SEARCH("Caida",R231))</formula>
    </cfRule>
    <cfRule type="containsText" dxfId="689" priority="1205" operator="containsText" text="Caida">
      <formula>NOT(ISERROR(SEARCH("Caida",R231)))</formula>
    </cfRule>
  </conditionalFormatting>
  <conditionalFormatting sqref="R232:T232">
    <cfRule type="cellIs" dxfId="688" priority="1202" operator="lessThan">
      <formula>0.8</formula>
    </cfRule>
    <cfRule type="cellIs" dxfId="687" priority="1203" operator="greaterThan">
      <formula>0.8</formula>
    </cfRule>
  </conditionalFormatting>
  <conditionalFormatting sqref="R232:T232">
    <cfRule type="notContainsText" dxfId="686" priority="1200" operator="notContains" text="Caida">
      <formula>ISERROR(SEARCH("Caida",R232))</formula>
    </cfRule>
    <cfRule type="containsText" dxfId="685" priority="1201" operator="containsText" text="Caida">
      <formula>NOT(ISERROR(SEARCH("Caida",R232)))</formula>
    </cfRule>
  </conditionalFormatting>
  <conditionalFormatting sqref="R233:T233">
    <cfRule type="cellIs" dxfId="684" priority="1198" operator="lessThan">
      <formula>0.8</formula>
    </cfRule>
    <cfRule type="cellIs" dxfId="683" priority="1199" operator="greaterThan">
      <formula>0.8</formula>
    </cfRule>
  </conditionalFormatting>
  <conditionalFormatting sqref="R233:T233">
    <cfRule type="notContainsText" dxfId="682" priority="1196" operator="notContains" text="Caida">
      <formula>ISERROR(SEARCH("Caida",R233))</formula>
    </cfRule>
    <cfRule type="containsText" dxfId="681" priority="1197" operator="containsText" text="Caida">
      <formula>NOT(ISERROR(SEARCH("Caida",R233)))</formula>
    </cfRule>
  </conditionalFormatting>
  <conditionalFormatting sqref="R234:T234">
    <cfRule type="cellIs" dxfId="680" priority="1194" operator="lessThan">
      <formula>0.8</formula>
    </cfRule>
    <cfRule type="cellIs" dxfId="679" priority="1195" operator="greaterThan">
      <formula>0.8</formula>
    </cfRule>
  </conditionalFormatting>
  <conditionalFormatting sqref="R234:T234">
    <cfRule type="notContainsText" dxfId="678" priority="1192" operator="notContains" text="Caida">
      <formula>ISERROR(SEARCH("Caida",R234))</formula>
    </cfRule>
    <cfRule type="containsText" dxfId="677" priority="1193" operator="containsText" text="Caida">
      <formula>NOT(ISERROR(SEARCH("Caida",R234)))</formula>
    </cfRule>
  </conditionalFormatting>
  <conditionalFormatting sqref="R235:T235">
    <cfRule type="cellIs" dxfId="676" priority="1190" operator="lessThan">
      <formula>0.8</formula>
    </cfRule>
    <cfRule type="cellIs" dxfId="675" priority="1191" operator="greaterThan">
      <formula>0.8</formula>
    </cfRule>
  </conditionalFormatting>
  <conditionalFormatting sqref="R235:T235">
    <cfRule type="notContainsText" dxfId="674" priority="1188" operator="notContains" text="Caida">
      <formula>ISERROR(SEARCH("Caida",R235))</formula>
    </cfRule>
    <cfRule type="containsText" dxfId="673" priority="1189" operator="containsText" text="Caida">
      <formula>NOT(ISERROR(SEARCH("Caida",R235)))</formula>
    </cfRule>
  </conditionalFormatting>
  <conditionalFormatting sqref="R335:T335">
    <cfRule type="cellIs" dxfId="672" priority="1186" operator="lessThan">
      <formula>0.8</formula>
    </cfRule>
    <cfRule type="cellIs" dxfId="671" priority="1187" operator="greaterThan">
      <formula>0.8</formula>
    </cfRule>
  </conditionalFormatting>
  <conditionalFormatting sqref="R335:T335">
    <cfRule type="notContainsText" dxfId="670" priority="1184" operator="notContains" text="Caida">
      <formula>ISERROR(SEARCH("Caida",R335))</formula>
    </cfRule>
    <cfRule type="containsText" dxfId="669" priority="1185" operator="containsText" text="Caida">
      <formula>NOT(ISERROR(SEARCH("Caida",R335)))</formula>
    </cfRule>
  </conditionalFormatting>
  <conditionalFormatting sqref="S391:S1048576">
    <cfRule type="notContainsText" dxfId="668" priority="1172" operator="notContains" text="Caida">
      <formula>ISERROR(SEARCH("Caida",S391))</formula>
    </cfRule>
    <cfRule type="containsText" dxfId="667" priority="1173" operator="containsText" text="Caida">
      <formula>NOT(ISERROR(SEARCH("Caida",S391)))</formula>
    </cfRule>
  </conditionalFormatting>
  <conditionalFormatting sqref="T391:T1048576">
    <cfRule type="notContainsText" dxfId="666" priority="1123" operator="notContains" text="Caida">
      <formula>ISERROR(SEARCH("Caida",T391))</formula>
    </cfRule>
    <cfRule type="containsText" dxfId="665" priority="1124" operator="containsText" text="Caida">
      <formula>NOT(ISERROR(SEARCH("Caida",T391)))</formula>
    </cfRule>
  </conditionalFormatting>
  <conditionalFormatting sqref="E92:K93">
    <cfRule type="containsText" dxfId="664" priority="1079" operator="containsText" text="Radio">
      <formula>NOT(ISERROR(SEARCH("Radio",E92)))</formula>
    </cfRule>
  </conditionalFormatting>
  <conditionalFormatting sqref="P93:P95">
    <cfRule type="cellIs" dxfId="663" priority="1049" operator="lessThan">
      <formula>0.8</formula>
    </cfRule>
    <cfRule type="cellIs" dxfId="662" priority="1050" operator="greaterThan">
      <formula>0.8</formula>
    </cfRule>
  </conditionalFormatting>
  <conditionalFormatting sqref="P93:P95">
    <cfRule type="notContainsText" dxfId="661" priority="1047" operator="notContains" text="Caida">
      <formula>ISERROR(SEARCH("Caida",P93))</formula>
    </cfRule>
    <cfRule type="containsText" dxfId="660" priority="1048" operator="containsText" text="Caida">
      <formula>NOT(ISERROR(SEARCH("Caida",P93)))</formula>
    </cfRule>
  </conditionalFormatting>
  <conditionalFormatting sqref="Q93:Q95">
    <cfRule type="cellIs" dxfId="659" priority="1045" operator="lessThan">
      <formula>0.8</formula>
    </cfRule>
    <cfRule type="cellIs" dxfId="658" priority="1046" operator="greaterThan">
      <formula>0.8</formula>
    </cfRule>
  </conditionalFormatting>
  <conditionalFormatting sqref="Q93:Q95">
    <cfRule type="notContainsText" dxfId="657" priority="1043" operator="notContains" text="Caida">
      <formula>ISERROR(SEARCH("Caida",Q93))</formula>
    </cfRule>
    <cfRule type="containsText" dxfId="656" priority="1044" operator="containsText" text="Caida">
      <formula>NOT(ISERROR(SEARCH("Caida",Q93)))</formula>
    </cfRule>
  </conditionalFormatting>
  <conditionalFormatting sqref="R93:R95">
    <cfRule type="cellIs" dxfId="655" priority="1041" operator="lessThan">
      <formula>0.8</formula>
    </cfRule>
    <cfRule type="cellIs" dxfId="654" priority="1042" operator="greaterThan">
      <formula>0.8</formula>
    </cfRule>
  </conditionalFormatting>
  <conditionalFormatting sqref="R93:R95">
    <cfRule type="notContainsText" dxfId="653" priority="1039" operator="notContains" text="Caida">
      <formula>ISERROR(SEARCH("Caida",R93))</formula>
    </cfRule>
    <cfRule type="containsText" dxfId="652" priority="1040" operator="containsText" text="Caida">
      <formula>NOT(ISERROR(SEARCH("Caida",R93)))</formula>
    </cfRule>
  </conditionalFormatting>
  <conditionalFormatting sqref="E365:K365">
    <cfRule type="containsText" dxfId="651" priority="1028" operator="containsText" text="Radio">
      <formula>NOT(ISERROR(SEARCH("Radio",E365)))</formula>
    </cfRule>
  </conditionalFormatting>
  <conditionalFormatting sqref="P367">
    <cfRule type="cellIs" dxfId="650" priority="1010" operator="lessThan">
      <formula>0.8</formula>
    </cfRule>
    <cfRule type="cellIs" dxfId="649" priority="1011" operator="greaterThan">
      <formula>0.8</formula>
    </cfRule>
  </conditionalFormatting>
  <conditionalFormatting sqref="P367">
    <cfRule type="notContainsText" dxfId="648" priority="1008" operator="notContains" text="Caida">
      <formula>ISERROR(SEARCH("Caida",P367))</formula>
    </cfRule>
    <cfRule type="containsText" dxfId="647" priority="1009" operator="containsText" text="Caida">
      <formula>NOT(ISERROR(SEARCH("Caida",P367)))</formula>
    </cfRule>
  </conditionalFormatting>
  <conditionalFormatting sqref="Q367">
    <cfRule type="cellIs" dxfId="646" priority="1006" operator="lessThan">
      <formula>0.8</formula>
    </cfRule>
    <cfRule type="cellIs" dxfId="645" priority="1007" operator="greaterThan">
      <formula>0.8</formula>
    </cfRule>
  </conditionalFormatting>
  <conditionalFormatting sqref="Q367">
    <cfRule type="notContainsText" dxfId="644" priority="1004" operator="notContains" text="Caida">
      <formula>ISERROR(SEARCH("Caida",Q367))</formula>
    </cfRule>
    <cfRule type="containsText" dxfId="643" priority="1005" operator="containsText" text="Caida">
      <formula>NOT(ISERROR(SEARCH("Caida",Q367)))</formula>
    </cfRule>
  </conditionalFormatting>
  <conditionalFormatting sqref="R367:T367">
    <cfRule type="cellIs" dxfId="642" priority="1002" operator="lessThan">
      <formula>0.8</formula>
    </cfRule>
    <cfRule type="cellIs" dxfId="641" priority="1003" operator="greaterThan">
      <formula>0.8</formula>
    </cfRule>
  </conditionalFormatting>
  <conditionalFormatting sqref="R367:T367">
    <cfRule type="notContainsText" dxfId="640" priority="1000" operator="notContains" text="Caida">
      <formula>ISERROR(SEARCH("Caida",R367))</formula>
    </cfRule>
    <cfRule type="containsText" dxfId="639" priority="1001" operator="containsText" text="Caida">
      <formula>NOT(ISERROR(SEARCH("Caida",R367)))</formula>
    </cfRule>
  </conditionalFormatting>
  <conditionalFormatting sqref="E366:K366">
    <cfRule type="containsText" dxfId="638" priority="989" operator="containsText" text="Radio">
      <formula>NOT(ISERROR(SEARCH("Radio",E366)))</formula>
    </cfRule>
  </conditionalFormatting>
  <conditionalFormatting sqref="P368">
    <cfRule type="cellIs" dxfId="637" priority="971" operator="lessThan">
      <formula>0.8</formula>
    </cfRule>
    <cfRule type="cellIs" dxfId="636" priority="972" operator="greaterThan">
      <formula>0.8</formula>
    </cfRule>
  </conditionalFormatting>
  <conditionalFormatting sqref="P368">
    <cfRule type="notContainsText" dxfId="635" priority="969" operator="notContains" text="Caida">
      <formula>ISERROR(SEARCH("Caida",P368))</formula>
    </cfRule>
    <cfRule type="containsText" dxfId="634" priority="970" operator="containsText" text="Caida">
      <formula>NOT(ISERROR(SEARCH("Caida",P368)))</formula>
    </cfRule>
  </conditionalFormatting>
  <conditionalFormatting sqref="Q368">
    <cfRule type="cellIs" dxfId="633" priority="967" operator="lessThan">
      <formula>0.8</formula>
    </cfRule>
    <cfRule type="cellIs" dxfId="632" priority="968" operator="greaterThan">
      <formula>0.8</formula>
    </cfRule>
  </conditionalFormatting>
  <conditionalFormatting sqref="Q368">
    <cfRule type="notContainsText" dxfId="631" priority="965" operator="notContains" text="Caida">
      <formula>ISERROR(SEARCH("Caida",Q368))</formula>
    </cfRule>
    <cfRule type="containsText" dxfId="630" priority="966" operator="containsText" text="Caida">
      <formula>NOT(ISERROR(SEARCH("Caida",Q368)))</formula>
    </cfRule>
  </conditionalFormatting>
  <conditionalFormatting sqref="R368:T368">
    <cfRule type="cellIs" dxfId="629" priority="963" operator="lessThan">
      <formula>0.8</formula>
    </cfRule>
    <cfRule type="cellIs" dxfId="628" priority="964" operator="greaterThan">
      <formula>0.8</formula>
    </cfRule>
  </conditionalFormatting>
  <conditionalFormatting sqref="R368:T368">
    <cfRule type="notContainsText" dxfId="627" priority="961" operator="notContains" text="Caida">
      <formula>ISERROR(SEARCH("Caida",R368))</formula>
    </cfRule>
    <cfRule type="containsText" dxfId="626" priority="962" operator="containsText" text="Caida">
      <formula>NOT(ISERROR(SEARCH("Caida",R368)))</formula>
    </cfRule>
  </conditionalFormatting>
  <conditionalFormatting sqref="E367:K367">
    <cfRule type="containsText" dxfId="625" priority="950" operator="containsText" text="Radio">
      <formula>NOT(ISERROR(SEARCH("Radio",E367)))</formula>
    </cfRule>
  </conditionalFormatting>
  <conditionalFormatting sqref="P369">
    <cfRule type="cellIs" dxfId="624" priority="932" operator="lessThan">
      <formula>0.8</formula>
    </cfRule>
    <cfRule type="cellIs" dxfId="623" priority="933" operator="greaterThan">
      <formula>0.8</formula>
    </cfRule>
  </conditionalFormatting>
  <conditionalFormatting sqref="P369">
    <cfRule type="notContainsText" dxfId="622" priority="930" operator="notContains" text="Caida">
      <formula>ISERROR(SEARCH("Caida",P369))</formula>
    </cfRule>
    <cfRule type="containsText" dxfId="621" priority="931" operator="containsText" text="Caida">
      <formula>NOT(ISERROR(SEARCH("Caida",P369)))</formula>
    </cfRule>
  </conditionalFormatting>
  <conditionalFormatting sqref="Q369">
    <cfRule type="cellIs" dxfId="620" priority="928" operator="lessThan">
      <formula>0.8</formula>
    </cfRule>
    <cfRule type="cellIs" dxfId="619" priority="929" operator="greaterThan">
      <formula>0.8</formula>
    </cfRule>
  </conditionalFormatting>
  <conditionalFormatting sqref="Q369">
    <cfRule type="notContainsText" dxfId="618" priority="926" operator="notContains" text="Caida">
      <formula>ISERROR(SEARCH("Caida",Q369))</formula>
    </cfRule>
    <cfRule type="containsText" dxfId="617" priority="927" operator="containsText" text="Caida">
      <formula>NOT(ISERROR(SEARCH("Caida",Q369)))</formula>
    </cfRule>
  </conditionalFormatting>
  <conditionalFormatting sqref="R369:T369">
    <cfRule type="cellIs" dxfId="616" priority="924" operator="lessThan">
      <formula>0.8</formula>
    </cfRule>
    <cfRule type="cellIs" dxfId="615" priority="925" operator="greaterThan">
      <formula>0.8</formula>
    </cfRule>
  </conditionalFormatting>
  <conditionalFormatting sqref="R369:T369">
    <cfRule type="notContainsText" dxfId="614" priority="922" operator="notContains" text="Caida">
      <formula>ISERROR(SEARCH("Caida",R369))</formula>
    </cfRule>
    <cfRule type="containsText" dxfId="613" priority="923" operator="containsText" text="Caida">
      <formula>NOT(ISERROR(SEARCH("Caida",R369)))</formula>
    </cfRule>
  </conditionalFormatting>
  <conditionalFormatting sqref="E368:K368">
    <cfRule type="containsText" dxfId="612" priority="911" operator="containsText" text="Radio">
      <formula>NOT(ISERROR(SEARCH("Radio",E368)))</formula>
    </cfRule>
  </conditionalFormatting>
  <conditionalFormatting sqref="U231">
    <cfRule type="cellIs" dxfId="611" priority="852" operator="lessThan">
      <formula>0.8</formula>
    </cfRule>
    <cfRule type="cellIs" dxfId="610" priority="853" operator="greaterThan">
      <formula>0.8</formula>
    </cfRule>
  </conditionalFormatting>
  <conditionalFormatting sqref="U231">
    <cfRule type="notContainsText" dxfId="609" priority="850" operator="notContains" text="Caida">
      <formula>ISERROR(SEARCH("Caida",U231))</formula>
    </cfRule>
    <cfRule type="containsText" dxfId="608" priority="851" operator="containsText" text="Caida">
      <formula>NOT(ISERROR(SEARCH("Caida",U231)))</formula>
    </cfRule>
  </conditionalFormatting>
  <conditionalFormatting sqref="U232">
    <cfRule type="cellIs" dxfId="607" priority="848" operator="lessThan">
      <formula>0.8</formula>
    </cfRule>
    <cfRule type="cellIs" dxfId="606" priority="849" operator="greaterThan">
      <formula>0.8</formula>
    </cfRule>
  </conditionalFormatting>
  <conditionalFormatting sqref="U232">
    <cfRule type="notContainsText" dxfId="605" priority="846" operator="notContains" text="Caida">
      <formula>ISERROR(SEARCH("Caida",U232))</formula>
    </cfRule>
    <cfRule type="containsText" dxfId="604" priority="847" operator="containsText" text="Caida">
      <formula>NOT(ISERROR(SEARCH("Caida",U232)))</formula>
    </cfRule>
  </conditionalFormatting>
  <conditionalFormatting sqref="P370:P372">
    <cfRule type="cellIs" dxfId="603" priority="893" operator="lessThan">
      <formula>0.8</formula>
    </cfRule>
    <cfRule type="cellIs" dxfId="602" priority="894" operator="greaterThan">
      <formula>0.8</formula>
    </cfRule>
  </conditionalFormatting>
  <conditionalFormatting sqref="P370:P372">
    <cfRule type="notContainsText" dxfId="601" priority="891" operator="notContains" text="Caida">
      <formula>ISERROR(SEARCH("Caida",P370))</formula>
    </cfRule>
    <cfRule type="containsText" dxfId="600" priority="892" operator="containsText" text="Caida">
      <formula>NOT(ISERROR(SEARCH("Caida",P370)))</formula>
    </cfRule>
  </conditionalFormatting>
  <conditionalFormatting sqref="Q370:Q372">
    <cfRule type="cellIs" dxfId="599" priority="889" operator="lessThan">
      <formula>0.8</formula>
    </cfRule>
    <cfRule type="cellIs" dxfId="598" priority="890" operator="greaterThan">
      <formula>0.8</formula>
    </cfRule>
  </conditionalFormatting>
  <conditionalFormatting sqref="Q370:Q372">
    <cfRule type="notContainsText" dxfId="597" priority="887" operator="notContains" text="Caida">
      <formula>ISERROR(SEARCH("Caida",Q370))</formula>
    </cfRule>
    <cfRule type="containsText" dxfId="596" priority="888" operator="containsText" text="Caida">
      <formula>NOT(ISERROR(SEARCH("Caida",Q370)))</formula>
    </cfRule>
  </conditionalFormatting>
  <conditionalFormatting sqref="R370:T370">
    <cfRule type="cellIs" dxfId="595" priority="885" operator="lessThan">
      <formula>0.8</formula>
    </cfRule>
    <cfRule type="cellIs" dxfId="594" priority="886" operator="greaterThan">
      <formula>0.8</formula>
    </cfRule>
  </conditionalFormatting>
  <conditionalFormatting sqref="R370:T370">
    <cfRule type="notContainsText" dxfId="593" priority="883" operator="notContains" text="Caida">
      <formula>ISERROR(SEARCH("Caida",R370))</formula>
    </cfRule>
    <cfRule type="containsText" dxfId="592" priority="884" operator="containsText" text="Caida">
      <formula>NOT(ISERROR(SEARCH("Caida",R370)))</formula>
    </cfRule>
  </conditionalFormatting>
  <conditionalFormatting sqref="U368">
    <cfRule type="cellIs" dxfId="591" priority="816" operator="lessThan">
      <formula>0.8</formula>
    </cfRule>
    <cfRule type="cellIs" dxfId="590" priority="817" operator="greaterThan">
      <formula>0.8</formula>
    </cfRule>
  </conditionalFormatting>
  <conditionalFormatting sqref="U368">
    <cfRule type="notContainsText" dxfId="589" priority="814" operator="notContains" text="Caida">
      <formula>ISERROR(SEARCH("Caida",U368))</formula>
    </cfRule>
    <cfRule type="containsText" dxfId="588" priority="815" operator="containsText" text="Caida">
      <formula>NOT(ISERROR(SEARCH("Caida",U368)))</formula>
    </cfRule>
  </conditionalFormatting>
  <conditionalFormatting sqref="U369">
    <cfRule type="cellIs" dxfId="587" priority="812" operator="lessThan">
      <formula>0.8</formula>
    </cfRule>
    <cfRule type="cellIs" dxfId="586" priority="813" operator="greaterThan">
      <formula>0.8</formula>
    </cfRule>
  </conditionalFormatting>
  <conditionalFormatting sqref="U369">
    <cfRule type="notContainsText" dxfId="585" priority="810" operator="notContains" text="Caida">
      <formula>ISERROR(SEARCH("Caida",U369))</formula>
    </cfRule>
    <cfRule type="containsText" dxfId="584" priority="811" operator="containsText" text="Caida">
      <formula>NOT(ISERROR(SEARCH("Caida",U369)))</formula>
    </cfRule>
  </conditionalFormatting>
  <conditionalFormatting sqref="U370:U372">
    <cfRule type="cellIs" dxfId="583" priority="808" operator="lessThan">
      <formula>0.8</formula>
    </cfRule>
    <cfRule type="cellIs" dxfId="582" priority="809" operator="greaterThan">
      <formula>0.8</formula>
    </cfRule>
  </conditionalFormatting>
  <conditionalFormatting sqref="U370:U372">
    <cfRule type="notContainsText" dxfId="581" priority="806" operator="notContains" text="Caida">
      <formula>ISERROR(SEARCH("Caida",U370))</formula>
    </cfRule>
    <cfRule type="containsText" dxfId="580" priority="807" operator="containsText" text="Caida">
      <formula>NOT(ISERROR(SEARCH("Caida",U370)))</formula>
    </cfRule>
  </conditionalFormatting>
  <conditionalFormatting sqref="U6:U92 U96:U230">
    <cfRule type="cellIs" dxfId="579" priority="873" operator="lessThan">
      <formula>0.8</formula>
    </cfRule>
    <cfRule type="cellIs" dxfId="578" priority="874" operator="greaterThan">
      <formula>0.8</formula>
    </cfRule>
  </conditionalFormatting>
  <conditionalFormatting sqref="U6:U92 U96:U230">
    <cfRule type="notContainsText" dxfId="577" priority="871" operator="notContains" text="Caida">
      <formula>ISERROR(SEARCH("Caida",U6))</formula>
    </cfRule>
    <cfRule type="containsText" dxfId="576" priority="872" operator="containsText" text="Caida">
      <formula>NOT(ISERROR(SEARCH("Caida",U6)))</formula>
    </cfRule>
  </conditionalFormatting>
  <conditionalFormatting sqref="U336">
    <cfRule type="cellIs" dxfId="575" priority="828" operator="lessThan">
      <formula>0.8</formula>
    </cfRule>
    <cfRule type="cellIs" dxfId="574" priority="829" operator="greaterThan">
      <formula>0.8</formula>
    </cfRule>
  </conditionalFormatting>
  <conditionalFormatting sqref="U336">
    <cfRule type="notContainsText" dxfId="573" priority="826" operator="notContains" text="Caida">
      <formula>ISERROR(SEARCH("Caida",U336))</formula>
    </cfRule>
    <cfRule type="containsText" dxfId="572" priority="827" operator="containsText" text="Caida">
      <formula>NOT(ISERROR(SEARCH("Caida",U336)))</formula>
    </cfRule>
  </conditionalFormatting>
  <conditionalFormatting sqref="U337:U366 U284:U334">
    <cfRule type="cellIs" dxfId="571" priority="869" operator="lessThan">
      <formula>0.8</formula>
    </cfRule>
    <cfRule type="cellIs" dxfId="570" priority="870" operator="greaterThan">
      <formula>0.8</formula>
    </cfRule>
  </conditionalFormatting>
  <conditionalFormatting sqref="U337:U366 U284:U334 U391:U1048576">
    <cfRule type="notContainsText" dxfId="569" priority="867" operator="notContains" text="Caida">
      <formula>ISERROR(SEARCH("Caida",U284))</formula>
    </cfRule>
    <cfRule type="containsText" dxfId="568" priority="868" operator="containsText" text="Caida">
      <formula>NOT(ISERROR(SEARCH("Caida",U284)))</formula>
    </cfRule>
  </conditionalFormatting>
  <conditionalFormatting sqref="U22">
    <cfRule type="containsText" dxfId="567" priority="866" operator="containsText" text="Instaladas en Funcionamiento Caida">
      <formula>NOT(ISERROR(SEARCH("Instaladas en Funcionamiento Caida",U22)))</formula>
    </cfRule>
  </conditionalFormatting>
  <conditionalFormatting sqref="U282">
    <cfRule type="cellIs" dxfId="566" priority="864" operator="lessThan">
      <formula>0.8</formula>
    </cfRule>
    <cfRule type="cellIs" dxfId="565" priority="865" operator="greaterThan">
      <formula>0.8</formula>
    </cfRule>
  </conditionalFormatting>
  <conditionalFormatting sqref="U282">
    <cfRule type="notContainsText" dxfId="564" priority="862" operator="notContains" text="Caida">
      <formula>ISERROR(SEARCH("Caida",U282))</formula>
    </cfRule>
    <cfRule type="containsText" dxfId="563" priority="863" operator="containsText" text="Caida">
      <formula>NOT(ISERROR(SEARCH("Caida",U282)))</formula>
    </cfRule>
  </conditionalFormatting>
  <conditionalFormatting sqref="U283">
    <cfRule type="cellIs" dxfId="562" priority="860" operator="lessThan">
      <formula>0.8</formula>
    </cfRule>
    <cfRule type="cellIs" dxfId="561" priority="861" operator="greaterThan">
      <formula>0.8</formula>
    </cfRule>
  </conditionalFormatting>
  <conditionalFormatting sqref="U283">
    <cfRule type="notContainsText" dxfId="560" priority="858" operator="notContains" text="Caida">
      <formula>ISERROR(SEARCH("Caida",U283))</formula>
    </cfRule>
    <cfRule type="containsText" dxfId="559" priority="859" operator="containsText" text="Caida">
      <formula>NOT(ISERROR(SEARCH("Caida",U283)))</formula>
    </cfRule>
  </conditionalFormatting>
  <conditionalFormatting sqref="U5">
    <cfRule type="cellIs" dxfId="558" priority="856" operator="lessThan">
      <formula>0.8</formula>
    </cfRule>
    <cfRule type="cellIs" dxfId="557" priority="857" operator="greaterThan">
      <formula>0.8</formula>
    </cfRule>
  </conditionalFormatting>
  <conditionalFormatting sqref="U5">
    <cfRule type="notContainsText" dxfId="556" priority="854" operator="notContains" text="Caida">
      <formula>ISERROR(SEARCH("Caida",U5))</formula>
    </cfRule>
    <cfRule type="containsText" dxfId="555" priority="855" operator="containsText" text="Caida">
      <formula>NOT(ISERROR(SEARCH("Caida",U5)))</formula>
    </cfRule>
  </conditionalFormatting>
  <conditionalFormatting sqref="U233">
    <cfRule type="cellIs" dxfId="554" priority="844" operator="lessThan">
      <formula>0.8</formula>
    </cfRule>
    <cfRule type="cellIs" dxfId="553" priority="845" operator="greaterThan">
      <formula>0.8</formula>
    </cfRule>
  </conditionalFormatting>
  <conditionalFormatting sqref="U233">
    <cfRule type="notContainsText" dxfId="552" priority="842" operator="notContains" text="Caida">
      <formula>ISERROR(SEARCH("Caida",U233))</formula>
    </cfRule>
    <cfRule type="containsText" dxfId="551" priority="843" operator="containsText" text="Caida">
      <formula>NOT(ISERROR(SEARCH("Caida",U233)))</formula>
    </cfRule>
  </conditionalFormatting>
  <conditionalFormatting sqref="U234">
    <cfRule type="cellIs" dxfId="550" priority="840" operator="lessThan">
      <formula>0.8</formula>
    </cfRule>
    <cfRule type="cellIs" dxfId="549" priority="841" operator="greaterThan">
      <formula>0.8</formula>
    </cfRule>
  </conditionalFormatting>
  <conditionalFormatting sqref="U234">
    <cfRule type="notContainsText" dxfId="548" priority="838" operator="notContains" text="Caida">
      <formula>ISERROR(SEARCH("Caida",U234))</formula>
    </cfRule>
    <cfRule type="containsText" dxfId="547" priority="839" operator="containsText" text="Caida">
      <formula>NOT(ISERROR(SEARCH("Caida",U234)))</formula>
    </cfRule>
  </conditionalFormatting>
  <conditionalFormatting sqref="U235">
    <cfRule type="cellIs" dxfId="546" priority="836" operator="lessThan">
      <formula>0.8</formula>
    </cfRule>
    <cfRule type="cellIs" dxfId="545" priority="837" operator="greaterThan">
      <formula>0.8</formula>
    </cfRule>
  </conditionalFormatting>
  <conditionalFormatting sqref="U235">
    <cfRule type="notContainsText" dxfId="544" priority="834" operator="notContains" text="Caida">
      <formula>ISERROR(SEARCH("Caida",U235))</formula>
    </cfRule>
    <cfRule type="containsText" dxfId="543" priority="835" operator="containsText" text="Caida">
      <formula>NOT(ISERROR(SEARCH("Caida",U235)))</formula>
    </cfRule>
  </conditionalFormatting>
  <conditionalFormatting sqref="U335">
    <cfRule type="cellIs" dxfId="542" priority="832" operator="lessThan">
      <formula>0.8</formula>
    </cfRule>
    <cfRule type="cellIs" dxfId="541" priority="833" operator="greaterThan">
      <formula>0.8</formula>
    </cfRule>
  </conditionalFormatting>
  <conditionalFormatting sqref="U335">
    <cfRule type="notContainsText" dxfId="540" priority="830" operator="notContains" text="Caida">
      <formula>ISERROR(SEARCH("Caida",U335))</formula>
    </cfRule>
    <cfRule type="containsText" dxfId="539" priority="831" operator="containsText" text="Caida">
      <formula>NOT(ISERROR(SEARCH("Caida",U335)))</formula>
    </cfRule>
  </conditionalFormatting>
  <conditionalFormatting sqref="U93:U95">
    <cfRule type="cellIs" dxfId="538" priority="824" operator="lessThan">
      <formula>0.8</formula>
    </cfRule>
    <cfRule type="cellIs" dxfId="537" priority="825" operator="greaterThan">
      <formula>0.8</formula>
    </cfRule>
  </conditionalFormatting>
  <conditionalFormatting sqref="U93:U95">
    <cfRule type="notContainsText" dxfId="536" priority="822" operator="notContains" text="Caida">
      <formula>ISERROR(SEARCH("Caida",U93))</formula>
    </cfRule>
    <cfRule type="containsText" dxfId="535" priority="823" operator="containsText" text="Caida">
      <formula>NOT(ISERROR(SEARCH("Caida",U93)))</formula>
    </cfRule>
  </conditionalFormatting>
  <conditionalFormatting sqref="U367">
    <cfRule type="cellIs" dxfId="534" priority="820" operator="lessThan">
      <formula>0.8</formula>
    </cfRule>
    <cfRule type="cellIs" dxfId="533" priority="821" operator="greaterThan">
      <formula>0.8</formula>
    </cfRule>
  </conditionalFormatting>
  <conditionalFormatting sqref="U367">
    <cfRule type="notContainsText" dxfId="532" priority="818" operator="notContains" text="Caida">
      <formula>ISERROR(SEARCH("Caida",U367))</formula>
    </cfRule>
    <cfRule type="containsText" dxfId="531" priority="819" operator="containsText" text="Caida">
      <formula>NOT(ISERROR(SEARCH("Caida",U367)))</formula>
    </cfRule>
  </conditionalFormatting>
  <conditionalFormatting sqref="V6:X92">
    <cfRule type="cellIs" dxfId="530" priority="804" operator="lessThan">
      <formula>0.8</formula>
    </cfRule>
    <cfRule type="cellIs" dxfId="529" priority="805" operator="greaterThan">
      <formula>0.8</formula>
    </cfRule>
  </conditionalFormatting>
  <conditionalFormatting sqref="V6:X92">
    <cfRule type="notContainsText" dxfId="528" priority="802" operator="notContains" text="Caida">
      <formula>ISERROR(SEARCH("Caida",V6))</formula>
    </cfRule>
    <cfRule type="containsText" dxfId="527" priority="803" operator="containsText" text="Caida">
      <formula>NOT(ISERROR(SEARCH("Caida",V6)))</formula>
    </cfRule>
  </conditionalFormatting>
  <conditionalFormatting sqref="V22:AI22">
    <cfRule type="containsText" dxfId="526" priority="801" operator="containsText" text="Instaladas en Funcionamiento Caida">
      <formula>NOT(ISERROR(SEARCH("Instaladas en Funcionamiento Caida",V22)))</formula>
    </cfRule>
  </conditionalFormatting>
  <conditionalFormatting sqref="V5:AI5">
    <cfRule type="cellIs" dxfId="525" priority="799" operator="lessThan">
      <formula>0.8</formula>
    </cfRule>
    <cfRule type="cellIs" dxfId="524" priority="800" operator="greaterThan">
      <formula>0.8</formula>
    </cfRule>
  </conditionalFormatting>
  <conditionalFormatting sqref="V5:AI5">
    <cfRule type="notContainsText" dxfId="523" priority="797" operator="notContains" text="Caida">
      <formula>ISERROR(SEARCH("Caida",V5))</formula>
    </cfRule>
    <cfRule type="containsText" dxfId="522" priority="798" operator="containsText" text="Caida">
      <formula>NOT(ISERROR(SEARCH("Caida",V5)))</formula>
    </cfRule>
  </conditionalFormatting>
  <conditionalFormatting sqref="V93:X95">
    <cfRule type="cellIs" dxfId="521" priority="795" operator="lessThan">
      <formula>0.8</formula>
    </cfRule>
    <cfRule type="cellIs" dxfId="520" priority="796" operator="greaterThan">
      <formula>0.8</formula>
    </cfRule>
  </conditionalFormatting>
  <conditionalFormatting sqref="V93:X95">
    <cfRule type="notContainsText" dxfId="519" priority="793" operator="notContains" text="Caida">
      <formula>ISERROR(SEARCH("Caida",V93))</formula>
    </cfRule>
    <cfRule type="containsText" dxfId="518" priority="794" operator="containsText" text="Caida">
      <formula>NOT(ISERROR(SEARCH("Caida",V93)))</formula>
    </cfRule>
  </conditionalFormatting>
  <conditionalFormatting sqref="E1:E372 E391:E1048576">
    <cfRule type="containsText" dxfId="517" priority="653" operator="containsText" text="fija">
      <formula>NOT(ISERROR(SEARCH("fija",E1)))</formula>
    </cfRule>
    <cfRule type="containsText" dxfId="516" priority="654" operator="containsText" text="domo">
      <formula>NOT(ISERROR(SEARCH("domo",E1)))</formula>
    </cfRule>
  </conditionalFormatting>
  <conditionalFormatting sqref="AJ6:AP92">
    <cfRule type="cellIs" dxfId="500" priority="629" operator="lessThan">
      <formula>0.8</formula>
    </cfRule>
    <cfRule type="cellIs" dxfId="499" priority="630" operator="greaterThan">
      <formula>0.8</formula>
    </cfRule>
  </conditionalFormatting>
  <conditionalFormatting sqref="AJ6:AP92">
    <cfRule type="notContainsText" dxfId="498" priority="627" operator="notContains" text="Caida">
      <formula>ISERROR(SEARCH("Caida",AJ6))</formula>
    </cfRule>
    <cfRule type="containsText" dxfId="497" priority="628" operator="containsText" text="Caida">
      <formula>NOT(ISERROR(SEARCH("Caida",AJ6)))</formula>
    </cfRule>
  </conditionalFormatting>
  <conditionalFormatting sqref="AJ22:AS22">
    <cfRule type="containsText" dxfId="496" priority="626" operator="containsText" text="Instaladas en Funcionamiento Caida">
      <formula>NOT(ISERROR(SEARCH("Instaladas en Funcionamiento Caida",AJ22)))</formula>
    </cfRule>
  </conditionalFormatting>
  <conditionalFormatting sqref="AJ5:AS5">
    <cfRule type="cellIs" dxfId="495" priority="624" operator="lessThan">
      <formula>0.8</formula>
    </cfRule>
    <cfRule type="cellIs" dxfId="494" priority="625" operator="greaterThan">
      <formula>0.8</formula>
    </cfRule>
  </conditionalFormatting>
  <conditionalFormatting sqref="AJ5:AS5">
    <cfRule type="notContainsText" dxfId="493" priority="622" operator="notContains" text="Caida">
      <formula>ISERROR(SEARCH("Caida",AJ5))</formula>
    </cfRule>
    <cfRule type="containsText" dxfId="492" priority="623" operator="containsText" text="Caida">
      <formula>NOT(ISERROR(SEARCH("Caida",AJ5)))</formula>
    </cfRule>
  </conditionalFormatting>
  <conditionalFormatting sqref="AJ93:AP94">
    <cfRule type="cellIs" dxfId="491" priority="620" operator="lessThan">
      <formula>0.8</formula>
    </cfRule>
    <cfRule type="cellIs" dxfId="490" priority="621" operator="greaterThan">
      <formula>0.8</formula>
    </cfRule>
  </conditionalFormatting>
  <conditionalFormatting sqref="AJ93:AP94">
    <cfRule type="notContainsText" dxfId="489" priority="618" operator="notContains" text="Caida">
      <formula>ISERROR(SEARCH("Caida",AJ93))</formula>
    </cfRule>
    <cfRule type="containsText" dxfId="488" priority="619" operator="containsText" text="Caida">
      <formula>NOT(ISERROR(SEARCH("Caida",AJ93)))</formula>
    </cfRule>
  </conditionalFormatting>
  <conditionalFormatting sqref="AJ1:AS1 O247:O372 AJ391:AS1048576 AJ5:AS372 O5:AI369">
    <cfRule type="cellIs" dxfId="487" priority="617" operator="equal">
      <formula>"APAGADO"</formula>
    </cfRule>
  </conditionalFormatting>
  <conditionalFormatting sqref="S6:S92 S96:S230">
    <cfRule type="cellIs" dxfId="485" priority="601" operator="lessThan">
      <formula>0.8</formula>
    </cfRule>
    <cfRule type="cellIs" dxfId="484" priority="602" operator="greaterThan">
      <formula>0.8</formula>
    </cfRule>
  </conditionalFormatting>
  <conditionalFormatting sqref="S6:S92 S96:S230">
    <cfRule type="notContainsText" dxfId="483" priority="599" operator="notContains" text="Caida">
      <formula>ISERROR(SEARCH("Caida",S6))</formula>
    </cfRule>
    <cfRule type="containsText" dxfId="482" priority="600" operator="containsText" text="Caida">
      <formula>NOT(ISERROR(SEARCH("Caida",S6)))</formula>
    </cfRule>
  </conditionalFormatting>
  <conditionalFormatting sqref="S337:S366 S284:S334">
    <cfRule type="cellIs" dxfId="481" priority="597" operator="lessThan">
      <formula>0.8</formula>
    </cfRule>
    <cfRule type="cellIs" dxfId="480" priority="598" operator="greaterThan">
      <formula>0.8</formula>
    </cfRule>
  </conditionalFormatting>
  <conditionalFormatting sqref="S337:S366 S284:S334">
    <cfRule type="notContainsText" dxfId="479" priority="595" operator="notContains" text="Caida">
      <formula>ISERROR(SEARCH("Caida",S284))</formula>
    </cfRule>
    <cfRule type="containsText" dxfId="478" priority="596" operator="containsText" text="Caida">
      <formula>NOT(ISERROR(SEARCH("Caida",S284)))</formula>
    </cfRule>
  </conditionalFormatting>
  <conditionalFormatting sqref="S93:S95">
    <cfRule type="cellIs" dxfId="477" priority="593" operator="lessThan">
      <formula>0.8</formula>
    </cfRule>
    <cfRule type="cellIs" dxfId="476" priority="594" operator="greaterThan">
      <formula>0.8</formula>
    </cfRule>
  </conditionalFormatting>
  <conditionalFormatting sqref="S93:S95">
    <cfRule type="notContainsText" dxfId="475" priority="591" operator="notContains" text="Caida">
      <formula>ISERROR(SEARCH("Caida",S93))</formula>
    </cfRule>
    <cfRule type="containsText" dxfId="474" priority="592" operator="containsText" text="Caida">
      <formula>NOT(ISERROR(SEARCH("Caida",S93)))</formula>
    </cfRule>
  </conditionalFormatting>
  <conditionalFormatting sqref="T6:T92 T96:T230">
    <cfRule type="cellIs" dxfId="473" priority="589" operator="lessThan">
      <formula>0.8</formula>
    </cfRule>
    <cfRule type="cellIs" dxfId="472" priority="590" operator="greaterThan">
      <formula>0.8</formula>
    </cfRule>
  </conditionalFormatting>
  <conditionalFormatting sqref="T6:T92 T96:T230">
    <cfRule type="notContainsText" dxfId="471" priority="587" operator="notContains" text="Caida">
      <formula>ISERROR(SEARCH("Caida",T6))</formula>
    </cfRule>
    <cfRule type="containsText" dxfId="470" priority="588" operator="containsText" text="Caida">
      <formula>NOT(ISERROR(SEARCH("Caida",T6)))</formula>
    </cfRule>
  </conditionalFormatting>
  <conditionalFormatting sqref="T337:T366 T284:T334">
    <cfRule type="cellIs" dxfId="469" priority="585" operator="lessThan">
      <formula>0.8</formula>
    </cfRule>
    <cfRule type="cellIs" dxfId="468" priority="586" operator="greaterThan">
      <formula>0.8</formula>
    </cfRule>
  </conditionalFormatting>
  <conditionalFormatting sqref="T337:T366 T284:T334">
    <cfRule type="notContainsText" dxfId="467" priority="583" operator="notContains" text="Caida">
      <formula>ISERROR(SEARCH("Caida",T284))</formula>
    </cfRule>
    <cfRule type="containsText" dxfId="466" priority="584" operator="containsText" text="Caida">
      <formula>NOT(ISERROR(SEARCH("Caida",T284)))</formula>
    </cfRule>
  </conditionalFormatting>
  <conditionalFormatting sqref="T93:T95">
    <cfRule type="cellIs" dxfId="465" priority="581" operator="lessThan">
      <formula>0.8</formula>
    </cfRule>
    <cfRule type="cellIs" dxfId="464" priority="582" operator="greaterThan">
      <formula>0.8</formula>
    </cfRule>
  </conditionalFormatting>
  <conditionalFormatting sqref="T93:T95">
    <cfRule type="notContainsText" dxfId="463" priority="579" operator="notContains" text="Caida">
      <formula>ISERROR(SEARCH("Caida",T93))</formula>
    </cfRule>
    <cfRule type="containsText" dxfId="462" priority="580" operator="containsText" text="Caida">
      <formula>NOT(ISERROR(SEARCH("Caida",T93)))</formula>
    </cfRule>
  </conditionalFormatting>
  <conditionalFormatting sqref="F1:F372 F391:F1048576">
    <cfRule type="cellIs" dxfId="447" priority="508" operator="equal">
      <formula>"PTP A FO"</formula>
    </cfRule>
  </conditionalFormatting>
  <conditionalFormatting sqref="AJ115">
    <cfRule type="cellIs" dxfId="262" priority="322" operator="lessThan">
      <formula>0.8</formula>
    </cfRule>
    <cfRule type="cellIs" dxfId="261" priority="323" operator="greaterThan">
      <formula>0.8</formula>
    </cfRule>
  </conditionalFormatting>
  <conditionalFormatting sqref="AJ115">
    <cfRule type="notContainsText" dxfId="260" priority="320" operator="notContains" text="Caida">
      <formula>ISERROR(SEARCH("Caida",AJ115))</formula>
    </cfRule>
    <cfRule type="containsText" dxfId="259" priority="321" operator="containsText" text="Caida">
      <formula>NOT(ISERROR(SEARCH("Caida",AJ115)))</formula>
    </cfRule>
  </conditionalFormatting>
  <conditionalFormatting sqref="AJ116">
    <cfRule type="cellIs" dxfId="258" priority="318" operator="lessThan">
      <formula>0.8</formula>
    </cfRule>
    <cfRule type="cellIs" dxfId="257" priority="319" operator="greaterThan">
      <formula>0.8</formula>
    </cfRule>
  </conditionalFormatting>
  <conditionalFormatting sqref="AJ116">
    <cfRule type="notContainsText" dxfId="256" priority="316" operator="notContains" text="Caida">
      <formula>ISERROR(SEARCH("Caida",AJ116))</formula>
    </cfRule>
    <cfRule type="containsText" dxfId="255" priority="317" operator="containsText" text="Caida">
      <formula>NOT(ISERROR(SEARCH("Caida",AJ116)))</formula>
    </cfRule>
  </conditionalFormatting>
  <conditionalFormatting sqref="AJ120">
    <cfRule type="cellIs" dxfId="254" priority="314" operator="lessThan">
      <formula>0.8</formula>
    </cfRule>
    <cfRule type="cellIs" dxfId="253" priority="315" operator="greaterThan">
      <formula>0.8</formula>
    </cfRule>
  </conditionalFormatting>
  <conditionalFormatting sqref="AJ120">
    <cfRule type="notContainsText" dxfId="252" priority="312" operator="notContains" text="Caida">
      <formula>ISERROR(SEARCH("Caida",AJ120))</formula>
    </cfRule>
    <cfRule type="containsText" dxfId="251" priority="313" operator="containsText" text="Caida">
      <formula>NOT(ISERROR(SEARCH("Caida",AJ120)))</formula>
    </cfRule>
  </conditionalFormatting>
  <conditionalFormatting sqref="AJ121">
    <cfRule type="cellIs" dxfId="250" priority="310" operator="lessThan">
      <formula>0.8</formula>
    </cfRule>
    <cfRule type="cellIs" dxfId="249" priority="311" operator="greaterThan">
      <formula>0.8</formula>
    </cfRule>
  </conditionalFormatting>
  <conditionalFormatting sqref="AJ121">
    <cfRule type="notContainsText" dxfId="248" priority="308" operator="notContains" text="Caida">
      <formula>ISERROR(SEARCH("Caida",AJ121))</formula>
    </cfRule>
    <cfRule type="containsText" dxfId="247" priority="309" operator="containsText" text="Caida">
      <formula>NOT(ISERROR(SEARCH("Caida",AJ121)))</formula>
    </cfRule>
  </conditionalFormatting>
  <conditionalFormatting sqref="AJ133">
    <cfRule type="cellIs" dxfId="246" priority="306" operator="lessThan">
      <formula>0.8</formula>
    </cfRule>
    <cfRule type="cellIs" dxfId="245" priority="307" operator="greaterThan">
      <formula>0.8</formula>
    </cfRule>
  </conditionalFormatting>
  <conditionalFormatting sqref="AJ133">
    <cfRule type="notContainsText" dxfId="244" priority="304" operator="notContains" text="Caida">
      <formula>ISERROR(SEARCH("Caida",AJ133))</formula>
    </cfRule>
    <cfRule type="containsText" dxfId="243" priority="305" operator="containsText" text="Caida">
      <formula>NOT(ISERROR(SEARCH("Caida",AJ133)))</formula>
    </cfRule>
  </conditionalFormatting>
  <conditionalFormatting sqref="AJ137">
    <cfRule type="cellIs" dxfId="242" priority="302" operator="lessThan">
      <formula>0.8</formula>
    </cfRule>
    <cfRule type="cellIs" dxfId="241" priority="303" operator="greaterThan">
      <formula>0.8</formula>
    </cfRule>
  </conditionalFormatting>
  <conditionalFormatting sqref="AJ137">
    <cfRule type="notContainsText" dxfId="240" priority="300" operator="notContains" text="Caida">
      <formula>ISERROR(SEARCH("Caida",AJ137))</formula>
    </cfRule>
    <cfRule type="containsText" dxfId="239" priority="301" operator="containsText" text="Caida">
      <formula>NOT(ISERROR(SEARCH("Caida",AJ137)))</formula>
    </cfRule>
  </conditionalFormatting>
  <conditionalFormatting sqref="AJ149">
    <cfRule type="cellIs" dxfId="238" priority="298" operator="lessThan">
      <formula>0.8</formula>
    </cfRule>
    <cfRule type="cellIs" dxfId="237" priority="299" operator="greaterThan">
      <formula>0.8</formula>
    </cfRule>
  </conditionalFormatting>
  <conditionalFormatting sqref="AJ149">
    <cfRule type="notContainsText" dxfId="236" priority="296" operator="notContains" text="Caida">
      <formula>ISERROR(SEARCH("Caida",AJ149))</formula>
    </cfRule>
    <cfRule type="containsText" dxfId="235" priority="297" operator="containsText" text="Caida">
      <formula>NOT(ISERROR(SEARCH("Caida",AJ149)))</formula>
    </cfRule>
  </conditionalFormatting>
  <conditionalFormatting sqref="AJ150">
    <cfRule type="cellIs" dxfId="234" priority="294" operator="lessThan">
      <formula>0.8</formula>
    </cfRule>
    <cfRule type="cellIs" dxfId="233" priority="295" operator="greaterThan">
      <formula>0.8</formula>
    </cfRule>
  </conditionalFormatting>
  <conditionalFormatting sqref="AJ150">
    <cfRule type="notContainsText" dxfId="232" priority="292" operator="notContains" text="Caida">
      <formula>ISERROR(SEARCH("Caida",AJ150))</formula>
    </cfRule>
    <cfRule type="containsText" dxfId="231" priority="293" operator="containsText" text="Caida">
      <formula>NOT(ISERROR(SEARCH("Caida",AJ150)))</formula>
    </cfRule>
  </conditionalFormatting>
  <conditionalFormatting sqref="AJ151">
    <cfRule type="cellIs" dxfId="230" priority="290" operator="lessThan">
      <formula>0.8</formula>
    </cfRule>
    <cfRule type="cellIs" dxfId="229" priority="291" operator="greaterThan">
      <formula>0.8</formula>
    </cfRule>
  </conditionalFormatting>
  <conditionalFormatting sqref="AJ151">
    <cfRule type="notContainsText" dxfId="228" priority="288" operator="notContains" text="Caida">
      <formula>ISERROR(SEARCH("Caida",AJ151))</formula>
    </cfRule>
    <cfRule type="containsText" dxfId="227" priority="289" operator="containsText" text="Caida">
      <formula>NOT(ISERROR(SEARCH("Caida",AJ151)))</formula>
    </cfRule>
  </conditionalFormatting>
  <conditionalFormatting sqref="AJ159">
    <cfRule type="cellIs" dxfId="226" priority="286" operator="lessThan">
      <formula>0.8</formula>
    </cfRule>
    <cfRule type="cellIs" dxfId="225" priority="287" operator="greaterThan">
      <formula>0.8</formula>
    </cfRule>
  </conditionalFormatting>
  <conditionalFormatting sqref="AJ159">
    <cfRule type="notContainsText" dxfId="224" priority="284" operator="notContains" text="Caida">
      <formula>ISERROR(SEARCH("Caida",AJ159))</formula>
    </cfRule>
    <cfRule type="containsText" dxfId="223" priority="285" operator="containsText" text="Caida">
      <formula>NOT(ISERROR(SEARCH("Caida",AJ159)))</formula>
    </cfRule>
  </conditionalFormatting>
  <conditionalFormatting sqref="AJ169">
    <cfRule type="cellIs" dxfId="222" priority="282" operator="lessThan">
      <formula>0.8</formula>
    </cfRule>
    <cfRule type="cellIs" dxfId="221" priority="283" operator="greaterThan">
      <formula>0.8</formula>
    </cfRule>
  </conditionalFormatting>
  <conditionalFormatting sqref="AJ169">
    <cfRule type="notContainsText" dxfId="220" priority="280" operator="notContains" text="Caida">
      <formula>ISERROR(SEARCH("Caida",AJ169))</formula>
    </cfRule>
    <cfRule type="containsText" dxfId="219" priority="281" operator="containsText" text="Caida">
      <formula>NOT(ISERROR(SEARCH("Caida",AJ169)))</formula>
    </cfRule>
  </conditionalFormatting>
  <conditionalFormatting sqref="AJ171">
    <cfRule type="cellIs" dxfId="218" priority="278" operator="lessThan">
      <formula>0.8</formula>
    </cfRule>
    <cfRule type="cellIs" dxfId="217" priority="279" operator="greaterThan">
      <formula>0.8</formula>
    </cfRule>
  </conditionalFormatting>
  <conditionalFormatting sqref="AJ171">
    <cfRule type="notContainsText" dxfId="216" priority="276" operator="notContains" text="Caida">
      <formula>ISERROR(SEARCH("Caida",AJ171))</formula>
    </cfRule>
    <cfRule type="containsText" dxfId="215" priority="277" operator="containsText" text="Caida">
      <formula>NOT(ISERROR(SEARCH("Caida",AJ171)))</formula>
    </cfRule>
  </conditionalFormatting>
  <conditionalFormatting sqref="AJ173">
    <cfRule type="cellIs" dxfId="214" priority="274" operator="lessThan">
      <formula>0.8</formula>
    </cfRule>
    <cfRule type="cellIs" dxfId="213" priority="275" operator="greaterThan">
      <formula>0.8</formula>
    </cfRule>
  </conditionalFormatting>
  <conditionalFormatting sqref="AJ173">
    <cfRule type="notContainsText" dxfId="212" priority="272" operator="notContains" text="Caida">
      <formula>ISERROR(SEARCH("Caida",AJ173))</formula>
    </cfRule>
    <cfRule type="containsText" dxfId="211" priority="273" operator="containsText" text="Caida">
      <formula>NOT(ISERROR(SEARCH("Caida",AJ173)))</formula>
    </cfRule>
  </conditionalFormatting>
  <conditionalFormatting sqref="AJ174">
    <cfRule type="cellIs" dxfId="210" priority="270" operator="lessThan">
      <formula>0.8</formula>
    </cfRule>
    <cfRule type="cellIs" dxfId="209" priority="271" operator="greaterThan">
      <formula>0.8</formula>
    </cfRule>
  </conditionalFormatting>
  <conditionalFormatting sqref="AJ174">
    <cfRule type="notContainsText" dxfId="208" priority="268" operator="notContains" text="Caida">
      <formula>ISERROR(SEARCH("Caida",AJ174))</formula>
    </cfRule>
    <cfRule type="containsText" dxfId="207" priority="269" operator="containsText" text="Caida">
      <formula>NOT(ISERROR(SEARCH("Caida",AJ174)))</formula>
    </cfRule>
  </conditionalFormatting>
  <conditionalFormatting sqref="AJ191">
    <cfRule type="cellIs" dxfId="206" priority="266" operator="lessThan">
      <formula>0.8</formula>
    </cfRule>
    <cfRule type="cellIs" dxfId="205" priority="267" operator="greaterThan">
      <formula>0.8</formula>
    </cfRule>
  </conditionalFormatting>
  <conditionalFormatting sqref="AJ191">
    <cfRule type="notContainsText" dxfId="204" priority="264" operator="notContains" text="Caida">
      <formula>ISERROR(SEARCH("Caida",AJ191))</formula>
    </cfRule>
    <cfRule type="containsText" dxfId="203" priority="265" operator="containsText" text="Caida">
      <formula>NOT(ISERROR(SEARCH("Caida",AJ191)))</formula>
    </cfRule>
  </conditionalFormatting>
  <conditionalFormatting sqref="AJ192">
    <cfRule type="cellIs" dxfId="202" priority="262" operator="lessThan">
      <formula>0.8</formula>
    </cfRule>
    <cfRule type="cellIs" dxfId="201" priority="263" operator="greaterThan">
      <formula>0.8</formula>
    </cfRule>
  </conditionalFormatting>
  <conditionalFormatting sqref="AJ192">
    <cfRule type="notContainsText" dxfId="200" priority="260" operator="notContains" text="Caida">
      <formula>ISERROR(SEARCH("Caida",AJ192))</formula>
    </cfRule>
    <cfRule type="containsText" dxfId="199" priority="261" operator="containsText" text="Caida">
      <formula>NOT(ISERROR(SEARCH("Caida",AJ192)))</formula>
    </cfRule>
  </conditionalFormatting>
  <conditionalFormatting sqref="AJ193">
    <cfRule type="cellIs" dxfId="198" priority="258" operator="lessThan">
      <formula>0.8</formula>
    </cfRule>
    <cfRule type="cellIs" dxfId="197" priority="259" operator="greaterThan">
      <formula>0.8</formula>
    </cfRule>
  </conditionalFormatting>
  <conditionalFormatting sqref="AJ193">
    <cfRule type="notContainsText" dxfId="196" priority="256" operator="notContains" text="Caida">
      <formula>ISERROR(SEARCH("Caida",AJ193))</formula>
    </cfRule>
    <cfRule type="containsText" dxfId="195" priority="257" operator="containsText" text="Caida">
      <formula>NOT(ISERROR(SEARCH("Caida",AJ193)))</formula>
    </cfRule>
  </conditionalFormatting>
  <conditionalFormatting sqref="AJ194">
    <cfRule type="cellIs" dxfId="194" priority="254" operator="lessThan">
      <formula>0.8</formula>
    </cfRule>
    <cfRule type="cellIs" dxfId="193" priority="255" operator="greaterThan">
      <formula>0.8</formula>
    </cfRule>
  </conditionalFormatting>
  <conditionalFormatting sqref="AJ194">
    <cfRule type="notContainsText" dxfId="192" priority="252" operator="notContains" text="Caida">
      <formula>ISERROR(SEARCH("Caida",AJ194))</formula>
    </cfRule>
    <cfRule type="containsText" dxfId="191" priority="253" operator="containsText" text="Caida">
      <formula>NOT(ISERROR(SEARCH("Caida",AJ194)))</formula>
    </cfRule>
  </conditionalFormatting>
  <conditionalFormatting sqref="AJ224">
    <cfRule type="cellIs" dxfId="190" priority="250" operator="lessThan">
      <formula>0.8</formula>
    </cfRule>
    <cfRule type="cellIs" dxfId="189" priority="251" operator="greaterThan">
      <formula>0.8</formula>
    </cfRule>
  </conditionalFormatting>
  <conditionalFormatting sqref="AJ224">
    <cfRule type="notContainsText" dxfId="188" priority="248" operator="notContains" text="Caida">
      <formula>ISERROR(SEARCH("Caida",AJ224))</formula>
    </cfRule>
    <cfRule type="containsText" dxfId="187" priority="249" operator="containsText" text="Caida">
      <formula>NOT(ISERROR(SEARCH("Caida",AJ224)))</formula>
    </cfRule>
  </conditionalFormatting>
  <conditionalFormatting sqref="AJ230">
    <cfRule type="cellIs" dxfId="186" priority="246" operator="lessThan">
      <formula>0.8</formula>
    </cfRule>
    <cfRule type="cellIs" dxfId="185" priority="247" operator="greaterThan">
      <formula>0.8</formula>
    </cfRule>
  </conditionalFormatting>
  <conditionalFormatting sqref="AJ230">
    <cfRule type="notContainsText" dxfId="184" priority="244" operator="notContains" text="Caida">
      <formula>ISERROR(SEARCH("Caida",AJ230))</formula>
    </cfRule>
    <cfRule type="containsText" dxfId="183" priority="245" operator="containsText" text="Caida">
      <formula>NOT(ISERROR(SEARCH("Caida",AJ230)))</formula>
    </cfRule>
  </conditionalFormatting>
  <conditionalFormatting sqref="AJ238">
    <cfRule type="cellIs" dxfId="182" priority="242" operator="lessThan">
      <formula>0.8</formula>
    </cfRule>
    <cfRule type="cellIs" dxfId="181" priority="243" operator="greaterThan">
      <formula>0.8</formula>
    </cfRule>
  </conditionalFormatting>
  <conditionalFormatting sqref="AJ238">
    <cfRule type="notContainsText" dxfId="180" priority="240" operator="notContains" text="Caida">
      <formula>ISERROR(SEARCH("Caida",AJ238))</formula>
    </cfRule>
    <cfRule type="containsText" dxfId="179" priority="241" operator="containsText" text="Caida">
      <formula>NOT(ISERROR(SEARCH("Caida",AJ238)))</formula>
    </cfRule>
  </conditionalFormatting>
  <conditionalFormatting sqref="AJ239">
    <cfRule type="cellIs" dxfId="178" priority="238" operator="lessThan">
      <formula>0.8</formula>
    </cfRule>
    <cfRule type="cellIs" dxfId="177" priority="239" operator="greaterThan">
      <formula>0.8</formula>
    </cfRule>
  </conditionalFormatting>
  <conditionalFormatting sqref="AJ239">
    <cfRule type="notContainsText" dxfId="176" priority="236" operator="notContains" text="Caida">
      <formula>ISERROR(SEARCH("Caida",AJ239))</formula>
    </cfRule>
    <cfRule type="containsText" dxfId="175" priority="237" operator="containsText" text="Caida">
      <formula>NOT(ISERROR(SEARCH("Caida",AJ239)))</formula>
    </cfRule>
  </conditionalFormatting>
  <conditionalFormatting sqref="AJ240">
    <cfRule type="cellIs" dxfId="174" priority="234" operator="lessThan">
      <formula>0.8</formula>
    </cfRule>
    <cfRule type="cellIs" dxfId="173" priority="235" operator="greaterThan">
      <formula>0.8</formula>
    </cfRule>
  </conditionalFormatting>
  <conditionalFormatting sqref="AJ240">
    <cfRule type="notContainsText" dxfId="172" priority="232" operator="notContains" text="Caida">
      <formula>ISERROR(SEARCH("Caida",AJ240))</formula>
    </cfRule>
    <cfRule type="containsText" dxfId="171" priority="233" operator="containsText" text="Caida">
      <formula>NOT(ISERROR(SEARCH("Caida",AJ240)))</formula>
    </cfRule>
  </conditionalFormatting>
  <conditionalFormatting sqref="AJ251">
    <cfRule type="cellIs" dxfId="170" priority="230" operator="lessThan">
      <formula>0.8</formula>
    </cfRule>
    <cfRule type="cellIs" dxfId="169" priority="231" operator="greaterThan">
      <formula>0.8</formula>
    </cfRule>
  </conditionalFormatting>
  <conditionalFormatting sqref="AJ251">
    <cfRule type="notContainsText" dxfId="168" priority="228" operator="notContains" text="Caida">
      <formula>ISERROR(SEARCH("Caida",AJ251))</formula>
    </cfRule>
    <cfRule type="containsText" dxfId="167" priority="229" operator="containsText" text="Caida">
      <formula>NOT(ISERROR(SEARCH("Caida",AJ251)))</formula>
    </cfRule>
  </conditionalFormatting>
  <conditionalFormatting sqref="AJ252">
    <cfRule type="cellIs" dxfId="166" priority="226" operator="lessThan">
      <formula>0.8</formula>
    </cfRule>
    <cfRule type="cellIs" dxfId="165" priority="227" operator="greaterThan">
      <formula>0.8</formula>
    </cfRule>
  </conditionalFormatting>
  <conditionalFormatting sqref="AJ252">
    <cfRule type="notContainsText" dxfId="164" priority="224" operator="notContains" text="Caida">
      <formula>ISERROR(SEARCH("Caida",AJ252))</formula>
    </cfRule>
    <cfRule type="containsText" dxfId="163" priority="225" operator="containsText" text="Caida">
      <formula>NOT(ISERROR(SEARCH("Caida",AJ252)))</formula>
    </cfRule>
  </conditionalFormatting>
  <conditionalFormatting sqref="AJ253">
    <cfRule type="cellIs" dxfId="162" priority="222" operator="lessThan">
      <formula>0.8</formula>
    </cfRule>
    <cfRule type="cellIs" dxfId="161" priority="223" operator="greaterThan">
      <formula>0.8</formula>
    </cfRule>
  </conditionalFormatting>
  <conditionalFormatting sqref="AJ253">
    <cfRule type="notContainsText" dxfId="160" priority="220" operator="notContains" text="Caida">
      <formula>ISERROR(SEARCH("Caida",AJ253))</formula>
    </cfRule>
    <cfRule type="containsText" dxfId="159" priority="221" operator="containsText" text="Caida">
      <formula>NOT(ISERROR(SEARCH("Caida",AJ253)))</formula>
    </cfRule>
  </conditionalFormatting>
  <conditionalFormatting sqref="AJ254">
    <cfRule type="cellIs" dxfId="158" priority="218" operator="lessThan">
      <formula>0.8</formula>
    </cfRule>
    <cfRule type="cellIs" dxfId="157" priority="219" operator="greaterThan">
      <formula>0.8</formula>
    </cfRule>
  </conditionalFormatting>
  <conditionalFormatting sqref="AJ254">
    <cfRule type="notContainsText" dxfId="156" priority="216" operator="notContains" text="Caida">
      <formula>ISERROR(SEARCH("Caida",AJ254))</formula>
    </cfRule>
    <cfRule type="containsText" dxfId="155" priority="217" operator="containsText" text="Caida">
      <formula>NOT(ISERROR(SEARCH("Caida",AJ254)))</formula>
    </cfRule>
  </conditionalFormatting>
  <conditionalFormatting sqref="AJ261">
    <cfRule type="cellIs" dxfId="154" priority="214" operator="lessThan">
      <formula>0.8</formula>
    </cfRule>
    <cfRule type="cellIs" dxfId="153" priority="215" operator="greaterThan">
      <formula>0.8</formula>
    </cfRule>
  </conditionalFormatting>
  <conditionalFormatting sqref="AJ261">
    <cfRule type="notContainsText" dxfId="152" priority="212" operator="notContains" text="Caida">
      <formula>ISERROR(SEARCH("Caida",AJ261))</formula>
    </cfRule>
    <cfRule type="containsText" dxfId="151" priority="213" operator="containsText" text="Caida">
      <formula>NOT(ISERROR(SEARCH("Caida",AJ261)))</formula>
    </cfRule>
  </conditionalFormatting>
  <conditionalFormatting sqref="AJ273">
    <cfRule type="cellIs" dxfId="150" priority="210" operator="lessThan">
      <formula>0.8</formula>
    </cfRule>
    <cfRule type="cellIs" dxfId="149" priority="211" operator="greaterThan">
      <formula>0.8</formula>
    </cfRule>
  </conditionalFormatting>
  <conditionalFormatting sqref="AJ273">
    <cfRule type="notContainsText" dxfId="148" priority="208" operator="notContains" text="Caida">
      <formula>ISERROR(SEARCH("Caida",AJ273))</formula>
    </cfRule>
    <cfRule type="containsText" dxfId="147" priority="209" operator="containsText" text="Caida">
      <formula>NOT(ISERROR(SEARCH("Caida",AJ273)))</formula>
    </cfRule>
  </conditionalFormatting>
  <conditionalFormatting sqref="AJ274">
    <cfRule type="cellIs" dxfId="146" priority="206" operator="lessThan">
      <formula>0.8</formula>
    </cfRule>
    <cfRule type="cellIs" dxfId="145" priority="207" operator="greaterThan">
      <formula>0.8</formula>
    </cfRule>
  </conditionalFormatting>
  <conditionalFormatting sqref="AJ274">
    <cfRule type="notContainsText" dxfId="144" priority="204" operator="notContains" text="Caida">
      <formula>ISERROR(SEARCH("Caida",AJ274))</formula>
    </cfRule>
    <cfRule type="containsText" dxfId="143" priority="205" operator="containsText" text="Caida">
      <formula>NOT(ISERROR(SEARCH("Caida",AJ274)))</formula>
    </cfRule>
  </conditionalFormatting>
  <conditionalFormatting sqref="AJ282">
    <cfRule type="cellIs" dxfId="142" priority="202" operator="lessThan">
      <formula>0.8</formula>
    </cfRule>
    <cfRule type="cellIs" dxfId="141" priority="203" operator="greaterThan">
      <formula>0.8</formula>
    </cfRule>
  </conditionalFormatting>
  <conditionalFormatting sqref="AJ282">
    <cfRule type="notContainsText" dxfId="140" priority="200" operator="notContains" text="Caida">
      <formula>ISERROR(SEARCH("Caida",AJ282))</formula>
    </cfRule>
    <cfRule type="containsText" dxfId="139" priority="201" operator="containsText" text="Caida">
      <formula>NOT(ISERROR(SEARCH("Caida",AJ282)))</formula>
    </cfRule>
  </conditionalFormatting>
  <conditionalFormatting sqref="AJ321">
    <cfRule type="cellIs" dxfId="138" priority="198" operator="lessThan">
      <formula>0.8</formula>
    </cfRule>
    <cfRule type="cellIs" dxfId="137" priority="199" operator="greaterThan">
      <formula>0.8</formula>
    </cfRule>
  </conditionalFormatting>
  <conditionalFormatting sqref="AJ321">
    <cfRule type="notContainsText" dxfId="136" priority="196" operator="notContains" text="Caida">
      <formula>ISERROR(SEARCH("Caida",AJ321))</formula>
    </cfRule>
    <cfRule type="containsText" dxfId="135" priority="197" operator="containsText" text="Caida">
      <formula>NOT(ISERROR(SEARCH("Caida",AJ321)))</formula>
    </cfRule>
  </conditionalFormatting>
  <conditionalFormatting sqref="AJ322">
    <cfRule type="cellIs" dxfId="134" priority="194" operator="lessThan">
      <formula>0.8</formula>
    </cfRule>
    <cfRule type="cellIs" dxfId="133" priority="195" operator="greaterThan">
      <formula>0.8</formula>
    </cfRule>
  </conditionalFormatting>
  <conditionalFormatting sqref="AJ322">
    <cfRule type="notContainsText" dxfId="132" priority="192" operator="notContains" text="Caida">
      <formula>ISERROR(SEARCH("Caida",AJ322))</formula>
    </cfRule>
    <cfRule type="containsText" dxfId="131" priority="193" operator="containsText" text="Caida">
      <formula>NOT(ISERROR(SEARCH("Caida",AJ322)))</formula>
    </cfRule>
  </conditionalFormatting>
  <conditionalFormatting sqref="AJ308">
    <cfRule type="cellIs" dxfId="130" priority="190" operator="lessThan">
      <formula>0.8</formula>
    </cfRule>
    <cfRule type="cellIs" dxfId="129" priority="191" operator="greaterThan">
      <formula>0.8</formula>
    </cfRule>
  </conditionalFormatting>
  <conditionalFormatting sqref="AJ308">
    <cfRule type="notContainsText" dxfId="128" priority="188" operator="notContains" text="Caida">
      <formula>ISERROR(SEARCH("Caida",AJ308))</formula>
    </cfRule>
    <cfRule type="containsText" dxfId="127" priority="189" operator="containsText" text="Caida">
      <formula>NOT(ISERROR(SEARCH("Caida",AJ308)))</formula>
    </cfRule>
  </conditionalFormatting>
  <conditionalFormatting sqref="AJ333">
    <cfRule type="cellIs" dxfId="126" priority="186" operator="lessThan">
      <formula>0.8</formula>
    </cfRule>
    <cfRule type="cellIs" dxfId="125" priority="187" operator="greaterThan">
      <formula>0.8</formula>
    </cfRule>
  </conditionalFormatting>
  <conditionalFormatting sqref="AJ333">
    <cfRule type="notContainsText" dxfId="124" priority="184" operator="notContains" text="Caida">
      <formula>ISERROR(SEARCH("Caida",AJ333))</formula>
    </cfRule>
    <cfRule type="containsText" dxfId="123" priority="185" operator="containsText" text="Caida">
      <formula>NOT(ISERROR(SEARCH("Caida",AJ333)))</formula>
    </cfRule>
  </conditionalFormatting>
  <conditionalFormatting sqref="AJ347">
    <cfRule type="cellIs" dxfId="122" priority="182" operator="lessThan">
      <formula>0.8</formula>
    </cfRule>
    <cfRule type="cellIs" dxfId="121" priority="183" operator="greaterThan">
      <formula>0.8</formula>
    </cfRule>
  </conditionalFormatting>
  <conditionalFormatting sqref="AJ347">
    <cfRule type="notContainsText" dxfId="120" priority="180" operator="notContains" text="Caida">
      <formula>ISERROR(SEARCH("Caida",AJ347))</formula>
    </cfRule>
    <cfRule type="containsText" dxfId="119" priority="181" operator="containsText" text="Caida">
      <formula>NOT(ISERROR(SEARCH("Caida",AJ347)))</formula>
    </cfRule>
  </conditionalFormatting>
  <conditionalFormatting sqref="AJ348">
    <cfRule type="cellIs" dxfId="118" priority="178" operator="lessThan">
      <formula>0.8</formula>
    </cfRule>
    <cfRule type="cellIs" dxfId="117" priority="179" operator="greaterThan">
      <formula>0.8</formula>
    </cfRule>
  </conditionalFormatting>
  <conditionalFormatting sqref="AJ348">
    <cfRule type="notContainsText" dxfId="116" priority="176" operator="notContains" text="Caida">
      <formula>ISERROR(SEARCH("Caida",AJ348))</formula>
    </cfRule>
    <cfRule type="containsText" dxfId="115" priority="177" operator="containsText" text="Caida">
      <formula>NOT(ISERROR(SEARCH("Caida",AJ348)))</formula>
    </cfRule>
  </conditionalFormatting>
  <conditionalFormatting sqref="AJ349">
    <cfRule type="cellIs" dxfId="114" priority="174" operator="lessThan">
      <formula>0.8</formula>
    </cfRule>
    <cfRule type="cellIs" dxfId="113" priority="175" operator="greaterThan">
      <formula>0.8</formula>
    </cfRule>
  </conditionalFormatting>
  <conditionalFormatting sqref="AJ349">
    <cfRule type="notContainsText" dxfId="112" priority="172" operator="notContains" text="Caida">
      <formula>ISERROR(SEARCH("Caida",AJ349))</formula>
    </cfRule>
    <cfRule type="containsText" dxfId="111" priority="173" operator="containsText" text="Caida">
      <formula>NOT(ISERROR(SEARCH("Caida",AJ349)))</formula>
    </cfRule>
  </conditionalFormatting>
  <conditionalFormatting sqref="AJ350">
    <cfRule type="cellIs" dxfId="110" priority="170" operator="lessThan">
      <formula>0.8</formula>
    </cfRule>
    <cfRule type="cellIs" dxfId="109" priority="171" operator="greaterThan">
      <formula>0.8</formula>
    </cfRule>
  </conditionalFormatting>
  <conditionalFormatting sqref="AJ350">
    <cfRule type="notContainsText" dxfId="108" priority="168" operator="notContains" text="Caida">
      <formula>ISERROR(SEARCH("Caida",AJ350))</formula>
    </cfRule>
    <cfRule type="containsText" dxfId="107" priority="169" operator="containsText" text="Caida">
      <formula>NOT(ISERROR(SEARCH("Caida",AJ350)))</formula>
    </cfRule>
  </conditionalFormatting>
  <conditionalFormatting sqref="AJ351">
    <cfRule type="cellIs" dxfId="106" priority="166" operator="lessThan">
      <formula>0.8</formula>
    </cfRule>
    <cfRule type="cellIs" dxfId="105" priority="167" operator="greaterThan">
      <formula>0.8</formula>
    </cfRule>
  </conditionalFormatting>
  <conditionalFormatting sqref="AJ351">
    <cfRule type="notContainsText" dxfId="104" priority="164" operator="notContains" text="Caida">
      <formula>ISERROR(SEARCH("Caida",AJ351))</formula>
    </cfRule>
    <cfRule type="containsText" dxfId="103" priority="165" operator="containsText" text="Caida">
      <formula>NOT(ISERROR(SEARCH("Caida",AJ351)))</formula>
    </cfRule>
  </conditionalFormatting>
  <conditionalFormatting sqref="AJ369">
    <cfRule type="cellIs" dxfId="102" priority="162" operator="lessThan">
      <formula>0.8</formula>
    </cfRule>
    <cfRule type="cellIs" dxfId="101" priority="163" operator="greaterThan">
      <formula>0.8</formula>
    </cfRule>
  </conditionalFormatting>
  <conditionalFormatting sqref="AJ369">
    <cfRule type="notContainsText" dxfId="100" priority="160" operator="notContains" text="Caida">
      <formula>ISERROR(SEARCH("Caida",AJ369))</formula>
    </cfRule>
    <cfRule type="containsText" dxfId="99" priority="161" operator="containsText" text="Caida">
      <formula>NOT(ISERROR(SEARCH("Caida",AJ369)))</formula>
    </cfRule>
  </conditionalFormatting>
  <conditionalFormatting sqref="AJ204">
    <cfRule type="cellIs" dxfId="98" priority="158" operator="lessThan">
      <formula>0.8</formula>
    </cfRule>
    <cfRule type="cellIs" dxfId="97" priority="159" operator="greaterThan">
      <formula>0.8</formula>
    </cfRule>
  </conditionalFormatting>
  <conditionalFormatting sqref="AJ204">
    <cfRule type="notContainsText" dxfId="96" priority="156" operator="notContains" text="Caida">
      <formula>ISERROR(SEARCH("Caida",AJ204))</formula>
    </cfRule>
    <cfRule type="containsText" dxfId="95" priority="157" operator="containsText" text="Caida">
      <formula>NOT(ISERROR(SEARCH("Caida",AJ204)))</formula>
    </cfRule>
  </conditionalFormatting>
  <conditionalFormatting sqref="AJ197">
    <cfRule type="cellIs" dxfId="94" priority="154" operator="lessThan">
      <formula>0.8</formula>
    </cfRule>
    <cfRule type="cellIs" dxfId="93" priority="155" operator="greaterThan">
      <formula>0.8</formula>
    </cfRule>
  </conditionalFormatting>
  <conditionalFormatting sqref="AJ197">
    <cfRule type="notContainsText" dxfId="92" priority="152" operator="notContains" text="Caida">
      <formula>ISERROR(SEARCH("Caida",AJ197))</formula>
    </cfRule>
    <cfRule type="containsText" dxfId="91" priority="153" operator="containsText" text="Caida">
      <formula>NOT(ISERROR(SEARCH("Caida",AJ197)))</formula>
    </cfRule>
  </conditionalFormatting>
  <conditionalFormatting sqref="AJ206">
    <cfRule type="cellIs" dxfId="90" priority="150" operator="lessThan">
      <formula>0.8</formula>
    </cfRule>
    <cfRule type="cellIs" dxfId="89" priority="151" operator="greaterThan">
      <formula>0.8</formula>
    </cfRule>
  </conditionalFormatting>
  <conditionalFormatting sqref="AJ206">
    <cfRule type="notContainsText" dxfId="88" priority="148" operator="notContains" text="Caida">
      <formula>ISERROR(SEARCH("Caida",AJ206))</formula>
    </cfRule>
    <cfRule type="containsText" dxfId="87" priority="149" operator="containsText" text="Caida">
      <formula>NOT(ISERROR(SEARCH("Caida",AJ206)))</formula>
    </cfRule>
  </conditionalFormatting>
  <conditionalFormatting sqref="AJ5">
    <cfRule type="cellIs" dxfId="86" priority="146" operator="lessThan">
      <formula>0.8</formula>
    </cfRule>
    <cfRule type="cellIs" dxfId="85" priority="147" operator="greaterThan">
      <formula>0.8</formula>
    </cfRule>
  </conditionalFormatting>
  <conditionalFormatting sqref="AJ5">
    <cfRule type="notContainsText" dxfId="84" priority="144" operator="notContains" text="Caida">
      <formula>ISERROR(SEARCH("Caida",AJ5))</formula>
    </cfRule>
    <cfRule type="containsText" dxfId="83" priority="145" operator="containsText" text="Caida">
      <formula>NOT(ISERROR(SEARCH("Caida",AJ5)))</formula>
    </cfRule>
  </conditionalFormatting>
  <conditionalFormatting sqref="AJ279">
    <cfRule type="cellIs" dxfId="82" priority="142" operator="lessThan">
      <formula>0.8</formula>
    </cfRule>
    <cfRule type="cellIs" dxfId="81" priority="143" operator="greaterThan">
      <formula>0.8</formula>
    </cfRule>
  </conditionalFormatting>
  <conditionalFormatting sqref="AJ279">
    <cfRule type="notContainsText" dxfId="80" priority="140" operator="notContains" text="Caida">
      <formula>ISERROR(SEARCH("Caida",AJ279))</formula>
    </cfRule>
    <cfRule type="containsText" dxfId="79" priority="141" operator="containsText" text="Caida">
      <formula>NOT(ISERROR(SEARCH("Caida",AJ279)))</formula>
    </cfRule>
  </conditionalFormatting>
  <conditionalFormatting sqref="R371:T372">
    <cfRule type="cellIs" dxfId="78" priority="137" operator="lessThan">
      <formula>0.8</formula>
    </cfRule>
    <cfRule type="cellIs" dxfId="77" priority="138" operator="greaterThan">
      <formula>0.8</formula>
    </cfRule>
  </conditionalFormatting>
  <conditionalFormatting sqref="R371:T372">
    <cfRule type="notContainsText" dxfId="76" priority="135" operator="notContains" text="Caida">
      <formula>ISERROR(SEARCH("Caida",R371))</formula>
    </cfRule>
    <cfRule type="containsText" dxfId="75" priority="136" operator="containsText" text="Caida">
      <formula>NOT(ISERROR(SEARCH("Caida",R371)))</formula>
    </cfRule>
  </conditionalFormatting>
  <conditionalFormatting sqref="O6:O92">
    <cfRule type="cellIs" dxfId="70" priority="125" operator="lessThan">
      <formula>0.8</formula>
    </cfRule>
    <cfRule type="cellIs" dxfId="69" priority="126" operator="greaterThan">
      <formula>0.8</formula>
    </cfRule>
  </conditionalFormatting>
  <conditionalFormatting sqref="O6:O92">
    <cfRule type="notContainsText" dxfId="68" priority="123" operator="notContains" text="Caida">
      <formula>ISERROR(SEARCH("Caida",O6))</formula>
    </cfRule>
    <cfRule type="containsText" dxfId="67" priority="124" operator="containsText" text="Caida">
      <formula>NOT(ISERROR(SEARCH("Caida",O6)))</formula>
    </cfRule>
  </conditionalFormatting>
  <conditionalFormatting sqref="O22">
    <cfRule type="containsText" dxfId="66" priority="122" operator="containsText" text="Instaladas en Funcionamiento Caida">
      <formula>NOT(ISERROR(SEARCH("Instaladas en Funcionamiento Caida",O22)))</formula>
    </cfRule>
  </conditionalFormatting>
  <conditionalFormatting sqref="O5">
    <cfRule type="cellIs" dxfId="65" priority="120" operator="lessThan">
      <formula>0.8</formula>
    </cfRule>
    <cfRule type="cellIs" dxfId="64" priority="121" operator="greaterThan">
      <formula>0.8</formula>
    </cfRule>
  </conditionalFormatting>
  <conditionalFormatting sqref="O5">
    <cfRule type="notContainsText" dxfId="63" priority="118" operator="notContains" text="Caida">
      <formula>ISERROR(SEARCH("Caida",O5))</formula>
    </cfRule>
    <cfRule type="containsText" dxfId="62" priority="119" operator="containsText" text="Caida">
      <formula>NOT(ISERROR(SEARCH("Caida",O5)))</formula>
    </cfRule>
  </conditionalFormatting>
  <conditionalFormatting sqref="O93:O94">
    <cfRule type="cellIs" dxfId="61" priority="116" operator="lessThan">
      <formula>0.8</formula>
    </cfRule>
    <cfRule type="cellIs" dxfId="60" priority="117" operator="greaterThan">
      <formula>0.8</formula>
    </cfRule>
  </conditionalFormatting>
  <conditionalFormatting sqref="O93:O94">
    <cfRule type="notContainsText" dxfId="59" priority="114" operator="notContains" text="Caida">
      <formula>ISERROR(SEARCH("Caida",O93))</formula>
    </cfRule>
    <cfRule type="containsText" dxfId="58" priority="115" operator="containsText" text="Caida">
      <formula>NOT(ISERROR(SEARCH("Caida",O93)))</formula>
    </cfRule>
  </conditionalFormatting>
  <conditionalFormatting sqref="AQ6:AS92">
    <cfRule type="cellIs" dxfId="57" priority="107" operator="lessThan">
      <formula>0.8</formula>
    </cfRule>
    <cfRule type="cellIs" dxfId="56" priority="108" operator="greaterThan">
      <formula>0.8</formula>
    </cfRule>
  </conditionalFormatting>
  <conditionalFormatting sqref="AQ6:AS92">
    <cfRule type="notContainsText" dxfId="55" priority="105" operator="notContains" text="Caida">
      <formula>ISERROR(SEARCH("Caida",AQ6))</formula>
    </cfRule>
    <cfRule type="containsText" dxfId="54" priority="106" operator="containsText" text="Caida">
      <formula>NOT(ISERROR(SEARCH("Caida",AQ6)))</formula>
    </cfRule>
  </conditionalFormatting>
  <conditionalFormatting sqref="AQ93:AS94">
    <cfRule type="cellIs" dxfId="53" priority="103" operator="lessThan">
      <formula>0.8</formula>
    </cfRule>
    <cfRule type="cellIs" dxfId="52" priority="104" operator="greaterThan">
      <formula>0.8</formula>
    </cfRule>
  </conditionalFormatting>
  <conditionalFormatting sqref="AQ93:AS94">
    <cfRule type="notContainsText" dxfId="51" priority="101" operator="notContains" text="Caida">
      <formula>ISERROR(SEARCH("Caida",AQ93))</formula>
    </cfRule>
    <cfRule type="containsText" dxfId="50" priority="102" operator="containsText" text="Caida">
      <formula>NOT(ISERROR(SEARCH("Caida",AQ93)))</formula>
    </cfRule>
  </conditionalFormatting>
  <conditionalFormatting sqref="Y6:AF92">
    <cfRule type="cellIs" dxfId="49" priority="42" operator="lessThan">
      <formula>0.8</formula>
    </cfRule>
    <cfRule type="cellIs" dxfId="48" priority="43" operator="greaterThan">
      <formula>0.8</formula>
    </cfRule>
  </conditionalFormatting>
  <conditionalFormatting sqref="Y6:AF92">
    <cfRule type="notContainsText" dxfId="47" priority="40" operator="notContains" text="Caida">
      <formula>ISERROR(SEARCH("Caida",Y6))</formula>
    </cfRule>
    <cfRule type="containsText" dxfId="46" priority="41" operator="containsText" text="Caida">
      <formula>NOT(ISERROR(SEARCH("Caida",Y6)))</formula>
    </cfRule>
  </conditionalFormatting>
  <conditionalFormatting sqref="Y93:AF95">
    <cfRule type="cellIs" dxfId="45" priority="38" operator="lessThan">
      <formula>0.8</formula>
    </cfRule>
    <cfRule type="cellIs" dxfId="44" priority="39" operator="greaterThan">
      <formula>0.8</formula>
    </cfRule>
  </conditionalFormatting>
  <conditionalFormatting sqref="Y93:AF95">
    <cfRule type="notContainsText" dxfId="43" priority="36" operator="notContains" text="Caida">
      <formula>ISERROR(SEARCH("Caida",Y93))</formula>
    </cfRule>
    <cfRule type="containsText" dxfId="42" priority="37" operator="containsText" text="Caida">
      <formula>NOT(ISERROR(SEARCH("Caida",Y93)))</formula>
    </cfRule>
  </conditionalFormatting>
  <conditionalFormatting sqref="AF1:AF1048576">
    <cfRule type="cellIs" dxfId="41" priority="35" operator="equal">
      <formula>"apagado"</formula>
    </cfRule>
  </conditionalFormatting>
  <conditionalFormatting sqref="AE1:AE1048576">
    <cfRule type="cellIs" dxfId="40" priority="34" operator="equal">
      <formula>"apagado"</formula>
    </cfRule>
  </conditionalFormatting>
  <conditionalFormatting sqref="AD1:AD1048576">
    <cfRule type="cellIs" dxfId="39" priority="33" operator="equal">
      <formula>"apagado"</formula>
    </cfRule>
  </conditionalFormatting>
  <conditionalFormatting sqref="AC1:AC1048576">
    <cfRule type="cellIs" dxfId="38" priority="32" operator="equal">
      <formula>"apagado"</formula>
    </cfRule>
  </conditionalFormatting>
  <conditionalFormatting sqref="AB1:AB1048576">
    <cfRule type="cellIs" dxfId="37" priority="31" operator="equal">
      <formula>"apagado"</formula>
    </cfRule>
  </conditionalFormatting>
  <conditionalFormatting sqref="AA1:AA1048576">
    <cfRule type="cellIs" dxfId="36" priority="30" operator="equal">
      <formula>"apagado"</formula>
    </cfRule>
  </conditionalFormatting>
  <conditionalFormatting sqref="Z1:Z1048576">
    <cfRule type="cellIs" dxfId="35" priority="29" operator="equal">
      <formula>"apagado"</formula>
    </cfRule>
  </conditionalFormatting>
  <conditionalFormatting sqref="Y1:Y1048576">
    <cfRule type="cellIs" dxfId="34" priority="28" operator="equal">
      <formula>"apagado"</formula>
    </cfRule>
  </conditionalFormatting>
  <conditionalFormatting sqref="AG6:AG92">
    <cfRule type="cellIs" dxfId="26" priority="26" operator="lessThan">
      <formula>0.8</formula>
    </cfRule>
    <cfRule type="cellIs" dxfId="25" priority="27" operator="greaterThan">
      <formula>0.8</formula>
    </cfRule>
  </conditionalFormatting>
  <conditionalFormatting sqref="AG6:AG92">
    <cfRule type="notContainsText" dxfId="24" priority="24" operator="notContains" text="Caida">
      <formula>ISERROR(SEARCH("Caida",AG6))</formula>
    </cfRule>
    <cfRule type="containsText" dxfId="23" priority="25" operator="containsText" text="Caida">
      <formula>NOT(ISERROR(SEARCH("Caida",AG6)))</formula>
    </cfRule>
  </conditionalFormatting>
  <conditionalFormatting sqref="AG93:AG95">
    <cfRule type="cellIs" dxfId="22" priority="22" operator="lessThan">
      <formula>0.8</formula>
    </cfRule>
    <cfRule type="cellIs" dxfId="21" priority="23" operator="greaterThan">
      <formula>0.8</formula>
    </cfRule>
  </conditionalFormatting>
  <conditionalFormatting sqref="AG93:AG95">
    <cfRule type="notContainsText" dxfId="20" priority="20" operator="notContains" text="Caida">
      <formula>ISERROR(SEARCH("Caida",AG93))</formula>
    </cfRule>
    <cfRule type="containsText" dxfId="19" priority="21" operator="containsText" text="Caida">
      <formula>NOT(ISERROR(SEARCH("Caida",AG93)))</formula>
    </cfRule>
  </conditionalFormatting>
  <conditionalFormatting sqref="AG1:AG1048576">
    <cfRule type="cellIs" dxfId="18" priority="19" operator="equal">
      <formula>"apagado"</formula>
    </cfRule>
  </conditionalFormatting>
  <conditionalFormatting sqref="AH6:AH92">
    <cfRule type="cellIs" dxfId="17" priority="17" operator="lessThan">
      <formula>0.8</formula>
    </cfRule>
    <cfRule type="cellIs" dxfId="16" priority="18" operator="greaterThan">
      <formula>0.8</formula>
    </cfRule>
  </conditionalFormatting>
  <conditionalFormatting sqref="AH6:AH92">
    <cfRule type="notContainsText" dxfId="15" priority="15" operator="notContains" text="Caida">
      <formula>ISERROR(SEARCH("Caida",AH6))</formula>
    </cfRule>
    <cfRule type="containsText" dxfId="14" priority="16" operator="containsText" text="Caida">
      <formula>NOT(ISERROR(SEARCH("Caida",AH6)))</formula>
    </cfRule>
  </conditionalFormatting>
  <conditionalFormatting sqref="AH93:AH95">
    <cfRule type="cellIs" dxfId="13" priority="13" operator="lessThan">
      <formula>0.8</formula>
    </cfRule>
    <cfRule type="cellIs" dxfId="12" priority="14" operator="greaterThan">
      <formula>0.8</formula>
    </cfRule>
  </conditionalFormatting>
  <conditionalFormatting sqref="AH93:AH95">
    <cfRule type="notContainsText" dxfId="11" priority="11" operator="notContains" text="Caida">
      <formula>ISERROR(SEARCH("Caida",AH93))</formula>
    </cfRule>
    <cfRule type="containsText" dxfId="10" priority="12" operator="containsText" text="Caida">
      <formula>NOT(ISERROR(SEARCH("Caida",AH93)))</formula>
    </cfRule>
  </conditionalFormatting>
  <conditionalFormatting sqref="AH1:AH1048576">
    <cfRule type="cellIs" dxfId="9" priority="10" operator="equal">
      <formula>"apagado"</formula>
    </cfRule>
  </conditionalFormatting>
  <conditionalFormatting sqref="AI6:AI92">
    <cfRule type="cellIs" dxfId="8" priority="8" operator="lessThan">
      <formula>0.8</formula>
    </cfRule>
    <cfRule type="cellIs" dxfId="7" priority="9" operator="greaterThan">
      <formula>0.8</formula>
    </cfRule>
  </conditionalFormatting>
  <conditionalFormatting sqref="AI6:AI92">
    <cfRule type="notContainsText" dxfId="6" priority="6" operator="notContains" text="Caida">
      <formula>ISERROR(SEARCH("Caida",AI6))</formula>
    </cfRule>
    <cfRule type="containsText" dxfId="5" priority="7" operator="containsText" text="Caida">
      <formula>NOT(ISERROR(SEARCH("Caida",AI6)))</formula>
    </cfRule>
  </conditionalFormatting>
  <conditionalFormatting sqref="AI93:AI95">
    <cfRule type="cellIs" dxfId="4" priority="4" operator="lessThan">
      <formula>0.8</formula>
    </cfRule>
    <cfRule type="cellIs" dxfId="3" priority="5" operator="greaterThan">
      <formula>0.8</formula>
    </cfRule>
  </conditionalFormatting>
  <conditionalFormatting sqref="AI93:AI95">
    <cfRule type="notContainsText" dxfId="2" priority="2" operator="notContains" text="Caida">
      <formula>ISERROR(SEARCH("Caida",AI93))</formula>
    </cfRule>
    <cfRule type="containsText" dxfId="1" priority="3" operator="containsText" text="Caida">
      <formula>NOT(ISERROR(SEARCH("Caida",AI93)))</formula>
    </cfRule>
  </conditionalFormatting>
  <conditionalFormatting sqref="AI1:AI1048576">
    <cfRule type="cellIs" dxfId="0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4"/>
  <sheetViews>
    <sheetView topLeftCell="A4" workbookViewId="0">
      <selection activeCell="B21" sqref="B2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1312</v>
      </c>
    </row>
    <row r="2" spans="1:1" ht="15" thickBot="1" x14ac:dyDescent="0.35"/>
    <row r="3" spans="1:1" ht="19.2" thickTop="1" thickBot="1" x14ac:dyDescent="0.35">
      <c r="A3" s="48">
        <v>44621</v>
      </c>
    </row>
    <row r="4" spans="1:1" ht="19.2" thickTop="1" thickBot="1" x14ac:dyDescent="0.35">
      <c r="A4" s="48">
        <v>44622</v>
      </c>
    </row>
    <row r="5" spans="1:1" ht="19.2" thickTop="1" thickBot="1" x14ac:dyDescent="0.35">
      <c r="A5" s="48">
        <v>44623</v>
      </c>
    </row>
    <row r="6" spans="1:1" ht="19.2" thickTop="1" thickBot="1" x14ac:dyDescent="0.35">
      <c r="A6" s="48">
        <v>44624</v>
      </c>
    </row>
    <row r="7" spans="1:1" ht="19.2" thickTop="1" thickBot="1" x14ac:dyDescent="0.35">
      <c r="A7" s="48">
        <v>44625</v>
      </c>
    </row>
    <row r="8" spans="1:1" ht="19.2" thickTop="1" thickBot="1" x14ac:dyDescent="0.35">
      <c r="A8" s="48">
        <v>44626</v>
      </c>
    </row>
    <row r="9" spans="1:1" ht="19.2" thickTop="1" thickBot="1" x14ac:dyDescent="0.35">
      <c r="A9" s="48">
        <v>44627</v>
      </c>
    </row>
    <row r="10" spans="1:1" ht="19.2" thickTop="1" thickBot="1" x14ac:dyDescent="0.35">
      <c r="A10" s="48">
        <v>44628</v>
      </c>
    </row>
    <row r="11" spans="1:1" ht="19.2" thickTop="1" thickBot="1" x14ac:dyDescent="0.35">
      <c r="A11" s="48">
        <v>44629</v>
      </c>
    </row>
    <row r="12" spans="1:1" ht="19.2" thickTop="1" thickBot="1" x14ac:dyDescent="0.35">
      <c r="A12" s="48">
        <v>44630</v>
      </c>
    </row>
    <row r="13" spans="1:1" ht="19.2" thickTop="1" thickBot="1" x14ac:dyDescent="0.35">
      <c r="A13" s="48">
        <v>44631</v>
      </c>
    </row>
    <row r="14" spans="1:1" ht="19.2" thickTop="1" thickBot="1" x14ac:dyDescent="0.35">
      <c r="A14" s="48">
        <v>44632</v>
      </c>
    </row>
    <row r="15" spans="1:1" ht="19.2" thickTop="1" thickBot="1" x14ac:dyDescent="0.35">
      <c r="A15" s="48">
        <v>44633</v>
      </c>
    </row>
    <row r="16" spans="1:1" ht="19.2" thickTop="1" thickBot="1" x14ac:dyDescent="0.35">
      <c r="A16" s="48">
        <v>44634</v>
      </c>
    </row>
    <row r="17" spans="1:2" ht="19.2" thickTop="1" thickBot="1" x14ac:dyDescent="0.35">
      <c r="A17" s="48">
        <v>44635</v>
      </c>
    </row>
    <row r="18" spans="1:2" ht="19.2" thickTop="1" thickBot="1" x14ac:dyDescent="0.35">
      <c r="A18" s="48">
        <v>44636</v>
      </c>
    </row>
    <row r="19" spans="1:2" ht="19.2" thickTop="1" thickBot="1" x14ac:dyDescent="0.35">
      <c r="A19" s="48">
        <v>44637</v>
      </c>
    </row>
    <row r="20" spans="1:2" ht="19.2" thickTop="1" thickBot="1" x14ac:dyDescent="0.35">
      <c r="A20" s="48">
        <v>44638</v>
      </c>
    </row>
    <row r="21" spans="1:2" ht="19.2" thickTop="1" thickBot="1" x14ac:dyDescent="0.35">
      <c r="A21" s="48">
        <v>44639</v>
      </c>
    </row>
    <row r="22" spans="1:2" ht="19.2" thickTop="1" thickBot="1" x14ac:dyDescent="0.35">
      <c r="A22" s="48">
        <v>44640</v>
      </c>
    </row>
    <row r="23" spans="1:2" ht="19.2" thickTop="1" thickBot="1" x14ac:dyDescent="0.35">
      <c r="A23" s="48">
        <v>44641</v>
      </c>
      <c r="B23" s="49"/>
    </row>
    <row r="24" spans="1:2" ht="19.2" thickTop="1" thickBot="1" x14ac:dyDescent="0.35">
      <c r="A24" s="48">
        <v>44642</v>
      </c>
      <c r="B24" s="50"/>
    </row>
    <row r="25" spans="1:2" ht="19.2" thickTop="1" thickBot="1" x14ac:dyDescent="0.35">
      <c r="A25" s="48">
        <v>44643</v>
      </c>
    </row>
    <row r="26" spans="1:2" ht="19.2" thickTop="1" thickBot="1" x14ac:dyDescent="0.35">
      <c r="A26" s="48">
        <v>44644</v>
      </c>
    </row>
    <row r="27" spans="1:2" ht="19.2" thickTop="1" thickBot="1" x14ac:dyDescent="0.35">
      <c r="A27" s="48">
        <v>44645</v>
      </c>
    </row>
    <row r="28" spans="1:2" ht="19.2" thickTop="1" thickBot="1" x14ac:dyDescent="0.35">
      <c r="A28" s="48">
        <v>44646</v>
      </c>
    </row>
    <row r="29" spans="1:2" ht="19.2" thickTop="1" thickBot="1" x14ac:dyDescent="0.35">
      <c r="A29" s="48">
        <v>44647</v>
      </c>
    </row>
    <row r="30" spans="1:2" ht="19.2" thickTop="1" thickBot="1" x14ac:dyDescent="0.35">
      <c r="A30" s="48">
        <v>44648</v>
      </c>
    </row>
    <row r="31" spans="1:2" ht="19.2" thickTop="1" thickBot="1" x14ac:dyDescent="0.35">
      <c r="A31" s="48">
        <v>44649</v>
      </c>
    </row>
    <row r="32" spans="1:2" ht="19.2" thickTop="1" thickBot="1" x14ac:dyDescent="0.35">
      <c r="A32" s="48">
        <v>44650</v>
      </c>
    </row>
    <row r="33" spans="1:1" ht="19.2" thickTop="1" thickBot="1" x14ac:dyDescent="0.35">
      <c r="A33" s="48">
        <v>44651</v>
      </c>
    </row>
    <row r="34" spans="1:1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349" workbookViewId="0">
      <selection activeCell="A2" sqref="A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44621</v>
      </c>
      <c r="G1" s="25">
        <f>'RESUMEN TOTAL'!P4</f>
        <v>44622</v>
      </c>
      <c r="H1" s="25">
        <f>'RESUMEN TOTAL'!Q4</f>
        <v>44623</v>
      </c>
      <c r="I1" s="25">
        <f>'RESUMEN TOTAL'!R4</f>
        <v>44624</v>
      </c>
      <c r="J1" s="25">
        <f>'RESUMEN TOTAL'!S4</f>
        <v>44625</v>
      </c>
      <c r="K1" s="25">
        <f>'RESUMEN TOTAL'!T4</f>
        <v>44626</v>
      </c>
      <c r="L1" s="25">
        <f>'RESUMEN TOTAL'!U4</f>
        <v>44627</v>
      </c>
      <c r="M1" s="25">
        <f>'RESUMEN TOTAL'!V4</f>
        <v>44628</v>
      </c>
      <c r="N1" s="25">
        <f>'RESUMEN TOTAL'!W4</f>
        <v>44629</v>
      </c>
      <c r="O1" s="25">
        <f>'RESUMEN TOTAL'!X4</f>
        <v>44630</v>
      </c>
      <c r="P1" s="25">
        <f>'RESUMEN TOTAL'!Y4</f>
        <v>44631</v>
      </c>
      <c r="Q1" s="25">
        <f>'RESUMEN TOTAL'!Z4</f>
        <v>44632</v>
      </c>
      <c r="R1" s="25">
        <f>'RESUMEN TOTAL'!AA4</f>
        <v>44633</v>
      </c>
      <c r="S1" s="25">
        <f>'RESUMEN TOTAL'!AB4</f>
        <v>44634</v>
      </c>
      <c r="T1" s="25">
        <f>'RESUMEN TOTAL'!AC4</f>
        <v>44635</v>
      </c>
      <c r="U1" s="25">
        <f>'RESUMEN TOTAL'!AD4</f>
        <v>44636</v>
      </c>
      <c r="V1" s="25">
        <f>'RESUMEN TOTAL'!AE4</f>
        <v>44637</v>
      </c>
      <c r="W1" s="25">
        <f>'RESUMEN TOTAL'!AF4</f>
        <v>44638</v>
      </c>
      <c r="X1" s="25">
        <f>'RESUMEN TOTAL'!AG4</f>
        <v>44639</v>
      </c>
      <c r="Y1" s="25">
        <f>'RESUMEN TOTAL'!AH4</f>
        <v>44640</v>
      </c>
      <c r="Z1" s="25">
        <f>'RESUMEN TOTAL'!AI4</f>
        <v>44641</v>
      </c>
      <c r="AA1" s="25">
        <f>'RESUMEN TOTAL'!AJ4</f>
        <v>44642</v>
      </c>
      <c r="AB1" s="25">
        <f>'RESUMEN TOTAL'!AK4</f>
        <v>44643</v>
      </c>
      <c r="AC1" s="25">
        <f>'RESUMEN TOTAL'!AL4</f>
        <v>44644</v>
      </c>
      <c r="AD1" s="25">
        <f>'RESUMEN TOTAL'!AM4</f>
        <v>44645</v>
      </c>
      <c r="AE1" s="25">
        <f>'RESUMEN TOTAL'!AN4</f>
        <v>44646</v>
      </c>
      <c r="AF1" s="25">
        <f>'RESUMEN TOTAL'!AO4</f>
        <v>44647</v>
      </c>
      <c r="AG1" s="25">
        <f>'RESUMEN TOTAL'!AP4</f>
        <v>44648</v>
      </c>
      <c r="AH1" s="25">
        <f>'RESUMEN TOTAL'!AQ4</f>
        <v>44649</v>
      </c>
      <c r="AI1" s="25">
        <f>'RESUMEN TOTAL'!AR4</f>
        <v>44650</v>
      </c>
      <c r="AJ1" s="25">
        <f>'RESUMEN TOTAL'!AS4</f>
        <v>44651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 t="str">
        <f>'RESUMEN TOTAL'!Y5</f>
        <v>APAGADO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>
        <f>'RESUMEN TOTAL'!R7</f>
        <v>0</v>
      </c>
      <c r="J4">
        <f>'RESUMEN TOTAL'!S7</f>
        <v>0</v>
      </c>
      <c r="K4">
        <f>'RESUMEN TOTAL'!T7</f>
        <v>0</v>
      </c>
      <c r="L4">
        <f>'RESUMEN TOTAL'!U7</f>
        <v>0</v>
      </c>
      <c r="M4">
        <f>'RESUMEN TOTAL'!V7</f>
        <v>0</v>
      </c>
      <c r="N4">
        <f>'RESUMEN TOTAL'!W7</f>
        <v>0</v>
      </c>
      <c r="O4">
        <f>'RESUMEN TOTAL'!X7</f>
        <v>0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 t="str">
        <f>'RESUMEN TOTAL'!AG14</f>
        <v>APAGADO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 t="str">
        <f>'RESUMEN TOTAL'!AG15</f>
        <v>APAGADO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 t="str">
        <f>'RESUMEN TOTAL'!P19</f>
        <v>APAGADO</v>
      </c>
      <c r="H16" t="str">
        <f>'RESUMEN TOTAL'!Q19</f>
        <v>APAGADO</v>
      </c>
      <c r="I16" t="str">
        <f>'RESUMEN TOTAL'!R19</f>
        <v>APAGADO</v>
      </c>
      <c r="J16" t="str">
        <f>'RESUMEN TOTAL'!S19</f>
        <v>APAGADO</v>
      </c>
      <c r="K16" t="str">
        <f>'RESUMEN TOTAL'!T19</f>
        <v>APAGADO</v>
      </c>
      <c r="L16" t="str">
        <f>'RESUMEN TOTAL'!U19</f>
        <v>APAGADO</v>
      </c>
      <c r="M16" t="str">
        <f>'RESUMEN TOTAL'!V19</f>
        <v>APAGADO</v>
      </c>
      <c r="N16" t="str">
        <f>'RESUMEN TOTAL'!W19</f>
        <v>APAGADO</v>
      </c>
      <c r="O16" t="str">
        <f>'RESUMEN TOTAL'!X19</f>
        <v>APAGADO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</row>
    <row r="17" spans="1:33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</row>
    <row r="18" spans="1:33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</row>
    <row r="19" spans="1:33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 t="str">
        <f>'RESUMEN TOTAL'!AG22</f>
        <v>APAGADO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</row>
    <row r="20" spans="1:33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</row>
    <row r="21" spans="1:33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 t="str">
        <f>'RESUMEN TOTAL'!R24</f>
        <v>APAGADO</v>
      </c>
      <c r="J21" t="str">
        <f>'RESUMEN TOTAL'!S24</f>
        <v>APAGADO</v>
      </c>
      <c r="K21" t="str">
        <f>'RESUMEN TOTAL'!T24</f>
        <v>APAGADO</v>
      </c>
      <c r="L21" t="str">
        <f>'RESUMEN TOTAL'!U24</f>
        <v>APAGADO</v>
      </c>
      <c r="M21">
        <f>'RESUMEN TOTAL'!V24</f>
        <v>0</v>
      </c>
      <c r="N21" t="str">
        <f>'RESUMEN TOTAL'!W24</f>
        <v>APAGADO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</row>
    <row r="22" spans="1:33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</row>
    <row r="23" spans="1:33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</row>
    <row r="24" spans="1:33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</row>
    <row r="25" spans="1:33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</row>
    <row r="26" spans="1:33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</row>
    <row r="27" spans="1:33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 t="str">
        <f>'RESUMEN TOTAL'!W30</f>
        <v>APAGADO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 t="str">
        <f>'RESUMEN TOTAL'!AG30</f>
        <v>APAGADO</v>
      </c>
      <c r="Y27" t="str">
        <f>'RESUMEN TOTAL'!AH30</f>
        <v>APAGADO</v>
      </c>
      <c r="Z27" t="str">
        <f>'RESUMEN TOTAL'!AI30</f>
        <v>APAGADO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</row>
    <row r="28" spans="1:33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</row>
    <row r="29" spans="1:33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</row>
    <row r="30" spans="1:33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</row>
    <row r="31" spans="1:33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</row>
    <row r="32" spans="1:33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</row>
    <row r="33" spans="1:33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</row>
    <row r="34" spans="1:33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 t="str">
        <f>'RESUMEN TOTAL'!O37</f>
        <v>APAGADO</v>
      </c>
      <c r="G34" t="str">
        <f>'RESUMEN TOTAL'!P37</f>
        <v>APAGADO</v>
      </c>
      <c r="H34" t="str">
        <f>'RESUMEN TOTAL'!Q37</f>
        <v>APAGADO</v>
      </c>
      <c r="I34" t="str">
        <f>'RESUMEN TOTAL'!R37</f>
        <v>APAGADO</v>
      </c>
      <c r="J34" t="str">
        <f>'RESUMEN TOTAL'!S37</f>
        <v>APAGADO</v>
      </c>
      <c r="K34" t="str">
        <f>'RESUMEN TOTAL'!T37</f>
        <v>APAGADO</v>
      </c>
      <c r="L34" t="str">
        <f>'RESUMEN TOTAL'!U37</f>
        <v>APAGADO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</row>
    <row r="35" spans="1:33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 t="str">
        <f>'RESUMEN TOTAL'!U38</f>
        <v xml:space="preserve"> 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</row>
    <row r="36" spans="1:33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</row>
    <row r="37" spans="1:33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</row>
    <row r="38" spans="1:33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 t="str">
        <f>'RESUMEN TOTAL'!P41</f>
        <v>APAGADO</v>
      </c>
      <c r="H38" t="str">
        <f>'RESUMEN TOTAL'!Q41</f>
        <v>APAGADO</v>
      </c>
      <c r="I38" t="str">
        <f>'RESUMEN TOTAL'!R41</f>
        <v>APAGADO</v>
      </c>
      <c r="J38" t="str">
        <f>'RESUMEN TOTAL'!S41</f>
        <v>APAGADO</v>
      </c>
      <c r="K38" t="str">
        <f>'RESUMEN TOTAL'!T41</f>
        <v>APAGADO</v>
      </c>
      <c r="L38" t="str">
        <f>'RESUMEN TOTAL'!U41</f>
        <v>APAGADO</v>
      </c>
      <c r="M38">
        <f>'RESUMEN TOTAL'!V41</f>
        <v>0</v>
      </c>
      <c r="N38" t="str">
        <f>'RESUMEN TOTAL'!W41</f>
        <v>APAGADO</v>
      </c>
      <c r="O38" t="str">
        <f>'RESUMEN TOTAL'!X41</f>
        <v>APAGADO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 t="str">
        <f>'RESUMEN TOTAL'!AG41</f>
        <v>APAGADO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</row>
    <row r="39" spans="1:33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</row>
    <row r="40" spans="1:33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 t="str">
        <f>'RESUMEN TOTAL'!W43</f>
        <v>APAGADO</v>
      </c>
      <c r="O40" t="str">
        <f>'RESUMEN TOTAL'!X43</f>
        <v>APAGADO</v>
      </c>
      <c r="P40" t="str">
        <f>'RESUMEN TOTAL'!Y43</f>
        <v>APAGADO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</row>
    <row r="41" spans="1:33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 t="str">
        <f>'RESUMEN TOTAL'!O44</f>
        <v>APAGADO</v>
      </c>
      <c r="G41" t="str">
        <f>'RESUMEN TOTAL'!P44</f>
        <v>APAGADO</v>
      </c>
      <c r="H41" t="str">
        <f>'RESUMEN TOTAL'!Q44</f>
        <v>APAGADO</v>
      </c>
      <c r="I41" t="str">
        <f>'RESUMEN TOTAL'!R44</f>
        <v>APAGADO</v>
      </c>
      <c r="J41" t="str">
        <f>'RESUMEN TOTAL'!S44</f>
        <v>APAGADO</v>
      </c>
      <c r="K41" t="str">
        <f>'RESUMEN TOTAL'!T44</f>
        <v>APAGADO</v>
      </c>
      <c r="L41" t="str">
        <f>'RESUMEN TOTAL'!U44</f>
        <v>APAGADO</v>
      </c>
      <c r="M41" t="str">
        <f>'RESUMEN TOTAL'!V44</f>
        <v>APAGADO</v>
      </c>
      <c r="N41" t="str">
        <f>'RESUMEN TOTAL'!W44</f>
        <v>APAGADO</v>
      </c>
      <c r="O41" t="str">
        <f>'RESUMEN TOTAL'!X44</f>
        <v>APAGADO</v>
      </c>
      <c r="P41" t="str">
        <f>'RESUMEN TOTAL'!Y44</f>
        <v>APAGADO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 t="str">
        <f>'RESUMEN TOTAL'!AG44</f>
        <v>APAGADO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</row>
    <row r="42" spans="1:33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</row>
    <row r="43" spans="1:33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</row>
    <row r="44" spans="1:33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</row>
    <row r="45" spans="1:33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 t="str">
        <f>'RESUMEN TOTAL'!W48</f>
        <v>APAGADO</v>
      </c>
      <c r="O45" t="str">
        <f>'RESUMEN TOTAL'!X48</f>
        <v>APAGADO</v>
      </c>
      <c r="P45" t="str">
        <f>'RESUMEN TOTAL'!Y48</f>
        <v>APAGADO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</row>
    <row r="46" spans="1:33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 t="str">
        <f>'RESUMEN TOTAL'!AG49</f>
        <v>APAGADO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</row>
    <row r="47" spans="1:33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</row>
    <row r="48" spans="1:33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 t="str">
        <f>'RESUMEN TOTAL'!AG51</f>
        <v>APAGADO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</row>
    <row r="49" spans="1:33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 t="str">
        <f>'RESUMEN TOTAL'!O52</f>
        <v>APAGADO</v>
      </c>
      <c r="G49" t="str">
        <f>'RESUMEN TOTAL'!P52</f>
        <v>APAGADO</v>
      </c>
      <c r="H49" t="str">
        <f>'RESUMEN TOTAL'!Q52</f>
        <v>APAGADO</v>
      </c>
      <c r="I49" t="str">
        <f>'RESUMEN TOTAL'!R52</f>
        <v>APAGADO</v>
      </c>
      <c r="J49" t="str">
        <f>'RESUMEN TOTAL'!S52</f>
        <v>APAGADO</v>
      </c>
      <c r="K49" t="str">
        <f>'RESUMEN TOTAL'!T52</f>
        <v>APAGADO</v>
      </c>
      <c r="L49" t="str">
        <f>'RESUMEN TOTAL'!U52</f>
        <v>APAGADO</v>
      </c>
      <c r="M49" t="str">
        <f>'RESUMEN TOTAL'!V52</f>
        <v>APAGADO</v>
      </c>
      <c r="N49" t="str">
        <f>'RESUMEN TOTAL'!W52</f>
        <v>APAGADO</v>
      </c>
      <c r="O49" t="str">
        <f>'RESUMEN TOTAL'!X52</f>
        <v>APAGADO</v>
      </c>
      <c r="P49" t="str">
        <f>'RESUMEN TOTAL'!Y52</f>
        <v>APAGADO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 t="str">
        <f>'RESUMEN TOTAL'!AG52</f>
        <v>APAGADO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</row>
    <row r="50" spans="1:33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</row>
    <row r="51" spans="1:33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</row>
    <row r="52" spans="1:33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</row>
    <row r="53" spans="1:33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 t="str">
        <f>'RESUMEN TOTAL'!W56</f>
        <v>APAGADO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</row>
    <row r="54" spans="1:33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</row>
    <row r="55" spans="1:33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</row>
    <row r="56" spans="1:33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 t="str">
        <f>'RESUMEN TOTAL'!W59</f>
        <v>APAGADO</v>
      </c>
      <c r="O56" t="str">
        <f>'RESUMEN TOTAL'!X59</f>
        <v>APAGADO</v>
      </c>
      <c r="P56" t="str">
        <f>'RESUMEN TOTAL'!Y59</f>
        <v>APAGADO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</row>
    <row r="57" spans="1:33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 t="str">
        <f>'RESUMEN TOTAL'!O60</f>
        <v>APAGADO</v>
      </c>
      <c r="G57" t="str">
        <f>'RESUMEN TOTAL'!P60</f>
        <v>APAGADO</v>
      </c>
      <c r="H57" t="str">
        <f>'RESUMEN TOTAL'!Q60</f>
        <v>APAGADO</v>
      </c>
      <c r="I57" t="str">
        <f>'RESUMEN TOTAL'!R60</f>
        <v>APAGADO</v>
      </c>
      <c r="J57" t="str">
        <f>'RESUMEN TOTAL'!S60</f>
        <v>APAGADO</v>
      </c>
      <c r="K57" t="str">
        <f>'RESUMEN TOTAL'!T60</f>
        <v>APAGADO</v>
      </c>
      <c r="L57" t="str">
        <f>'RESUMEN TOTAL'!U60</f>
        <v>APAGADO</v>
      </c>
      <c r="M57">
        <f>'RESUMEN TOTAL'!V60</f>
        <v>0</v>
      </c>
      <c r="N57" t="str">
        <f>'RESUMEN TOTAL'!W60</f>
        <v>APAGADO</v>
      </c>
      <c r="O57" t="str">
        <f>'RESUMEN TOTAL'!X60</f>
        <v>APAGADO</v>
      </c>
      <c r="P57" t="str">
        <f>'RESUMEN TOTAL'!Y60</f>
        <v>APAGADO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</row>
    <row r="58" spans="1:33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</row>
    <row r="59" spans="1:33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 t="str">
        <f>'RESUMEN TOTAL'!V62</f>
        <v>APAGADO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</row>
    <row r="60" spans="1:33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 t="str">
        <f>'RESUMEN TOTAL'!P63</f>
        <v>APAGADO</v>
      </c>
      <c r="H60" t="str">
        <f>'RESUMEN TOTAL'!Q63</f>
        <v>APAGADO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</row>
    <row r="61" spans="1:33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</row>
    <row r="62" spans="1:33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 t="str">
        <f>'RESUMEN TOTAL'!P65</f>
        <v>APAGADO</v>
      </c>
      <c r="H62" t="str">
        <f>'RESUMEN TOTAL'!Q65</f>
        <v>APAGADO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</row>
    <row r="63" spans="1:33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</row>
    <row r="64" spans="1:33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</row>
    <row r="65" spans="1:33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 t="str">
        <f>'RESUMEN TOTAL'!P68</f>
        <v>APAGADO</v>
      </c>
      <c r="H65" t="str">
        <f>'RESUMEN TOTAL'!Q68</f>
        <v>APAGADO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</row>
    <row r="66" spans="1:33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</row>
    <row r="67" spans="1:33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 t="str">
        <f>'RESUMEN TOTAL'!O70</f>
        <v>APAGADO</v>
      </c>
      <c r="G67" t="str">
        <f>'RESUMEN TOTAL'!P70</f>
        <v>APAGADO</v>
      </c>
      <c r="H67" t="str">
        <f>'RESUMEN TOTAL'!Q70</f>
        <v>APAGADO</v>
      </c>
      <c r="I67" t="str">
        <f>'RESUMEN TOTAL'!R70</f>
        <v>APAGADO</v>
      </c>
      <c r="J67" t="str">
        <f>'RESUMEN TOTAL'!S70</f>
        <v>APAGADO</v>
      </c>
      <c r="K67" t="str">
        <f>'RESUMEN TOTAL'!T70</f>
        <v>APAGADO</v>
      </c>
      <c r="L67" t="str">
        <f>'RESUMEN TOTAL'!U70</f>
        <v>APAGADO</v>
      </c>
      <c r="M67" t="str">
        <f>'RESUMEN TOTAL'!V70</f>
        <v>APAGADO</v>
      </c>
      <c r="N67" t="str">
        <f>'RESUMEN TOTAL'!W70</f>
        <v>APAGADO</v>
      </c>
      <c r="O67" t="str">
        <f>'RESUMEN TOTAL'!X70</f>
        <v>APAGADO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 t="str">
        <f>'RESUMEN TOTAL'!AG70</f>
        <v>APAGADO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</row>
    <row r="68" spans="1:33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</row>
    <row r="69" spans="1:33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</row>
    <row r="70" spans="1:33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</row>
    <row r="71" spans="1:33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</row>
    <row r="72" spans="1:33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</row>
    <row r="73" spans="1:33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</row>
    <row r="74" spans="1:33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</row>
    <row r="75" spans="1:33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</row>
    <row r="76" spans="1:33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</row>
    <row r="77" spans="1:33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 t="str">
        <f>'RESUMEN TOTAL'!AG80</f>
        <v>APAGADO</v>
      </c>
      <c r="Y77" t="str">
        <f>'RESUMEN TOTAL'!AH80</f>
        <v>APAGADO</v>
      </c>
      <c r="Z77" t="str">
        <f>'RESUMEN TOTAL'!AI80</f>
        <v>APAGADO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</row>
    <row r="78" spans="1:33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</row>
    <row r="79" spans="1:33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</row>
    <row r="80" spans="1:33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</row>
    <row r="81" spans="1:33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 t="str">
        <f>'RESUMEN TOTAL'!Y84</f>
        <v>APAGADO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</row>
    <row r="82" spans="1:33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</row>
    <row r="83" spans="1:33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 t="str">
        <f>'RESUMEN TOTAL'!O86</f>
        <v>APAGADO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</row>
    <row r="84" spans="1:33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</row>
    <row r="85" spans="1:33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 t="str">
        <f>'RESUMEN TOTAL'!O88</f>
        <v>APAGADO</v>
      </c>
      <c r="G85" t="str">
        <f>'RESUMEN TOTAL'!P88</f>
        <v>APAGADO</v>
      </c>
      <c r="H85" t="str">
        <f>'RESUMEN TOTAL'!Q88</f>
        <v>APAGADO</v>
      </c>
      <c r="I85" t="str">
        <f>'RESUMEN TOTAL'!R88</f>
        <v>APAGADO</v>
      </c>
      <c r="J85" t="str">
        <f>'RESUMEN TOTAL'!S88</f>
        <v>APAGADO</v>
      </c>
      <c r="K85" t="str">
        <f>'RESUMEN TOTAL'!T88</f>
        <v>APAGADO</v>
      </c>
      <c r="L85" t="str">
        <f>'RESUMEN TOTAL'!U88</f>
        <v>APAGADO</v>
      </c>
      <c r="M85" t="str">
        <f>'RESUMEN TOTAL'!V88</f>
        <v>APAGADO</v>
      </c>
      <c r="N85" t="str">
        <f>'RESUMEN TOTAL'!W88</f>
        <v>APAGADO</v>
      </c>
      <c r="O85" t="str">
        <f>'RESUMEN TOTAL'!X88</f>
        <v>APAGADO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</row>
    <row r="86" spans="1:33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 t="str">
        <f>'RESUMEN TOTAL'!P89</f>
        <v>APAGADO</v>
      </c>
      <c r="H86" t="str">
        <f>'RESUMEN TOTAL'!Q89</f>
        <v>APAGADO</v>
      </c>
      <c r="I86" t="str">
        <f>'RESUMEN TOTAL'!R89</f>
        <v>APAGADO</v>
      </c>
      <c r="J86" t="str">
        <f>'RESUMEN TOTAL'!S89</f>
        <v>APAGADO</v>
      </c>
      <c r="K86" t="str">
        <f>'RESUMEN TOTAL'!T89</f>
        <v>APAGADO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 t="str">
        <f>'RESUMEN TOTAL'!AC89</f>
        <v>APAGADO</v>
      </c>
      <c r="U86" t="str">
        <f>'RESUMEN TOTAL'!AD89</f>
        <v>APAGADO</v>
      </c>
      <c r="V86" t="str">
        <f>'RESUMEN TOTAL'!AE89</f>
        <v>APAGADO</v>
      </c>
      <c r="W86" t="str">
        <f>'RESUMEN TOTAL'!AF89</f>
        <v>APAGADO</v>
      </c>
      <c r="X86" t="str">
        <f>'RESUMEN TOTAL'!AG89</f>
        <v>APAGADO</v>
      </c>
      <c r="Y86" t="str">
        <f>'RESUMEN TOTAL'!AH89</f>
        <v>APAGADO</v>
      </c>
      <c r="Z86" t="str">
        <f>'RESUMEN TOTAL'!AI89</f>
        <v>APAGADO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</row>
    <row r="87" spans="1:33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 t="str">
        <f>'RESUMEN TOTAL'!P90</f>
        <v>APAGADO</v>
      </c>
      <c r="H87" t="str">
        <f>'RESUMEN TOTAL'!Q90</f>
        <v>APAGADO</v>
      </c>
      <c r="I87" t="str">
        <f>'RESUMEN TOTAL'!R90</f>
        <v>APAGADO</v>
      </c>
      <c r="J87" t="str">
        <f>'RESUMEN TOTAL'!S90</f>
        <v>APAGADO</v>
      </c>
      <c r="K87" t="str">
        <f>'RESUMEN TOTAL'!T90</f>
        <v>APAGADO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 t="str">
        <f>'RESUMEN TOTAL'!AC90</f>
        <v>APAGADO</v>
      </c>
      <c r="U87" t="str">
        <f>'RESUMEN TOTAL'!AD90</f>
        <v>APAGADO</v>
      </c>
      <c r="V87" t="str">
        <f>'RESUMEN TOTAL'!AE90</f>
        <v>APAGADO</v>
      </c>
      <c r="W87" t="str">
        <f>'RESUMEN TOTAL'!AF90</f>
        <v>APAGADO</v>
      </c>
      <c r="X87" t="str">
        <f>'RESUMEN TOTAL'!AG90</f>
        <v>APAGADO</v>
      </c>
      <c r="Y87" t="str">
        <f>'RESUMEN TOTAL'!AH90</f>
        <v>APAGADO</v>
      </c>
      <c r="Z87" t="str">
        <f>'RESUMEN TOTAL'!AI90</f>
        <v>APAGADO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</row>
    <row r="88" spans="1:33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 t="str">
        <f>'RESUMEN TOTAL'!P91</f>
        <v>APAGADO</v>
      </c>
      <c r="H88" t="str">
        <f>'RESUMEN TOTAL'!Q91</f>
        <v>APAGADO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 t="str">
        <f>'RESUMEN TOTAL'!V91</f>
        <v>APAGADO</v>
      </c>
      <c r="N88" t="str">
        <f>'RESUMEN TOTAL'!W91</f>
        <v>APAGADO</v>
      </c>
      <c r="O88" t="str">
        <f>'RESUMEN TOTAL'!X91</f>
        <v>APAGADO</v>
      </c>
      <c r="P88" t="str">
        <f>'RESUMEN TOTAL'!Y91</f>
        <v>APAGADO</v>
      </c>
      <c r="Q88" t="str">
        <f>'RESUMEN TOTAL'!Z91</f>
        <v>APAGADO</v>
      </c>
      <c r="R88" t="str">
        <f>'RESUMEN TOTAL'!AA91</f>
        <v>APAGADO</v>
      </c>
      <c r="S88" t="str">
        <f>'RESUMEN TOTAL'!AB91</f>
        <v>APAGADO</v>
      </c>
      <c r="T88" t="str">
        <f>'RESUMEN TOTAL'!AC91</f>
        <v>APAGADO</v>
      </c>
      <c r="U88" t="str">
        <f>'RESUMEN TOTAL'!AD91</f>
        <v>APAGADO</v>
      </c>
      <c r="V88" t="str">
        <f>'RESUMEN TOTAL'!AE91</f>
        <v>APAGADO</v>
      </c>
      <c r="W88" t="str">
        <f>'RESUMEN TOTAL'!AF91</f>
        <v>APAGADO</v>
      </c>
      <c r="X88" t="str">
        <f>'RESUMEN TOTAL'!AG91</f>
        <v>APAGADO</v>
      </c>
      <c r="Y88" t="str">
        <f>'RESUMEN TOTAL'!AH91</f>
        <v>APAGADO</v>
      </c>
      <c r="Z88" t="str">
        <f>'RESUMEN TOTAL'!AI91</f>
        <v>APAGADO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</row>
    <row r="89" spans="1:33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 t="str">
        <f>'RESUMEN TOTAL'!P92</f>
        <v>APAGADO</v>
      </c>
      <c r="H89" t="str">
        <f>'RESUMEN TOTAL'!Q92</f>
        <v>APAGADO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 t="str">
        <f>'RESUMEN TOTAL'!V92</f>
        <v>APAGADO</v>
      </c>
      <c r="N89" t="str">
        <f>'RESUMEN TOTAL'!W92</f>
        <v>APAGADO</v>
      </c>
      <c r="O89" t="str">
        <f>'RESUMEN TOTAL'!X92</f>
        <v>APAGADO</v>
      </c>
      <c r="P89" t="str">
        <f>'RESUMEN TOTAL'!Y92</f>
        <v>APAGADO</v>
      </c>
      <c r="Q89" t="str">
        <f>'RESUMEN TOTAL'!Z92</f>
        <v>APAGADO</v>
      </c>
      <c r="R89" t="str">
        <f>'RESUMEN TOTAL'!AA92</f>
        <v>APAGADO</v>
      </c>
      <c r="S89" t="str">
        <f>'RESUMEN TOTAL'!AB92</f>
        <v>APAGADO</v>
      </c>
      <c r="T89" t="str">
        <f>'RESUMEN TOTAL'!AC92</f>
        <v>APAGADO</v>
      </c>
      <c r="U89" t="str">
        <f>'RESUMEN TOTAL'!AD92</f>
        <v>APAGADO</v>
      </c>
      <c r="V89" t="str">
        <f>'RESUMEN TOTAL'!AE92</f>
        <v>APAGADO</v>
      </c>
      <c r="W89" t="str">
        <f>'RESUMEN TOTAL'!AF92</f>
        <v>APAGADO</v>
      </c>
      <c r="X89" t="str">
        <f>'RESUMEN TOTAL'!AG92</f>
        <v>APAGADO</v>
      </c>
      <c r="Y89" t="str">
        <f>'RESUMEN TOTAL'!AH92</f>
        <v>APAGADO</v>
      </c>
      <c r="Z89" t="str">
        <f>'RESUMEN TOTAL'!AI92</f>
        <v>APAGADO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</row>
    <row r="90" spans="1:33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</row>
    <row r="91" spans="1:33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 t="str">
        <f>'RESUMEN TOTAL'!W94</f>
        <v>APAGADO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</row>
    <row r="92" spans="1:33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</row>
    <row r="93" spans="1:33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</row>
    <row r="94" spans="1:33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 t="str">
        <f>'RESUMEN TOTAL'!U97</f>
        <v>APAGADO</v>
      </c>
      <c r="M94" t="str">
        <f>'RESUMEN TOTAL'!V97</f>
        <v>APAGADO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</row>
    <row r="95" spans="1:33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</row>
    <row r="96" spans="1:33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</row>
    <row r="97" spans="1:33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</row>
    <row r="98" spans="1:33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</row>
    <row r="99" spans="1:33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 t="str">
        <f>'RESUMEN TOTAL'!U102</f>
        <v>APAGADO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 t="str">
        <f>'RESUMEN TOTAL'!Z102</f>
        <v>APAGADO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</row>
    <row r="100" spans="1:33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</row>
    <row r="101" spans="1:33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 t="str">
        <f>'RESUMEN TOTAL'!Y104</f>
        <v>APAGADO</v>
      </c>
      <c r="Q101" t="str">
        <f>'RESUMEN TOTAL'!Z104</f>
        <v>APAGADO</v>
      </c>
      <c r="R101" t="str">
        <f>'RESUMEN TOTAL'!AA104</f>
        <v>APAGADO</v>
      </c>
      <c r="S101" t="str">
        <f>'RESUMEN TOTAL'!AB104</f>
        <v>APAGADO</v>
      </c>
      <c r="T101" t="str">
        <f>'RESUMEN TOTAL'!AC104</f>
        <v>APAGADO</v>
      </c>
      <c r="U101" t="str">
        <f>'RESUMEN TOTAL'!AD104</f>
        <v>APAGADO</v>
      </c>
      <c r="V101" t="str">
        <f>'RESUMEN TOTAL'!AE104</f>
        <v>APAGADO</v>
      </c>
      <c r="W101" t="str">
        <f>'RESUMEN TOTAL'!AF104</f>
        <v>APAGADO</v>
      </c>
      <c r="X101" t="str">
        <f>'RESUMEN TOTAL'!AG104</f>
        <v>APAGADO</v>
      </c>
      <c r="Y101" t="str">
        <f>'RESUMEN TOTAL'!AH104</f>
        <v>APAGADO</v>
      </c>
      <c r="Z101" t="str">
        <f>'RESUMEN TOTAL'!AI104</f>
        <v>APAGADO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</row>
    <row r="102" spans="1:33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 t="str">
        <f>'RESUMEN TOTAL'!Y105</f>
        <v>APAGADO</v>
      </c>
      <c r="Q102" t="str">
        <f>'RESUMEN TOTAL'!Z105</f>
        <v>APAGADO</v>
      </c>
      <c r="R102" t="str">
        <f>'RESUMEN TOTAL'!AA105</f>
        <v>APAGADO</v>
      </c>
      <c r="S102" t="str">
        <f>'RESUMEN TOTAL'!AB105</f>
        <v>APAGADO</v>
      </c>
      <c r="T102" t="str">
        <f>'RESUMEN TOTAL'!AC105</f>
        <v>APAGADO</v>
      </c>
      <c r="U102" t="str">
        <f>'RESUMEN TOTAL'!AD105</f>
        <v>APAGADO</v>
      </c>
      <c r="V102" t="str">
        <f>'RESUMEN TOTAL'!AE105</f>
        <v>APAGADO</v>
      </c>
      <c r="W102" t="str">
        <f>'RESUMEN TOTAL'!AF105</f>
        <v>APAGADO</v>
      </c>
      <c r="X102" t="str">
        <f>'RESUMEN TOTAL'!AG105</f>
        <v>APAGADO</v>
      </c>
      <c r="Y102" t="str">
        <f>'RESUMEN TOTAL'!AH105</f>
        <v>APAGADO</v>
      </c>
      <c r="Z102" t="str">
        <f>'RESUMEN TOTAL'!AI105</f>
        <v>APAGADO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</row>
    <row r="103" spans="1:33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 t="str">
        <f>'RESUMEN TOTAL'!P106</f>
        <v>APAGADO</v>
      </c>
      <c r="H103" t="str">
        <f>'RESUMEN TOTAL'!Q106</f>
        <v>APAGADO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 t="str">
        <f>'RESUMEN TOTAL'!X106</f>
        <v>APAGADO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 t="str">
        <f>'RESUMEN TOTAL'!AB106</f>
        <v>APAGADO</v>
      </c>
      <c r="T103">
        <f>'RESUMEN TOTAL'!AC106</f>
        <v>0</v>
      </c>
      <c r="U103" t="str">
        <f>'RESUMEN TOTAL'!AD106</f>
        <v>APAGADO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</row>
    <row r="104" spans="1:33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 t="str">
        <f>'RESUMEN TOTAL'!P107</f>
        <v>APAGADO</v>
      </c>
      <c r="H104" t="str">
        <f>'RESUMEN TOTAL'!Q107</f>
        <v>APAGADO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 t="str">
        <f>'RESUMEN TOTAL'!X107</f>
        <v>APAGADO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 t="str">
        <f>'RESUMEN TOTAL'!AB107</f>
        <v>APAGADO</v>
      </c>
      <c r="T104">
        <f>'RESUMEN TOTAL'!AC107</f>
        <v>0</v>
      </c>
      <c r="U104" t="str">
        <f>'RESUMEN TOTAL'!AD107</f>
        <v>APAGADO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</row>
    <row r="105" spans="1:33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 t="str">
        <f>'RESUMEN TOTAL'!P108</f>
        <v>APAGADO</v>
      </c>
      <c r="H105" t="str">
        <f>'RESUMEN TOTAL'!Q108</f>
        <v>APAGADO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 t="str">
        <f>'RESUMEN TOTAL'!X108</f>
        <v>APAGADO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 t="str">
        <f>'RESUMEN TOTAL'!AB108</f>
        <v>APAGADO</v>
      </c>
      <c r="T105">
        <f>'RESUMEN TOTAL'!AC108</f>
        <v>0</v>
      </c>
      <c r="U105" t="str">
        <f>'RESUMEN TOTAL'!AD108</f>
        <v>APAGADO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</row>
    <row r="106" spans="1:33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 t="str">
        <f>'RESUMEN TOTAL'!P109</f>
        <v>APAGADO</v>
      </c>
      <c r="H106" t="str">
        <f>'RESUMEN TOTAL'!Q109</f>
        <v>APAGADO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 t="str">
        <f>'RESUMEN TOTAL'!X109</f>
        <v>APAGADO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 t="str">
        <f>'RESUMEN TOTAL'!AB109</f>
        <v>APAGADO</v>
      </c>
      <c r="T106">
        <f>'RESUMEN TOTAL'!AC109</f>
        <v>0</v>
      </c>
      <c r="U106" t="str">
        <f>'RESUMEN TOTAL'!AD109</f>
        <v>APAGADO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</row>
    <row r="107" spans="1:33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</row>
    <row r="108" spans="1:33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</row>
    <row r="109" spans="1:33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 t="str">
        <f>'RESUMEN TOTAL'!S112</f>
        <v>APAGADO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 t="str">
        <f>'RESUMEN TOTAL'!W112</f>
        <v>APAGADO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 t="str">
        <f>'RESUMEN TOTAL'!AG112</f>
        <v>APAGADO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</row>
    <row r="110" spans="1:33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</row>
    <row r="111" spans="1:33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</row>
    <row r="112" spans="1:33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 t="str">
        <f>'RESUMEN TOTAL'!AD115</f>
        <v>APAGADO</v>
      </c>
      <c r="V112" t="str">
        <f>'RESUMEN TOTAL'!AE115</f>
        <v>APAGADO</v>
      </c>
      <c r="W112" t="str">
        <f>'RESUMEN TOTAL'!AF115</f>
        <v>APAGADO</v>
      </c>
      <c r="X112" t="str">
        <f>'RESUMEN TOTAL'!AG115</f>
        <v>APAGADO</v>
      </c>
      <c r="Y112" t="str">
        <f>'RESUMEN TOTAL'!AH115</f>
        <v>APAGADO</v>
      </c>
      <c r="Z112" t="str">
        <f>'RESUMEN TOTAL'!AI115</f>
        <v>APAGADO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</row>
    <row r="113" spans="1:33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 t="str">
        <f>'RESUMEN TOTAL'!AD116</f>
        <v>APAGADO</v>
      </c>
      <c r="V113" t="str">
        <f>'RESUMEN TOTAL'!AE116</f>
        <v>APAGADO</v>
      </c>
      <c r="W113" t="str">
        <f>'RESUMEN TOTAL'!AF116</f>
        <v>APAGADO</v>
      </c>
      <c r="X113" t="str">
        <f>'RESUMEN TOTAL'!AG116</f>
        <v>APAGADO</v>
      </c>
      <c r="Y113" t="str">
        <f>'RESUMEN TOTAL'!AH116</f>
        <v>APAGADO</v>
      </c>
      <c r="Z113" t="str">
        <f>'RESUMEN TOTAL'!AI116</f>
        <v>APAGADO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</row>
    <row r="114" spans="1:33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 t="str">
        <f>'RESUMEN TOTAL'!AI117</f>
        <v xml:space="preserve"> 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</row>
    <row r="115" spans="1:33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</row>
    <row r="116" spans="1:33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</row>
    <row r="117" spans="1:33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</row>
    <row r="118" spans="1:33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</row>
    <row r="119" spans="1:33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 t="str">
        <f>'RESUMEN TOTAL'!P122</f>
        <v>APAGADO</v>
      </c>
      <c r="H119" t="str">
        <f>'RESUMEN TOTAL'!Q122</f>
        <v>APAGADO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 t="str">
        <f>'RESUMEN TOTAL'!X122</f>
        <v>APAGADO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 t="str">
        <f>'RESUMEN TOTAL'!AB122</f>
        <v>APAGADO</v>
      </c>
      <c r="T119">
        <f>'RESUMEN TOTAL'!AC122</f>
        <v>0</v>
      </c>
      <c r="U119" t="str">
        <f>'RESUMEN TOTAL'!AD122</f>
        <v>APAGADO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</row>
    <row r="120" spans="1:33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 t="str">
        <f>'RESUMEN TOTAL'!P123</f>
        <v>APAGADO</v>
      </c>
      <c r="H120" t="str">
        <f>'RESUMEN TOTAL'!Q123</f>
        <v>APAGADO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 t="str">
        <f>'RESUMEN TOTAL'!X123</f>
        <v>APAGADO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 t="str">
        <f>'RESUMEN TOTAL'!AB123</f>
        <v>APAGADO</v>
      </c>
      <c r="T120">
        <f>'RESUMEN TOTAL'!AC123</f>
        <v>0</v>
      </c>
      <c r="U120" t="str">
        <f>'RESUMEN TOTAL'!AD123</f>
        <v>APAGADO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</row>
    <row r="121" spans="1:33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</row>
    <row r="122" spans="1:33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</row>
    <row r="123" spans="1:33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</row>
    <row r="124" spans="1:33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</row>
    <row r="125" spans="1:33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</row>
    <row r="126" spans="1:33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 t="str">
        <f>'RESUMEN TOTAL'!S129</f>
        <v>APAGADO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 t="str">
        <f>'RESUMEN TOTAL'!Y129</f>
        <v>APAGADO</v>
      </c>
      <c r="Q126" t="str">
        <f>'RESUMEN TOTAL'!Z129</f>
        <v>APAGADO</v>
      </c>
      <c r="R126" t="str">
        <f>'RESUMEN TOTAL'!AA129</f>
        <v>APAGADO</v>
      </c>
      <c r="S126" t="str">
        <f>'RESUMEN TOTAL'!AB129</f>
        <v>APAGADO</v>
      </c>
      <c r="T126" t="str">
        <f>'RESUMEN TOTAL'!AC129</f>
        <v>APAGADO</v>
      </c>
      <c r="U126" t="str">
        <f>'RESUMEN TOTAL'!AD129</f>
        <v>APAGADO</v>
      </c>
      <c r="V126" t="str">
        <f>'RESUMEN TOTAL'!AE129</f>
        <v>APAGADO</v>
      </c>
      <c r="W126" t="str">
        <f>'RESUMEN TOTAL'!AF129</f>
        <v>APAGADO</v>
      </c>
      <c r="X126" t="str">
        <f>'RESUMEN TOTAL'!AG129</f>
        <v>APAGADO</v>
      </c>
      <c r="Y126" t="str">
        <f>'RESUMEN TOTAL'!AH129</f>
        <v>APAGADO</v>
      </c>
      <c r="Z126" t="str">
        <f>'RESUMEN TOTAL'!AI129</f>
        <v>APAGADO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</row>
    <row r="127" spans="1:33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 t="str">
        <f>'RESUMEN TOTAL'!Y130</f>
        <v>APAGADO</v>
      </c>
      <c r="Q127" t="str">
        <f>'RESUMEN TOTAL'!Z130</f>
        <v>APAGADO</v>
      </c>
      <c r="R127" t="str">
        <f>'RESUMEN TOTAL'!AA130</f>
        <v>APAGADO</v>
      </c>
      <c r="S127" t="str">
        <f>'RESUMEN TOTAL'!AB130</f>
        <v>APAGADO</v>
      </c>
      <c r="T127" t="str">
        <f>'RESUMEN TOTAL'!AC130</f>
        <v>APAGADO</v>
      </c>
      <c r="U127" t="str">
        <f>'RESUMEN TOTAL'!AD130</f>
        <v>APAGADO</v>
      </c>
      <c r="V127" t="str">
        <f>'RESUMEN TOTAL'!AE130</f>
        <v>APAGADO</v>
      </c>
      <c r="W127" t="str">
        <f>'RESUMEN TOTAL'!AF130</f>
        <v>APAGADO</v>
      </c>
      <c r="X127" t="str">
        <f>'RESUMEN TOTAL'!AG130</f>
        <v>APAGADO</v>
      </c>
      <c r="Y127" t="str">
        <f>'RESUMEN TOTAL'!AH130</f>
        <v>APAGADO</v>
      </c>
      <c r="Z127" t="str">
        <f>'RESUMEN TOTAL'!AI130</f>
        <v>APAGADO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</row>
    <row r="128" spans="1:33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</row>
    <row r="129" spans="1:33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</row>
    <row r="130" spans="1:33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 t="str">
        <f>'RESUMEN TOTAL'!AH133</f>
        <v>APAGADO</v>
      </c>
      <c r="Z130" t="str">
        <f>'RESUMEN TOTAL'!AI133</f>
        <v>APAGADO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</row>
    <row r="131" spans="1:33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 t="str">
        <f>'RESUMEN TOTAL'!S134</f>
        <v>APAGADO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</row>
    <row r="132" spans="1:33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</row>
    <row r="133" spans="1:33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</row>
    <row r="134" spans="1:33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 t="str">
        <f>'RESUMEN TOTAL'!O137</f>
        <v>APAGADO</v>
      </c>
      <c r="G134" t="str">
        <f>'RESUMEN TOTAL'!P137</f>
        <v>APAGADO</v>
      </c>
      <c r="H134" t="str">
        <f>'RESUMEN TOTAL'!Q137</f>
        <v>APAGADO</v>
      </c>
      <c r="I134" t="str">
        <f>'RESUMEN TOTAL'!R137</f>
        <v>APAGADO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</row>
    <row r="135" spans="1:33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 t="str">
        <f>'RESUMEN TOTAL'!Y138</f>
        <v>APAGADO</v>
      </c>
      <c r="Q135" t="str">
        <f>'RESUMEN TOTAL'!Z138</f>
        <v>APAGADO</v>
      </c>
      <c r="R135" t="str">
        <f>'RESUMEN TOTAL'!AA138</f>
        <v>APAGADO</v>
      </c>
      <c r="S135" t="str">
        <f>'RESUMEN TOTAL'!AB138</f>
        <v>APAGADO</v>
      </c>
      <c r="T135" t="str">
        <f>'RESUMEN TOTAL'!AC138</f>
        <v>APAGADO</v>
      </c>
      <c r="U135" t="str">
        <f>'RESUMEN TOTAL'!AD138</f>
        <v>APAGADO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 t="str">
        <f>'RESUMEN TOTAL'!AH138</f>
        <v>APAGADO</v>
      </c>
      <c r="Z135" t="str">
        <f>'RESUMEN TOTAL'!AI138</f>
        <v>APAGADO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</row>
    <row r="136" spans="1:33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 t="str">
        <f>'RESUMEN TOTAL'!Y139</f>
        <v>APAGADO</v>
      </c>
      <c r="Q136" t="str">
        <f>'RESUMEN TOTAL'!Z139</f>
        <v>APAGADO</v>
      </c>
      <c r="R136" t="str">
        <f>'RESUMEN TOTAL'!AA139</f>
        <v>APAGADO</v>
      </c>
      <c r="S136" t="str">
        <f>'RESUMEN TOTAL'!AB139</f>
        <v>APAGADO</v>
      </c>
      <c r="T136" t="str">
        <f>'RESUMEN TOTAL'!AC139</f>
        <v>APAGADO</v>
      </c>
      <c r="U136" t="str">
        <f>'RESUMEN TOTAL'!AD139</f>
        <v>APAGADO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 t="str">
        <f>'RESUMEN TOTAL'!AH139</f>
        <v>APAGADO</v>
      </c>
      <c r="Z136" t="str">
        <f>'RESUMEN TOTAL'!AI139</f>
        <v>APAGADO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</row>
    <row r="137" spans="1:33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 t="str">
        <f>'RESUMEN TOTAL'!Y140</f>
        <v>APAGADO</v>
      </c>
      <c r="Q137" t="str">
        <f>'RESUMEN TOTAL'!Z140</f>
        <v>APAGADO</v>
      </c>
      <c r="R137" t="str">
        <f>'RESUMEN TOTAL'!AA140</f>
        <v>APAGADO</v>
      </c>
      <c r="S137" t="str">
        <f>'RESUMEN TOTAL'!AB140</f>
        <v>APAGADO</v>
      </c>
      <c r="T137" t="str">
        <f>'RESUMEN TOTAL'!AC140</f>
        <v>APAGADO</v>
      </c>
      <c r="U137" t="str">
        <f>'RESUMEN TOTAL'!AD140</f>
        <v>APAGADO</v>
      </c>
      <c r="V137" t="str">
        <f>'RESUMEN TOTAL'!AE140</f>
        <v>APAGADO</v>
      </c>
      <c r="W137" t="str">
        <f>'RESUMEN TOTAL'!AF140</f>
        <v>APAGADO</v>
      </c>
      <c r="X137" t="str">
        <f>'RESUMEN TOTAL'!AG140</f>
        <v>APAGADO</v>
      </c>
      <c r="Y137" t="str">
        <f>'RESUMEN TOTAL'!AH140</f>
        <v>APAGADO</v>
      </c>
      <c r="Z137" t="str">
        <f>'RESUMEN TOTAL'!AI140</f>
        <v>APAGADO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</row>
    <row r="138" spans="1:33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 t="str">
        <f>'RESUMEN TOTAL'!S141</f>
        <v>APAGADO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 t="str">
        <f>'RESUMEN TOTAL'!Y141</f>
        <v>APAGADO</v>
      </c>
      <c r="Q138" t="str">
        <f>'RESUMEN TOTAL'!Z141</f>
        <v>APAGADO</v>
      </c>
      <c r="R138" t="str">
        <f>'RESUMEN TOTAL'!AA141</f>
        <v>APAGADO</v>
      </c>
      <c r="S138" t="str">
        <f>'RESUMEN TOTAL'!AB141</f>
        <v>APAGADO</v>
      </c>
      <c r="T138" t="str">
        <f>'RESUMEN TOTAL'!AC141</f>
        <v>APAGADO</v>
      </c>
      <c r="U138" t="str">
        <f>'RESUMEN TOTAL'!AD141</f>
        <v>APAGADO</v>
      </c>
      <c r="V138" t="str">
        <f>'RESUMEN TOTAL'!AE141</f>
        <v>APAGADO</v>
      </c>
      <c r="W138" t="str">
        <f>'RESUMEN TOTAL'!AF141</f>
        <v>APAGADO</v>
      </c>
      <c r="X138" t="str">
        <f>'RESUMEN TOTAL'!AG141</f>
        <v>APAGADO</v>
      </c>
      <c r="Y138" t="str">
        <f>'RESUMEN TOTAL'!AH141</f>
        <v>APAGADO</v>
      </c>
      <c r="Z138" t="str">
        <f>'RESUMEN TOTAL'!AI141</f>
        <v>APAGADO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</row>
    <row r="139" spans="1:33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 t="str">
        <f>'RESUMEN TOTAL'!W142</f>
        <v>APAGADO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 t="str">
        <f>'RESUMEN TOTAL'!AG142</f>
        <v>APAGADO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</row>
    <row r="140" spans="1:33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 t="str">
        <f>'RESUMEN TOTAL'!W143</f>
        <v>APAGADO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</row>
    <row r="141" spans="1:33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 t="str">
        <f>'RESUMEN TOTAL'!V144</f>
        <v>APAGADO</v>
      </c>
      <c r="N141" t="str">
        <f>'RESUMEN TOTAL'!W144</f>
        <v>APAGADO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</row>
    <row r="142" spans="1:33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</row>
    <row r="143" spans="1:33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 t="str">
        <f>'RESUMEN TOTAL'!R146</f>
        <v>APAGADO</v>
      </c>
      <c r="J143" t="str">
        <f>'RESUMEN TOTAL'!S146</f>
        <v>APAGADO</v>
      </c>
      <c r="K143" t="str">
        <f>'RESUMEN TOTAL'!T146</f>
        <v>APAGADO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</row>
    <row r="144" spans="1:33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</row>
    <row r="145" spans="1:33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</row>
    <row r="146" spans="1:33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 t="str">
        <f>'RESUMEN TOTAL'!O149</f>
        <v>APAGADO</v>
      </c>
      <c r="G146" t="str">
        <f>'RESUMEN TOTAL'!P149</f>
        <v>APAGADO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</row>
    <row r="147" spans="1:33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 t="str">
        <f>'RESUMEN TOTAL'!O150</f>
        <v>APAGADO</v>
      </c>
      <c r="G147" t="str">
        <f>'RESUMEN TOTAL'!P150</f>
        <v>APAGADO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</row>
    <row r="148" spans="1:33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 t="str">
        <f>'RESUMEN TOTAL'!O151</f>
        <v>APAGADO</v>
      </c>
      <c r="G148" t="str">
        <f>'RESUMEN TOTAL'!P151</f>
        <v>APAGADO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</row>
    <row r="149" spans="1:33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</row>
    <row r="150" spans="1:33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 t="str">
        <f>'RESUMEN TOTAL'!V153</f>
        <v>APAGADO</v>
      </c>
      <c r="N150" t="str">
        <f>'RESUMEN TOTAL'!W153</f>
        <v>APAGADO</v>
      </c>
      <c r="O150" t="str">
        <f>'RESUMEN TOTAL'!X153</f>
        <v>APAGADO</v>
      </c>
      <c r="P150" t="str">
        <f>'RESUMEN TOTAL'!Y153</f>
        <v>APAGADO</v>
      </c>
      <c r="Q150" t="str">
        <f>'RESUMEN TOTAL'!Z153</f>
        <v>APAGADO</v>
      </c>
      <c r="R150" t="str">
        <f>'RESUMEN TOTAL'!AA153</f>
        <v>APAGADO</v>
      </c>
      <c r="S150" t="str">
        <f>'RESUMEN TOTAL'!AB153</f>
        <v>APAGADO</v>
      </c>
      <c r="T150" t="str">
        <f>'RESUMEN TOTAL'!AC153</f>
        <v>APAGADO</v>
      </c>
      <c r="U150" t="str">
        <f>'RESUMEN TOTAL'!AD153</f>
        <v>APAGADO</v>
      </c>
      <c r="V150" t="str">
        <f>'RESUMEN TOTAL'!AE153</f>
        <v>APAGADO</v>
      </c>
      <c r="W150" t="str">
        <f>'RESUMEN TOTAL'!AF153</f>
        <v>APAGADO</v>
      </c>
      <c r="X150" t="str">
        <f>'RESUMEN TOTAL'!AG153</f>
        <v>APAGADO</v>
      </c>
      <c r="Y150" t="str">
        <f>'RESUMEN TOTAL'!AH153</f>
        <v>APAGADO</v>
      </c>
      <c r="Z150" t="str">
        <f>'RESUMEN TOTAL'!AI153</f>
        <v>APAGADO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</row>
    <row r="151" spans="1:33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 t="str">
        <f>'RESUMEN TOTAL'!AG154</f>
        <v>APAGADO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</row>
    <row r="152" spans="1:33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 t="str">
        <f>'RESUMEN TOTAL'!AE155</f>
        <v>APAGADO</v>
      </c>
      <c r="W152">
        <f>'RESUMEN TOTAL'!AF155</f>
        <v>0</v>
      </c>
      <c r="X152" t="str">
        <f>'RESUMEN TOTAL'!AG155</f>
        <v>APAGADO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</row>
    <row r="153" spans="1:33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 t="str">
        <f>'RESUMEN TOTAL'!W156</f>
        <v>APAGADO</v>
      </c>
      <c r="O153" t="str">
        <f>'RESUMEN TOTAL'!X156</f>
        <v>APAGADO</v>
      </c>
      <c r="P153" t="str">
        <f>'RESUMEN TOTAL'!Y156</f>
        <v>APAGADO</v>
      </c>
      <c r="Q153" t="str">
        <f>'RESUMEN TOTAL'!Z156</f>
        <v>APAGADO</v>
      </c>
      <c r="R153" t="str">
        <f>'RESUMEN TOTAL'!AA156</f>
        <v>APAGADO</v>
      </c>
      <c r="S153" t="str">
        <f>'RESUMEN TOTAL'!AB156</f>
        <v>APAGADO</v>
      </c>
      <c r="T153" t="str">
        <f>'RESUMEN TOTAL'!AC156</f>
        <v>APAGADO</v>
      </c>
      <c r="U153" t="str">
        <f>'RESUMEN TOTAL'!AD156</f>
        <v>APAGADO</v>
      </c>
      <c r="V153" t="str">
        <f>'RESUMEN TOTAL'!AE156</f>
        <v>APAGADO</v>
      </c>
      <c r="W153" t="str">
        <f>'RESUMEN TOTAL'!AF156</f>
        <v>APAGADO</v>
      </c>
      <c r="X153" t="str">
        <f>'RESUMEN TOTAL'!AG156</f>
        <v>APAGADO</v>
      </c>
      <c r="Y153" t="str">
        <f>'RESUMEN TOTAL'!AH156</f>
        <v>APAGADO</v>
      </c>
      <c r="Z153" t="str">
        <f>'RESUMEN TOTAL'!AI156</f>
        <v>APAGADO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</row>
    <row r="154" spans="1:33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</row>
    <row r="155" spans="1:33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</row>
    <row r="156" spans="1:33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 t="str">
        <f>'RESUMEN TOTAL'!O159</f>
        <v>APAGADO</v>
      </c>
      <c r="G156" t="str">
        <f>'RESUMEN TOTAL'!P159</f>
        <v>APAGADO</v>
      </c>
      <c r="H156" t="str">
        <f>'RESUMEN TOTAL'!Q159</f>
        <v>APAGADO</v>
      </c>
      <c r="I156" t="str">
        <f>'RESUMEN TOTAL'!R159</f>
        <v>APAGADO</v>
      </c>
      <c r="J156" t="str">
        <f>'RESUMEN TOTAL'!S159</f>
        <v>APAGADO</v>
      </c>
      <c r="K156" t="str">
        <f>'RESUMEN TOTAL'!T159</f>
        <v>APAGADO</v>
      </c>
      <c r="L156" t="str">
        <f>'RESUMEN TOTAL'!U159</f>
        <v>APAGADO</v>
      </c>
      <c r="M156">
        <f>'RESUMEN TOTAL'!V159</f>
        <v>0</v>
      </c>
      <c r="N156" t="str">
        <f>'RESUMEN TOTAL'!W159</f>
        <v>APAGADO</v>
      </c>
      <c r="O156" t="str">
        <f>'RESUMEN TOTAL'!X159</f>
        <v>APAGADO</v>
      </c>
      <c r="P156" t="str">
        <f>'RESUMEN TOTAL'!Y159</f>
        <v>APAGADO</v>
      </c>
      <c r="Q156" t="str">
        <f>'RESUMEN TOTAL'!Z159</f>
        <v>APAGADO</v>
      </c>
      <c r="R156" t="str">
        <f>'RESUMEN TOTAL'!AA159</f>
        <v>APAGADO</v>
      </c>
      <c r="S156" t="str">
        <f>'RESUMEN TOTAL'!AB159</f>
        <v>APAGADO</v>
      </c>
      <c r="T156">
        <f>'RESUMEN TOTAL'!AC159</f>
        <v>0</v>
      </c>
      <c r="U156" t="str">
        <f>'RESUMEN TOTAL'!AD159</f>
        <v>APAGADO</v>
      </c>
      <c r="V156" t="str">
        <f>'RESUMEN TOTAL'!AE159</f>
        <v>APAGADO</v>
      </c>
      <c r="W156" t="str">
        <f>'RESUMEN TOTAL'!AF159</f>
        <v>APAGADO</v>
      </c>
      <c r="X156" t="str">
        <f>'RESUMEN TOTAL'!AG159</f>
        <v>APAGADO</v>
      </c>
      <c r="Y156" t="str">
        <f>'RESUMEN TOTAL'!AH159</f>
        <v>APAGADO</v>
      </c>
      <c r="Z156" t="str">
        <f>'RESUMEN TOTAL'!AI159</f>
        <v>APAGADO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</row>
    <row r="157" spans="1:33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 t="str">
        <f>'RESUMEN TOTAL'!P160</f>
        <v>APAGADO</v>
      </c>
      <c r="H157" t="str">
        <f>'RESUMEN TOTAL'!Q160</f>
        <v>APAGADO</v>
      </c>
      <c r="I157" t="str">
        <f>'RESUMEN TOTAL'!R160</f>
        <v>APAGADO</v>
      </c>
      <c r="J157" t="str">
        <f>'RESUMEN TOTAL'!S160</f>
        <v>APAGADO</v>
      </c>
      <c r="K157" t="str">
        <f>'RESUMEN TOTAL'!T160</f>
        <v>APAGADO</v>
      </c>
      <c r="L157" t="str">
        <f>'RESUMEN TOTAL'!U160</f>
        <v>APAGADO</v>
      </c>
      <c r="M157" t="str">
        <f>'RESUMEN TOTAL'!V160</f>
        <v>APAGADO</v>
      </c>
      <c r="N157" t="str">
        <f>'RESUMEN TOTAL'!W160</f>
        <v>APAGADO</v>
      </c>
      <c r="O157" t="str">
        <f>'RESUMEN TOTAL'!X160</f>
        <v>APAGADO</v>
      </c>
      <c r="P157" t="str">
        <f>'RESUMEN TOTAL'!Y160</f>
        <v>APAGADO</v>
      </c>
      <c r="Q157" t="str">
        <f>'RESUMEN TOTAL'!Z160</f>
        <v>APAGADO</v>
      </c>
      <c r="R157">
        <f>'RESUMEN TOTAL'!AA160</f>
        <v>0</v>
      </c>
      <c r="S157" t="str">
        <f>'RESUMEN TOTAL'!AB160</f>
        <v>APAGADO</v>
      </c>
      <c r="T157" t="str">
        <f>'RESUMEN TOTAL'!AC160</f>
        <v>APAGADO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</row>
    <row r="158" spans="1:33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 t="str">
        <f>'RESUMEN TOTAL'!Z161</f>
        <v>APAGADO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</row>
    <row r="159" spans="1:33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</row>
    <row r="160" spans="1:33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 t="str">
        <f>'RESUMEN TOTAL'!P163</f>
        <v>APAGADO</v>
      </c>
      <c r="H160" t="str">
        <f>'RESUMEN TOTAL'!Q163</f>
        <v>APAGADO</v>
      </c>
      <c r="I160" t="str">
        <f>'RESUMEN TOTAL'!R163</f>
        <v>APAGADO</v>
      </c>
      <c r="J160" t="str">
        <f>'RESUMEN TOTAL'!S163</f>
        <v>APAGADO</v>
      </c>
      <c r="K160" t="str">
        <f>'RESUMEN TOTAL'!T163</f>
        <v>APAGADO</v>
      </c>
      <c r="L160" t="str">
        <f>'RESUMEN TOTAL'!U163</f>
        <v>APAGADO</v>
      </c>
      <c r="M160" t="str">
        <f>'RESUMEN TOTAL'!V163</f>
        <v>APAGADO</v>
      </c>
      <c r="N160" t="str">
        <f>'RESUMEN TOTAL'!W163</f>
        <v>APAGADO</v>
      </c>
      <c r="O160" t="str">
        <f>'RESUMEN TOTAL'!X163</f>
        <v>APAGADO</v>
      </c>
      <c r="P160" t="str">
        <f>'RESUMEN TOTAL'!Y163</f>
        <v>APAGADO</v>
      </c>
      <c r="Q160" t="str">
        <f>'RESUMEN TOTAL'!Z163</f>
        <v>APAGADO</v>
      </c>
      <c r="R160" t="str">
        <f>'RESUMEN TOTAL'!AA163</f>
        <v>APAGADO</v>
      </c>
      <c r="S160" t="str">
        <f>'RESUMEN TOTAL'!AB163</f>
        <v>APAGADO</v>
      </c>
      <c r="T160" t="str">
        <f>'RESUMEN TOTAL'!AC163</f>
        <v>APAGADO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</row>
    <row r="161" spans="1:33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 t="str">
        <f>'RESUMEN TOTAL'!P164</f>
        <v>APAGADO</v>
      </c>
      <c r="H161" t="str">
        <f>'RESUMEN TOTAL'!Q164</f>
        <v>APAGADO</v>
      </c>
      <c r="I161" t="str">
        <f>'RESUMEN TOTAL'!R164</f>
        <v>APAGADO</v>
      </c>
      <c r="J161" t="str">
        <f>'RESUMEN TOTAL'!S164</f>
        <v>APAGADO</v>
      </c>
      <c r="K161" t="str">
        <f>'RESUMEN TOTAL'!T164</f>
        <v>APAGADO</v>
      </c>
      <c r="L161" t="str">
        <f>'RESUMEN TOTAL'!U164</f>
        <v>APAGADO</v>
      </c>
      <c r="M161" t="str">
        <f>'RESUMEN TOTAL'!V164</f>
        <v>APAGADO</v>
      </c>
      <c r="N161" t="str">
        <f>'RESUMEN TOTAL'!W164</f>
        <v>APAGADO</v>
      </c>
      <c r="O161" t="str">
        <f>'RESUMEN TOTAL'!X164</f>
        <v>APAGADO</v>
      </c>
      <c r="P161" t="str">
        <f>'RESUMEN TOTAL'!Y164</f>
        <v>APAGADO</v>
      </c>
      <c r="Q161" t="str">
        <f>'RESUMEN TOTAL'!Z164</f>
        <v>APAGADO</v>
      </c>
      <c r="R161" t="str">
        <f>'RESUMEN TOTAL'!AA164</f>
        <v>APAGADO</v>
      </c>
      <c r="S161" t="str">
        <f>'RESUMEN TOTAL'!AB164</f>
        <v>APAGADO</v>
      </c>
      <c r="T161" t="str">
        <f>'RESUMEN TOTAL'!AC164</f>
        <v>APAGADO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</row>
    <row r="162" spans="1:33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</row>
    <row r="163" spans="1:33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</row>
    <row r="164" spans="1:33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</row>
    <row r="165" spans="1:33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</row>
    <row r="166" spans="1:33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 t="str">
        <f>'RESUMEN TOTAL'!P169</f>
        <v>APAGADO</v>
      </c>
      <c r="H166" t="str">
        <f>'RESUMEN TOTAL'!Q169</f>
        <v>APAGADO</v>
      </c>
      <c r="I166" t="str">
        <f>'RESUMEN TOTAL'!R169</f>
        <v>APAGADO</v>
      </c>
      <c r="J166" t="str">
        <f>'RESUMEN TOTAL'!S169</f>
        <v>APAGADO</v>
      </c>
      <c r="K166" t="str">
        <f>'RESUMEN TOTAL'!T169</f>
        <v>APAGADO</v>
      </c>
      <c r="L166" t="str">
        <f>'RESUMEN TOTAL'!U169</f>
        <v>APAGADO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</row>
    <row r="167" spans="1:33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</row>
    <row r="168" spans="1:33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 t="str">
        <f>'RESUMEN TOTAL'!P171</f>
        <v>APAGADO</v>
      </c>
      <c r="H168" t="str">
        <f>'RESUMEN TOTAL'!Q171</f>
        <v>APAGADO</v>
      </c>
      <c r="I168" t="str">
        <f>'RESUMEN TOTAL'!R171</f>
        <v>APAGADO</v>
      </c>
      <c r="J168" t="str">
        <f>'RESUMEN TOTAL'!S171</f>
        <v>APAGADO</v>
      </c>
      <c r="K168" t="str">
        <f>'RESUMEN TOTAL'!T171</f>
        <v>APAGADO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 t="str">
        <f>'RESUMEN TOTAL'!Z171</f>
        <v>APAGADO</v>
      </c>
      <c r="R168" t="str">
        <f>'RESUMEN TOTAL'!AA171</f>
        <v>APAGADO</v>
      </c>
      <c r="S168" t="str">
        <f>'RESUMEN TOTAL'!AB171</f>
        <v>APAGADO</v>
      </c>
      <c r="T168" t="str">
        <f>'RESUMEN TOTAL'!AC171</f>
        <v>APAGADO</v>
      </c>
      <c r="U168" t="str">
        <f>'RESUMEN TOTAL'!AD171</f>
        <v>APAGADO</v>
      </c>
      <c r="V168" t="str">
        <f>'RESUMEN TOTAL'!AE171</f>
        <v>APAGADO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</row>
    <row r="169" spans="1:33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</row>
    <row r="170" spans="1:33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</row>
    <row r="171" spans="1:33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 t="str">
        <f>'RESUMEN TOTAL'!P174</f>
        <v>APAGADO</v>
      </c>
      <c r="H171" t="str">
        <f>'RESUMEN TOTAL'!Q174</f>
        <v>APAGADO</v>
      </c>
      <c r="I171" t="str">
        <f>'RESUMEN TOTAL'!R174</f>
        <v>APAGADO</v>
      </c>
      <c r="J171">
        <f>'RESUMEN TOTAL'!S174</f>
        <v>0</v>
      </c>
      <c r="K171" t="str">
        <f>'RESUMEN TOTAL'!T174</f>
        <v>APAGADO</v>
      </c>
      <c r="L171" t="str">
        <f>'RESUMEN TOTAL'!U174</f>
        <v>APAGADO</v>
      </c>
      <c r="M171" t="str">
        <f>'RESUMEN TOTAL'!V174</f>
        <v>APAGADO</v>
      </c>
      <c r="N171" t="str">
        <f>'RESUMEN TOTAL'!W174</f>
        <v>APAGADO</v>
      </c>
      <c r="O171" t="str">
        <f>'RESUMEN TOTAL'!X174</f>
        <v>APAGADO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 t="str">
        <f>'RESUMEN TOTAL'!AD174</f>
        <v>APAGADO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</row>
    <row r="172" spans="1:33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</row>
    <row r="173" spans="1:33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</row>
    <row r="174" spans="1:33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</row>
    <row r="175" spans="1:33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</row>
    <row r="176" spans="1:33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</row>
    <row r="177" spans="1:33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 t="str">
        <f>'RESUMEN TOTAL'!O180</f>
        <v>APAGADO</v>
      </c>
      <c r="G177">
        <f>'RESUMEN TOTAL'!P180</f>
        <v>0</v>
      </c>
      <c r="H177">
        <f>'RESUMEN TOTAL'!Q180</f>
        <v>0</v>
      </c>
      <c r="I177" t="str">
        <f>'RESUMEN TOTAL'!R180</f>
        <v>APAGADO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 t="str">
        <f>'RESUMEN TOTAL'!AD180</f>
        <v>APAGADO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 t="str">
        <f>'RESUMEN TOTAL'!AI180</f>
        <v>APAGADO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</row>
    <row r="178" spans="1:33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</row>
    <row r="179" spans="1:33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</row>
    <row r="180" spans="1:33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</row>
    <row r="181" spans="1:33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</row>
    <row r="182" spans="1:33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</row>
    <row r="183" spans="1:33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</row>
    <row r="184" spans="1:33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</row>
    <row r="185" spans="1:33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</row>
    <row r="186" spans="1:33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</row>
    <row r="187" spans="1:33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</row>
    <row r="188" spans="1:33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 t="str">
        <f>'RESUMEN TOTAL'!AH191</f>
        <v>APAGADO</v>
      </c>
      <c r="Z188" t="str">
        <f>'RESUMEN TOTAL'!AI191</f>
        <v>APAGADO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</row>
    <row r="189" spans="1:33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 t="str">
        <f>'RESUMEN TOTAL'!AH192</f>
        <v>APAGADO</v>
      </c>
      <c r="Z189" t="str">
        <f>'RESUMEN TOTAL'!AI192</f>
        <v>APAGADO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</row>
    <row r="190" spans="1:33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 t="str">
        <f>'RESUMEN TOTAL'!P193</f>
        <v>APAGADO</v>
      </c>
      <c r="H190" t="str">
        <f>'RESUMEN TOTAL'!Q193</f>
        <v>APAGADO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 t="str">
        <f>'RESUMEN TOTAL'!V193</f>
        <v>APAGADO</v>
      </c>
      <c r="N190" t="str">
        <f>'RESUMEN TOTAL'!W193</f>
        <v>APAGADO</v>
      </c>
      <c r="O190" t="str">
        <f>'RESUMEN TOTAL'!X193</f>
        <v>APAGADO</v>
      </c>
      <c r="P190" t="str">
        <f>'RESUMEN TOTAL'!Y193</f>
        <v>APAGADO</v>
      </c>
      <c r="Q190" t="str">
        <f>'RESUMEN TOTAL'!Z193</f>
        <v>APAGADO</v>
      </c>
      <c r="R190" t="str">
        <f>'RESUMEN TOTAL'!AA193</f>
        <v>APAGADO</v>
      </c>
      <c r="S190" t="str">
        <f>'RESUMEN TOTAL'!AB193</f>
        <v>APAGADO</v>
      </c>
      <c r="T190" t="str">
        <f>'RESUMEN TOTAL'!AC193</f>
        <v>APAGADO</v>
      </c>
      <c r="U190" t="str">
        <f>'RESUMEN TOTAL'!AD193</f>
        <v>APAGADO</v>
      </c>
      <c r="V190">
        <f>'RESUMEN TOTAL'!AE193</f>
        <v>0</v>
      </c>
      <c r="W190" t="str">
        <f>'RESUMEN TOTAL'!AF193</f>
        <v>APAGADO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</row>
    <row r="191" spans="1:33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 t="str">
        <f>'RESUMEN TOTAL'!P194</f>
        <v>APAGADO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 t="str">
        <f>'RESUMEN TOTAL'!AA194</f>
        <v>APAGADO</v>
      </c>
      <c r="S191" t="str">
        <f>'RESUMEN TOTAL'!AB194</f>
        <v>APAGADO</v>
      </c>
      <c r="T191" t="str">
        <f>'RESUMEN TOTAL'!AC194</f>
        <v>APAGADO</v>
      </c>
      <c r="U191" t="str">
        <f>'RESUMEN TOTAL'!AD194</f>
        <v>APAGADO</v>
      </c>
      <c r="V191">
        <f>'RESUMEN TOTAL'!AE194</f>
        <v>0</v>
      </c>
      <c r="W191" t="str">
        <f>'RESUMEN TOTAL'!AF194</f>
        <v>APAGADO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</row>
    <row r="192" spans="1:33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 t="str">
        <f>'RESUMEN TOTAL'!P195</f>
        <v>APAGADO</v>
      </c>
      <c r="H192" t="str">
        <f>'RESUMEN TOTAL'!Q195</f>
        <v>APAGADO</v>
      </c>
      <c r="I192" t="str">
        <f>'RESUMEN TOTAL'!R195</f>
        <v>APAGADO</v>
      </c>
      <c r="J192" t="str">
        <f>'RESUMEN TOTAL'!S195</f>
        <v>APAGADO</v>
      </c>
      <c r="K192" t="str">
        <f>'RESUMEN TOTAL'!T195</f>
        <v>APAGADO</v>
      </c>
      <c r="L192" t="str">
        <f>'RESUMEN TOTAL'!U195</f>
        <v>APAGADO</v>
      </c>
      <c r="M192" t="str">
        <f>'RESUMEN TOTAL'!V195</f>
        <v>APAGADO</v>
      </c>
      <c r="N192" t="str">
        <f>'RESUMEN TOTAL'!W195</f>
        <v>APAGADO</v>
      </c>
      <c r="O192" t="str">
        <f>'RESUMEN TOTAL'!X195</f>
        <v>APAGADO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</row>
    <row r="193" spans="1:33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 t="str">
        <f>'RESUMEN TOTAL'!P196</f>
        <v>APAGADO</v>
      </c>
      <c r="H193" t="str">
        <f>'RESUMEN TOTAL'!Q196</f>
        <v>APAGADO</v>
      </c>
      <c r="I193" t="str">
        <f>'RESUMEN TOTAL'!R196</f>
        <v>APAGADO</v>
      </c>
      <c r="J193" t="str">
        <f>'RESUMEN TOTAL'!S196</f>
        <v>APAGADO</v>
      </c>
      <c r="K193" t="str">
        <f>'RESUMEN TOTAL'!T196</f>
        <v>APAGADO</v>
      </c>
      <c r="L193" t="str">
        <f>'RESUMEN TOTAL'!U196</f>
        <v>APAGADO</v>
      </c>
      <c r="M193" t="str">
        <f>'RESUMEN TOTAL'!V196</f>
        <v>APAGADO</v>
      </c>
      <c r="N193" t="str">
        <f>'RESUMEN TOTAL'!W196</f>
        <v>APAGADO</v>
      </c>
      <c r="O193" t="str">
        <f>'RESUMEN TOTAL'!X196</f>
        <v>APAGADO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</row>
    <row r="194" spans="1:33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>
        <f>'RESUMEN TOTAL'!U197</f>
        <v>0</v>
      </c>
      <c r="M194">
        <f>'RESUMEN TOTAL'!V197</f>
        <v>0</v>
      </c>
      <c r="N194">
        <f>'RESUMEN TOTAL'!W197</f>
        <v>0</v>
      </c>
      <c r="O194" t="str">
        <f>'RESUMEN TOTAL'!X197</f>
        <v>APAGADO</v>
      </c>
      <c r="P194">
        <f>'RESUMEN TOTAL'!Y197</f>
        <v>0</v>
      </c>
      <c r="Q194">
        <f>'RESUMEN TOTAL'!Z197</f>
        <v>0</v>
      </c>
      <c r="R194" t="str">
        <f>'RESUMEN TOTAL'!AA197</f>
        <v>APAGADO</v>
      </c>
      <c r="S194" t="str">
        <f>'RESUMEN TOTAL'!AB197</f>
        <v>APAGADO</v>
      </c>
      <c r="T194">
        <f>'RESUMEN TOTAL'!AC197</f>
        <v>0</v>
      </c>
      <c r="U194" t="str">
        <f>'RESUMEN TOTAL'!AD197</f>
        <v>APAGADO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</row>
    <row r="195" spans="1:33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 t="str">
        <f>'RESUMEN TOTAL'!P198</f>
        <v>APAGADO</v>
      </c>
      <c r="H195" t="str">
        <f>'RESUMEN TOTAL'!Q198</f>
        <v>APAGADO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 t="str">
        <f>'RESUMEN TOTAL'!AA198</f>
        <v>APAGADO</v>
      </c>
      <c r="S195" t="str">
        <f>'RESUMEN TOTAL'!AB198</f>
        <v>APAGADO</v>
      </c>
      <c r="T195">
        <f>'RESUMEN TOTAL'!AC198</f>
        <v>0</v>
      </c>
      <c r="U195" t="str">
        <f>'RESUMEN TOTAL'!AD198</f>
        <v>APAGADO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</row>
    <row r="196" spans="1:33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 t="str">
        <f>'RESUMEN TOTAL'!U199</f>
        <v>APAGADO</v>
      </c>
      <c r="M196" t="str">
        <f>'RESUMEN TOTAL'!V199</f>
        <v>APAGADO</v>
      </c>
      <c r="N196" t="str">
        <f>'RESUMEN TOTAL'!W199</f>
        <v>APAGADO</v>
      </c>
      <c r="O196">
        <f>'RESUMEN TOTAL'!X199</f>
        <v>0</v>
      </c>
      <c r="P196" t="str">
        <f>'RESUMEN TOTAL'!Y199</f>
        <v>APAGADO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</row>
    <row r="197" spans="1:33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 t="str">
        <f>'RESUMEN TOTAL'!U200</f>
        <v>APAGADO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</row>
    <row r="198" spans="1:33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</row>
    <row r="199" spans="1:33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</row>
    <row r="200" spans="1:33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</row>
    <row r="201" spans="1:33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 t="str">
        <f>'RESUMEN TOTAL'!T204</f>
        <v>APAGADO</v>
      </c>
      <c r="L201" t="str">
        <f>'RESUMEN TOTAL'!U204</f>
        <v>APAGADO</v>
      </c>
      <c r="M201" t="str">
        <f>'RESUMEN TOTAL'!V204</f>
        <v>APAGADO</v>
      </c>
      <c r="N201" t="str">
        <f>'RESUMEN TOTAL'!W204</f>
        <v>APAGADO</v>
      </c>
      <c r="O201" t="str">
        <f>'RESUMEN TOTAL'!X204</f>
        <v>APAGADO</v>
      </c>
      <c r="P201" t="str">
        <f>'RESUMEN TOTAL'!Y204</f>
        <v>APAGADO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</row>
    <row r="202" spans="1:33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 t="str">
        <f>'RESUMEN TOTAL'!T205</f>
        <v>APAGADO</v>
      </c>
      <c r="L202" t="str">
        <f>'RESUMEN TOTAL'!U205</f>
        <v>APAGADO</v>
      </c>
      <c r="M202" t="str">
        <f>'RESUMEN TOTAL'!V205</f>
        <v>APAGADO</v>
      </c>
      <c r="N202" t="str">
        <f>'RESUMEN TOTAL'!W205</f>
        <v>APAGADO</v>
      </c>
      <c r="O202" t="str">
        <f>'RESUMEN TOTAL'!X205</f>
        <v>APAGADO</v>
      </c>
      <c r="P202" t="str">
        <f>'RESUMEN TOTAL'!Y205</f>
        <v>APAGADO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</row>
    <row r="203" spans="1:33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 t="str">
        <f>'RESUMEN TOTAL'!AH206</f>
        <v>APAGADO</v>
      </c>
      <c r="Z203" t="str">
        <f>'RESUMEN TOTAL'!AI206</f>
        <v>APAGADO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</row>
    <row r="204" spans="1:33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>
        <f>'RESUMEN TOTAL'!O207</f>
        <v>0</v>
      </c>
      <c r="G204" t="str">
        <f>'RESUMEN TOTAL'!P207</f>
        <v>APAGADO</v>
      </c>
      <c r="H204" t="str">
        <f>'RESUMEN TOTAL'!Q207</f>
        <v>APAGADO</v>
      </c>
      <c r="I204">
        <f>'RESUMEN TOTAL'!R207</f>
        <v>0</v>
      </c>
      <c r="J204">
        <f>'RESUMEN TOTAL'!S207</f>
        <v>0</v>
      </c>
      <c r="K204">
        <f>'RESUMEN TOTAL'!T207</f>
        <v>0</v>
      </c>
      <c r="L204">
        <f>'RESUMEN TOTAL'!U207</f>
        <v>0</v>
      </c>
      <c r="M204">
        <f>'RESUMEN TOTAL'!V207</f>
        <v>0</v>
      </c>
      <c r="N204">
        <f>'RESUMEN TOTAL'!W207</f>
        <v>0</v>
      </c>
      <c r="O204">
        <f>'RESUMEN TOTAL'!X207</f>
        <v>0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</row>
    <row r="205" spans="1:33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 t="str">
        <f>'RESUMEN TOTAL'!P208</f>
        <v>APAGADO</v>
      </c>
      <c r="H205" t="str">
        <f>'RESUMEN TOTAL'!Q208</f>
        <v>APAGADO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</row>
    <row r="206" spans="1:33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</row>
    <row r="207" spans="1:33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</row>
    <row r="208" spans="1:33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 t="str">
        <f>'RESUMEN TOTAL'!AF211</f>
        <v>APAGADO</v>
      </c>
      <c r="X208" t="str">
        <f>'RESUMEN TOTAL'!AG211</f>
        <v>APAGADO</v>
      </c>
      <c r="Y208" t="str">
        <f>'RESUMEN TOTAL'!AH211</f>
        <v>APAGADO</v>
      </c>
      <c r="Z208" t="str">
        <f>'RESUMEN TOTAL'!AI211</f>
        <v>APAGADO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</row>
    <row r="209" spans="1:33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 t="str">
        <f>'RESUMEN TOTAL'!AF212</f>
        <v>APAGADO</v>
      </c>
      <c r="X209" t="str">
        <f>'RESUMEN TOTAL'!AG212</f>
        <v>APAGADO</v>
      </c>
      <c r="Y209" t="str">
        <f>'RESUMEN TOTAL'!AH212</f>
        <v>APAGADO</v>
      </c>
      <c r="Z209" t="str">
        <f>'RESUMEN TOTAL'!AI212</f>
        <v>APAGADO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</row>
    <row r="210" spans="1:33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</row>
    <row r="211" spans="1:33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</row>
    <row r="212" spans="1:33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</row>
    <row r="213" spans="1:33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</row>
    <row r="214" spans="1:33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</row>
    <row r="215" spans="1:33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</row>
    <row r="216" spans="1:33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</row>
    <row r="217" spans="1:33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</row>
    <row r="218" spans="1:33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</row>
    <row r="219" spans="1:33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</row>
    <row r="220" spans="1:33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</row>
    <row r="221" spans="1:33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 t="str">
        <f>'RESUMEN TOTAL'!O224</f>
        <v>APAGADO</v>
      </c>
      <c r="G221" t="str">
        <f>'RESUMEN TOTAL'!P224</f>
        <v>APAGADO</v>
      </c>
      <c r="H221" t="str">
        <f>'RESUMEN TOTAL'!Q224</f>
        <v>APAGADO</v>
      </c>
      <c r="I221" t="str">
        <f>'RESUMEN TOTAL'!R224</f>
        <v>APAGADO</v>
      </c>
      <c r="J221" t="str">
        <f>'RESUMEN TOTAL'!S224</f>
        <v>APAGADO</v>
      </c>
      <c r="K221" t="str">
        <f>'RESUMEN TOTAL'!T224</f>
        <v>APAGADO</v>
      </c>
      <c r="L221" t="str">
        <f>'RESUMEN TOTAL'!U224</f>
        <v>APAGADO</v>
      </c>
      <c r="M221" t="str">
        <f>'RESUMEN TOTAL'!V224</f>
        <v>APAGADO</v>
      </c>
      <c r="N221" t="str">
        <f>'RESUMEN TOTAL'!W224</f>
        <v>APAGADO</v>
      </c>
      <c r="O221" t="str">
        <f>'RESUMEN TOTAL'!X224</f>
        <v>APAGADO</v>
      </c>
      <c r="P221" t="str">
        <f>'RESUMEN TOTAL'!Y224</f>
        <v>APAGADO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</row>
    <row r="222" spans="1:33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 t="str">
        <f>'RESUMEN TOTAL'!Z225</f>
        <v>APAGADO</v>
      </c>
      <c r="R222" t="str">
        <f>'RESUMEN TOTAL'!AA225</f>
        <v>APAGADO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</row>
    <row r="223" spans="1:33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</row>
    <row r="224" spans="1:33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</row>
    <row r="225" spans="1:33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</row>
    <row r="226" spans="1:33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</row>
    <row r="227" spans="1:33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</row>
    <row r="228" spans="1:33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</row>
    <row r="229" spans="1:33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</row>
    <row r="230" spans="1:33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 t="str">
        <f>'RESUMEN TOTAL'!Q233</f>
        <v>APAGADO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</row>
    <row r="231" spans="1:33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</row>
    <row r="232" spans="1:33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 t="str">
        <f>'RESUMEN TOTAL'!Z235</f>
        <v>APAGADO</v>
      </c>
      <c r="R232" t="str">
        <f>'RESUMEN TOTAL'!AA235</f>
        <v>APAGADO</v>
      </c>
      <c r="S232" t="str">
        <f>'RESUMEN TOTAL'!AB235</f>
        <v>APAGADO</v>
      </c>
      <c r="T232" t="str">
        <f>'RESUMEN TOTAL'!AC235</f>
        <v>APAGADO</v>
      </c>
      <c r="U232" t="str">
        <f>'RESUMEN TOTAL'!AD235</f>
        <v>APAGADO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</row>
    <row r="233" spans="1:33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 t="str">
        <f>'RESUMEN TOTAL'!Z236</f>
        <v>APAGADO</v>
      </c>
      <c r="R233" t="str">
        <f>'RESUMEN TOTAL'!AA236</f>
        <v>APAGADO</v>
      </c>
      <c r="S233" t="str">
        <f>'RESUMEN TOTAL'!AB236</f>
        <v>APAGADO</v>
      </c>
      <c r="T233" t="str">
        <f>'RESUMEN TOTAL'!AC236</f>
        <v>APAGADO</v>
      </c>
      <c r="U233" t="str">
        <f>'RESUMEN TOTAL'!AD236</f>
        <v>APAGADO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</row>
    <row r="234" spans="1:33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 t="str">
        <f>'RESUMEN TOTAL'!Z237</f>
        <v>APAGADO</v>
      </c>
      <c r="R234" t="str">
        <f>'RESUMEN TOTAL'!AA237</f>
        <v>APAGADO</v>
      </c>
      <c r="S234" t="str">
        <f>'RESUMEN TOTAL'!AB237</f>
        <v>APAGADO</v>
      </c>
      <c r="T234" t="str">
        <f>'RESUMEN TOTAL'!AC237</f>
        <v>APAGADO</v>
      </c>
      <c r="U234" t="str">
        <f>'RESUMEN TOTAL'!AD237</f>
        <v>APAGADO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 t="str">
        <f>'RESUMEN TOTAL'!AI237</f>
        <v>APAGADO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</row>
    <row r="235" spans="1:33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 t="str">
        <f>'RESUMEN TOTAL'!O238</f>
        <v>APAGADO</v>
      </c>
      <c r="G235" t="str">
        <f>'RESUMEN TOTAL'!P238</f>
        <v>APAGADO</v>
      </c>
      <c r="H235" t="str">
        <f>'RESUMEN TOTAL'!Q238</f>
        <v>APAGADO</v>
      </c>
      <c r="I235" t="str">
        <f>'RESUMEN TOTAL'!R238</f>
        <v>APAGADO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</row>
    <row r="236" spans="1:33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 t="str">
        <f>'RESUMEN TOTAL'!O239</f>
        <v>APAGADO</v>
      </c>
      <c r="G236" t="str">
        <f>'RESUMEN TOTAL'!P239</f>
        <v>APAGADO</v>
      </c>
      <c r="H236" t="str">
        <f>'RESUMEN TOTAL'!Q239</f>
        <v>APAGADO</v>
      </c>
      <c r="I236" t="str">
        <f>'RESUMEN TOTAL'!R239</f>
        <v>APAGADO</v>
      </c>
      <c r="J236" t="str">
        <f>'RESUMEN TOTAL'!S239</f>
        <v>APAGADO</v>
      </c>
      <c r="K236" t="str">
        <f>'RESUMEN TOTAL'!T239</f>
        <v>APAGADO</v>
      </c>
      <c r="L236" t="str">
        <f>'RESUMEN TOTAL'!U239</f>
        <v>APAGADO</v>
      </c>
      <c r="M236" t="str">
        <f>'RESUMEN TOTAL'!V239</f>
        <v>APAGADO</v>
      </c>
      <c r="N236" t="str">
        <f>'RESUMEN TOTAL'!W239</f>
        <v>APAGADO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</row>
    <row r="237" spans="1:33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 t="str">
        <f>'RESUMEN TOTAL'!P240</f>
        <v>APAGADO</v>
      </c>
      <c r="H237" t="str">
        <f>'RESUMEN TOTAL'!Q240</f>
        <v>APAGADO</v>
      </c>
      <c r="I237" t="str">
        <f>'RESUMEN TOTAL'!R240</f>
        <v>APAGADO</v>
      </c>
      <c r="J237" t="str">
        <f>'RESUMEN TOTAL'!S240</f>
        <v>APAGADO</v>
      </c>
      <c r="K237" t="str">
        <f>'RESUMEN TOTAL'!T240</f>
        <v>APAGADO</v>
      </c>
      <c r="L237" t="str">
        <f>'RESUMEN TOTAL'!U240</f>
        <v>APAGADO</v>
      </c>
      <c r="M237" t="str">
        <f>'RESUMEN TOTAL'!V240</f>
        <v>APAGADO</v>
      </c>
      <c r="N237" t="str">
        <f>'RESUMEN TOTAL'!W240</f>
        <v>APAGADO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 t="str">
        <f>'RESUMEN TOTAL'!AG240</f>
        <v>APAGADO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</row>
    <row r="238" spans="1:33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 t="str">
        <f>'RESUMEN TOTAL'!Z241</f>
        <v>APAGADO</v>
      </c>
      <c r="R238" t="str">
        <f>'RESUMEN TOTAL'!AA241</f>
        <v>APAGADO</v>
      </c>
      <c r="S238" t="str">
        <f>'RESUMEN TOTAL'!AB241</f>
        <v>APAGADO</v>
      </c>
      <c r="T238" t="str">
        <f>'RESUMEN TOTAL'!AC241</f>
        <v>APAGADO</v>
      </c>
      <c r="U238" t="str">
        <f>'RESUMEN TOTAL'!AD241</f>
        <v>APAGADO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</row>
    <row r="239" spans="1:33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 t="str">
        <f>'RESUMEN TOTAL'!Z242</f>
        <v>APAGADO</v>
      </c>
      <c r="R239" t="str">
        <f>'RESUMEN TOTAL'!AA242</f>
        <v>APAGADO</v>
      </c>
      <c r="S239" t="str">
        <f>'RESUMEN TOTAL'!AB242</f>
        <v>APAGADO</v>
      </c>
      <c r="T239" t="str">
        <f>'RESUMEN TOTAL'!AC242</f>
        <v>APAGADO</v>
      </c>
      <c r="U239" t="str">
        <f>'RESUMEN TOTAL'!AD242</f>
        <v>APAGADO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</row>
    <row r="240" spans="1:33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 t="str">
        <f>'RESUMEN TOTAL'!Z243</f>
        <v>APAGADO</v>
      </c>
      <c r="R240" t="str">
        <f>'RESUMEN TOTAL'!AA243</f>
        <v>APAGADO</v>
      </c>
      <c r="S240" t="str">
        <f>'RESUMEN TOTAL'!AB243</f>
        <v>APAGADO</v>
      </c>
      <c r="T240" t="str">
        <f>'RESUMEN TOTAL'!AC243</f>
        <v>APAGADO</v>
      </c>
      <c r="U240" t="str">
        <f>'RESUMEN TOTAL'!AD243</f>
        <v>APAGADO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</row>
    <row r="241" spans="1:33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 t="str">
        <f>'RESUMEN TOTAL'!Z244</f>
        <v>APAGADO</v>
      </c>
      <c r="R241" t="str">
        <f>'RESUMEN TOTAL'!AA244</f>
        <v>APAGADO</v>
      </c>
      <c r="S241" t="str">
        <f>'RESUMEN TOTAL'!AB244</f>
        <v>APAGADO</v>
      </c>
      <c r="T241" t="str">
        <f>'RESUMEN TOTAL'!AC244</f>
        <v>APAGADO</v>
      </c>
      <c r="U241" t="str">
        <f>'RESUMEN TOTAL'!AD244</f>
        <v>APAGADO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</row>
    <row r="242" spans="1:33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 t="str">
        <f>'RESUMEN TOTAL'!AE245</f>
        <v>APAGADO</v>
      </c>
      <c r="W242" t="str">
        <f>'RESUMEN TOTAL'!AF245</f>
        <v>APAGADO</v>
      </c>
      <c r="X242" t="str">
        <f>'RESUMEN TOTAL'!AG245</f>
        <v>APAGADO</v>
      </c>
      <c r="Y242" t="str">
        <f>'RESUMEN TOTAL'!AH245</f>
        <v>APAGADO</v>
      </c>
      <c r="Z242" t="str">
        <f>'RESUMEN TOTAL'!AI245</f>
        <v>APAGADO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</row>
    <row r="243" spans="1:33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 t="str">
        <f>'RESUMEN TOTAL'!AB246</f>
        <v>APAGADO</v>
      </c>
      <c r="T243" t="str">
        <f>'RESUMEN TOTAL'!AC246</f>
        <v>APAGADO</v>
      </c>
      <c r="U243" t="str">
        <f>'RESUMEN TOTAL'!AD246</f>
        <v>APAGADO</v>
      </c>
      <c r="V243">
        <f>'RESUMEN TOTAL'!AE246</f>
        <v>0</v>
      </c>
      <c r="W243" t="str">
        <f>'RESUMEN TOTAL'!AF246</f>
        <v>APAGADO</v>
      </c>
      <c r="X243" t="str">
        <f>'RESUMEN TOTAL'!AG246</f>
        <v>APAGADO</v>
      </c>
      <c r="Y243" t="str">
        <f>'RESUMEN TOTAL'!AH246</f>
        <v>APAGADO</v>
      </c>
      <c r="Z243" t="str">
        <f>'RESUMEN TOTAL'!AI246</f>
        <v>APAGADO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</row>
    <row r="244" spans="1:33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</row>
    <row r="245" spans="1:33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</row>
    <row r="246" spans="1:33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</row>
    <row r="247" spans="1:33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 t="str">
        <f>'RESUMEN TOTAL'!S250</f>
        <v>APAGADO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 t="str">
        <f>'RESUMEN TOTAL'!AG250</f>
        <v>APAGADO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</row>
    <row r="248" spans="1:33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 t="str">
        <f>'RESUMEN TOTAL'!S251</f>
        <v>APAGADO</v>
      </c>
      <c r="K248" t="str">
        <f>'RESUMEN TOTAL'!T251</f>
        <v>APAGADO</v>
      </c>
      <c r="L248" t="str">
        <f>'RESUMEN TOTAL'!U251</f>
        <v>APAGADO</v>
      </c>
      <c r="M248" t="str">
        <f>'RESUMEN TOTAL'!V251</f>
        <v>APAGADO</v>
      </c>
      <c r="N248" t="str">
        <f>'RESUMEN TOTAL'!W251</f>
        <v>APAGADO</v>
      </c>
      <c r="O248" t="str">
        <f>'RESUMEN TOTAL'!X251</f>
        <v>APAGADO</v>
      </c>
      <c r="P248" t="str">
        <f>'RESUMEN TOTAL'!Y251</f>
        <v>APAGADO</v>
      </c>
      <c r="Q248" t="str">
        <f>'RESUMEN TOTAL'!Z251</f>
        <v>APAGADO</v>
      </c>
      <c r="R248" t="str">
        <f>'RESUMEN TOTAL'!AA251</f>
        <v>APAGADO</v>
      </c>
      <c r="S248" t="str">
        <f>'RESUMEN TOTAL'!AB251</f>
        <v>APAGADO</v>
      </c>
      <c r="T248" t="str">
        <f>'RESUMEN TOTAL'!AC251</f>
        <v>APAGADO</v>
      </c>
      <c r="U248" t="str">
        <f>'RESUMEN TOTAL'!AD251</f>
        <v>APAGADO</v>
      </c>
      <c r="V248" t="str">
        <f>'RESUMEN TOTAL'!AE251</f>
        <v>APAGADO</v>
      </c>
      <c r="W248" t="str">
        <f>'RESUMEN TOTAL'!AF251</f>
        <v>APAGADO</v>
      </c>
      <c r="X248" t="str">
        <f>'RESUMEN TOTAL'!AG251</f>
        <v>APAGADO</v>
      </c>
      <c r="Y248" t="str">
        <f>'RESUMEN TOTAL'!AH251</f>
        <v>APAGADO</v>
      </c>
      <c r="Z248" t="str">
        <f>'RESUMEN TOTAL'!AI251</f>
        <v>APAGADO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</row>
    <row r="249" spans="1:33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 t="str">
        <f>'RESUMEN TOTAL'!S252</f>
        <v>APAGADO</v>
      </c>
      <c r="K249" t="str">
        <f>'RESUMEN TOTAL'!T252</f>
        <v>APAGADO</v>
      </c>
      <c r="L249" t="str">
        <f>'RESUMEN TOTAL'!U252</f>
        <v>APAGADO</v>
      </c>
      <c r="M249" t="str">
        <f>'RESUMEN TOTAL'!V252</f>
        <v>APAGADO</v>
      </c>
      <c r="N249" t="str">
        <f>'RESUMEN TOTAL'!W252</f>
        <v>APAGADO</v>
      </c>
      <c r="O249" t="str">
        <f>'RESUMEN TOTAL'!X252</f>
        <v>APAGADO</v>
      </c>
      <c r="P249" t="str">
        <f>'RESUMEN TOTAL'!Y252</f>
        <v>APAGADO</v>
      </c>
      <c r="Q249" t="str">
        <f>'RESUMEN TOTAL'!Z252</f>
        <v>APAGADO</v>
      </c>
      <c r="R249" t="str">
        <f>'RESUMEN TOTAL'!AA252</f>
        <v>APAGADO</v>
      </c>
      <c r="S249" t="str">
        <f>'RESUMEN TOTAL'!AB252</f>
        <v>APAGADO</v>
      </c>
      <c r="T249" t="str">
        <f>'RESUMEN TOTAL'!AC252</f>
        <v>APAGADO</v>
      </c>
      <c r="U249" t="str">
        <f>'RESUMEN TOTAL'!AD252</f>
        <v>APAGADO</v>
      </c>
      <c r="V249" t="str">
        <f>'RESUMEN TOTAL'!AE252</f>
        <v>APAGADO</v>
      </c>
      <c r="W249" t="str">
        <f>'RESUMEN TOTAL'!AF252</f>
        <v>APAGADO</v>
      </c>
      <c r="X249" t="str">
        <f>'RESUMEN TOTAL'!AG252</f>
        <v>APAGADO</v>
      </c>
      <c r="Y249" t="str">
        <f>'RESUMEN TOTAL'!AH252</f>
        <v>APAGADO</v>
      </c>
      <c r="Z249" t="str">
        <f>'RESUMEN TOTAL'!AI252</f>
        <v>APAGADO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</row>
    <row r="250" spans="1:33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 t="str">
        <f>'RESUMEN TOTAL'!S253</f>
        <v>APAGADO</v>
      </c>
      <c r="K250" t="str">
        <f>'RESUMEN TOTAL'!T253</f>
        <v>APAGADO</v>
      </c>
      <c r="L250" t="str">
        <f>'RESUMEN TOTAL'!U253</f>
        <v>APAGADO</v>
      </c>
      <c r="M250" t="str">
        <f>'RESUMEN TOTAL'!V253</f>
        <v>APAGADO</v>
      </c>
      <c r="N250" t="str">
        <f>'RESUMEN TOTAL'!W253</f>
        <v>APAGADO</v>
      </c>
      <c r="O250" t="str">
        <f>'RESUMEN TOTAL'!X253</f>
        <v>APAGADO</v>
      </c>
      <c r="P250" t="str">
        <f>'RESUMEN TOTAL'!Y253</f>
        <v>APAGADO</v>
      </c>
      <c r="Q250" t="str">
        <f>'RESUMEN TOTAL'!Z253</f>
        <v>APAGADO</v>
      </c>
      <c r="R250" t="str">
        <f>'RESUMEN TOTAL'!AA253</f>
        <v>APAGADO</v>
      </c>
      <c r="S250" t="str">
        <f>'RESUMEN TOTAL'!AB253</f>
        <v>APAGADO</v>
      </c>
      <c r="T250" t="str">
        <f>'RESUMEN TOTAL'!AC253</f>
        <v>APAGADO</v>
      </c>
      <c r="U250" t="str">
        <f>'RESUMEN TOTAL'!AD253</f>
        <v>APAGADO</v>
      </c>
      <c r="V250" t="str">
        <f>'RESUMEN TOTAL'!AE253</f>
        <v>APAGADO</v>
      </c>
      <c r="W250" t="str">
        <f>'RESUMEN TOTAL'!AF253</f>
        <v>APAGADO</v>
      </c>
      <c r="X250" t="str">
        <f>'RESUMEN TOTAL'!AG253</f>
        <v>APAGADO</v>
      </c>
      <c r="Y250" t="str">
        <f>'RESUMEN TOTAL'!AH253</f>
        <v>APAGADO</v>
      </c>
      <c r="Z250" t="str">
        <f>'RESUMEN TOTAL'!AI253</f>
        <v>APAGADO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</row>
    <row r="251" spans="1:33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 t="str">
        <f>'RESUMEN TOTAL'!S254</f>
        <v>APAGADO</v>
      </c>
      <c r="K251" t="str">
        <f>'RESUMEN TOTAL'!T254</f>
        <v>APAGADO</v>
      </c>
      <c r="L251" t="str">
        <f>'RESUMEN TOTAL'!U254</f>
        <v>APAGADO</v>
      </c>
      <c r="M251" t="str">
        <f>'RESUMEN TOTAL'!V254</f>
        <v>APAGADO</v>
      </c>
      <c r="N251" t="str">
        <f>'RESUMEN TOTAL'!W254</f>
        <v>APAGADO</v>
      </c>
      <c r="O251" t="str">
        <f>'RESUMEN TOTAL'!X254</f>
        <v>APAGADO</v>
      </c>
      <c r="P251" t="str">
        <f>'RESUMEN TOTAL'!Y254</f>
        <v>APAGADO</v>
      </c>
      <c r="Q251" t="str">
        <f>'RESUMEN TOTAL'!Z254</f>
        <v>APAGADO</v>
      </c>
      <c r="R251" t="str">
        <f>'RESUMEN TOTAL'!AA254</f>
        <v>APAGADO</v>
      </c>
      <c r="S251" t="str">
        <f>'RESUMEN TOTAL'!AB254</f>
        <v>APAGADO</v>
      </c>
      <c r="T251" t="str">
        <f>'RESUMEN TOTAL'!AC254</f>
        <v>APAGADO</v>
      </c>
      <c r="U251" t="str">
        <f>'RESUMEN TOTAL'!AD254</f>
        <v>APAGADO</v>
      </c>
      <c r="V251" t="str">
        <f>'RESUMEN TOTAL'!AE254</f>
        <v>APAGADO</v>
      </c>
      <c r="W251" t="str">
        <f>'RESUMEN TOTAL'!AF254</f>
        <v>APAGADO</v>
      </c>
      <c r="X251" t="str">
        <f>'RESUMEN TOTAL'!AG254</f>
        <v>APAGADO</v>
      </c>
      <c r="Y251" t="str">
        <f>'RESUMEN TOTAL'!AH254</f>
        <v>APAGADO</v>
      </c>
      <c r="Z251" t="str">
        <f>'RESUMEN TOTAL'!AI254</f>
        <v>APAGADO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</row>
    <row r="252" spans="1:33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</row>
    <row r="253" spans="1:33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</row>
    <row r="254" spans="1:33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</row>
    <row r="255" spans="1:33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</row>
    <row r="256" spans="1:33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</row>
    <row r="257" spans="1:33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</row>
    <row r="258" spans="1:33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 t="str">
        <f>'RESUMEN TOTAL'!O261</f>
        <v>APAGADO</v>
      </c>
      <c r="G258" t="str">
        <f>'RESUMEN TOTAL'!P261</f>
        <v>APAGADO</v>
      </c>
      <c r="H258" t="str">
        <f>'RESUMEN TOTAL'!Q261</f>
        <v>APAGADO</v>
      </c>
      <c r="I258" t="str">
        <f>'RESUMEN TOTAL'!R261</f>
        <v>APAGADO</v>
      </c>
      <c r="J258" t="str">
        <f>'RESUMEN TOTAL'!S261</f>
        <v>APAGADO</v>
      </c>
      <c r="K258" t="str">
        <f>'RESUMEN TOTAL'!T261</f>
        <v>APAGADO</v>
      </c>
      <c r="L258" t="str">
        <f>'RESUMEN TOTAL'!U261</f>
        <v>APAGADO</v>
      </c>
      <c r="M258" t="str">
        <f>'RESUMEN TOTAL'!V261</f>
        <v>APAGADO</v>
      </c>
      <c r="N258" t="str">
        <f>'RESUMEN TOTAL'!W261</f>
        <v>APAGADO</v>
      </c>
      <c r="O258" t="str">
        <f>'RESUMEN TOTAL'!X261</f>
        <v>APAGADO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</row>
    <row r="259" spans="1:33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 t="str">
        <f>'RESUMEN TOTAL'!AD262</f>
        <v>APAGADO</v>
      </c>
      <c r="V259" t="str">
        <f>'RESUMEN TOTAL'!AE262</f>
        <v>APAGADO</v>
      </c>
      <c r="W259" t="str">
        <f>'RESUMEN TOTAL'!AF262</f>
        <v>APAGADO</v>
      </c>
      <c r="X259" t="str">
        <f>'RESUMEN TOTAL'!AG262</f>
        <v>APAGADO</v>
      </c>
      <c r="Y259" t="str">
        <f>'RESUMEN TOTAL'!AH262</f>
        <v>APAGADO</v>
      </c>
      <c r="Z259" t="str">
        <f>'RESUMEN TOTAL'!AI262</f>
        <v>APAGADO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</row>
    <row r="260" spans="1:33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 t="str">
        <f>'RESUMEN TOTAL'!W263</f>
        <v>APAGADO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 t="str">
        <f>'RESUMEN TOTAL'!AF263</f>
        <v>APAGADO</v>
      </c>
      <c r="X260" t="str">
        <f>'RESUMEN TOTAL'!AG263</f>
        <v>APAGADO</v>
      </c>
      <c r="Y260" t="str">
        <f>'RESUMEN TOTAL'!AH263</f>
        <v>APAGADO</v>
      </c>
      <c r="Z260" t="str">
        <f>'RESUMEN TOTAL'!AI263</f>
        <v>APAGADO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</row>
    <row r="261" spans="1:33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 t="str">
        <f>'RESUMEN TOTAL'!W264</f>
        <v>APAGADO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 t="str">
        <f>'RESUMEN TOTAL'!AF264</f>
        <v>APAGADO</v>
      </c>
      <c r="X261" t="str">
        <f>'RESUMEN TOTAL'!AG264</f>
        <v>APAGADO</v>
      </c>
      <c r="Y261" t="str">
        <f>'RESUMEN TOTAL'!AH264</f>
        <v>APAGADO</v>
      </c>
      <c r="Z261" t="str">
        <f>'RESUMEN TOTAL'!AI264</f>
        <v>APAGADO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</row>
    <row r="262" spans="1:33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 t="str">
        <f>'RESUMEN TOTAL'!U265</f>
        <v>APAGADO</v>
      </c>
      <c r="M262" t="str">
        <f>'RESUMEN TOTAL'!V265</f>
        <v>APAGADO</v>
      </c>
      <c r="N262" t="str">
        <f>'RESUMEN TOTAL'!W265</f>
        <v>APAGADO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 t="str">
        <f>'RESUMEN TOTAL'!AF265</f>
        <v>APAGADO</v>
      </c>
      <c r="X262" t="str">
        <f>'RESUMEN TOTAL'!AG265</f>
        <v>APAGADO</v>
      </c>
      <c r="Y262" t="str">
        <f>'RESUMEN TOTAL'!AH265</f>
        <v>APAGADO</v>
      </c>
      <c r="Z262" t="str">
        <f>'RESUMEN TOTAL'!AI265</f>
        <v>APAGADO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</row>
    <row r="263" spans="1:33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 t="str">
        <f>'RESUMEN TOTAL'!U266</f>
        <v>APAGADO</v>
      </c>
      <c r="M263" t="str">
        <f>'RESUMEN TOTAL'!V266</f>
        <v>APAGADO</v>
      </c>
      <c r="N263" t="str">
        <f>'RESUMEN TOTAL'!W266</f>
        <v>APAGADO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 t="str">
        <f>'RESUMEN TOTAL'!AF266</f>
        <v>APAGADO</v>
      </c>
      <c r="X263" t="str">
        <f>'RESUMEN TOTAL'!AG266</f>
        <v>APAGADO</v>
      </c>
      <c r="Y263" t="str">
        <f>'RESUMEN TOTAL'!AH266</f>
        <v>APAGADO</v>
      </c>
      <c r="Z263" t="str">
        <f>'RESUMEN TOTAL'!AI266</f>
        <v>APAGADO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</row>
    <row r="264" spans="1:33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</row>
    <row r="265" spans="1:33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</row>
    <row r="266" spans="1:33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</row>
    <row r="267" spans="1:33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</row>
    <row r="268" spans="1:33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</row>
    <row r="269" spans="1:33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</row>
    <row r="270" spans="1:33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 t="str">
        <f>'RESUMEN TOTAL'!O273</f>
        <v>APAGADO</v>
      </c>
      <c r="G270" t="str">
        <f>'RESUMEN TOTAL'!P273</f>
        <v>APAGADO</v>
      </c>
      <c r="H270" t="str">
        <f>'RESUMEN TOTAL'!Q273</f>
        <v>APAGADO</v>
      </c>
      <c r="I270" t="str">
        <f>'RESUMEN TOTAL'!R273</f>
        <v>APAGADO</v>
      </c>
      <c r="J270" t="str">
        <f>'RESUMEN TOTAL'!S273</f>
        <v>APAGADO</v>
      </c>
      <c r="K270" t="str">
        <f>'RESUMEN TOTAL'!T273</f>
        <v>APAGADO</v>
      </c>
      <c r="L270">
        <f>'RESUMEN TOTAL'!U273</f>
        <v>0</v>
      </c>
      <c r="M270" t="str">
        <f>'RESUMEN TOTAL'!V273</f>
        <v>APAGADO</v>
      </c>
      <c r="N270" t="str">
        <f>'RESUMEN TOTAL'!W273</f>
        <v>APAGADO</v>
      </c>
      <c r="O270" t="str">
        <f>'RESUMEN TOTAL'!X273</f>
        <v>APAGADO</v>
      </c>
      <c r="P270" t="str">
        <f>'RESUMEN TOTAL'!Y273</f>
        <v>APAGADO</v>
      </c>
      <c r="Q270" t="str">
        <f>'RESUMEN TOTAL'!Z273</f>
        <v>APAGADO</v>
      </c>
      <c r="R270" t="str">
        <f>'RESUMEN TOTAL'!AA273</f>
        <v>APAGADO</v>
      </c>
      <c r="S270" t="str">
        <f>'RESUMEN TOTAL'!AB273</f>
        <v>APAGADO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</row>
    <row r="271" spans="1:33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 t="str">
        <f>'RESUMEN TOTAL'!O274</f>
        <v>APAGADO</v>
      </c>
      <c r="G271" t="str">
        <f>'RESUMEN TOTAL'!P274</f>
        <v>APAGADO</v>
      </c>
      <c r="H271" t="str">
        <f>'RESUMEN TOTAL'!Q274</f>
        <v>APAGADO</v>
      </c>
      <c r="I271" t="str">
        <f>'RESUMEN TOTAL'!R274</f>
        <v>APAGADO</v>
      </c>
      <c r="J271" t="str">
        <f>'RESUMEN TOTAL'!S274</f>
        <v>APAGADO</v>
      </c>
      <c r="K271" t="str">
        <f>'RESUMEN TOTAL'!T274</f>
        <v>APAGADO</v>
      </c>
      <c r="L271">
        <f>'RESUMEN TOTAL'!U274</f>
        <v>0</v>
      </c>
      <c r="M271" t="str">
        <f>'RESUMEN TOTAL'!V274</f>
        <v>APAGADO</v>
      </c>
      <c r="N271" t="str">
        <f>'RESUMEN TOTAL'!W274</f>
        <v>APAGADO</v>
      </c>
      <c r="O271" t="str">
        <f>'RESUMEN TOTAL'!X274</f>
        <v>APAGADO</v>
      </c>
      <c r="P271" t="str">
        <f>'RESUMEN TOTAL'!Y274</f>
        <v>APAGADO</v>
      </c>
      <c r="Q271">
        <f>'RESUMEN TOTAL'!Z274</f>
        <v>0</v>
      </c>
      <c r="R271" t="str">
        <f>'RESUMEN TOTAL'!AA274</f>
        <v>APAGADO</v>
      </c>
      <c r="S271" t="str">
        <f>'RESUMEN TOTAL'!AB274</f>
        <v>APAGADO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</row>
    <row r="272" spans="1:33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</row>
    <row r="273" spans="1:33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</row>
    <row r="274" spans="1:33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</row>
    <row r="275" spans="1:33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 t="str">
        <f>'RESUMEN TOTAL'!P278</f>
        <v>APAGADO</v>
      </c>
      <c r="H275" t="str">
        <f>'RESUMEN TOTAL'!Q278</f>
        <v>APAGADO</v>
      </c>
      <c r="I275" t="str">
        <f>'RESUMEN TOTAL'!R278</f>
        <v>APAGADO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 t="str">
        <f>'RESUMEN TOTAL'!AG278</f>
        <v>APAGADO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</row>
    <row r="276" spans="1:33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 t="str">
        <f>'RESUMEN TOTAL'!P279</f>
        <v>APAGADO</v>
      </c>
      <c r="H276" t="str">
        <f>'RESUMEN TOTAL'!Q279</f>
        <v>APAGADO</v>
      </c>
      <c r="I276" t="str">
        <f>'RESUMEN TOTAL'!R279</f>
        <v>APAGADO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</row>
    <row r="277" spans="1:33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</row>
    <row r="278" spans="1:33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 t="str">
        <f>'RESUMEN TOTAL'!Y281</f>
        <v>APAGADO</v>
      </c>
      <c r="Q278" t="str">
        <f>'RESUMEN TOTAL'!Z281</f>
        <v>APAGADO</v>
      </c>
      <c r="R278" t="str">
        <f>'RESUMEN TOTAL'!AA281</f>
        <v>APAGADO</v>
      </c>
      <c r="S278" t="str">
        <f>'RESUMEN TOTAL'!AB281</f>
        <v>APAGADO</v>
      </c>
      <c r="T278" t="str">
        <f>'RESUMEN TOTAL'!AC281</f>
        <v>APAGADO</v>
      </c>
      <c r="U278" t="str">
        <f>'RESUMEN TOTAL'!AD281</f>
        <v>APAGADO</v>
      </c>
      <c r="V278" t="str">
        <f>'RESUMEN TOTAL'!AE281</f>
        <v>APAGADO</v>
      </c>
      <c r="W278" t="str">
        <f>'RESUMEN TOTAL'!AF281</f>
        <v>APAGADO</v>
      </c>
      <c r="X278" t="str">
        <f>'RESUMEN TOTAL'!AG281</f>
        <v>APAGADO</v>
      </c>
      <c r="Y278" t="str">
        <f>'RESUMEN TOTAL'!AH281</f>
        <v>APAGADO</v>
      </c>
      <c r="Z278" t="str">
        <f>'RESUMEN TOTAL'!AI281</f>
        <v>APAGADO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</row>
    <row r="279" spans="1:33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 t="str">
        <f>'RESUMEN TOTAL'!O282</f>
        <v>APAGADO</v>
      </c>
      <c r="G279" t="str">
        <f>'RESUMEN TOTAL'!P282</f>
        <v>APAGADO</v>
      </c>
      <c r="H279" t="str">
        <f>'RESUMEN TOTAL'!Q282</f>
        <v>APAGADO</v>
      </c>
      <c r="I279" t="str">
        <f>'RESUMEN TOTAL'!R282</f>
        <v>APAGADO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 t="str">
        <f>'RESUMEN TOTAL'!Y282</f>
        <v>APAGADO</v>
      </c>
      <c r="Q279" t="str">
        <f>'RESUMEN TOTAL'!Z282</f>
        <v>APAGADO</v>
      </c>
      <c r="R279" t="str">
        <f>'RESUMEN TOTAL'!AA282</f>
        <v>APAGADO</v>
      </c>
      <c r="S279" t="str">
        <f>'RESUMEN TOTAL'!AB282</f>
        <v>APAGADO</v>
      </c>
      <c r="T279" t="str">
        <f>'RESUMEN TOTAL'!AC282</f>
        <v>APAGADO</v>
      </c>
      <c r="U279" t="str">
        <f>'RESUMEN TOTAL'!AD282</f>
        <v>APAGADO</v>
      </c>
      <c r="V279" t="str">
        <f>'RESUMEN TOTAL'!AE282</f>
        <v>APAGADO</v>
      </c>
      <c r="W279" t="str">
        <f>'RESUMEN TOTAL'!AF282</f>
        <v>APAGADO</v>
      </c>
      <c r="X279" t="str">
        <f>'RESUMEN TOTAL'!AG282</f>
        <v>APAGADO</v>
      </c>
      <c r="Y279" t="str">
        <f>'RESUMEN TOTAL'!AH282</f>
        <v>APAGADO</v>
      </c>
      <c r="Z279" t="str">
        <f>'RESUMEN TOTAL'!AI282</f>
        <v>APAGADO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</row>
    <row r="280" spans="1:33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</row>
    <row r="281" spans="1:33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 t="str">
        <f>'RESUMEN TOTAL'!AF284</f>
        <v>APAGADO</v>
      </c>
      <c r="X281" t="str">
        <f>'RESUMEN TOTAL'!AG284</f>
        <v>APAGADO</v>
      </c>
      <c r="Y281" t="str">
        <f>'RESUMEN TOTAL'!AH284</f>
        <v>APAGADO</v>
      </c>
      <c r="Z281" t="str">
        <f>'RESUMEN TOTAL'!AI284</f>
        <v>APAGADO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</row>
    <row r="282" spans="1:33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 t="str">
        <f>'RESUMEN TOTAL'!AF285</f>
        <v>APAGADO</v>
      </c>
      <c r="X282" t="str">
        <f>'RESUMEN TOTAL'!AG285</f>
        <v>APAGADO</v>
      </c>
      <c r="Y282" t="str">
        <f>'RESUMEN TOTAL'!AH285</f>
        <v>APAGADO</v>
      </c>
      <c r="Z282" t="str">
        <f>'RESUMEN TOTAL'!AI285</f>
        <v>APAGADO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</row>
    <row r="283" spans="1:33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</row>
    <row r="284" spans="1:33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</row>
    <row r="285" spans="1:33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 t="str">
        <f>'RESUMEN TOTAL'!Y288</f>
        <v>APAGADO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</row>
    <row r="286" spans="1:33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</row>
    <row r="287" spans="1:33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</row>
    <row r="288" spans="1:33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</row>
    <row r="289" spans="1:33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</row>
    <row r="290" spans="1:33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</row>
    <row r="291" spans="1:33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</row>
    <row r="292" spans="1:33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</row>
    <row r="293" spans="1:33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 t="str">
        <f>'RESUMEN TOTAL'!Y296</f>
        <v>APAGADO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</row>
    <row r="294" spans="1:33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 t="str">
        <f>'RESUMEN TOTAL'!T297</f>
        <v>APAGADO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</row>
    <row r="295" spans="1:33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</row>
    <row r="296" spans="1:33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</row>
    <row r="297" spans="1:33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</row>
    <row r="298" spans="1:33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</row>
    <row r="299" spans="1:33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</row>
    <row r="300" spans="1:33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>
        <f>'RESUMEN TOTAL'!O303</f>
        <v>0</v>
      </c>
      <c r="G300">
        <f>'RESUMEN TOTAL'!P303</f>
        <v>0</v>
      </c>
      <c r="H300">
        <f>'RESUMEN TOTAL'!Q303</f>
        <v>0</v>
      </c>
      <c r="I300">
        <f>'RESUMEN TOTAL'!R303</f>
        <v>0</v>
      </c>
      <c r="J300">
        <f>'RESUMEN TOTAL'!S303</f>
        <v>0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</row>
    <row r="301" spans="1:33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 t="str">
        <f>'RESUMEN TOTAL'!Y304</f>
        <v>APAGADO</v>
      </c>
      <c r="Q301" t="str">
        <f>'RESUMEN TOTAL'!Z304</f>
        <v>APAGADO</v>
      </c>
      <c r="R301" t="str">
        <f>'RESUMEN TOTAL'!AA304</f>
        <v>APAGADO</v>
      </c>
      <c r="S301" t="str">
        <f>'RESUMEN TOTAL'!AB304</f>
        <v>APAGADO</v>
      </c>
      <c r="T301" t="str">
        <f>'RESUMEN TOTAL'!AC304</f>
        <v>APAGADO</v>
      </c>
      <c r="U301" t="str">
        <f>'RESUMEN TOTAL'!AD304</f>
        <v>APAGADO</v>
      </c>
      <c r="V301" t="str">
        <f>'RESUMEN TOTAL'!AE304</f>
        <v>APAGADO</v>
      </c>
      <c r="W301" t="str">
        <f>'RESUMEN TOTAL'!AF304</f>
        <v>APAGADO</v>
      </c>
      <c r="X301" t="str">
        <f>'RESUMEN TOTAL'!AG304</f>
        <v>APAGADO</v>
      </c>
      <c r="Y301" t="str">
        <f>'RESUMEN TOTAL'!AH304</f>
        <v>APAGADO</v>
      </c>
      <c r="Z301" t="str">
        <f>'RESUMEN TOTAL'!AI304</f>
        <v>APAGADO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</row>
    <row r="302" spans="1:33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 t="str">
        <f>'RESUMEN TOTAL'!Y305</f>
        <v>APAGADO</v>
      </c>
      <c r="Q302" t="str">
        <f>'RESUMEN TOTAL'!Z305</f>
        <v>APAGADO</v>
      </c>
      <c r="R302" t="str">
        <f>'RESUMEN TOTAL'!AA305</f>
        <v>APAGADO</v>
      </c>
      <c r="S302" t="str">
        <f>'RESUMEN TOTAL'!AB305</f>
        <v>APAGADO</v>
      </c>
      <c r="T302" t="str">
        <f>'RESUMEN TOTAL'!AC305</f>
        <v>APAGADO</v>
      </c>
      <c r="U302" t="str">
        <f>'RESUMEN TOTAL'!AD305</f>
        <v>APAGADO</v>
      </c>
      <c r="V302" t="str">
        <f>'RESUMEN TOTAL'!AE305</f>
        <v>APAGADO</v>
      </c>
      <c r="W302" t="str">
        <f>'RESUMEN TOTAL'!AF305</f>
        <v>APAGADO</v>
      </c>
      <c r="X302" t="str">
        <f>'RESUMEN TOTAL'!AG305</f>
        <v>APAGADO</v>
      </c>
      <c r="Y302" t="str">
        <f>'RESUMEN TOTAL'!AH305</f>
        <v>APAGADO</v>
      </c>
      <c r="Z302" t="str">
        <f>'RESUMEN TOTAL'!AI305</f>
        <v>APAGADO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</row>
    <row r="303" spans="1:33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 t="str">
        <f>'RESUMEN TOTAL'!Y306</f>
        <v>APAGADO</v>
      </c>
      <c r="Q303" t="str">
        <f>'RESUMEN TOTAL'!Z306</f>
        <v>APAGADO</v>
      </c>
      <c r="R303" t="str">
        <f>'RESUMEN TOTAL'!AA306</f>
        <v>APAGADO</v>
      </c>
      <c r="S303" t="str">
        <f>'RESUMEN TOTAL'!AB306</f>
        <v>APAGADO</v>
      </c>
      <c r="T303" t="str">
        <f>'RESUMEN TOTAL'!AC306</f>
        <v>APAGADO</v>
      </c>
      <c r="U303" t="str">
        <f>'RESUMEN TOTAL'!AD306</f>
        <v>APAGADO</v>
      </c>
      <c r="V303" t="str">
        <f>'RESUMEN TOTAL'!AE306</f>
        <v>APAGADO</v>
      </c>
      <c r="W303" t="str">
        <f>'RESUMEN TOTAL'!AF306</f>
        <v>APAGADO</v>
      </c>
      <c r="X303" t="str">
        <f>'RESUMEN TOTAL'!AG306</f>
        <v>APAGADO</v>
      </c>
      <c r="Y303" t="str">
        <f>'RESUMEN TOTAL'!AH306</f>
        <v>APAGADO</v>
      </c>
      <c r="Z303" t="str">
        <f>'RESUMEN TOTAL'!AI306</f>
        <v>APAGADO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</row>
    <row r="304" spans="1:33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 t="str">
        <f>'RESUMEN TOTAL'!Y307</f>
        <v>APAGADO</v>
      </c>
      <c r="Q304" t="str">
        <f>'RESUMEN TOTAL'!Z307</f>
        <v>APAGADO</v>
      </c>
      <c r="R304" t="str">
        <f>'RESUMEN TOTAL'!AA307</f>
        <v>APAGADO</v>
      </c>
      <c r="S304" t="str">
        <f>'RESUMEN TOTAL'!AB307</f>
        <v>APAGADO</v>
      </c>
      <c r="T304" t="str">
        <f>'RESUMEN TOTAL'!AC307</f>
        <v>APAGADO</v>
      </c>
      <c r="U304" t="str">
        <f>'RESUMEN TOTAL'!AD307</f>
        <v>APAGADO</v>
      </c>
      <c r="V304" t="str">
        <f>'RESUMEN TOTAL'!AE307</f>
        <v>APAGADO</v>
      </c>
      <c r="W304" t="str">
        <f>'RESUMEN TOTAL'!AF307</f>
        <v>APAGADO</v>
      </c>
      <c r="X304" t="str">
        <f>'RESUMEN TOTAL'!AG307</f>
        <v>APAGADO</v>
      </c>
      <c r="Y304" t="str">
        <f>'RESUMEN TOTAL'!AH307</f>
        <v>APAGADO</v>
      </c>
      <c r="Z304" t="str">
        <f>'RESUMEN TOTAL'!AI307</f>
        <v>APAGADO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</row>
    <row r="305" spans="1:33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 t="str">
        <f>'RESUMEN TOTAL'!O308</f>
        <v>APAGADO</v>
      </c>
      <c r="G305" t="str">
        <f>'RESUMEN TOTAL'!P308</f>
        <v>APAGADO</v>
      </c>
      <c r="H305">
        <f>'RESUMEN TOTAL'!Q308</f>
        <v>0</v>
      </c>
      <c r="I305">
        <f>'RESUMEN TOTAL'!R308</f>
        <v>0</v>
      </c>
      <c r="J305" t="str">
        <f>'RESUMEN TOTAL'!S308</f>
        <v>APAGADO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 t="str">
        <f>'RESUMEN TOTAL'!AA308</f>
        <v>APAGADO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</row>
    <row r="306" spans="1:33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</row>
    <row r="307" spans="1:33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</row>
    <row r="308" spans="1:33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 t="str">
        <f>'RESUMEN TOTAL'!AD311</f>
        <v>APAGADO</v>
      </c>
      <c r="V308" t="str">
        <f>'RESUMEN TOTAL'!AE311</f>
        <v>APAGADO</v>
      </c>
      <c r="W308" t="str">
        <f>'RESUMEN TOTAL'!AF311</f>
        <v>APAGADO</v>
      </c>
      <c r="X308" t="str">
        <f>'RESUMEN TOTAL'!AG311</f>
        <v>APAGADO</v>
      </c>
      <c r="Y308" t="str">
        <f>'RESUMEN TOTAL'!AH311</f>
        <v>APAGADO</v>
      </c>
      <c r="Z308" t="str">
        <f>'RESUMEN TOTAL'!AI311</f>
        <v>APAGADO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</row>
    <row r="309" spans="1:33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 t="str">
        <f>'RESUMEN TOTAL'!AE312</f>
        <v>APAGADO</v>
      </c>
      <c r="W309" t="str">
        <f>'RESUMEN TOTAL'!AF312</f>
        <v>APAGADO</v>
      </c>
      <c r="X309" t="str">
        <f>'RESUMEN TOTAL'!AG312</f>
        <v>APAGADO</v>
      </c>
      <c r="Y309" t="str">
        <f>'RESUMEN TOTAL'!AH312</f>
        <v>APAGADO</v>
      </c>
      <c r="Z309" t="str">
        <f>'RESUMEN TOTAL'!AI312</f>
        <v>APAGADO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</row>
    <row r="310" spans="1:33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 t="str">
        <f>'RESUMEN TOTAL'!AA313</f>
        <v>APAGADO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 t="str">
        <f>'RESUMEN TOTAL'!AE313</f>
        <v>APAGADO</v>
      </c>
      <c r="W310" t="str">
        <f>'RESUMEN TOTAL'!AF313</f>
        <v>APAGADO</v>
      </c>
      <c r="X310" t="str">
        <f>'RESUMEN TOTAL'!AG313</f>
        <v>APAGADO</v>
      </c>
      <c r="Y310" t="str">
        <f>'RESUMEN TOTAL'!AH313</f>
        <v>APAGADO</v>
      </c>
      <c r="Z310" t="str">
        <f>'RESUMEN TOTAL'!AI313</f>
        <v>APAGADO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</row>
    <row r="311" spans="1:33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</row>
    <row r="312" spans="1:33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 t="str">
        <f>'RESUMEN TOTAL'!AA315</f>
        <v>APAGADO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</row>
    <row r="313" spans="1:33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</row>
    <row r="314" spans="1:33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</row>
    <row r="315" spans="1:33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</row>
    <row r="316" spans="1:33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</row>
    <row r="317" spans="1:33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</row>
    <row r="318" spans="1:33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 t="str">
        <f>'RESUMEN TOTAL'!O321</f>
        <v>APAGADO</v>
      </c>
      <c r="G318" t="str">
        <f>'RESUMEN TOTAL'!P321</f>
        <v>APAGADO</v>
      </c>
      <c r="H318" t="str">
        <f>'RESUMEN TOTAL'!Q321</f>
        <v>APAGADO</v>
      </c>
      <c r="I318" t="str">
        <f>'RESUMEN TOTAL'!R321</f>
        <v>APAGADO</v>
      </c>
      <c r="J318" t="str">
        <f>'RESUMEN TOTAL'!S321</f>
        <v>APAGADO</v>
      </c>
      <c r="K318" t="str">
        <f>'RESUMEN TOTAL'!T321</f>
        <v>APAGADO</v>
      </c>
      <c r="L318" t="str">
        <f>'RESUMEN TOTAL'!U321</f>
        <v>APAGADO</v>
      </c>
      <c r="M318" t="str">
        <f>'RESUMEN TOTAL'!V321</f>
        <v>APAGADO</v>
      </c>
      <c r="N318" t="str">
        <f>'RESUMEN TOTAL'!W321</f>
        <v>APAGADO</v>
      </c>
      <c r="O318" t="str">
        <f>'RESUMEN TOTAL'!X321</f>
        <v>APAGADO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 t="str">
        <f>'RESUMEN TOTAL'!AD321</f>
        <v>APAGADO</v>
      </c>
      <c r="V318" t="str">
        <f>'RESUMEN TOTAL'!AE321</f>
        <v>APAGADO</v>
      </c>
      <c r="W318" t="str">
        <f>'RESUMEN TOTAL'!AF321</f>
        <v>APAGADO</v>
      </c>
      <c r="X318" t="str">
        <f>'RESUMEN TOTAL'!AG321</f>
        <v>APAGADO</v>
      </c>
      <c r="Y318" t="str">
        <f>'RESUMEN TOTAL'!AH321</f>
        <v>APAGADO</v>
      </c>
      <c r="Z318" t="str">
        <f>'RESUMEN TOTAL'!AI321</f>
        <v>APAGADO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</row>
    <row r="319" spans="1:33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 t="str">
        <f>'RESUMEN TOTAL'!O322</f>
        <v>APAGADO</v>
      </c>
      <c r="G319" t="str">
        <f>'RESUMEN TOTAL'!P322</f>
        <v>APAGADO</v>
      </c>
      <c r="H319" t="str">
        <f>'RESUMEN TOTAL'!Q322</f>
        <v>APAGADO</v>
      </c>
      <c r="I319" t="str">
        <f>'RESUMEN TOTAL'!R322</f>
        <v>APAGADO</v>
      </c>
      <c r="J319" t="str">
        <f>'RESUMEN TOTAL'!S322</f>
        <v>APAGADO</v>
      </c>
      <c r="K319" t="str">
        <f>'RESUMEN TOTAL'!T322</f>
        <v>APAGADO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 t="str">
        <f>'RESUMEN TOTAL'!AC322</f>
        <v>APAGADO</v>
      </c>
      <c r="U319" t="str">
        <f>'RESUMEN TOTAL'!AD322</f>
        <v>APAGADO</v>
      </c>
      <c r="V319">
        <f>'RESUMEN TOTAL'!AE322</f>
        <v>0</v>
      </c>
      <c r="W319">
        <f>'RESUMEN TOTAL'!AF322</f>
        <v>0</v>
      </c>
      <c r="X319" t="str">
        <f>'RESUMEN TOTAL'!AG322</f>
        <v>APAGADO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</row>
    <row r="320" spans="1:33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 t="str">
        <f>'RESUMEN TOTAL'!AG323</f>
        <v>APAGADO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</row>
    <row r="321" spans="1:33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 t="str">
        <f>'RESUMEN TOTAL'!AD324</f>
        <v>APAGADO</v>
      </c>
      <c r="V321" t="str">
        <f>'RESUMEN TOTAL'!AE324</f>
        <v>APAGADO</v>
      </c>
      <c r="W321" t="str">
        <f>'RESUMEN TOTAL'!AF324</f>
        <v>APAGADO</v>
      </c>
      <c r="X321">
        <f>'RESUMEN TOTAL'!AG324</f>
        <v>0</v>
      </c>
      <c r="Y321">
        <f>'RESUMEN TOTAL'!AH324</f>
        <v>0</v>
      </c>
      <c r="Z321" t="str">
        <f>'RESUMEN TOTAL'!AI324</f>
        <v>APAGADO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</row>
    <row r="322" spans="1:33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</row>
    <row r="323" spans="1:33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</row>
    <row r="324" spans="1:33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</row>
    <row r="325" spans="1:33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</row>
    <row r="326" spans="1:33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</row>
    <row r="327" spans="1:33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 t="str">
        <f>'RESUMEN TOTAL'!P330</f>
        <v>APAGADO</v>
      </c>
      <c r="H327" t="str">
        <f>'RESUMEN TOTAL'!Q330</f>
        <v>APAGADO</v>
      </c>
      <c r="I327" t="str">
        <f>'RESUMEN TOTAL'!R330</f>
        <v>APAGADO</v>
      </c>
      <c r="J327" t="str">
        <f>'RESUMEN TOTAL'!S330</f>
        <v>APAGADO</v>
      </c>
      <c r="K327" t="str">
        <f>'RESUMEN TOTAL'!T330</f>
        <v>APAGADO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 t="str">
        <f>'RESUMEN TOTAL'!AB330</f>
        <v>APAGADO</v>
      </c>
      <c r="T327" t="str">
        <f>'RESUMEN TOTAL'!AC330</f>
        <v>APAGADO</v>
      </c>
      <c r="U327" t="str">
        <f>'RESUMEN TOTAL'!AD330</f>
        <v>APAGADO</v>
      </c>
      <c r="V327">
        <f>'RESUMEN TOTAL'!AE330</f>
        <v>0</v>
      </c>
      <c r="W327">
        <f>'RESUMEN TOTAL'!AF330</f>
        <v>0</v>
      </c>
      <c r="X327" t="str">
        <f>'RESUMEN TOTAL'!AG330</f>
        <v>APAGADO</v>
      </c>
      <c r="Y327" t="str">
        <f>'RESUMEN TOTAL'!AH330</f>
        <v>APAGADO</v>
      </c>
      <c r="Z327" t="str">
        <f>'RESUMEN TOTAL'!AI330</f>
        <v>APAGADO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</row>
    <row r="328" spans="1:33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 t="str">
        <f>'RESUMEN TOTAL'!P331</f>
        <v>APAGADO</v>
      </c>
      <c r="H328" t="str">
        <f>'RESUMEN TOTAL'!Q331</f>
        <v>APAGADO</v>
      </c>
      <c r="I328" t="str">
        <f>'RESUMEN TOTAL'!R331</f>
        <v>APAGADO</v>
      </c>
      <c r="J328" t="str">
        <f>'RESUMEN TOTAL'!S331</f>
        <v>APAGADO</v>
      </c>
      <c r="K328" t="str">
        <f>'RESUMEN TOTAL'!T331</f>
        <v>APAGADO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 t="str">
        <f>'RESUMEN TOTAL'!AB331</f>
        <v>APAGADO</v>
      </c>
      <c r="T328" t="str">
        <f>'RESUMEN TOTAL'!AC331</f>
        <v>APAGADO</v>
      </c>
      <c r="U328" t="str">
        <f>'RESUMEN TOTAL'!AD331</f>
        <v>APAGADO</v>
      </c>
      <c r="V328">
        <f>'RESUMEN TOTAL'!AE331</f>
        <v>0</v>
      </c>
      <c r="W328">
        <f>'RESUMEN TOTAL'!AF331</f>
        <v>0</v>
      </c>
      <c r="X328" t="str">
        <f>'RESUMEN TOTAL'!AG331</f>
        <v>APAGADO</v>
      </c>
      <c r="Y328" t="str">
        <f>'RESUMEN TOTAL'!AH331</f>
        <v>APAGADO</v>
      </c>
      <c r="Z328" t="str">
        <f>'RESUMEN TOTAL'!AI331</f>
        <v>APAGADO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</row>
    <row r="329" spans="1:33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</row>
    <row r="330" spans="1:33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 t="str">
        <f>'RESUMEN TOTAL'!O333</f>
        <v>APAGADO</v>
      </c>
      <c r="G330" t="str">
        <f>'RESUMEN TOTAL'!P333</f>
        <v>APAGADO</v>
      </c>
      <c r="H330" t="str">
        <f>'RESUMEN TOTAL'!Q333</f>
        <v>APAGADO</v>
      </c>
      <c r="I330" t="str">
        <f>'RESUMEN TOTAL'!R333</f>
        <v>APAGADO</v>
      </c>
      <c r="J330" t="str">
        <f>'RESUMEN TOTAL'!S333</f>
        <v>APAGADO</v>
      </c>
      <c r="K330" t="str">
        <f>'RESUMEN TOTAL'!T333</f>
        <v>APAGADO</v>
      </c>
      <c r="L330" t="str">
        <f>'RESUMEN TOTAL'!U333</f>
        <v>APAGADO</v>
      </c>
      <c r="M330" t="str">
        <f>'RESUMEN TOTAL'!V333</f>
        <v>APAGADO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</row>
    <row r="331" spans="1:33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</row>
    <row r="332" spans="1:33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</row>
    <row r="333" spans="1:33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</row>
    <row r="334" spans="1:33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</row>
    <row r="335" spans="1:33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</row>
    <row r="336" spans="1:33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 t="str">
        <f>'RESUMEN TOTAL'!AD339</f>
        <v>APAGADO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</row>
    <row r="337" spans="1:33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</row>
    <row r="338" spans="1:33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</row>
    <row r="339" spans="1:33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</row>
    <row r="340" spans="1:33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</row>
    <row r="341" spans="1:33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</row>
    <row r="342" spans="1:33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</row>
    <row r="343" spans="1:33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</row>
    <row r="344" spans="1:33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 t="str">
        <f>'RESUMEN TOTAL'!O347</f>
        <v>APAGADO</v>
      </c>
      <c r="G344" t="str">
        <f>'RESUMEN TOTAL'!P347</f>
        <v>APAGADO</v>
      </c>
      <c r="H344" t="str">
        <f>'RESUMEN TOTAL'!Q347</f>
        <v>APAGADO</v>
      </c>
      <c r="I344" t="str">
        <f>'RESUMEN TOTAL'!R347</f>
        <v>APAGADO</v>
      </c>
      <c r="J344" t="str">
        <f>'RESUMEN TOTAL'!S347</f>
        <v>APAGADO</v>
      </c>
      <c r="K344" t="str">
        <f>'RESUMEN TOTAL'!T347</f>
        <v>APAGADO</v>
      </c>
      <c r="L344" t="str">
        <f>'RESUMEN TOTAL'!U347</f>
        <v>APAGADO</v>
      </c>
      <c r="M344" t="str">
        <f>'RESUMEN TOTAL'!V347</f>
        <v>APAGADO</v>
      </c>
      <c r="N344" t="str">
        <f>'RESUMEN TOTAL'!W347</f>
        <v>APAGADO</v>
      </c>
      <c r="O344" t="str">
        <f>'RESUMEN TOTAL'!X347</f>
        <v>APAGADO</v>
      </c>
      <c r="P344" t="str">
        <f>'RESUMEN TOTAL'!Y347</f>
        <v>APAGADO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</row>
    <row r="345" spans="1:33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 t="str">
        <f>'RESUMEN TOTAL'!O348</f>
        <v>APAGADO</v>
      </c>
      <c r="G345" t="str">
        <f>'RESUMEN TOTAL'!P348</f>
        <v>APAGADO</v>
      </c>
      <c r="H345" t="str">
        <f>'RESUMEN TOTAL'!Q348</f>
        <v>APAGADO</v>
      </c>
      <c r="I345" t="str">
        <f>'RESUMEN TOTAL'!R348</f>
        <v>APAGADO</v>
      </c>
      <c r="J345" t="str">
        <f>'RESUMEN TOTAL'!S348</f>
        <v>APAGADO</v>
      </c>
      <c r="K345" t="str">
        <f>'RESUMEN TOTAL'!T348</f>
        <v>APAGADO</v>
      </c>
      <c r="L345" t="str">
        <f>'RESUMEN TOTAL'!U348</f>
        <v>APAGADO</v>
      </c>
      <c r="M345" t="str">
        <f>'RESUMEN TOTAL'!V348</f>
        <v>APAGADO</v>
      </c>
      <c r="N345" t="str">
        <f>'RESUMEN TOTAL'!W348</f>
        <v>APAGADO</v>
      </c>
      <c r="O345" t="str">
        <f>'RESUMEN TOTAL'!X348</f>
        <v>APAGADO</v>
      </c>
      <c r="P345" t="str">
        <f>'RESUMEN TOTAL'!Y348</f>
        <v>APAGADO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</row>
    <row r="346" spans="1:33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 t="str">
        <f>'RESUMEN TOTAL'!O349</f>
        <v>APAGADO</v>
      </c>
      <c r="G346" t="str">
        <f>'RESUMEN TOTAL'!P349</f>
        <v>APAGADO</v>
      </c>
      <c r="H346" t="str">
        <f>'RESUMEN TOTAL'!Q349</f>
        <v>APAGADO</v>
      </c>
      <c r="I346" t="str">
        <f>'RESUMEN TOTAL'!R349</f>
        <v>APAGADO</v>
      </c>
      <c r="J346" t="str">
        <f>'RESUMEN TOTAL'!S349</f>
        <v>APAGADO</v>
      </c>
      <c r="K346" t="str">
        <f>'RESUMEN TOTAL'!T349</f>
        <v>APAGADO</v>
      </c>
      <c r="L346" t="str">
        <f>'RESUMEN TOTAL'!U349</f>
        <v>APAGADO</v>
      </c>
      <c r="M346" t="str">
        <f>'RESUMEN TOTAL'!V349</f>
        <v>APAGADO</v>
      </c>
      <c r="N346" t="str">
        <f>'RESUMEN TOTAL'!W349</f>
        <v>APAGADO</v>
      </c>
      <c r="O346" t="str">
        <f>'RESUMEN TOTAL'!X349</f>
        <v>APAGADO</v>
      </c>
      <c r="P346" t="str">
        <f>'RESUMEN TOTAL'!Y349</f>
        <v>APAGADO</v>
      </c>
      <c r="Q346">
        <f>'RESUMEN TOTAL'!Z349</f>
        <v>0</v>
      </c>
      <c r="R346">
        <f>'RESUMEN TOTAL'!AA349</f>
        <v>0</v>
      </c>
      <c r="S346" t="str">
        <f>'RESUMEN TOTAL'!AB349</f>
        <v>APAGADO</v>
      </c>
      <c r="T346" t="str">
        <f>'RESUMEN TOTAL'!AC349</f>
        <v>APAGADO</v>
      </c>
      <c r="U346" t="str">
        <f>'RESUMEN TOTAL'!AD349</f>
        <v>APAGADO</v>
      </c>
      <c r="V346" t="str">
        <f>'RESUMEN TOTAL'!AE349</f>
        <v>APAGADO</v>
      </c>
      <c r="W346" t="str">
        <f>'RESUMEN TOTAL'!AF349</f>
        <v>APAGADO</v>
      </c>
      <c r="X346" t="str">
        <f>'RESUMEN TOTAL'!AG349</f>
        <v>APAGADO</v>
      </c>
      <c r="Y346" t="str">
        <f>'RESUMEN TOTAL'!AH349</f>
        <v>APAGADO</v>
      </c>
      <c r="Z346" t="str">
        <f>'RESUMEN TOTAL'!AI349</f>
        <v>APAGADO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</row>
    <row r="347" spans="1:33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 t="str">
        <f>'RESUMEN TOTAL'!O350</f>
        <v>APAGADO</v>
      </c>
      <c r="G347" t="str">
        <f>'RESUMEN TOTAL'!P350</f>
        <v>APAGADO</v>
      </c>
      <c r="H347" t="str">
        <f>'RESUMEN TOTAL'!Q350</f>
        <v>APAGADO</v>
      </c>
      <c r="I347" t="str">
        <f>'RESUMEN TOTAL'!R350</f>
        <v>APAGADO</v>
      </c>
      <c r="J347">
        <f>'RESUMEN TOTAL'!S350</f>
        <v>0</v>
      </c>
      <c r="K347" t="str">
        <f>'RESUMEN TOTAL'!T350</f>
        <v>APAGADO</v>
      </c>
      <c r="L347" t="str">
        <f>'RESUMEN TOTAL'!U350</f>
        <v>APAGADO</v>
      </c>
      <c r="M347" t="str">
        <f>'RESUMEN TOTAL'!V350</f>
        <v>APAGADO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 t="str">
        <f>'RESUMEN TOTAL'!Z350</f>
        <v>APAGADO</v>
      </c>
      <c r="R347" t="str">
        <f>'RESUMEN TOTAL'!AA350</f>
        <v>APAGADO</v>
      </c>
      <c r="S347">
        <f>'RESUMEN TOTAL'!AB350</f>
        <v>0</v>
      </c>
      <c r="T347">
        <f>'RESUMEN TOTAL'!AC350</f>
        <v>0</v>
      </c>
      <c r="U347" t="str">
        <f>'RESUMEN TOTAL'!AD350</f>
        <v>APAGADO</v>
      </c>
      <c r="V347" t="str">
        <f>'RESUMEN TOTAL'!AE350</f>
        <v>APAGADO</v>
      </c>
      <c r="W347" t="str">
        <f>'RESUMEN TOTAL'!AF350</f>
        <v>APAGADO</v>
      </c>
      <c r="X347" t="str">
        <f>'RESUMEN TOTAL'!AG350</f>
        <v>APAGADO</v>
      </c>
      <c r="Y347" t="str">
        <f>'RESUMEN TOTAL'!AH350</f>
        <v>APAGADO</v>
      </c>
      <c r="Z347" t="str">
        <f>'RESUMEN TOTAL'!AI350</f>
        <v>APAGADO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</row>
    <row r="348" spans="1:33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 t="str">
        <f>'RESUMEN TOTAL'!O351</f>
        <v>APAGADO</v>
      </c>
      <c r="G348" t="str">
        <f>'RESUMEN TOTAL'!P351</f>
        <v>APAGADO</v>
      </c>
      <c r="H348" t="str">
        <f>'RESUMEN TOTAL'!Q351</f>
        <v>APAGADO</v>
      </c>
      <c r="I348" t="str">
        <f>'RESUMEN TOTAL'!R351</f>
        <v>APAGADO</v>
      </c>
      <c r="J348" t="str">
        <f>'RESUMEN TOTAL'!S351</f>
        <v>APAGADO</v>
      </c>
      <c r="K348" t="str">
        <f>'RESUMEN TOTAL'!T351</f>
        <v>APAGADO</v>
      </c>
      <c r="L348" t="str">
        <f>'RESUMEN TOTAL'!U351</f>
        <v>APAGADO</v>
      </c>
      <c r="M348" t="str">
        <f>'RESUMEN TOTAL'!V351</f>
        <v>APAGADO</v>
      </c>
      <c r="N348" t="str">
        <f>'RESUMEN TOTAL'!W351</f>
        <v>APAGADO</v>
      </c>
      <c r="O348" t="str">
        <f>'RESUMEN TOTAL'!X351</f>
        <v>APAGADO</v>
      </c>
      <c r="P348" t="str">
        <f>'RESUMEN TOTAL'!Y351</f>
        <v>APAGADO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</row>
    <row r="349" spans="1:33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>
        <f>'RESUMEN TOTAL'!O352</f>
        <v>0</v>
      </c>
      <c r="G349">
        <f>'RESUMEN TOTAL'!P352</f>
        <v>0</v>
      </c>
      <c r="H349">
        <f>'RESUMEN TOTAL'!Q352</f>
        <v>0</v>
      </c>
      <c r="I349">
        <f>'RESUMEN TOTAL'!R352</f>
        <v>0</v>
      </c>
      <c r="J349">
        <f>'RESUMEN TOTAL'!S352</f>
        <v>0</v>
      </c>
      <c r="K349">
        <f>'RESUMEN TOTAL'!T352</f>
        <v>0</v>
      </c>
      <c r="L349">
        <f>'RESUMEN TOTAL'!U352</f>
        <v>0</v>
      </c>
      <c r="M349">
        <f>'RESUMEN TOTAL'!V352</f>
        <v>0</v>
      </c>
      <c r="N349">
        <f>'RESUMEN TOTAL'!W352</f>
        <v>0</v>
      </c>
      <c r="O349">
        <f>'RESUMEN TOTAL'!X352</f>
        <v>0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</row>
    <row r="350" spans="1:33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</row>
    <row r="351" spans="1:33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</row>
    <row r="352" spans="1:33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 t="str">
        <f>'RESUMEN TOTAL'!S355</f>
        <v>APAGADO</v>
      </c>
      <c r="K352" t="str">
        <f>'RESUMEN TOTAL'!T355</f>
        <v>APAGADO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 t="str">
        <f>'RESUMEN TOTAL'!AA355</f>
        <v>APAGADO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 t="str">
        <f>'RESUMEN TOTAL'!AG355</f>
        <v>APAGADO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</row>
    <row r="353" spans="1:33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</row>
    <row r="354" spans="1:33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</row>
    <row r="355" spans="1:33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</row>
    <row r="356" spans="1:33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</row>
    <row r="357" spans="1:33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</row>
    <row r="358" spans="1:33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</row>
    <row r="359" spans="1:33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</row>
    <row r="360" spans="1:33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</row>
    <row r="361" spans="1:33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 t="str">
        <f>'RESUMEN TOTAL'!U364</f>
        <v>APAGADO</v>
      </c>
      <c r="M361" t="str">
        <f>'RESUMEN TOTAL'!V364</f>
        <v>APAGADO</v>
      </c>
      <c r="N361" t="str">
        <f>'RESUMEN TOTAL'!W364</f>
        <v>APAGADO</v>
      </c>
      <c r="O361" t="str">
        <f>'RESUMEN TOTAL'!X364</f>
        <v>APAGADO</v>
      </c>
      <c r="P361" t="str">
        <f>'RESUMEN TOTAL'!Y364</f>
        <v>APAGADO</v>
      </c>
      <c r="Q361">
        <f>'RESUMEN TOTAL'!Z364</f>
        <v>0</v>
      </c>
      <c r="R361" t="str">
        <f>'RESUMEN TOTAL'!AA364</f>
        <v>APAGADO</v>
      </c>
      <c r="S361" t="str">
        <f>'RESUMEN TOTAL'!AB364</f>
        <v>APAGADO</v>
      </c>
      <c r="T361" t="str">
        <f>'RESUMEN TOTAL'!AC364</f>
        <v>APAGADO</v>
      </c>
      <c r="U361" t="str">
        <f>'RESUMEN TOTAL'!AD364</f>
        <v>APAGADO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</row>
    <row r="362" spans="1:33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</row>
    <row r="363" spans="1:33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</row>
    <row r="364" spans="1:33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</row>
    <row r="365" spans="1:33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</row>
    <row r="366" spans="1:33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 t="str">
        <f>'RESUMEN TOTAL'!O369</f>
        <v>APAGADO</v>
      </c>
      <c r="G366" t="str">
        <f>'RESUMEN TOTAL'!P369</f>
        <v>APAGADO</v>
      </c>
      <c r="H366" t="str">
        <f>'RESUMEN TOTAL'!Q369</f>
        <v>APAGADO</v>
      </c>
      <c r="I366" t="str">
        <f>'RESUMEN TOTAL'!R369</f>
        <v>APAGADO</v>
      </c>
      <c r="J366" t="str">
        <f>'RESUMEN TOTAL'!S369</f>
        <v>APAGADO</v>
      </c>
      <c r="K366" t="str">
        <f>'RESUMEN TOTAL'!T369</f>
        <v>APAGADO</v>
      </c>
      <c r="L366" t="str">
        <f>'RESUMEN TOTAL'!U369</f>
        <v>APAGADO</v>
      </c>
      <c r="M366" t="str">
        <f>'RESUMEN TOTAL'!V369</f>
        <v>APAGADO</v>
      </c>
      <c r="N366" t="str">
        <f>'RESUMEN TOTAL'!W369</f>
        <v>APAGADO</v>
      </c>
      <c r="O366" t="str">
        <f>'RESUMEN TOTAL'!X369</f>
        <v>APAGADO</v>
      </c>
      <c r="P366" t="str">
        <f>'RESUMEN TOTAL'!Y369</f>
        <v>APAGADO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</row>
    <row r="367" spans="1:33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 t="str">
        <f>'RESUMEN TOTAL'!AD370</f>
        <v>APAGADO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</row>
    <row r="368" spans="1:33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</row>
    <row r="369" spans="1:33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</row>
    <row r="370" spans="1:33" x14ac:dyDescent="0.3">
      <c r="A370">
        <f>'RESUMEN TOTAL'!A373</f>
        <v>0</v>
      </c>
      <c r="B370">
        <f>'RESUMEN TOTAL'!C373</f>
        <v>0</v>
      </c>
      <c r="C370">
        <f>'RESUMEN TOTAL'!D373</f>
        <v>0</v>
      </c>
      <c r="D370">
        <f>'RESUMEN TOTAL'!E373</f>
        <v>0</v>
      </c>
      <c r="E370">
        <f>'RESUMEN TOTAL'!F373</f>
        <v>0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</row>
    <row r="371" spans="1:33" x14ac:dyDescent="0.3">
      <c r="A371">
        <f>'RESUMEN TOTAL'!A374</f>
        <v>0</v>
      </c>
      <c r="B371">
        <f>'RESUMEN TOTAL'!C374</f>
        <v>0</v>
      </c>
      <c r="C371">
        <f>'RESUMEN TOTAL'!D374</f>
        <v>0</v>
      </c>
      <c r="D371">
        <f>'RESUMEN TOTAL'!E374</f>
        <v>0</v>
      </c>
      <c r="E371">
        <f>'RESUMEN TOTAL'!F374</f>
        <v>0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</row>
    <row r="372" spans="1:33" x14ac:dyDescent="0.3">
      <c r="A372">
        <f>'RESUMEN TOTAL'!A375</f>
        <v>0</v>
      </c>
      <c r="B372">
        <f>'RESUMEN TOTAL'!C375</f>
        <v>0</v>
      </c>
      <c r="C372">
        <f>'RESUMEN TOTAL'!D375</f>
        <v>0</v>
      </c>
      <c r="D372">
        <f>'RESUMEN TOTAL'!E375</f>
        <v>0</v>
      </c>
      <c r="E372">
        <f>'RESUMEN TOTAL'!F375</f>
        <v>0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</row>
    <row r="373" spans="1:33" x14ac:dyDescent="0.3">
      <c r="A373">
        <f>'RESUMEN TOTAL'!A376</f>
        <v>0</v>
      </c>
      <c r="B373">
        <f>'RESUMEN TOTAL'!C376</f>
        <v>0</v>
      </c>
      <c r="C373">
        <f>'RESUMEN TOTAL'!D376</f>
        <v>0</v>
      </c>
      <c r="D373">
        <f>'RESUMEN TOTAL'!E376</f>
        <v>0</v>
      </c>
      <c r="E373">
        <f>'RESUMEN TOTAL'!F376</f>
        <v>0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</row>
    <row r="374" spans="1:33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O3" activePane="bottomRight" state="frozen"/>
      <selection pane="topRight" activeCell="F1" sqref="F1"/>
      <selection pane="bottomLeft" activeCell="A3" sqref="A3"/>
      <selection pane="bottomRight" activeCell="B368" sqref="B368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61</v>
      </c>
      <c r="G1" s="26">
        <f t="shared" si="0"/>
        <v>79</v>
      </c>
      <c r="H1" s="26">
        <f t="shared" si="0"/>
        <v>76</v>
      </c>
      <c r="I1" s="26">
        <f t="shared" si="0"/>
        <v>69</v>
      </c>
      <c r="J1" s="26">
        <f t="shared" si="0"/>
        <v>69</v>
      </c>
      <c r="K1" s="26">
        <f t="shared" si="0"/>
        <v>68</v>
      </c>
      <c r="L1" s="26">
        <f t="shared" si="0"/>
        <v>70</v>
      </c>
      <c r="M1" s="26">
        <f t="shared" si="0"/>
        <v>66</v>
      </c>
      <c r="N1" s="26">
        <f t="shared" si="0"/>
        <v>78</v>
      </c>
      <c r="O1" s="26">
        <f t="shared" si="0"/>
        <v>68</v>
      </c>
      <c r="P1" s="26">
        <f t="shared" si="0"/>
        <v>58</v>
      </c>
      <c r="Q1" s="26">
        <f t="shared" si="0"/>
        <v>48</v>
      </c>
      <c r="R1" s="26">
        <f t="shared" si="0"/>
        <v>53</v>
      </c>
      <c r="S1" s="26">
        <f t="shared" si="0"/>
        <v>58</v>
      </c>
      <c r="T1" s="26">
        <f t="shared" si="0"/>
        <v>48</v>
      </c>
      <c r="U1" s="26">
        <f t="shared" si="0"/>
        <v>64</v>
      </c>
      <c r="V1" s="26">
        <f t="shared" si="0"/>
        <v>43</v>
      </c>
      <c r="W1" s="26">
        <f>COUNTIF(W3:W447, "APAGADO")</f>
        <v>52</v>
      </c>
      <c r="X1" s="26">
        <f t="shared" si="0"/>
        <v>73</v>
      </c>
      <c r="Y1" s="26">
        <f t="shared" si="0"/>
        <v>52</v>
      </c>
      <c r="Z1" s="26">
        <f t="shared" si="0"/>
        <v>55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44621</v>
      </c>
      <c r="G2" s="25">
        <f>ESTADISTICA!G1</f>
        <v>44622</v>
      </c>
      <c r="H2" s="25">
        <f>ESTADISTICA!H1</f>
        <v>44623</v>
      </c>
      <c r="I2" s="25">
        <f>ESTADISTICA!I1</f>
        <v>44624</v>
      </c>
      <c r="J2" s="25">
        <f>ESTADISTICA!J1</f>
        <v>44625</v>
      </c>
      <c r="K2" s="25">
        <f>ESTADISTICA!K1</f>
        <v>44626</v>
      </c>
      <c r="L2" s="25">
        <f>ESTADISTICA!L1</f>
        <v>44627</v>
      </c>
      <c r="M2" s="25">
        <f>ESTADISTICA!M1</f>
        <v>44628</v>
      </c>
      <c r="N2" s="25">
        <f>ESTADISTICA!N1</f>
        <v>44629</v>
      </c>
      <c r="O2" s="25">
        <f>ESTADISTICA!O1</f>
        <v>44630</v>
      </c>
      <c r="P2" s="25">
        <f>ESTADISTICA!P1</f>
        <v>44631</v>
      </c>
      <c r="Q2" s="25">
        <f>ESTADISTICA!Q1</f>
        <v>44632</v>
      </c>
      <c r="R2" s="25">
        <f>ESTADISTICA!R1</f>
        <v>44633</v>
      </c>
      <c r="S2" s="25">
        <f>ESTADISTICA!S1</f>
        <v>44634</v>
      </c>
      <c r="T2" s="25">
        <f>ESTADISTICA!T1</f>
        <v>44635</v>
      </c>
      <c r="U2" s="25">
        <f>ESTADISTICA!U1</f>
        <v>44636</v>
      </c>
      <c r="V2" s="25">
        <f>ESTADISTICA!V1</f>
        <v>44637</v>
      </c>
      <c r="W2" s="25">
        <f>ESTADISTICA!W1</f>
        <v>44638</v>
      </c>
      <c r="X2" s="25">
        <f>ESTADISTICA!X1</f>
        <v>44639</v>
      </c>
      <c r="Y2" s="25">
        <f>ESTADISTICA!Y1</f>
        <v>44640</v>
      </c>
      <c r="Z2" s="25">
        <f>ESTADISTICA!Z1</f>
        <v>44641</v>
      </c>
      <c r="AA2" s="25">
        <f>ESTADISTICA!AA1</f>
        <v>44642</v>
      </c>
      <c r="AB2" s="25">
        <f>ESTADISTICA!AB1</f>
        <v>44643</v>
      </c>
      <c r="AC2" s="25">
        <f>ESTADISTICA!AC1</f>
        <v>44644</v>
      </c>
      <c r="AD2" s="25">
        <f>ESTADISTICA!AD1</f>
        <v>44645</v>
      </c>
      <c r="AE2" s="25">
        <f>ESTADISTICA!AE1</f>
        <v>44646</v>
      </c>
      <c r="AF2" s="25">
        <f>ESTADISTICA!AF1</f>
        <v>44647</v>
      </c>
      <c r="AG2" s="25">
        <f>ESTADISTICA!AG1</f>
        <v>44648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 t="str">
        <f>ESTADISTICA!X12</f>
        <v>APAGADO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 t="str">
        <f>ESTADISTICA!N27</f>
        <v>APAGADO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 t="str">
        <f>ESTADISTICA!X27</f>
        <v>APAGADO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 t="str">
        <f>ESTADISTICA!K34</f>
        <v>APAGADO</v>
      </c>
      <c r="L35" t="str">
        <f>ESTADISTICA!L34</f>
        <v>APAGADO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 t="str">
        <f>ESTADISTICA!L35</f>
        <v xml:space="preserve"> 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>
        <f>ESTADISTICA!M38</f>
        <v>0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 t="str">
        <f>ESTADISTICA!X38</f>
        <v>APAGADO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 t="str">
        <f>ESTADISTICA!N40</f>
        <v>APAGADO</v>
      </c>
      <c r="O41" t="str">
        <f>ESTADISTICA!O40</f>
        <v>APAGADO</v>
      </c>
      <c r="P41" t="str">
        <f>ESTADISTICA!P40</f>
        <v>APAGADO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 t="str">
        <f>ESTADISTICA!X41</f>
        <v>APAGADO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 t="str">
        <f>ESTADISTICA!X46</f>
        <v>APAGADO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 t="str">
        <f>ESTADISTICA!X48</f>
        <v>APAGADO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 t="str">
        <f>ESTADISTICA!X49</f>
        <v>APAGADO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 t="str">
        <f>ESTADISTICA!F57</f>
        <v>APAGADO</v>
      </c>
      <c r="G58" t="str">
        <f>ESTADISTICA!G57</f>
        <v>APAGADO</v>
      </c>
      <c r="H58" t="str">
        <f>ESTADISTICA!H57</f>
        <v>APAGADO</v>
      </c>
      <c r="I58" t="str">
        <f>ESTADISTICA!I57</f>
        <v>APAGADO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>
        <f>ESTADISTICA!M57</f>
        <v>0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 t="str">
        <f>ESTADISTICA!M59</f>
        <v>APAGADO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 t="str">
        <f>ESTADISTICA!G62</f>
        <v>APAGADO</v>
      </c>
      <c r="H63" t="str">
        <f>ESTADISTICA!H62</f>
        <v>APAGADO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 t="str">
        <f>ESTADISTICA!G65</f>
        <v>APAGADO</v>
      </c>
      <c r="H66" t="str">
        <f>ESTADISTICA!H65</f>
        <v>APAGADO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 t="str">
        <f>ESTADISTICA!X67</f>
        <v>APAGADO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 t="str">
        <f>ESTADISTICA!X77</f>
        <v>APAGADO</v>
      </c>
      <c r="Y78" t="str">
        <f>ESTADISTICA!Y77</f>
        <v>APAGADO</v>
      </c>
      <c r="Z78" t="str">
        <f>ESTADISTICA!Z77</f>
        <v>APAGADO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 t="str">
        <f>ESTADISTICA!F83</f>
        <v>APAGADO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 t="str">
        <f>ESTADISTICA!G86</f>
        <v>APAGADO</v>
      </c>
      <c r="H87" t="str">
        <f>ESTADISTICA!H86</f>
        <v>APAGADO</v>
      </c>
      <c r="I87" t="str">
        <f>ESTADISTICA!I86</f>
        <v>APAGADO</v>
      </c>
      <c r="J87" t="str">
        <f>ESTADISTICA!J86</f>
        <v>APAGADO</v>
      </c>
      <c r="K87" t="str">
        <f>ESTADISTICA!K86</f>
        <v>APAGADO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 t="str">
        <f>ESTADISTICA!T86</f>
        <v>APAGADO</v>
      </c>
      <c r="U87" t="str">
        <f>ESTADISTICA!U86</f>
        <v>APAGADO</v>
      </c>
      <c r="V87" t="str">
        <f>ESTADISTICA!V86</f>
        <v>APAGADO</v>
      </c>
      <c r="W87" t="str">
        <f>ESTADISTICA!W86</f>
        <v>APAGADO</v>
      </c>
      <c r="X87" t="str">
        <f>ESTADISTICA!X86</f>
        <v>APAGADO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 t="str">
        <f>ESTADISTICA!H87</f>
        <v>APAGADO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 t="str">
        <f>ESTADISTICA!X87</f>
        <v>APAGADO</v>
      </c>
      <c r="Y88" t="str">
        <f>ESTADISTICA!Y87</f>
        <v>APAGADO</v>
      </c>
      <c r="Z88" t="str">
        <f>ESTADISTICA!Z87</f>
        <v>APAGADO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 t="str">
        <f>ESTADISTICA!H88</f>
        <v>APAGADO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 t="str">
        <f>ESTADISTICA!Q88</f>
        <v>APAGADO</v>
      </c>
      <c r="R89" t="str">
        <f>ESTADISTICA!R88</f>
        <v>APAGADO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 t="str">
        <f>ESTADISTICA!X88</f>
        <v>APAGADO</v>
      </c>
      <c r="Y89" t="str">
        <f>ESTADISTICA!Y88</f>
        <v>APAGADO</v>
      </c>
      <c r="Z89" t="str">
        <f>ESTADISTICA!Z88</f>
        <v>APAGADO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 t="str">
        <f>ESTADISTICA!G89</f>
        <v>APAGADO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 t="str">
        <f>ESTADISTICA!M89</f>
        <v>APAGADO</v>
      </c>
      <c r="N90" t="str">
        <f>ESTADISTICA!N89</f>
        <v>APAGADO</v>
      </c>
      <c r="O90" t="str">
        <f>ESTADISTICA!O89</f>
        <v>APAGADO</v>
      </c>
      <c r="P90" t="str">
        <f>ESTADISTICA!P89</f>
        <v>APAGADO</v>
      </c>
      <c r="Q90" t="str">
        <f>ESTADISTICA!Q89</f>
        <v>APAGADO</v>
      </c>
      <c r="R90" t="str">
        <f>ESTADISTICA!R89</f>
        <v>APAGADO</v>
      </c>
      <c r="S90" t="str">
        <f>ESTADISTICA!S89</f>
        <v>APAGADO</v>
      </c>
      <c r="T90" t="str">
        <f>ESTADISTICA!T89</f>
        <v>APAGADO</v>
      </c>
      <c r="U90" t="str">
        <f>ESTADISTICA!U89</f>
        <v>APAGADO</v>
      </c>
      <c r="V90" t="str">
        <f>ESTADISTICA!V89</f>
        <v>APAGADO</v>
      </c>
      <c r="W90" t="str">
        <f>ESTADISTICA!W89</f>
        <v>APAGADO</v>
      </c>
      <c r="X90" t="str">
        <f>ESTADISTICA!X89</f>
        <v>APAGADO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 t="str">
        <f>ESTADISTICA!N91</f>
        <v>APAGADO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 t="str">
        <f>ESTADISTICA!M94</f>
        <v>APAGADO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 t="str">
        <f>ESTADISTICA!Q99</f>
        <v>APAGADO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 t="str">
        <f>ESTADISTICA!P101</f>
        <v>APAGADO</v>
      </c>
      <c r="Q102" t="str">
        <f>ESTADISTICA!Q101</f>
        <v>APAGADO</v>
      </c>
      <c r="R102" t="str">
        <f>ESTADISTICA!R101</f>
        <v>APAGADO</v>
      </c>
      <c r="S102" t="str">
        <f>ESTADISTICA!S101</f>
        <v>APAGADO</v>
      </c>
      <c r="T102" t="str">
        <f>ESTADISTICA!T101</f>
        <v>APAGADO</v>
      </c>
      <c r="U102" t="str">
        <f>ESTADISTICA!U101</f>
        <v>APAGADO</v>
      </c>
      <c r="V102" t="str">
        <f>ESTADISTICA!V101</f>
        <v>APAGADO</v>
      </c>
      <c r="W102" t="str">
        <f>ESTADISTICA!W101</f>
        <v>APAGADO</v>
      </c>
      <c r="X102" t="str">
        <f>ESTADISTICA!X101</f>
        <v>APAGADO</v>
      </c>
      <c r="Y102" t="str">
        <f>ESTADISTICA!Y101</f>
        <v>APAGADO</v>
      </c>
      <c r="Z102" t="str">
        <f>ESTADISTICA!Z101</f>
        <v>APAGADO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 t="str">
        <f>ESTADISTICA!P102</f>
        <v>APAGADO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 t="str">
        <f>ESTADISTICA!G103</f>
        <v>APAGADO</v>
      </c>
      <c r="H104" t="str">
        <f>ESTADISTICA!H103</f>
        <v>APAGADO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 t="str">
        <f>ESTADISTICA!O104</f>
        <v>APAGADO</v>
      </c>
      <c r="P105">
        <f>ESTADISTICA!P104</f>
        <v>0</v>
      </c>
      <c r="Q105">
        <f>ESTADISTICA!Q104</f>
        <v>0</v>
      </c>
      <c r="R105">
        <f>ESTADISTICA!R104</f>
        <v>0</v>
      </c>
      <c r="S105" t="str">
        <f>ESTADISTICA!S104</f>
        <v>APAGADO</v>
      </c>
      <c r="T105">
        <f>ESTADISTICA!T104</f>
        <v>0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 t="str">
        <f>ESTADISTICA!G105</f>
        <v>APAGADO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>
        <f>ESTADISTICA!P105</f>
        <v>0</v>
      </c>
      <c r="Q106">
        <f>ESTADISTICA!Q105</f>
        <v>0</v>
      </c>
      <c r="R106">
        <f>ESTADISTICA!R105</f>
        <v>0</v>
      </c>
      <c r="S106" t="str">
        <f>ESTADISTICA!S105</f>
        <v>APAGADO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 t="str">
        <f>ESTADISTICA!G106</f>
        <v>APAGADO</v>
      </c>
      <c r="H107" t="str">
        <f>ESTADISTICA!H106</f>
        <v>APAGADO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 t="str">
        <f>ESTADISTICA!O106</f>
        <v>APAGADO</v>
      </c>
      <c r="P107">
        <f>ESTADISTICA!P106</f>
        <v>0</v>
      </c>
      <c r="Q107">
        <f>ESTADISTICA!Q106</f>
        <v>0</v>
      </c>
      <c r="R107">
        <f>ESTADISTICA!R106</f>
        <v>0</v>
      </c>
      <c r="S107" t="str">
        <f>ESTADISTICA!S106</f>
        <v>APAGADO</v>
      </c>
      <c r="T107">
        <f>ESTADISTICA!T106</f>
        <v>0</v>
      </c>
      <c r="U107" t="str">
        <f>ESTADISTICA!U106</f>
        <v>APAGADO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 t="str">
        <f>ESTADISTICA!X109</f>
        <v>APAGADO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 t="str">
        <f>ESTADISTICA!U113</f>
        <v>APAGADO</v>
      </c>
      <c r="V114" t="str">
        <f>ESTADISTICA!V113</f>
        <v>APAGADO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 t="str">
        <f>ESTADISTICA!Z114</f>
        <v xml:space="preserve"> 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 t="str">
        <f>ESTADISTICA!O119</f>
        <v>APAGADO</v>
      </c>
      <c r="P120">
        <f>ESTADISTICA!P119</f>
        <v>0</v>
      </c>
      <c r="Q120">
        <f>ESTADISTICA!Q119</f>
        <v>0</v>
      </c>
      <c r="R120">
        <f>ESTADISTICA!R119</f>
        <v>0</v>
      </c>
      <c r="S120" t="str">
        <f>ESTADISTICA!S119</f>
        <v>APAGADO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>
        <f>ESTADISTICA!P120</f>
        <v>0</v>
      </c>
      <c r="Q121">
        <f>ESTADISTICA!Q120</f>
        <v>0</v>
      </c>
      <c r="R121">
        <f>ESTADISTICA!R120</f>
        <v>0</v>
      </c>
      <c r="S121" t="str">
        <f>ESTADISTICA!S120</f>
        <v>APAGADO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 t="str">
        <f>ESTADISTICA!P126</f>
        <v>APAGADO</v>
      </c>
      <c r="Q127" t="str">
        <f>ESTADISTICA!Q126</f>
        <v>APAGADO</v>
      </c>
      <c r="R127" t="str">
        <f>ESTADISTICA!R126</f>
        <v>APAGADO</v>
      </c>
      <c r="S127" t="str">
        <f>ESTADISTICA!S126</f>
        <v>APAGADO</v>
      </c>
      <c r="T127" t="str">
        <f>ESTADISTICA!T126</f>
        <v>APAGADO</v>
      </c>
      <c r="U127" t="str">
        <f>ESTADISTICA!U126</f>
        <v>APAGADO</v>
      </c>
      <c r="V127" t="str">
        <f>ESTADISTICA!V126</f>
        <v>APAGADO</v>
      </c>
      <c r="W127" t="str">
        <f>ESTADISTICA!W126</f>
        <v>APAGADO</v>
      </c>
      <c r="X127" t="str">
        <f>ESTADISTICA!X126</f>
        <v>APAGADO</v>
      </c>
      <c r="Y127" t="str">
        <f>ESTADISTICA!Y126</f>
        <v>APAGADO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 t="str">
        <f>ESTADISTICA!P127</f>
        <v>APAGADO</v>
      </c>
      <c r="Q128" t="str">
        <f>ESTADISTICA!Q127</f>
        <v>APAGADO</v>
      </c>
      <c r="R128" t="str">
        <f>ESTADISTICA!R127</f>
        <v>APAGADO</v>
      </c>
      <c r="S128" t="str">
        <f>ESTADISTICA!S127</f>
        <v>APAGADO</v>
      </c>
      <c r="T128" t="str">
        <f>ESTADISTICA!T127</f>
        <v>APAGADO</v>
      </c>
      <c r="U128" t="str">
        <f>ESTADISTICA!U127</f>
        <v>APAGADO</v>
      </c>
      <c r="V128" t="str">
        <f>ESTADISTICA!V127</f>
        <v>APAGADO</v>
      </c>
      <c r="W128" t="str">
        <f>ESTADISTICA!W127</f>
        <v>APAGADO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 t="str">
        <f>ESTADISTICA!J131</f>
        <v>APAGADO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 t="str">
        <f>ESTADISTICA!F134</f>
        <v>APAGADO</v>
      </c>
      <c r="G135" t="str">
        <f>ESTADISTICA!G134</f>
        <v>APAGADO</v>
      </c>
      <c r="H135" t="str">
        <f>ESTADISTICA!H134</f>
        <v>APAGADO</v>
      </c>
      <c r="I135" t="str">
        <f>ESTADISTICA!I134</f>
        <v>APAGADO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 t="str">
        <f>ESTADISTICA!P135</f>
        <v>APAGADO</v>
      </c>
      <c r="Q136" t="str">
        <f>ESTADISTICA!Q135</f>
        <v>APAGADO</v>
      </c>
      <c r="R136" t="str">
        <f>ESTADISTICA!R135</f>
        <v>APAGADO</v>
      </c>
      <c r="S136" t="str">
        <f>ESTADISTICA!S135</f>
        <v>APAGADO</v>
      </c>
      <c r="T136" t="str">
        <f>ESTADISTICA!T135</f>
        <v>APAGADO</v>
      </c>
      <c r="U136" t="str">
        <f>ESTADISTICA!U135</f>
        <v>APAGADO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 t="str">
        <f>ESTADISTICA!Y135</f>
        <v>APAGADO</v>
      </c>
      <c r="Z136" t="str">
        <f>ESTADISTICA!Z135</f>
        <v>APAGADO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 t="str">
        <f>ESTADISTICA!P136</f>
        <v>APAGADO</v>
      </c>
      <c r="Q137" t="str">
        <f>ESTADISTICA!Q136</f>
        <v>APAGADO</v>
      </c>
      <c r="R137" t="str">
        <f>ESTADISTICA!R136</f>
        <v>APAGADO</v>
      </c>
      <c r="S137" t="str">
        <f>ESTADISTICA!S136</f>
        <v>APAGADO</v>
      </c>
      <c r="T137" t="str">
        <f>ESTADISTICA!T136</f>
        <v>APAGADO</v>
      </c>
      <c r="U137" t="str">
        <f>ESTADISTICA!U136</f>
        <v>APAGADO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 t="str">
        <f>ESTADISTICA!Q137</f>
        <v>APAGADO</v>
      </c>
      <c r="R138" t="str">
        <f>ESTADISTICA!R137</f>
        <v>APAGADO</v>
      </c>
      <c r="S138" t="str">
        <f>ESTADISTICA!S137</f>
        <v>APAGADO</v>
      </c>
      <c r="T138" t="str">
        <f>ESTADISTICA!T137</f>
        <v>APAGADO</v>
      </c>
      <c r="U138" t="str">
        <f>ESTADISTICA!U137</f>
        <v>APAGADO</v>
      </c>
      <c r="V138" t="str">
        <f>ESTADISTICA!V137</f>
        <v>APAGADO</v>
      </c>
      <c r="W138" t="str">
        <f>ESTADISTICA!W137</f>
        <v>APAGADO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 t="str">
        <f>ESTADISTICA!Q138</f>
        <v>APAGADO</v>
      </c>
      <c r="R139" t="str">
        <f>ESTADISTICA!R138</f>
        <v>APAGADO</v>
      </c>
      <c r="S139" t="str">
        <f>ESTADISTICA!S138</f>
        <v>APAGADO</v>
      </c>
      <c r="T139" t="str">
        <f>ESTADISTICA!T138</f>
        <v>APAGADO</v>
      </c>
      <c r="U139" t="str">
        <f>ESTADISTICA!U138</f>
        <v>APAGADO</v>
      </c>
      <c r="V139" t="str">
        <f>ESTADISTICA!V138</f>
        <v>APAGADO</v>
      </c>
      <c r="W139" t="str">
        <f>ESTADISTICA!W138</f>
        <v>APAGADO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 t="str">
        <f>ESTADISTICA!N139</f>
        <v>APAGADO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 t="str">
        <f>ESTADISTICA!N140</f>
        <v>APAGADO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 t="str">
        <f>ESTADISTICA!M141</f>
        <v>APAGADO</v>
      </c>
      <c r="N142" t="str">
        <f>ESTADISTICA!N141</f>
        <v>APAGADO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 t="str">
        <f>ESTADISTICA!F146</f>
        <v>APAGADO</v>
      </c>
      <c r="G147" t="str">
        <f>ESTADISTICA!G146</f>
        <v>APAGADO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 t="str">
        <f>ESTADISTICA!F148</f>
        <v>APAGADO</v>
      </c>
      <c r="G149" t="str">
        <f>ESTADISTICA!G148</f>
        <v>APAGADO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 t="str">
        <f>ESTADISTICA!V150</f>
        <v>APAGADO</v>
      </c>
      <c r="W151" t="str">
        <f>ESTADISTICA!W150</f>
        <v>APAGADO</v>
      </c>
      <c r="X151" t="str">
        <f>ESTADISTICA!X150</f>
        <v>APAGADO</v>
      </c>
      <c r="Y151" t="str">
        <f>ESTADISTICA!Y150</f>
        <v>APAGADO</v>
      </c>
      <c r="Z151" t="str">
        <f>ESTADISTICA!Z150</f>
        <v>APAGADO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 t="str">
        <f>ESTADISTICA!V152</f>
        <v>APAGADO</v>
      </c>
      <c r="W153">
        <f>ESTADISTICA!W152</f>
        <v>0</v>
      </c>
      <c r="X153" t="str">
        <f>ESTADISTICA!X152</f>
        <v>APAGADO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 t="str">
        <f>ESTADISTICA!F156</f>
        <v>APAGADO</v>
      </c>
      <c r="G157" t="str">
        <f>ESTADISTICA!G156</f>
        <v>APAGADO</v>
      </c>
      <c r="H157" t="str">
        <f>ESTADISTICA!H156</f>
        <v>APAGADO</v>
      </c>
      <c r="I157" t="str">
        <f>ESTADISTICA!I156</f>
        <v>APAGADO</v>
      </c>
      <c r="J157" t="str">
        <f>ESTADISTICA!J156</f>
        <v>APAGADO</v>
      </c>
      <c r="K157" t="str">
        <f>ESTADISTICA!K156</f>
        <v>APAGADO</v>
      </c>
      <c r="L157" t="str">
        <f>ESTADISTICA!L156</f>
        <v>APAGADO</v>
      </c>
      <c r="M157">
        <f>ESTADISTICA!M156</f>
        <v>0</v>
      </c>
      <c r="N157" t="str">
        <f>ESTADISTICA!N156</f>
        <v>APAGADO</v>
      </c>
      <c r="O157" t="str">
        <f>ESTADISTICA!O156</f>
        <v>APAGADO</v>
      </c>
      <c r="P157" t="str">
        <f>ESTADISTICA!P156</f>
        <v>APAGADO</v>
      </c>
      <c r="Q157" t="str">
        <f>ESTADISTICA!Q156</f>
        <v>APAGADO</v>
      </c>
      <c r="R157" t="str">
        <f>ESTADISTICA!R156</f>
        <v>APAGADO</v>
      </c>
      <c r="S157" t="str">
        <f>ESTADISTICA!S156</f>
        <v>APAGADO</v>
      </c>
      <c r="T157">
        <f>ESTADISTICA!T156</f>
        <v>0</v>
      </c>
      <c r="U157" t="str">
        <f>ESTADISTICA!U156</f>
        <v>APAGADO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 t="str">
        <f>ESTADISTICA!K157</f>
        <v>APAGADO</v>
      </c>
      <c r="L158" t="str">
        <f>ESTADISTICA!L157</f>
        <v>APAGADO</v>
      </c>
      <c r="M158" t="str">
        <f>ESTADISTICA!M157</f>
        <v>APAGADO</v>
      </c>
      <c r="N158" t="str">
        <f>ESTADISTICA!N157</f>
        <v>APAGADO</v>
      </c>
      <c r="O158" t="str">
        <f>ESTADISTICA!O157</f>
        <v>APAGADO</v>
      </c>
      <c r="P158" t="str">
        <f>ESTADISTICA!P157</f>
        <v>APAGADO</v>
      </c>
      <c r="Q158" t="str">
        <f>ESTADISTICA!Q157</f>
        <v>APAGADO</v>
      </c>
      <c r="R158">
        <f>ESTADISTICA!R157</f>
        <v>0</v>
      </c>
      <c r="S158" t="str">
        <f>ESTADISTICA!S157</f>
        <v>APAGADO</v>
      </c>
      <c r="T158" t="str">
        <f>ESTADISTICA!T157</f>
        <v>APAGADO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 t="str">
        <f>ESTADISTICA!M161</f>
        <v>APAGADO</v>
      </c>
      <c r="N162" t="str">
        <f>ESTADISTICA!N161</f>
        <v>APAGADO</v>
      </c>
      <c r="O162" t="str">
        <f>ESTADISTICA!O161</f>
        <v>APAGADO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 t="str">
        <f>ESTADISTICA!U171</f>
        <v>APAGADO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 t="str">
        <f>ESTADISTICA!U177</f>
        <v>APAGADO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 t="str">
        <f>ESTADISTICA!Z177</f>
        <v>APAGADO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 t="str">
        <f>ESTADISTICA!Y188</f>
        <v>APAGADO</v>
      </c>
      <c r="Z189" t="str">
        <f>ESTADISTICA!Z188</f>
        <v>APAGADO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 t="str">
        <f>ESTADISTICA!Y189</f>
        <v>APAGADO</v>
      </c>
      <c r="Z190" t="str">
        <f>ESTADISTICA!Z189</f>
        <v>APAGADO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 t="str">
        <f>ESTADISTICA!G190</f>
        <v>APAGADO</v>
      </c>
      <c r="H191" t="str">
        <f>ESTADISTICA!H190</f>
        <v>APAGADO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 t="str">
        <f>ESTADISTICA!M190</f>
        <v>APAGADO</v>
      </c>
      <c r="N191" t="str">
        <f>ESTADISTICA!N190</f>
        <v>APAGADO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>
        <f>ESTADISTICA!V190</f>
        <v>0</v>
      </c>
      <c r="W191" t="str">
        <f>ESTADISTICA!W190</f>
        <v>APAGADO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 t="str">
        <f>ESTADISTICA!W191</f>
        <v>APAGADO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 t="str">
        <f>ESTADISTICA!U194</f>
        <v>APAGADO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>
        <f>ESTADISTICA!O196</f>
        <v>0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 t="str">
        <f>ESTADISTICA!L197</f>
        <v>APAGADO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 t="str">
        <f>ESTADISTICA!N201</f>
        <v>APAGADO</v>
      </c>
      <c r="O202" t="str">
        <f>ESTADISTICA!O201</f>
        <v>APAGADO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 t="str">
        <f>ESTADISTICA!M202</f>
        <v>APAGADO</v>
      </c>
      <c r="N203" t="str">
        <f>ESTADISTICA!N202</f>
        <v>APAGADO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 t="str">
        <f>ESTADISTICA!Y203</f>
        <v>APAGADO</v>
      </c>
      <c r="Z204" t="str">
        <f>ESTADISTICA!Z203</f>
        <v>APAGADO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>
        <f>ESTADISTICA!F204</f>
        <v>0</v>
      </c>
      <c r="G205" t="str">
        <f>ESTADISTICA!G204</f>
        <v>APAGADO</v>
      </c>
      <c r="H205" t="str">
        <f>ESTADISTICA!H204</f>
        <v>APAGADO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 t="str">
        <f>ESTADISTICA!G205</f>
        <v>APAGADO</v>
      </c>
      <c r="H206" t="str">
        <f>ESTADISTICA!H205</f>
        <v>APAGADO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 t="str">
        <f>ESTADISTICA!Z208</f>
        <v>APAGADO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 t="str">
        <f>ESTADISTICA!W209</f>
        <v>APAGADO</v>
      </c>
      <c r="X210" t="str">
        <f>ESTADISTICA!X209</f>
        <v>APAGADO</v>
      </c>
      <c r="Y210" t="str">
        <f>ESTADISTICA!Y209</f>
        <v>APAGADO</v>
      </c>
      <c r="Z210" t="str">
        <f>ESTADISTICA!Z209</f>
        <v>APAGADO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 t="str">
        <f>ESTADISTICA!F221</f>
        <v>APAGADO</v>
      </c>
      <c r="G222" t="str">
        <f>ESTADISTICA!G221</f>
        <v>APAGADO</v>
      </c>
      <c r="H222" t="str">
        <f>ESTADISTICA!H221</f>
        <v>APAGADO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 t="str">
        <f>ESTADISTICA!O221</f>
        <v>APAGADO</v>
      </c>
      <c r="P222" t="str">
        <f>ESTADISTICA!P221</f>
        <v>APAGADO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 t="str">
        <f>ESTADISTICA!Q222</f>
        <v>APAGADO</v>
      </c>
      <c r="R223" t="str">
        <f>ESTADISTICA!R222</f>
        <v>APAGADO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 t="str">
        <f>ESTADISTICA!H230</f>
        <v>APAGADO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 t="str">
        <f>ESTADISTICA!Q238</f>
        <v>APAGADO</v>
      </c>
      <c r="R239" t="str">
        <f>ESTADISTICA!R238</f>
        <v>APAGADO</v>
      </c>
      <c r="S239" t="str">
        <f>ESTADISTICA!S238</f>
        <v>APAGADO</v>
      </c>
      <c r="T239" t="str">
        <f>ESTADISTICA!T238</f>
        <v>APAGADO</v>
      </c>
      <c r="U239" t="str">
        <f>ESTADISTICA!U238</f>
        <v>APAGADO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>
        <f>ESTADISTICA!V243</f>
        <v>0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 t="str">
        <f>ESTADISTICA!J247</f>
        <v>APAGADO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 t="str">
        <f>ESTADISTICA!X247</f>
        <v>APAGADO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 t="str">
        <f>ESTADISTICA!K258</f>
        <v>APAGADO</v>
      </c>
      <c r="L259" t="str">
        <f>ESTADISTICA!L258</f>
        <v>APAGADO</v>
      </c>
      <c r="M259" t="str">
        <f>ESTADISTICA!M258</f>
        <v>APAGADO</v>
      </c>
      <c r="N259" t="str">
        <f>ESTADISTICA!N258</f>
        <v>APAGADO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 t="str">
        <f>ESTADISTICA!U259</f>
        <v>APAGADO</v>
      </c>
      <c r="V260" t="str">
        <f>ESTADISTICA!V259</f>
        <v>APAGADO</v>
      </c>
      <c r="W260" t="str">
        <f>ESTADISTICA!W259</f>
        <v>APAGADO</v>
      </c>
      <c r="X260" t="str">
        <f>ESTADISTICA!X259</f>
        <v>APAGADO</v>
      </c>
      <c r="Y260" t="str">
        <f>ESTADISTICA!Y259</f>
        <v>APAGADO</v>
      </c>
      <c r="Z260" t="str">
        <f>ESTADISTICA!Z259</f>
        <v>APAGADO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 t="str">
        <f>ESTADISTICA!N260</f>
        <v>APAGADO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 t="str">
        <f>ESTADISTICA!W260</f>
        <v>APAGADO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 t="str">
        <f>ESTADISTICA!N261</f>
        <v>APAGADO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 t="str">
        <f>ESTADISTICA!W261</f>
        <v>APAGADO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 t="str">
        <f>ESTADISTICA!N262</f>
        <v>APAGADO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 t="str">
        <f>ESTADISTICA!W262</f>
        <v>APAGADO</v>
      </c>
      <c r="X263" t="str">
        <f>ESTADISTICA!X262</f>
        <v>APAGADO</v>
      </c>
      <c r="Y263" t="str">
        <f>ESTADISTICA!Y262</f>
        <v>APAGADO</v>
      </c>
      <c r="Z263" t="str">
        <f>ESTADISTICA!Z262</f>
        <v>APAGADO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 t="str">
        <f>ESTADISTICA!W263</f>
        <v>APAGADO</v>
      </c>
      <c r="X264" t="str">
        <f>ESTADISTICA!X263</f>
        <v>APAGADO</v>
      </c>
      <c r="Y264" t="str">
        <f>ESTADISTICA!Y263</f>
        <v>APAGADO</v>
      </c>
      <c r="Z264" t="str">
        <f>ESTADISTICA!Z263</f>
        <v>APAGADO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 t="str">
        <f>ESTADISTICA!F270</f>
        <v>APAGADO</v>
      </c>
      <c r="G271" t="str">
        <f>ESTADISTICA!G270</f>
        <v>APAGADO</v>
      </c>
      <c r="H271" t="str">
        <f>ESTADISTICA!H270</f>
        <v>APAGADO</v>
      </c>
      <c r="I271" t="str">
        <f>ESTADISTICA!I270</f>
        <v>APAGADO</v>
      </c>
      <c r="J271" t="str">
        <f>ESTADISTICA!J270</f>
        <v>APAGADO</v>
      </c>
      <c r="K271" t="str">
        <f>ESTADISTICA!K270</f>
        <v>APAGADO</v>
      </c>
      <c r="L271">
        <f>ESTADISTICA!L270</f>
        <v>0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 t="str">
        <f>ESTADISTICA!Q270</f>
        <v>APAGADO</v>
      </c>
      <c r="R271" t="str">
        <f>ESTADISTICA!R270</f>
        <v>APAGADO</v>
      </c>
      <c r="S271" t="str">
        <f>ESTADISTICA!S270</f>
        <v>APAGADO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 t="str">
        <f>ESTADISTICA!F271</f>
        <v>APAGADO</v>
      </c>
      <c r="G272" t="str">
        <f>ESTADISTICA!G271</f>
        <v>APAGADO</v>
      </c>
      <c r="H272" t="str">
        <f>ESTADISTICA!H271</f>
        <v>APAGADO</v>
      </c>
      <c r="I272" t="str">
        <f>ESTADISTICA!I271</f>
        <v>APAGADO</v>
      </c>
      <c r="J272" t="str">
        <f>ESTADISTICA!J271</f>
        <v>APAGADO</v>
      </c>
      <c r="K272" t="str">
        <f>ESTADISTICA!K271</f>
        <v>APAGADO</v>
      </c>
      <c r="L272">
        <f>ESTADISTICA!L271</f>
        <v>0</v>
      </c>
      <c r="M272" t="str">
        <f>ESTADISTICA!M271</f>
        <v>APAGADO</v>
      </c>
      <c r="N272" t="str">
        <f>ESTADISTICA!N271</f>
        <v>APAGADO</v>
      </c>
      <c r="O272" t="str">
        <f>ESTADISTICA!O271</f>
        <v>APAGADO</v>
      </c>
      <c r="P272" t="str">
        <f>ESTADISTICA!P271</f>
        <v>APAGADO</v>
      </c>
      <c r="Q272">
        <f>ESTADISTICA!Q271</f>
        <v>0</v>
      </c>
      <c r="R272" t="str">
        <f>ESTADISTICA!R271</f>
        <v>APAGADO</v>
      </c>
      <c r="S272" t="str">
        <f>ESTADISTICA!S271</f>
        <v>APAGADO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 t="str">
        <f>ESTADISTICA!G275</f>
        <v>APAGADO</v>
      </c>
      <c r="H276" t="str">
        <f>ESTADISTICA!H275</f>
        <v>APAGADO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 t="str">
        <f>ESTADISTICA!X275</f>
        <v>APAGADO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 t="str">
        <f>ESTADISTICA!U278</f>
        <v>APAGADO</v>
      </c>
      <c r="V279" t="str">
        <f>ESTADISTICA!V278</f>
        <v>APAGADO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 t="str">
        <f>ESTADISTICA!F279</f>
        <v>APAGADO</v>
      </c>
      <c r="G280" t="str">
        <f>ESTADISTICA!G279</f>
        <v>APAGADO</v>
      </c>
      <c r="H280" t="str">
        <f>ESTADISTICA!H279</f>
        <v>APAGADO</v>
      </c>
      <c r="I280" t="str">
        <f>ESTADISTICA!I279</f>
        <v>APAGADO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 t="str">
        <f>ESTADISTICA!P279</f>
        <v>APAGADO</v>
      </c>
      <c r="Q280" t="str">
        <f>ESTADISTICA!Q279</f>
        <v>APAGADO</v>
      </c>
      <c r="R280" t="str">
        <f>ESTADISTICA!R279</f>
        <v>APAGADO</v>
      </c>
      <c r="S280" t="str">
        <f>ESTADISTICA!S279</f>
        <v>APAGADO</v>
      </c>
      <c r="T280" t="str">
        <f>ESTADISTICA!T279</f>
        <v>APAGADO</v>
      </c>
      <c r="U280" t="str">
        <f>ESTADISTICA!U279</f>
        <v>APAGADO</v>
      </c>
      <c r="V280" t="str">
        <f>ESTADISTICA!V279</f>
        <v>APAGADO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 t="str">
        <f>ESTADISTICA!P285</f>
        <v>APAGADO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 t="str">
        <f>ESTADISTICA!K294</f>
        <v>APAGADO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 t="str">
        <f>ESTADISTICA!P301</f>
        <v>APAGADO</v>
      </c>
      <c r="Q302" t="str">
        <f>ESTADISTICA!Q301</f>
        <v>APAGADO</v>
      </c>
      <c r="R302" t="str">
        <f>ESTADISTICA!R301</f>
        <v>APAGADO</v>
      </c>
      <c r="S302" t="str">
        <f>ESTADISTICA!S301</f>
        <v>APAGADO</v>
      </c>
      <c r="T302" t="str">
        <f>ESTADISTICA!T301</f>
        <v>APAGADO</v>
      </c>
      <c r="U302" t="str">
        <f>ESTADISTICA!U301</f>
        <v>APAGADO</v>
      </c>
      <c r="V302" t="str">
        <f>ESTADISTICA!V301</f>
        <v>APAGADO</v>
      </c>
      <c r="W302" t="str">
        <f>ESTADISTICA!W301</f>
        <v>APAGADO</v>
      </c>
      <c r="X302" t="str">
        <f>ESTADISTICA!X301</f>
        <v>APAGADO</v>
      </c>
      <c r="Y302" t="str">
        <f>ESTADISTICA!Y301</f>
        <v>APAGADO</v>
      </c>
      <c r="Z302" t="str">
        <f>ESTADISTICA!Z301</f>
        <v>APAGADO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 t="str">
        <f>ESTADISTICA!V302</f>
        <v>APAGADO</v>
      </c>
      <c r="W303" t="str">
        <f>ESTADISTICA!W302</f>
        <v>APAGADO</v>
      </c>
      <c r="X303" t="str">
        <f>ESTADISTICA!X302</f>
        <v>APAGADO</v>
      </c>
      <c r="Y303" t="str">
        <f>ESTADISTICA!Y302</f>
        <v>APAGADO</v>
      </c>
      <c r="Z303" t="str">
        <f>ESTADISTICA!Z302</f>
        <v>APAGADO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 t="str">
        <f>ESTADISTICA!Z303</f>
        <v>APAGADO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 t="str">
        <f>ESTADISTICA!J305</f>
        <v>APAGADO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 t="str">
        <f>ESTADISTICA!R305</f>
        <v>APAGADO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 t="str">
        <f>ESTADISTICA!U308</f>
        <v>APAGADO</v>
      </c>
      <c r="V309" t="str">
        <f>ESTADISTICA!V308</f>
        <v>APAGADO</v>
      </c>
      <c r="W309" t="str">
        <f>ESTADISTICA!W308</f>
        <v>APAGADO</v>
      </c>
      <c r="X309" t="str">
        <f>ESTADISTICA!X308</f>
        <v>APAGADO</v>
      </c>
      <c r="Y309" t="str">
        <f>ESTADISTICA!Y308</f>
        <v>APAGADO</v>
      </c>
      <c r="Z309" t="str">
        <f>ESTADISTICA!Z308</f>
        <v>APAGADO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 t="str">
        <f>ESTADISTICA!W309</f>
        <v>APAGADO</v>
      </c>
      <c r="X310" t="str">
        <f>ESTADISTICA!X309</f>
        <v>APAGADO</v>
      </c>
      <c r="Y310" t="str">
        <f>ESTADISTICA!Y309</f>
        <v>APAGADO</v>
      </c>
      <c r="Z310" t="str">
        <f>ESTADISTICA!Z309</f>
        <v>APAGADO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 t="str">
        <f>ESTADISTICA!R310</f>
        <v>APAGADO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 t="str">
        <f>ESTADISTICA!W310</f>
        <v>APAGADO</v>
      </c>
      <c r="X311" t="str">
        <f>ESTADISTICA!X310</f>
        <v>APAGADO</v>
      </c>
      <c r="Y311" t="str">
        <f>ESTADISTICA!Y310</f>
        <v>APAGADO</v>
      </c>
      <c r="Z311" t="str">
        <f>ESTADISTICA!Z310</f>
        <v>APAGADO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 t="str">
        <f>ESTADISTICA!F318</f>
        <v>APAGADO</v>
      </c>
      <c r="G319" t="str">
        <f>ESTADISTICA!G318</f>
        <v>APAGADO</v>
      </c>
      <c r="H319" t="str">
        <f>ESTADISTICA!H318</f>
        <v>APAGADO</v>
      </c>
      <c r="I319" t="str">
        <f>ESTADISTICA!I318</f>
        <v>APAGADO</v>
      </c>
      <c r="J319" t="str">
        <f>ESTADISTICA!J318</f>
        <v>APAGADO</v>
      </c>
      <c r="K319" t="str">
        <f>ESTADISTICA!K318</f>
        <v>APAGADO</v>
      </c>
      <c r="L319" t="str">
        <f>ESTADISTICA!L318</f>
        <v>APAGADO</v>
      </c>
      <c r="M319" t="str">
        <f>ESTADISTICA!M318</f>
        <v>APAGADO</v>
      </c>
      <c r="N319" t="str">
        <f>ESTADISTICA!N318</f>
        <v>APAGADO</v>
      </c>
      <c r="O319" t="str">
        <f>ESTADISTICA!O318</f>
        <v>APAGADO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 t="str">
        <f>ESTADISTICA!U318</f>
        <v>APAGADO</v>
      </c>
      <c r="V319" t="str">
        <f>ESTADISTICA!V318</f>
        <v>APAGADO</v>
      </c>
      <c r="W319" t="str">
        <f>ESTADISTICA!W318</f>
        <v>APAGADO</v>
      </c>
      <c r="X319" t="str">
        <f>ESTADISTICA!X318</f>
        <v>APAGADO</v>
      </c>
      <c r="Y319" t="str">
        <f>ESTADISTICA!Y318</f>
        <v>APAGADO</v>
      </c>
      <c r="Z319" t="str">
        <f>ESTADISTICA!Z318</f>
        <v>APAGADO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 t="str">
        <f>ESTADISTICA!F319</f>
        <v>APAGADO</v>
      </c>
      <c r="G320" t="str">
        <f>ESTADISTICA!G319</f>
        <v>APAGADO</v>
      </c>
      <c r="H320" t="str">
        <f>ESTADISTICA!H319</f>
        <v>APAGADO</v>
      </c>
      <c r="I320" t="str">
        <f>ESTADISTICA!I319</f>
        <v>APAGADO</v>
      </c>
      <c r="J320" t="str">
        <f>ESTADISTICA!J319</f>
        <v>APAGADO</v>
      </c>
      <c r="K320" t="str">
        <f>ESTADISTICA!K319</f>
        <v>APAGADO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 t="str">
        <f>ESTADISTICA!U319</f>
        <v>APAGADO</v>
      </c>
      <c r="V320">
        <f>ESTADISTICA!V319</f>
        <v>0</v>
      </c>
      <c r="W320">
        <f>ESTADISTICA!W319</f>
        <v>0</v>
      </c>
      <c r="X320" t="str">
        <f>ESTADISTICA!X319</f>
        <v>APAGADO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 t="str">
        <f>ESTADISTICA!X320</f>
        <v>APAGADO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>
        <f>ESTADISTICA!X321</f>
        <v>0</v>
      </c>
      <c r="Y322">
        <f>ESTADISTICA!Y321</f>
        <v>0</v>
      </c>
      <c r="Z322" t="str">
        <f>ESTADISTICA!Z321</f>
        <v>APAGADO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 t="str">
        <f>ESTADISTICA!J327</f>
        <v>APAGADO</v>
      </c>
      <c r="K328" t="str">
        <f>ESTADISTICA!K327</f>
        <v>APAGADO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 t="str">
        <f>ESTADISTICA!S327</f>
        <v>APAGADO</v>
      </c>
      <c r="T328" t="str">
        <f>ESTADISTICA!T327</f>
        <v>APAGADO</v>
      </c>
      <c r="U328" t="str">
        <f>ESTADISTICA!U327</f>
        <v>APAGADO</v>
      </c>
      <c r="V328">
        <f>ESTADISTICA!V327</f>
        <v>0</v>
      </c>
      <c r="W328">
        <f>ESTADISTICA!W327</f>
        <v>0</v>
      </c>
      <c r="X328" t="str">
        <f>ESTADISTICA!X327</f>
        <v>APAGADO</v>
      </c>
      <c r="Y328" t="str">
        <f>ESTADISTICA!Y327</f>
        <v>APAGADO</v>
      </c>
      <c r="Z328" t="str">
        <f>ESTADISTICA!Z327</f>
        <v>APAGADO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 t="str">
        <f>ESTADISTICA!J328</f>
        <v>APAGADO</v>
      </c>
      <c r="K329" t="str">
        <f>ESTADISTICA!K328</f>
        <v>APAGADO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 t="str">
        <f>ESTADISTICA!S328</f>
        <v>APAGADO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 t="str">
        <f>ESTADISTICA!X328</f>
        <v>APAGADO</v>
      </c>
      <c r="Y329" t="str">
        <f>ESTADISTICA!Y328</f>
        <v>APAGADO</v>
      </c>
      <c r="Z329" t="str">
        <f>ESTADISTICA!Z328</f>
        <v>APAGADO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 t="str">
        <f>ESTADISTICA!J330</f>
        <v>APAGADO</v>
      </c>
      <c r="K331" t="str">
        <f>ESTADISTICA!K330</f>
        <v>APAGADO</v>
      </c>
      <c r="L331" t="str">
        <f>ESTADISTICA!L330</f>
        <v>APAGADO</v>
      </c>
      <c r="M331" t="str">
        <f>ESTADISTICA!M330</f>
        <v>APAGADO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 t="str">
        <f>ESTADISTICA!U336</f>
        <v>APAGADO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 t="str">
        <f>ESTADISTICA!S346</f>
        <v>APAGADO</v>
      </c>
      <c r="T347" t="str">
        <f>ESTADISTICA!T346</f>
        <v>APAGADO</v>
      </c>
      <c r="U347" t="str">
        <f>ESTADISTICA!U346</f>
        <v>APAGADO</v>
      </c>
      <c r="V347" t="str">
        <f>ESTADISTICA!V346</f>
        <v>APAGADO</v>
      </c>
      <c r="W347" t="str">
        <f>ESTADISTICA!W346</f>
        <v>APAGADO</v>
      </c>
      <c r="X347" t="str">
        <f>ESTADISTICA!X346</f>
        <v>APAGADO</v>
      </c>
      <c r="Y347" t="str">
        <f>ESTADISTICA!Y346</f>
        <v>APAGADO</v>
      </c>
      <c r="Z347" t="str">
        <f>ESTADISTICA!Z346</f>
        <v>APAGADO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>
        <f>ESTADISTICA!J347</f>
        <v>0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>
        <f>ESTADISTICA!N347</f>
        <v>0</v>
      </c>
      <c r="O348">
        <f>ESTADISTICA!O347</f>
        <v>0</v>
      </c>
      <c r="P348">
        <f>ESTADISTICA!P347</f>
        <v>0</v>
      </c>
      <c r="Q348" t="str">
        <f>ESTADISTICA!Q347</f>
        <v>APAGADO</v>
      </c>
      <c r="R348" t="str">
        <f>ESTADISTICA!R347</f>
        <v>APAGADO</v>
      </c>
      <c r="S348">
        <f>ESTADISTICA!S347</f>
        <v>0</v>
      </c>
      <c r="T348">
        <f>ESTADISTICA!T347</f>
        <v>0</v>
      </c>
      <c r="U348" t="str">
        <f>ESTADISTICA!U347</f>
        <v>APAGADO</v>
      </c>
      <c r="V348" t="str">
        <f>ESTADISTICA!V347</f>
        <v>APAGADO</v>
      </c>
      <c r="W348" t="str">
        <f>ESTADISTICA!W347</f>
        <v>APAGADO</v>
      </c>
      <c r="X348" t="str">
        <f>ESTADISTICA!X347</f>
        <v>APAGADO</v>
      </c>
      <c r="Y348" t="str">
        <f>ESTADISTICA!Y347</f>
        <v>APAGADO</v>
      </c>
      <c r="Z348" t="str">
        <f>ESTADISTICA!Z347</f>
        <v>APAGADO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>
        <f>ESTADISTICA!Q361</f>
        <v>0</v>
      </c>
      <c r="R362" t="str">
        <f>ESTADISTICA!R361</f>
        <v>APAGADO</v>
      </c>
      <c r="S362" t="str">
        <f>ESTADISTICA!S361</f>
        <v>APAGADO</v>
      </c>
      <c r="T362" t="str">
        <f>ESTADISTICA!T361</f>
        <v>APAGADO</v>
      </c>
      <c r="U362" t="str">
        <f>ESTADISTICA!U361</f>
        <v>APAGADO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 t="str">
        <f>ESTADISTICA!K366</f>
        <v>APAGADO</v>
      </c>
      <c r="L367" t="str">
        <f>ESTADISTICA!L366</f>
        <v>APAGADO</v>
      </c>
      <c r="M367" t="str">
        <f>ESTADISTICA!M366</f>
        <v>APAGADO</v>
      </c>
      <c r="N367" t="str">
        <f>ESTADISTICA!N366</f>
        <v>APAGADO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 t="str">
        <f>ESTADISTICA!U367</f>
        <v>APAGADO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>
        <f>ESTADISTICA!A370</f>
        <v>0</v>
      </c>
      <c r="B371">
        <f>ESTADISTICA!B370</f>
        <v>0</v>
      </c>
      <c r="C371">
        <f>ESTADISTICA!C370</f>
        <v>0</v>
      </c>
      <c r="D371">
        <f>ESTADISTICA!D370</f>
        <v>0</v>
      </c>
      <c r="E371">
        <f>ESTADISTICA!E370</f>
        <v>0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>
        <f>ESTADISTICA!A371</f>
        <v>0</v>
      </c>
      <c r="B372">
        <f>ESTADISTICA!B371</f>
        <v>0</v>
      </c>
      <c r="C372">
        <f>ESTADISTICA!C371</f>
        <v>0</v>
      </c>
      <c r="D372">
        <f>ESTADISTICA!D371</f>
        <v>0</v>
      </c>
      <c r="E372">
        <f>ESTADISTICA!E371</f>
        <v>0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>
        <f>ESTADISTICA!A372</f>
        <v>0</v>
      </c>
      <c r="B373">
        <f>ESTADISTICA!B372</f>
        <v>0</v>
      </c>
      <c r="C373">
        <f>ESTADISTICA!C372</f>
        <v>0</v>
      </c>
      <c r="D373">
        <f>ESTADISTICA!D372</f>
        <v>0</v>
      </c>
      <c r="E373">
        <f>ESTADISTICA!E372</f>
        <v>0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>
        <f>ESTADISTICA!A373</f>
        <v>0</v>
      </c>
      <c r="B374">
        <f>ESTADISTICA!B373</f>
        <v>0</v>
      </c>
      <c r="C374">
        <f>ESTADISTICA!C373</f>
        <v>0</v>
      </c>
      <c r="D374">
        <f>ESTADISTICA!D373</f>
        <v>0</v>
      </c>
      <c r="E374">
        <f>ESTADISTICA!E373</f>
        <v>0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33" priority="1" operator="equal">
      <formula>0</formula>
    </cfRule>
    <cfRule type="cellIs" dxfId="3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Q205" activePane="bottomRight" state="frozen"/>
      <selection pane="topRight" activeCell="F1" sqref="F1"/>
      <selection pane="bottomLeft" activeCell="A8" sqref="A8"/>
      <selection pane="bottomRight" activeCell="C372" sqref="C372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1323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52</v>
      </c>
      <c r="G2" s="26">
        <f>COUNTIFS(G4:G367, "=APAGADO",E4:E367,"=Fibra Optica")</f>
        <v>69</v>
      </c>
      <c r="H2" s="26">
        <f>COUNTIFS(H4:H367, "=APAGADO",E4:E367,"=Fibra Optica")</f>
        <v>66</v>
      </c>
      <c r="I2" s="26">
        <f>COUNTIFS(I4:I367, "=APAGADO",E4:E367,"=Fibra Optica")</f>
        <v>60</v>
      </c>
      <c r="J2" s="26">
        <f>COUNTIFS(J4:J367, "=APAGADO",E4:E367,"=Fibra Optica")</f>
        <v>56</v>
      </c>
      <c r="K2" s="26">
        <f>COUNTIFS(K4:K367, "=APAGADO",E4:E367,"=Fibra Optica")</f>
        <v>60</v>
      </c>
      <c r="L2" s="26">
        <f>COUNTIFS(L4:L367, "=APAGADO",E4:E367,"=Fibra Optica")</f>
        <v>61</v>
      </c>
      <c r="M2" s="26">
        <f>COUNTIFS(M4:M367, "=APAGADO",E4:E367,"=Fibra Optica")</f>
        <v>56</v>
      </c>
      <c r="N2" s="26">
        <f>COUNTIFS(N4:N367, "=APAGADO",E4:E367,"=Fibra Optica")</f>
        <v>63</v>
      </c>
      <c r="O2" s="26">
        <f>COUNTIFS(O4:O367, "=APAGADO",E4:E367,"=Fibra Optica")</f>
        <v>59</v>
      </c>
      <c r="P2" s="26">
        <f>COUNTIFS(P4:P367, "=APAGADO",E4:E367,"=Fibra Optica")</f>
        <v>42</v>
      </c>
      <c r="Q2" s="26">
        <f>COUNTIFS(Q4:Q367, "=APAGADO",E4:E367,"=Fibra Optica")</f>
        <v>35</v>
      </c>
      <c r="R2" s="26">
        <f>COUNTIFS(R4:R367, "=APAGADO",E4:E367,"=Fibra Optica")</f>
        <v>37</v>
      </c>
      <c r="S2" s="26">
        <f>COUNTIFS(S4:S367, "=APAGADO",E4:E367,"=Fibra Optica")</f>
        <v>46</v>
      </c>
      <c r="T2" s="26">
        <f>COUNTIFS(T4:T367, "=APAGADO",E4:E367,"=Fibra Optica")</f>
        <v>35</v>
      </c>
      <c r="U2" s="26">
        <f>COUNTIFS(U4:U367, "=APAGADO",E4:E367,"=Fibra Optica")</f>
        <v>49</v>
      </c>
      <c r="V2" s="26">
        <f>COUNTIFS(V4:V367, "=APAGADO",E4:E367,"=Fibra Optica")</f>
        <v>28</v>
      </c>
      <c r="W2" s="26">
        <f>COUNTIFS(W4:W367, "=APAGADO",E4:E367,"=Fibra Optica")</f>
        <v>37</v>
      </c>
      <c r="X2" s="26">
        <f>COUNTIFS(X4:X367, "=APAGADO",E4:E367,"=Fibra Optica")</f>
        <v>50</v>
      </c>
      <c r="Y2" s="26">
        <f>COUNTIFS(Y4:Y367, "=APAGADO",E4:E367,"=Fibra Optica")</f>
        <v>36</v>
      </c>
      <c r="Z2" s="26">
        <f>COUNTIFS(Z4:Z367, "=APAGADO",E4:E367,"=Fibra Optica")</f>
        <v>39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 t="shared" ref="AD2" si="0">COUNTIFS(AD4:AD367, "=APAGADO",AC4:AC367,"=Fibra Optica")</f>
        <v>0</v>
      </c>
      <c r="AE2" s="26">
        <f t="shared" ref="AE2" si="1">COUNTIFS(AE4:AE367, "=APAGADO",AC4:AC367,"=Fibra Optica")</f>
        <v>0</v>
      </c>
      <c r="AF2" s="26">
        <f t="shared" ref="AF2" si="2">COUNTIFS(AF4:AF367, "=APAGADO",AC4:AC367,"=Fibra Optica")</f>
        <v>0</v>
      </c>
      <c r="AG2" s="26">
        <f t="shared" ref="AG2" si="3">COUNTIFS(AG4:AG367, "=APAGADO",AC4:AC367,"=Fibra Optica")</f>
        <v>0</v>
      </c>
      <c r="AH2" s="26">
        <f t="shared" ref="AH2" si="4">COUNTIFS(AH4:AH367, "=APAGADO",AD4:AD367,"=Fibra Optica")</f>
        <v>0</v>
      </c>
      <c r="AI2" s="26">
        <f t="shared" ref="AI2" si="5">COUNTIFS(AI4:AI367, "=APAGADO",AE4:AE367,"=Fibra Optica")</f>
        <v>0</v>
      </c>
      <c r="AJ2" s="26">
        <f t="shared" ref="AJ2" si="6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  <filterColumn colId="22">
      <filters>
        <filter val="APAGADO"/>
      </filters>
    </filterColumn>
  </autoFilter>
  <conditionalFormatting sqref="F9:AG360">
    <cfRule type="containsText" dxfId="31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J369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S3" sqref="S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1324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2</v>
      </c>
      <c r="G2" s="26">
        <f>COUNTIFS(G4:G367, "=APAGADO",E4:E367,"=PTP A FO")</f>
        <v>4</v>
      </c>
      <c r="H2" s="26">
        <f>COUNTIFS(H4:H367, "=APAGADO",E4:E367,"=PTP A FO")</f>
        <v>3</v>
      </c>
      <c r="I2" s="26">
        <f>COUNTIFS(I4:I367, "=APAGADO",E4:E367,"=PTP A FO")</f>
        <v>1</v>
      </c>
      <c r="J2" s="26">
        <f>COUNTIFS(J4:J367, "=APAGADO",E4:E367,"=PTP A FO")</f>
        <v>4</v>
      </c>
      <c r="K2" s="26">
        <f>COUNTIFS(K4:K367, "=APAGADO",E4:E367,"=PTP A FO")</f>
        <v>1</v>
      </c>
      <c r="L2" s="26">
        <f>COUNTIFS(L4:L367, "=APAGADO",E4:E367,"=PTP A FO")</f>
        <v>1</v>
      </c>
      <c r="M2" s="26">
        <f>COUNTIFS(M4:M367, "=APAGADO",E4:E367,"=PTP A FO")</f>
        <v>2</v>
      </c>
      <c r="N2" s="26">
        <f>COUNTIFS(N4:N367, "=APAGADO",E4:E367,"=PTP A FO")</f>
        <v>6</v>
      </c>
      <c r="O2" s="26">
        <f>COUNTIFS(O4:O367,"APAGADO", E4:E367,"=PTP A FO" )</f>
        <v>2</v>
      </c>
      <c r="P2" s="26">
        <f>COUNTIFS(P4:P367, "=APAGADO",E4:E367,"=PTP A FO")</f>
        <v>11</v>
      </c>
      <c r="Q2" s="26">
        <f>COUNTIFS(Q4:Q367, "=APAGADO",E4:E367,"=PTP A FO")</f>
        <v>8</v>
      </c>
      <c r="R2" s="26">
        <f>COUNTIFS(R4:R367, "=APAGADO",E4:E367,"=PTP A FO")</f>
        <v>10</v>
      </c>
      <c r="S2" s="26">
        <f>COUNTIFS(S4:S367, "=APAGADO",E4:E367,"=PTP A FO")</f>
        <v>8</v>
      </c>
      <c r="T2" s="26">
        <f>COUNTIFS(T4:T367, "=APAGADO",E4:E367,"=PTP A FO")</f>
        <v>9</v>
      </c>
      <c r="U2" s="26">
        <f>COUNTIFS(U4:U367, "=APAGADO",E4:E367,"=PTP A FO")</f>
        <v>11</v>
      </c>
      <c r="V2" s="26">
        <f>COUNTIFS(V4:V367, "=APAGADO",E4:E367,"=PTP A FO")</f>
        <v>12</v>
      </c>
      <c r="W2" s="26">
        <f>COUNTIFS(W4:W367, "=APAGADO",E4:E367,"=PTP A FO")</f>
        <v>12</v>
      </c>
      <c r="X2" s="26">
        <f>COUNTIFS(X4:X367, "=APAGADO",E4:E367,"=PTP A FO")</f>
        <v>16</v>
      </c>
      <c r="Y2" s="26">
        <f>COUNTIFS(Y4:Y367, "=APAGADO",E4:E367,"=PTP A FO")</f>
        <v>13</v>
      </c>
      <c r="Z2" s="26">
        <f>COUNTIFS(Z4:Z367, "=APAGADO",E4:E367,"=PTP A FO")</f>
        <v>13</v>
      </c>
      <c r="AA2" s="26">
        <f>COUNTIFS(AA4:AA367, "=APAGADO",E4:E367,"=PTP A FO")</f>
        <v>0</v>
      </c>
      <c r="AB2" s="26">
        <f>COUNTIFS(AB4:AB367, "=APAGADO",D4:D367,"=PTP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 t="shared" ref="AH2:AJ2" si="0">COUNTIFS(AH4:AH367, "=APAGADO",F4:F367,"=PTP A FO")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PTP A FO"/>
      </filters>
    </filterColumn>
    <filterColumn colId="22">
      <filters>
        <filter val="APAGADO"/>
      </filters>
    </filterColumn>
  </autoFilter>
  <conditionalFormatting sqref="AE3:AE1048576">
    <cfRule type="containsText" dxfId="30" priority="2" operator="containsText" text="APAGADO">
      <formula>NOT(ISERROR(SEARCH("APAGADO",AE3)))</formula>
    </cfRule>
  </conditionalFormatting>
  <conditionalFormatting sqref="F4:AG370">
    <cfRule type="containsText" dxfId="2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J369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O3" sqref="O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1325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7</v>
      </c>
      <c r="G2" s="26">
        <f>COUNTIFS(G4:G367, "=APAGADO",E4:E367,"=radio")</f>
        <v>6</v>
      </c>
      <c r="H2" s="26">
        <f>COUNTIFS(H4:H367, "=APAGADO",E4:E367,"=radio")</f>
        <v>7</v>
      </c>
      <c r="I2" s="26">
        <f>COUNTIFS(I4:I367, "=APAGADO",E4:E367,"=radio")</f>
        <v>8</v>
      </c>
      <c r="J2" s="26">
        <f>COUNTIFS(J4:J367, "=APAGADO",E4:E367,"=radio")</f>
        <v>8</v>
      </c>
      <c r="K2" s="26">
        <f>COUNTIFS(K4:K367, "=APAGADO",E4:E367,"=radio")</f>
        <v>6</v>
      </c>
      <c r="L2" s="26">
        <f>COUNTIFS(L4:L367, "=APAGADO",E4:E367,"=radio")</f>
        <v>8</v>
      </c>
      <c r="M2" s="26">
        <f>COUNTIFS(M4:M367, "=APAGADO",E4:E367,"=radio")</f>
        <v>8</v>
      </c>
      <c r="N2" s="26">
        <f>COUNTIFS(N4:N367, "=APAGADO",E4:E367,"=radio")</f>
        <v>9</v>
      </c>
      <c r="O2" s="26">
        <f>COUNTIFS(O4:O367, "=APAGADO",E4:E367,"=radio")</f>
        <v>7</v>
      </c>
      <c r="P2" s="26">
        <f>COUNTIFS(P4:P367, "=APAGADO",E4:E367,"=radio")</f>
        <v>5</v>
      </c>
      <c r="Q2" s="26">
        <f>COUNTIFS(Q4:Q367, "=APAGADO",E4:E367,"=radio")</f>
        <v>4</v>
      </c>
      <c r="R2" s="26">
        <f>COUNTIFS(R4:R367, "=APAGADO",E4:E367,"=radio")</f>
        <v>5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4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6</v>
      </c>
      <c r="Y2" s="26">
        <f>COUNTIFS(Y4:Y367, "=APAGADO",E4:E367,"=radio")</f>
        <v>3</v>
      </c>
      <c r="Z2" s="26">
        <f>COUNTIFS(Z4:Z367, "=APAGADO",E4:E367,"=radio")</f>
        <v>3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 t="shared" ref="AH2:AJ2" si="0">COUNTIFS(AH4:AH367, "=APAGADO",F4:F367,"=radio")</f>
        <v>0</v>
      </c>
      <c r="AI2" s="26">
        <f t="shared" si="0"/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44621</v>
      </c>
      <c r="G3" s="25">
        <f>ESTADISTICA!G1</f>
        <v>44622</v>
      </c>
      <c r="H3" s="25">
        <f>ESTADISTICA!H1</f>
        <v>44623</v>
      </c>
      <c r="I3" s="25">
        <f>ESTADISTICA!I1</f>
        <v>44624</v>
      </c>
      <c r="J3" s="25">
        <f>ESTADISTICA!J1</f>
        <v>44625</v>
      </c>
      <c r="K3" s="25">
        <f>ESTADISTICA!K1</f>
        <v>44626</v>
      </c>
      <c r="L3" s="25">
        <f>ESTADISTICA!L1</f>
        <v>44627</v>
      </c>
      <c r="M3" s="25">
        <f>ESTADISTICA!M1</f>
        <v>44628</v>
      </c>
      <c r="N3" s="25">
        <f>ESTADISTICA!N1</f>
        <v>44629</v>
      </c>
      <c r="O3" s="25">
        <f>ESTADISTICA!O1</f>
        <v>44630</v>
      </c>
      <c r="P3" s="25">
        <f>ESTADISTICA!P1</f>
        <v>44631</v>
      </c>
      <c r="Q3" s="25">
        <f>ESTADISTICA!Q1</f>
        <v>44632</v>
      </c>
      <c r="R3" s="25">
        <f>ESTADISTICA!R1</f>
        <v>44633</v>
      </c>
      <c r="S3" s="25">
        <f>ESTADISTICA!S1</f>
        <v>44634</v>
      </c>
      <c r="T3" s="25">
        <f>ESTADISTICA!T1</f>
        <v>44635</v>
      </c>
      <c r="U3" s="25">
        <f>ESTADISTICA!U1</f>
        <v>44636</v>
      </c>
      <c r="V3" s="25">
        <f>ESTADISTICA!V1</f>
        <v>44637</v>
      </c>
      <c r="W3" s="25">
        <f>ESTADISTICA!W1</f>
        <v>44638</v>
      </c>
      <c r="X3" s="25">
        <f>ESTADISTICA!X1</f>
        <v>44639</v>
      </c>
      <c r="Y3" s="25">
        <f>ESTADISTICA!Y1</f>
        <v>44640</v>
      </c>
      <c r="Z3" s="25">
        <f>ESTADISTICA!Z1</f>
        <v>44641</v>
      </c>
      <c r="AA3" s="25">
        <f>ESTADISTICA!AA1</f>
        <v>44642</v>
      </c>
      <c r="AB3" s="25">
        <f>ESTADISTICA!AB1</f>
        <v>44643</v>
      </c>
      <c r="AC3" s="25">
        <f>ESTADISTICA!AC1</f>
        <v>44644</v>
      </c>
      <c r="AD3" s="25">
        <f>ESTADISTICA!AD1</f>
        <v>44645</v>
      </c>
      <c r="AE3" s="25">
        <f>ESTADISTICA!AE1</f>
        <v>44646</v>
      </c>
      <c r="AF3" s="25">
        <f>ESTADISTICA!AF1</f>
        <v>44647</v>
      </c>
      <c r="AG3" s="25">
        <f>ESTADISTICA!AG1</f>
        <v>44648</v>
      </c>
      <c r="AH3" s="25">
        <f>ESTADISTICA!AH1</f>
        <v>44649</v>
      </c>
      <c r="AI3" s="25">
        <f>ESTADISTICA!AI1</f>
        <v>44650</v>
      </c>
      <c r="AJ3" s="25">
        <f>ESTADISTICA!AJ1</f>
        <v>44651</v>
      </c>
    </row>
    <row r="4" spans="1:36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</row>
    <row r="13" spans="1:36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 t="str">
        <f>ESTADISTICA!X11</f>
        <v>APAGADO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 t="str">
        <f>ESTADISTICA!X12</f>
        <v>APAGADO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</row>
    <row r="17" spans="1:33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</row>
    <row r="18" spans="1:33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 t="str">
        <f>ESTADISTICA!K16</f>
        <v>APAGADO</v>
      </c>
      <c r="L18" t="str">
        <f>ESTADISTICA!L16</f>
        <v>APAGADO</v>
      </c>
      <c r="M18" t="str">
        <f>ESTADISTICA!M16</f>
        <v>APAGADO</v>
      </c>
      <c r="N18" t="str">
        <f>ESTADISTICA!N16</f>
        <v>APAGADO</v>
      </c>
      <c r="O18" t="str">
        <f>ESTADISTICA!O16</f>
        <v>APAGADO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</row>
    <row r="19" spans="1:33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3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</row>
    <row r="21" spans="1:33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 t="str">
        <f>ESTADISTICA!X19</f>
        <v>APAGADO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</row>
    <row r="22" spans="1:33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3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 t="str">
        <f>ESTADISTICA!I21</f>
        <v>APAGADO</v>
      </c>
      <c r="J23" t="str">
        <f>ESTADISTICA!J21</f>
        <v>APAGADO</v>
      </c>
      <c r="K23" t="str">
        <f>ESTADISTICA!K21</f>
        <v>APAGADO</v>
      </c>
      <c r="L23" t="str">
        <f>ESTADISTICA!L21</f>
        <v>APAGADO</v>
      </c>
      <c r="M23">
        <f>ESTADISTICA!M21</f>
        <v>0</v>
      </c>
      <c r="N23" t="str">
        <f>ESTADISTICA!N21</f>
        <v>APAGADO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3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3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3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3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</row>
    <row r="28" spans="1:33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3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 t="str">
        <f>ESTADISTICA!N27</f>
        <v>APAGADO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 t="str">
        <f>ESTADISTICA!X27</f>
        <v>APAGADO</v>
      </c>
      <c r="Y29" t="str">
        <f>ESTADISTICA!Y27</f>
        <v>APAGADO</v>
      </c>
      <c r="Z29" t="str">
        <f>ESTADISTICA!Z27</f>
        <v>APAGADO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3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3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3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</row>
    <row r="33" spans="1:33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</row>
    <row r="34" spans="1:33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</row>
    <row r="35" spans="1:33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</row>
    <row r="36" spans="1:33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 t="str">
        <f>ESTADISTICA!F34</f>
        <v>APAGADO</v>
      </c>
      <c r="G36" t="str">
        <f>ESTADISTICA!G34</f>
        <v>APAGADO</v>
      </c>
      <c r="H36" t="str">
        <f>ESTADISTICA!H34</f>
        <v>APAGADO</v>
      </c>
      <c r="I36" t="str">
        <f>ESTADISTICA!I34</f>
        <v>APAGADO</v>
      </c>
      <c r="J36" t="str">
        <f>ESTADISTICA!J34</f>
        <v>APAGADO</v>
      </c>
      <c r="K36" t="str">
        <f>ESTADISTICA!K34</f>
        <v>APAGADO</v>
      </c>
      <c r="L36" t="str">
        <f>ESTADISTICA!L34</f>
        <v>APAGADO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</row>
    <row r="37" spans="1:33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 t="str">
        <f>ESTADISTICA!L35</f>
        <v xml:space="preserve"> 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</row>
    <row r="38" spans="1:33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</row>
    <row r="39" spans="1:33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</row>
    <row r="40" spans="1:33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>
        <f>ESTADISTICA!M38</f>
        <v>0</v>
      </c>
      <c r="N40" t="str">
        <f>ESTADISTICA!N38</f>
        <v>APAGADO</v>
      </c>
      <c r="O40" t="str">
        <f>ESTADISTICA!O38</f>
        <v>APAGADO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 t="str">
        <f>ESTADISTICA!X38</f>
        <v>APAGADO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</row>
    <row r="41" spans="1:33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</row>
    <row r="42" spans="1:33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 t="str">
        <f>ESTADISTICA!N40</f>
        <v>APAGADO</v>
      </c>
      <c r="O42" t="str">
        <f>ESTADISTICA!O40</f>
        <v>APAGADO</v>
      </c>
      <c r="P42" t="str">
        <f>ESTADISTICA!P40</f>
        <v>APAGADO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</row>
    <row r="43" spans="1:33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 t="str">
        <f>ESTADISTICA!F41</f>
        <v>APAGADO</v>
      </c>
      <c r="G43" t="str">
        <f>ESTADISTICA!G41</f>
        <v>APAGADO</v>
      </c>
      <c r="H43" t="str">
        <f>ESTADISTICA!H41</f>
        <v>APAGADO</v>
      </c>
      <c r="I43" t="str">
        <f>ESTADISTICA!I41</f>
        <v>APAGADO</v>
      </c>
      <c r="J43" t="str">
        <f>ESTADISTICA!J41</f>
        <v>APAGADO</v>
      </c>
      <c r="K43" t="str">
        <f>ESTADISTICA!K41</f>
        <v>APAGADO</v>
      </c>
      <c r="L43" t="str">
        <f>ESTADISTICA!L41</f>
        <v>APAGADO</v>
      </c>
      <c r="M43" t="str">
        <f>ESTADISTICA!M41</f>
        <v>APAGADO</v>
      </c>
      <c r="N43" t="str">
        <f>ESTADISTICA!N41</f>
        <v>APAGADO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 t="str">
        <f>ESTADISTICA!X41</f>
        <v>APAGADO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</row>
    <row r="44" spans="1:33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</row>
    <row r="45" spans="1:33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</row>
    <row r="46" spans="1:33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</row>
    <row r="47" spans="1:33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</row>
    <row r="48" spans="1:33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 t="str">
        <f>ESTADISTICA!X46</f>
        <v>APAGADO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</row>
    <row r="49" spans="1:33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</row>
    <row r="50" spans="1:33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 t="str">
        <f>ESTADISTICA!X48</f>
        <v>APAGADO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</row>
    <row r="51" spans="1:33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 t="str">
        <f>ESTADISTICA!X49</f>
        <v>APAGADO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</row>
    <row r="52" spans="1:33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3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</row>
    <row r="54" spans="1:33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</row>
    <row r="55" spans="1:33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 t="str">
        <f>ESTADISTICA!N53</f>
        <v>APAGADO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</row>
    <row r="56" spans="1:33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3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3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</row>
    <row r="59" spans="1:33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 t="str">
        <f>ESTADISTICA!F57</f>
        <v>APAGADO</v>
      </c>
      <c r="G59" t="str">
        <f>ESTADISTICA!G57</f>
        <v>APAGADO</v>
      </c>
      <c r="H59" t="str">
        <f>ESTADISTICA!H57</f>
        <v>APAGADO</v>
      </c>
      <c r="I59" t="str">
        <f>ESTADISTICA!I57</f>
        <v>APAGADO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>
        <f>ESTADISTICA!M57</f>
        <v>0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</row>
    <row r="60" spans="1:33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</row>
    <row r="61" spans="1:33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 t="str">
        <f>ESTADISTICA!M59</f>
        <v>APAGADO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</row>
    <row r="62" spans="1:33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</row>
    <row r="63" spans="1:33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</row>
    <row r="64" spans="1:33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 t="str">
        <f>ESTADISTICA!G62</f>
        <v>APAGADO</v>
      </c>
      <c r="H64" t="str">
        <f>ESTADISTICA!H62</f>
        <v>APAGADO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</row>
    <row r="65" spans="1:33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</row>
    <row r="66" spans="1:33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</row>
    <row r="67" spans="1:33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 t="str">
        <f>ESTADISTICA!G65</f>
        <v>APAGADO</v>
      </c>
      <c r="H67" t="str">
        <f>ESTADISTICA!H65</f>
        <v>APAGADO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</row>
    <row r="68" spans="1:33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</row>
    <row r="69" spans="1:33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 t="str">
        <f>ESTADISTICA!H67</f>
        <v>APAGADO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 t="str">
        <f>ESTADISTICA!X67</f>
        <v>APAGADO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</row>
    <row r="70" spans="1:33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</row>
    <row r="71" spans="1:33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</row>
    <row r="72" spans="1:33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</row>
    <row r="73" spans="1:33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</row>
    <row r="74" spans="1:33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</row>
    <row r="75" spans="1:33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</row>
    <row r="76" spans="1:33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</row>
    <row r="77" spans="1:33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</row>
    <row r="78" spans="1:33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</row>
    <row r="79" spans="1:33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 t="str">
        <f>ESTADISTICA!X77</f>
        <v>APAGADO</v>
      </c>
      <c r="Y79" t="str">
        <f>ESTADISTICA!Y77</f>
        <v>APAGADO</v>
      </c>
      <c r="Z79" t="str">
        <f>ESTADISTICA!Z77</f>
        <v>APAGADO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</row>
    <row r="80" spans="1:33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</row>
    <row r="81" spans="1:33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</row>
    <row r="82" spans="1:33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</row>
    <row r="83" spans="1:33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3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3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 t="str">
        <f>ESTADISTICA!F83</f>
        <v>APAGADO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3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3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</row>
    <row r="88" spans="1:33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 t="str">
        <f>ESTADISTICA!G86</f>
        <v>APAGADO</v>
      </c>
      <c r="H88" t="str">
        <f>ESTADISTICA!H86</f>
        <v>APAGADO</v>
      </c>
      <c r="I88" t="str">
        <f>ESTADISTICA!I86</f>
        <v>APAGADO</v>
      </c>
      <c r="J88" t="str">
        <f>ESTADISTICA!J86</f>
        <v>APAGADO</v>
      </c>
      <c r="K88" t="str">
        <f>ESTADISTICA!K86</f>
        <v>APAGADO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 t="str">
        <f>ESTADISTICA!T86</f>
        <v>APAGADO</v>
      </c>
      <c r="U88" t="str">
        <f>ESTADISTICA!U86</f>
        <v>APAGADO</v>
      </c>
      <c r="V88" t="str">
        <f>ESTADISTICA!V86</f>
        <v>APAGADO</v>
      </c>
      <c r="W88" t="str">
        <f>ESTADISTICA!W86</f>
        <v>APAGADO</v>
      </c>
      <c r="X88" t="str">
        <f>ESTADISTICA!X86</f>
        <v>APAGADO</v>
      </c>
      <c r="Y88" t="str">
        <f>ESTADISTICA!Y86</f>
        <v>APAGADO</v>
      </c>
      <c r="Z88" t="str">
        <f>ESTADISTICA!Z86</f>
        <v>APAGADO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</row>
    <row r="89" spans="1:33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 t="str">
        <f>ESTADISTICA!G87</f>
        <v>APAGADO</v>
      </c>
      <c r="H89" t="str">
        <f>ESTADISTICA!H87</f>
        <v>APAGADO</v>
      </c>
      <c r="I89" t="str">
        <f>ESTADISTICA!I87</f>
        <v>APAGADO</v>
      </c>
      <c r="J89" t="str">
        <f>ESTADISTICA!J87</f>
        <v>APAGADO</v>
      </c>
      <c r="K89" t="str">
        <f>ESTADISTICA!K87</f>
        <v>APAGADO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 t="str">
        <f>ESTADISTICA!T87</f>
        <v>APAGADO</v>
      </c>
      <c r="U89" t="str">
        <f>ESTADISTICA!U87</f>
        <v>APAGADO</v>
      </c>
      <c r="V89" t="str">
        <f>ESTADISTICA!V87</f>
        <v>APAGADO</v>
      </c>
      <c r="W89" t="str">
        <f>ESTADISTICA!W87</f>
        <v>APAGADO</v>
      </c>
      <c r="X89" t="str">
        <f>ESTADISTICA!X87</f>
        <v>APAGADO</v>
      </c>
      <c r="Y89" t="str">
        <f>ESTADISTICA!Y87</f>
        <v>APAGADO</v>
      </c>
      <c r="Z89" t="str">
        <f>ESTADISTICA!Z87</f>
        <v>APAGADO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</row>
    <row r="90" spans="1:33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 t="str">
        <f>ESTADISTICA!G88</f>
        <v>APAGADO</v>
      </c>
      <c r="H90" t="str">
        <f>ESTADISTICA!H88</f>
        <v>APAGADO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 t="str">
        <f>ESTADISTICA!M88</f>
        <v>APAGADO</v>
      </c>
      <c r="N90" t="str">
        <f>ESTADISTICA!N88</f>
        <v>APAGADO</v>
      </c>
      <c r="O90" t="str">
        <f>ESTADISTICA!O88</f>
        <v>APAGADO</v>
      </c>
      <c r="P90" t="str">
        <f>ESTADISTICA!P88</f>
        <v>APAGADO</v>
      </c>
      <c r="Q90" t="str">
        <f>ESTADISTICA!Q88</f>
        <v>APAGADO</v>
      </c>
      <c r="R90" t="str">
        <f>ESTADISTICA!R88</f>
        <v>APAGADO</v>
      </c>
      <c r="S90" t="str">
        <f>ESTADISTICA!S88</f>
        <v>APAGADO</v>
      </c>
      <c r="T90" t="str">
        <f>ESTADISTICA!T88</f>
        <v>APAGADO</v>
      </c>
      <c r="U90" t="str">
        <f>ESTADISTICA!U88</f>
        <v>APAGADO</v>
      </c>
      <c r="V90" t="str">
        <f>ESTADISTICA!V88</f>
        <v>APAGADO</v>
      </c>
      <c r="W90" t="str">
        <f>ESTADISTICA!W88</f>
        <v>APAGADO</v>
      </c>
      <c r="X90" t="str">
        <f>ESTADISTICA!X88</f>
        <v>APAGADO</v>
      </c>
      <c r="Y90" t="str">
        <f>ESTADISTICA!Y88</f>
        <v>APAGADO</v>
      </c>
      <c r="Z90" t="str">
        <f>ESTADISTICA!Z88</f>
        <v>APAGADO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</row>
    <row r="91" spans="1:33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 t="str">
        <f>ESTADISTICA!G89</f>
        <v>APAGADO</v>
      </c>
      <c r="H91" t="str">
        <f>ESTADISTICA!H89</f>
        <v>APAGADO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 t="str">
        <f>ESTADISTICA!M89</f>
        <v>APAGADO</v>
      </c>
      <c r="N91" t="str">
        <f>ESTADISTICA!N89</f>
        <v>APAGADO</v>
      </c>
      <c r="O91" t="str">
        <f>ESTADISTICA!O89</f>
        <v>APAGADO</v>
      </c>
      <c r="P91" t="str">
        <f>ESTADISTICA!P89</f>
        <v>APAGADO</v>
      </c>
      <c r="Q91" t="str">
        <f>ESTADISTICA!Q89</f>
        <v>APAGADO</v>
      </c>
      <c r="R91" t="str">
        <f>ESTADISTICA!R89</f>
        <v>APAGADO</v>
      </c>
      <c r="S91" t="str">
        <f>ESTADISTICA!S89</f>
        <v>APAGADO</v>
      </c>
      <c r="T91" t="str">
        <f>ESTADISTICA!T89</f>
        <v>APAGADO</v>
      </c>
      <c r="U91" t="str">
        <f>ESTADISTICA!U89</f>
        <v>APAGADO</v>
      </c>
      <c r="V91" t="str">
        <f>ESTADISTICA!V89</f>
        <v>APAGADO</v>
      </c>
      <c r="W91" t="str">
        <f>ESTADISTICA!W89</f>
        <v>APAGADO</v>
      </c>
      <c r="X91" t="str">
        <f>ESTADISTICA!X89</f>
        <v>APAGADO</v>
      </c>
      <c r="Y91" t="str">
        <f>ESTADISTICA!Y89</f>
        <v>APAGADO</v>
      </c>
      <c r="Z91" t="str">
        <f>ESTADISTICA!Z89</f>
        <v>APAGADO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</row>
    <row r="92" spans="1:33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</row>
    <row r="93" spans="1:33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 t="str">
        <f>ESTADISTICA!N91</f>
        <v>APAGADO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</row>
    <row r="94" spans="1:33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</row>
    <row r="95" spans="1:33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3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 t="str">
        <f>ESTADISTICA!M94</f>
        <v>APAGADO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3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</row>
    <row r="98" spans="1:33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</row>
    <row r="99" spans="1:33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3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3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 t="str">
        <f>ESTADISTICA!L99</f>
        <v>APAGADO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 t="str">
        <f>ESTADISTICA!Q99</f>
        <v>APAGADO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3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3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 t="str">
        <f>ESTADISTICA!P101</f>
        <v>APAGADO</v>
      </c>
      <c r="Q103" t="str">
        <f>ESTADISTICA!Q101</f>
        <v>APAGADO</v>
      </c>
      <c r="R103" t="str">
        <f>ESTADISTICA!R101</f>
        <v>APAGADO</v>
      </c>
      <c r="S103" t="str">
        <f>ESTADISTICA!S101</f>
        <v>APAGADO</v>
      </c>
      <c r="T103" t="str">
        <f>ESTADISTICA!T101</f>
        <v>APAGADO</v>
      </c>
      <c r="U103" t="str">
        <f>ESTADISTICA!U101</f>
        <v>APAGADO</v>
      </c>
      <c r="V103" t="str">
        <f>ESTADISTICA!V101</f>
        <v>APAGADO</v>
      </c>
      <c r="W103" t="str">
        <f>ESTADISTICA!W101</f>
        <v>APAGADO</v>
      </c>
      <c r="X103" t="str">
        <f>ESTADISTICA!X101</f>
        <v>APAGADO</v>
      </c>
      <c r="Y103" t="str">
        <f>ESTADISTICA!Y101</f>
        <v>APAGADO</v>
      </c>
      <c r="Z103" t="str">
        <f>ESTADISTICA!Z101</f>
        <v>APAGADO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3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 t="str">
        <f>ESTADISTICA!P102</f>
        <v>APAGADO</v>
      </c>
      <c r="Q104" t="str">
        <f>ESTADISTICA!Q102</f>
        <v>APAGADO</v>
      </c>
      <c r="R104" t="str">
        <f>ESTADISTICA!R102</f>
        <v>APAGADO</v>
      </c>
      <c r="S104" t="str">
        <f>ESTADISTICA!S102</f>
        <v>APAGADO</v>
      </c>
      <c r="T104" t="str">
        <f>ESTADISTICA!T102</f>
        <v>APAGADO</v>
      </c>
      <c r="U104" t="str">
        <f>ESTADISTICA!U102</f>
        <v>APAGADO</v>
      </c>
      <c r="V104" t="str">
        <f>ESTADISTICA!V102</f>
        <v>APAGADO</v>
      </c>
      <c r="W104" t="str">
        <f>ESTADISTICA!W102</f>
        <v>APAGADO</v>
      </c>
      <c r="X104" t="str">
        <f>ESTADISTICA!X102</f>
        <v>APAGADO</v>
      </c>
      <c r="Y104" t="str">
        <f>ESTADISTICA!Y102</f>
        <v>APAGADO</v>
      </c>
      <c r="Z104" t="str">
        <f>ESTADISTICA!Z102</f>
        <v>APAGADO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3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 t="str">
        <f>ESTADISTICA!G103</f>
        <v>APAGADO</v>
      </c>
      <c r="H105" t="str">
        <f>ESTADISTICA!H103</f>
        <v>APAGADO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>
        <f>ESTADISTICA!P103</f>
        <v>0</v>
      </c>
      <c r="Q105">
        <f>ESTADISTICA!Q103</f>
        <v>0</v>
      </c>
      <c r="R105">
        <f>ESTADISTICA!R103</f>
        <v>0</v>
      </c>
      <c r="S105" t="str">
        <f>ESTADISTICA!S103</f>
        <v>APAGADO</v>
      </c>
      <c r="T105">
        <f>ESTADISTICA!T103</f>
        <v>0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</row>
    <row r="106" spans="1:33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 t="str">
        <f>ESTADISTICA!G104</f>
        <v>APAGADO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 t="str">
        <f>ESTADISTICA!O104</f>
        <v>APAGADO</v>
      </c>
      <c r="P106">
        <f>ESTADISTICA!P104</f>
        <v>0</v>
      </c>
      <c r="Q106">
        <f>ESTADISTICA!Q104</f>
        <v>0</v>
      </c>
      <c r="R106">
        <f>ESTADISTICA!R104</f>
        <v>0</v>
      </c>
      <c r="S106" t="str">
        <f>ESTADISTICA!S104</f>
        <v>APAGADO</v>
      </c>
      <c r="T106">
        <f>ESTADISTICA!T104</f>
        <v>0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</row>
    <row r="107" spans="1:33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 t="str">
        <f>ESTADISTICA!G105</f>
        <v>APAGADO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>
        <f>ESTADISTICA!P105</f>
        <v>0</v>
      </c>
      <c r="Q107">
        <f>ESTADISTICA!Q105</f>
        <v>0</v>
      </c>
      <c r="R107">
        <f>ESTADISTICA!R105</f>
        <v>0</v>
      </c>
      <c r="S107" t="str">
        <f>ESTADISTICA!S105</f>
        <v>APAGADO</v>
      </c>
      <c r="T107">
        <f>ESTADISTICA!T105</f>
        <v>0</v>
      </c>
      <c r="U107" t="str">
        <f>ESTADISTICA!U105</f>
        <v>APAGADO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</row>
    <row r="108" spans="1:33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 t="str">
        <f>ESTADISTICA!G106</f>
        <v>APAGADO</v>
      </c>
      <c r="H108" t="str">
        <f>ESTADISTICA!H106</f>
        <v>APAGADO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 t="str">
        <f>ESTADISTICA!O106</f>
        <v>APAGADO</v>
      </c>
      <c r="P108">
        <f>ESTADISTICA!P106</f>
        <v>0</v>
      </c>
      <c r="Q108">
        <f>ESTADISTICA!Q106</f>
        <v>0</v>
      </c>
      <c r="R108">
        <f>ESTADISTICA!R106</f>
        <v>0</v>
      </c>
      <c r="S108" t="str">
        <f>ESTADISTICA!S106</f>
        <v>APAGADO</v>
      </c>
      <c r="T108">
        <f>ESTADISTICA!T106</f>
        <v>0</v>
      </c>
      <c r="U108" t="str">
        <f>ESTADISTICA!U106</f>
        <v>APAGADO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</row>
    <row r="109" spans="1:33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3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3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 t="str">
        <f>ESTADISTICA!J109</f>
        <v>APAGADO</v>
      </c>
      <c r="K111">
        <f>ESTADISTICA!K109</f>
        <v>0</v>
      </c>
      <c r="L111">
        <f>ESTADISTICA!L109</f>
        <v>0</v>
      </c>
      <c r="M111">
        <f>ESTADISTICA!M109</f>
        <v>0</v>
      </c>
      <c r="N111" t="str">
        <f>ESTADISTICA!N109</f>
        <v>APAGADO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 t="str">
        <f>ESTADISTICA!X109</f>
        <v>APAGADO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3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3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3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 t="str">
        <f>ESTADISTICA!U112</f>
        <v>APAGADO</v>
      </c>
      <c r="V114" t="str">
        <f>ESTADISTICA!V112</f>
        <v>APAGADO</v>
      </c>
      <c r="W114" t="str">
        <f>ESTADISTICA!W112</f>
        <v>APAGADO</v>
      </c>
      <c r="X114" t="str">
        <f>ESTADISTICA!X112</f>
        <v>APAGADO</v>
      </c>
      <c r="Y114" t="str">
        <f>ESTADISTICA!Y112</f>
        <v>APAGADO</v>
      </c>
      <c r="Z114" t="str">
        <f>ESTADISTICA!Z112</f>
        <v>APAGADO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</row>
    <row r="115" spans="1:33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 t="str">
        <f>ESTADISTICA!U113</f>
        <v>APAGADO</v>
      </c>
      <c r="V115" t="str">
        <f>ESTADISTICA!V113</f>
        <v>APAGADO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</row>
    <row r="116" spans="1:33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 t="str">
        <f>ESTADISTICA!Z114</f>
        <v xml:space="preserve"> 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3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</row>
    <row r="118" spans="1:33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</row>
    <row r="119" spans="1:33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</row>
    <row r="120" spans="1:33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</row>
    <row r="121" spans="1:33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 t="str">
        <f>ESTADISTICA!G119</f>
        <v>APAGADO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 t="str">
        <f>ESTADISTICA!O119</f>
        <v>APAGADO</v>
      </c>
      <c r="P121">
        <f>ESTADISTICA!P119</f>
        <v>0</v>
      </c>
      <c r="Q121">
        <f>ESTADISTICA!Q119</f>
        <v>0</v>
      </c>
      <c r="R121">
        <f>ESTADISTICA!R119</f>
        <v>0</v>
      </c>
      <c r="S121" t="str">
        <f>ESTADISTICA!S119</f>
        <v>APAGADO</v>
      </c>
      <c r="T121">
        <f>ESTADISTICA!T119</f>
        <v>0</v>
      </c>
      <c r="U121" t="str">
        <f>ESTADISTICA!U119</f>
        <v>APAGADO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</row>
    <row r="122" spans="1:33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 t="str">
        <f>ESTADISTICA!G120</f>
        <v>APAGADO</v>
      </c>
      <c r="H122" t="str">
        <f>ESTADISTICA!H120</f>
        <v>APAGADO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>
        <f>ESTADISTICA!P120</f>
        <v>0</v>
      </c>
      <c r="Q122">
        <f>ESTADISTICA!Q120</f>
        <v>0</v>
      </c>
      <c r="R122">
        <f>ESTADISTICA!R120</f>
        <v>0</v>
      </c>
      <c r="S122" t="str">
        <f>ESTADISTICA!S120</f>
        <v>APAGADO</v>
      </c>
      <c r="T122">
        <f>ESTADISTICA!T120</f>
        <v>0</v>
      </c>
      <c r="U122" t="str">
        <f>ESTADISTICA!U120</f>
        <v>APAGADO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</row>
    <row r="123" spans="1:33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</row>
    <row r="124" spans="1:33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3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3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3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3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3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 t="str">
        <f>ESTADISTICA!P127</f>
        <v>APAGADO</v>
      </c>
      <c r="Q129" t="str">
        <f>ESTADISTICA!Q127</f>
        <v>APAGADO</v>
      </c>
      <c r="R129" t="str">
        <f>ESTADISTICA!R127</f>
        <v>APAGADO</v>
      </c>
      <c r="S129" t="str">
        <f>ESTADISTICA!S127</f>
        <v>APAGADO</v>
      </c>
      <c r="T129" t="str">
        <f>ESTADISTICA!T127</f>
        <v>APAGADO</v>
      </c>
      <c r="U129" t="str">
        <f>ESTADISTICA!U127</f>
        <v>APAGADO</v>
      </c>
      <c r="V129" t="str">
        <f>ESTADISTICA!V127</f>
        <v>APAGADO</v>
      </c>
      <c r="W129" t="str">
        <f>ESTADISTICA!W127</f>
        <v>APAGADO</v>
      </c>
      <c r="X129" t="str">
        <f>ESTADISTICA!X127</f>
        <v>APAGADO</v>
      </c>
      <c r="Y129" t="str">
        <f>ESTADISTICA!Y127</f>
        <v>APAGADO</v>
      </c>
      <c r="Z129" t="str">
        <f>ESTADISTICA!Z127</f>
        <v>APAGADO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3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3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3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 t="str">
        <f>ESTADISTICA!Y130</f>
        <v>APAGADO</v>
      </c>
      <c r="Z132" t="str">
        <f>ESTADISTICA!Z130</f>
        <v>APAGADO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3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 t="str">
        <f>ESTADISTICA!J131</f>
        <v>APAGADO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3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3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3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 t="str">
        <f>ESTADISTICA!F134</f>
        <v>APAGADO</v>
      </c>
      <c r="G136" t="str">
        <f>ESTADISTICA!G134</f>
        <v>APAGADO</v>
      </c>
      <c r="H136" t="str">
        <f>ESTADISTICA!H134</f>
        <v>APAGADO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</row>
    <row r="137" spans="1:33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 t="str">
        <f>ESTADISTICA!S135</f>
        <v>APAGADO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3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 t="str">
        <f>ESTADISTICA!P136</f>
        <v>APAGADO</v>
      </c>
      <c r="Q138" t="str">
        <f>ESTADISTICA!Q136</f>
        <v>APAGADO</v>
      </c>
      <c r="R138" t="str">
        <f>ESTADISTICA!R136</f>
        <v>APAGADO</v>
      </c>
      <c r="S138" t="str">
        <f>ESTADISTICA!S136</f>
        <v>APAGADO</v>
      </c>
      <c r="T138" t="str">
        <f>ESTADISTICA!T136</f>
        <v>APAGADO</v>
      </c>
      <c r="U138" t="str">
        <f>ESTADISTICA!U136</f>
        <v>APAGADO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 t="str">
        <f>ESTADISTICA!Z136</f>
        <v>APAGADO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3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 t="str">
        <f>ESTADISTICA!Q137</f>
        <v>APAGADO</v>
      </c>
      <c r="R139" t="str">
        <f>ESTADISTICA!R137</f>
        <v>APAGADO</v>
      </c>
      <c r="S139" t="str">
        <f>ESTADISTICA!S137</f>
        <v>APAGADO</v>
      </c>
      <c r="T139" t="str">
        <f>ESTADISTICA!T137</f>
        <v>APAGADO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 t="str">
        <f>ESTADISTICA!Z137</f>
        <v>APAGADO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3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 t="str">
        <f>ESTADISTICA!Q138</f>
        <v>APAGADO</v>
      </c>
      <c r="R140" t="str">
        <f>ESTADISTICA!R138</f>
        <v>APAGADO</v>
      </c>
      <c r="S140" t="str">
        <f>ESTADISTICA!S138</f>
        <v>APAGADO</v>
      </c>
      <c r="T140" t="str">
        <f>ESTADISTICA!T138</f>
        <v>APAGADO</v>
      </c>
      <c r="U140" t="str">
        <f>ESTADISTICA!U138</f>
        <v>APAGADO</v>
      </c>
      <c r="V140" t="str">
        <f>ESTADISTICA!V138</f>
        <v>APAGADO</v>
      </c>
      <c r="W140" t="str">
        <f>ESTADISTICA!W138</f>
        <v>APAGADO</v>
      </c>
      <c r="X140" t="str">
        <f>ESTADISTICA!X138</f>
        <v>APAGADO</v>
      </c>
      <c r="Y140" t="str">
        <f>ESTADISTICA!Y138</f>
        <v>APAGADO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3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 t="str">
        <f>ESTADISTICA!N139</f>
        <v>APAGADO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 t="str">
        <f>ESTADISTICA!X139</f>
        <v>APAGADO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3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 t="str">
        <f>ESTADISTICA!N140</f>
        <v>APAGADO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3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 t="str">
        <f>ESTADISTICA!M141</f>
        <v>APAGADO</v>
      </c>
      <c r="N143" t="str">
        <f>ESTADISTICA!N141</f>
        <v>APAGADO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3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3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 t="str">
        <f>ESTADISTICA!I143</f>
        <v>APAGADO</v>
      </c>
      <c r="J145" t="str">
        <f>ESTADISTICA!J143</f>
        <v>APAGADO</v>
      </c>
      <c r="K145" t="str">
        <f>ESTADISTICA!K143</f>
        <v>APAGADO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3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</row>
    <row r="147" spans="1:33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</row>
    <row r="148" spans="1:33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</row>
    <row r="149" spans="1:33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</row>
    <row r="150" spans="1:33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 t="str">
        <f>ESTADISTICA!F148</f>
        <v>APAGADO</v>
      </c>
      <c r="G150" t="str">
        <f>ESTADISTICA!G148</f>
        <v>APAGADO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</row>
    <row r="151" spans="1:33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</row>
    <row r="152" spans="1:33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 t="str">
        <f>ESTADISTICA!V150</f>
        <v>APAGADO</v>
      </c>
      <c r="W152" t="str">
        <f>ESTADISTICA!W150</f>
        <v>APAGADO</v>
      </c>
      <c r="X152" t="str">
        <f>ESTADISTICA!X150</f>
        <v>APAGADO</v>
      </c>
      <c r="Y152" t="str">
        <f>ESTADISTICA!Y150</f>
        <v>APAGADO</v>
      </c>
      <c r="Z152" t="str">
        <f>ESTADISTICA!Z150</f>
        <v>APAGADO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</row>
    <row r="153" spans="1:33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 t="str">
        <f>ESTADISTICA!X151</f>
        <v>APAGADO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</row>
    <row r="154" spans="1:33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 t="str">
        <f>ESTADISTICA!V152</f>
        <v>APAGADO</v>
      </c>
      <c r="W154">
        <f>ESTADISTICA!W152</f>
        <v>0</v>
      </c>
      <c r="X154" t="str">
        <f>ESTADISTICA!X152</f>
        <v>APAGADO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</row>
    <row r="155" spans="1:33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</row>
    <row r="156" spans="1:33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</row>
    <row r="157" spans="1:33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</row>
    <row r="158" spans="1:33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 t="str">
        <f>ESTADISTICA!F156</f>
        <v>APAGADO</v>
      </c>
      <c r="G158" t="str">
        <f>ESTADISTICA!G156</f>
        <v>APAGADO</v>
      </c>
      <c r="H158" t="str">
        <f>ESTADISTICA!H156</f>
        <v>APAGADO</v>
      </c>
      <c r="I158" t="str">
        <f>ESTADISTICA!I156</f>
        <v>APAGADO</v>
      </c>
      <c r="J158" t="str">
        <f>ESTADISTICA!J156</f>
        <v>APAGADO</v>
      </c>
      <c r="K158" t="str">
        <f>ESTADISTICA!K156</f>
        <v>APAGADO</v>
      </c>
      <c r="L158" t="str">
        <f>ESTADISTICA!L156</f>
        <v>APAGADO</v>
      </c>
      <c r="M158">
        <f>ESTADISTICA!M156</f>
        <v>0</v>
      </c>
      <c r="N158" t="str">
        <f>ESTADISTICA!N156</f>
        <v>APAGADO</v>
      </c>
      <c r="O158" t="str">
        <f>ESTADISTICA!O156</f>
        <v>APAGADO</v>
      </c>
      <c r="P158" t="str">
        <f>ESTADISTICA!P156</f>
        <v>APAGADO</v>
      </c>
      <c r="Q158" t="str">
        <f>ESTADISTICA!Q156</f>
        <v>APAGADO</v>
      </c>
      <c r="R158" t="str">
        <f>ESTADISTICA!R156</f>
        <v>APAGADO</v>
      </c>
      <c r="S158" t="str">
        <f>ESTADISTICA!S156</f>
        <v>APAGADO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 t="str">
        <f>ESTADISTICA!W156</f>
        <v>APAGADO</v>
      </c>
      <c r="X158" t="str">
        <f>ESTADISTICA!X156</f>
        <v>APAGADO</v>
      </c>
      <c r="Y158" t="str">
        <f>ESTADISTICA!Y156</f>
        <v>APAGADO</v>
      </c>
      <c r="Z158" t="str">
        <f>ESTADISTICA!Z156</f>
        <v>APAGADO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</row>
    <row r="159" spans="1:33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 t="str">
        <f>ESTADISTICA!K157</f>
        <v>APAGADO</v>
      </c>
      <c r="L159" t="str">
        <f>ESTADISTICA!L157</f>
        <v>APAGADO</v>
      </c>
      <c r="M159" t="str">
        <f>ESTADISTICA!M157</f>
        <v>APAGADO</v>
      </c>
      <c r="N159" t="str">
        <f>ESTADISTICA!N157</f>
        <v>APAGADO</v>
      </c>
      <c r="O159" t="str">
        <f>ESTADISTICA!O157</f>
        <v>APAGADO</v>
      </c>
      <c r="P159" t="str">
        <f>ESTADISTICA!P157</f>
        <v>APAGADO</v>
      </c>
      <c r="Q159" t="str">
        <f>ESTADISTICA!Q157</f>
        <v>APAGADO</v>
      </c>
      <c r="R159">
        <f>ESTADISTICA!R157</f>
        <v>0</v>
      </c>
      <c r="S159" t="str">
        <f>ESTADISTICA!S157</f>
        <v>APAGADO</v>
      </c>
      <c r="T159" t="str">
        <f>ESTADISTICA!T157</f>
        <v>APAGADO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</row>
    <row r="160" spans="1:33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 t="str">
        <f>ESTADISTICA!Q158</f>
        <v>APAGADO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</row>
    <row r="161" spans="1:33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</row>
    <row r="162" spans="1:33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 t="str">
        <f>ESTADISTICA!T160</f>
        <v>APAGADO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</row>
    <row r="163" spans="1:33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 t="str">
        <f>ESTADISTICA!J161</f>
        <v>APAGADO</v>
      </c>
      <c r="K163" t="str">
        <f>ESTADISTICA!K161</f>
        <v>APAGADO</v>
      </c>
      <c r="L163" t="str">
        <f>ESTADISTICA!L161</f>
        <v>APAGADO</v>
      </c>
      <c r="M163" t="str">
        <f>ESTADISTICA!M161</f>
        <v>APAGADO</v>
      </c>
      <c r="N163" t="str">
        <f>ESTADISTICA!N161</f>
        <v>APAGADO</v>
      </c>
      <c r="O163" t="str">
        <f>ESTADISTICA!O161</f>
        <v>APAGADO</v>
      </c>
      <c r="P163" t="str">
        <f>ESTADISTICA!P161</f>
        <v>APAGADO</v>
      </c>
      <c r="Q163" t="str">
        <f>ESTADISTICA!Q161</f>
        <v>APAGADO</v>
      </c>
      <c r="R163" t="str">
        <f>ESTADISTICA!R161</f>
        <v>APAGADO</v>
      </c>
      <c r="S163" t="str">
        <f>ESTADISTICA!S161</f>
        <v>APAGADO</v>
      </c>
      <c r="T163" t="str">
        <f>ESTADISTICA!T161</f>
        <v>APAGADO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</row>
    <row r="164" spans="1:33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</row>
    <row r="165" spans="1:33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3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3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</row>
    <row r="168" spans="1:33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</row>
    <row r="169" spans="1:33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</row>
    <row r="170" spans="1:33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 t="str">
        <f>ESTADISTICA!V168</f>
        <v>APAGADO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</row>
    <row r="171" spans="1:33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</row>
    <row r="172" spans="1:33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</row>
    <row r="173" spans="1:33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 t="str">
        <f>ESTADISTICA!U171</f>
        <v>APAGADO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</row>
    <row r="174" spans="1:33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</row>
    <row r="175" spans="1:33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3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3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3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3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>
        <f>ESTADISTICA!G177</f>
        <v>0</v>
      </c>
      <c r="H179">
        <f>ESTADISTICA!H177</f>
        <v>0</v>
      </c>
      <c r="I179" t="str">
        <f>ESTADISTICA!I177</f>
        <v>APAGADO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 t="str">
        <f>ESTADISTICA!U177</f>
        <v>APAGADO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 t="str">
        <f>ESTADISTICA!Z177</f>
        <v>APAGADO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</row>
    <row r="180" spans="1:33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3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3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3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3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</row>
    <row r="185" spans="1:33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</row>
    <row r="186" spans="1:33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</row>
    <row r="187" spans="1:33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</row>
    <row r="188" spans="1:33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</row>
    <row r="189" spans="1:33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</row>
    <row r="190" spans="1:33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 t="str">
        <f>ESTADISTICA!Y188</f>
        <v>APAGADO</v>
      </c>
      <c r="Z190" t="str">
        <f>ESTADISTICA!Z188</f>
        <v>APAGADO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</row>
    <row r="191" spans="1:33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 t="str">
        <f>ESTADISTICA!Y189</f>
        <v>APAGADO</v>
      </c>
      <c r="Z191" t="str">
        <f>ESTADISTICA!Z189</f>
        <v>APAGADO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</row>
    <row r="192" spans="1:33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 t="str">
        <f>ESTADISTICA!G190</f>
        <v>APAGADO</v>
      </c>
      <c r="H192" t="str">
        <f>ESTADISTICA!H190</f>
        <v>APAGADO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 t="str">
        <f>ESTADISTICA!M190</f>
        <v>APAGADO</v>
      </c>
      <c r="N192" t="str">
        <f>ESTADISTICA!N190</f>
        <v>APAGADO</v>
      </c>
      <c r="O192" t="str">
        <f>ESTADISTICA!O190</f>
        <v>APAGADO</v>
      </c>
      <c r="P192" t="str">
        <f>ESTADISTICA!P190</f>
        <v>APAGADO</v>
      </c>
      <c r="Q192" t="str">
        <f>ESTADISTICA!Q190</f>
        <v>APAGADO</v>
      </c>
      <c r="R192" t="str">
        <f>ESTADISTICA!R190</f>
        <v>APAGADO</v>
      </c>
      <c r="S192" t="str">
        <f>ESTADISTICA!S190</f>
        <v>APAGADO</v>
      </c>
      <c r="T192" t="str">
        <f>ESTADISTICA!T190</f>
        <v>APAGADO</v>
      </c>
      <c r="U192" t="str">
        <f>ESTADISTICA!U190</f>
        <v>APAGADO</v>
      </c>
      <c r="V192">
        <f>ESTADISTICA!V190</f>
        <v>0</v>
      </c>
      <c r="W192" t="str">
        <f>ESTADISTICA!W190</f>
        <v>APAGADO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</row>
    <row r="193" spans="1:33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 t="str">
        <f>ESTADISTICA!W191</f>
        <v>APAGADO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</row>
    <row r="194" spans="1:33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</row>
    <row r="195" spans="1:33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</row>
    <row r="196" spans="1:33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>
        <f>ESTADISTICA!L194</f>
        <v>0</v>
      </c>
      <c r="M196">
        <f>ESTADISTICA!M194</f>
        <v>0</v>
      </c>
      <c r="N196">
        <f>ESTADISTICA!N194</f>
        <v>0</v>
      </c>
      <c r="O196" t="str">
        <f>ESTADISTICA!O194</f>
        <v>APAGADO</v>
      </c>
      <c r="P196">
        <f>ESTADISTICA!P194</f>
        <v>0</v>
      </c>
      <c r="Q196">
        <f>ESTADISTICA!Q194</f>
        <v>0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 t="str">
        <f>ESTADISTICA!U194</f>
        <v>APAGADO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</row>
    <row r="197" spans="1:33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</row>
    <row r="198" spans="1:33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>
        <f>ESTADISTICA!O196</f>
        <v>0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</row>
    <row r="199" spans="1:33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 t="str">
        <f>ESTADISTICA!L197</f>
        <v>APAGADO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</row>
    <row r="200" spans="1:33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</row>
    <row r="201" spans="1:33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</row>
    <row r="202" spans="1:33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</row>
    <row r="203" spans="1:33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</row>
    <row r="204" spans="1:33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</row>
    <row r="205" spans="1:33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 t="str">
        <f>ESTADISTICA!Y203</f>
        <v>APAGADO</v>
      </c>
      <c r="Z205" t="str">
        <f>ESTADISTICA!Z203</f>
        <v>APAGADO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</row>
    <row r="206" spans="1:33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>
        <f>ESTADISTICA!F204</f>
        <v>0</v>
      </c>
      <c r="G206" t="str">
        <f>ESTADISTICA!G204</f>
        <v>APAGADO</v>
      </c>
      <c r="H206" t="str">
        <f>ESTADISTICA!H204</f>
        <v>APAGADO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3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 t="str">
        <f>ESTADISTICA!G205</f>
        <v>APAGADO</v>
      </c>
      <c r="H207" t="str">
        <f>ESTADISTICA!H205</f>
        <v>APAGADO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3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</row>
    <row r="209" spans="1:33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</row>
    <row r="210" spans="1:33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 t="str">
        <f>ESTADISTICA!Z208</f>
        <v>APAGADO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</row>
    <row r="211" spans="1:33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 t="str">
        <f>ESTADISTICA!W209</f>
        <v>APAGADO</v>
      </c>
      <c r="X211" t="str">
        <f>ESTADISTICA!X209</f>
        <v>APAGADO</v>
      </c>
      <c r="Y211" t="str">
        <f>ESTADISTICA!Y209</f>
        <v>APAGADO</v>
      </c>
      <c r="Z211" t="str">
        <f>ESTADISTICA!Z209</f>
        <v>APAGADO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</row>
    <row r="212" spans="1:33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</row>
    <row r="213" spans="1:33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</row>
    <row r="214" spans="1:33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</row>
    <row r="215" spans="1:33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</row>
    <row r="216" spans="1:33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</row>
    <row r="217" spans="1:33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</row>
    <row r="218" spans="1:33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</row>
    <row r="219" spans="1:33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</row>
    <row r="220" spans="1:33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</row>
    <row r="221" spans="1:33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</row>
    <row r="222" spans="1:33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</row>
    <row r="223" spans="1:33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 t="str">
        <f>ESTADISTICA!F221</f>
        <v>APAGADO</v>
      </c>
      <c r="G223" t="str">
        <f>ESTADISTICA!G221</f>
        <v>APAGADO</v>
      </c>
      <c r="H223" t="str">
        <f>ESTADISTICA!H221</f>
        <v>APAGADO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 t="str">
        <f>ESTADISTICA!O221</f>
        <v>APAGADO</v>
      </c>
      <c r="P223" t="str">
        <f>ESTADISTICA!P221</f>
        <v>APAGADO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</row>
    <row r="224" spans="1:33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 t="str">
        <f>ESTADISTICA!Q222</f>
        <v>APAGADO</v>
      </c>
      <c r="R224" t="str">
        <f>ESTADISTICA!R222</f>
        <v>APAGADO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</row>
    <row r="225" spans="1:33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</row>
    <row r="226" spans="1:33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</row>
    <row r="227" spans="1:33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3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</row>
    <row r="229" spans="1:33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</row>
    <row r="230" spans="1:33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</row>
    <row r="231" spans="1:33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</row>
    <row r="232" spans="1:33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 t="str">
        <f>ESTADISTICA!H230</f>
        <v>APAGADO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3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3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</row>
    <row r="235" spans="1:33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</row>
    <row r="236" spans="1:33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 t="str">
        <f>ESTADISTICA!T234</f>
        <v>APAGADO</v>
      </c>
      <c r="U236" t="str">
        <f>ESTADISTICA!U234</f>
        <v>APAGADO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 t="str">
        <f>ESTADISTICA!Z234</f>
        <v>APAGADO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</row>
    <row r="237" spans="1:33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3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</row>
    <row r="239" spans="1:33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 t="str">
        <f>ESTADISTICA!G237</f>
        <v>APAGADO</v>
      </c>
      <c r="H239" t="str">
        <f>ESTADISTICA!H237</f>
        <v>APAGADO</v>
      </c>
      <c r="I239" t="str">
        <f>ESTADISTICA!I237</f>
        <v>APAGADO</v>
      </c>
      <c r="J239" t="str">
        <f>ESTADISTICA!J237</f>
        <v>APAGADO</v>
      </c>
      <c r="K239" t="str">
        <f>ESTADISTICA!K237</f>
        <v>APAGADO</v>
      </c>
      <c r="L239" t="str">
        <f>ESTADISTICA!L237</f>
        <v>APAGADO</v>
      </c>
      <c r="M239" t="str">
        <f>ESTADISTICA!M237</f>
        <v>APAGADO</v>
      </c>
      <c r="N239" t="str">
        <f>ESTADISTICA!N237</f>
        <v>APAGADO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 t="str">
        <f>ESTADISTICA!X237</f>
        <v>APAGADO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</row>
    <row r="240" spans="1:33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 t="str">
        <f>ESTADISTICA!Q238</f>
        <v>APAGADO</v>
      </c>
      <c r="R240" t="str">
        <f>ESTADISTICA!R238</f>
        <v>APAGADO</v>
      </c>
      <c r="S240" t="str">
        <f>ESTADISTICA!S238</f>
        <v>APAGADO</v>
      </c>
      <c r="T240" t="str">
        <f>ESTADISTICA!T238</f>
        <v>APAGADO</v>
      </c>
      <c r="U240" t="str">
        <f>ESTADISTICA!U238</f>
        <v>APAGADO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</row>
    <row r="241" spans="1:33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</row>
    <row r="242" spans="1:33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</row>
    <row r="243" spans="1:33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 t="str">
        <f>ESTADISTICA!T241</f>
        <v>APAGADO</v>
      </c>
      <c r="U243" t="str">
        <f>ESTADISTICA!U241</f>
        <v>APAGADO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</row>
    <row r="244" spans="1:33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 t="str">
        <f>ESTADISTICA!V242</f>
        <v>APAGADO</v>
      </c>
      <c r="W244" t="str">
        <f>ESTADISTICA!W242</f>
        <v>APAGADO</v>
      </c>
      <c r="X244" t="str">
        <f>ESTADISTICA!X242</f>
        <v>APAGADO</v>
      </c>
      <c r="Y244" t="str">
        <f>ESTADISTICA!Y242</f>
        <v>APAGADO</v>
      </c>
      <c r="Z244" t="str">
        <f>ESTADISTICA!Z242</f>
        <v>APAGADO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</row>
    <row r="245" spans="1:33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>
        <f>ESTADISTICA!V243</f>
        <v>0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</row>
    <row r="246" spans="1:33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3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3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3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 t="str">
        <f>ESTADISTICA!J247</f>
        <v>APAGADO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 t="str">
        <f>ESTADISTICA!X247</f>
        <v>APAGADO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3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 t="str">
        <f>ESTADISTICA!J248</f>
        <v>APAGADO</v>
      </c>
      <c r="K250" t="str">
        <f>ESTADISTICA!K248</f>
        <v>APAGADO</v>
      </c>
      <c r="L250" t="str">
        <f>ESTADISTICA!L248</f>
        <v>APAGADO</v>
      </c>
      <c r="M250" t="str">
        <f>ESTADISTICA!M248</f>
        <v>APAGADO</v>
      </c>
      <c r="N250" t="str">
        <f>ESTADISTICA!N248</f>
        <v>APAGADO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 t="str">
        <f>ESTADISTICA!T248</f>
        <v>APAGADO</v>
      </c>
      <c r="U250" t="str">
        <f>ESTADISTICA!U248</f>
        <v>APAGADO</v>
      </c>
      <c r="V250" t="str">
        <f>ESTADISTICA!V248</f>
        <v>APAGADO</v>
      </c>
      <c r="W250" t="str">
        <f>ESTADISTICA!W248</f>
        <v>APAGADO</v>
      </c>
      <c r="X250" t="str">
        <f>ESTADISTICA!X248</f>
        <v>APAGADO</v>
      </c>
      <c r="Y250" t="str">
        <f>ESTADISTICA!Y248</f>
        <v>APAGADO</v>
      </c>
      <c r="Z250" t="str">
        <f>ESTADISTICA!Z248</f>
        <v>APAGADO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</row>
    <row r="251" spans="1:33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 t="str">
        <f>ESTADISTICA!J249</f>
        <v>APAGADO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 t="str">
        <f>ESTADISTICA!T249</f>
        <v>APAGADO</v>
      </c>
      <c r="U251" t="str">
        <f>ESTADISTICA!U249</f>
        <v>APAGADO</v>
      </c>
      <c r="V251" t="str">
        <f>ESTADISTICA!V249</f>
        <v>APAGADO</v>
      </c>
      <c r="W251" t="str">
        <f>ESTADISTICA!W249</f>
        <v>APAGADO</v>
      </c>
      <c r="X251" t="str">
        <f>ESTADISTICA!X249</f>
        <v>APAGADO</v>
      </c>
      <c r="Y251" t="str">
        <f>ESTADISTICA!Y249</f>
        <v>APAGADO</v>
      </c>
      <c r="Z251" t="str">
        <f>ESTADISTICA!Z249</f>
        <v>APAGADO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</row>
    <row r="252" spans="1:33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 t="str">
        <f>ESTADISTICA!K250</f>
        <v>APAGADO</v>
      </c>
      <c r="L252" t="str">
        <f>ESTADISTICA!L250</f>
        <v>APAGADO</v>
      </c>
      <c r="M252" t="str">
        <f>ESTADISTICA!M250</f>
        <v>APAGADO</v>
      </c>
      <c r="N252" t="str">
        <f>ESTADISTICA!N250</f>
        <v>APAGADO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 t="str">
        <f>ESTADISTICA!T250</f>
        <v>APAGADO</v>
      </c>
      <c r="U252" t="str">
        <f>ESTADISTICA!U250</f>
        <v>APAGADO</v>
      </c>
      <c r="V252" t="str">
        <f>ESTADISTICA!V250</f>
        <v>APAGADO</v>
      </c>
      <c r="W252" t="str">
        <f>ESTADISTICA!W250</f>
        <v>APAGADO</v>
      </c>
      <c r="X252" t="str">
        <f>ESTADISTICA!X250</f>
        <v>APAGADO</v>
      </c>
      <c r="Y252" t="str">
        <f>ESTADISTICA!Y250</f>
        <v>APAGADO</v>
      </c>
      <c r="Z252" t="str">
        <f>ESTADISTICA!Z250</f>
        <v>APAGADO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</row>
    <row r="253" spans="1:33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</row>
    <row r="254" spans="1:33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3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3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3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</row>
    <row r="258" spans="1:33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</row>
    <row r="259" spans="1:33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3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 t="str">
        <f>ESTADISTICA!K258</f>
        <v>APAGADO</v>
      </c>
      <c r="L260" t="str">
        <f>ESTADISTICA!L258</f>
        <v>APAGADO</v>
      </c>
      <c r="M260" t="str">
        <f>ESTADISTICA!M258</f>
        <v>APAGADO</v>
      </c>
      <c r="N260" t="str">
        <f>ESTADISTICA!N258</f>
        <v>APAGADO</v>
      </c>
      <c r="O260" t="str">
        <f>ESTADISTICA!O258</f>
        <v>APAGADO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3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 t="str">
        <f>ESTADISTICA!U259</f>
        <v>APAGADO</v>
      </c>
      <c r="V261" t="str">
        <f>ESTADISTICA!V259</f>
        <v>APAGADO</v>
      </c>
      <c r="W261" t="str">
        <f>ESTADISTICA!W259</f>
        <v>APAGADO</v>
      </c>
      <c r="X261" t="str">
        <f>ESTADISTICA!X259</f>
        <v>APAGADO</v>
      </c>
      <c r="Y261" t="str">
        <f>ESTADISTICA!Y259</f>
        <v>APAGADO</v>
      </c>
      <c r="Z261" t="str">
        <f>ESTADISTICA!Z259</f>
        <v>APAGADO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3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 t="str">
        <f>ESTADISTICA!N260</f>
        <v>APAGADO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 t="str">
        <f>ESTADISTICA!W260</f>
        <v>APAGADO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</row>
    <row r="263" spans="1:33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 t="str">
        <f>ESTADISTICA!N261</f>
        <v>APAGADO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 t="str">
        <f>ESTADISTICA!W261</f>
        <v>APAGADO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</row>
    <row r="264" spans="1:33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 t="str">
        <f>ESTADISTICA!L262</f>
        <v>APAGADO</v>
      </c>
      <c r="M264" t="str">
        <f>ESTADISTICA!M262</f>
        <v>APAGADO</v>
      </c>
      <c r="N264" t="str">
        <f>ESTADISTICA!N262</f>
        <v>APAGADO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 t="str">
        <f>ESTADISTICA!W262</f>
        <v>APAGADO</v>
      </c>
      <c r="X264" t="str">
        <f>ESTADISTICA!X262</f>
        <v>APAGADO</v>
      </c>
      <c r="Y264" t="str">
        <f>ESTADISTICA!Y262</f>
        <v>APAGADO</v>
      </c>
      <c r="Z264" t="str">
        <f>ESTADISTICA!Z262</f>
        <v>APAGADO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</row>
    <row r="265" spans="1:33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 t="str">
        <f>ESTADISTICA!W263</f>
        <v>APAGADO</v>
      </c>
      <c r="X265" t="str">
        <f>ESTADISTICA!X263</f>
        <v>APAGADO</v>
      </c>
      <c r="Y265" t="str">
        <f>ESTADISTICA!Y263</f>
        <v>APAGADO</v>
      </c>
      <c r="Z265" t="str">
        <f>ESTADISTICA!Z263</f>
        <v>APAGADO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</row>
    <row r="266" spans="1:33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3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</row>
    <row r="268" spans="1:33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</row>
    <row r="269" spans="1:33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</row>
    <row r="270" spans="1:33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3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3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 t="str">
        <f>ESTADISTICA!F270</f>
        <v>APAGADO</v>
      </c>
      <c r="G272" t="str">
        <f>ESTADISTICA!G270</f>
        <v>APAGADO</v>
      </c>
      <c r="H272" t="str">
        <f>ESTADISTICA!H270</f>
        <v>APAGADO</v>
      </c>
      <c r="I272" t="str">
        <f>ESTADISTICA!I270</f>
        <v>APAGADO</v>
      </c>
      <c r="J272" t="str">
        <f>ESTADISTICA!J270</f>
        <v>APAGADO</v>
      </c>
      <c r="K272" t="str">
        <f>ESTADISTICA!K270</f>
        <v>APAGADO</v>
      </c>
      <c r="L272">
        <f>ESTADISTICA!L270</f>
        <v>0</v>
      </c>
      <c r="M272" t="str">
        <f>ESTADISTICA!M270</f>
        <v>APAGADO</v>
      </c>
      <c r="N272" t="str">
        <f>ESTADISTICA!N270</f>
        <v>APAGADO</v>
      </c>
      <c r="O272" t="str">
        <f>ESTADISTICA!O270</f>
        <v>APAGADO</v>
      </c>
      <c r="P272" t="str">
        <f>ESTADISTICA!P270</f>
        <v>APAGADO</v>
      </c>
      <c r="Q272" t="str">
        <f>ESTADISTICA!Q270</f>
        <v>APAGADO</v>
      </c>
      <c r="R272" t="str">
        <f>ESTADISTICA!R270</f>
        <v>APAGADO</v>
      </c>
      <c r="S272" t="str">
        <f>ESTADISTICA!S270</f>
        <v>APAGADO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</row>
    <row r="273" spans="1:33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 t="str">
        <f>ESTADISTICA!F271</f>
        <v>APAGADO</v>
      </c>
      <c r="G273" t="str">
        <f>ESTADISTICA!G271</f>
        <v>APAGADO</v>
      </c>
      <c r="H273" t="str">
        <f>ESTADISTICA!H271</f>
        <v>APAGADO</v>
      </c>
      <c r="I273" t="str">
        <f>ESTADISTICA!I271</f>
        <v>APAGADO</v>
      </c>
      <c r="J273" t="str">
        <f>ESTADISTICA!J271</f>
        <v>APAGADO</v>
      </c>
      <c r="K273" t="str">
        <f>ESTADISTICA!K271</f>
        <v>APAGADO</v>
      </c>
      <c r="L273">
        <f>ESTADISTICA!L271</f>
        <v>0</v>
      </c>
      <c r="M273" t="str">
        <f>ESTADISTICA!M271</f>
        <v>APAGADO</v>
      </c>
      <c r="N273" t="str">
        <f>ESTADISTICA!N271</f>
        <v>APAGADO</v>
      </c>
      <c r="O273" t="str">
        <f>ESTADISTICA!O271</f>
        <v>APAGADO</v>
      </c>
      <c r="P273" t="str">
        <f>ESTADISTICA!P271</f>
        <v>APAGADO</v>
      </c>
      <c r="Q273">
        <f>ESTADISTICA!Q271</f>
        <v>0</v>
      </c>
      <c r="R273" t="str">
        <f>ESTADISTICA!R271</f>
        <v>APAGADO</v>
      </c>
      <c r="S273" t="str">
        <f>ESTADISTICA!S271</f>
        <v>APAGADO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</row>
    <row r="274" spans="1:33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3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3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3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 t="str">
        <f>ESTADISTICA!G275</f>
        <v>APAGADO</v>
      </c>
      <c r="H277" t="str">
        <f>ESTADISTICA!H275</f>
        <v>APAGADO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 t="str">
        <f>ESTADISTICA!X275</f>
        <v>APAGADO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3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3" hidden="1" x14ac:dyDescent="0.3">
      <c r="A279" t="s">
        <v>940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3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 t="str">
        <f>ESTADISTICA!U278</f>
        <v>APAGADO</v>
      </c>
      <c r="V280" t="str">
        <f>ESTADISTICA!V278</f>
        <v>APAGADO</v>
      </c>
      <c r="W280" t="str">
        <f>ESTADISTICA!W278</f>
        <v>APAGADO</v>
      </c>
      <c r="X280" t="str">
        <f>ESTADISTICA!X278</f>
        <v>APAGADO</v>
      </c>
      <c r="Y280" t="str">
        <f>ESTADISTICA!Y278</f>
        <v>APAGADO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3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 t="str">
        <f>ESTADISTICA!F279</f>
        <v>APAGADO</v>
      </c>
      <c r="G281" t="str">
        <f>ESTADISTICA!G279</f>
        <v>APAGADO</v>
      </c>
      <c r="H281" t="str">
        <f>ESTADISTICA!H279</f>
        <v>APAGADO</v>
      </c>
      <c r="I281" t="str">
        <f>ESTADISTICA!I279</f>
        <v>APAGADO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 t="str">
        <f>ESTADISTICA!P279</f>
        <v>APAGADO</v>
      </c>
      <c r="Q281" t="str">
        <f>ESTADISTICA!Q279</f>
        <v>APAGADO</v>
      </c>
      <c r="R281" t="str">
        <f>ESTADISTICA!R279</f>
        <v>APAGADO</v>
      </c>
      <c r="S281" t="str">
        <f>ESTADISTICA!S279</f>
        <v>APAGADO</v>
      </c>
      <c r="T281" t="str">
        <f>ESTADISTICA!T279</f>
        <v>APAGADO</v>
      </c>
      <c r="U281" t="str">
        <f>ESTADISTICA!U279</f>
        <v>APAGADO</v>
      </c>
      <c r="V281" t="str">
        <f>ESTADISTICA!V279</f>
        <v>APAGADO</v>
      </c>
      <c r="W281" t="str">
        <f>ESTADISTICA!W279</f>
        <v>APAGADO</v>
      </c>
      <c r="X281" t="str">
        <f>ESTADISTICA!X279</f>
        <v>APAGADO</v>
      </c>
      <c r="Y281" t="str">
        <f>ESTADISTICA!Y279</f>
        <v>APAGADO</v>
      </c>
      <c r="Z281" t="str">
        <f>ESTADISTICA!Z279</f>
        <v>APAGADO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3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</row>
    <row r="283" spans="1:33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 t="str">
        <f>ESTADISTICA!W281</f>
        <v>APAGADO</v>
      </c>
      <c r="X283" t="str">
        <f>ESTADISTICA!X281</f>
        <v>APAGADO</v>
      </c>
      <c r="Y283" t="str">
        <f>ESTADISTICA!Y281</f>
        <v>APAGADO</v>
      </c>
      <c r="Z283" t="str">
        <f>ESTADISTICA!Z281</f>
        <v>APAGADO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</row>
    <row r="284" spans="1:33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 t="str">
        <f>ESTADISTICA!Y282</f>
        <v>APAGADO</v>
      </c>
      <c r="Z284" t="str">
        <f>ESTADISTICA!Z282</f>
        <v>APAGADO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</row>
    <row r="285" spans="1:33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</row>
    <row r="286" spans="1:33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</row>
    <row r="287" spans="1:33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 t="str">
        <f>ESTADISTICA!P285</f>
        <v>APAGADO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3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</row>
    <row r="289" spans="1:33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</row>
    <row r="290" spans="1:33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</row>
    <row r="291" spans="1:33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</row>
    <row r="292" spans="1:33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</row>
    <row r="293" spans="1:33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</row>
    <row r="294" spans="1:33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3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3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 t="str">
        <f>ESTADISTICA!K294</f>
        <v>APAGADO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3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3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3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3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3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3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</row>
    <row r="303" spans="1:33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 t="str">
        <f>ESTADISTICA!P301</f>
        <v>APAGADO</v>
      </c>
      <c r="Q303" t="str">
        <f>ESTADISTICA!Q301</f>
        <v>APAGADO</v>
      </c>
      <c r="R303" t="str">
        <f>ESTADISTICA!R301</f>
        <v>APAGADO</v>
      </c>
      <c r="S303" t="str">
        <f>ESTADISTICA!S301</f>
        <v>APAGADO</v>
      </c>
      <c r="T303" t="str">
        <f>ESTADISTICA!T301</f>
        <v>APAGADO</v>
      </c>
      <c r="U303" t="str">
        <f>ESTADISTICA!U301</f>
        <v>APAGADO</v>
      </c>
      <c r="V303" t="str">
        <f>ESTADISTICA!V301</f>
        <v>APAGADO</v>
      </c>
      <c r="W303" t="str">
        <f>ESTADISTICA!W301</f>
        <v>APAGADO</v>
      </c>
      <c r="X303" t="str">
        <f>ESTADISTICA!X301</f>
        <v>APAGADO</v>
      </c>
      <c r="Y303" t="str">
        <f>ESTADISTICA!Y301</f>
        <v>APAGADO</v>
      </c>
      <c r="Z303" t="str">
        <f>ESTADISTICA!Z301</f>
        <v>APAGADO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</row>
    <row r="304" spans="1:33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 t="str">
        <f>ESTADISTICA!V302</f>
        <v>APAGADO</v>
      </c>
      <c r="W304" t="str">
        <f>ESTADISTICA!W302</f>
        <v>APAGADO</v>
      </c>
      <c r="X304" t="str">
        <f>ESTADISTICA!X302</f>
        <v>APAGADO</v>
      </c>
      <c r="Y304" t="str">
        <f>ESTADISTICA!Y302</f>
        <v>APAGADO</v>
      </c>
      <c r="Z304" t="str">
        <f>ESTADISTICA!Z302</f>
        <v>APAGADO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</row>
    <row r="305" spans="1:33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 t="str">
        <f>ESTADISTICA!V303</f>
        <v>APAGADO</v>
      </c>
      <c r="W305" t="str">
        <f>ESTADISTICA!W303</f>
        <v>APAGADO</v>
      </c>
      <c r="X305" t="str">
        <f>ESTADISTICA!X303</f>
        <v>APAGADO</v>
      </c>
      <c r="Y305" t="str">
        <f>ESTADISTICA!Y303</f>
        <v>APAGADO</v>
      </c>
      <c r="Z305" t="str">
        <f>ESTADISTICA!Z303</f>
        <v>APAGADO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</row>
    <row r="306" spans="1:33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 t="str">
        <f>ESTADISTICA!V304</f>
        <v>APAGADO</v>
      </c>
      <c r="W306" t="str">
        <f>ESTADISTICA!W304</f>
        <v>APAGADO</v>
      </c>
      <c r="X306" t="str">
        <f>ESTADISTICA!X304</f>
        <v>APAGADO</v>
      </c>
      <c r="Y306" t="str">
        <f>ESTADISTICA!Y304</f>
        <v>APAGADO</v>
      </c>
      <c r="Z306" t="str">
        <f>ESTADISTICA!Z304</f>
        <v>APAGADO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</row>
    <row r="307" spans="1:33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 t="str">
        <f>ESTADISTICA!J305</f>
        <v>APAGADO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 t="str">
        <f>ESTADISTICA!R305</f>
        <v>APAGADO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3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3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3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 t="str">
        <f>ESTADISTICA!U308</f>
        <v>APAGADO</v>
      </c>
      <c r="V310" t="str">
        <f>ESTADISTICA!V308</f>
        <v>APAGADO</v>
      </c>
      <c r="W310" t="str">
        <f>ESTADISTICA!W308</f>
        <v>APAGADO</v>
      </c>
      <c r="X310" t="str">
        <f>ESTADISTICA!X308</f>
        <v>APAGADO</v>
      </c>
      <c r="Y310" t="str">
        <f>ESTADISTICA!Y308</f>
        <v>APAGADO</v>
      </c>
      <c r="Z310" t="str">
        <f>ESTADISTICA!Z308</f>
        <v>APAGADO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3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 t="str">
        <f>ESTADISTICA!V309</f>
        <v>APAGADO</v>
      </c>
      <c r="W311" t="str">
        <f>ESTADISTICA!W309</f>
        <v>APAGADO</v>
      </c>
      <c r="X311" t="str">
        <f>ESTADISTICA!X309</f>
        <v>APAGADO</v>
      </c>
      <c r="Y311" t="str">
        <f>ESTADISTICA!Y309</f>
        <v>APAGADO</v>
      </c>
      <c r="Z311" t="str">
        <f>ESTADISTICA!Z309</f>
        <v>APAGADO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3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 t="str">
        <f>ESTADISTICA!R310</f>
        <v>APAGADO</v>
      </c>
      <c r="S312">
        <f>ESTADISTICA!S310</f>
        <v>0</v>
      </c>
      <c r="T312">
        <f>ESTADISTICA!T310</f>
        <v>0</v>
      </c>
      <c r="U312">
        <f>ESTADISTICA!U310</f>
        <v>0</v>
      </c>
      <c r="V312" t="str">
        <f>ESTADISTICA!V310</f>
        <v>APAGADO</v>
      </c>
      <c r="W312" t="str">
        <f>ESTADISTICA!W310</f>
        <v>APAGADO</v>
      </c>
      <c r="X312" t="str">
        <f>ESTADISTICA!X310</f>
        <v>APAGADO</v>
      </c>
      <c r="Y312" t="str">
        <f>ESTADISTICA!Y310</f>
        <v>APAGADO</v>
      </c>
      <c r="Z312" t="str">
        <f>ESTADISTICA!Z310</f>
        <v>APAGADO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3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3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 t="str">
        <f>ESTADISTICA!R312</f>
        <v>APAGADO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3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</row>
    <row r="316" spans="1:33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</row>
    <row r="317" spans="1:33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</row>
    <row r="318" spans="1:33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</row>
    <row r="319" spans="1:33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3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 t="str">
        <f>ESTADISTICA!F318</f>
        <v>APAGADO</v>
      </c>
      <c r="G320" t="str">
        <f>ESTADISTICA!G318</f>
        <v>APAGADO</v>
      </c>
      <c r="H320" t="str">
        <f>ESTADISTICA!H318</f>
        <v>APAGADO</v>
      </c>
      <c r="I320" t="str">
        <f>ESTADISTICA!I318</f>
        <v>APAGADO</v>
      </c>
      <c r="J320" t="str">
        <f>ESTADISTICA!J318</f>
        <v>APAGADO</v>
      </c>
      <c r="K320" t="str">
        <f>ESTADISTICA!K318</f>
        <v>APAGADO</v>
      </c>
      <c r="L320" t="str">
        <f>ESTADISTICA!L318</f>
        <v>APAGADO</v>
      </c>
      <c r="M320" t="str">
        <f>ESTADISTICA!M318</f>
        <v>APAGADO</v>
      </c>
      <c r="N320" t="str">
        <f>ESTADISTICA!N318</f>
        <v>APAGADO</v>
      </c>
      <c r="O320" t="str">
        <f>ESTADISTICA!O318</f>
        <v>APAGADO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 t="str">
        <f>ESTADISTICA!U318</f>
        <v>APAGADO</v>
      </c>
      <c r="V320" t="str">
        <f>ESTADISTICA!V318</f>
        <v>APAGADO</v>
      </c>
      <c r="W320" t="str">
        <f>ESTADISTICA!W318</f>
        <v>APAGADO</v>
      </c>
      <c r="X320" t="str">
        <f>ESTADISTICA!X318</f>
        <v>APAGADO</v>
      </c>
      <c r="Y320" t="str">
        <f>ESTADISTICA!Y318</f>
        <v>APAGADO</v>
      </c>
      <c r="Z320" t="str">
        <f>ESTADISTICA!Z318</f>
        <v>APAGADO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</row>
    <row r="321" spans="1:33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 t="str">
        <f>ESTADISTICA!F319</f>
        <v>APAGADO</v>
      </c>
      <c r="G321" t="str">
        <f>ESTADISTICA!G319</f>
        <v>APAGADO</v>
      </c>
      <c r="H321" t="str">
        <f>ESTADISTICA!H319</f>
        <v>APAGADO</v>
      </c>
      <c r="I321" t="str">
        <f>ESTADISTICA!I319</f>
        <v>APAGADO</v>
      </c>
      <c r="J321" t="str">
        <f>ESTADISTICA!J319</f>
        <v>APAGADO</v>
      </c>
      <c r="K321" t="str">
        <f>ESTADISTICA!K319</f>
        <v>APAGADO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 t="str">
        <f>ESTADISTICA!U319</f>
        <v>APAGADO</v>
      </c>
      <c r="V321">
        <f>ESTADISTICA!V319</f>
        <v>0</v>
      </c>
      <c r="W321">
        <f>ESTADISTICA!W319</f>
        <v>0</v>
      </c>
      <c r="X321" t="str">
        <f>ESTADISTICA!X319</f>
        <v>APAGADO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3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 t="str">
        <f>ESTADISTICA!X320</f>
        <v>APAGADO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</row>
    <row r="323" spans="1:33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 t="str">
        <f>ESTADISTICA!U321</f>
        <v>APAGADO</v>
      </c>
      <c r="V323" t="str">
        <f>ESTADISTICA!V321</f>
        <v>APAGADO</v>
      </c>
      <c r="W323" t="str">
        <f>ESTADISTICA!W321</f>
        <v>APAGADO</v>
      </c>
      <c r="X323">
        <f>ESTADISTICA!X321</f>
        <v>0</v>
      </c>
      <c r="Y323">
        <f>ESTADISTICA!Y321</f>
        <v>0</v>
      </c>
      <c r="Z323" t="str">
        <f>ESTADISTICA!Z321</f>
        <v>APAGADO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</row>
    <row r="324" spans="1:33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</row>
    <row r="325" spans="1:33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</row>
    <row r="326" spans="1:33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</row>
    <row r="327" spans="1:33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</row>
    <row r="328" spans="1:33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</row>
    <row r="329" spans="1:33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 t="str">
        <f>ESTADISTICA!J327</f>
        <v>APAGADO</v>
      </c>
      <c r="K329" t="str">
        <f>ESTADISTICA!K327</f>
        <v>APAGADO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 t="str">
        <f>ESTADISTICA!S327</f>
        <v>APAGADO</v>
      </c>
      <c r="T329" t="str">
        <f>ESTADISTICA!T327</f>
        <v>APAGADO</v>
      </c>
      <c r="U329" t="str">
        <f>ESTADISTICA!U327</f>
        <v>APAGADO</v>
      </c>
      <c r="V329">
        <f>ESTADISTICA!V327</f>
        <v>0</v>
      </c>
      <c r="W329">
        <f>ESTADISTICA!W327</f>
        <v>0</v>
      </c>
      <c r="X329" t="str">
        <f>ESTADISTICA!X327</f>
        <v>APAGADO</v>
      </c>
      <c r="Y329" t="str">
        <f>ESTADISTICA!Y327</f>
        <v>APAGADO</v>
      </c>
      <c r="Z329" t="str">
        <f>ESTADISTICA!Z327</f>
        <v>APAGADO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</row>
    <row r="330" spans="1:33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 t="str">
        <f>ESTADISTICA!J328</f>
        <v>APAGADO</v>
      </c>
      <c r="K330" t="str">
        <f>ESTADISTICA!K328</f>
        <v>APAGADO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 t="str">
        <f>ESTADISTICA!S328</f>
        <v>APAGADO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 t="str">
        <f>ESTADISTICA!X328</f>
        <v>APAGADO</v>
      </c>
      <c r="Y330" t="str">
        <f>ESTADISTICA!Y328</f>
        <v>APAGADO</v>
      </c>
      <c r="Z330" t="str">
        <f>ESTADISTICA!Z328</f>
        <v>APAGADO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</row>
    <row r="331" spans="1:33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</row>
    <row r="332" spans="1:33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 t="str">
        <f>ESTADISTICA!J330</f>
        <v>APAGADO</v>
      </c>
      <c r="K332" t="str">
        <f>ESTADISTICA!K330</f>
        <v>APAGADO</v>
      </c>
      <c r="L332" t="str">
        <f>ESTADISTICA!L330</f>
        <v>APAGADO</v>
      </c>
      <c r="M332" t="str">
        <f>ESTADISTICA!M330</f>
        <v>APAGADO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</row>
    <row r="333" spans="1:33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</row>
    <row r="334" spans="1:33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</row>
    <row r="335" spans="1:33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</row>
    <row r="336" spans="1:33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</row>
    <row r="337" spans="1:33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</row>
    <row r="338" spans="1:33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 t="str">
        <f>ESTADISTICA!U336</f>
        <v>APAGADO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</row>
    <row r="339" spans="1:33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</row>
    <row r="340" spans="1:33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3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3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3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3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</row>
    <row r="345" spans="1:33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</row>
    <row r="346" spans="1:33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</row>
    <row r="347" spans="1:33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</row>
    <row r="348" spans="1:33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 t="str">
        <f>ESTADISTICA!S346</f>
        <v>APAGADO</v>
      </c>
      <c r="T348" t="str">
        <f>ESTADISTICA!T346</f>
        <v>APAGADO</v>
      </c>
      <c r="U348" t="str">
        <f>ESTADISTICA!U346</f>
        <v>APAGADO</v>
      </c>
      <c r="V348" t="str">
        <f>ESTADISTICA!V346</f>
        <v>APAGADO</v>
      </c>
      <c r="W348" t="str">
        <f>ESTADISTICA!W346</f>
        <v>APAGADO</v>
      </c>
      <c r="X348" t="str">
        <f>ESTADISTICA!X346</f>
        <v>APAGADO</v>
      </c>
      <c r="Y348" t="str">
        <f>ESTADISTICA!Y346</f>
        <v>APAGADO</v>
      </c>
      <c r="Z348" t="str">
        <f>ESTADISTICA!Z346</f>
        <v>APAGADO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</row>
    <row r="349" spans="1:33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>
        <f>ESTADISTICA!J347</f>
        <v>0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>
        <f>ESTADISTICA!N347</f>
        <v>0</v>
      </c>
      <c r="O349">
        <f>ESTADISTICA!O347</f>
        <v>0</v>
      </c>
      <c r="P349">
        <f>ESTADISTICA!P347</f>
        <v>0</v>
      </c>
      <c r="Q349" t="str">
        <f>ESTADISTICA!Q347</f>
        <v>APAGADO</v>
      </c>
      <c r="R349" t="str">
        <f>ESTADISTICA!R347</f>
        <v>APAGADO</v>
      </c>
      <c r="S349">
        <f>ESTADISTICA!S347</f>
        <v>0</v>
      </c>
      <c r="T349">
        <f>ESTADISTICA!T347</f>
        <v>0</v>
      </c>
      <c r="U349" t="str">
        <f>ESTADISTICA!U347</f>
        <v>APAGADO</v>
      </c>
      <c r="V349" t="str">
        <f>ESTADISTICA!V347</f>
        <v>APAGADO</v>
      </c>
      <c r="W349" t="str">
        <f>ESTADISTICA!W347</f>
        <v>APAGADO</v>
      </c>
      <c r="X349" t="str">
        <f>ESTADISTICA!X347</f>
        <v>APAGADO</v>
      </c>
      <c r="Y349" t="str">
        <f>ESTADISTICA!Y347</f>
        <v>APAGADO</v>
      </c>
      <c r="Z349" t="str">
        <f>ESTADISTICA!Z347</f>
        <v>APAGADO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</row>
    <row r="350" spans="1:33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</row>
    <row r="351" spans="1:33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</row>
    <row r="352" spans="1:33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</row>
    <row r="353" spans="1:33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3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 t="str">
        <f>ESTADISTICA!R352</f>
        <v>APAGADO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 t="str">
        <f>ESTADISTICA!X352</f>
        <v>APAGADO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3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</row>
    <row r="356" spans="1:33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</row>
    <row r="357" spans="1:33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</row>
    <row r="358" spans="1:33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</row>
    <row r="359" spans="1:33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</row>
    <row r="360" spans="1:33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</row>
    <row r="361" spans="1:33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</row>
    <row r="362" spans="1:33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</row>
    <row r="363" spans="1:33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 t="str">
        <f>ESTADISTICA!L361</f>
        <v>APAGADO</v>
      </c>
      <c r="M363" t="str">
        <f>ESTADISTICA!M361</f>
        <v>APAGADO</v>
      </c>
      <c r="N363" t="str">
        <f>ESTADISTICA!N361</f>
        <v>APAGADO</v>
      </c>
      <c r="O363" t="str">
        <f>ESTADISTICA!O361</f>
        <v>APAGADO</v>
      </c>
      <c r="P363" t="str">
        <f>ESTADISTICA!P361</f>
        <v>APAGADO</v>
      </c>
      <c r="Q363">
        <f>ESTADISTICA!Q361</f>
        <v>0</v>
      </c>
      <c r="R363" t="str">
        <f>ESTADISTICA!R361</f>
        <v>APAGADO</v>
      </c>
      <c r="S363" t="str">
        <f>ESTADISTICA!S361</f>
        <v>APAGADO</v>
      </c>
      <c r="T363" t="str">
        <f>ESTADISTICA!T361</f>
        <v>APAGADO</v>
      </c>
      <c r="U363" t="str">
        <f>ESTADISTICA!U361</f>
        <v>APAGADO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3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3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3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3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3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 t="str">
        <f>ESTADISTICA!J366</f>
        <v>APAGADO</v>
      </c>
      <c r="K368" t="str">
        <f>ESTADISTICA!K366</f>
        <v>APAGADO</v>
      </c>
      <c r="L368" t="str">
        <f>ESTADISTICA!L366</f>
        <v>APAGADO</v>
      </c>
      <c r="M368" t="str">
        <f>ESTADISTICA!M366</f>
        <v>APAGADO</v>
      </c>
      <c r="N368" t="str">
        <f>ESTADISTICA!N366</f>
        <v>APAGADO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 t="str">
        <f>ESTADISTICA!U367</f>
        <v>APAGADO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FC730B5B-E791-4742-8990-AFF1FAD7E538}">
    <filterColumn colId="4">
      <filters>
        <filter val="Radio"/>
      </filters>
    </filterColumn>
    <filterColumn colId="22">
      <filters>
        <filter val="APAGADO"/>
      </filters>
    </filterColumn>
  </autoFilter>
  <conditionalFormatting sqref="AE3:AE1048576">
    <cfRule type="containsText" dxfId="28" priority="2" operator="containsText" text="APAGADO">
      <formula>NOT(ISERROR(SEARCH("APAGADO",AE3)))</formula>
    </cfRule>
  </conditionalFormatting>
  <conditionalFormatting sqref="F4:AG370">
    <cfRule type="containsText" dxfId="2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A10" workbookViewId="0">
      <selection activeCell="Q11" sqref="Q11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workbookViewId="0">
      <selection activeCell="K32" sqref="K32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L34" sqref="L3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opLeftCell="A13" workbookViewId="0">
      <selection activeCell="C21" sqref="C21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1313</v>
      </c>
      <c r="E1" t="s">
        <v>938</v>
      </c>
      <c r="F1" t="s">
        <v>937</v>
      </c>
    </row>
    <row r="2" spans="1:6" x14ac:dyDescent="0.3">
      <c r="A2" s="25">
        <f>'APAGADOS RADIO'!F3</f>
        <v>44621</v>
      </c>
      <c r="B2">
        <f>'APAGADOS RADIO'!F2+D2</f>
        <v>9</v>
      </c>
      <c r="C2">
        <f>'APAGADOS FIBRA'!F2</f>
        <v>52</v>
      </c>
      <c r="D2">
        <f>'APAGADOS ANTENA'!F2</f>
        <v>2</v>
      </c>
      <c r="E2">
        <f>B2+C2</f>
        <v>61</v>
      </c>
      <c r="F2">
        <f>'RESUMEN TOTAL'!C1</f>
        <v>368</v>
      </c>
    </row>
    <row r="3" spans="1:6" x14ac:dyDescent="0.3">
      <c r="A3" s="25">
        <f>'APAGADOS RADIO'!G3</f>
        <v>44622</v>
      </c>
      <c r="B3">
        <f>'APAGADOS RADIO'!G2+D3</f>
        <v>10</v>
      </c>
      <c r="C3" s="30">
        <f>'APAGADOS FIBRA'!G2</f>
        <v>69</v>
      </c>
      <c r="D3">
        <f>'APAGADOS ANTENA'!G2</f>
        <v>4</v>
      </c>
      <c r="E3">
        <f t="shared" ref="E3:E4" si="0">B3+C3</f>
        <v>79</v>
      </c>
      <c r="F3">
        <f>'RESUMEN TOTAL'!C1</f>
        <v>368</v>
      </c>
    </row>
    <row r="4" spans="1:6" x14ac:dyDescent="0.3">
      <c r="A4" s="25">
        <f>'APAGADOS RADIO'!H3</f>
        <v>44623</v>
      </c>
      <c r="B4">
        <f>'APAGADOS RADIO'!H2+D4</f>
        <v>10</v>
      </c>
      <c r="C4">
        <f>'APAGADOS FIBRA'!H2</f>
        <v>66</v>
      </c>
      <c r="D4">
        <f>'APAGADOS ANTENA'!H2</f>
        <v>3</v>
      </c>
      <c r="E4">
        <f t="shared" si="0"/>
        <v>76</v>
      </c>
      <c r="F4">
        <f>'RESUMEN TOTAL'!C1</f>
        <v>368</v>
      </c>
    </row>
    <row r="5" spans="1:6" x14ac:dyDescent="0.3">
      <c r="A5" s="25">
        <f>'APAGADOS RADIO'!I3</f>
        <v>44624</v>
      </c>
      <c r="B5">
        <f>'APAGADOS RADIO'!I2+D5</f>
        <v>9</v>
      </c>
      <c r="C5" s="30">
        <f>'APAGADOS FIBRA'!I2</f>
        <v>60</v>
      </c>
      <c r="D5">
        <f>'APAGADOS ANTENA'!I2</f>
        <v>1</v>
      </c>
      <c r="E5">
        <f t="shared" ref="E5:E9" si="1">B5+C5</f>
        <v>69</v>
      </c>
      <c r="F5">
        <f>'RESUMEN TOTAL'!C1</f>
        <v>368</v>
      </c>
    </row>
    <row r="6" spans="1:6" x14ac:dyDescent="0.3">
      <c r="A6" s="25">
        <f>'APAGADOS RADIO'!J3</f>
        <v>44625</v>
      </c>
      <c r="B6">
        <f>'APAGADOS RADIO'!J2+D6</f>
        <v>8</v>
      </c>
      <c r="C6">
        <f>'APAGADOS FIBRA'!J2</f>
        <v>56</v>
      </c>
      <c r="D6">
        <f>'APAGADOS ANTENA'!F52</f>
        <v>0</v>
      </c>
      <c r="E6">
        <f t="shared" si="1"/>
        <v>64</v>
      </c>
      <c r="F6">
        <f>'RESUMEN TOTAL'!C1</f>
        <v>368</v>
      </c>
    </row>
    <row r="7" spans="1:6" x14ac:dyDescent="0.3">
      <c r="A7" s="25">
        <f>'APAGADOS RADIO'!K3</f>
        <v>44626</v>
      </c>
      <c r="B7">
        <f>'APAGADOS RADIO'!K2+D7</f>
        <v>7</v>
      </c>
      <c r="C7" s="30">
        <f>'APAGADOS FIBRA'!K2</f>
        <v>60</v>
      </c>
      <c r="D7">
        <f>'APAGADOS ANTENA'!K2</f>
        <v>1</v>
      </c>
      <c r="E7">
        <f t="shared" si="1"/>
        <v>67</v>
      </c>
      <c r="F7">
        <f>'RESUMEN TOTAL'!C1</f>
        <v>368</v>
      </c>
    </row>
    <row r="8" spans="1:6" x14ac:dyDescent="0.3">
      <c r="A8" s="25">
        <f>'APAGADOS RADIO'!L3</f>
        <v>44627</v>
      </c>
      <c r="B8">
        <f>'APAGADOS RADIO'!L2+D8</f>
        <v>9</v>
      </c>
      <c r="C8">
        <f>'APAGADOS FIBRA'!L2</f>
        <v>61</v>
      </c>
      <c r="D8">
        <f>'APAGADOS ANTENA'!L2</f>
        <v>1</v>
      </c>
      <c r="E8">
        <f t="shared" si="1"/>
        <v>70</v>
      </c>
      <c r="F8">
        <f>'RESUMEN TOTAL'!C1</f>
        <v>368</v>
      </c>
    </row>
    <row r="9" spans="1:6" x14ac:dyDescent="0.3">
      <c r="A9" s="25">
        <f>'APAGADOS RADIO'!M3</f>
        <v>44628</v>
      </c>
      <c r="B9">
        <f>'APAGADOS RADIO'!M2+D9</f>
        <v>10</v>
      </c>
      <c r="C9" s="30">
        <f>'APAGADOS FIBRA'!M2</f>
        <v>56</v>
      </c>
      <c r="D9">
        <f>'APAGADOS ANTENA'!M2</f>
        <v>2</v>
      </c>
      <c r="E9">
        <f t="shared" si="1"/>
        <v>66</v>
      </c>
      <c r="F9">
        <f>'RESUMEN TOTAL'!C1</f>
        <v>368</v>
      </c>
    </row>
    <row r="10" spans="1:6" x14ac:dyDescent="0.3">
      <c r="A10" s="25">
        <f>'APAGADOS RADIO'!N3</f>
        <v>44629</v>
      </c>
      <c r="B10">
        <f>'APAGADOS RADIO'!N2+D10</f>
        <v>15</v>
      </c>
      <c r="C10" s="30">
        <f>'APAGADOS FIBRA'!N2</f>
        <v>63</v>
      </c>
      <c r="D10">
        <f>'APAGADOS ANTENA'!N2</f>
        <v>6</v>
      </c>
      <c r="E10">
        <f t="shared" ref="E10" si="2">B10+C10</f>
        <v>78</v>
      </c>
      <c r="F10">
        <f>'RESUMEN TOTAL'!C1</f>
        <v>368</v>
      </c>
    </row>
    <row r="11" spans="1:6" x14ac:dyDescent="0.3">
      <c r="A11" s="25">
        <f>'APAGADOS RADIO'!O3</f>
        <v>44630</v>
      </c>
      <c r="B11">
        <f>'APAGADOS RADIO'!O2+D11</f>
        <v>9</v>
      </c>
      <c r="C11" s="30">
        <f>'APAGADOS FIBRA'!O2</f>
        <v>59</v>
      </c>
      <c r="D11">
        <f>'APAGADOS ANTENA'!O2</f>
        <v>2</v>
      </c>
      <c r="E11">
        <f t="shared" ref="E11" si="3">B11+C11</f>
        <v>68</v>
      </c>
      <c r="F11">
        <f>'RESUMEN TOTAL'!C1</f>
        <v>368</v>
      </c>
    </row>
    <row r="12" spans="1:6" x14ac:dyDescent="0.3">
      <c r="A12" s="25">
        <f>'APAGADOS RADIO'!P3</f>
        <v>44631</v>
      </c>
      <c r="B12">
        <f>'APAGADOS RADIO'!P2+D12</f>
        <v>16</v>
      </c>
      <c r="C12" s="30">
        <f>'APAGADOS FIBRA'!P2</f>
        <v>42</v>
      </c>
      <c r="D12">
        <f>'APAGADOS ANTENA'!P2</f>
        <v>11</v>
      </c>
      <c r="E12">
        <f t="shared" ref="E12:E15" si="4">B12+C12</f>
        <v>58</v>
      </c>
      <c r="F12">
        <f>'RESUMEN TOTAL'!C1</f>
        <v>368</v>
      </c>
    </row>
    <row r="13" spans="1:6" x14ac:dyDescent="0.3">
      <c r="A13" s="25">
        <f>'APAGADOS RADIO'!Q3</f>
        <v>44632</v>
      </c>
      <c r="B13">
        <f>'APAGADOS RADIO'!Q2+D13</f>
        <v>12</v>
      </c>
      <c r="C13" s="30">
        <f>'APAGADOS FIBRA'!Q2</f>
        <v>35</v>
      </c>
      <c r="D13">
        <f>'APAGADOS ANTENA'!Q2</f>
        <v>8</v>
      </c>
      <c r="E13">
        <f t="shared" si="4"/>
        <v>47</v>
      </c>
      <c r="F13">
        <f>'RESUMEN TOTAL'!C1</f>
        <v>368</v>
      </c>
    </row>
    <row r="14" spans="1:6" x14ac:dyDescent="0.3">
      <c r="A14" s="25">
        <f>'APAGADOS RADIO'!R3</f>
        <v>44633</v>
      </c>
      <c r="B14">
        <f>'APAGADOS RADIO'!R2+D14</f>
        <v>15</v>
      </c>
      <c r="C14" s="30">
        <f>'APAGADOS FIBRA'!R2</f>
        <v>37</v>
      </c>
      <c r="D14">
        <f>'APAGADOS ANTENA'!R2</f>
        <v>10</v>
      </c>
      <c r="E14">
        <f t="shared" si="4"/>
        <v>52</v>
      </c>
      <c r="F14">
        <f>'RESUMEN TOTAL'!C1</f>
        <v>368</v>
      </c>
    </row>
    <row r="15" spans="1:6" x14ac:dyDescent="0.3">
      <c r="A15" s="25">
        <f>'APAGADOS RADIO'!S3</f>
        <v>44634</v>
      </c>
      <c r="B15">
        <f>'APAGADOS RADIO'!S2+D15</f>
        <v>12</v>
      </c>
      <c r="C15" s="30">
        <f>'APAGADOS FIBRA'!S2</f>
        <v>46</v>
      </c>
      <c r="D15">
        <f>'APAGADOS ANTENA'!S2</f>
        <v>8</v>
      </c>
      <c r="E15">
        <f t="shared" si="4"/>
        <v>58</v>
      </c>
      <c r="F15">
        <f>'RESUMEN TOTAL'!C1</f>
        <v>368</v>
      </c>
    </row>
    <row r="16" spans="1:6" x14ac:dyDescent="0.3">
      <c r="A16" s="25">
        <f>'APAGADOS RADIO'!T3</f>
        <v>44635</v>
      </c>
      <c r="B16">
        <f>'APAGADOS RADIO'!T2+D16</f>
        <v>13</v>
      </c>
      <c r="C16" s="30">
        <f>'APAGADOS FIBRA'!T2</f>
        <v>35</v>
      </c>
      <c r="D16">
        <f>'APAGADOS ANTENA'!T2</f>
        <v>9</v>
      </c>
      <c r="E16">
        <f t="shared" ref="E16" si="5">B16+C16</f>
        <v>48</v>
      </c>
      <c r="F16">
        <f>'RESUMEN TOTAL'!C1</f>
        <v>368</v>
      </c>
    </row>
    <row r="17" spans="1:6" x14ac:dyDescent="0.3">
      <c r="A17" s="25">
        <f>'APAGADOS RADIO'!U3</f>
        <v>44636</v>
      </c>
      <c r="B17">
        <f>'APAGADOS RADIO'!U2+D17</f>
        <v>15</v>
      </c>
      <c r="C17" s="30">
        <f>'APAGADOS FIBRA'!U2</f>
        <v>49</v>
      </c>
      <c r="D17">
        <f>'APAGADOS ANTENA'!U2</f>
        <v>11</v>
      </c>
      <c r="E17">
        <f t="shared" ref="E17:E18" si="6">B17+C17</f>
        <v>64</v>
      </c>
      <c r="F17">
        <f>'RESUMEN TOTAL'!C1</f>
        <v>368</v>
      </c>
    </row>
    <row r="18" spans="1:6" x14ac:dyDescent="0.3">
      <c r="A18" s="25">
        <f>'APAGADOS RADIO'!V3</f>
        <v>44637</v>
      </c>
      <c r="B18">
        <f>'APAGADOS RADIO'!V2+D18</f>
        <v>15</v>
      </c>
      <c r="C18" s="30">
        <f>'APAGADOS FIBRA'!V2</f>
        <v>28</v>
      </c>
      <c r="D18">
        <f>'APAGADOS ANTENA'!V2</f>
        <v>12</v>
      </c>
      <c r="E18">
        <f t="shared" si="6"/>
        <v>43</v>
      </c>
      <c r="F18">
        <f>'RESUMEN TOTAL'!C1</f>
        <v>368</v>
      </c>
    </row>
    <row r="19" spans="1:6" x14ac:dyDescent="0.3">
      <c r="A19" s="25">
        <f>'APAGADOS RADIO'!W3</f>
        <v>44638</v>
      </c>
      <c r="B19">
        <f>'APAGADOS RADIO'!W2+D19</f>
        <v>15</v>
      </c>
      <c r="C19" s="30">
        <f>'APAGADOS FIBRA'!W2</f>
        <v>37</v>
      </c>
      <c r="D19">
        <f>'APAGADOS ANTENA'!W2</f>
        <v>12</v>
      </c>
      <c r="E19">
        <f t="shared" ref="E19" si="7">B19+C19</f>
        <v>52</v>
      </c>
      <c r="F19">
        <f>'RESUMEN TOTAL'!C1</f>
        <v>368</v>
      </c>
    </row>
    <row r="20" spans="1:6" x14ac:dyDescent="0.3">
      <c r="A20" s="25">
        <f>'APAGADOS RADIO'!X3</f>
        <v>44639</v>
      </c>
      <c r="B20">
        <f>'APAGADOS RADIO'!X2+D20</f>
        <v>22</v>
      </c>
      <c r="C20" s="30">
        <f>'APAGADOS FIBRA'!X2</f>
        <v>50</v>
      </c>
      <c r="D20">
        <f>'APAGADOS ANTENA'!X2</f>
        <v>16</v>
      </c>
      <c r="E20">
        <f t="shared" ref="E20:E22" si="8">B20+C20</f>
        <v>72</v>
      </c>
      <c r="F20">
        <f>'RESUMEN TOTAL'!C1</f>
        <v>368</v>
      </c>
    </row>
    <row r="21" spans="1:6" x14ac:dyDescent="0.3">
      <c r="A21" s="25">
        <f>'APAGADOS RADIO'!Y3</f>
        <v>44640</v>
      </c>
      <c r="B21">
        <f>'APAGADOS RADIO'!Y2+D21</f>
        <v>16</v>
      </c>
      <c r="C21" s="30">
        <f>'APAGADOS FIBRA'!Y2</f>
        <v>36</v>
      </c>
      <c r="D21">
        <f>'APAGADOS ANTENA'!Y2</f>
        <v>13</v>
      </c>
      <c r="E21">
        <f t="shared" si="8"/>
        <v>52</v>
      </c>
      <c r="F21">
        <f>'RESUMEN TOTAL'!C1</f>
        <v>368</v>
      </c>
    </row>
    <row r="22" spans="1:6" x14ac:dyDescent="0.3">
      <c r="A22" s="25">
        <f>'APAGADOS RADIO'!Z3</f>
        <v>44641</v>
      </c>
      <c r="B22">
        <f>'APAGADOS RADIO'!Z2+D22</f>
        <v>16</v>
      </c>
      <c r="C22" s="30">
        <f>'APAGADOS FIBRA'!Z2</f>
        <v>39</v>
      </c>
      <c r="D22">
        <f>'APAGADOS ANTENA'!Z2</f>
        <v>13</v>
      </c>
      <c r="E22">
        <f t="shared" si="8"/>
        <v>55</v>
      </c>
      <c r="F22">
        <f>'RESUMEN TOTAL'!C1</f>
        <v>368</v>
      </c>
    </row>
    <row r="23" spans="1:6" x14ac:dyDescent="0.3">
      <c r="A23" s="25">
        <f>'APAGADOS RADIO'!AA3</f>
        <v>44642</v>
      </c>
      <c r="B23" s="30"/>
      <c r="C23" s="30"/>
      <c r="F23">
        <f>'RESUMEN TOTAL'!C1</f>
        <v>368</v>
      </c>
    </row>
    <row r="24" spans="1:6" x14ac:dyDescent="0.3">
      <c r="A24" s="25">
        <f>'APAGADOS RADIO'!AB3</f>
        <v>44643</v>
      </c>
      <c r="B24" s="30"/>
      <c r="C24" s="30"/>
      <c r="F24">
        <f>'RESUMEN TOTAL'!C1</f>
        <v>368</v>
      </c>
    </row>
    <row r="25" spans="1:6" x14ac:dyDescent="0.3">
      <c r="A25" s="25">
        <f>'APAGADOS RADIO'!AC3</f>
        <v>44644</v>
      </c>
      <c r="B25" s="30"/>
      <c r="C25" s="30"/>
      <c r="F25">
        <f>'RESUMEN TOTAL'!C1</f>
        <v>368</v>
      </c>
    </row>
    <row r="26" spans="1:6" x14ac:dyDescent="0.3">
      <c r="A26" s="25">
        <f>'APAGADOS RADIO'!AD3</f>
        <v>44645</v>
      </c>
      <c r="B26" s="30"/>
      <c r="C26" s="30"/>
      <c r="F26">
        <f>'RESUMEN TOTAL'!C1</f>
        <v>368</v>
      </c>
    </row>
    <row r="27" spans="1:6" x14ac:dyDescent="0.3">
      <c r="A27" s="25">
        <f>'APAGADOS RADIO'!AE3</f>
        <v>44646</v>
      </c>
      <c r="F27">
        <f>'RESUMEN TOTAL'!C1</f>
        <v>368</v>
      </c>
    </row>
    <row r="28" spans="1:6" x14ac:dyDescent="0.3">
      <c r="A28" s="25">
        <f>'APAGADOS RADIO'!AF3</f>
        <v>44647</v>
      </c>
      <c r="F28">
        <f>'RESUMEN TOTAL'!C1</f>
        <v>368</v>
      </c>
    </row>
    <row r="29" spans="1:6" x14ac:dyDescent="0.3">
      <c r="A29" s="25">
        <f>'APAGADOS RADIO'!AG3</f>
        <v>44648</v>
      </c>
      <c r="F29">
        <f>'RESUMEN TOTAL'!C1</f>
        <v>368</v>
      </c>
    </row>
    <row r="30" spans="1:6" x14ac:dyDescent="0.3">
      <c r="A30" s="25">
        <f>'APAGADOS RADIO'!AH3</f>
        <v>44649</v>
      </c>
      <c r="F30">
        <f>'RESUMEN TOTAL'!C1</f>
        <v>368</v>
      </c>
    </row>
    <row r="31" spans="1:6" x14ac:dyDescent="0.3">
      <c r="A31" s="25">
        <f>'APAGADOS RADIO'!AI3</f>
        <v>44650</v>
      </c>
      <c r="F31">
        <f>'RESUMEN TOTAL'!C1</f>
        <v>368</v>
      </c>
    </row>
    <row r="32" spans="1:6" x14ac:dyDescent="0.3">
      <c r="A32" s="25">
        <f>'APAGADOS RADIO'!AJ3</f>
        <v>44651</v>
      </c>
      <c r="F32">
        <f>'RESUMEN TOTAL'!C1</f>
        <v>368</v>
      </c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2022-03-21T14:05:51Z</dcterms:modified>
</cp:coreProperties>
</file>