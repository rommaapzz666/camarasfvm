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A0C6E2AF-C836-48A1-B33B-4083441EC9F7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F386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C379" i="11"/>
  <c r="E381" i="11"/>
  <c r="B382" i="11"/>
  <c r="N386" i="11"/>
  <c r="P388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V396" i="11" l="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1" i="9" l="1"/>
  <c r="AB3" i="2"/>
  <c r="P3" i="2"/>
  <c r="Q3" i="2"/>
  <c r="R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R1" i="2"/>
  <c r="X1" i="2"/>
  <c r="B1" i="2"/>
  <c r="F30" i="14" s="1"/>
  <c r="AI2" i="21" l="1"/>
  <c r="AH2" i="2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O2" i="11"/>
  <c r="B11" i="14" s="1"/>
  <c r="AG2" i="11"/>
  <c r="R2" i="11"/>
  <c r="B14" i="14" s="1"/>
  <c r="P2" i="11"/>
  <c r="B12" i="14" s="1"/>
  <c r="AB2" i="11"/>
  <c r="B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30" i="14" l="1"/>
  <c r="G30" i="14" s="1"/>
  <c r="E24" i="14"/>
  <c r="G24" i="14" s="1"/>
  <c r="B27" i="14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<sst xmlns="http://schemas.openxmlformats.org/spreadsheetml/2006/main" count="3281" uniqueCount="1402">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</sst>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S5" activePane="bottomRight" state="frozen"/>
      <selection pane="topRight" activeCell="M1" sqref="M1"/>
      <selection pane="bottomLeft" activeCell="A5" sqref="A5"/>
      <selection pane="bottomRight" activeCell="S1" sqref="S1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14.140625" style="22" bestFit="1" customWidth="1"/>
    <col min="45" max="45" width="14.140625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/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375</v>
      </c>
      <c r="P2" s="10">
        <f t="shared" si="3"/>
        <v>375</v>
      </c>
      <c r="Q2" s="10">
        <f t="shared" si="3"/>
        <v>375</v>
      </c>
      <c r="R2" s="10">
        <f t="shared" si="3"/>
        <v>375</v>
      </c>
      <c r="S2" s="10"/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0</v>
      </c>
      <c r="P3" s="14">
        <f t="shared" ref="P3:AP3" si="5">COUNTIF(P4:P447, "apagado")</f>
        <v>0</v>
      </c>
      <c r="Q3" s="14">
        <f t="shared" si="5"/>
        <v>0</v>
      </c>
      <c r="R3" s="14">
        <f t="shared" si="5"/>
        <v>0</v>
      </c>
      <c r="S3" s="14"/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1395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6.5" thickTop="1" thickBot="1" x14ac:dyDescent="0.3">
      <c r="A5" s="51" t="s">
        <v>34</v>
      </c>
      <c r="B5" s="51" t="s">
        <v>1213</v>
      </c>
      <c r="C5" s="51" t="s">
        <v>1396</v>
      </c>
      <c r="D5" s="51" t="s">
        <v>44</v>
      </c>
      <c r="E5" s="51" t="s">
        <v>24</v>
      </c>
      <c r="F5" s="51" t="s">
        <v>1387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1214</v>
      </c>
      <c r="C6" s="51" t="s">
        <v>1396</v>
      </c>
      <c r="D6" s="51" t="s">
        <v>46</v>
      </c>
      <c r="E6" s="51" t="s">
        <v>24</v>
      </c>
      <c r="F6" s="51" t="s">
        <v>1387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1215</v>
      </c>
      <c r="C7" s="51" t="s">
        <v>1396</v>
      </c>
      <c r="D7" s="51" t="s">
        <v>35</v>
      </c>
      <c r="E7" s="51" t="s">
        <v>24</v>
      </c>
      <c r="F7" s="51" t="s">
        <v>1388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30</v>
      </c>
      <c r="M7" s="17">
        <f t="shared" si="8"/>
        <v>0</v>
      </c>
      <c r="N7" s="18">
        <f t="shared" si="9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1216</v>
      </c>
      <c r="C8" s="51" t="s">
        <v>1396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1217</v>
      </c>
      <c r="C9" s="51" t="s">
        <v>1396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1218</v>
      </c>
      <c r="C10" s="51" t="s">
        <v>1396</v>
      </c>
      <c r="D10" s="51" t="s">
        <v>1219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1396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1396</v>
      </c>
      <c r="D12" s="51" t="s">
        <v>42</v>
      </c>
      <c r="E12" s="51" t="s">
        <v>24</v>
      </c>
      <c r="F12" s="51" t="s">
        <v>1388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1396</v>
      </c>
      <c r="D13" s="51" t="s">
        <v>49</v>
      </c>
      <c r="E13" s="51" t="s">
        <v>24</v>
      </c>
      <c r="F13" s="51" t="s">
        <v>1388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1396</v>
      </c>
      <c r="D14" s="51" t="s">
        <v>52</v>
      </c>
      <c r="E14" s="51" t="s">
        <v>19</v>
      </c>
      <c r="F14" s="51" t="s">
        <v>1388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1220</v>
      </c>
      <c r="C15" s="51" t="s">
        <v>1397</v>
      </c>
      <c r="D15" s="51" t="s">
        <v>59</v>
      </c>
      <c r="E15" s="51" t="s">
        <v>24</v>
      </c>
      <c r="F15" s="51" t="s">
        <v>1387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1221</v>
      </c>
      <c r="C16" s="51" t="s">
        <v>1396</v>
      </c>
      <c r="D16" s="51" t="s">
        <v>62</v>
      </c>
      <c r="E16" s="51" t="s">
        <v>19</v>
      </c>
      <c r="F16" s="51" t="s">
        <v>1387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1222</v>
      </c>
      <c r="C17" s="51" t="s">
        <v>1396</v>
      </c>
      <c r="D17" s="51" t="s">
        <v>1223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1224</v>
      </c>
      <c r="C18" s="51" t="s">
        <v>1396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1225</v>
      </c>
      <c r="C19" s="51" t="s">
        <v>1396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1226</v>
      </c>
      <c r="C20" s="51" t="s">
        <v>1396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1227</v>
      </c>
      <c r="C21" s="51" t="s">
        <v>1396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1228</v>
      </c>
      <c r="C22" s="51" t="s">
        <v>1396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1229</v>
      </c>
      <c r="C23" s="51" t="s">
        <v>1396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1396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1396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1396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1396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1396</v>
      </c>
      <c r="D28" s="51" t="s">
        <v>79</v>
      </c>
      <c r="E28" s="51" t="s">
        <v>19</v>
      </c>
      <c r="F28" s="51" t="s">
        <v>1387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1396</v>
      </c>
      <c r="D29" s="51" t="s">
        <v>84</v>
      </c>
      <c r="E29" s="51" t="s">
        <v>19</v>
      </c>
      <c r="F29" s="51" t="s">
        <v>1388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1396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1230</v>
      </c>
      <c r="C31" s="51" t="s">
        <v>1396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1392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1396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1396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1396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1231</v>
      </c>
      <c r="C35" s="51" t="s">
        <v>1396</v>
      </c>
      <c r="D35" s="51" t="s">
        <v>1232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1233</v>
      </c>
      <c r="C36" s="51" t="s">
        <v>1396</v>
      </c>
      <c r="D36" s="51" t="s">
        <v>1234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1396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1396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1396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1396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1396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1396</v>
      </c>
      <c r="D42" s="51" t="s">
        <v>1235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1396</v>
      </c>
      <c r="D43" s="51" t="s">
        <v>1236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1396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1396</v>
      </c>
      <c r="D45" s="51" t="s">
        <v>1237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1396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1396</v>
      </c>
      <c r="D47" s="51" t="s">
        <v>1238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1396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1396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1396</v>
      </c>
      <c r="D50" s="51" t="s">
        <v>145</v>
      </c>
      <c r="E50" s="51" t="s">
        <v>24</v>
      </c>
      <c r="F50" s="51" t="s">
        <v>1388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1396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1396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1396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1396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1396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1396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1396</v>
      </c>
      <c r="D57" s="51" t="s">
        <v>1239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1396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1396</v>
      </c>
      <c r="D59" s="51" t="s">
        <v>1240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1396</v>
      </c>
      <c r="D60" s="51" t="s">
        <v>1241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1396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1396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1396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1396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1396</v>
      </c>
      <c r="D65" s="51" t="s">
        <v>1242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1396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1396</v>
      </c>
      <c r="D67" s="51" t="s">
        <v>1243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1396</v>
      </c>
      <c r="D68" s="51" t="s">
        <v>1244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1396</v>
      </c>
      <c r="D69" s="51" t="s">
        <v>1245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1396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1396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1396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1396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1396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1396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1396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1396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1396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1396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1396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1396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1396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1246</v>
      </c>
      <c r="C83" s="51" t="s">
        <v>1396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1247</v>
      </c>
      <c r="C84" s="51" t="s">
        <v>1396</v>
      </c>
      <c r="D84" s="51" t="s">
        <v>1248</v>
      </c>
      <c r="E84" s="51" t="s">
        <v>19</v>
      </c>
      <c r="F84" s="51" t="s">
        <v>1388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1249</v>
      </c>
      <c r="C85" s="51" t="s">
        <v>1396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1396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1396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1396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1396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1396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1396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1396</v>
      </c>
      <c r="D92" s="51" t="s">
        <v>239</v>
      </c>
      <c r="E92" s="51" t="s">
        <v>24</v>
      </c>
      <c r="F92" s="51" t="s">
        <v>1387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1396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1396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1396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1396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1250</v>
      </c>
      <c r="C97" s="51" t="s">
        <v>1397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1397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1397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1251</v>
      </c>
      <c r="C100" s="51" t="s">
        <v>1396</v>
      </c>
      <c r="D100" s="51" t="s">
        <v>265</v>
      </c>
      <c r="E100" s="51" t="s">
        <v>102</v>
      </c>
      <c r="F100" s="51" t="s">
        <v>1388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1252</v>
      </c>
      <c r="C101" s="51" t="s">
        <v>1396</v>
      </c>
      <c r="D101" s="51" t="s">
        <v>265</v>
      </c>
      <c r="E101" s="51" t="s">
        <v>102</v>
      </c>
      <c r="F101" s="51" t="s">
        <v>1388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1253</v>
      </c>
      <c r="C102" s="51" t="s">
        <v>1396</v>
      </c>
      <c r="D102" s="51" t="s">
        <v>1254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1255</v>
      </c>
      <c r="C103" s="51" t="s">
        <v>1396</v>
      </c>
      <c r="D103" s="51" t="s">
        <v>1254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1396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1256</v>
      </c>
      <c r="C105" s="51" t="s">
        <v>1397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1257</v>
      </c>
      <c r="C106" s="51" t="s">
        <v>1397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1258</v>
      </c>
      <c r="C107" s="51" t="s">
        <v>1397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1259</v>
      </c>
      <c r="C108" s="51" t="s">
        <v>1397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1397</v>
      </c>
      <c r="D109" s="51" t="s">
        <v>1260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1397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1397</v>
      </c>
      <c r="D111" s="51" t="s">
        <v>285</v>
      </c>
      <c r="E111" s="51" t="s">
        <v>24</v>
      </c>
      <c r="F111" s="51" t="s">
        <v>1388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1397</v>
      </c>
      <c r="D112" s="51" t="s">
        <v>288</v>
      </c>
      <c r="E112" s="51" t="s">
        <v>19</v>
      </c>
      <c r="F112" s="51" t="s">
        <v>1388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1397</v>
      </c>
      <c r="D113" s="51" t="s">
        <v>291</v>
      </c>
      <c r="E113" s="51" t="s">
        <v>24</v>
      </c>
      <c r="F113" s="51" t="s">
        <v>1387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1397</v>
      </c>
      <c r="D114" s="51" t="s">
        <v>293</v>
      </c>
      <c r="E114" s="51" t="s">
        <v>24</v>
      </c>
      <c r="F114" s="51" t="s">
        <v>1387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1397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1261</v>
      </c>
      <c r="C116" s="51" t="s">
        <v>1397</v>
      </c>
      <c r="D116" s="51" t="s">
        <v>277</v>
      </c>
      <c r="E116" s="51" t="s">
        <v>19</v>
      </c>
      <c r="F116" s="51" t="s">
        <v>1388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1397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1397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1397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1397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1262</v>
      </c>
      <c r="C121" s="51" t="s">
        <v>1397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1263</v>
      </c>
      <c r="C122" s="51" t="s">
        <v>1397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1264</v>
      </c>
      <c r="C123" s="51" t="s">
        <v>1397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1396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1396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1396</v>
      </c>
      <c r="D126" s="51" t="s">
        <v>324</v>
      </c>
      <c r="E126" s="51" t="s">
        <v>102</v>
      </c>
      <c r="F126" s="51" t="s">
        <v>1388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1396</v>
      </c>
      <c r="D127" s="51" t="s">
        <v>324</v>
      </c>
      <c r="E127" s="51" t="s">
        <v>102</v>
      </c>
      <c r="F127" s="51" t="s">
        <v>1388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1265</v>
      </c>
      <c r="C128" s="51" t="s">
        <v>1396</v>
      </c>
      <c r="D128" s="51" t="s">
        <v>346</v>
      </c>
      <c r="E128" s="51" t="s">
        <v>102</v>
      </c>
      <c r="F128" s="51" t="s">
        <v>1388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1266</v>
      </c>
      <c r="C129" s="51" t="s">
        <v>1396</v>
      </c>
      <c r="D129" s="51" t="s">
        <v>346</v>
      </c>
      <c r="E129" s="51" t="s">
        <v>102</v>
      </c>
      <c r="F129" s="51" t="s">
        <v>1388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30</v>
      </c>
      <c r="M129" s="17">
        <f t="shared" si="11"/>
        <v>0</v>
      </c>
      <c r="N129" s="18">
        <f t="shared" si="12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1267</v>
      </c>
      <c r="C130" s="51" t="s">
        <v>1396</v>
      </c>
      <c r="D130" s="51" t="s">
        <v>349</v>
      </c>
      <c r="E130" s="51" t="s">
        <v>102</v>
      </c>
      <c r="F130" s="51" t="s">
        <v>1388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1268</v>
      </c>
      <c r="C131" s="51" t="s">
        <v>1396</v>
      </c>
      <c r="D131" s="51" t="s">
        <v>349</v>
      </c>
      <c r="E131" s="51" t="s">
        <v>102</v>
      </c>
      <c r="F131" s="51" t="s">
        <v>1388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1396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1396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1396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 t="s">
        <v>1396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1396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1396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1269</v>
      </c>
      <c r="C138" s="51" t="s">
        <v>1396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1270</v>
      </c>
      <c r="C139" s="51" t="s">
        <v>1396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1396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1396</v>
      </c>
      <c r="D141" s="51" t="s">
        <v>352</v>
      </c>
      <c r="E141" s="51" t="s">
        <v>19</v>
      </c>
      <c r="F141" s="51" t="s">
        <v>1388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1396</v>
      </c>
      <c r="D142" s="51" t="s">
        <v>355</v>
      </c>
      <c r="E142" s="51" t="s">
        <v>19</v>
      </c>
      <c r="F142" s="51" t="s">
        <v>1388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1396</v>
      </c>
      <c r="D143" s="51" t="s">
        <v>357</v>
      </c>
      <c r="E143" s="51" t="s">
        <v>19</v>
      </c>
      <c r="F143" s="51" t="s">
        <v>1388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1271</v>
      </c>
      <c r="C144" s="51" t="s">
        <v>1396</v>
      </c>
      <c r="D144" s="51" t="s">
        <v>1272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1396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1396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1396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1273</v>
      </c>
      <c r="C148" s="51" t="s">
        <v>1397</v>
      </c>
      <c r="D148" s="51" t="s">
        <v>367</v>
      </c>
      <c r="E148" s="51" t="s">
        <v>19</v>
      </c>
      <c r="F148" s="51" t="s">
        <v>1387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1397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1397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1274</v>
      </c>
      <c r="C151" s="51" t="s">
        <v>1396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1275</v>
      </c>
      <c r="C152" s="51" t="s">
        <v>1396</v>
      </c>
      <c r="D152" s="51" t="s">
        <v>1276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1277</v>
      </c>
      <c r="C153" s="51" t="s">
        <v>1396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1278</v>
      </c>
      <c r="C154" s="51" t="s">
        <v>1396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1279</v>
      </c>
      <c r="C155" s="51" t="s">
        <v>1396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1280</v>
      </c>
      <c r="C156" s="51" t="s">
        <v>1396</v>
      </c>
      <c r="D156" s="51" t="s">
        <v>372</v>
      </c>
      <c r="E156" s="51" t="s">
        <v>65</v>
      </c>
      <c r="F156" s="51" t="s">
        <v>1387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1396</v>
      </c>
      <c r="D157" s="51" t="s">
        <v>376</v>
      </c>
      <c r="E157" s="51" t="s">
        <v>24</v>
      </c>
      <c r="F157" s="51" t="s">
        <v>1387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1396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1396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1396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1396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1396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1396</v>
      </c>
      <c r="D163" s="51" t="s">
        <v>393</v>
      </c>
      <c r="E163" s="51" t="s">
        <v>24</v>
      </c>
      <c r="F163" s="51" t="s">
        <v>1387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1396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1281</v>
      </c>
      <c r="C165" s="51" t="s">
        <v>1396</v>
      </c>
      <c r="D165" s="51" t="s">
        <v>1282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1397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1401</v>
      </c>
      <c r="L166" s="53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1397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1397</v>
      </c>
      <c r="D168" s="51" t="s">
        <v>18</v>
      </c>
      <c r="E168" s="51" t="s">
        <v>19</v>
      </c>
      <c r="F168" s="51" t="s">
        <v>1387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1283</v>
      </c>
      <c r="C169" s="51" t="s">
        <v>1397</v>
      </c>
      <c r="D169" s="51" t="s">
        <v>1284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1285</v>
      </c>
      <c r="B170" s="51" t="s">
        <v>1286</v>
      </c>
      <c r="C170" s="51" t="s">
        <v>1397</v>
      </c>
      <c r="D170" s="51" t="s">
        <v>1284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1397</v>
      </c>
      <c r="D171" s="51" t="s">
        <v>1287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1397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1397</v>
      </c>
      <c r="D173" s="51" t="s">
        <v>1288</v>
      </c>
      <c r="E173" s="51" t="s">
        <v>19</v>
      </c>
      <c r="F173" s="51" t="s">
        <v>1388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1397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1289</v>
      </c>
      <c r="C175" s="51" t="s">
        <v>1396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1290</v>
      </c>
      <c r="C176" s="51" t="s">
        <v>1396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1291</v>
      </c>
      <c r="C177" s="51" t="s">
        <v>1396</v>
      </c>
      <c r="D177" s="51" t="s">
        <v>417</v>
      </c>
      <c r="E177" s="51" t="s">
        <v>24</v>
      </c>
      <c r="F177" s="51" t="s">
        <v>1387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30</v>
      </c>
      <c r="M177" s="17">
        <f t="shared" si="14"/>
        <v>0</v>
      </c>
      <c r="N177" s="18">
        <f t="shared" si="15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1396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1393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1396</v>
      </c>
      <c r="D179" s="51" t="s">
        <v>415</v>
      </c>
      <c r="E179" s="51" t="s">
        <v>24</v>
      </c>
      <c r="F179" s="51" t="s">
        <v>1387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1396</v>
      </c>
      <c r="D180" s="51" t="s">
        <v>420</v>
      </c>
      <c r="E180" s="51" t="s">
        <v>19</v>
      </c>
      <c r="F180" s="51" t="s">
        <v>1387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1396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1396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1396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1396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1292</v>
      </c>
      <c r="C185" s="51" t="s">
        <v>1396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1396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1396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1396</v>
      </c>
      <c r="D188" s="51" t="s">
        <v>442</v>
      </c>
      <c r="E188" s="51" t="s">
        <v>24</v>
      </c>
      <c r="F188" s="51" t="s">
        <v>1388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1396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1396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1394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1396</v>
      </c>
      <c r="D191" s="51" t="s">
        <v>451</v>
      </c>
      <c r="E191" s="51" t="s">
        <v>24</v>
      </c>
      <c r="F191" s="51" t="s">
        <v>1387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30</v>
      </c>
      <c r="M191" s="17">
        <f t="shared" si="14"/>
        <v>0</v>
      </c>
      <c r="N191" s="18">
        <f t="shared" si="15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 t="s">
        <v>1396</v>
      </c>
      <c r="D192" s="51" t="s">
        <v>453</v>
      </c>
      <c r="E192" s="51" t="s">
        <v>24</v>
      </c>
      <c r="F192" s="51" t="s">
        <v>1387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1396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1397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1397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1397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1397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1397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1397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30</v>
      </c>
      <c r="M199" s="17">
        <f t="shared" si="17"/>
        <v>0</v>
      </c>
      <c r="N199" s="18">
        <f t="shared" si="18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1397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30</v>
      </c>
      <c r="M200" s="17">
        <f t="shared" si="17"/>
        <v>0</v>
      </c>
      <c r="N200" s="18">
        <f t="shared" si="18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1397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1397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1397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1397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1293</v>
      </c>
      <c r="C205" s="51" t="s">
        <v>1397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1397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30</v>
      </c>
      <c r="M206" s="17">
        <f t="shared" si="17"/>
        <v>0</v>
      </c>
      <c r="N206" s="18">
        <f t="shared" si="18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1396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1397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1397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1294</v>
      </c>
      <c r="C210" s="51" t="s">
        <v>1397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1397</v>
      </c>
      <c r="D211" s="51" t="s">
        <v>495</v>
      </c>
      <c r="E211" s="51" t="s">
        <v>19</v>
      </c>
      <c r="F211" s="51" t="s">
        <v>1388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1397</v>
      </c>
      <c r="D212" s="51" t="s">
        <v>495</v>
      </c>
      <c r="E212" s="51" t="s">
        <v>102</v>
      </c>
      <c r="F212" s="51" t="s">
        <v>1388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1397</v>
      </c>
      <c r="D213" s="51" t="s">
        <v>1295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1397</v>
      </c>
      <c r="D214" s="51" t="s">
        <v>1295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1397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1397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1296</v>
      </c>
      <c r="C217" s="51" t="s">
        <v>1396</v>
      </c>
      <c r="D217" s="51" t="s">
        <v>1297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1298</v>
      </c>
      <c r="C218" s="51" t="s">
        <v>1397</v>
      </c>
      <c r="D218" s="51" t="s">
        <v>1299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1300</v>
      </c>
      <c r="C219" s="51" t="s">
        <v>1397</v>
      </c>
      <c r="D219" s="51" t="s">
        <v>1301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1397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1302</v>
      </c>
      <c r="C221" s="51" t="s">
        <v>1397</v>
      </c>
      <c r="D221" s="51" t="s">
        <v>1303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1304</v>
      </c>
      <c r="C222" s="51" t="s">
        <v>1397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1305</v>
      </c>
      <c r="C223" s="51" t="s">
        <v>1397</v>
      </c>
      <c r="D223" s="51" t="s">
        <v>1306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1307</v>
      </c>
      <c r="C224" s="51" t="s">
        <v>1397</v>
      </c>
      <c r="D224" s="51" t="s">
        <v>1308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1309</v>
      </c>
      <c r="C225" s="51" t="s">
        <v>1397</v>
      </c>
      <c r="D225" s="51" t="s">
        <v>1310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1311</v>
      </c>
      <c r="C226" s="51" t="s">
        <v>1397</v>
      </c>
      <c r="D226" s="51" t="s">
        <v>1312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1397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1313</v>
      </c>
      <c r="C228" s="51" t="s">
        <v>1397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1397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1397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1397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30</v>
      </c>
      <c r="M231" s="17">
        <f t="shared" si="17"/>
        <v>0</v>
      </c>
      <c r="N231" s="18">
        <f t="shared" si="18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1397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30</v>
      </c>
      <c r="M232" s="17">
        <f t="shared" si="17"/>
        <v>0</v>
      </c>
      <c r="N232" s="18">
        <f t="shared" si="18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1314</v>
      </c>
      <c r="C233" s="51" t="s">
        <v>1397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1315</v>
      </c>
      <c r="C234" s="51" t="s">
        <v>1397</v>
      </c>
      <c r="D234" s="51" t="s">
        <v>1316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1317</v>
      </c>
      <c r="C235" s="51" t="s">
        <v>1397</v>
      </c>
      <c r="D235" s="51" t="s">
        <v>1318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1319</v>
      </c>
      <c r="C236" s="51" t="s">
        <v>1397</v>
      </c>
      <c r="D236" s="51" t="s">
        <v>1320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1321</v>
      </c>
      <c r="C237" s="51" t="s">
        <v>1397</v>
      </c>
      <c r="D237" s="51" t="s">
        <v>1322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1323</v>
      </c>
      <c r="C238" s="51" t="s">
        <v>1397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1324</v>
      </c>
      <c r="C239" s="51" t="s">
        <v>1397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30</v>
      </c>
      <c r="M239" s="17">
        <f t="shared" si="17"/>
        <v>0</v>
      </c>
      <c r="N239" s="18">
        <f t="shared" si="18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1397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30</v>
      </c>
      <c r="M240" s="17">
        <f t="shared" si="17"/>
        <v>0</v>
      </c>
      <c r="N240" s="18">
        <f t="shared" si="18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1397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1187</v>
      </c>
      <c r="B242" s="51" t="s">
        <v>1325</v>
      </c>
      <c r="C242" s="51" t="s">
        <v>1397</v>
      </c>
      <c r="D242" s="51" t="s">
        <v>1326</v>
      </c>
      <c r="E242" s="51" t="s">
        <v>1389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1397</v>
      </c>
      <c r="D243" s="51" t="s">
        <v>1326</v>
      </c>
      <c r="E243" s="51" t="s">
        <v>1390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1327</v>
      </c>
      <c r="C244" s="51" t="s">
        <v>1396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1328</v>
      </c>
      <c r="C245" s="51" t="s">
        <v>1396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30</v>
      </c>
      <c r="M245" s="17">
        <f t="shared" si="17"/>
        <v>0</v>
      </c>
      <c r="N245" s="18">
        <f t="shared" si="18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1329</v>
      </c>
      <c r="C246" s="51" t="s">
        <v>1396</v>
      </c>
      <c r="D246" s="51" t="s">
        <v>1330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1331</v>
      </c>
      <c r="C247" s="51" t="s">
        <v>1396</v>
      </c>
      <c r="D247" s="51" t="s">
        <v>1332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1396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1396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1396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1396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1333</v>
      </c>
      <c r="C252" s="51" t="s">
        <v>1396</v>
      </c>
      <c r="D252" s="51" t="s">
        <v>543</v>
      </c>
      <c r="E252" s="51" t="s">
        <v>24</v>
      </c>
      <c r="F252" s="51" t="s">
        <v>1387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1396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1396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1396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1396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1396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1396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1396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1396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1396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1396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1334</v>
      </c>
      <c r="C263" s="51" t="s">
        <v>1396</v>
      </c>
      <c r="D263" s="51" t="s">
        <v>1335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1396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1396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1396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1396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1396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1396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1396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1397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1397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1336</v>
      </c>
      <c r="C273" s="51" t="s">
        <v>1397</v>
      </c>
      <c r="D273" s="51" t="s">
        <v>1337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1338</v>
      </c>
      <c r="C274" s="51" t="s">
        <v>1397</v>
      </c>
      <c r="D274" s="51" t="s">
        <v>1337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1397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1397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1397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1397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1397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1397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1397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1397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1397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1397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1397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1397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1397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1397</v>
      </c>
      <c r="D288" s="51" t="s">
        <v>611</v>
      </c>
      <c r="E288" s="51" t="s">
        <v>19</v>
      </c>
      <c r="F288" s="51" t="s">
        <v>1388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1339</v>
      </c>
      <c r="C289" s="51" t="s">
        <v>1396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1340</v>
      </c>
      <c r="C290" s="51" t="s">
        <v>1396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1396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1396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1341</v>
      </c>
      <c r="C293" s="51" t="s">
        <v>1397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1397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1342</v>
      </c>
      <c r="C295" s="51" t="s">
        <v>1397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1343</v>
      </c>
      <c r="C296" s="51" t="s">
        <v>1397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1344</v>
      </c>
      <c r="C297" s="51" t="s">
        <v>1397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1345</v>
      </c>
      <c r="C298" s="51" t="s">
        <v>1397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1346</v>
      </c>
      <c r="C299" s="51" t="s">
        <v>1397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1397</v>
      </c>
      <c r="D300" s="51" t="s">
        <v>1347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1397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1397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30</v>
      </c>
      <c r="M302" s="17">
        <f t="shared" si="21"/>
        <v>0</v>
      </c>
      <c r="N302" s="18">
        <f t="shared" si="22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1348</v>
      </c>
      <c r="C303" s="51" t="s">
        <v>1397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1349</v>
      </c>
      <c r="C304" s="51" t="s">
        <v>1397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1350</v>
      </c>
      <c r="C305" s="51" t="s">
        <v>1397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1351</v>
      </c>
      <c r="C306" s="51" t="s">
        <v>1397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1352</v>
      </c>
      <c r="C307" s="51" t="s">
        <v>1397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1397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1397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1353</v>
      </c>
      <c r="C310" s="51" t="s">
        <v>1397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1354</v>
      </c>
      <c r="C311" s="51" t="s">
        <v>1397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1397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1397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1355</v>
      </c>
      <c r="C314" s="51" t="s">
        <v>1396</v>
      </c>
      <c r="D314" s="51" t="s">
        <v>674</v>
      </c>
      <c r="E314" s="51" t="s">
        <v>24</v>
      </c>
      <c r="F314" s="51" t="s">
        <v>1388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1396</v>
      </c>
      <c r="D315" s="51" t="s">
        <v>654</v>
      </c>
      <c r="E315" s="51" t="s">
        <v>24</v>
      </c>
      <c r="F315" s="51" t="s">
        <v>1388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1396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1396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1396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1396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1396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1396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1396</v>
      </c>
      <c r="D322" s="51" t="s">
        <v>673</v>
      </c>
      <c r="E322" s="51" t="s">
        <v>24</v>
      </c>
      <c r="F322" s="51" t="s">
        <v>1388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1397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1397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1356</v>
      </c>
      <c r="C325" s="51" t="s">
        <v>1397</v>
      </c>
      <c r="D325" s="51" t="s">
        <v>688</v>
      </c>
      <c r="E325" s="51" t="s">
        <v>102</v>
      </c>
      <c r="F325" s="51" t="s">
        <v>1387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1357</v>
      </c>
      <c r="C326" s="51" t="s">
        <v>1397</v>
      </c>
      <c r="D326" s="51" t="s">
        <v>688</v>
      </c>
      <c r="E326" s="51" t="s">
        <v>102</v>
      </c>
      <c r="F326" s="51" t="s">
        <v>1387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1397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1397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 t="s">
        <v>1397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1397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1397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1397</v>
      </c>
      <c r="D332" s="51" t="s">
        <v>691</v>
      </c>
      <c r="E332" s="51" t="s">
        <v>102</v>
      </c>
      <c r="F332" s="51" t="s">
        <v>1387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1397</v>
      </c>
      <c r="D333" s="51" t="s">
        <v>691</v>
      </c>
      <c r="E333" s="51" t="s">
        <v>102</v>
      </c>
      <c r="F333" s="51" t="s">
        <v>1387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1358</v>
      </c>
      <c r="C334" s="51" t="s">
        <v>1397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1359</v>
      </c>
      <c r="C335" s="51" t="s">
        <v>1397</v>
      </c>
      <c r="D335" s="51" t="s">
        <v>735</v>
      </c>
      <c r="E335" s="51" t="s">
        <v>19</v>
      </c>
      <c r="F335" s="51" t="s">
        <v>1387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30</v>
      </c>
      <c r="M335" s="17">
        <f t="shared" si="24"/>
        <v>0</v>
      </c>
      <c r="N335" s="18">
        <f t="shared" si="25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1397</v>
      </c>
      <c r="D336" s="51" t="s">
        <v>701</v>
      </c>
      <c r="E336" s="51" t="s">
        <v>19</v>
      </c>
      <c r="F336" s="51" t="s">
        <v>1388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1397</v>
      </c>
      <c r="D337" s="51" t="s">
        <v>705</v>
      </c>
      <c r="E337" s="51" t="s">
        <v>19</v>
      </c>
      <c r="F337" s="51" t="s">
        <v>1388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1397</v>
      </c>
      <c r="D338" s="51" t="s">
        <v>1360</v>
      </c>
      <c r="E338" s="51" t="s">
        <v>19</v>
      </c>
      <c r="F338" s="51" t="s">
        <v>1388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1397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1361</v>
      </c>
      <c r="C340" s="51" t="s">
        <v>1397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1362</v>
      </c>
      <c r="C341" s="51" t="s">
        <v>1397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1397</v>
      </c>
      <c r="D342" s="51" t="s">
        <v>1363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1397</v>
      </c>
      <c r="D343" s="51" t="s">
        <v>1364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1397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1397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1397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1397</v>
      </c>
      <c r="D347" s="51" t="s">
        <v>1365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1396</v>
      </c>
      <c r="D348" s="51" t="s">
        <v>1366</v>
      </c>
      <c r="E348" s="51" t="s">
        <v>1391</v>
      </c>
      <c r="F348" s="51" t="s">
        <v>1388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1397</v>
      </c>
      <c r="D349" s="51" t="s">
        <v>728</v>
      </c>
      <c r="E349" s="51" t="s">
        <v>24</v>
      </c>
      <c r="F349" s="51" t="s">
        <v>1387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1397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1397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1367</v>
      </c>
      <c r="C352" s="51" t="s">
        <v>1397</v>
      </c>
      <c r="D352" s="51" t="s">
        <v>695</v>
      </c>
      <c r="E352" s="51" t="s">
        <v>19</v>
      </c>
      <c r="F352" s="51" t="s">
        <v>1388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1368</v>
      </c>
      <c r="C353" s="51" t="s">
        <v>1397</v>
      </c>
      <c r="D353" s="51" t="s">
        <v>698</v>
      </c>
      <c r="E353" s="51" t="s">
        <v>24</v>
      </c>
      <c r="F353" s="51" t="s">
        <v>1388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1369</v>
      </c>
      <c r="C354" s="51" t="s">
        <v>1397</v>
      </c>
      <c r="D354" s="51" t="s">
        <v>708</v>
      </c>
      <c r="E354" s="51" t="s">
        <v>19</v>
      </c>
      <c r="F354" s="51" t="s">
        <v>1388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1370</v>
      </c>
      <c r="C355" s="51" t="s">
        <v>1397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1396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1396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1371</v>
      </c>
      <c r="C358" s="51" t="s">
        <v>1396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1372</v>
      </c>
      <c r="C359" s="51" t="s">
        <v>1396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1396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1396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30</v>
      </c>
      <c r="M361" s="17">
        <f t="shared" si="24"/>
        <v>0</v>
      </c>
      <c r="N361" s="18">
        <f t="shared" si="25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1396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30</v>
      </c>
      <c r="M362" s="17">
        <f t="shared" si="24"/>
        <v>0</v>
      </c>
      <c r="N362" s="18">
        <f t="shared" si="25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 t="s">
        <v>1396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1396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1396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1396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1396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1396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1396</v>
      </c>
      <c r="D369" s="51" t="s">
        <v>766</v>
      </c>
      <c r="E369" s="51" t="s">
        <v>24</v>
      </c>
      <c r="F369" s="51" t="s">
        <v>1388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1396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1397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1397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1373</v>
      </c>
      <c r="C373" s="51" t="s">
        <v>1397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30</v>
      </c>
      <c r="M373" s="53">
        <f t="shared" ref="M373:M379" si="26">COUNTIF(O373:AP373,"APAGADO")</f>
        <v>0</v>
      </c>
      <c r="N373" s="54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1374</v>
      </c>
      <c r="C374" s="51" t="s">
        <v>1397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30</v>
      </c>
      <c r="M374" s="53">
        <f t="shared" si="26"/>
        <v>0</v>
      </c>
      <c r="N374" s="54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1375</v>
      </c>
      <c r="C375" s="51" t="s">
        <v>1397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1376</v>
      </c>
      <c r="C376" s="51" t="s">
        <v>1397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1397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1397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1397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1397</v>
      </c>
      <c r="D380" s="51" t="s">
        <v>1377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1378</v>
      </c>
      <c r="C381" s="51" t="s">
        <v>1397</v>
      </c>
      <c r="D381" s="51" t="s">
        <v>1379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1380</v>
      </c>
      <c r="C382" s="51" t="s">
        <v>1397</v>
      </c>
      <c r="D382" s="51" t="s">
        <v>1379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1381</v>
      </c>
      <c r="C383" s="51" t="s">
        <v>1397</v>
      </c>
      <c r="D383" s="51" t="s">
        <v>1382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1397</v>
      </c>
      <c r="D384" s="51" t="s">
        <v>1383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1384</v>
      </c>
      <c r="C385" s="51" t="s">
        <v>1397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30</v>
      </c>
      <c r="M385" s="53">
        <f t="shared" si="29"/>
        <v>0</v>
      </c>
      <c r="N385" s="54">
        <f t="shared" si="30"/>
        <v>1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1385</v>
      </c>
      <c r="C386" s="51" t="s">
        <v>1397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30</v>
      </c>
      <c r="M386" s="53">
        <f t="shared" si="29"/>
        <v>0</v>
      </c>
      <c r="N386" s="54">
        <f t="shared" si="30"/>
        <v>1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1397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30</v>
      </c>
      <c r="M387" s="53">
        <f t="shared" si="29"/>
        <v>0</v>
      </c>
      <c r="N387" s="54">
        <f t="shared" si="30"/>
        <v>1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1397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30</v>
      </c>
      <c r="M388" s="53">
        <f t="shared" si="29"/>
        <v>0</v>
      </c>
      <c r="N388" s="54">
        <f t="shared" si="30"/>
        <v>1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1397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1397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1397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1386</v>
      </c>
      <c r="C392" s="51" t="s">
        <v>1397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1397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1397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1397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1397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0</v>
      </c>
      <c r="G1" s="26">
        <f t="shared" ref="G1:AG1" si="0">COUNTIF(G3:G400, "APAGADO")</f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0</v>
      </c>
      <c r="G2" s="26">
        <f>COUNTIFS(G4:G400, "=APAGADO",E4:E400,"=Fibra Optica")</f>
        <v>0</v>
      </c>
      <c r="H2" s="26">
        <f>COUNTIFS(H4:H400, "=APAGADO",E4:E400,"=Fibra Optica")</f>
        <v>0</v>
      </c>
      <c r="I2" s="26">
        <f>COUNTIFS(I4:I400, "=APAGADO",E4:E400,"=Fibra Optica")</f>
        <v>0</v>
      </c>
      <c r="J2" s="26">
        <f>COUNTIFS(J4:J400, "=APAGADO",E4:E400,"=Fibra Optica")</f>
        <v>0</v>
      </c>
      <c r="K2" s="26">
        <f>COUNTIFS(K4:K400, "=APAGADO",E4:E400,"=Fibra Optica")</f>
        <v>0</v>
      </c>
      <c r="L2" s="26">
        <f>COUNTIFS(L4:L400, "=APAGADO",E4:E400,"=Fibra Optica")</f>
        <v>0</v>
      </c>
      <c r="M2" s="26">
        <f>COUNTIFS(M4:M400, "=APAGADO",E4:E400,"=Fibra Optica")</f>
        <v>0</v>
      </c>
      <c r="N2" s="26">
        <f>COUNTIFS(N4:N400, "=APAGADO",E4:E400,"=Fibra Optica")</f>
        <v>0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1398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0</v>
      </c>
      <c r="G2" s="26">
        <f>COUNTIFS(G4:G400, "=APAGADO",E4:E400,"=PTO A FO")</f>
        <v>0</v>
      </c>
      <c r="H2" s="26">
        <f>COUNTIFS(H4:H400, "=APAGADO",E4:E400,"=PTO A FO")</f>
        <v>0</v>
      </c>
      <c r="I2" s="26">
        <f>COUNTIFS(I4:I400, "=APAGADO",E4:E400,"=PTO A FO")</f>
        <v>0</v>
      </c>
      <c r="J2" s="26">
        <f>COUNTIFS(J4:J400, "=APAGADO",E4:E400,"=PTO A FO")</f>
        <v>0</v>
      </c>
      <c r="K2" s="26">
        <f>COUNTIFS(K4:K400, "=APAGADO",E4:E400,"=PTO A FO")</f>
        <v>0</v>
      </c>
      <c r="L2" s="26">
        <f>COUNTIFS(L4:L400, "=APAGADO",E4:E400,"=PTO A FO")</f>
        <v>0</v>
      </c>
      <c r="M2" s="26">
        <f>COUNTIFS(M4:M400, "=APAGADO",E4:E400,"=PTO A FO")</f>
        <v>0</v>
      </c>
      <c r="N2" s="26">
        <f>COUNTIFS(N4:N400, "=APAGADO",E4:E400,"=PTO A FO")</f>
        <v>0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0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10"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44774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392</v>
      </c>
      <c r="G2" s="55">
        <f t="shared" ref="G2:G3" si="1">E2/F2</f>
        <v>0</v>
      </c>
    </row>
    <row r="3" spans="1:7" x14ac:dyDescent="0.25">
      <c r="A3" s="25">
        <f>'APAGADOS RADIO'!G3</f>
        <v>44775</v>
      </c>
      <c r="B3" s="51">
        <f>'APAGADOS RADIO'!G2+D3</f>
        <v>0</v>
      </c>
      <c r="C3" s="51">
        <f>'APAGADOS FIBRA'!G2</f>
        <v>0</v>
      </c>
      <c r="D3" s="51">
        <f>'APAGADOS ANTENA'!G2</f>
        <v>0</v>
      </c>
      <c r="E3" s="51">
        <f t="shared" ref="E3" si="2">B3+C3</f>
        <v>0</v>
      </c>
      <c r="F3" s="51">
        <f>'RESUMEN TOTAL'!B1</f>
        <v>392</v>
      </c>
      <c r="G3" s="55">
        <f t="shared" si="1"/>
        <v>0</v>
      </c>
    </row>
    <row r="4" spans="1:7" x14ac:dyDescent="0.25">
      <c r="A4" s="25">
        <f>'APAGADOS RADIO'!H3</f>
        <v>44776</v>
      </c>
      <c r="B4" s="51">
        <f>'APAGADOS RADIO'!H2+D4</f>
        <v>0</v>
      </c>
      <c r="C4" s="51">
        <f>'APAGADOS FIBRA'!H2</f>
        <v>0</v>
      </c>
      <c r="D4" s="51">
        <f>'APAGADOS ANTENA'!H2</f>
        <v>0</v>
      </c>
      <c r="E4" s="51">
        <f t="shared" ref="E4" si="3">B4+C4</f>
        <v>0</v>
      </c>
      <c r="F4" s="51">
        <f>'RESUMEN TOTAL'!B1</f>
        <v>392</v>
      </c>
      <c r="G4" s="55">
        <f t="shared" ref="G4" si="4">E4/F4</f>
        <v>0</v>
      </c>
    </row>
    <row r="5" spans="1:7" x14ac:dyDescent="0.25">
      <c r="A5" s="25">
        <f>'APAGADOS RADIO'!I3</f>
        <v>44777</v>
      </c>
      <c r="B5" s="51">
        <f>'APAGADOS RADIO'!I2+D5</f>
        <v>0</v>
      </c>
      <c r="C5" s="51">
        <f>'APAGADOS FIBRA'!I2</f>
        <v>0</v>
      </c>
      <c r="D5" s="51">
        <f>'APAGADOS ANTENA'!I2</f>
        <v>0</v>
      </c>
      <c r="E5" s="51">
        <f t="shared" ref="E5:E6" si="5">B5+C5</f>
        <v>0</v>
      </c>
      <c r="F5" s="51">
        <f>'RESUMEN TOTAL'!B1</f>
        <v>392</v>
      </c>
      <c r="G5" s="55">
        <f t="shared" ref="G5:G7" si="6">E5/F5</f>
        <v>0</v>
      </c>
    </row>
    <row r="6" spans="1:7" x14ac:dyDescent="0.25">
      <c r="A6" s="25">
        <f>'APAGADOS RADIO'!J3</f>
        <v>44778</v>
      </c>
      <c r="B6" s="51">
        <f>'APAGADOS RADIO'!J2+D6</f>
        <v>0</v>
      </c>
      <c r="C6" s="51">
        <f>'APAGADOS FIBRA'!J2</f>
        <v>0</v>
      </c>
      <c r="D6" s="51">
        <f>'APAGADOS ANTENA'!J2</f>
        <v>0</v>
      </c>
      <c r="E6" s="51">
        <f t="shared" si="5"/>
        <v>0</v>
      </c>
      <c r="F6" s="51">
        <f>'RESUMEN TOTAL'!B1</f>
        <v>392</v>
      </c>
      <c r="G6" s="55">
        <f t="shared" si="6"/>
        <v>0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0</v>
      </c>
      <c r="C8" s="51">
        <f>'APAGADOS FIBRA'!L2</f>
        <v>0</v>
      </c>
      <c r="D8" s="51">
        <f>'APAGADOS ANTENA'!L2</f>
        <v>0</v>
      </c>
      <c r="E8" s="51">
        <f t="shared" ref="E8" si="7">B8+C8</f>
        <v>0</v>
      </c>
      <c r="F8" s="51">
        <f>'RESUMEN TOTAL'!B1</f>
        <v>392</v>
      </c>
      <c r="G8" s="55">
        <f t="shared" ref="G8" si="8">E8/F8</f>
        <v>0</v>
      </c>
    </row>
    <row r="9" spans="1:7" x14ac:dyDescent="0.25">
      <c r="A9" s="25">
        <f>'APAGADOS RADIO'!M3</f>
        <v>44781</v>
      </c>
      <c r="B9" s="51">
        <f>'APAGADOS RADIO'!M2+D9</f>
        <v>0</v>
      </c>
      <c r="C9" s="51">
        <f>'APAGADOS FIBRA'!M2</f>
        <v>0</v>
      </c>
      <c r="D9" s="51">
        <f>'APAGADOS ANTENA'!M2</f>
        <v>0</v>
      </c>
      <c r="E9" s="51">
        <f t="shared" ref="E9" si="9">B9+C9</f>
        <v>0</v>
      </c>
      <c r="F9" s="51">
        <f>'RESUMEN TOTAL'!B1</f>
        <v>392</v>
      </c>
      <c r="G9" s="55">
        <f t="shared" ref="G9" si="10">E9/F9</f>
        <v>0</v>
      </c>
    </row>
    <row r="10" spans="1:7" x14ac:dyDescent="0.25">
      <c r="A10" s="25">
        <f>'APAGADOS RADIO'!N3</f>
        <v>44782</v>
      </c>
      <c r="B10" s="51">
        <f>'APAGADOS RADIO'!N2+D10</f>
        <v>0</v>
      </c>
      <c r="C10" s="51">
        <f>'APAGADOS FIBRA'!N2</f>
        <v>0</v>
      </c>
      <c r="D10" s="51">
        <f>'APAGADOS ANTENA'!N2</f>
        <v>0</v>
      </c>
      <c r="E10" s="51">
        <f t="shared" ref="E10" si="11">B10+C10</f>
        <v>0</v>
      </c>
      <c r="F10" s="51">
        <f>'RESUMEN TOTAL'!B1</f>
        <v>392</v>
      </c>
      <c r="G10" s="55">
        <f t="shared" ref="G10" si="12">E10/F10</f>
        <v>0</v>
      </c>
    </row>
    <row r="11" spans="1:7" x14ac:dyDescent="0.25">
      <c r="A11" s="25">
        <f>'APAGADOS RADIO'!O3</f>
        <v>44783</v>
      </c>
      <c r="B11" s="51">
        <f>'APAGADOS RADIO'!O2+D11</f>
        <v>0</v>
      </c>
      <c r="C11" s="51">
        <f>'APAGADOS FIBRA'!O2</f>
        <v>0</v>
      </c>
      <c r="D11" s="51">
        <f>'APAGADOS ANTENA'!O2</f>
        <v>0</v>
      </c>
      <c r="E11" s="51">
        <f t="shared" ref="E11" si="13">B11+C11</f>
        <v>0</v>
      </c>
      <c r="F11" s="51">
        <f>'RESUMEN TOTAL'!B1</f>
        <v>392</v>
      </c>
      <c r="G11" s="55">
        <f t="shared" ref="G11" si="14">E11/F11</f>
        <v>0</v>
      </c>
    </row>
    <row r="12" spans="1:7" x14ac:dyDescent="0.25">
      <c r="A12" s="25">
        <f>'APAGADOS RADIO'!P3</f>
        <v>44784</v>
      </c>
      <c r="B12" s="51">
        <f>'APAGADOS RADIO'!P2+D12</f>
        <v>0</v>
      </c>
      <c r="C12" s="51">
        <f>'APAGADOS FIBRA'!P2</f>
        <v>0</v>
      </c>
      <c r="D12" s="51">
        <f>'APAGADOS ANTENA'!P2</f>
        <v>0</v>
      </c>
      <c r="E12" s="51">
        <f t="shared" ref="E12" si="15">B12+C12</f>
        <v>0</v>
      </c>
      <c r="F12" s="51">
        <f>'RESUMEN TOTAL'!B1</f>
        <v>392</v>
      </c>
      <c r="G12" s="55">
        <f t="shared" ref="G12" si="16">E12/F12</f>
        <v>0</v>
      </c>
    </row>
    <row r="13" spans="1:7" x14ac:dyDescent="0.25">
      <c r="A13" s="25">
        <f>'APAGADOS RADIO'!Q3</f>
        <v>44785</v>
      </c>
      <c r="B13" s="51">
        <f>'APAGADOS RADIO'!Q2+D13</f>
        <v>0</v>
      </c>
      <c r="C13" s="51">
        <f>'APAGADOS FIBRA'!Q2</f>
        <v>0</v>
      </c>
      <c r="D13" s="51">
        <f>'APAGADOS ANTENA'!Q2</f>
        <v>0</v>
      </c>
      <c r="E13" s="51">
        <f t="shared" ref="E13:E14" si="17">B13+C13</f>
        <v>0</v>
      </c>
      <c r="F13" s="51">
        <f>'RESUMEN TOTAL'!B1</f>
        <v>392</v>
      </c>
      <c r="G13" s="55">
        <f t="shared" ref="G13:G14" si="18">E13/F13</f>
        <v>0</v>
      </c>
    </row>
    <row r="14" spans="1:7" x14ac:dyDescent="0.25">
      <c r="A14" s="25">
        <f>'APAGADOS RADIO'!R3</f>
        <v>44786</v>
      </c>
      <c r="B14" s="51">
        <f>'APAGADOS RADIO'!R2+D14</f>
        <v>0</v>
      </c>
      <c r="C14" s="51">
        <f>'APAGADOS FIBRA'!R2</f>
        <v>0</v>
      </c>
      <c r="D14" s="51">
        <f>'APAGADOS ANTENA'!R2</f>
        <v>0</v>
      </c>
      <c r="E14" s="51">
        <f t="shared" si="17"/>
        <v>0</v>
      </c>
      <c r="F14" s="51">
        <f>'RESUMEN TOTAL'!B1</f>
        <v>392</v>
      </c>
      <c r="G14" s="55">
        <f t="shared" si="18"/>
        <v>0</v>
      </c>
    </row>
    <row r="15" spans="1:7" x14ac:dyDescent="0.25">
      <c r="A15" s="25">
        <f>'APAGADOS RADIO'!S3</f>
        <v>44787</v>
      </c>
      <c r="B15" s="51">
        <f>'APAGADOS RADIO'!S2+D15</f>
        <v>0</v>
      </c>
      <c r="C15" s="51">
        <f>'APAGADOS FIBRA'!S2</f>
        <v>0</v>
      </c>
      <c r="D15" s="51">
        <f>'APAGADOS ANTENA'!S2</f>
        <v>0</v>
      </c>
      <c r="E15" s="51">
        <f t="shared" ref="E15" si="19">B15+C15</f>
        <v>0</v>
      </c>
      <c r="F15" s="51">
        <f>'RESUMEN TOTAL'!B1</f>
        <v>392</v>
      </c>
      <c r="G15" s="55">
        <f t="shared" ref="G15" si="20">E15/F15</f>
        <v>0</v>
      </c>
    </row>
    <row r="16" spans="1:7" x14ac:dyDescent="0.25">
      <c r="A16" s="25">
        <f>'APAGADOS RADIO'!T3</f>
        <v>44788</v>
      </c>
      <c r="B16" s="51">
        <f>'APAGADOS RADIO'!T2+D16</f>
        <v>0</v>
      </c>
      <c r="C16" s="51">
        <f>'APAGADOS FIBRA'!T2</f>
        <v>0</v>
      </c>
      <c r="D16" s="51">
        <f>'APAGADOS ANTENA'!T2</f>
        <v>0</v>
      </c>
      <c r="E16" s="51">
        <f t="shared" ref="E16:E21" si="21">B16+C16</f>
        <v>0</v>
      </c>
      <c r="F16" s="51">
        <f>'RESUMEN TOTAL'!B1</f>
        <v>392</v>
      </c>
      <c r="G16" s="55">
        <f t="shared" ref="G16:G21" si="22">E16/F16</f>
        <v>0</v>
      </c>
    </row>
    <row r="17" spans="1:7" x14ac:dyDescent="0.25">
      <c r="A17" s="25">
        <f>'APAGADOS RADIO'!U3</f>
        <v>44789</v>
      </c>
      <c r="B17" s="51">
        <f>'APAGADOS RADIO'!U2+D17</f>
        <v>0</v>
      </c>
      <c r="C17" s="51">
        <f>'APAGADOS FIBRA'!U2</f>
        <v>0</v>
      </c>
      <c r="D17" s="51">
        <f>'APAGADOS ANTENA'!U2</f>
        <v>0</v>
      </c>
      <c r="E17" s="51">
        <f t="shared" si="21"/>
        <v>0</v>
      </c>
      <c r="F17" s="51">
        <f>'RESUMEN TOTAL'!B1</f>
        <v>392</v>
      </c>
      <c r="G17" s="55">
        <f t="shared" si="22"/>
        <v>0</v>
      </c>
    </row>
    <row r="18" spans="1:7" x14ac:dyDescent="0.25">
      <c r="A18" s="25">
        <f>'APAGADOS RADIO'!V3</f>
        <v>44790</v>
      </c>
      <c r="B18" s="51">
        <f>'APAGADOS RADIO'!V2+D18</f>
        <v>0</v>
      </c>
      <c r="C18" s="51">
        <f>'APAGADOS FIBRA'!V2</f>
        <v>0</v>
      </c>
      <c r="D18" s="51">
        <f>'APAGADOS ANTENA'!V2</f>
        <v>0</v>
      </c>
      <c r="E18" s="51">
        <f t="shared" si="21"/>
        <v>0</v>
      </c>
      <c r="F18" s="51">
        <f>'RESUMEN TOTAL'!B1</f>
        <v>392</v>
      </c>
      <c r="G18" s="55">
        <f t="shared" si="22"/>
        <v>0</v>
      </c>
    </row>
    <row r="19" spans="1:7" x14ac:dyDescent="0.25">
      <c r="A19" s="25">
        <f>'APAGADOS RADIO'!W3</f>
        <v>44791</v>
      </c>
      <c r="B19" s="51">
        <f>'APAGADOS RADIO'!W2+D19</f>
        <v>0</v>
      </c>
      <c r="C19" s="51">
        <f>'APAGADOS FIBRA'!W2</f>
        <v>0</v>
      </c>
      <c r="D19" s="51">
        <f>'APAGADOS ANTENA'!W2</f>
        <v>0</v>
      </c>
      <c r="E19" s="51">
        <f t="shared" si="21"/>
        <v>0</v>
      </c>
      <c r="F19" s="51">
        <f>'RESUMEN TOTAL'!B1</f>
        <v>392</v>
      </c>
      <c r="G19" s="55">
        <f t="shared" si="22"/>
        <v>0</v>
      </c>
    </row>
    <row r="20" spans="1:7" x14ac:dyDescent="0.25">
      <c r="A20" s="25">
        <f>'APAGADOS RADIO'!X3</f>
        <v>44792</v>
      </c>
      <c r="B20" s="51">
        <f>'APAGADOS RADIO'!X2+D20</f>
        <v>0</v>
      </c>
      <c r="C20" s="51">
        <f>'APAGADOS FIBRA'!X2</f>
        <v>0</v>
      </c>
      <c r="D20" s="51">
        <f>'APAGADOS ANTENA'!X2</f>
        <v>0</v>
      </c>
      <c r="E20" s="51">
        <f t="shared" si="21"/>
        <v>0</v>
      </c>
      <c r="F20" s="51">
        <f>'RESUMEN TOTAL'!B1</f>
        <v>392</v>
      </c>
      <c r="G20" s="55">
        <f t="shared" si="22"/>
        <v>0</v>
      </c>
    </row>
    <row r="21" spans="1:7" x14ac:dyDescent="0.25">
      <c r="A21" s="25">
        <f>'APAGADOS RADIO'!Y3</f>
        <v>44793</v>
      </c>
      <c r="B21" s="51">
        <f>'APAGADOS RADIO'!Y2+D21</f>
        <v>0</v>
      </c>
      <c r="C21" s="51">
        <f>'APAGADOS FIBRA'!Y2</f>
        <v>0</v>
      </c>
      <c r="D21" s="51">
        <f>'APAGADOS ANTENA'!Y2</f>
        <v>0</v>
      </c>
      <c r="E21" s="51">
        <f t="shared" si="21"/>
        <v>0</v>
      </c>
      <c r="F21" s="51">
        <f>'RESUMEN TOTAL'!B1</f>
        <v>392</v>
      </c>
      <c r="G21" s="55">
        <f t="shared" si="22"/>
        <v>0</v>
      </c>
    </row>
    <row r="22" spans="1:7" x14ac:dyDescent="0.25">
      <c r="A22" s="25">
        <f>'APAGADOS RADIO'!Z3</f>
        <v>44794</v>
      </c>
      <c r="B22" s="51">
        <f>'APAGADOS RADIO'!Z2+D22</f>
        <v>0</v>
      </c>
      <c r="C22" s="51">
        <f>'APAGADOS FIBRA'!Z2</f>
        <v>0</v>
      </c>
      <c r="D22" s="51">
        <f>'APAGADOS ANTENA'!Z2</f>
        <v>0</v>
      </c>
      <c r="E22" s="51">
        <f t="shared" ref="E22" si="23">B22+C22</f>
        <v>0</v>
      </c>
      <c r="F22" s="51">
        <f>'RESUMEN TOTAL'!B1</f>
        <v>392</v>
      </c>
      <c r="G22" s="55">
        <f t="shared" ref="G22" si="24">E22/F22</f>
        <v>0</v>
      </c>
    </row>
    <row r="23" spans="1:7" x14ac:dyDescent="0.25">
      <c r="A23" s="25">
        <f>'APAGADOS RADIO'!AA3</f>
        <v>44795</v>
      </c>
      <c r="B23" s="51">
        <f>'APAGADOS RADIO'!AA2+D23</f>
        <v>0</v>
      </c>
      <c r="C23" s="51">
        <f>'APAGADOS FIBRA'!AA2</f>
        <v>0</v>
      </c>
      <c r="D23" s="51">
        <f>'APAGADOS ANTENA'!AA2</f>
        <v>0</v>
      </c>
      <c r="E23" s="51">
        <f t="shared" ref="E23" si="25">B23+C23</f>
        <v>0</v>
      </c>
      <c r="F23" s="51">
        <f>'RESUMEN TOTAL'!B1</f>
        <v>392</v>
      </c>
      <c r="G23" s="55">
        <f t="shared" ref="G23" si="26">E23/F23</f>
        <v>0</v>
      </c>
    </row>
    <row r="24" spans="1:7" x14ac:dyDescent="0.25">
      <c r="A24" s="25">
        <f>'APAGADOS RADIO'!AB3</f>
        <v>44796</v>
      </c>
      <c r="B24" s="51">
        <f>'APAGADOS RADIO'!AB2+D24</f>
        <v>0</v>
      </c>
      <c r="C24" s="51">
        <f>'APAGADOS FIBRA'!AB2</f>
        <v>0</v>
      </c>
      <c r="D24" s="51">
        <f>'APAGADOS ANTENA'!AB2</f>
        <v>0</v>
      </c>
      <c r="E24" s="51">
        <f t="shared" ref="E24:E26" si="27">B24+C24</f>
        <v>0</v>
      </c>
      <c r="F24" s="51">
        <f>'RESUMEN TOTAL'!B1</f>
        <v>392</v>
      </c>
      <c r="G24" s="55">
        <f t="shared" ref="G24:G26" si="28">E24/F24</f>
        <v>0</v>
      </c>
    </row>
    <row r="25" spans="1:7" x14ac:dyDescent="0.25">
      <c r="A25" s="25">
        <f>'APAGADOS RADIO'!AC3</f>
        <v>44797</v>
      </c>
      <c r="B25" s="51">
        <f>'APAGADOS RADIO'!AC2+D25</f>
        <v>0</v>
      </c>
      <c r="C25" s="51">
        <f>'APAGADOS FIBRA'!AC2</f>
        <v>0</v>
      </c>
      <c r="D25" s="51">
        <f>'APAGADOS ANTENA'!AC2</f>
        <v>0</v>
      </c>
      <c r="E25" s="51">
        <f t="shared" si="27"/>
        <v>0</v>
      </c>
      <c r="F25" s="51">
        <f>'RESUMEN TOTAL'!B1</f>
        <v>392</v>
      </c>
      <c r="G25" s="55">
        <f t="shared" si="28"/>
        <v>0</v>
      </c>
    </row>
    <row r="26" spans="1:7" x14ac:dyDescent="0.25">
      <c r="A26" s="25">
        <f>'APAGADOS RADIO'!AD3</f>
        <v>44798</v>
      </c>
      <c r="B26" s="51">
        <f>'APAGADOS RADIO'!AD2+D26</f>
        <v>0</v>
      </c>
      <c r="C26" s="51">
        <f>'APAGADOS FIBRA'!AD2</f>
        <v>0</v>
      </c>
      <c r="D26" s="51">
        <f>'APAGADOS ANTENA'!AD2</f>
        <v>0</v>
      </c>
      <c r="E26" s="51">
        <f t="shared" si="27"/>
        <v>0</v>
      </c>
      <c r="F26" s="51">
        <f>'RESUMEN TOTAL'!B1</f>
        <v>392</v>
      </c>
      <c r="G26" s="55">
        <f t="shared" si="28"/>
        <v>0</v>
      </c>
    </row>
    <row r="27" spans="1:7" x14ac:dyDescent="0.25">
      <c r="A27" s="25">
        <f>'APAGADOS RADIO'!AE3</f>
        <v>44799</v>
      </c>
      <c r="B27" s="51">
        <f>'APAGADOS RADIO'!AE2+D27</f>
        <v>0</v>
      </c>
      <c r="C27" s="51">
        <f>'APAGADOS FIBRA'!AE2</f>
        <v>0</v>
      </c>
      <c r="D27" s="51">
        <f>'APAGADOS ANTENA'!AE2</f>
        <v>0</v>
      </c>
      <c r="E27" s="51">
        <f t="shared" ref="E27" si="29">B27+C27</f>
        <v>0</v>
      </c>
      <c r="F27" s="51">
        <f>'RESUMEN TOTAL'!B1</f>
        <v>392</v>
      </c>
      <c r="G27" s="55">
        <f t="shared" ref="G27" si="30">E27/F27</f>
        <v>0</v>
      </c>
    </row>
    <row r="28" spans="1:7" x14ac:dyDescent="0.25">
      <c r="A28" s="25">
        <f>'APAGADOS RADIO'!AF3</f>
        <v>44800</v>
      </c>
      <c r="B28" s="51">
        <f>'APAGADOS RADIO'!AF2+D28</f>
        <v>0</v>
      </c>
      <c r="C28" s="51">
        <f>'APAGADOS FIBRA'!AF2</f>
        <v>0</v>
      </c>
      <c r="D28" s="51">
        <f>'APAGADOS ANTENA'!AF2</f>
        <v>0</v>
      </c>
      <c r="E28" s="51">
        <f t="shared" ref="E28:E29" si="31">B28+C28</f>
        <v>0</v>
      </c>
      <c r="F28" s="51">
        <f>'RESUMEN TOTAL'!B1</f>
        <v>392</v>
      </c>
      <c r="G28" s="55">
        <f t="shared" ref="G28:G29" si="32">E28/F28</f>
        <v>0</v>
      </c>
    </row>
    <row r="29" spans="1:7" x14ac:dyDescent="0.25">
      <c r="A29" s="25">
        <f>'APAGADOS RADIO'!AG3</f>
        <v>44801</v>
      </c>
      <c r="B29" s="51">
        <f>'APAGADOS RADIO'!AG2+D29</f>
        <v>0</v>
      </c>
      <c r="C29" s="51">
        <f>'APAGADOS FIBRA'!AG2</f>
        <v>0</v>
      </c>
      <c r="D29" s="51">
        <f>'APAGADOS ANTENA'!AG2</f>
        <v>0</v>
      </c>
      <c r="E29" s="51">
        <f t="shared" si="31"/>
        <v>0</v>
      </c>
      <c r="F29" s="51">
        <f>'RESUMEN TOTAL'!B1</f>
        <v>392</v>
      </c>
      <c r="G29" s="55">
        <f t="shared" si="32"/>
        <v>0</v>
      </c>
    </row>
    <row r="30" spans="1:7" x14ac:dyDescent="0.25">
      <c r="A30" s="25">
        <f>'APAGADOS RADIO'!AH3</f>
        <v>44802</v>
      </c>
      <c r="B30" s="51">
        <f>'APAGADOS RADIO'!AH2+D30</f>
        <v>0</v>
      </c>
      <c r="C30" s="51">
        <f>'APAGADOS FIBRA'!AH2</f>
        <v>0</v>
      </c>
      <c r="D30" s="51">
        <f>'APAGADOS ANTENA'!AH2</f>
        <v>0</v>
      </c>
      <c r="E30" s="51">
        <f t="shared" ref="E30" si="33">B30+C30</f>
        <v>0</v>
      </c>
      <c r="F30" s="51">
        <f>'RESUMEN TOTAL'!B1</f>
        <v>392</v>
      </c>
      <c r="G30" s="55">
        <f t="shared" ref="G30" si="34">E30/F30</f>
        <v>0</v>
      </c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1209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1209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1210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1209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1211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1211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1212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1399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1211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1400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2022-08-01T12:46:46Z</dcterms:modified>
</cp:coreProperties>
</file>