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4E8CA356-5796-493B-BA3A-8B1B569F7A9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D3" i="14"/>
  <c r="C3" i="14"/>
  <c r="B3" i="14"/>
  <c r="E3" i="14" s="1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N251" i="2" s="1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N273" i="2" s="1"/>
  <c r="L274" i="2"/>
  <c r="N274" i="2" s="1"/>
  <c r="L275" i="2"/>
  <c r="N275" i="2" s="1"/>
  <c r="L276" i="2"/>
  <c r="L277" i="2"/>
  <c r="L278" i="2"/>
  <c r="L279" i="2"/>
  <c r="L280" i="2"/>
  <c r="N280" i="2" s="1"/>
  <c r="L281" i="2"/>
  <c r="L282" i="2"/>
  <c r="L283" i="2"/>
  <c r="L284" i="2"/>
  <c r="L285" i="2"/>
  <c r="L286" i="2"/>
  <c r="L287" i="2"/>
  <c r="L288" i="2"/>
  <c r="N288" i="2" s="1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N320" i="2" s="1"/>
  <c r="L321" i="2"/>
  <c r="N321" i="2" s="1"/>
  <c r="L322" i="2"/>
  <c r="N322" i="2" s="1"/>
  <c r="L323" i="2"/>
  <c r="N323" i="2" s="1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K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44" i="2" l="1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<sst xmlns="http://schemas.openxmlformats.org/spreadsheetml/2006/main" count="2741" uniqueCount="1350">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</sst>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Q194" activePane="bottomRight" state="frozen"/>
      <selection pane="topRight" activeCell="M1" sqref="M1"/>
      <selection pane="bottomLeft" activeCell="A5" sqref="A5"/>
      <selection pane="bottomRight" activeCell="D208" sqref="D208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368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0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25</v>
      </c>
      <c r="M7" s="17">
        <f t="shared" si="6"/>
        <v>3</v>
      </c>
      <c r="N7" s="18">
        <f t="shared" si="7"/>
        <v>0.8928571428571429</v>
      </c>
      <c r="O7" s="27" t="s">
        <v>1348</v>
      </c>
      <c r="P7" s="8" t="s">
        <v>1348</v>
      </c>
      <c r="Q7" s="8" t="s">
        <v>1348</v>
      </c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25</v>
      </c>
      <c r="M11" s="17">
        <f t="shared" si="6"/>
        <v>3</v>
      </c>
      <c r="N11" s="18">
        <f t="shared" si="7"/>
        <v>0.8928571428571429</v>
      </c>
      <c r="O11" s="27" t="s">
        <v>1348</v>
      </c>
      <c r="P11" s="8" t="s">
        <v>1348</v>
      </c>
      <c r="Q11" s="8" t="s">
        <v>1348</v>
      </c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25</v>
      </c>
      <c r="M28" s="17">
        <f t="shared" si="6"/>
        <v>3</v>
      </c>
      <c r="N28" s="18">
        <f t="shared" si="7"/>
        <v>0.8928571428571429</v>
      </c>
      <c r="O28" s="27" t="s">
        <v>1348</v>
      </c>
      <c r="P28" s="8" t="s">
        <v>1348</v>
      </c>
      <c r="Q28" s="8" t="s">
        <v>1348</v>
      </c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 t="s">
        <v>1348</v>
      </c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26</v>
      </c>
      <c r="M58" s="17">
        <f t="shared" si="6"/>
        <v>2</v>
      </c>
      <c r="N58" s="18">
        <f t="shared" si="7"/>
        <v>0.9285714285714286</v>
      </c>
      <c r="O58" s="27" t="s">
        <v>1348</v>
      </c>
      <c r="P58" s="8" t="s">
        <v>1348</v>
      </c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28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25</v>
      </c>
      <c r="M66" s="17">
        <f t="shared" si="6"/>
        <v>3</v>
      </c>
      <c r="N66" s="18">
        <f t="shared" si="7"/>
        <v>0.8928571428571429</v>
      </c>
      <c r="O66" s="27" t="s">
        <v>1348</v>
      </c>
      <c r="P66" s="8" t="s">
        <v>1348</v>
      </c>
      <c r="Q66" s="8" t="s">
        <v>1348</v>
      </c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25</v>
      </c>
      <c r="M80" s="17">
        <f t="shared" si="9"/>
        <v>3</v>
      </c>
      <c r="N80" s="18">
        <f t="shared" si="10"/>
        <v>0.8928571428571429</v>
      </c>
      <c r="O80" s="27" t="s">
        <v>1348</v>
      </c>
      <c r="P80" s="8" t="s">
        <v>1348</v>
      </c>
      <c r="Q80" s="8" t="s">
        <v>1348</v>
      </c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25</v>
      </c>
      <c r="M81" s="17">
        <f t="shared" si="9"/>
        <v>3</v>
      </c>
      <c r="N81" s="18">
        <f t="shared" si="10"/>
        <v>0.8928571428571429</v>
      </c>
      <c r="O81" s="27" t="s">
        <v>1348</v>
      </c>
      <c r="P81" s="8" t="s">
        <v>1348</v>
      </c>
      <c r="Q81" s="8" t="s">
        <v>1348</v>
      </c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25</v>
      </c>
      <c r="M82" s="17">
        <f t="shared" si="9"/>
        <v>3</v>
      </c>
      <c r="N82" s="18">
        <f t="shared" si="10"/>
        <v>0.8928571428571429</v>
      </c>
      <c r="O82" s="27" t="s">
        <v>1348</v>
      </c>
      <c r="P82" s="8" t="s">
        <v>1348</v>
      </c>
      <c r="Q82" s="8" t="s">
        <v>1348</v>
      </c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28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28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25</v>
      </c>
      <c r="M118" s="17">
        <f t="shared" si="9"/>
        <v>3</v>
      </c>
      <c r="N118" s="18">
        <f t="shared" si="10"/>
        <v>0.8928571428571429</v>
      </c>
      <c r="O118" s="27" t="s">
        <v>1348</v>
      </c>
      <c r="P118" s="8" t="s">
        <v>1348</v>
      </c>
      <c r="Q118" s="8" t="s">
        <v>1348</v>
      </c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25</v>
      </c>
      <c r="M119" s="17">
        <f t="shared" si="9"/>
        <v>3</v>
      </c>
      <c r="N119" s="18">
        <f t="shared" si="10"/>
        <v>0.8928571428571429</v>
      </c>
      <c r="O119" s="27" t="s">
        <v>1348</v>
      </c>
      <c r="P119" s="8" t="s">
        <v>1348</v>
      </c>
      <c r="Q119" s="8" t="s">
        <v>1348</v>
      </c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27</v>
      </c>
      <c r="M128" s="17">
        <f t="shared" si="9"/>
        <v>1</v>
      </c>
      <c r="N128" s="18">
        <f t="shared" si="10"/>
        <v>0.9642857142857143</v>
      </c>
      <c r="O128" s="27" t="s">
        <v>1348</v>
      </c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25</v>
      </c>
      <c r="M133" s="17">
        <f t="shared" ref="M133:M196" si="12">COUNTIF(O133:AP133,"APAGADO")</f>
        <v>3</v>
      </c>
      <c r="N133" s="18">
        <f t="shared" ref="N133:N196" si="13">(L133)/(M133+L133)</f>
        <v>0.8928571428571429</v>
      </c>
      <c r="O133" s="27" t="s">
        <v>1348</v>
      </c>
      <c r="P133" s="8" t="s">
        <v>1348</v>
      </c>
      <c r="Q133" s="8" t="s">
        <v>1348</v>
      </c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26</v>
      </c>
      <c r="M135" s="17">
        <f t="shared" si="12"/>
        <v>2</v>
      </c>
      <c r="N135" s="18">
        <f t="shared" si="13"/>
        <v>0.9285714285714286</v>
      </c>
      <c r="O135" s="27"/>
      <c r="P135" s="8" t="s">
        <v>1348</v>
      </c>
      <c r="Q135" s="8" t="s">
        <v>1348</v>
      </c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28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28</v>
      </c>
      <c r="M156" s="17">
        <f t="shared" si="12"/>
        <v>0</v>
      </c>
      <c r="N156" s="18">
        <f t="shared" si="13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25</v>
      </c>
      <c r="M166" s="17">
        <f t="shared" si="12"/>
        <v>3</v>
      </c>
      <c r="N166" s="18">
        <f t="shared" si="13"/>
        <v>0.8928571428571429</v>
      </c>
      <c r="O166" s="27" t="s">
        <v>1348</v>
      </c>
      <c r="P166" s="8" t="s">
        <v>1348</v>
      </c>
      <c r="Q166" s="8" t="s">
        <v>1348</v>
      </c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25</v>
      </c>
      <c r="M177" s="17">
        <f t="shared" si="12"/>
        <v>3</v>
      </c>
      <c r="N177" s="18">
        <f t="shared" si="13"/>
        <v>0.8928571428571429</v>
      </c>
      <c r="O177" s="27" t="s">
        <v>1348</v>
      </c>
      <c r="P177" s="8" t="s">
        <v>1348</v>
      </c>
      <c r="Q177" s="8" t="s">
        <v>1348</v>
      </c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25</v>
      </c>
      <c r="M191" s="17">
        <f t="shared" si="12"/>
        <v>3</v>
      </c>
      <c r="N191" s="18">
        <f t="shared" si="13"/>
        <v>0.8928571428571429</v>
      </c>
      <c r="O191" s="27" t="s">
        <v>1348</v>
      </c>
      <c r="P191" s="8" t="s">
        <v>1348</v>
      </c>
      <c r="Q191" s="8" t="s">
        <v>1348</v>
      </c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25</v>
      </c>
      <c r="M192" s="17">
        <f t="shared" si="12"/>
        <v>3</v>
      </c>
      <c r="N192" s="18">
        <f t="shared" si="13"/>
        <v>0.8928571428571429</v>
      </c>
      <c r="O192" s="27" t="s">
        <v>1348</v>
      </c>
      <c r="P192" s="8" t="s">
        <v>1348</v>
      </c>
      <c r="Q192" s="8" t="s">
        <v>1348</v>
      </c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25</v>
      </c>
      <c r="M194" s="17">
        <f t="shared" si="12"/>
        <v>3</v>
      </c>
      <c r="N194" s="18">
        <f t="shared" si="13"/>
        <v>0.8928571428571429</v>
      </c>
      <c r="O194" s="27" t="s">
        <v>1348</v>
      </c>
      <c r="P194" s="8" t="s">
        <v>1348</v>
      </c>
      <c r="Q194" s="8" t="s">
        <v>1348</v>
      </c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28</v>
      </c>
      <c r="M197" s="17">
        <f t="shared" ref="M197:M262" si="15">COUNTIF(O197:AP197,"APAGADO")</f>
        <v>0</v>
      </c>
      <c r="N197" s="18">
        <f t="shared" ref="N197:N262" si="16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25</v>
      </c>
      <c r="M204" s="17">
        <f t="shared" si="15"/>
        <v>3</v>
      </c>
      <c r="N204" s="18">
        <f t="shared" si="16"/>
        <v>0.8928571428571429</v>
      </c>
      <c r="O204" s="27" t="s">
        <v>1348</v>
      </c>
      <c r="P204" s="8" t="s">
        <v>1348</v>
      </c>
      <c r="Q204" s="8" t="s">
        <v>1348</v>
      </c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25</v>
      </c>
      <c r="M206" s="17">
        <f t="shared" si="15"/>
        <v>3</v>
      </c>
      <c r="N206" s="18">
        <f t="shared" si="16"/>
        <v>0.8928571428571429</v>
      </c>
      <c r="O206" s="27" t="s">
        <v>1348</v>
      </c>
      <c r="P206" s="8" t="s">
        <v>1348</v>
      </c>
      <c r="Q206" s="8" t="s">
        <v>1348</v>
      </c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28</v>
      </c>
      <c r="M207" s="17">
        <f t="shared" si="15"/>
        <v>0</v>
      </c>
      <c r="N207" s="18">
        <f t="shared" si="16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25</v>
      </c>
      <c r="M211" s="17">
        <f t="shared" si="15"/>
        <v>3</v>
      </c>
      <c r="N211" s="18">
        <f t="shared" si="16"/>
        <v>0.8928571428571429</v>
      </c>
      <c r="O211" s="27" t="s">
        <v>1348</v>
      </c>
      <c r="P211" s="8" t="s">
        <v>1348</v>
      </c>
      <c r="Q211" s="8" t="s">
        <v>1348</v>
      </c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25</v>
      </c>
      <c r="M212" s="17">
        <f t="shared" si="15"/>
        <v>3</v>
      </c>
      <c r="N212" s="18">
        <f t="shared" si="16"/>
        <v>0.8928571428571429</v>
      </c>
      <c r="O212" s="27" t="s">
        <v>1348</v>
      </c>
      <c r="P212" s="8" t="s">
        <v>1348</v>
      </c>
      <c r="Q212" s="8" t="s">
        <v>1348</v>
      </c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25</v>
      </c>
      <c r="M289" s="17">
        <f t="shared" si="18"/>
        <v>3</v>
      </c>
      <c r="N289" s="18">
        <f t="shared" si="19"/>
        <v>0.8928571428571429</v>
      </c>
      <c r="O289" s="27" t="s">
        <v>1348</v>
      </c>
      <c r="P289" s="8" t="s">
        <v>1348</v>
      </c>
      <c r="Q289" s="8" t="s">
        <v>1348</v>
      </c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25</v>
      </c>
      <c r="M303" s="17">
        <f t="shared" si="18"/>
        <v>3</v>
      </c>
      <c r="N303" s="18">
        <f t="shared" si="19"/>
        <v>0.8928571428571429</v>
      </c>
      <c r="O303" s="27" t="s">
        <v>1348</v>
      </c>
      <c r="P303" s="8" t="s">
        <v>1348</v>
      </c>
      <c r="Q303" s="8" t="s">
        <v>1348</v>
      </c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25</v>
      </c>
      <c r="M310" s="17">
        <f t="shared" si="18"/>
        <v>3</v>
      </c>
      <c r="N310" s="18">
        <f t="shared" si="19"/>
        <v>0.8928571428571429</v>
      </c>
      <c r="O310" s="27" t="s">
        <v>1348</v>
      </c>
      <c r="P310" s="8" t="s">
        <v>1348</v>
      </c>
      <c r="Q310" s="8" t="s">
        <v>1348</v>
      </c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25</v>
      </c>
      <c r="M313" s="17">
        <f t="shared" si="18"/>
        <v>3</v>
      </c>
      <c r="N313" s="18">
        <f t="shared" si="19"/>
        <v>0.8928571428571429</v>
      </c>
      <c r="O313" s="27" t="s">
        <v>1348</v>
      </c>
      <c r="P313" s="8" t="s">
        <v>1348</v>
      </c>
      <c r="Q313" s="8" t="s">
        <v>1348</v>
      </c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25</v>
      </c>
      <c r="M318" s="17">
        <f t="shared" si="18"/>
        <v>3</v>
      </c>
      <c r="N318" s="18">
        <f t="shared" si="19"/>
        <v>0.8928571428571429</v>
      </c>
      <c r="O318" s="27" t="s">
        <v>1348</v>
      </c>
      <c r="P318" s="8" t="s">
        <v>1348</v>
      </c>
      <c r="Q318" s="8" t="s">
        <v>1348</v>
      </c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25</v>
      </c>
      <c r="M319" s="17">
        <f t="shared" si="18"/>
        <v>3</v>
      </c>
      <c r="N319" s="18">
        <f t="shared" si="19"/>
        <v>0.8928571428571429</v>
      </c>
      <c r="O319" s="27" t="s">
        <v>1348</v>
      </c>
      <c r="P319" s="8" t="s">
        <v>1348</v>
      </c>
      <c r="Q319" s="8" t="s">
        <v>1348</v>
      </c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25</v>
      </c>
      <c r="M325" s="17">
        <f t="shared" si="18"/>
        <v>3</v>
      </c>
      <c r="N325" s="18">
        <f t="shared" si="19"/>
        <v>0.8928571428571429</v>
      </c>
      <c r="O325" s="27" t="s">
        <v>1348</v>
      </c>
      <c r="P325" s="8" t="s">
        <v>1348</v>
      </c>
      <c r="Q325" s="8" t="s">
        <v>1348</v>
      </c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 t="s">
        <v>1348</v>
      </c>
      <c r="P327" s="8" t="s">
        <v>1348</v>
      </c>
      <c r="Q327" s="8" t="s">
        <v>1348</v>
      </c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25</v>
      </c>
      <c r="M328" s="17">
        <f t="shared" si="21"/>
        <v>3</v>
      </c>
      <c r="N328" s="18">
        <f t="shared" si="22"/>
        <v>0.8928571428571429</v>
      </c>
      <c r="O328" s="27" t="s">
        <v>1348</v>
      </c>
      <c r="P328" s="8" t="s">
        <v>1348</v>
      </c>
      <c r="Q328" s="8" t="s">
        <v>1348</v>
      </c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25</v>
      </c>
      <c r="M329" s="17">
        <f t="shared" si="21"/>
        <v>3</v>
      </c>
      <c r="N329" s="18">
        <f t="shared" si="22"/>
        <v>0.8928571428571429</v>
      </c>
      <c r="O329" s="27" t="s">
        <v>1348</v>
      </c>
      <c r="P329" s="8" t="s">
        <v>1348</v>
      </c>
      <c r="Q329" s="8" t="s">
        <v>1348</v>
      </c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25</v>
      </c>
      <c r="M343" s="17">
        <f t="shared" si="21"/>
        <v>3</v>
      </c>
      <c r="N343" s="18">
        <f t="shared" si="22"/>
        <v>0.8928571428571429</v>
      </c>
      <c r="O343" s="27" t="s">
        <v>1348</v>
      </c>
      <c r="P343" s="8" t="s">
        <v>1348</v>
      </c>
      <c r="Q343" s="8" t="s">
        <v>1348</v>
      </c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27</v>
      </c>
      <c r="M344" s="17">
        <f t="shared" si="21"/>
        <v>1</v>
      </c>
      <c r="N344" s="18">
        <f t="shared" si="22"/>
        <v>0.9642857142857143</v>
      </c>
      <c r="O344" s="27"/>
      <c r="P344" s="8" t="s">
        <v>1348</v>
      </c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 t="s">
        <v>1348</v>
      </c>
      <c r="P352" s="8" t="s">
        <v>1348</v>
      </c>
      <c r="Q352" s="8" t="s">
        <v>1348</v>
      </c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28</v>
      </c>
      <c r="M373" s="62">
        <f t="shared" ref="M373:M377" si="24">COUNTIF(O373:AP373,"APAGADO")</f>
        <v>0</v>
      </c>
      <c r="N373" s="63">
        <f t="shared" ref="N373:N377" si="25">(L373)/(M373+L373)</f>
        <v>1</v>
      </c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28</v>
      </c>
      <c r="M374" s="62">
        <f t="shared" si="24"/>
        <v>0</v>
      </c>
      <c r="N374" s="63">
        <f t="shared" si="25"/>
        <v>1</v>
      </c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28</v>
      </c>
      <c r="M375" s="62">
        <f t="shared" si="24"/>
        <v>0</v>
      </c>
      <c r="N375" s="63">
        <f t="shared" si="25"/>
        <v>1</v>
      </c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28</v>
      </c>
      <c r="M376" s="62">
        <f t="shared" si="24"/>
        <v>0</v>
      </c>
      <c r="N376" s="63">
        <f t="shared" si="25"/>
        <v>1</v>
      </c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A3" sqref="A3:A32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16384" width="11.5703125" style="46"/>
  </cols>
  <sheetData>
    <row r="1" spans="1:1" x14ac:dyDescent="0.25">
      <c r="A1" s="46" t="s">
        <v>1309</v>
      </c>
    </row>
    <row r="2" spans="1:1" ht="15.75" thickBot="1" x14ac:dyDescent="0.3"/>
    <row r="3" spans="1:1" ht="20.25" thickTop="1" thickBot="1" x14ac:dyDescent="0.3">
      <c r="A3" s="47">
        <v>44682</v>
      </c>
    </row>
    <row r="4" spans="1:1" ht="20.25" thickTop="1" thickBot="1" x14ac:dyDescent="0.3">
      <c r="A4" s="47">
        <v>44683</v>
      </c>
    </row>
    <row r="5" spans="1:1" ht="20.25" thickTop="1" thickBot="1" x14ac:dyDescent="0.3">
      <c r="A5" s="47">
        <v>44684</v>
      </c>
    </row>
    <row r="6" spans="1:1" ht="20.25" thickTop="1" thickBot="1" x14ac:dyDescent="0.3">
      <c r="A6" s="47">
        <v>44685</v>
      </c>
    </row>
    <row r="7" spans="1:1" ht="20.25" thickTop="1" thickBot="1" x14ac:dyDescent="0.3">
      <c r="A7" s="47">
        <v>44686</v>
      </c>
    </row>
    <row r="8" spans="1:1" ht="20.25" thickTop="1" thickBot="1" x14ac:dyDescent="0.3">
      <c r="A8" s="47">
        <v>44687</v>
      </c>
    </row>
    <row r="9" spans="1:1" ht="20.25" thickTop="1" thickBot="1" x14ac:dyDescent="0.3">
      <c r="A9" s="47">
        <v>44688</v>
      </c>
    </row>
    <row r="10" spans="1:1" ht="20.25" thickTop="1" thickBot="1" x14ac:dyDescent="0.3">
      <c r="A10" s="47">
        <v>44689</v>
      </c>
    </row>
    <row r="11" spans="1:1" ht="20.25" thickTop="1" thickBot="1" x14ac:dyDescent="0.3">
      <c r="A11" s="47">
        <v>44690</v>
      </c>
    </row>
    <row r="12" spans="1:1" ht="20.25" thickTop="1" thickBot="1" x14ac:dyDescent="0.3">
      <c r="A12" s="47">
        <v>44691</v>
      </c>
    </row>
    <row r="13" spans="1:1" ht="20.25" thickTop="1" thickBot="1" x14ac:dyDescent="0.3">
      <c r="A13" s="47">
        <v>44692</v>
      </c>
    </row>
    <row r="14" spans="1:1" ht="20.25" thickTop="1" thickBot="1" x14ac:dyDescent="0.3">
      <c r="A14" s="47">
        <v>44693</v>
      </c>
    </row>
    <row r="15" spans="1:1" ht="20.25" thickTop="1" thickBot="1" x14ac:dyDescent="0.3">
      <c r="A15" s="47">
        <v>44694</v>
      </c>
    </row>
    <row r="16" spans="1:1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K12" sqref="K1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/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V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U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9" sqref="E9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>B3+C3</f>
        <v>34</v>
      </c>
      <c r="F3">
        <f>'RESUMEN TOTAL'!C1</f>
        <v>373</v>
      </c>
      <c r="G3" s="65">
        <f>E3/F3</f>
        <v>9.1152815013404831E-2</v>
      </c>
    </row>
    <row r="4" spans="1:7" x14ac:dyDescent="0.25">
      <c r="A4" s="25">
        <f>'APAGADOS RADIO'!H3</f>
        <v>44684</v>
      </c>
      <c r="B4" s="25"/>
      <c r="C4" s="59"/>
      <c r="D4" s="59"/>
      <c r="E4" s="59"/>
      <c r="F4">
        <f>'RESUMEN TOTAL'!C1</f>
        <v>373</v>
      </c>
    </row>
    <row r="5" spans="1:7" x14ac:dyDescent="0.25">
      <c r="A5" s="25">
        <f>'APAGADOS RADIO'!I3</f>
        <v>44685</v>
      </c>
      <c r="B5" s="59"/>
      <c r="C5" s="59"/>
      <c r="D5" s="59"/>
      <c r="E5" s="59"/>
      <c r="F5">
        <f>'RESUMEN TOTAL'!C1</f>
        <v>373</v>
      </c>
    </row>
    <row r="6" spans="1:7" x14ac:dyDescent="0.25">
      <c r="A6" s="25">
        <f>'APAGADOS RADIO'!J3</f>
        <v>44686</v>
      </c>
      <c r="B6" s="59"/>
      <c r="C6" s="59"/>
      <c r="D6" s="59"/>
      <c r="E6" s="59"/>
      <c r="F6">
        <f>'RESUMEN TOTAL'!C1</f>
        <v>373</v>
      </c>
    </row>
    <row r="7" spans="1:7" x14ac:dyDescent="0.25">
      <c r="A7" s="25">
        <f>'APAGADOS RADIO'!K3</f>
        <v>44687</v>
      </c>
      <c r="B7" s="59"/>
      <c r="C7" s="59"/>
      <c r="D7" s="59"/>
      <c r="E7" s="59"/>
      <c r="F7">
        <f>'RESUMEN TOTAL'!C1</f>
        <v>373</v>
      </c>
    </row>
    <row r="8" spans="1:7" x14ac:dyDescent="0.25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25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25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25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2022-05-03T16:01:20Z</dcterms:modified>
</cp:coreProperties>
</file>