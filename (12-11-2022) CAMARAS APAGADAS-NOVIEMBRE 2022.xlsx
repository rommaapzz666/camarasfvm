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2F7E0FF3-15CD-4A06-8FA3-EE2A4699B8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25" l="1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1" i="14" l="1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5" i="24" l="1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P2" i="21" l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S2" i="21"/>
  <c r="T2" i="21"/>
  <c r="Z2" i="21"/>
  <c r="R2" i="21"/>
  <c r="Y2" i="21"/>
  <c r="Q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6" i="25"/>
  <c r="X5" i="25"/>
  <c r="X2" i="21"/>
  <c r="X385" i="21"/>
  <c r="I386" i="2"/>
  <c r="X385" i="11"/>
  <c r="AC2" i="2"/>
  <c r="AC3" i="2"/>
  <c r="AC1" i="2"/>
  <c r="H386" i="2"/>
  <c r="J386" i="2"/>
  <c r="AC386" i="2"/>
  <c r="X383" i="8"/>
  <c r="X384" i="9"/>
  <c r="X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<sst xmlns="http://schemas.openxmlformats.org/spreadsheetml/2006/main" count="3673" uniqueCount="1294">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</sst>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V215" activePane="bottomRight" state="frozen"/>
      <selection pane="topRight" activeCell="M1" sqref="M1"/>
      <selection pane="bottomLeft" activeCell="A5" sqref="A5"/>
      <selection pane="bottomRight" activeCell="D223" sqref="D223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19</v>
      </c>
      <c r="I16" s="42">
        <f t="shared" si="3"/>
        <v>11</v>
      </c>
      <c r="J16" s="43">
        <f t="shared" si="4"/>
        <v>0.6333333333333333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28</v>
      </c>
      <c r="I17" s="42">
        <f>COUNTIF(K17:AL17,"APAGADO")</f>
        <v>2</v>
      </c>
      <c r="J17" s="43">
        <f>(H17)/(I17+H17)</f>
        <v>0.93333333333333335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28</v>
      </c>
      <c r="I18" s="42">
        <f>COUNTIF(K18:AL18,"APAGADO")</f>
        <v>2</v>
      </c>
      <c r="J18" s="43">
        <f>(H18)/(I18+H18)</f>
        <v>0.93333333333333335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29</v>
      </c>
      <c r="I19" s="42">
        <f t="shared" ref="I19:I22" si="7">COUNTIF(K19:AL19,"APAGADO")</f>
        <v>1</v>
      </c>
      <c r="J19" s="43">
        <f t="shared" ref="J19:J22" si="8">(H19)/(I19+H19)</f>
        <v>0.96666666666666667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18</v>
      </c>
      <c r="I34" s="42">
        <f>COUNTIF(K34:AL34,"APAGADO")</f>
        <v>12</v>
      </c>
      <c r="J34" s="43">
        <f>(H34)/(I34+H34)</f>
        <v>0.6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18</v>
      </c>
      <c r="I40" s="42">
        <f t="shared" si="3"/>
        <v>12</v>
      </c>
      <c r="J40" s="43">
        <f t="shared" si="4"/>
        <v>0.6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28</v>
      </c>
      <c r="I43" s="42">
        <f t="shared" si="3"/>
        <v>2</v>
      </c>
      <c r="J43" s="43">
        <f t="shared" si="4"/>
        <v>0.93333333333333335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28</v>
      </c>
      <c r="I47" s="42">
        <f t="shared" si="3"/>
        <v>2</v>
      </c>
      <c r="J47" s="43">
        <f t="shared" si="4"/>
        <v>0.93333333333333335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18</v>
      </c>
      <c r="I48" s="42">
        <f t="shared" si="3"/>
        <v>12</v>
      </c>
      <c r="J48" s="43">
        <f t="shared" si="4"/>
        <v>0.6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18</v>
      </c>
      <c r="I49" s="42">
        <f t="shared" si="3"/>
        <v>12</v>
      </c>
      <c r="J49" s="43">
        <f t="shared" si="4"/>
        <v>0.6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18</v>
      </c>
      <c r="I51" s="42">
        <f t="shared" si="3"/>
        <v>12</v>
      </c>
      <c r="J51" s="43">
        <f t="shared" si="4"/>
        <v>0.6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28</v>
      </c>
      <c r="I52" s="42">
        <f t="shared" si="3"/>
        <v>2</v>
      </c>
      <c r="J52" s="43">
        <f t="shared" si="4"/>
        <v>0.93333333333333335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18</v>
      </c>
      <c r="I54" s="42">
        <f t="shared" si="3"/>
        <v>12</v>
      </c>
      <c r="J54" s="43">
        <f t="shared" si="4"/>
        <v>0.6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18</v>
      </c>
      <c r="I56" s="42">
        <f t="shared" si="3"/>
        <v>12</v>
      </c>
      <c r="J56" s="43">
        <f t="shared" si="4"/>
        <v>0.6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20</v>
      </c>
      <c r="I69" s="42">
        <f t="shared" si="3"/>
        <v>10</v>
      </c>
      <c r="J69" s="43">
        <f t="shared" si="4"/>
        <v>0.66666666666666663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27</v>
      </c>
      <c r="I72" s="42">
        <f>COUNTIF(K72:AL72,"APAGADO")</f>
        <v>3</v>
      </c>
      <c r="J72" s="43">
        <f>(H72)/(I72+H72)</f>
        <v>0.9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19</v>
      </c>
      <c r="I75" s="42">
        <f t="shared" si="3"/>
        <v>11</v>
      </c>
      <c r="J75" s="43">
        <f t="shared" si="4"/>
        <v>0.6333333333333333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28</v>
      </c>
      <c r="I86" s="42">
        <f t="shared" si="10"/>
        <v>2</v>
      </c>
      <c r="J86" s="43">
        <f t="shared" si="11"/>
        <v>0.93333333333333335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25</v>
      </c>
      <c r="I87" s="42">
        <f>COUNTIF(K87:AL87,"APAGADO")</f>
        <v>5</v>
      </c>
      <c r="J87" s="43">
        <f>(H87)/(I87+H87)</f>
        <v>0.83333333333333337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25</v>
      </c>
      <c r="I88" s="42">
        <f t="shared" si="10"/>
        <v>5</v>
      </c>
      <c r="J88" s="43">
        <f t="shared" si="11"/>
        <v>0.83333333333333337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28</v>
      </c>
      <c r="I89" s="42">
        <f t="shared" si="10"/>
        <v>2</v>
      </c>
      <c r="J89" s="43">
        <f t="shared" si="11"/>
        <v>0.93333333333333335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19</v>
      </c>
      <c r="I94" s="42">
        <f>COUNTIF(K94:AL94,"APAGADO")</f>
        <v>11</v>
      </c>
      <c r="J94" s="43">
        <f>(H94)/(I94+H94)</f>
        <v>0.6333333333333333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18</v>
      </c>
      <c r="I98" s="42">
        <f>COUNTIF(K98:AL98,"APAGADO")</f>
        <v>12</v>
      </c>
      <c r="J98" s="43">
        <f>(H98)/(I98+H98)</f>
        <v>0.6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19</v>
      </c>
      <c r="I101" s="42">
        <f t="shared" si="10"/>
        <v>11</v>
      </c>
      <c r="J101" s="43">
        <f t="shared" si="11"/>
        <v>0.6333333333333333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18</v>
      </c>
      <c r="I102" s="42">
        <f t="shared" si="10"/>
        <v>12</v>
      </c>
      <c r="J102" s="43">
        <f t="shared" si="11"/>
        <v>0.6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28</v>
      </c>
      <c r="I114" s="42">
        <f t="shared" si="10"/>
        <v>2</v>
      </c>
      <c r="J114" s="43">
        <f t="shared" si="11"/>
        <v>0.93333333333333335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28</v>
      </c>
      <c r="I115" s="42">
        <f t="shared" si="10"/>
        <v>2</v>
      </c>
      <c r="J115" s="43">
        <f t="shared" si="11"/>
        <v>0.93333333333333335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27</v>
      </c>
      <c r="I122" s="42">
        <f t="shared" si="10"/>
        <v>3</v>
      </c>
      <c r="J122" s="43">
        <f t="shared" si="11"/>
        <v>0.9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28</v>
      </c>
      <c r="I124" s="42">
        <f t="shared" si="10"/>
        <v>2</v>
      </c>
      <c r="J124" s="43">
        <f t="shared" si="11"/>
        <v>0.93333333333333335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27</v>
      </c>
      <c r="I125" s="42">
        <f t="shared" si="10"/>
        <v>3</v>
      </c>
      <c r="J125" s="43">
        <f t="shared" si="11"/>
        <v>0.9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28</v>
      </c>
      <c r="I129" s="42">
        <f>COUNTIF(K129:AL129,"APAGADO")</f>
        <v>2</v>
      </c>
      <c r="J129" s="43">
        <f>(H129)/(I129+H129)</f>
        <v>0.93333333333333335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28</v>
      </c>
      <c r="I158" s="42">
        <f t="shared" si="12"/>
        <v>2</v>
      </c>
      <c r="J158" s="43">
        <f t="shared" si="13"/>
        <v>0.93333333333333335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28</v>
      </c>
      <c r="I159" s="42">
        <f t="shared" si="12"/>
        <v>2</v>
      </c>
      <c r="J159" s="43">
        <f t="shared" si="13"/>
        <v>0.93333333333333335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28</v>
      </c>
      <c r="I160" s="42">
        <f t="shared" si="12"/>
        <v>2</v>
      </c>
      <c r="J160" s="43">
        <f t="shared" si="13"/>
        <v>0.93333333333333335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18</v>
      </c>
      <c r="I165" s="42">
        <f t="shared" si="12"/>
        <v>12</v>
      </c>
      <c r="J165" s="43">
        <f t="shared" si="13"/>
        <v>0.6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18</v>
      </c>
      <c r="I166" s="42">
        <f t="shared" si="12"/>
        <v>12</v>
      </c>
      <c r="J166" s="43">
        <f t="shared" si="13"/>
        <v>0.6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18</v>
      </c>
      <c r="I175" s="42">
        <f t="shared" si="12"/>
        <v>12</v>
      </c>
      <c r="J175" s="43">
        <f t="shared" si="13"/>
        <v>0.6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18</v>
      </c>
      <c r="I177" s="42">
        <f t="shared" si="12"/>
        <v>12</v>
      </c>
      <c r="J177" s="43">
        <f t="shared" si="13"/>
        <v>0.6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18</v>
      </c>
      <c r="I182" s="42">
        <f t="shared" si="12"/>
        <v>12</v>
      </c>
      <c r="J182" s="43">
        <f t="shared" si="13"/>
        <v>0.6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26</v>
      </c>
      <c r="I184" s="42">
        <f t="shared" si="12"/>
        <v>4</v>
      </c>
      <c r="J184" s="43">
        <f t="shared" si="13"/>
        <v>0.8666666666666667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18</v>
      </c>
      <c r="I185" s="42">
        <f t="shared" si="12"/>
        <v>12</v>
      </c>
      <c r="J185" s="43">
        <f t="shared" si="13"/>
        <v>0.6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18</v>
      </c>
      <c r="I187" s="42">
        <f t="shared" si="12"/>
        <v>12</v>
      </c>
      <c r="J187" s="43">
        <f t="shared" si="13"/>
        <v>0.6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28</v>
      </c>
      <c r="I193" s="42">
        <f t="shared" si="12"/>
        <v>2</v>
      </c>
      <c r="J193" s="43">
        <f t="shared" si="13"/>
        <v>0.93333333333333335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28</v>
      </c>
      <c r="I194" s="42">
        <f t="shared" si="12"/>
        <v>2</v>
      </c>
      <c r="J194" s="43">
        <f t="shared" si="13"/>
        <v>0.93333333333333335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28</v>
      </c>
      <c r="I197" s="42">
        <f t="shared" si="12"/>
        <v>2</v>
      </c>
      <c r="J197" s="43">
        <f t="shared" si="13"/>
        <v>0.93333333333333335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18</v>
      </c>
      <c r="I198" s="42">
        <f>COUNTIF(K198:AL198,"APAGADO")</f>
        <v>12</v>
      </c>
      <c r="J198" s="43">
        <f>(H198)/(I198+H198)</f>
        <v>0.6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28</v>
      </c>
      <c r="I201" s="42">
        <f t="shared" si="12"/>
        <v>2</v>
      </c>
      <c r="J201" s="43">
        <f t="shared" si="13"/>
        <v>0.93333333333333335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28</v>
      </c>
      <c r="I202" s="42">
        <f t="shared" si="12"/>
        <v>2</v>
      </c>
      <c r="J202" s="43">
        <f t="shared" si="13"/>
        <v>0.93333333333333335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28</v>
      </c>
      <c r="I204" s="42">
        <f t="shared" si="12"/>
        <v>2</v>
      </c>
      <c r="J204" s="43">
        <f t="shared" si="13"/>
        <v>0.93333333333333335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28</v>
      </c>
      <c r="I205" s="42">
        <f t="shared" si="12"/>
        <v>2</v>
      </c>
      <c r="J205" s="43">
        <f t="shared" si="13"/>
        <v>0.93333333333333335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28</v>
      </c>
      <c r="I206" s="42">
        <f t="shared" si="12"/>
        <v>2</v>
      </c>
      <c r="J206" s="43">
        <f t="shared" si="13"/>
        <v>0.93333333333333335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28</v>
      </c>
      <c r="I211" s="42">
        <f>COUNTIF(K211:AL211,"APAGADO")</f>
        <v>2</v>
      </c>
      <c r="J211" s="43">
        <f>(H211)/(I211+H211)</f>
        <v>0.93333333333333335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19</v>
      </c>
      <c r="I229" s="42">
        <f t="shared" si="12"/>
        <v>11</v>
      </c>
      <c r="J229" s="43">
        <f t="shared" si="13"/>
        <v>0.6333333333333333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29</v>
      </c>
      <c r="I232" s="42">
        <f t="shared" si="12"/>
        <v>1</v>
      </c>
      <c r="J232" s="43">
        <f t="shared" si="13"/>
        <v>0.96666666666666667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18</v>
      </c>
      <c r="I236" s="42">
        <f t="shared" si="19"/>
        <v>12</v>
      </c>
      <c r="J236" s="43">
        <f t="shared" si="20"/>
        <v>0.6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29</v>
      </c>
      <c r="I243" s="42">
        <f t="shared" si="19"/>
        <v>1</v>
      </c>
      <c r="J243" s="43">
        <f t="shared" si="20"/>
        <v>0.96666666666666667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28</v>
      </c>
      <c r="I251" s="42">
        <f t="shared" si="19"/>
        <v>2</v>
      </c>
      <c r="J251" s="43">
        <f t="shared" si="20"/>
        <v>0.93333333333333335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28</v>
      </c>
      <c r="I255" s="42">
        <f>COUNTIF(K255:AL255,"APAGADO")</f>
        <v>2</v>
      </c>
      <c r="J255" s="43">
        <f>(H255)/(I255+H255)</f>
        <v>0.93333333333333335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18</v>
      </c>
      <c r="I256" s="42">
        <f t="shared" si="19"/>
        <v>12</v>
      </c>
      <c r="J256" s="43">
        <f t="shared" si="20"/>
        <v>0.6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28</v>
      </c>
      <c r="I275" s="42">
        <f t="shared" si="19"/>
        <v>2</v>
      </c>
      <c r="J275" s="43">
        <f t="shared" si="20"/>
        <v>0.93333333333333335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28</v>
      </c>
      <c r="I278" s="42">
        <f t="shared" si="19"/>
        <v>2</v>
      </c>
      <c r="J278" s="43">
        <f t="shared" si="20"/>
        <v>0.93333333333333335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28</v>
      </c>
      <c r="I296" s="42">
        <f>COUNTIF(K296:AL296,"APAGADO")</f>
        <v>2</v>
      </c>
      <c r="J296" s="43">
        <f>(H296)/(I296+H296)</f>
        <v>0.93333333333333335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28</v>
      </c>
      <c r="I297" s="42">
        <f t="shared" si="19"/>
        <v>2</v>
      </c>
      <c r="J297" s="43">
        <f t="shared" si="20"/>
        <v>0.93333333333333335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29</v>
      </c>
      <c r="I298" s="42">
        <f t="shared" si="19"/>
        <v>1</v>
      </c>
      <c r="J298" s="43">
        <f t="shared" si="20"/>
        <v>0.96666666666666667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28</v>
      </c>
      <c r="I302" s="42">
        <f t="shared" si="22"/>
        <v>2</v>
      </c>
      <c r="J302" s="43">
        <f t="shared" si="23"/>
        <v>0.93333333333333335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28</v>
      </c>
      <c r="I307" s="42">
        <f t="shared" si="22"/>
        <v>2</v>
      </c>
      <c r="J307" s="43">
        <f t="shared" si="23"/>
        <v>0.93333333333333335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23</v>
      </c>
      <c r="I315" s="42">
        <f t="shared" si="22"/>
        <v>7</v>
      </c>
      <c r="J315" s="43">
        <f t="shared" si="23"/>
        <v>0.76666666666666672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28</v>
      </c>
      <c r="I322" s="42">
        <f t="shared" si="22"/>
        <v>2</v>
      </c>
      <c r="J322" s="43">
        <f t="shared" si="23"/>
        <v>0.93333333333333335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27</v>
      </c>
      <c r="I325" s="42">
        <f t="shared" si="22"/>
        <v>3</v>
      </c>
      <c r="J325" s="43">
        <f t="shared" si="23"/>
        <v>0.9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28</v>
      </c>
      <c r="I328" s="42">
        <f t="shared" si="22"/>
        <v>2</v>
      </c>
      <c r="J328" s="43">
        <f t="shared" si="23"/>
        <v>0.93333333333333335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28</v>
      </c>
      <c r="I331" s="42">
        <f t="shared" si="22"/>
        <v>2</v>
      </c>
      <c r="J331" s="43">
        <f t="shared" si="23"/>
        <v>0.93333333333333335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28</v>
      </c>
      <c r="I332" s="42">
        <f t="shared" si="22"/>
        <v>2</v>
      </c>
      <c r="J332" s="43">
        <f t="shared" si="23"/>
        <v>0.93333333333333335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28</v>
      </c>
      <c r="I333" s="42">
        <f t="shared" si="22"/>
        <v>2</v>
      </c>
      <c r="J333" s="43">
        <f t="shared" si="23"/>
        <v>0.93333333333333335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28</v>
      </c>
      <c r="I345" s="42">
        <f t="shared" si="22"/>
        <v>2</v>
      </c>
      <c r="J345" s="43">
        <f t="shared" si="23"/>
        <v>0.93333333333333335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28</v>
      </c>
      <c r="I355" s="42">
        <f t="shared" si="22"/>
        <v>2</v>
      </c>
      <c r="J355" s="43">
        <f t="shared" si="23"/>
        <v>0.93333333333333335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19</v>
      </c>
      <c r="I360" s="42">
        <f t="shared" si="22"/>
        <v>11</v>
      </c>
      <c r="J360" s="43">
        <f t="shared" si="23"/>
        <v>0.6333333333333333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28</v>
      </c>
      <c r="I369" s="42">
        <f t="shared" si="22"/>
        <v>2</v>
      </c>
      <c r="J369" s="43">
        <f t="shared" si="23"/>
        <v>0.93333333333333335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28</v>
      </c>
      <c r="I371" s="42">
        <f t="shared" si="22"/>
        <v>2</v>
      </c>
      <c r="J371" s="43">
        <f t="shared" si="23"/>
        <v>0.93333333333333335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28</v>
      </c>
      <c r="I373" s="42">
        <f t="shared" si="22"/>
        <v>2</v>
      </c>
      <c r="J373" s="43">
        <f t="shared" si="23"/>
        <v>0.93333333333333335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24</v>
      </c>
      <c r="I374" s="42">
        <f t="shared" si="22"/>
        <v>6</v>
      </c>
      <c r="J374" s="43">
        <f t="shared" si="23"/>
        <v>0.8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28</v>
      </c>
      <c r="I378" s="42">
        <f t="shared" si="28"/>
        <v>2</v>
      </c>
      <c r="J378" s="43">
        <f t="shared" si="29"/>
        <v>0.93333333333333335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18</v>
      </c>
      <c r="I379" s="42">
        <f t="shared" si="28"/>
        <v>12</v>
      </c>
      <c r="J379" s="43">
        <f t="shared" si="29"/>
        <v>0.6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28</v>
      </c>
      <c r="I382" s="42">
        <f>COUNTIF(K382:AL382,"APAGADO")</f>
        <v>2</v>
      </c>
      <c r="J382" s="43">
        <f>(H382)/(I382+H382)</f>
        <v>0.93333333333333335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29</v>
      </c>
      <c r="I383" s="42">
        <f>COUNTIF(K383:AL383,"APAGADO")</f>
        <v>1</v>
      </c>
      <c r="J383" s="43">
        <f>(H383)/(I383+H383)</f>
        <v>0.96666666666666667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24</v>
      </c>
      <c r="I387" s="42">
        <f>COUNTIF(K387:AL387,"APAGADO")</f>
        <v>6</v>
      </c>
      <c r="J387" s="43">
        <f>(H387)/(I387+H387)</f>
        <v>0.8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26</v>
      </c>
      <c r="I390" s="42">
        <f t="shared" si="28"/>
        <v>4</v>
      </c>
      <c r="J390" s="43">
        <f t="shared" si="29"/>
        <v>0.8666666666666667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26</v>
      </c>
      <c r="I391" s="42">
        <f t="shared" si="28"/>
        <v>4</v>
      </c>
      <c r="J391" s="43">
        <f t="shared" si="29"/>
        <v>0.8666666666666667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28</v>
      </c>
      <c r="I394" s="42">
        <f t="shared" si="28"/>
        <v>2</v>
      </c>
      <c r="J394" s="43">
        <f t="shared" si="29"/>
        <v>0.93333333333333335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28</v>
      </c>
      <c r="I395" s="42">
        <f t="shared" si="28"/>
        <v>2</v>
      </c>
      <c r="J395" s="43">
        <f t="shared" si="29"/>
        <v>0.93333333333333335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28</v>
      </c>
      <c r="I398" s="42">
        <f t="shared" si="28"/>
        <v>2</v>
      </c>
      <c r="J398" s="43">
        <f t="shared" si="29"/>
        <v>0.93333333333333335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28</v>
      </c>
      <c r="I399" s="42">
        <f t="shared" si="28"/>
        <v>2</v>
      </c>
      <c r="J399" s="43">
        <f t="shared" si="29"/>
        <v>0.93333333333333335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23</v>
      </c>
      <c r="I409" s="42">
        <f t="shared" si="28"/>
        <v>7</v>
      </c>
      <c r="J409" s="43">
        <f t="shared" si="29"/>
        <v>0.76666666666666672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23</v>
      </c>
      <c r="I410" s="42">
        <f t="shared" si="28"/>
        <v>7</v>
      </c>
      <c r="J410" s="43">
        <f t="shared" si="29"/>
        <v>0.76666666666666672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25</v>
      </c>
      <c r="I412" s="42">
        <f t="shared" si="28"/>
        <v>5</v>
      </c>
      <c r="J412" s="43">
        <f t="shared" si="29"/>
        <v>0.83333333333333337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18</v>
      </c>
      <c r="I420" s="42">
        <f t="shared" si="28"/>
        <v>12</v>
      </c>
      <c r="J420" s="43">
        <f t="shared" si="29"/>
        <v>0.6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28</v>
      </c>
      <c r="I429" s="42">
        <f t="shared" si="28"/>
        <v>2</v>
      </c>
      <c r="J429" s="43">
        <f t="shared" si="29"/>
        <v>0.93333333333333335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28</v>
      </c>
      <c r="I430" s="42">
        <f t="shared" si="28"/>
        <v>2</v>
      </c>
      <c r="J430" s="43">
        <f t="shared" si="29"/>
        <v>0.93333333333333335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28</v>
      </c>
      <c r="I431" s="42">
        <f t="shared" si="28"/>
        <v>2</v>
      </c>
      <c r="J431" s="43">
        <f t="shared" si="29"/>
        <v>0.93333333333333335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COUNTIFS(Q4:Q400, "=APAGADO",E4:E400,"=Fibra Optica")</f>
        <v>32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COUNTIFS(Q4:Q400, "=APAGADO",E4:E400,"=PTO A FO")</f>
        <v>2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41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M6" sqref="M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2022-11-14T10:25:06Z</dcterms:modified>
</cp:coreProperties>
</file>