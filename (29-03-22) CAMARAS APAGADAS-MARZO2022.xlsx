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13_ncr:1_{2D41F95F-E71A-413D-96A9-5732E5A0250A}" xr6:coauthVersionLast="47" xr6:coauthVersionMax="47" xr10:uidLastSave="{00000000-0000-0000-0000-000000000000}"/>
  <bookViews>
    <workbookView xWindow="28680" yWindow="-120" windowWidth="29040" windowHeight="16440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TOTAL'!$A$4:$D$349</definedName>
    <definedName name="_xlnm._FilterDatabase" localSheetId="3" hidden="1">APAGADOS!$A$2:$AG$379</definedName>
    <definedName name="_xlnm._FilterDatabase" localSheetId="5" hidden="1">'APAGADOS ANTENA'!$A$3:$AG$369</definedName>
    <definedName name="_xlnm._FilterDatabase" localSheetId="4" hidden="1">'APAGADOS FIBRA'!$A$3:$AG$369</definedName>
    <definedName name="_xlnm._FilterDatabase" localSheetId="6" hidden="1">'APAGADOS RADIO'!$A$3:$AG$369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4" i="11" l="1"/>
  <c r="AJ4" i="11"/>
  <c r="AI5" i="11"/>
  <c r="AJ5" i="11"/>
  <c r="AI6" i="11"/>
  <c r="AI2" i="11" s="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4" i="21"/>
  <c r="AJ4" i="21"/>
  <c r="AI5" i="21"/>
  <c r="AJ5" i="21"/>
  <c r="AI6" i="21"/>
  <c r="AI2" i="21" s="1"/>
  <c r="AJ6" i="21"/>
  <c r="AI7" i="21"/>
  <c r="AJ7" i="21"/>
  <c r="AI8" i="21"/>
  <c r="AJ8" i="21"/>
  <c r="AI9" i="21"/>
  <c r="AJ9" i="21"/>
  <c r="AI10" i="21"/>
  <c r="AJ10" i="21"/>
  <c r="AI11" i="21"/>
  <c r="AJ11" i="21"/>
  <c r="AJ2" i="21" s="1"/>
  <c r="AI12" i="21"/>
  <c r="AJ12" i="21"/>
  <c r="AI13" i="21"/>
  <c r="AJ13" i="21"/>
  <c r="AI14" i="21"/>
  <c r="AJ14" i="21"/>
  <c r="AI15" i="21"/>
  <c r="AJ15" i="21"/>
  <c r="AI16" i="21"/>
  <c r="AJ16" i="21"/>
  <c r="AI17" i="21"/>
  <c r="AJ17" i="21"/>
  <c r="AI18" i="21"/>
  <c r="AJ18" i="21"/>
  <c r="AI19" i="21"/>
  <c r="AJ19" i="21"/>
  <c r="AI20" i="21"/>
  <c r="AJ20" i="21"/>
  <c r="AI21" i="21"/>
  <c r="AJ21" i="21"/>
  <c r="AI22" i="21"/>
  <c r="AJ22" i="21"/>
  <c r="AI23" i="21"/>
  <c r="AJ23" i="21"/>
  <c r="AI24" i="21"/>
  <c r="AJ24" i="21"/>
  <c r="AI25" i="21"/>
  <c r="AJ25" i="21"/>
  <c r="AI26" i="21"/>
  <c r="AJ26" i="21"/>
  <c r="AI27" i="21"/>
  <c r="AJ27" i="21"/>
  <c r="AI28" i="21"/>
  <c r="AJ28" i="21"/>
  <c r="AI29" i="21"/>
  <c r="AJ29" i="21"/>
  <c r="AI30" i="21"/>
  <c r="AJ30" i="21"/>
  <c r="AI31" i="21"/>
  <c r="AJ31" i="21"/>
  <c r="AI32" i="21"/>
  <c r="AJ32" i="21"/>
  <c r="AI33" i="21"/>
  <c r="AJ33" i="21"/>
  <c r="AI34" i="21"/>
  <c r="AJ34" i="21"/>
  <c r="AI35" i="21"/>
  <c r="AJ35" i="21"/>
  <c r="AI36" i="21"/>
  <c r="AJ36" i="21"/>
  <c r="AI37" i="21"/>
  <c r="AJ37" i="21"/>
  <c r="AI38" i="21"/>
  <c r="AJ38" i="21"/>
  <c r="AI39" i="21"/>
  <c r="AJ39" i="21"/>
  <c r="AI40" i="21"/>
  <c r="AJ40" i="21"/>
  <c r="AI41" i="21"/>
  <c r="AJ41" i="21"/>
  <c r="AI42" i="21"/>
  <c r="AJ42" i="21"/>
  <c r="AI43" i="21"/>
  <c r="AJ43" i="21"/>
  <c r="AI44" i="21"/>
  <c r="AJ44" i="21"/>
  <c r="AI45" i="21"/>
  <c r="AJ45" i="21"/>
  <c r="AI46" i="21"/>
  <c r="AJ46" i="21"/>
  <c r="AI47" i="21"/>
  <c r="AJ47" i="21"/>
  <c r="AI48" i="21"/>
  <c r="AJ48" i="21"/>
  <c r="AI49" i="21"/>
  <c r="AJ49" i="21"/>
  <c r="AI50" i="21"/>
  <c r="AJ50" i="21"/>
  <c r="AI51" i="21"/>
  <c r="AJ51" i="21"/>
  <c r="AI52" i="21"/>
  <c r="AJ52" i="21"/>
  <c r="AI53" i="21"/>
  <c r="AJ53" i="21"/>
  <c r="AI54" i="21"/>
  <c r="AJ54" i="21"/>
  <c r="AI55" i="21"/>
  <c r="AJ55" i="21"/>
  <c r="AI56" i="21"/>
  <c r="AJ56" i="21"/>
  <c r="AI57" i="21"/>
  <c r="AJ57" i="21"/>
  <c r="AI58" i="21"/>
  <c r="AJ58" i="21"/>
  <c r="AI59" i="21"/>
  <c r="AJ59" i="21"/>
  <c r="AI60" i="21"/>
  <c r="AJ60" i="21"/>
  <c r="AI61" i="21"/>
  <c r="AJ61" i="21"/>
  <c r="AI62" i="21"/>
  <c r="AJ62" i="21"/>
  <c r="AI63" i="21"/>
  <c r="AJ63" i="21"/>
  <c r="AI64" i="21"/>
  <c r="AJ64" i="21"/>
  <c r="AI65" i="21"/>
  <c r="AJ65" i="21"/>
  <c r="AI66" i="21"/>
  <c r="AJ66" i="21"/>
  <c r="AI67" i="21"/>
  <c r="AJ67" i="21"/>
  <c r="AI68" i="21"/>
  <c r="AJ68" i="21"/>
  <c r="AI69" i="21"/>
  <c r="AJ69" i="21"/>
  <c r="AI70" i="21"/>
  <c r="AJ70" i="21"/>
  <c r="AI71" i="21"/>
  <c r="AJ71" i="21"/>
  <c r="AI72" i="21"/>
  <c r="AJ72" i="21"/>
  <c r="AI73" i="21"/>
  <c r="AJ73" i="21"/>
  <c r="AI74" i="21"/>
  <c r="AJ74" i="21"/>
  <c r="AI75" i="21"/>
  <c r="AJ75" i="21"/>
  <c r="AI76" i="21"/>
  <c r="AJ76" i="21"/>
  <c r="AI77" i="21"/>
  <c r="AJ77" i="21"/>
  <c r="AI78" i="21"/>
  <c r="AJ78" i="21"/>
  <c r="AI79" i="21"/>
  <c r="AJ79" i="21"/>
  <c r="AI80" i="21"/>
  <c r="AJ80" i="21"/>
  <c r="AI81" i="21"/>
  <c r="AJ81" i="21"/>
  <c r="AI82" i="21"/>
  <c r="AJ82" i="21"/>
  <c r="AI83" i="21"/>
  <c r="AJ83" i="21"/>
  <c r="AI84" i="21"/>
  <c r="AJ84" i="21"/>
  <c r="AI85" i="21"/>
  <c r="AJ85" i="21"/>
  <c r="AI86" i="21"/>
  <c r="AJ86" i="21"/>
  <c r="AI87" i="21"/>
  <c r="AJ87" i="21"/>
  <c r="AI88" i="21"/>
  <c r="AJ88" i="21"/>
  <c r="AI89" i="21"/>
  <c r="AJ89" i="21"/>
  <c r="AI90" i="21"/>
  <c r="AJ90" i="21"/>
  <c r="AI91" i="21"/>
  <c r="AJ91" i="21"/>
  <c r="AI92" i="21"/>
  <c r="AJ92" i="21"/>
  <c r="AI93" i="21"/>
  <c r="AJ93" i="21"/>
  <c r="AI94" i="21"/>
  <c r="AJ94" i="21"/>
  <c r="AI95" i="21"/>
  <c r="AJ95" i="21"/>
  <c r="AI96" i="21"/>
  <c r="AJ96" i="21"/>
  <c r="AI97" i="21"/>
  <c r="AJ97" i="21"/>
  <c r="AI98" i="21"/>
  <c r="AJ98" i="21"/>
  <c r="AI99" i="21"/>
  <c r="AJ99" i="21"/>
  <c r="AI100" i="21"/>
  <c r="AJ100" i="21"/>
  <c r="AI101" i="21"/>
  <c r="AJ101" i="21"/>
  <c r="AI102" i="21"/>
  <c r="AJ102" i="21"/>
  <c r="AI103" i="21"/>
  <c r="AJ103" i="21"/>
  <c r="AI104" i="21"/>
  <c r="AJ104" i="21"/>
  <c r="AI105" i="21"/>
  <c r="AJ105" i="21"/>
  <c r="AI106" i="21"/>
  <c r="AJ106" i="21"/>
  <c r="AI107" i="21"/>
  <c r="AJ107" i="21"/>
  <c r="AI108" i="21"/>
  <c r="AJ108" i="21"/>
  <c r="AI109" i="21"/>
  <c r="AJ109" i="21"/>
  <c r="AI110" i="21"/>
  <c r="AJ110" i="21"/>
  <c r="AI111" i="21"/>
  <c r="AJ111" i="21"/>
  <c r="AI112" i="21"/>
  <c r="AJ112" i="21"/>
  <c r="AI113" i="21"/>
  <c r="AJ113" i="21"/>
  <c r="AI114" i="21"/>
  <c r="AJ114" i="21"/>
  <c r="AI115" i="21"/>
  <c r="AJ115" i="21"/>
  <c r="AI116" i="21"/>
  <c r="AJ116" i="21"/>
  <c r="AI117" i="21"/>
  <c r="AJ117" i="21"/>
  <c r="AI118" i="21"/>
  <c r="AJ118" i="21"/>
  <c r="AI119" i="21"/>
  <c r="AJ119" i="21"/>
  <c r="AI120" i="21"/>
  <c r="AJ120" i="21"/>
  <c r="AI121" i="21"/>
  <c r="AJ121" i="21"/>
  <c r="AI122" i="21"/>
  <c r="AJ122" i="21"/>
  <c r="AI123" i="21"/>
  <c r="AJ123" i="21"/>
  <c r="AI124" i="21"/>
  <c r="AJ124" i="21"/>
  <c r="AI125" i="21"/>
  <c r="AJ125" i="21"/>
  <c r="AI126" i="21"/>
  <c r="AJ126" i="21"/>
  <c r="AI127" i="21"/>
  <c r="AJ127" i="21"/>
  <c r="AI128" i="21"/>
  <c r="AJ128" i="21"/>
  <c r="AI129" i="21"/>
  <c r="AJ129" i="21"/>
  <c r="AI130" i="21"/>
  <c r="AJ130" i="21"/>
  <c r="AI131" i="21"/>
  <c r="AJ131" i="21"/>
  <c r="AI132" i="21"/>
  <c r="AJ132" i="21"/>
  <c r="AI133" i="21"/>
  <c r="AJ133" i="21"/>
  <c r="AI134" i="21"/>
  <c r="AJ134" i="21"/>
  <c r="AI135" i="21"/>
  <c r="AJ135" i="21"/>
  <c r="AI136" i="21"/>
  <c r="AJ136" i="21"/>
  <c r="AI137" i="21"/>
  <c r="AJ137" i="21"/>
  <c r="AI138" i="21"/>
  <c r="AJ138" i="21"/>
  <c r="AI139" i="21"/>
  <c r="AJ139" i="21"/>
  <c r="AI140" i="21"/>
  <c r="AJ140" i="21"/>
  <c r="AI141" i="21"/>
  <c r="AJ141" i="21"/>
  <c r="AI142" i="21"/>
  <c r="AJ142" i="21"/>
  <c r="AI143" i="21"/>
  <c r="AJ143" i="21"/>
  <c r="AI144" i="21"/>
  <c r="AJ144" i="21"/>
  <c r="AI145" i="21"/>
  <c r="AJ145" i="21"/>
  <c r="AI146" i="21"/>
  <c r="AJ146" i="21"/>
  <c r="AI147" i="21"/>
  <c r="AJ147" i="21"/>
  <c r="AI148" i="21"/>
  <c r="AJ148" i="21"/>
  <c r="AI149" i="21"/>
  <c r="AJ149" i="21"/>
  <c r="AI150" i="21"/>
  <c r="AJ150" i="21"/>
  <c r="AI151" i="21"/>
  <c r="AJ151" i="21"/>
  <c r="AI152" i="21"/>
  <c r="AJ152" i="21"/>
  <c r="AI153" i="21"/>
  <c r="AJ153" i="21"/>
  <c r="AI154" i="21"/>
  <c r="AJ154" i="21"/>
  <c r="AI155" i="21"/>
  <c r="AJ155" i="21"/>
  <c r="AI156" i="21"/>
  <c r="AJ156" i="21"/>
  <c r="AI157" i="21"/>
  <c r="AJ157" i="21"/>
  <c r="AI158" i="21"/>
  <c r="AJ158" i="21"/>
  <c r="AI159" i="21"/>
  <c r="AJ159" i="21"/>
  <c r="AI160" i="21"/>
  <c r="AJ160" i="21"/>
  <c r="AI161" i="21"/>
  <c r="AJ161" i="21"/>
  <c r="AI162" i="21"/>
  <c r="AJ162" i="21"/>
  <c r="AI163" i="21"/>
  <c r="AJ163" i="21"/>
  <c r="AI164" i="21"/>
  <c r="AJ164" i="21"/>
  <c r="AI165" i="21"/>
  <c r="AJ165" i="21"/>
  <c r="AI166" i="21"/>
  <c r="AJ166" i="21"/>
  <c r="AI167" i="21"/>
  <c r="AJ167" i="21"/>
  <c r="AI168" i="21"/>
  <c r="AJ168" i="21"/>
  <c r="AI169" i="21"/>
  <c r="AJ169" i="21"/>
  <c r="AI170" i="21"/>
  <c r="AJ170" i="21"/>
  <c r="AI171" i="21"/>
  <c r="AJ171" i="21"/>
  <c r="AI172" i="21"/>
  <c r="AJ172" i="21"/>
  <c r="AI173" i="21"/>
  <c r="AJ173" i="21"/>
  <c r="AI174" i="21"/>
  <c r="AJ174" i="21"/>
  <c r="AI175" i="21"/>
  <c r="AJ175" i="21"/>
  <c r="AI176" i="21"/>
  <c r="AJ176" i="21"/>
  <c r="AI177" i="21"/>
  <c r="AJ177" i="21"/>
  <c r="AI178" i="21"/>
  <c r="AJ178" i="21"/>
  <c r="AI179" i="21"/>
  <c r="AJ179" i="21"/>
  <c r="AI180" i="21"/>
  <c r="AJ180" i="21"/>
  <c r="AI181" i="21"/>
  <c r="AJ181" i="21"/>
  <c r="AI182" i="21"/>
  <c r="AJ182" i="21"/>
  <c r="AI183" i="21"/>
  <c r="AJ183" i="21"/>
  <c r="AI184" i="21"/>
  <c r="AJ184" i="21"/>
  <c r="AI185" i="21"/>
  <c r="AJ185" i="21"/>
  <c r="AI186" i="21"/>
  <c r="AJ186" i="21"/>
  <c r="AI187" i="21"/>
  <c r="AJ187" i="21"/>
  <c r="AI188" i="21"/>
  <c r="AJ188" i="21"/>
  <c r="AI189" i="21"/>
  <c r="AJ189" i="21"/>
  <c r="AI190" i="21"/>
  <c r="AJ190" i="21"/>
  <c r="AI191" i="21"/>
  <c r="AJ191" i="21"/>
  <c r="AI192" i="21"/>
  <c r="AJ192" i="21"/>
  <c r="AI193" i="21"/>
  <c r="AJ193" i="21"/>
  <c r="AI194" i="21"/>
  <c r="AJ194" i="21"/>
  <c r="AI195" i="21"/>
  <c r="AJ195" i="21"/>
  <c r="AI196" i="21"/>
  <c r="AJ196" i="21"/>
  <c r="AI197" i="21"/>
  <c r="AJ197" i="21"/>
  <c r="AI198" i="21"/>
  <c r="AJ198" i="21"/>
  <c r="AI199" i="21"/>
  <c r="AJ199" i="21"/>
  <c r="AI200" i="21"/>
  <c r="AJ200" i="21"/>
  <c r="AI201" i="21"/>
  <c r="AJ201" i="21"/>
  <c r="AI202" i="21"/>
  <c r="AJ202" i="21"/>
  <c r="AI203" i="21"/>
  <c r="AJ203" i="21"/>
  <c r="AI204" i="21"/>
  <c r="AJ204" i="21"/>
  <c r="AI205" i="21"/>
  <c r="AJ205" i="21"/>
  <c r="AI206" i="21"/>
  <c r="AJ206" i="21"/>
  <c r="AI207" i="21"/>
  <c r="AJ207" i="21"/>
  <c r="AI208" i="21"/>
  <c r="AJ208" i="21"/>
  <c r="AI209" i="21"/>
  <c r="AJ209" i="21"/>
  <c r="AI210" i="21"/>
  <c r="AJ210" i="21"/>
  <c r="AI211" i="21"/>
  <c r="AJ211" i="21"/>
  <c r="AI212" i="21"/>
  <c r="AJ212" i="21"/>
  <c r="AI213" i="21"/>
  <c r="AJ213" i="21"/>
  <c r="AI214" i="21"/>
  <c r="AJ214" i="21"/>
  <c r="AI215" i="21"/>
  <c r="AJ215" i="21"/>
  <c r="AI216" i="21"/>
  <c r="AJ216" i="21"/>
  <c r="AI217" i="21"/>
  <c r="AJ217" i="21"/>
  <c r="AI218" i="21"/>
  <c r="AJ218" i="21"/>
  <c r="AI219" i="21"/>
  <c r="AJ219" i="21"/>
  <c r="AI220" i="21"/>
  <c r="AJ220" i="21"/>
  <c r="AI221" i="21"/>
  <c r="AJ221" i="21"/>
  <c r="AI222" i="21"/>
  <c r="AJ222" i="21"/>
  <c r="AI223" i="21"/>
  <c r="AJ223" i="21"/>
  <c r="AI224" i="21"/>
  <c r="AJ224" i="21"/>
  <c r="AI225" i="21"/>
  <c r="AJ225" i="21"/>
  <c r="AI226" i="21"/>
  <c r="AJ226" i="21"/>
  <c r="AI227" i="21"/>
  <c r="AJ227" i="21"/>
  <c r="AI228" i="21"/>
  <c r="AJ228" i="21"/>
  <c r="AI229" i="21"/>
  <c r="AJ229" i="21"/>
  <c r="AI230" i="21"/>
  <c r="AJ230" i="21"/>
  <c r="AI231" i="21"/>
  <c r="AJ231" i="21"/>
  <c r="AI232" i="21"/>
  <c r="AJ232" i="21"/>
  <c r="AI233" i="21"/>
  <c r="AJ233" i="21"/>
  <c r="AI234" i="21"/>
  <c r="AJ234" i="21"/>
  <c r="AI235" i="21"/>
  <c r="AJ235" i="21"/>
  <c r="AI236" i="21"/>
  <c r="AJ236" i="21"/>
  <c r="AI237" i="21"/>
  <c r="AJ237" i="21"/>
  <c r="AI238" i="21"/>
  <c r="AJ238" i="21"/>
  <c r="AI239" i="21"/>
  <c r="AJ239" i="21"/>
  <c r="AI240" i="21"/>
  <c r="AJ240" i="21"/>
  <c r="AI241" i="21"/>
  <c r="AJ241" i="21"/>
  <c r="AI242" i="21"/>
  <c r="AJ242" i="21"/>
  <c r="AI243" i="21"/>
  <c r="AJ243" i="21"/>
  <c r="AI244" i="21"/>
  <c r="AJ244" i="21"/>
  <c r="AI245" i="21"/>
  <c r="AJ245" i="21"/>
  <c r="AI246" i="21"/>
  <c r="AJ246" i="21"/>
  <c r="AI247" i="21"/>
  <c r="AJ247" i="21"/>
  <c r="AI248" i="21"/>
  <c r="AJ248" i="21"/>
  <c r="AI249" i="21"/>
  <c r="AJ249" i="21"/>
  <c r="AI250" i="21"/>
  <c r="AJ250" i="21"/>
  <c r="AI251" i="21"/>
  <c r="AJ251" i="21"/>
  <c r="AI252" i="21"/>
  <c r="AJ252" i="21"/>
  <c r="AI253" i="21"/>
  <c r="AJ253" i="21"/>
  <c r="AI254" i="21"/>
  <c r="AJ254" i="21"/>
  <c r="AI255" i="21"/>
  <c r="AJ255" i="21"/>
  <c r="AI256" i="21"/>
  <c r="AJ256" i="21"/>
  <c r="AI257" i="21"/>
  <c r="AJ257" i="21"/>
  <c r="AI258" i="21"/>
  <c r="AJ258" i="21"/>
  <c r="AI259" i="21"/>
  <c r="AJ259" i="21"/>
  <c r="AI260" i="21"/>
  <c r="AJ260" i="21"/>
  <c r="AI261" i="21"/>
  <c r="AJ261" i="21"/>
  <c r="AI262" i="21"/>
  <c r="AJ262" i="21"/>
  <c r="AI263" i="21"/>
  <c r="AJ263" i="21"/>
  <c r="AI264" i="21"/>
  <c r="AJ264" i="21"/>
  <c r="AI265" i="21"/>
  <c r="AJ265" i="21"/>
  <c r="AI266" i="21"/>
  <c r="AJ266" i="21"/>
  <c r="AI267" i="21"/>
  <c r="AJ267" i="21"/>
  <c r="AI268" i="21"/>
  <c r="AJ268" i="21"/>
  <c r="AI269" i="21"/>
  <c r="AJ269" i="21"/>
  <c r="AI270" i="21"/>
  <c r="AJ270" i="21"/>
  <c r="AI271" i="21"/>
  <c r="AJ271" i="21"/>
  <c r="AI272" i="21"/>
  <c r="AJ272" i="21"/>
  <c r="AI273" i="21"/>
  <c r="AJ273" i="21"/>
  <c r="AI274" i="21"/>
  <c r="AJ274" i="21"/>
  <c r="AI275" i="21"/>
  <c r="AJ275" i="21"/>
  <c r="AI276" i="21"/>
  <c r="AJ276" i="21"/>
  <c r="AI277" i="21"/>
  <c r="AJ277" i="21"/>
  <c r="AI278" i="21"/>
  <c r="AJ278" i="21"/>
  <c r="AI279" i="21"/>
  <c r="AJ279" i="21"/>
  <c r="AI280" i="21"/>
  <c r="AJ280" i="21"/>
  <c r="AI281" i="21"/>
  <c r="AJ281" i="21"/>
  <c r="AI282" i="21"/>
  <c r="AJ282" i="21"/>
  <c r="AI283" i="21"/>
  <c r="AJ283" i="21"/>
  <c r="AI284" i="21"/>
  <c r="AJ284" i="21"/>
  <c r="AI285" i="21"/>
  <c r="AJ285" i="21"/>
  <c r="AI286" i="21"/>
  <c r="AJ286" i="21"/>
  <c r="AI287" i="21"/>
  <c r="AJ287" i="21"/>
  <c r="AI288" i="21"/>
  <c r="AJ288" i="21"/>
  <c r="AI289" i="21"/>
  <c r="AJ289" i="21"/>
  <c r="AI290" i="21"/>
  <c r="AJ290" i="21"/>
  <c r="AI291" i="21"/>
  <c r="AJ291" i="21"/>
  <c r="AI292" i="21"/>
  <c r="AJ292" i="21"/>
  <c r="AI293" i="21"/>
  <c r="AJ293" i="21"/>
  <c r="AI294" i="21"/>
  <c r="AJ294" i="21"/>
  <c r="AI295" i="21"/>
  <c r="AJ295" i="21"/>
  <c r="AI296" i="21"/>
  <c r="AJ296" i="21"/>
  <c r="AI297" i="21"/>
  <c r="AJ297" i="21"/>
  <c r="AI298" i="21"/>
  <c r="AJ298" i="21"/>
  <c r="AI299" i="21"/>
  <c r="AJ299" i="21"/>
  <c r="AI300" i="21"/>
  <c r="AJ300" i="21"/>
  <c r="AI301" i="21"/>
  <c r="AJ301" i="21"/>
  <c r="AI302" i="21"/>
  <c r="AJ302" i="21"/>
  <c r="AI303" i="21"/>
  <c r="AJ303" i="21"/>
  <c r="AI304" i="21"/>
  <c r="AJ304" i="21"/>
  <c r="AI305" i="21"/>
  <c r="AJ305" i="21"/>
  <c r="AI306" i="21"/>
  <c r="AJ306" i="21"/>
  <c r="AI307" i="21"/>
  <c r="AJ307" i="21"/>
  <c r="AI308" i="21"/>
  <c r="AJ308" i="21"/>
  <c r="AI309" i="21"/>
  <c r="AJ309" i="21"/>
  <c r="AI310" i="21"/>
  <c r="AJ310" i="21"/>
  <c r="AI311" i="21"/>
  <c r="AJ311" i="21"/>
  <c r="AI312" i="21"/>
  <c r="AJ312" i="21"/>
  <c r="AI313" i="21"/>
  <c r="AJ313" i="21"/>
  <c r="AI314" i="21"/>
  <c r="AJ314" i="21"/>
  <c r="AI315" i="21"/>
  <c r="AJ315" i="21"/>
  <c r="AI316" i="21"/>
  <c r="AJ316" i="21"/>
  <c r="AI317" i="21"/>
  <c r="AJ317" i="21"/>
  <c r="AI318" i="21"/>
  <c r="AJ318" i="21"/>
  <c r="AI319" i="21"/>
  <c r="AJ319" i="21"/>
  <c r="AI320" i="21"/>
  <c r="AJ320" i="21"/>
  <c r="AI321" i="21"/>
  <c r="AJ321" i="21"/>
  <c r="AI322" i="21"/>
  <c r="AJ322" i="21"/>
  <c r="AI323" i="21"/>
  <c r="AJ323" i="21"/>
  <c r="AI324" i="21"/>
  <c r="AJ324" i="21"/>
  <c r="AI325" i="21"/>
  <c r="AJ325" i="21"/>
  <c r="AI326" i="21"/>
  <c r="AJ326" i="21"/>
  <c r="AI327" i="21"/>
  <c r="AJ327" i="21"/>
  <c r="AI328" i="21"/>
  <c r="AJ328" i="21"/>
  <c r="AI329" i="21"/>
  <c r="AJ329" i="21"/>
  <c r="AI330" i="21"/>
  <c r="AJ330" i="21"/>
  <c r="AI331" i="21"/>
  <c r="AJ331" i="21"/>
  <c r="AI332" i="21"/>
  <c r="AJ332" i="21"/>
  <c r="AI333" i="21"/>
  <c r="AJ333" i="21"/>
  <c r="AI334" i="21"/>
  <c r="AJ334" i="21"/>
  <c r="AI335" i="21"/>
  <c r="AJ335" i="21"/>
  <c r="AI336" i="21"/>
  <c r="AJ336" i="21"/>
  <c r="AI337" i="21"/>
  <c r="AJ337" i="21"/>
  <c r="AI338" i="21"/>
  <c r="AJ338" i="21"/>
  <c r="AI339" i="21"/>
  <c r="AJ339" i="21"/>
  <c r="AI340" i="21"/>
  <c r="AJ340" i="21"/>
  <c r="AI341" i="21"/>
  <c r="AJ341" i="21"/>
  <c r="AI342" i="21"/>
  <c r="AJ342" i="21"/>
  <c r="AI343" i="21"/>
  <c r="AJ343" i="21"/>
  <c r="AI344" i="21"/>
  <c r="AJ344" i="21"/>
  <c r="AI345" i="21"/>
  <c r="AJ345" i="21"/>
  <c r="AI346" i="21"/>
  <c r="AJ346" i="21"/>
  <c r="AI347" i="21"/>
  <c r="AJ347" i="21"/>
  <c r="AI348" i="21"/>
  <c r="AJ348" i="21"/>
  <c r="AI349" i="21"/>
  <c r="AJ349" i="21"/>
  <c r="AI350" i="21"/>
  <c r="AJ350" i="21"/>
  <c r="AI351" i="21"/>
  <c r="AJ351" i="21"/>
  <c r="AI352" i="21"/>
  <c r="AJ352" i="21"/>
  <c r="AI353" i="21"/>
  <c r="AJ353" i="21"/>
  <c r="AI354" i="21"/>
  <c r="AJ354" i="21"/>
  <c r="AI355" i="21"/>
  <c r="AJ355" i="21"/>
  <c r="AI356" i="21"/>
  <c r="AJ356" i="21"/>
  <c r="AI357" i="21"/>
  <c r="AJ357" i="21"/>
  <c r="AI358" i="21"/>
  <c r="AJ358" i="21"/>
  <c r="AI359" i="21"/>
  <c r="AJ359" i="21"/>
  <c r="AI360" i="21"/>
  <c r="AJ360" i="21"/>
  <c r="AI361" i="21"/>
  <c r="AJ361" i="21"/>
  <c r="AI362" i="21"/>
  <c r="AJ362" i="21"/>
  <c r="AI363" i="21"/>
  <c r="AJ363" i="21"/>
  <c r="AI364" i="21"/>
  <c r="AJ364" i="21"/>
  <c r="AI365" i="21"/>
  <c r="AJ365" i="21"/>
  <c r="AI366" i="21"/>
  <c r="AJ366" i="21"/>
  <c r="AI367" i="21"/>
  <c r="AJ367" i="21"/>
  <c r="AI368" i="21"/>
  <c r="AJ368" i="21"/>
  <c r="AI369" i="21"/>
  <c r="AJ369" i="21"/>
  <c r="AJ362" i="10"/>
  <c r="AI362" i="10"/>
  <c r="AJ361" i="10"/>
  <c r="AI361" i="10"/>
  <c r="AJ360" i="10"/>
  <c r="AI360" i="10"/>
  <c r="AJ359" i="10"/>
  <c r="AI359" i="10"/>
  <c r="AJ358" i="10"/>
  <c r="AI358" i="10"/>
  <c r="AJ357" i="10"/>
  <c r="AI357" i="10"/>
  <c r="AJ356" i="10"/>
  <c r="AI356" i="10"/>
  <c r="AJ355" i="10"/>
  <c r="AI355" i="10"/>
  <c r="AJ352" i="10"/>
  <c r="AI352" i="10"/>
  <c r="AJ351" i="10"/>
  <c r="AI351" i="10"/>
  <c r="AJ350" i="10"/>
  <c r="AI350" i="10"/>
  <c r="AJ349" i="10"/>
  <c r="AI349" i="10"/>
  <c r="AJ348" i="10"/>
  <c r="AI348" i="10"/>
  <c r="AJ347" i="10"/>
  <c r="AI347" i="10"/>
  <c r="AJ346" i="10"/>
  <c r="AI346" i="10"/>
  <c r="AJ345" i="10"/>
  <c r="AI345" i="10"/>
  <c r="AJ344" i="10"/>
  <c r="AI344" i="10"/>
  <c r="AJ339" i="10"/>
  <c r="AI339" i="10"/>
  <c r="AJ338" i="10"/>
  <c r="AI338" i="10"/>
  <c r="AJ337" i="10"/>
  <c r="AI337" i="10"/>
  <c r="AJ336" i="10"/>
  <c r="AI336" i="10"/>
  <c r="AJ335" i="10"/>
  <c r="AI335" i="10"/>
  <c r="AJ334" i="10"/>
  <c r="AI334" i="10"/>
  <c r="AJ333" i="10"/>
  <c r="AI333" i="10"/>
  <c r="AJ332" i="10"/>
  <c r="AI332" i="10"/>
  <c r="AJ331" i="10"/>
  <c r="AI331" i="10"/>
  <c r="AJ330" i="10"/>
  <c r="AI330" i="10"/>
  <c r="AJ329" i="10"/>
  <c r="AI329" i="10"/>
  <c r="AJ328" i="10"/>
  <c r="AI328" i="10"/>
  <c r="AJ327" i="10"/>
  <c r="AI327" i="10"/>
  <c r="AJ326" i="10"/>
  <c r="AI326" i="10"/>
  <c r="AJ325" i="10"/>
  <c r="AI325" i="10"/>
  <c r="AJ324" i="10"/>
  <c r="AI324" i="10"/>
  <c r="AJ323" i="10"/>
  <c r="AI323" i="10"/>
  <c r="AJ322" i="10"/>
  <c r="AI322" i="10"/>
  <c r="AJ320" i="10"/>
  <c r="AI320" i="10"/>
  <c r="AJ318" i="10"/>
  <c r="AI318" i="10"/>
  <c r="AJ317" i="10"/>
  <c r="AI317" i="10"/>
  <c r="AJ316" i="10"/>
  <c r="AI316" i="10"/>
  <c r="AJ315" i="10"/>
  <c r="AI315" i="10"/>
  <c r="AJ306" i="10"/>
  <c r="AI306" i="10"/>
  <c r="AJ305" i="10"/>
  <c r="AI305" i="10"/>
  <c r="AJ304" i="10"/>
  <c r="AI304" i="10"/>
  <c r="AJ303" i="10"/>
  <c r="AI303" i="10"/>
  <c r="AJ302" i="10"/>
  <c r="AI302" i="10"/>
  <c r="AJ293" i="10"/>
  <c r="AI293" i="10"/>
  <c r="AJ292" i="10"/>
  <c r="AI292" i="10"/>
  <c r="AJ291" i="10"/>
  <c r="AI291" i="10"/>
  <c r="AJ290" i="10"/>
  <c r="AI290" i="10"/>
  <c r="AJ289" i="10"/>
  <c r="AI289" i="10"/>
  <c r="AJ288" i="10"/>
  <c r="AI288" i="10"/>
  <c r="AJ286" i="10"/>
  <c r="AI286" i="10"/>
  <c r="AJ285" i="10"/>
  <c r="AI285" i="10"/>
  <c r="AJ284" i="10"/>
  <c r="AI284" i="10"/>
  <c r="AJ283" i="10"/>
  <c r="AI283" i="10"/>
  <c r="AJ282" i="10"/>
  <c r="AI282" i="10"/>
  <c r="AJ273" i="10"/>
  <c r="AI273" i="10"/>
  <c r="AJ272" i="10"/>
  <c r="AI272" i="10"/>
  <c r="AJ269" i="10"/>
  <c r="AI269" i="10"/>
  <c r="AJ268" i="10"/>
  <c r="AI268" i="10"/>
  <c r="AJ267" i="10"/>
  <c r="AI267" i="10"/>
  <c r="AJ265" i="10"/>
  <c r="AI265" i="10"/>
  <c r="AJ264" i="10"/>
  <c r="AI264" i="10"/>
  <c r="AJ263" i="10"/>
  <c r="AI263" i="10"/>
  <c r="AJ262" i="10"/>
  <c r="AI262" i="10"/>
  <c r="AJ258" i="10"/>
  <c r="AI258" i="10"/>
  <c r="AJ257" i="10"/>
  <c r="AI257" i="10"/>
  <c r="AJ253" i="10"/>
  <c r="AI253" i="10"/>
  <c r="AJ252" i="10"/>
  <c r="AI252" i="10"/>
  <c r="AJ251" i="10"/>
  <c r="AI251" i="10"/>
  <c r="AJ250" i="10"/>
  <c r="AI250" i="10"/>
  <c r="AJ245" i="10"/>
  <c r="AI245" i="10"/>
  <c r="AH245" i="10"/>
  <c r="AJ244" i="10"/>
  <c r="AI244" i="10"/>
  <c r="AJ243" i="10"/>
  <c r="AI243" i="10"/>
  <c r="AJ242" i="10"/>
  <c r="AI242" i="10"/>
  <c r="AJ241" i="10"/>
  <c r="AI241" i="10"/>
  <c r="AJ240" i="10"/>
  <c r="AI240" i="10"/>
  <c r="AJ239" i="10"/>
  <c r="AI239" i="10"/>
  <c r="AJ238" i="10"/>
  <c r="AI238" i="10"/>
  <c r="AJ236" i="10"/>
  <c r="AI236" i="10"/>
  <c r="AJ235" i="10"/>
  <c r="AI235" i="10"/>
  <c r="AJ234" i="10"/>
  <c r="AI234" i="10"/>
  <c r="AJ231" i="10"/>
  <c r="AI231" i="10"/>
  <c r="AJ230" i="10"/>
  <c r="AI230" i="10"/>
  <c r="AJ229" i="10"/>
  <c r="AI229" i="10"/>
  <c r="AJ228" i="10"/>
  <c r="AI228" i="10"/>
  <c r="AJ226" i="10"/>
  <c r="AI226" i="10"/>
  <c r="AJ225" i="10"/>
  <c r="AI225" i="10"/>
  <c r="AJ224" i="10"/>
  <c r="AI224" i="10"/>
  <c r="AJ223" i="10"/>
  <c r="AI223" i="10"/>
  <c r="AJ222" i="10"/>
  <c r="AI222" i="10"/>
  <c r="AJ221" i="10"/>
  <c r="AI221" i="10"/>
  <c r="AJ220" i="10"/>
  <c r="AI220" i="10"/>
  <c r="AJ219" i="10"/>
  <c r="AI219" i="10"/>
  <c r="AJ218" i="10"/>
  <c r="AI218" i="10"/>
  <c r="AJ217" i="10"/>
  <c r="AI217" i="10"/>
  <c r="AJ216" i="10"/>
  <c r="AI216" i="10"/>
  <c r="AJ215" i="10"/>
  <c r="AI215" i="10"/>
  <c r="AJ214" i="10"/>
  <c r="AI214" i="10"/>
  <c r="AJ213" i="10"/>
  <c r="AI213" i="10"/>
  <c r="AJ212" i="10"/>
  <c r="AI212" i="10"/>
  <c r="AJ211" i="10"/>
  <c r="AI211" i="10"/>
  <c r="AJ210" i="10"/>
  <c r="AI210" i="10"/>
  <c r="AJ209" i="10"/>
  <c r="AI209" i="10"/>
  <c r="AJ208" i="10"/>
  <c r="AI208" i="10"/>
  <c r="AJ205" i="10"/>
  <c r="AI205" i="10"/>
  <c r="AJ204" i="10"/>
  <c r="AI204" i="10"/>
  <c r="AJ203" i="10"/>
  <c r="AI203" i="10"/>
  <c r="AJ202" i="10"/>
  <c r="AI202" i="10"/>
  <c r="AJ201" i="10"/>
  <c r="AI201" i="10"/>
  <c r="AJ200" i="10"/>
  <c r="AI200" i="10"/>
  <c r="AJ199" i="10"/>
  <c r="AI199" i="10"/>
  <c r="AJ198" i="10"/>
  <c r="AI198" i="10"/>
  <c r="AJ197" i="10"/>
  <c r="AI197" i="10"/>
  <c r="AJ196" i="10"/>
  <c r="AI196" i="10"/>
  <c r="AJ195" i="10"/>
  <c r="AI195" i="10"/>
  <c r="AJ194" i="10"/>
  <c r="AI194" i="10"/>
  <c r="AJ193" i="10"/>
  <c r="AI193" i="10"/>
  <c r="AJ192" i="10"/>
  <c r="AI192" i="10"/>
  <c r="AJ191" i="10"/>
  <c r="AI191" i="10"/>
  <c r="AJ190" i="10"/>
  <c r="AI190" i="10"/>
  <c r="AJ189" i="10"/>
  <c r="AI189" i="10"/>
  <c r="AJ188" i="10"/>
  <c r="AI188" i="10"/>
  <c r="AJ187" i="10"/>
  <c r="AI187" i="10"/>
  <c r="AJ186" i="10"/>
  <c r="AI186" i="10"/>
  <c r="AJ185" i="10"/>
  <c r="AI185" i="10"/>
  <c r="AJ184" i="10"/>
  <c r="AI184" i="10"/>
  <c r="AJ179" i="10"/>
  <c r="AI179" i="10"/>
  <c r="AJ174" i="10"/>
  <c r="AI174" i="10"/>
  <c r="AJ173" i="10"/>
  <c r="AI173" i="10"/>
  <c r="AJ172" i="10"/>
  <c r="AI172" i="10"/>
  <c r="AJ171" i="10"/>
  <c r="AI171" i="10"/>
  <c r="AJ170" i="10"/>
  <c r="AI170" i="10"/>
  <c r="AJ169" i="10"/>
  <c r="AI169" i="10"/>
  <c r="AJ168" i="10"/>
  <c r="AI168" i="10"/>
  <c r="AJ167" i="10"/>
  <c r="AI167" i="10"/>
  <c r="AJ164" i="10"/>
  <c r="AI164" i="10"/>
  <c r="AJ163" i="10"/>
  <c r="AI163" i="10"/>
  <c r="AJ162" i="10"/>
  <c r="AI162" i="10"/>
  <c r="AJ161" i="10"/>
  <c r="AI161" i="10"/>
  <c r="AJ160" i="10"/>
  <c r="AI160" i="10"/>
  <c r="AJ159" i="10"/>
  <c r="AI159" i="10"/>
  <c r="AJ158" i="10"/>
  <c r="AI158" i="10"/>
  <c r="AJ157" i="10"/>
  <c r="AI157" i="10"/>
  <c r="AJ156" i="10"/>
  <c r="AI156" i="10"/>
  <c r="AJ155" i="10"/>
  <c r="AI155" i="10"/>
  <c r="AJ154" i="10"/>
  <c r="AI154" i="10"/>
  <c r="AJ153" i="10"/>
  <c r="AI153" i="10"/>
  <c r="AJ152" i="10"/>
  <c r="AI152" i="10"/>
  <c r="AJ151" i="10"/>
  <c r="AI151" i="10"/>
  <c r="AJ150" i="10"/>
  <c r="AI150" i="10"/>
  <c r="AJ149" i="10"/>
  <c r="AI149" i="10"/>
  <c r="AJ148" i="10"/>
  <c r="AI148" i="10"/>
  <c r="AJ147" i="10"/>
  <c r="AI147" i="10"/>
  <c r="AJ146" i="10"/>
  <c r="AI146" i="10"/>
  <c r="AJ136" i="10"/>
  <c r="AI136" i="10"/>
  <c r="AJ123" i="10"/>
  <c r="AI123" i="10"/>
  <c r="AJ122" i="10"/>
  <c r="AI122" i="10"/>
  <c r="AJ121" i="10"/>
  <c r="AI121" i="10"/>
  <c r="AJ120" i="10"/>
  <c r="AI120" i="10"/>
  <c r="AJ119" i="10"/>
  <c r="AI119" i="10"/>
  <c r="AJ118" i="10"/>
  <c r="AI118" i="10"/>
  <c r="AJ117" i="10"/>
  <c r="AI117" i="10"/>
  <c r="AH117" i="10"/>
  <c r="AJ115" i="10"/>
  <c r="AI115" i="10"/>
  <c r="AJ114" i="10"/>
  <c r="AI114" i="10"/>
  <c r="AJ108" i="10"/>
  <c r="AI108" i="10"/>
  <c r="AJ107" i="10"/>
  <c r="AI107" i="10"/>
  <c r="AJ106" i="10"/>
  <c r="AI106" i="10"/>
  <c r="AJ105" i="10"/>
  <c r="AI105" i="10"/>
  <c r="AJ98" i="10"/>
  <c r="AI98" i="10"/>
  <c r="AJ97" i="10"/>
  <c r="AI97" i="10"/>
  <c r="AJ94" i="10"/>
  <c r="AI94" i="10"/>
  <c r="AJ93" i="10"/>
  <c r="AI93" i="10"/>
  <c r="AH93" i="10"/>
  <c r="AJ92" i="10"/>
  <c r="AI92" i="10"/>
  <c r="AJ91" i="10"/>
  <c r="AI91" i="10"/>
  <c r="AJ90" i="10"/>
  <c r="AI90" i="10"/>
  <c r="AJ89" i="10"/>
  <c r="AI89" i="10"/>
  <c r="AJ88" i="10"/>
  <c r="AI88" i="10"/>
  <c r="AJ87" i="10"/>
  <c r="AI87" i="10"/>
  <c r="AJ82" i="10"/>
  <c r="AI82" i="10"/>
  <c r="AJ81" i="10"/>
  <c r="AI81" i="10"/>
  <c r="AJ80" i="10"/>
  <c r="AI80" i="10"/>
  <c r="AJ79" i="10"/>
  <c r="AI79" i="10"/>
  <c r="AJ78" i="10"/>
  <c r="AI78" i="10"/>
  <c r="AJ77" i="10"/>
  <c r="AI77" i="10"/>
  <c r="AJ76" i="10"/>
  <c r="AI76" i="10"/>
  <c r="AJ75" i="10"/>
  <c r="AI75" i="10"/>
  <c r="AJ74" i="10"/>
  <c r="AI74" i="10"/>
  <c r="AJ73" i="10"/>
  <c r="AI73" i="10"/>
  <c r="AJ72" i="10"/>
  <c r="AI72" i="10"/>
  <c r="AJ71" i="10"/>
  <c r="AI71" i="10"/>
  <c r="AJ70" i="10"/>
  <c r="AI70" i="10"/>
  <c r="AJ69" i="10"/>
  <c r="AI69" i="10"/>
  <c r="AJ68" i="10"/>
  <c r="AI68" i="10"/>
  <c r="AJ67" i="10"/>
  <c r="AI67" i="10"/>
  <c r="AJ66" i="10"/>
  <c r="AI66" i="10"/>
  <c r="AJ65" i="10"/>
  <c r="AI65" i="10"/>
  <c r="AJ64" i="10"/>
  <c r="AI64" i="10"/>
  <c r="AJ63" i="10"/>
  <c r="AI63" i="10"/>
  <c r="AJ62" i="10"/>
  <c r="AI62" i="10"/>
  <c r="AJ61" i="10"/>
  <c r="AI61" i="10"/>
  <c r="AH61" i="10"/>
  <c r="AJ60" i="10"/>
  <c r="AI60" i="10"/>
  <c r="AJ59" i="10"/>
  <c r="AI59" i="10"/>
  <c r="AJ58" i="10"/>
  <c r="AI58" i="10"/>
  <c r="AJ55" i="10"/>
  <c r="AI55" i="10"/>
  <c r="AJ54" i="10"/>
  <c r="AI54" i="10"/>
  <c r="AJ53" i="10"/>
  <c r="AI53" i="10"/>
  <c r="AJ51" i="10"/>
  <c r="AI51" i="10"/>
  <c r="AJ50" i="10"/>
  <c r="AI50" i="10"/>
  <c r="AJ49" i="10"/>
  <c r="AI49" i="10"/>
  <c r="AJ48" i="10"/>
  <c r="AI48" i="10"/>
  <c r="AJ47" i="10"/>
  <c r="AI47" i="10"/>
  <c r="AJ46" i="10"/>
  <c r="AI46" i="10"/>
  <c r="AJ45" i="10"/>
  <c r="AI45" i="10"/>
  <c r="AJ44" i="10"/>
  <c r="AI44" i="10"/>
  <c r="AJ43" i="10"/>
  <c r="AI43" i="10"/>
  <c r="AJ42" i="10"/>
  <c r="AI42" i="10"/>
  <c r="AJ41" i="10"/>
  <c r="AI41" i="10"/>
  <c r="AJ40" i="10"/>
  <c r="AI40" i="10"/>
  <c r="AJ39" i="10"/>
  <c r="AI39" i="10"/>
  <c r="AJ38" i="10"/>
  <c r="AI38" i="10"/>
  <c r="AJ37" i="10"/>
  <c r="AI37" i="10"/>
  <c r="AH37" i="10"/>
  <c r="AJ36" i="10"/>
  <c r="AI36" i="10"/>
  <c r="AJ35" i="10"/>
  <c r="AI35" i="10"/>
  <c r="AJ34" i="10"/>
  <c r="AI34" i="10"/>
  <c r="AJ33" i="10"/>
  <c r="AI33" i="10"/>
  <c r="AJ32" i="10"/>
  <c r="AI32" i="10"/>
  <c r="AJ27" i="10"/>
  <c r="AI27" i="10"/>
  <c r="AJ21" i="10"/>
  <c r="AI21" i="10"/>
  <c r="AJ20" i="10"/>
  <c r="AI20" i="10"/>
  <c r="AJ18" i="10"/>
  <c r="AI18" i="10"/>
  <c r="AJ17" i="10"/>
  <c r="AI17" i="10"/>
  <c r="AJ16" i="10"/>
  <c r="AI16" i="10"/>
  <c r="AJ13" i="10"/>
  <c r="AI13" i="10"/>
  <c r="AJ12" i="10"/>
  <c r="AI12" i="10"/>
  <c r="AI2" i="10" s="1"/>
  <c r="AJ10" i="10"/>
  <c r="AI10" i="10"/>
  <c r="AJ4" i="10"/>
  <c r="AI4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J8" i="8"/>
  <c r="AH9" i="8"/>
  <c r="AI9" i="8"/>
  <c r="AJ9" i="8"/>
  <c r="AH10" i="8"/>
  <c r="AH12" i="10" s="1"/>
  <c r="AI10" i="8"/>
  <c r="AJ10" i="8"/>
  <c r="AH11" i="8"/>
  <c r="AI11" i="8"/>
  <c r="AJ11" i="8"/>
  <c r="AH12" i="8"/>
  <c r="AI12" i="8"/>
  <c r="AJ12" i="8"/>
  <c r="AH13" i="8"/>
  <c r="AI13" i="8"/>
  <c r="AJ13" i="8"/>
  <c r="AH14" i="8"/>
  <c r="AI14" i="8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H19" i="8"/>
  <c r="AI19" i="8"/>
  <c r="AJ19" i="8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J29" i="8"/>
  <c r="AH30" i="8"/>
  <c r="AH32" i="21" s="1"/>
  <c r="AI30" i="8"/>
  <c r="AJ30" i="8"/>
  <c r="AH31" i="8"/>
  <c r="AH33" i="10" s="1"/>
  <c r="AI31" i="8"/>
  <c r="AJ31" i="8"/>
  <c r="AH32" i="8"/>
  <c r="AI32" i="8"/>
  <c r="AJ32" i="8"/>
  <c r="AH33" i="8"/>
  <c r="AH35" i="10" s="1"/>
  <c r="AI33" i="8"/>
  <c r="AJ33" i="8"/>
  <c r="AH34" i="8"/>
  <c r="AI34" i="8"/>
  <c r="AJ34" i="8"/>
  <c r="AH35" i="8"/>
  <c r="AI35" i="8"/>
  <c r="AJ35" i="8"/>
  <c r="AH36" i="8"/>
  <c r="AH38" i="10" s="1"/>
  <c r="AI36" i="8"/>
  <c r="AJ36" i="8"/>
  <c r="AH37" i="8"/>
  <c r="AI37" i="8"/>
  <c r="AJ37" i="8"/>
  <c r="AH38" i="8"/>
  <c r="AH40" i="10" s="1"/>
  <c r="AI38" i="8"/>
  <c r="AJ38" i="8"/>
  <c r="AH39" i="8"/>
  <c r="AH41" i="10" s="1"/>
  <c r="AI39" i="8"/>
  <c r="AJ39" i="8"/>
  <c r="AH40" i="8"/>
  <c r="AI40" i="8"/>
  <c r="AJ40" i="8"/>
  <c r="AH41" i="8"/>
  <c r="AH43" i="10" s="1"/>
  <c r="AI41" i="8"/>
  <c r="AJ41" i="8"/>
  <c r="AH42" i="8"/>
  <c r="AI42" i="8"/>
  <c r="AJ42" i="8"/>
  <c r="AH43" i="8"/>
  <c r="AI43" i="8"/>
  <c r="AJ43" i="8"/>
  <c r="AH44" i="8"/>
  <c r="AH46" i="10" s="1"/>
  <c r="AI44" i="8"/>
  <c r="AJ44" i="8"/>
  <c r="AH45" i="8"/>
  <c r="AI45" i="8"/>
  <c r="AJ45" i="8"/>
  <c r="AH46" i="8"/>
  <c r="AI46" i="8"/>
  <c r="AJ46" i="8"/>
  <c r="AH47" i="8"/>
  <c r="AH49" i="10" s="1"/>
  <c r="AI47" i="8"/>
  <c r="AJ47" i="8"/>
  <c r="AH48" i="8"/>
  <c r="AI48" i="8"/>
  <c r="AJ48" i="8"/>
  <c r="AH49" i="8"/>
  <c r="AH51" i="10" s="1"/>
  <c r="AI49" i="8"/>
  <c r="AJ49" i="8"/>
  <c r="AH50" i="8"/>
  <c r="AI50" i="8"/>
  <c r="AJ50" i="8"/>
  <c r="AH51" i="8"/>
  <c r="AI51" i="8"/>
  <c r="AJ51" i="8"/>
  <c r="AH52" i="8"/>
  <c r="AI52" i="8"/>
  <c r="AJ52" i="8"/>
  <c r="AH53" i="8"/>
  <c r="AI53" i="8"/>
  <c r="AJ53" i="8"/>
  <c r="AH54" i="8"/>
  <c r="AI54" i="8"/>
  <c r="AJ54" i="8"/>
  <c r="AH55" i="8"/>
  <c r="AI55" i="8"/>
  <c r="AJ55" i="8"/>
  <c r="AH56" i="8"/>
  <c r="AI56" i="8"/>
  <c r="AJ56" i="8"/>
  <c r="AH57" i="8"/>
  <c r="AH59" i="10" s="1"/>
  <c r="AI57" i="8"/>
  <c r="AJ57" i="8"/>
  <c r="AH58" i="8"/>
  <c r="AI58" i="8"/>
  <c r="AJ58" i="8"/>
  <c r="AH59" i="8"/>
  <c r="AH61" i="21" s="1"/>
  <c r="AI59" i="8"/>
  <c r="AJ59" i="8"/>
  <c r="AH60" i="8"/>
  <c r="AH62" i="10" s="1"/>
  <c r="AI60" i="8"/>
  <c r="AJ60" i="8"/>
  <c r="AH61" i="8"/>
  <c r="AI61" i="8"/>
  <c r="AJ61" i="8"/>
  <c r="AH62" i="8"/>
  <c r="AI62" i="8"/>
  <c r="AJ62" i="8"/>
  <c r="AH63" i="8"/>
  <c r="AH65" i="10" s="1"/>
  <c r="AI63" i="8"/>
  <c r="AJ63" i="8"/>
  <c r="AH64" i="8"/>
  <c r="AI64" i="8"/>
  <c r="AJ64" i="8"/>
  <c r="AH65" i="8"/>
  <c r="AH67" i="10" s="1"/>
  <c r="AI65" i="8"/>
  <c r="AJ65" i="8"/>
  <c r="AH66" i="8"/>
  <c r="AH68" i="10" s="1"/>
  <c r="AI66" i="8"/>
  <c r="AJ66" i="8"/>
  <c r="AH67" i="8"/>
  <c r="AI67" i="8"/>
  <c r="AJ67" i="8"/>
  <c r="AH68" i="8"/>
  <c r="AH70" i="10" s="1"/>
  <c r="AI68" i="8"/>
  <c r="AJ68" i="8"/>
  <c r="AH69" i="8"/>
  <c r="AI69" i="8"/>
  <c r="AJ69" i="8"/>
  <c r="AH70" i="8"/>
  <c r="AI70" i="8"/>
  <c r="AJ70" i="8"/>
  <c r="AH71" i="8"/>
  <c r="AI71" i="8"/>
  <c r="AJ71" i="8"/>
  <c r="AH72" i="8"/>
  <c r="AI72" i="8"/>
  <c r="AJ72" i="8"/>
  <c r="AH73" i="8"/>
  <c r="AH75" i="10" s="1"/>
  <c r="AI73" i="8"/>
  <c r="AJ73" i="8"/>
  <c r="AH74" i="8"/>
  <c r="AI74" i="8"/>
  <c r="AJ74" i="8"/>
  <c r="AH75" i="8"/>
  <c r="AI75" i="8"/>
  <c r="AJ75" i="8"/>
  <c r="AH76" i="8"/>
  <c r="AH78" i="10" s="1"/>
  <c r="AI76" i="8"/>
  <c r="AJ76" i="8"/>
  <c r="AH77" i="8"/>
  <c r="AI77" i="8"/>
  <c r="AJ77" i="8"/>
  <c r="AH78" i="8"/>
  <c r="AI78" i="8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J85" i="8"/>
  <c r="AH86" i="8"/>
  <c r="AI86" i="8"/>
  <c r="AJ86" i="8"/>
  <c r="AH87" i="8"/>
  <c r="AI87" i="8"/>
  <c r="AJ87" i="8"/>
  <c r="AH88" i="8"/>
  <c r="AH90" i="10" s="1"/>
  <c r="AI88" i="8"/>
  <c r="AJ88" i="8"/>
  <c r="AH89" i="8"/>
  <c r="AI89" i="8"/>
  <c r="AJ89" i="8"/>
  <c r="AH90" i="8"/>
  <c r="AI90" i="8"/>
  <c r="AJ90" i="8"/>
  <c r="AH91" i="8"/>
  <c r="AH93" i="21" s="1"/>
  <c r="AI91" i="8"/>
  <c r="AJ91" i="8"/>
  <c r="AH92" i="8"/>
  <c r="AI92" i="8"/>
  <c r="AJ92" i="8"/>
  <c r="AH93" i="8"/>
  <c r="AI93" i="8"/>
  <c r="AJ93" i="8"/>
  <c r="AH94" i="8"/>
  <c r="AH96" i="21" s="1"/>
  <c r="AI94" i="8"/>
  <c r="AJ94" i="8"/>
  <c r="AH95" i="8"/>
  <c r="AH97" i="10" s="1"/>
  <c r="AI95" i="8"/>
  <c r="AJ95" i="8"/>
  <c r="AH96" i="8"/>
  <c r="AI96" i="8"/>
  <c r="AJ96" i="8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J104" i="8"/>
  <c r="AH105" i="8"/>
  <c r="AI105" i="8"/>
  <c r="AJ105" i="8"/>
  <c r="AH106" i="8"/>
  <c r="AI106" i="8"/>
  <c r="AJ106" i="8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J112" i="8"/>
  <c r="AH113" i="8"/>
  <c r="AI113" i="8"/>
  <c r="AJ113" i="8"/>
  <c r="AH114" i="8"/>
  <c r="AI114" i="8"/>
  <c r="AJ114" i="8"/>
  <c r="AH115" i="8"/>
  <c r="AI115" i="8"/>
  <c r="AJ115" i="8"/>
  <c r="AH116" i="8"/>
  <c r="AI116" i="8"/>
  <c r="AJ116" i="8"/>
  <c r="AH117" i="8"/>
  <c r="AI117" i="8"/>
  <c r="AJ117" i="8"/>
  <c r="AH118" i="8"/>
  <c r="AI118" i="8"/>
  <c r="AJ118" i="8"/>
  <c r="AH119" i="8"/>
  <c r="AI119" i="8"/>
  <c r="AJ119" i="8"/>
  <c r="AH120" i="8"/>
  <c r="AI120" i="8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J134" i="8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J144" i="8"/>
  <c r="AH145" i="8"/>
  <c r="AI145" i="8"/>
  <c r="AJ145" i="8"/>
  <c r="AH146" i="8"/>
  <c r="AH148" i="10" s="1"/>
  <c r="AI146" i="8"/>
  <c r="AJ146" i="8"/>
  <c r="AH147" i="8"/>
  <c r="AI147" i="8"/>
  <c r="AJ147" i="8"/>
  <c r="AH148" i="8"/>
  <c r="AI148" i="8"/>
  <c r="AJ148" i="8"/>
  <c r="AH149" i="8"/>
  <c r="AI149" i="8"/>
  <c r="AJ149" i="8"/>
  <c r="AH150" i="8"/>
  <c r="AI150" i="8"/>
  <c r="AJ150" i="8"/>
  <c r="AH151" i="8"/>
  <c r="AI151" i="8"/>
  <c r="AJ151" i="8"/>
  <c r="AH152" i="8"/>
  <c r="AH154" i="10" s="1"/>
  <c r="AI152" i="8"/>
  <c r="AJ152" i="8"/>
  <c r="AH153" i="8"/>
  <c r="AI153" i="8"/>
  <c r="AJ153" i="8"/>
  <c r="AH154" i="8"/>
  <c r="AI154" i="8"/>
  <c r="AJ154" i="8"/>
  <c r="AH155" i="8"/>
  <c r="AH157" i="21" s="1"/>
  <c r="AI155" i="8"/>
  <c r="AJ155" i="8"/>
  <c r="AH156" i="8"/>
  <c r="AI156" i="8"/>
  <c r="AJ156" i="8"/>
  <c r="AH157" i="8"/>
  <c r="AI157" i="8"/>
  <c r="AJ157" i="8"/>
  <c r="AH158" i="8"/>
  <c r="AH160" i="21" s="1"/>
  <c r="AI158" i="8"/>
  <c r="AJ158" i="8"/>
  <c r="AH159" i="8"/>
  <c r="AI159" i="8"/>
  <c r="AJ159" i="8"/>
  <c r="AH160" i="8"/>
  <c r="AI160" i="8"/>
  <c r="AJ160" i="8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H209" i="8"/>
  <c r="AI209" i="8"/>
  <c r="AJ209" i="8"/>
  <c r="AH210" i="8"/>
  <c r="AI210" i="8"/>
  <c r="AJ210" i="8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H227" i="8"/>
  <c r="AI227" i="8"/>
  <c r="AJ227" i="8"/>
  <c r="AH228" i="8"/>
  <c r="AI228" i="8"/>
  <c r="AJ228" i="8"/>
  <c r="AH229" i="8"/>
  <c r="AH231" i="10" s="1"/>
  <c r="AI229" i="8"/>
  <c r="AJ229" i="8"/>
  <c r="AH230" i="8"/>
  <c r="AI230" i="8"/>
  <c r="AJ230" i="8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H241" i="8"/>
  <c r="AI241" i="8"/>
  <c r="AJ241" i="8"/>
  <c r="AH242" i="8"/>
  <c r="AI242" i="8"/>
  <c r="AJ242" i="8"/>
  <c r="AH243" i="8"/>
  <c r="AH245" i="11" s="1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H247" i="8"/>
  <c r="AI247" i="8"/>
  <c r="AJ247" i="8"/>
  <c r="AH248" i="8"/>
  <c r="AI248" i="8"/>
  <c r="AJ248" i="8"/>
  <c r="AH249" i="8"/>
  <c r="AH251" i="21" s="1"/>
  <c r="AI249" i="8"/>
  <c r="AJ249" i="8"/>
  <c r="AH250" i="8"/>
  <c r="AH252" i="10" s="1"/>
  <c r="AI250" i="8"/>
  <c r="AJ250" i="8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H279" i="8"/>
  <c r="AI279" i="8"/>
  <c r="AJ279" i="8"/>
  <c r="AH280" i="8"/>
  <c r="AH282" i="10" s="1"/>
  <c r="AI280" i="8"/>
  <c r="AJ280" i="8"/>
  <c r="AH281" i="8"/>
  <c r="AI281" i="8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J286" i="8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H319" i="8"/>
  <c r="AI319" i="8"/>
  <c r="AJ319" i="8"/>
  <c r="AH320" i="8"/>
  <c r="AH322" i="11" s="1"/>
  <c r="AI320" i="8"/>
  <c r="AJ320" i="8"/>
  <c r="AH321" i="8"/>
  <c r="AI321" i="8"/>
  <c r="AJ321" i="8"/>
  <c r="AH322" i="8"/>
  <c r="AI322" i="8"/>
  <c r="AJ322" i="8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J336" i="8"/>
  <c r="AH337" i="8"/>
  <c r="AI337" i="8"/>
  <c r="AJ337" i="8"/>
  <c r="AH338" i="8"/>
  <c r="AI338" i="8"/>
  <c r="AJ338" i="8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J363" i="8"/>
  <c r="AH364" i="8"/>
  <c r="AI364" i="8"/>
  <c r="AJ364" i="8"/>
  <c r="AH365" i="8"/>
  <c r="AH367" i="11" s="1"/>
  <c r="AI365" i="8"/>
  <c r="AJ365" i="8"/>
  <c r="AH366" i="8"/>
  <c r="AI366" i="8"/>
  <c r="AJ366" i="8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G2" i="10"/>
  <c r="AF2" i="10"/>
  <c r="AE2" i="10"/>
  <c r="AD2" i="10"/>
  <c r="AB2" i="2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D366" i="8"/>
  <c r="E366" i="8"/>
  <c r="F366" i="8"/>
  <c r="G366" i="8"/>
  <c r="H366" i="8"/>
  <c r="I366" i="8"/>
  <c r="J366" i="8"/>
  <c r="J367" i="9" s="1"/>
  <c r="K366" i="8"/>
  <c r="L366" i="8"/>
  <c r="M366" i="8"/>
  <c r="N366" i="8"/>
  <c r="O366" i="8"/>
  <c r="P366" i="8"/>
  <c r="Q366" i="8"/>
  <c r="R366" i="8"/>
  <c r="R367" i="9" s="1"/>
  <c r="S366" i="8"/>
  <c r="T366" i="8"/>
  <c r="U366" i="8"/>
  <c r="V366" i="8"/>
  <c r="W366" i="8"/>
  <c r="X366" i="8"/>
  <c r="X368" i="21" s="1"/>
  <c r="Y366" i="8"/>
  <c r="Y367" i="9" s="1"/>
  <c r="Z366" i="8"/>
  <c r="Z367" i="9" s="1"/>
  <c r="AA366" i="8"/>
  <c r="AB366" i="8"/>
  <c r="AC366" i="8"/>
  <c r="AD366" i="8"/>
  <c r="AD367" i="9" s="1"/>
  <c r="AE366" i="8"/>
  <c r="AE367" i="9" s="1"/>
  <c r="AF366" i="8"/>
  <c r="AG366" i="8"/>
  <c r="A367" i="8"/>
  <c r="A369" i="11" s="1"/>
  <c r="B367" i="8"/>
  <c r="C367" i="8"/>
  <c r="D367" i="8"/>
  <c r="E367" i="8"/>
  <c r="F367" i="8"/>
  <c r="G367" i="8"/>
  <c r="H367" i="8"/>
  <c r="I367" i="8"/>
  <c r="I368" i="9" s="1"/>
  <c r="J367" i="8"/>
  <c r="K367" i="8"/>
  <c r="L367" i="8"/>
  <c r="M367" i="8"/>
  <c r="N367" i="8"/>
  <c r="O367" i="8"/>
  <c r="P367" i="8"/>
  <c r="Q367" i="8"/>
  <c r="Q368" i="9" s="1"/>
  <c r="R367" i="8"/>
  <c r="S367" i="8"/>
  <c r="T367" i="8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C367" i="8"/>
  <c r="AD367" i="8"/>
  <c r="AE367" i="8"/>
  <c r="AF367" i="8"/>
  <c r="AG367" i="8"/>
  <c r="AG368" i="9" s="1"/>
  <c r="A368" i="8"/>
  <c r="B368" i="8"/>
  <c r="C368" i="8"/>
  <c r="D368" i="8"/>
  <c r="E368" i="8"/>
  <c r="F368" i="8"/>
  <c r="G368" i="8"/>
  <c r="H368" i="8"/>
  <c r="H369" i="9" s="1"/>
  <c r="I368" i="8"/>
  <c r="I369" i="9" s="1"/>
  <c r="J368" i="8"/>
  <c r="K368" i="8"/>
  <c r="L368" i="8"/>
  <c r="M368" i="8"/>
  <c r="N368" i="8"/>
  <c r="O368" i="8"/>
  <c r="P368" i="8"/>
  <c r="Q368" i="8"/>
  <c r="Q369" i="9" s="1"/>
  <c r="R368" i="8"/>
  <c r="S368" i="8"/>
  <c r="T368" i="8"/>
  <c r="U368" i="8"/>
  <c r="V368" i="8"/>
  <c r="W368" i="8"/>
  <c r="X368" i="8"/>
  <c r="X369" i="9" s="1"/>
  <c r="Y368" i="8"/>
  <c r="Z368" i="8"/>
  <c r="AA368" i="8"/>
  <c r="AB368" i="8"/>
  <c r="AC368" i="8"/>
  <c r="AC369" i="9" s="1"/>
  <c r="AD368" i="8"/>
  <c r="AE368" i="8"/>
  <c r="AF368" i="8"/>
  <c r="AF369" i="9" s="1"/>
  <c r="AG368" i="8"/>
  <c r="AG369" i="9" s="1"/>
  <c r="A369" i="8"/>
  <c r="B369" i="8"/>
  <c r="C369" i="8"/>
  <c r="D369" i="8"/>
  <c r="E369" i="8"/>
  <c r="F369" i="8"/>
  <c r="G369" i="8"/>
  <c r="G370" i="9" s="1"/>
  <c r="H369" i="8"/>
  <c r="H370" i="9" s="1"/>
  <c r="I369" i="8"/>
  <c r="J369" i="8"/>
  <c r="K369" i="8"/>
  <c r="L369" i="8"/>
  <c r="M369" i="8"/>
  <c r="N369" i="8"/>
  <c r="O369" i="8"/>
  <c r="O370" i="9" s="1"/>
  <c r="P369" i="8"/>
  <c r="Q369" i="8"/>
  <c r="R369" i="8"/>
  <c r="S369" i="8"/>
  <c r="T369" i="8"/>
  <c r="U369" i="8"/>
  <c r="V369" i="8"/>
  <c r="W369" i="8"/>
  <c r="W370" i="9" s="1"/>
  <c r="X369" i="8"/>
  <c r="Y369" i="8"/>
  <c r="Z369" i="8"/>
  <c r="AA369" i="8"/>
  <c r="AA370" i="9" s="1"/>
  <c r="AB369" i="8"/>
  <c r="AC369" i="8"/>
  <c r="AC370" i="9" s="1"/>
  <c r="AD369" i="8"/>
  <c r="AE369" i="8"/>
  <c r="AE370" i="9" s="1"/>
  <c r="AF369" i="8"/>
  <c r="AF370" i="9" s="1"/>
  <c r="AG369" i="8"/>
  <c r="AG370" i="9" s="1"/>
  <c r="A370" i="8"/>
  <c r="B370" i="8"/>
  <c r="C370" i="8"/>
  <c r="D370" i="8"/>
  <c r="E370" i="8"/>
  <c r="F370" i="8"/>
  <c r="F371" i="9" s="1"/>
  <c r="G370" i="8"/>
  <c r="G371" i="9" s="1"/>
  <c r="H370" i="8"/>
  <c r="I370" i="8"/>
  <c r="J370" i="8"/>
  <c r="K370" i="8"/>
  <c r="L370" i="8"/>
  <c r="M370" i="8"/>
  <c r="N370" i="8"/>
  <c r="N371" i="9" s="1"/>
  <c r="O370" i="8"/>
  <c r="O371" i="9" s="1"/>
  <c r="P370" i="8"/>
  <c r="Q370" i="8"/>
  <c r="R370" i="8"/>
  <c r="S370" i="8"/>
  <c r="T370" i="8"/>
  <c r="U370" i="8"/>
  <c r="V370" i="8"/>
  <c r="V371" i="9" s="1"/>
  <c r="W370" i="8"/>
  <c r="X370" i="8"/>
  <c r="X371" i="9" s="1"/>
  <c r="Y370" i="8"/>
  <c r="Z370" i="8"/>
  <c r="AA370" i="8"/>
  <c r="AB370" i="8"/>
  <c r="AC370" i="8"/>
  <c r="AD370" i="8"/>
  <c r="AD371" i="9" s="1"/>
  <c r="AE370" i="8"/>
  <c r="AE371" i="9" s="1"/>
  <c r="AF370" i="8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P371" i="8"/>
  <c r="Q371" i="8"/>
  <c r="R371" i="8"/>
  <c r="S371" i="8"/>
  <c r="T371" i="8"/>
  <c r="U371" i="8"/>
  <c r="V371" i="8"/>
  <c r="V372" i="9" s="1"/>
  <c r="W371" i="8"/>
  <c r="X371" i="8"/>
  <c r="Y371" i="8"/>
  <c r="Y372" i="9" s="1"/>
  <c r="Z371" i="8"/>
  <c r="AA371" i="8"/>
  <c r="AB371" i="8"/>
  <c r="AC371" i="8"/>
  <c r="AC372" i="9" s="1"/>
  <c r="AD371" i="8"/>
  <c r="AE371" i="8"/>
  <c r="AF371" i="8"/>
  <c r="AG371" i="8"/>
  <c r="A372" i="8"/>
  <c r="B372" i="8"/>
  <c r="C372" i="8"/>
  <c r="D372" i="8"/>
  <c r="D373" i="9" s="1"/>
  <c r="E372" i="8"/>
  <c r="F372" i="8"/>
  <c r="G372" i="8"/>
  <c r="H372" i="8"/>
  <c r="I372" i="8"/>
  <c r="J372" i="8"/>
  <c r="K372" i="8"/>
  <c r="L372" i="8"/>
  <c r="L373" i="9" s="1"/>
  <c r="M372" i="8"/>
  <c r="M373" i="9" s="1"/>
  <c r="N372" i="8"/>
  <c r="O372" i="8"/>
  <c r="P372" i="8"/>
  <c r="Q372" i="8"/>
  <c r="R372" i="8"/>
  <c r="S372" i="8"/>
  <c r="T372" i="8"/>
  <c r="T373" i="9" s="1"/>
  <c r="U372" i="8"/>
  <c r="U373" i="9" s="1"/>
  <c r="V372" i="8"/>
  <c r="W372" i="8"/>
  <c r="X372" i="8"/>
  <c r="X373" i="9" s="1"/>
  <c r="Y372" i="8"/>
  <c r="Z372" i="8"/>
  <c r="AA372" i="8"/>
  <c r="AB372" i="8"/>
  <c r="AB373" i="9" s="1"/>
  <c r="AC372" i="8"/>
  <c r="AD372" i="8"/>
  <c r="AE372" i="8"/>
  <c r="AF372" i="8"/>
  <c r="AG372" i="8"/>
  <c r="A373" i="8"/>
  <c r="B373" i="8"/>
  <c r="C373" i="8"/>
  <c r="D373" i="8"/>
  <c r="E373" i="8"/>
  <c r="F373" i="8"/>
  <c r="G373" i="8"/>
  <c r="H373" i="8"/>
  <c r="I373" i="8"/>
  <c r="J373" i="8"/>
  <c r="K373" i="8"/>
  <c r="K374" i="9" s="1"/>
  <c r="L373" i="8"/>
  <c r="L374" i="9" s="1"/>
  <c r="M373" i="8"/>
  <c r="N373" i="8"/>
  <c r="O373" i="8"/>
  <c r="P373" i="8"/>
  <c r="Q373" i="8"/>
  <c r="R373" i="8"/>
  <c r="S373" i="8"/>
  <c r="S374" i="9" s="1"/>
  <c r="T373" i="8"/>
  <c r="T374" i="9" s="1"/>
  <c r="U373" i="8"/>
  <c r="V373" i="8"/>
  <c r="W373" i="8"/>
  <c r="X373" i="8"/>
  <c r="X374" i="9" s="1"/>
  <c r="Y373" i="8"/>
  <c r="Z373" i="8"/>
  <c r="AA373" i="8"/>
  <c r="AA374" i="9" s="1"/>
  <c r="AB373" i="8"/>
  <c r="AC373" i="8"/>
  <c r="AD373" i="8"/>
  <c r="AE373" i="8"/>
  <c r="AF373" i="8"/>
  <c r="AG373" i="8"/>
  <c r="A374" i="8"/>
  <c r="B374" i="8"/>
  <c r="B375" i="9" s="1"/>
  <c r="C374" i="8"/>
  <c r="C375" i="9" s="1"/>
  <c r="D374" i="8"/>
  <c r="E374" i="8"/>
  <c r="F374" i="8"/>
  <c r="G374" i="8"/>
  <c r="H374" i="8"/>
  <c r="I374" i="8"/>
  <c r="J374" i="8"/>
  <c r="J375" i="9" s="1"/>
  <c r="K374" i="8"/>
  <c r="K375" i="9" s="1"/>
  <c r="L374" i="8"/>
  <c r="M374" i="8"/>
  <c r="N374" i="8"/>
  <c r="O374" i="8"/>
  <c r="P374" i="8"/>
  <c r="Q374" i="8"/>
  <c r="R374" i="8"/>
  <c r="R375" i="9" s="1"/>
  <c r="S374" i="8"/>
  <c r="S375" i="9" s="1"/>
  <c r="T374" i="8"/>
  <c r="U374" i="8"/>
  <c r="V374" i="8"/>
  <c r="W374" i="8"/>
  <c r="X374" i="8"/>
  <c r="Y374" i="8"/>
  <c r="Y375" i="9" s="1"/>
  <c r="Z374" i="8"/>
  <c r="Z375" i="9" s="1"/>
  <c r="AA374" i="8"/>
  <c r="AB374" i="8"/>
  <c r="AC374" i="8"/>
  <c r="AD374" i="8"/>
  <c r="AE374" i="8"/>
  <c r="AF374" i="8"/>
  <c r="AG374" i="8"/>
  <c r="A369" i="9"/>
  <c r="G369" i="9"/>
  <c r="K369" i="9"/>
  <c r="O369" i="9"/>
  <c r="S369" i="9"/>
  <c r="W369" i="9"/>
  <c r="Y369" i="9"/>
  <c r="AA369" i="9"/>
  <c r="AE369" i="9"/>
  <c r="F370" i="9"/>
  <c r="N370" i="9"/>
  <c r="P370" i="9"/>
  <c r="V370" i="9"/>
  <c r="X370" i="9"/>
  <c r="AD370" i="9"/>
  <c r="I371" i="9"/>
  <c r="Q371" i="9"/>
  <c r="W371" i="9"/>
  <c r="Y371" i="9"/>
  <c r="AG371" i="9"/>
  <c r="AD372" i="9"/>
  <c r="E373" i="9"/>
  <c r="G373" i="9"/>
  <c r="K373" i="9"/>
  <c r="O373" i="9"/>
  <c r="S373" i="9"/>
  <c r="W373" i="9"/>
  <c r="AA373" i="9"/>
  <c r="AC373" i="9"/>
  <c r="AE373" i="9"/>
  <c r="F374" i="9"/>
  <c r="N374" i="9"/>
  <c r="V374" i="9"/>
  <c r="AB374" i="9"/>
  <c r="AD374" i="9"/>
  <c r="I375" i="9"/>
  <c r="Q375" i="9"/>
  <c r="AA375" i="9"/>
  <c r="AG375" i="9"/>
  <c r="F367" i="9"/>
  <c r="G367" i="9"/>
  <c r="H367" i="9"/>
  <c r="I367" i="9"/>
  <c r="K367" i="9"/>
  <c r="L367" i="9"/>
  <c r="M367" i="9"/>
  <c r="N367" i="9"/>
  <c r="O367" i="9"/>
  <c r="P367" i="9"/>
  <c r="Q367" i="9"/>
  <c r="S367" i="9"/>
  <c r="T367" i="9"/>
  <c r="U367" i="9"/>
  <c r="V367" i="9"/>
  <c r="W367" i="9"/>
  <c r="AA367" i="9"/>
  <c r="AB367" i="9"/>
  <c r="AC367" i="9"/>
  <c r="AF367" i="9"/>
  <c r="AG367" i="9"/>
  <c r="F368" i="9"/>
  <c r="G368" i="9"/>
  <c r="H368" i="9"/>
  <c r="J368" i="9"/>
  <c r="K368" i="9"/>
  <c r="L368" i="9"/>
  <c r="M368" i="9"/>
  <c r="N368" i="9"/>
  <c r="O368" i="9"/>
  <c r="P368" i="9"/>
  <c r="R368" i="9"/>
  <c r="S368" i="9"/>
  <c r="T368" i="9"/>
  <c r="U368" i="9"/>
  <c r="V368" i="9"/>
  <c r="W368" i="9"/>
  <c r="AB368" i="9"/>
  <c r="AC368" i="9"/>
  <c r="AD368" i="9"/>
  <c r="AE368" i="9"/>
  <c r="AF368" i="9"/>
  <c r="F369" i="9"/>
  <c r="J369" i="9"/>
  <c r="L369" i="9"/>
  <c r="M369" i="9"/>
  <c r="N369" i="9"/>
  <c r="P369" i="9"/>
  <c r="R369" i="9"/>
  <c r="T369" i="9"/>
  <c r="U369" i="9"/>
  <c r="V369" i="9"/>
  <c r="Z369" i="9"/>
  <c r="AB369" i="9"/>
  <c r="AD369" i="9"/>
  <c r="I370" i="9"/>
  <c r="J370" i="9"/>
  <c r="K370" i="9"/>
  <c r="L370" i="9"/>
  <c r="M370" i="9"/>
  <c r="Q370" i="9"/>
  <c r="R370" i="9"/>
  <c r="S370" i="9"/>
  <c r="T370" i="9"/>
  <c r="U370" i="9"/>
  <c r="Y370" i="9"/>
  <c r="Z370" i="9"/>
  <c r="AB370" i="9"/>
  <c r="H371" i="9"/>
  <c r="J371" i="9"/>
  <c r="K371" i="9"/>
  <c r="L371" i="9"/>
  <c r="M371" i="9"/>
  <c r="P371" i="9"/>
  <c r="R371" i="9"/>
  <c r="S371" i="9"/>
  <c r="T371" i="9"/>
  <c r="U371" i="9"/>
  <c r="Z371" i="9"/>
  <c r="AA371" i="9"/>
  <c r="AB371" i="9"/>
  <c r="AC371" i="9"/>
  <c r="AF371" i="9"/>
  <c r="G372" i="9"/>
  <c r="H372" i="9"/>
  <c r="I372" i="9"/>
  <c r="J372" i="9"/>
  <c r="K372" i="9"/>
  <c r="L372" i="9"/>
  <c r="O372" i="9"/>
  <c r="P372" i="9"/>
  <c r="Q372" i="9"/>
  <c r="R372" i="9"/>
  <c r="S372" i="9"/>
  <c r="T372" i="9"/>
  <c r="U372" i="9"/>
  <c r="W372" i="9"/>
  <c r="X372" i="9"/>
  <c r="Z372" i="9"/>
  <c r="AA372" i="9"/>
  <c r="AB372" i="9"/>
  <c r="AE372" i="9"/>
  <c r="AF372" i="9"/>
  <c r="AG372" i="9"/>
  <c r="F373" i="9"/>
  <c r="H373" i="9"/>
  <c r="I373" i="9"/>
  <c r="J373" i="9"/>
  <c r="N373" i="9"/>
  <c r="P373" i="9"/>
  <c r="Q373" i="9"/>
  <c r="R373" i="9"/>
  <c r="V373" i="9"/>
  <c r="Y373" i="9"/>
  <c r="Z373" i="9"/>
  <c r="AD373" i="9"/>
  <c r="AF373" i="9"/>
  <c r="AG373" i="9"/>
  <c r="G374" i="9"/>
  <c r="H374" i="9"/>
  <c r="I374" i="9"/>
  <c r="J374" i="9"/>
  <c r="M374" i="9"/>
  <c r="O374" i="9"/>
  <c r="P374" i="9"/>
  <c r="Q374" i="9"/>
  <c r="R374" i="9"/>
  <c r="U374" i="9"/>
  <c r="W374" i="9"/>
  <c r="Y374" i="9"/>
  <c r="Z374" i="9"/>
  <c r="AC374" i="9"/>
  <c r="AE374" i="9"/>
  <c r="AF374" i="9"/>
  <c r="AG374" i="9"/>
  <c r="F375" i="9"/>
  <c r="G375" i="9"/>
  <c r="H375" i="9"/>
  <c r="L375" i="9"/>
  <c r="M375" i="9"/>
  <c r="N375" i="9"/>
  <c r="O375" i="9"/>
  <c r="P375" i="9"/>
  <c r="T375" i="9"/>
  <c r="U375" i="9"/>
  <c r="V375" i="9"/>
  <c r="W375" i="9"/>
  <c r="X375" i="9"/>
  <c r="AB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B369" i="9"/>
  <c r="C369" i="9"/>
  <c r="D369" i="9"/>
  <c r="E369" i="9"/>
  <c r="A370" i="9"/>
  <c r="B370" i="9"/>
  <c r="C370" i="9"/>
  <c r="D370" i="9"/>
  <c r="E370" i="9"/>
  <c r="A371" i="9"/>
  <c r="B371" i="9"/>
  <c r="C371" i="9"/>
  <c r="D371" i="9"/>
  <c r="E371" i="9"/>
  <c r="A372" i="9"/>
  <c r="B372" i="9"/>
  <c r="C372" i="9"/>
  <c r="D372" i="9"/>
  <c r="A373" i="9"/>
  <c r="B373" i="9"/>
  <c r="C373" i="9"/>
  <c r="A374" i="9"/>
  <c r="B374" i="9"/>
  <c r="C374" i="9"/>
  <c r="D374" i="9"/>
  <c r="E374" i="9"/>
  <c r="A375" i="9"/>
  <c r="D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D367" i="9"/>
  <c r="E367" i="9"/>
  <c r="A368" i="9"/>
  <c r="B368" i="9"/>
  <c r="C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Q2" i="2"/>
  <c r="O2" i="2"/>
  <c r="AA368" i="21"/>
  <c r="AB368" i="21"/>
  <c r="AC368" i="11"/>
  <c r="AD368" i="10"/>
  <c r="AF368" i="10"/>
  <c r="AG368" i="11"/>
  <c r="AB369" i="11"/>
  <c r="AC369" i="11"/>
  <c r="AD369" i="21"/>
  <c r="AE369" i="21"/>
  <c r="AF369" i="11"/>
  <c r="O368" i="10"/>
  <c r="P368" i="21"/>
  <c r="Q368" i="10"/>
  <c r="S368" i="21"/>
  <c r="T368" i="21"/>
  <c r="U368" i="11"/>
  <c r="V368" i="10"/>
  <c r="W368" i="10"/>
  <c r="Y368" i="10"/>
  <c r="O369" i="21"/>
  <c r="P369" i="11"/>
  <c r="R369" i="21"/>
  <c r="S369" i="21"/>
  <c r="T369" i="11"/>
  <c r="U369" i="11"/>
  <c r="V369" i="11"/>
  <c r="W369" i="21"/>
  <c r="X369" i="11"/>
  <c r="Z369" i="21"/>
  <c r="E368" i="11"/>
  <c r="F368" i="10"/>
  <c r="G368" i="10"/>
  <c r="H368" i="11"/>
  <c r="I368" i="11"/>
  <c r="J368" i="10"/>
  <c r="K368" i="21"/>
  <c r="L368" i="21"/>
  <c r="M368" i="11"/>
  <c r="N368" i="10"/>
  <c r="E369" i="11"/>
  <c r="F369" i="11"/>
  <c r="G369" i="21"/>
  <c r="H369" i="11"/>
  <c r="J369" i="21"/>
  <c r="K369" i="21"/>
  <c r="L369" i="11"/>
  <c r="M369" i="11"/>
  <c r="N369" i="11"/>
  <c r="A368" i="10"/>
  <c r="B368" i="10"/>
  <c r="C368" i="21"/>
  <c r="D368" i="21"/>
  <c r="B369" i="21"/>
  <c r="C369" i="21"/>
  <c r="D369" i="11"/>
  <c r="AJ2" i="10"/>
  <c r="AJ2" i="11"/>
  <c r="AJ1" i="8"/>
  <c r="AJ3" i="21" s="1"/>
  <c r="AH1" i="8"/>
  <c r="AH3" i="11" s="1"/>
  <c r="A30" i="14" s="1"/>
  <c r="AI1" i="8"/>
  <c r="AI3" i="11" s="1"/>
  <c r="A31" i="14" s="1"/>
  <c r="AQ3" i="2"/>
  <c r="AR3" i="2"/>
  <c r="AS3" i="2"/>
  <c r="AH157" i="10" l="1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S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32" i="14" s="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M372" i="2"/>
  <c r="L372" i="2"/>
  <c r="M371" i="2"/>
  <c r="L371" i="2"/>
  <c r="AH2" i="10" l="1"/>
  <c r="C30" i="14" s="1"/>
  <c r="AH2" i="21"/>
  <c r="D30" i="14" s="1"/>
  <c r="AH2" i="11"/>
  <c r="N372" i="2"/>
  <c r="N371" i="2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B30" i="14" l="1"/>
  <c r="E30" i="14" s="1"/>
  <c r="AC1" i="2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D6" i="14" s="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G346" i="9" l="1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D24" i="14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2" i="14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N261" i="2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D26" i="14" s="1"/>
  <c r="AE367" i="10"/>
  <c r="AE367" i="21"/>
  <c r="AC2" i="21"/>
  <c r="D25" i="14" s="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368" i="2"/>
  <c r="N360" i="2"/>
  <c r="N352" i="2"/>
  <c r="N344" i="2"/>
  <c r="N336" i="2"/>
  <c r="N328" i="2"/>
  <c r="N320" i="2"/>
  <c r="N312" i="2"/>
  <c r="N264" i="2"/>
  <c r="N256" i="2"/>
  <c r="N248" i="2"/>
  <c r="N222" i="2"/>
  <c r="N214" i="2"/>
  <c r="N190" i="2"/>
  <c r="N182" i="2"/>
  <c r="N327" i="2"/>
  <c r="N319" i="2"/>
  <c r="N311" i="2"/>
  <c r="N287" i="2"/>
  <c r="N271" i="2"/>
  <c r="N263" i="2"/>
  <c r="N255" i="2"/>
  <c r="N247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303" i="2"/>
  <c r="N189" i="2"/>
  <c r="N47" i="2"/>
  <c r="N363" i="2"/>
  <c r="N339" i="2"/>
  <c r="N331" i="2"/>
  <c r="N323" i="2"/>
  <c r="N315" i="2"/>
  <c r="N299" i="2"/>
  <c r="N283" i="2"/>
  <c r="N275" i="2"/>
  <c r="N267" i="2"/>
  <c r="N259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370" i="2"/>
  <c r="N346" i="2"/>
  <c r="N330" i="2"/>
  <c r="N314" i="2"/>
  <c r="N298" i="2"/>
  <c r="N266" i="2"/>
  <c r="N258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334" i="2"/>
  <c r="N326" i="2"/>
  <c r="N310" i="2"/>
  <c r="N302" i="2"/>
  <c r="N270" i="2"/>
  <c r="N262" i="2"/>
  <c r="N156" i="2"/>
  <c r="N132" i="2"/>
  <c r="N124" i="2"/>
  <c r="N52" i="2"/>
  <c r="N20" i="2"/>
  <c r="N42" i="2"/>
  <c r="N365" i="2"/>
  <c r="N357" i="2"/>
  <c r="N341" i="2"/>
  <c r="N333" i="2"/>
  <c r="N325" i="2"/>
  <c r="N317" i="2"/>
  <c r="N309" i="2"/>
  <c r="N301" i="2"/>
  <c r="N285" i="2"/>
  <c r="N277" i="2"/>
  <c r="N269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295" i="2"/>
  <c r="N293" i="2"/>
  <c r="N291" i="2"/>
  <c r="N290" i="2"/>
  <c r="N109" i="2"/>
  <c r="N203" i="2"/>
  <c r="N187" i="2"/>
  <c r="N112" i="2"/>
  <c r="N250" i="2"/>
  <c r="N64" i="2"/>
  <c r="N58" i="2"/>
  <c r="N12" i="2"/>
  <c r="N41" i="2"/>
  <c r="N353" i="2"/>
  <c r="N345" i="2"/>
  <c r="N329" i="2"/>
  <c r="N313" i="2"/>
  <c r="N289" i="2"/>
  <c r="N265" i="2"/>
  <c r="N257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N367" i="2"/>
  <c r="N359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364" i="2"/>
  <c r="N356" i="2"/>
  <c r="N340" i="2"/>
  <c r="N332" i="2"/>
  <c r="N324" i="2"/>
  <c r="N316" i="2"/>
  <c r="N300" i="2"/>
  <c r="N292" i="2"/>
  <c r="N284" i="2"/>
  <c r="N276" i="2"/>
  <c r="N268" i="2"/>
  <c r="N260" i="2"/>
  <c r="N242" i="2"/>
  <c r="N234" i="2"/>
  <c r="N226" i="2"/>
  <c r="N218" i="2"/>
  <c r="N210" i="2"/>
  <c r="N186" i="2"/>
  <c r="N178" i="2"/>
  <c r="N170" i="2"/>
  <c r="N278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N308" i="2"/>
  <c r="AF305" i="11"/>
  <c r="N296" i="2"/>
  <c r="AF292" i="9"/>
  <c r="AF293" i="10"/>
  <c r="N288" i="2"/>
  <c r="AF284" i="9"/>
  <c r="AF285" i="10"/>
  <c r="AF131" i="9"/>
  <c r="AF132" i="11"/>
  <c r="N133" i="2"/>
  <c r="N70" i="2"/>
  <c r="AF68" i="9"/>
  <c r="AF69" i="10"/>
  <c r="N354" i="2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N351" i="2"/>
  <c r="AF347" i="9"/>
  <c r="AF346" i="10"/>
  <c r="AF345" i="9"/>
  <c r="AF345" i="10"/>
  <c r="AF344" i="9"/>
  <c r="AF344" i="10"/>
  <c r="AF344" i="11"/>
  <c r="AF335" i="10"/>
  <c r="AF335" i="11"/>
  <c r="AF334" i="10"/>
  <c r="AF334" i="11"/>
  <c r="N335" i="2"/>
  <c r="AF332" i="11"/>
  <c r="AF332" i="10"/>
  <c r="AF319" i="10"/>
  <c r="AF317" i="9"/>
  <c r="AF318" i="10"/>
  <c r="AF304" i="11"/>
  <c r="AF303" i="9"/>
  <c r="AF303" i="11"/>
  <c r="AF302" i="9"/>
  <c r="N305" i="2"/>
  <c r="AF302" i="10"/>
  <c r="AF300" i="9"/>
  <c r="AF301" i="10"/>
  <c r="AF271" i="11"/>
  <c r="AF271" i="10"/>
  <c r="AF269" i="9"/>
  <c r="AF270" i="11"/>
  <c r="AF279" i="10"/>
  <c r="AF278" i="10"/>
  <c r="AF277" i="9"/>
  <c r="N281" i="2"/>
  <c r="AF276" i="11"/>
  <c r="AF275" i="9"/>
  <c r="AF269" i="10"/>
  <c r="AF268" i="9"/>
  <c r="AF258" i="10"/>
  <c r="AF258" i="11"/>
  <c r="AF250" i="9"/>
  <c r="AF251" i="10"/>
  <c r="N253" i="2"/>
  <c r="AF250" i="10"/>
  <c r="AF249" i="9"/>
  <c r="AF249" i="10"/>
  <c r="AF248" i="9"/>
  <c r="N252" i="2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86" i="2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366" i="2"/>
  <c r="N358" i="2"/>
  <c r="N342" i="2"/>
  <c r="N318" i="2"/>
  <c r="N294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350" i="2"/>
  <c r="N280" i="2"/>
  <c r="N135" i="2"/>
  <c r="N131" i="2"/>
  <c r="N297" i="2"/>
  <c r="N249" i="2"/>
  <c r="N228" i="2"/>
  <c r="N183" i="2"/>
  <c r="N167" i="2"/>
  <c r="N355" i="2"/>
  <c r="N204" i="2"/>
  <c r="N369" i="2"/>
  <c r="N362" i="2"/>
  <c r="N361" i="2"/>
  <c r="N349" i="2"/>
  <c r="N348" i="2"/>
  <c r="N347" i="2"/>
  <c r="N343" i="2"/>
  <c r="N338" i="2"/>
  <c r="N337" i="2"/>
  <c r="N322" i="2"/>
  <c r="N321" i="2"/>
  <c r="N307" i="2"/>
  <c r="N306" i="2"/>
  <c r="N304" i="2"/>
  <c r="N274" i="2"/>
  <c r="N282" i="2"/>
  <c r="N279" i="2"/>
  <c r="N272" i="2"/>
  <c r="N25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273" i="2"/>
  <c r="N8" i="2"/>
  <c r="N7" i="2"/>
  <c r="N5" i="2"/>
  <c r="N31" i="2"/>
  <c r="N17" i="2"/>
  <c r="N251" i="2"/>
  <c r="AI1" i="2"/>
  <c r="N9" i="2"/>
  <c r="O1" i="2"/>
  <c r="W1" i="2"/>
  <c r="AE1" i="2"/>
  <c r="AM1" i="2"/>
  <c r="W1" i="9" l="1"/>
  <c r="AG2" i="21"/>
  <c r="D29" i="14" s="1"/>
  <c r="D1" i="11"/>
  <c r="F2" i="10"/>
  <c r="C2" i="14" s="1"/>
  <c r="O2" i="11"/>
  <c r="B11" i="14" s="1"/>
  <c r="D1" i="10"/>
  <c r="AE2" i="21"/>
  <c r="D27" i="14" s="1"/>
  <c r="AF2" i="21"/>
  <c r="D28" i="14" s="1"/>
  <c r="B28" i="14" s="1"/>
  <c r="AB2" i="10"/>
  <c r="C24" i="14" s="1"/>
  <c r="C26" i="14"/>
  <c r="AC2" i="10"/>
  <c r="C25" i="14" s="1"/>
  <c r="AA2" i="10"/>
  <c r="C23" i="14" s="1"/>
  <c r="K2" i="10"/>
  <c r="C7" i="14" s="1"/>
  <c r="AG2" i="11"/>
  <c r="Z2" i="10"/>
  <c r="C22" i="14" s="1"/>
  <c r="X2" i="10"/>
  <c r="C20" i="14" s="1"/>
  <c r="Y2" i="10"/>
  <c r="C21" i="14" s="1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K2" i="11"/>
  <c r="B7" i="14" s="1"/>
  <c r="AA2" i="11"/>
  <c r="B23" i="14" s="1"/>
  <c r="L2" i="11"/>
  <c r="B8" i="14" s="1"/>
  <c r="AC2" i="11"/>
  <c r="B25" i="14" s="1"/>
  <c r="F2" i="11"/>
  <c r="B2" i="14" s="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E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C27" i="14"/>
  <c r="C28" i="14"/>
  <c r="C29" i="14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B27" i="14" l="1"/>
  <c r="E27" i="14" s="1"/>
  <c r="B29" i="14"/>
  <c r="E29" i="14" s="1"/>
  <c r="E28" i="14"/>
  <c r="E25" i="14"/>
  <c r="E26" i="14"/>
  <c r="B24" i="14"/>
  <c r="E24" i="14" s="1"/>
  <c r="E23" i="14"/>
  <c r="E20" i="14"/>
  <c r="E21" i="14"/>
  <c r="E19" i="14"/>
  <c r="E17" i="14"/>
  <c r="E18" i="14"/>
  <c r="E16" i="14"/>
  <c r="E12" i="14"/>
  <c r="E15" i="14"/>
  <c r="E13" i="14"/>
  <c r="E14" i="14"/>
  <c r="E11" i="14"/>
  <c r="E8" i="14"/>
  <c r="E9" i="14"/>
  <c r="E10" i="14"/>
  <c r="E7" i="14"/>
  <c r="E4" i="14"/>
  <c r="E5" i="14"/>
  <c r="E6" i="14"/>
  <c r="E2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<sst xmlns="http://schemas.openxmlformats.org/spreadsheetml/2006/main" count="4424" uniqueCount="1333">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</sst>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</cellXfs>
  <cellStyles count="2">
    <cellStyle name="Normal" xfId="0" builtinId="0"/>
    <cellStyle name="Porcentaje" xfId="1" builtinId="5"/>
  </cellStyles>
  <dxfs count="22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  <c:pt idx="25">
                  <c:v>11</c:v>
                </c:pt>
                <c:pt idx="26">
                  <c:v>10</c:v>
                </c:pt>
                <c:pt idx="27">
                  <c:v>8</c:v>
                </c:pt>
                <c:pt idx="2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6-4C27-9D1E-57C2AA4278B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  <c:pt idx="25">
                  <c:v>44</c:v>
                </c:pt>
                <c:pt idx="26">
                  <c:v>46</c:v>
                </c:pt>
                <c:pt idx="27">
                  <c:v>68</c:v>
                </c:pt>
                <c:pt idx="28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6-4C27-9D1E-57C2AA42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  <c:pt idx="25">
                  <c:v>11</c:v>
                </c:pt>
                <c:pt idx="26">
                  <c:v>10</c:v>
                </c:pt>
                <c:pt idx="27">
                  <c:v>8</c:v>
                </c:pt>
                <c:pt idx="2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  <c:pt idx="25">
                  <c:v>44</c:v>
                </c:pt>
                <c:pt idx="26">
                  <c:v>46</c:v>
                </c:pt>
                <c:pt idx="27">
                  <c:v>68</c:v>
                </c:pt>
                <c:pt idx="28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  <c:pt idx="25">
                  <c:v>55</c:v>
                </c:pt>
                <c:pt idx="26">
                  <c:v>56</c:v>
                </c:pt>
                <c:pt idx="27">
                  <c:v>76</c:v>
                </c:pt>
                <c:pt idx="28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  <c:pt idx="25">
                  <c:v>11</c:v>
                </c:pt>
                <c:pt idx="26">
                  <c:v>10</c:v>
                </c:pt>
                <c:pt idx="27">
                  <c:v>8</c:v>
                </c:pt>
                <c:pt idx="2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  <c:pt idx="25">
                  <c:v>44</c:v>
                </c:pt>
                <c:pt idx="26">
                  <c:v>46</c:v>
                </c:pt>
                <c:pt idx="27">
                  <c:v>68</c:v>
                </c:pt>
                <c:pt idx="28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  <c:pt idx="25">
                  <c:v>55</c:v>
                </c:pt>
                <c:pt idx="26">
                  <c:v>56</c:v>
                </c:pt>
                <c:pt idx="27">
                  <c:v>76</c:v>
                </c:pt>
                <c:pt idx="28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  <c:pt idx="25">
                  <c:v>11</c:v>
                </c:pt>
                <c:pt idx="26">
                  <c:v>10</c:v>
                </c:pt>
                <c:pt idx="27">
                  <c:v>8</c:v>
                </c:pt>
                <c:pt idx="2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  <c:pt idx="25">
                  <c:v>44</c:v>
                </c:pt>
                <c:pt idx="26">
                  <c:v>46</c:v>
                </c:pt>
                <c:pt idx="27">
                  <c:v>68</c:v>
                </c:pt>
                <c:pt idx="28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  <c:pt idx="25">
                  <c:v>11</c:v>
                </c:pt>
                <c:pt idx="26">
                  <c:v>10</c:v>
                </c:pt>
                <c:pt idx="27">
                  <c:v>8</c:v>
                </c:pt>
                <c:pt idx="2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  <c:pt idx="25">
                  <c:v>44</c:v>
                </c:pt>
                <c:pt idx="26">
                  <c:v>46</c:v>
                </c:pt>
                <c:pt idx="27">
                  <c:v>68</c:v>
                </c:pt>
                <c:pt idx="28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  <c:pt idx="25">
                  <c:v>55</c:v>
                </c:pt>
                <c:pt idx="26">
                  <c:v>56</c:v>
                </c:pt>
                <c:pt idx="27">
                  <c:v>76</c:v>
                </c:pt>
                <c:pt idx="28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  <c:pt idx="25">
                  <c:v>11</c:v>
                </c:pt>
                <c:pt idx="26">
                  <c:v>10</c:v>
                </c:pt>
                <c:pt idx="27">
                  <c:v>8</c:v>
                </c:pt>
                <c:pt idx="2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  <c:pt idx="25">
                  <c:v>44</c:v>
                </c:pt>
                <c:pt idx="26">
                  <c:v>46</c:v>
                </c:pt>
                <c:pt idx="27">
                  <c:v>68</c:v>
                </c:pt>
                <c:pt idx="28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  <c:pt idx="25">
                  <c:v>55</c:v>
                </c:pt>
                <c:pt idx="26">
                  <c:v>56</c:v>
                </c:pt>
                <c:pt idx="27">
                  <c:v>76</c:v>
                </c:pt>
                <c:pt idx="28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87630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80DDE0-D25F-4E07-B3C8-19FEB5BA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1</xdr:row>
      <xdr:rowOff>81915</xdr:rowOff>
    </xdr:from>
    <xdr:to>
      <xdr:col>21</xdr:col>
      <xdr:colOff>466725</xdr:colOff>
      <xdr:row>20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381000</xdr:colOff>
      <xdr:row>1</xdr:row>
      <xdr:rowOff>91440</xdr:rowOff>
    </xdr:from>
    <xdr:to>
      <xdr:col>12</xdr:col>
      <xdr:colOff>200025</xdr:colOff>
      <xdr:row>16</xdr:row>
      <xdr:rowOff>91440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415290</xdr:colOff>
      <xdr:row>20</xdr:row>
      <xdr:rowOff>110490</xdr:rowOff>
    </xdr:from>
    <xdr:to>
      <xdr:col>13</xdr:col>
      <xdr:colOff>771525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0" zoomScaleNormal="80" workbookViewId="0">
      <pane xSplit="14" ySplit="4" topLeftCell="O5" activePane="bottomRight" state="frozen"/>
      <selection pane="topRight" activeCell="M1" sqref="M1"/>
      <selection pane="bottomLeft" activeCell="A5" sqref="A5"/>
      <selection pane="bottomRight" activeCell="A159" sqref="A159:XFD159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33.3320312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5" width="8.6640625" style="22" customWidth="1"/>
  </cols>
  <sheetData>
    <row r="1" spans="1:45" s="5" customFormat="1" ht="27.75" customHeight="1" thickTop="1" x14ac:dyDescent="0.3">
      <c r="A1" s="1" t="s">
        <v>0</v>
      </c>
      <c r="B1" s="56"/>
      <c r="C1" s="42">
        <f>COUNTA(C5:C527)</f>
        <v>368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0.16847826086956522</v>
      </c>
      <c r="P1" s="4">
        <f t="shared" si="0"/>
        <v>0.21739130434782608</v>
      </c>
      <c r="Q1" s="4">
        <f t="shared" si="0"/>
        <v>0.20923913043478262</v>
      </c>
      <c r="R1" s="4">
        <f t="shared" si="0"/>
        <v>0.19021739130434784</v>
      </c>
      <c r="S1" s="4">
        <f t="shared" si="0"/>
        <v>0.19021739130434784</v>
      </c>
      <c r="T1" s="4">
        <f t="shared" si="0"/>
        <v>0.1875</v>
      </c>
      <c r="U1" s="4">
        <f t="shared" si="0"/>
        <v>0.19346049046321526</v>
      </c>
      <c r="V1" s="4">
        <f t="shared" si="0"/>
        <v>0.18206521739130435</v>
      </c>
      <c r="W1" s="4">
        <f t="shared" si="0"/>
        <v>0.21467391304347827</v>
      </c>
      <c r="X1" s="4">
        <f t="shared" si="0"/>
        <v>0.1875</v>
      </c>
      <c r="Y1" s="4">
        <f t="shared" si="0"/>
        <v>0.16032608695652173</v>
      </c>
      <c r="Z1" s="4">
        <f t="shared" si="0"/>
        <v>0.13043478260869565</v>
      </c>
      <c r="AA1" s="4">
        <f t="shared" si="0"/>
        <v>0.14402173913043478</v>
      </c>
      <c r="AB1" s="4">
        <f t="shared" si="0"/>
        <v>0.15760869565217392</v>
      </c>
      <c r="AC1" s="4">
        <f>(AC3)/(AC2+AC3)</f>
        <v>0.13043478260869565</v>
      </c>
      <c r="AD1" s="4">
        <f t="shared" si="0"/>
        <v>0.1766304347826087</v>
      </c>
      <c r="AE1" s="4">
        <f t="shared" si="0"/>
        <v>0.11684782608695653</v>
      </c>
      <c r="AF1" s="4">
        <f t="shared" si="0"/>
        <v>0.14130434782608695</v>
      </c>
      <c r="AG1" s="4">
        <f t="shared" si="0"/>
        <v>0.1983695652173913</v>
      </c>
      <c r="AH1" s="4">
        <f t="shared" si="0"/>
        <v>0.14130434782608695</v>
      </c>
      <c r="AI1" s="4">
        <f t="shared" si="0"/>
        <v>0.14986376021798364</v>
      </c>
      <c r="AJ1" s="4">
        <f t="shared" si="0"/>
        <v>0.1875</v>
      </c>
      <c r="AK1" s="4">
        <f t="shared" si="0"/>
        <v>8.9673913043478257E-2</v>
      </c>
      <c r="AL1" s="4">
        <f t="shared" si="0"/>
        <v>0.2391304347826087</v>
      </c>
      <c r="AM1" s="4">
        <f t="shared" si="0"/>
        <v>0.14402173913043478</v>
      </c>
      <c r="AN1" s="4">
        <f t="shared" si="0"/>
        <v>0.15489130434782608</v>
      </c>
      <c r="AO1" s="4">
        <f t="shared" si="0"/>
        <v>0.15760869565217392</v>
      </c>
      <c r="AP1" s="4">
        <f t="shared" si="0"/>
        <v>0.21467391304347827</v>
      </c>
      <c r="AQ1" s="4">
        <f t="shared" ref="AQ1:AS1" si="1">(AQ3)/(AQ2+AQ3)</f>
        <v>0.1875</v>
      </c>
      <c r="AR1" s="4">
        <f t="shared" si="1"/>
        <v>0</v>
      </c>
      <c r="AS1" s="4">
        <f t="shared" si="1"/>
        <v>0</v>
      </c>
    </row>
    <row r="2" spans="1:45" s="11" customFormat="1" x14ac:dyDescent="0.3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306</v>
      </c>
      <c r="P2" s="10">
        <f t="shared" ref="P2:AS2" si="2">COUNTIF(P5:P372, "")</f>
        <v>288</v>
      </c>
      <c r="Q2" s="10">
        <f t="shared" si="2"/>
        <v>291</v>
      </c>
      <c r="R2" s="10">
        <f t="shared" si="2"/>
        <v>298</v>
      </c>
      <c r="S2" s="10">
        <f t="shared" si="2"/>
        <v>298</v>
      </c>
      <c r="T2" s="10">
        <f t="shared" si="2"/>
        <v>299</v>
      </c>
      <c r="U2" s="10">
        <f t="shared" si="2"/>
        <v>296</v>
      </c>
      <c r="V2" s="10">
        <f t="shared" si="2"/>
        <v>301</v>
      </c>
      <c r="W2" s="10">
        <f t="shared" si="2"/>
        <v>289</v>
      </c>
      <c r="X2" s="10">
        <f t="shared" si="2"/>
        <v>299</v>
      </c>
      <c r="Y2" s="10">
        <f t="shared" si="2"/>
        <v>309</v>
      </c>
      <c r="Z2" s="10">
        <f t="shared" si="2"/>
        <v>320</v>
      </c>
      <c r="AA2" s="10">
        <f t="shared" si="2"/>
        <v>315</v>
      </c>
      <c r="AB2" s="10">
        <f t="shared" si="2"/>
        <v>310</v>
      </c>
      <c r="AC2" s="10">
        <f t="shared" si="2"/>
        <v>320</v>
      </c>
      <c r="AD2" s="10">
        <f t="shared" si="2"/>
        <v>303</v>
      </c>
      <c r="AE2" s="10">
        <f t="shared" si="2"/>
        <v>325</v>
      </c>
      <c r="AF2" s="10">
        <f t="shared" si="2"/>
        <v>316</v>
      </c>
      <c r="AG2" s="10">
        <f t="shared" si="2"/>
        <v>295</v>
      </c>
      <c r="AH2" s="10">
        <f t="shared" si="2"/>
        <v>316</v>
      </c>
      <c r="AI2" s="10">
        <f t="shared" si="2"/>
        <v>312</v>
      </c>
      <c r="AJ2" s="10">
        <f t="shared" si="2"/>
        <v>299</v>
      </c>
      <c r="AK2" s="10">
        <f t="shared" si="2"/>
        <v>335</v>
      </c>
      <c r="AL2" s="10">
        <f t="shared" si="2"/>
        <v>280</v>
      </c>
      <c r="AM2" s="10">
        <f t="shared" si="2"/>
        <v>315</v>
      </c>
      <c r="AN2" s="10">
        <f t="shared" si="2"/>
        <v>311</v>
      </c>
      <c r="AO2" s="10">
        <f t="shared" si="2"/>
        <v>310</v>
      </c>
      <c r="AP2" s="10">
        <f t="shared" si="2"/>
        <v>289</v>
      </c>
      <c r="AQ2" s="10">
        <f t="shared" si="2"/>
        <v>299</v>
      </c>
      <c r="AR2" s="10">
        <f t="shared" si="2"/>
        <v>368</v>
      </c>
      <c r="AS2" s="10">
        <f t="shared" si="2"/>
        <v>368</v>
      </c>
    </row>
    <row r="3" spans="1:45" s="11" customFormat="1" ht="15" thickBot="1" x14ac:dyDescent="0.35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62</v>
      </c>
      <c r="P3" s="14">
        <f t="shared" ref="P3:AP3" si="3">COUNTIF(P4:P447, "apagado")</f>
        <v>80</v>
      </c>
      <c r="Q3" s="14">
        <f t="shared" si="3"/>
        <v>77</v>
      </c>
      <c r="R3" s="14">
        <f t="shared" si="3"/>
        <v>70</v>
      </c>
      <c r="S3" s="14">
        <f t="shared" si="3"/>
        <v>70</v>
      </c>
      <c r="T3" s="14">
        <f t="shared" si="3"/>
        <v>69</v>
      </c>
      <c r="U3" s="14">
        <f t="shared" si="3"/>
        <v>71</v>
      </c>
      <c r="V3" s="14">
        <f t="shared" si="3"/>
        <v>67</v>
      </c>
      <c r="W3" s="14">
        <f t="shared" si="3"/>
        <v>79</v>
      </c>
      <c r="X3" s="14">
        <f t="shared" si="3"/>
        <v>69</v>
      </c>
      <c r="Y3" s="14">
        <f t="shared" si="3"/>
        <v>59</v>
      </c>
      <c r="Z3" s="14">
        <f t="shared" si="3"/>
        <v>48</v>
      </c>
      <c r="AA3" s="14">
        <f t="shared" si="3"/>
        <v>53</v>
      </c>
      <c r="AB3" s="14">
        <f t="shared" si="3"/>
        <v>58</v>
      </c>
      <c r="AC3" s="14">
        <f t="shared" si="3"/>
        <v>48</v>
      </c>
      <c r="AD3" s="14">
        <f t="shared" si="3"/>
        <v>65</v>
      </c>
      <c r="AE3" s="14">
        <f t="shared" si="3"/>
        <v>43</v>
      </c>
      <c r="AF3" s="14">
        <f t="shared" si="3"/>
        <v>52</v>
      </c>
      <c r="AG3" s="14">
        <f t="shared" si="3"/>
        <v>73</v>
      </c>
      <c r="AH3" s="14">
        <f t="shared" si="3"/>
        <v>52</v>
      </c>
      <c r="AI3" s="14">
        <f t="shared" si="3"/>
        <v>55</v>
      </c>
      <c r="AJ3" s="14">
        <f t="shared" si="3"/>
        <v>69</v>
      </c>
      <c r="AK3" s="14">
        <f t="shared" si="3"/>
        <v>33</v>
      </c>
      <c r="AL3" s="14">
        <f t="shared" si="3"/>
        <v>88</v>
      </c>
      <c r="AM3" s="14">
        <f t="shared" si="3"/>
        <v>53</v>
      </c>
      <c r="AN3" s="14">
        <f t="shared" si="3"/>
        <v>57</v>
      </c>
      <c r="AO3" s="14">
        <f t="shared" si="3"/>
        <v>58</v>
      </c>
      <c r="AP3" s="14">
        <f t="shared" si="3"/>
        <v>79</v>
      </c>
      <c r="AQ3" s="14">
        <f t="shared" ref="AQ3:AS3" si="4">COUNTIF(AQ4:AQ447, "apagado")</f>
        <v>69</v>
      </c>
      <c r="AR3" s="14">
        <f t="shared" si="4"/>
        <v>0</v>
      </c>
      <c r="AS3" s="14">
        <f t="shared" si="4"/>
        <v>0</v>
      </c>
    </row>
    <row r="4" spans="1:45" s="11" customFormat="1" ht="30" thickTop="1" thickBot="1" x14ac:dyDescent="0.4">
      <c r="A4" t="s">
        <v>7</v>
      </c>
      <c r="B4" t="s">
        <v>1326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44621</v>
      </c>
      <c r="P4" s="15">
        <v>44622</v>
      </c>
      <c r="Q4" s="15">
        <v>44623</v>
      </c>
      <c r="R4" s="15">
        <v>44624</v>
      </c>
      <c r="S4" s="15">
        <v>44625</v>
      </c>
      <c r="T4" s="15">
        <v>44626</v>
      </c>
      <c r="U4" s="15">
        <v>44627</v>
      </c>
      <c r="V4" s="15">
        <v>44628</v>
      </c>
      <c r="W4" s="15">
        <v>44629</v>
      </c>
      <c r="X4" s="15">
        <v>44630</v>
      </c>
      <c r="Y4" s="15">
        <v>44631</v>
      </c>
      <c r="Z4" s="15">
        <v>44632</v>
      </c>
      <c r="AA4" s="15">
        <v>44633</v>
      </c>
      <c r="AB4" s="15">
        <v>44634</v>
      </c>
      <c r="AC4" s="15">
        <v>44635</v>
      </c>
      <c r="AD4" s="15">
        <v>44636</v>
      </c>
      <c r="AE4" s="15">
        <v>44637</v>
      </c>
      <c r="AF4" s="15">
        <v>44638</v>
      </c>
      <c r="AG4" s="15">
        <v>44639</v>
      </c>
      <c r="AH4" s="15">
        <v>44640</v>
      </c>
      <c r="AI4" s="15">
        <v>44641</v>
      </c>
      <c r="AJ4" s="15">
        <v>44642</v>
      </c>
      <c r="AK4" s="15">
        <v>44643</v>
      </c>
      <c r="AL4" s="15">
        <v>44644</v>
      </c>
      <c r="AM4" s="15">
        <v>44645</v>
      </c>
      <c r="AN4" s="15">
        <v>44646</v>
      </c>
      <c r="AO4" s="15">
        <v>44647</v>
      </c>
      <c r="AP4" s="15">
        <v>44648</v>
      </c>
      <c r="AQ4" s="15">
        <v>44649</v>
      </c>
      <c r="AR4" s="15">
        <v>44650</v>
      </c>
      <c r="AS4" s="15">
        <v>44651</v>
      </c>
    </row>
    <row r="5" spans="1:45" ht="15.6" thickTop="1" thickBot="1" x14ac:dyDescent="0.35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1109</v>
      </c>
      <c r="L5" s="17">
        <f t="shared" ref="L5:L68" si="5">COUNTIF(O5:AP5,"")</f>
        <v>11</v>
      </c>
      <c r="M5" s="17">
        <f t="shared" ref="M5:M68" si="6">COUNTIF(O5:AP5,"APAGADO")</f>
        <v>17</v>
      </c>
      <c r="N5" s="18">
        <f t="shared" ref="N5:N68" si="7">(L5)/(M5+L5)</f>
        <v>0.39285714285714285</v>
      </c>
      <c r="O5" s="29" t="s">
        <v>939</v>
      </c>
      <c r="P5" s="19" t="s">
        <v>939</v>
      </c>
      <c r="Q5" s="19" t="s">
        <v>939</v>
      </c>
      <c r="R5" s="19" t="s">
        <v>939</v>
      </c>
      <c r="S5" s="29" t="s">
        <v>939</v>
      </c>
      <c r="T5" s="29" t="s">
        <v>939</v>
      </c>
      <c r="U5" s="19" t="s">
        <v>939</v>
      </c>
      <c r="V5" s="19" t="s">
        <v>939</v>
      </c>
      <c r="W5" s="19" t="s">
        <v>939</v>
      </c>
      <c r="X5" s="29" t="s">
        <v>939</v>
      </c>
      <c r="Y5" s="29" t="s">
        <v>939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 t="s">
        <v>939</v>
      </c>
      <c r="AL5" s="19" t="s">
        <v>939</v>
      </c>
      <c r="AM5" s="19" t="s">
        <v>939</v>
      </c>
      <c r="AN5" s="29" t="s">
        <v>939</v>
      </c>
      <c r="AO5" s="19" t="s">
        <v>939</v>
      </c>
      <c r="AP5" s="19" t="s">
        <v>939</v>
      </c>
      <c r="AQ5" s="29" t="s">
        <v>939</v>
      </c>
      <c r="AR5" s="29"/>
      <c r="AS5" s="29"/>
    </row>
    <row r="6" spans="1:45" ht="15" thickBot="1" x14ac:dyDescent="0.35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1110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1057</v>
      </c>
      <c r="L7" s="17">
        <f t="shared" si="5"/>
        <v>28</v>
      </c>
      <c r="M7" s="17">
        <f t="shared" si="6"/>
        <v>0</v>
      </c>
      <c r="N7" s="18">
        <f t="shared" si="7"/>
        <v>1</v>
      </c>
      <c r="O7" s="27"/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t="s">
        <v>22</v>
      </c>
      <c r="C8" s="46" t="s">
        <v>29</v>
      </c>
      <c r="D8" t="s">
        <v>913</v>
      </c>
      <c r="E8" t="s">
        <v>19</v>
      </c>
      <c r="F8" t="s">
        <v>945</v>
      </c>
      <c r="G8"/>
      <c r="H8" t="s">
        <v>30</v>
      </c>
      <c r="I8" s="16">
        <v>-348230700000</v>
      </c>
      <c r="J8" s="16">
        <v>-582702540000</v>
      </c>
      <c r="K8" s="16" t="s">
        <v>1111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1112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t="s">
        <v>34</v>
      </c>
      <c r="C10" s="45" t="s">
        <v>950</v>
      </c>
      <c r="D10" t="s">
        <v>35</v>
      </c>
      <c r="E10" t="s">
        <v>24</v>
      </c>
      <c r="F10" t="s">
        <v>945</v>
      </c>
      <c r="G10"/>
      <c r="H10" t="s">
        <v>37</v>
      </c>
      <c r="I10" s="16">
        <v>-347738090000</v>
      </c>
      <c r="J10" s="16">
        <v>-582721410000</v>
      </c>
      <c r="K10" s="16" t="s">
        <v>951</v>
      </c>
      <c r="L10" s="17">
        <f t="shared" si="5"/>
        <v>23</v>
      </c>
      <c r="M10" s="17">
        <f t="shared" si="6"/>
        <v>5</v>
      </c>
      <c r="N10" s="18">
        <f t="shared" si="7"/>
        <v>0.8214285714285714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 t="s">
        <v>939</v>
      </c>
      <c r="AM10" s="8" t="s">
        <v>939</v>
      </c>
      <c r="AN10" s="27" t="s">
        <v>939</v>
      </c>
      <c r="AO10" s="8" t="s">
        <v>939</v>
      </c>
      <c r="AP10" s="8" t="s">
        <v>939</v>
      </c>
      <c r="AQ10" s="27" t="s">
        <v>939</v>
      </c>
      <c r="AR10" s="27"/>
      <c r="AS10" s="27"/>
    </row>
    <row r="11" spans="1:45" ht="15" thickBot="1" x14ac:dyDescent="0.35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944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t="s">
        <v>34</v>
      </c>
      <c r="C12" s="45" t="s">
        <v>41</v>
      </c>
      <c r="D12" t="s">
        <v>42</v>
      </c>
      <c r="E12" t="s">
        <v>24</v>
      </c>
      <c r="F12" t="s">
        <v>945</v>
      </c>
      <c r="G12" t="s">
        <v>43</v>
      </c>
      <c r="H12"/>
      <c r="I12" s="16">
        <v>-347718470000</v>
      </c>
      <c r="J12" s="16">
        <v>-582688560000</v>
      </c>
      <c r="K12" s="16" t="s">
        <v>946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947</v>
      </c>
      <c r="L13" s="17">
        <f t="shared" si="5"/>
        <v>22</v>
      </c>
      <c r="M13" s="17">
        <f t="shared" si="6"/>
        <v>6</v>
      </c>
      <c r="N13" s="18">
        <f t="shared" si="7"/>
        <v>0.7857142857142857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 t="s">
        <v>939</v>
      </c>
      <c r="AK13" s="8"/>
      <c r="AL13" s="8" t="s">
        <v>939</v>
      </c>
      <c r="AM13" s="8" t="s">
        <v>939</v>
      </c>
      <c r="AN13" s="27" t="s">
        <v>939</v>
      </c>
      <c r="AO13" s="8" t="s">
        <v>939</v>
      </c>
      <c r="AP13" s="8" t="s">
        <v>939</v>
      </c>
      <c r="AQ13" s="27" t="s">
        <v>939</v>
      </c>
      <c r="AR13" s="27"/>
      <c r="AS13" s="27"/>
    </row>
    <row r="14" spans="1:45" ht="15" thickBot="1" x14ac:dyDescent="0.35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948</v>
      </c>
      <c r="L14" s="17">
        <f t="shared" si="5"/>
        <v>21</v>
      </c>
      <c r="M14" s="17">
        <f t="shared" si="6"/>
        <v>7</v>
      </c>
      <c r="N14" s="18">
        <f t="shared" si="7"/>
        <v>0.75</v>
      </c>
      <c r="O14" s="27" t="s">
        <v>939</v>
      </c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 t="s">
        <v>939</v>
      </c>
      <c r="AH14" s="27"/>
      <c r="AI14" s="27"/>
      <c r="AJ14" s="27" t="s">
        <v>939</v>
      </c>
      <c r="AK14" s="8"/>
      <c r="AL14" s="8" t="s">
        <v>939</v>
      </c>
      <c r="AM14" s="8" t="s">
        <v>939</v>
      </c>
      <c r="AN14" s="27"/>
      <c r="AO14" s="8" t="s">
        <v>939</v>
      </c>
      <c r="AP14" s="8" t="s">
        <v>939</v>
      </c>
      <c r="AQ14" s="27" t="s">
        <v>939</v>
      </c>
      <c r="AR14" s="27"/>
      <c r="AS14" s="27"/>
    </row>
    <row r="15" spans="1:45" ht="15" thickBot="1" x14ac:dyDescent="0.35">
      <c r="A15" t="s">
        <v>34</v>
      </c>
      <c r="C15" s="45" t="s">
        <v>50</v>
      </c>
      <c r="D15" t="s">
        <v>51</v>
      </c>
      <c r="E15" t="s">
        <v>24</v>
      </c>
      <c r="F15" t="s">
        <v>945</v>
      </c>
      <c r="G15" t="s">
        <v>52</v>
      </c>
      <c r="H15"/>
      <c r="I15" s="16">
        <v>-347708370000</v>
      </c>
      <c r="J15" s="16">
        <v>-582698000000</v>
      </c>
      <c r="K15" s="16" t="s">
        <v>949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 t="s">
        <v>939</v>
      </c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t="s">
        <v>34</v>
      </c>
      <c r="C16" s="45" t="s">
        <v>53</v>
      </c>
      <c r="D16" t="s">
        <v>54</v>
      </c>
      <c r="E16" t="s">
        <v>19</v>
      </c>
      <c r="F16" t="s">
        <v>945</v>
      </c>
      <c r="G16"/>
      <c r="H16" t="s">
        <v>55</v>
      </c>
      <c r="I16" s="16">
        <v>-347737570000</v>
      </c>
      <c r="J16" s="16">
        <v>-582676650000</v>
      </c>
      <c r="K16" s="16" t="s">
        <v>953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954</v>
      </c>
      <c r="L17" s="17">
        <f t="shared" si="5"/>
        <v>22</v>
      </c>
      <c r="M17" s="17">
        <f t="shared" si="6"/>
        <v>6</v>
      </c>
      <c r="N17" s="18">
        <f t="shared" si="7"/>
        <v>0.7857142857142857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 t="s">
        <v>939</v>
      </c>
      <c r="AK17" s="8"/>
      <c r="AL17" s="8" t="s">
        <v>939</v>
      </c>
      <c r="AM17" s="8" t="s">
        <v>939</v>
      </c>
      <c r="AN17" s="27" t="s">
        <v>939</v>
      </c>
      <c r="AO17" s="8" t="s">
        <v>939</v>
      </c>
      <c r="AP17" s="8" t="s">
        <v>939</v>
      </c>
      <c r="AQ17" s="27" t="s">
        <v>939</v>
      </c>
      <c r="AR17" s="27"/>
      <c r="AS17" s="27"/>
    </row>
    <row r="18" spans="1:45" ht="15" thickBot="1" x14ac:dyDescent="0.35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955</v>
      </c>
      <c r="L18" s="17">
        <f t="shared" si="5"/>
        <v>22</v>
      </c>
      <c r="M18" s="17">
        <f t="shared" si="6"/>
        <v>6</v>
      </c>
      <c r="N18" s="18">
        <f t="shared" si="7"/>
        <v>0.7857142857142857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 t="s">
        <v>939</v>
      </c>
      <c r="AK18" s="8"/>
      <c r="AL18" s="8" t="s">
        <v>939</v>
      </c>
      <c r="AM18" s="8" t="s">
        <v>939</v>
      </c>
      <c r="AN18" s="27" t="s">
        <v>939</v>
      </c>
      <c r="AO18" s="8" t="s">
        <v>939</v>
      </c>
      <c r="AP18" s="8" t="s">
        <v>939</v>
      </c>
      <c r="AQ18" s="27" t="s">
        <v>939</v>
      </c>
      <c r="AR18" s="27"/>
      <c r="AS18" s="27"/>
    </row>
    <row r="19" spans="1:45" ht="15" thickBot="1" x14ac:dyDescent="0.35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958</v>
      </c>
      <c r="L19" s="17">
        <f t="shared" si="5"/>
        <v>19</v>
      </c>
      <c r="M19" s="17">
        <f t="shared" si="6"/>
        <v>9</v>
      </c>
      <c r="N19" s="18">
        <f t="shared" si="7"/>
        <v>0.6785714285714286</v>
      </c>
      <c r="O19" s="27"/>
      <c r="P19" s="8" t="s">
        <v>939</v>
      </c>
      <c r="Q19" s="8" t="s">
        <v>939</v>
      </c>
      <c r="R19" s="8" t="s">
        <v>939</v>
      </c>
      <c r="S19" s="27" t="s">
        <v>939</v>
      </c>
      <c r="T19" s="27" t="s">
        <v>939</v>
      </c>
      <c r="U19" s="8" t="s">
        <v>939</v>
      </c>
      <c r="V19" s="8" t="s">
        <v>939</v>
      </c>
      <c r="W19" s="8" t="s">
        <v>939</v>
      </c>
      <c r="X19" s="27" t="s">
        <v>939</v>
      </c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t="s">
        <v>34</v>
      </c>
      <c r="C20" s="45" t="s">
        <v>956</v>
      </c>
      <c r="D20" t="s">
        <v>66</v>
      </c>
      <c r="E20" t="s">
        <v>19</v>
      </c>
      <c r="F20" t="s">
        <v>945</v>
      </c>
      <c r="G20"/>
      <c r="H20" t="s">
        <v>67</v>
      </c>
      <c r="I20" s="16">
        <v>-347689160000</v>
      </c>
      <c r="J20" s="16">
        <v>-582717100000</v>
      </c>
      <c r="K20" s="16" t="s">
        <v>957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 t="s">
        <v>939</v>
      </c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959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C22" s="45" t="s">
        <v>1009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1010</v>
      </c>
      <c r="L22" s="17">
        <f t="shared" si="5"/>
        <v>26</v>
      </c>
      <c r="M22" s="17">
        <f t="shared" si="6"/>
        <v>2</v>
      </c>
      <c r="N22" s="18">
        <f t="shared" si="7"/>
        <v>0.9285714285714286</v>
      </c>
      <c r="O22" s="27"/>
      <c r="P22" s="8"/>
      <c r="Q22" s="8"/>
      <c r="R22" s="8"/>
      <c r="S22" s="27"/>
      <c r="T22" s="27"/>
      <c r="U22" s="8"/>
      <c r="V22" s="8"/>
      <c r="W22" s="8" t="s">
        <v>939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939</v>
      </c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C23" s="45" t="s">
        <v>1012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1013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1014</v>
      </c>
      <c r="L24" s="17">
        <f t="shared" si="5"/>
        <v>23</v>
      </c>
      <c r="M24" s="17">
        <f t="shared" si="6"/>
        <v>5</v>
      </c>
      <c r="N24" s="18">
        <f t="shared" si="7"/>
        <v>0.8214285714285714</v>
      </c>
      <c r="O24" s="27"/>
      <c r="P24" s="8"/>
      <c r="Q24" s="8"/>
      <c r="R24" s="8" t="s">
        <v>939</v>
      </c>
      <c r="S24" s="27" t="s">
        <v>939</v>
      </c>
      <c r="T24" s="27" t="s">
        <v>939</v>
      </c>
      <c r="U24" s="8" t="s">
        <v>939</v>
      </c>
      <c r="V24" s="8"/>
      <c r="W24" s="8" t="s">
        <v>939</v>
      </c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1015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1016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1017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1018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1019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t="s">
        <v>80</v>
      </c>
      <c r="C30" s="45" t="s">
        <v>92</v>
      </c>
      <c r="D30" t="s">
        <v>93</v>
      </c>
      <c r="E30" t="s">
        <v>19</v>
      </c>
      <c r="F30" t="s">
        <v>945</v>
      </c>
      <c r="G30"/>
      <c r="H30" t="s">
        <v>94</v>
      </c>
      <c r="I30" s="16">
        <v>-347999170000</v>
      </c>
      <c r="J30" s="16">
        <v>-582863530000</v>
      </c>
      <c r="K30" s="16" t="s">
        <v>1020</v>
      </c>
      <c r="L30" s="17">
        <f t="shared" si="5"/>
        <v>17</v>
      </c>
      <c r="M30" s="17">
        <f t="shared" si="6"/>
        <v>11</v>
      </c>
      <c r="N30" s="18">
        <f t="shared" si="7"/>
        <v>0.6071428571428571</v>
      </c>
      <c r="O30" s="27"/>
      <c r="P30" s="8"/>
      <c r="Q30" s="8"/>
      <c r="R30" s="8"/>
      <c r="S30" s="27"/>
      <c r="T30" s="27"/>
      <c r="U30" s="8"/>
      <c r="V30" s="8"/>
      <c r="W30" s="8" t="s">
        <v>939</v>
      </c>
      <c r="X30" s="27"/>
      <c r="Y30" s="27"/>
      <c r="Z30" s="27"/>
      <c r="AA30" s="27"/>
      <c r="AB30" s="27"/>
      <c r="AC30" s="27"/>
      <c r="AD30" s="27"/>
      <c r="AE30" s="27"/>
      <c r="AF30" s="27"/>
      <c r="AG30" s="27" t="s">
        <v>939</v>
      </c>
      <c r="AH30" s="27" t="s">
        <v>939</v>
      </c>
      <c r="AI30" s="27" t="s">
        <v>939</v>
      </c>
      <c r="AJ30" s="27" t="s">
        <v>939</v>
      </c>
      <c r="AK30" s="8" t="s">
        <v>939</v>
      </c>
      <c r="AL30" s="8" t="s">
        <v>939</v>
      </c>
      <c r="AM30" s="8" t="s">
        <v>939</v>
      </c>
      <c r="AN30" s="27" t="s">
        <v>939</v>
      </c>
      <c r="AO30" s="8" t="s">
        <v>939</v>
      </c>
      <c r="AP30" s="8" t="s">
        <v>939</v>
      </c>
      <c r="AQ30" s="27" t="s">
        <v>939</v>
      </c>
      <c r="AR30" s="27"/>
      <c r="AS30" s="27"/>
    </row>
    <row r="31" spans="1:45" ht="15" thickBot="1" x14ac:dyDescent="0.35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1021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t="s">
        <v>80</v>
      </c>
      <c r="C32" s="45" t="s">
        <v>98</v>
      </c>
      <c r="D32" t="s">
        <v>921</v>
      </c>
      <c r="E32" t="s">
        <v>19</v>
      </c>
      <c r="F32" t="s">
        <v>945</v>
      </c>
      <c r="G32"/>
      <c r="H32" t="s">
        <v>99</v>
      </c>
      <c r="I32" s="16">
        <v>-348038200000</v>
      </c>
      <c r="J32" s="16">
        <v>-582766160000</v>
      </c>
      <c r="K32" s="16" t="s">
        <v>1022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1023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1033</v>
      </c>
      <c r="L34" s="17">
        <f t="shared" si="5"/>
        <v>27</v>
      </c>
      <c r="M34" s="17">
        <f t="shared" si="6"/>
        <v>1</v>
      </c>
      <c r="N34" s="18">
        <f t="shared" si="7"/>
        <v>0.9642857142857143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 t="s">
        <v>939</v>
      </c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1034</v>
      </c>
      <c r="L35" s="17">
        <f t="shared" si="5"/>
        <v>27</v>
      </c>
      <c r="M35" s="17">
        <f t="shared" si="6"/>
        <v>1</v>
      </c>
      <c r="N35" s="18">
        <f t="shared" si="7"/>
        <v>0.9642857142857143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 t="s">
        <v>939</v>
      </c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1035</v>
      </c>
      <c r="L36" s="17">
        <f t="shared" si="5"/>
        <v>27</v>
      </c>
      <c r="M36" s="17">
        <f t="shared" si="6"/>
        <v>1</v>
      </c>
      <c r="N36" s="18">
        <f t="shared" si="7"/>
        <v>0.9642857142857143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 t="s">
        <v>939</v>
      </c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960</v>
      </c>
      <c r="L37" s="17">
        <f t="shared" si="5"/>
        <v>21</v>
      </c>
      <c r="M37" s="17">
        <f t="shared" si="6"/>
        <v>7</v>
      </c>
      <c r="N37" s="18">
        <f t="shared" si="7"/>
        <v>0.75</v>
      </c>
      <c r="O37" s="27" t="s">
        <v>939</v>
      </c>
      <c r="P37" s="8" t="s">
        <v>939</v>
      </c>
      <c r="Q37" s="8" t="s">
        <v>939</v>
      </c>
      <c r="R37" s="8" t="s">
        <v>939</v>
      </c>
      <c r="S37" s="27" t="s">
        <v>939</v>
      </c>
      <c r="T37" s="27" t="s">
        <v>939</v>
      </c>
      <c r="U37" s="8" t="s">
        <v>939</v>
      </c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952</v>
      </c>
      <c r="L38" s="17">
        <f t="shared" si="5"/>
        <v>27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 t="s">
        <v>940</v>
      </c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961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962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t="s">
        <v>80</v>
      </c>
      <c r="C41" s="45" t="s">
        <v>124</v>
      </c>
      <c r="D41" t="s">
        <v>943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963</v>
      </c>
      <c r="L41" s="17">
        <f t="shared" si="5"/>
        <v>19</v>
      </c>
      <c r="M41" s="17">
        <f t="shared" si="6"/>
        <v>9</v>
      </c>
      <c r="N41" s="18">
        <f t="shared" si="7"/>
        <v>0.6785714285714286</v>
      </c>
      <c r="O41" s="27"/>
      <c r="P41" s="8" t="s">
        <v>939</v>
      </c>
      <c r="Q41" s="8" t="s">
        <v>939</v>
      </c>
      <c r="R41" s="8" t="s">
        <v>939</v>
      </c>
      <c r="S41" s="27" t="s">
        <v>939</v>
      </c>
      <c r="T41" s="27" t="s">
        <v>939</v>
      </c>
      <c r="U41" s="8" t="s">
        <v>939</v>
      </c>
      <c r="V41" s="8"/>
      <c r="W41" s="8" t="s">
        <v>939</v>
      </c>
      <c r="X41" s="27" t="s">
        <v>939</v>
      </c>
      <c r="Y41" s="27"/>
      <c r="Z41" s="27"/>
      <c r="AA41" s="27"/>
      <c r="AB41" s="27"/>
      <c r="AC41" s="27"/>
      <c r="AD41" s="27"/>
      <c r="AE41" s="27"/>
      <c r="AF41" s="27"/>
      <c r="AG41" s="27" t="s">
        <v>939</v>
      </c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964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t="s">
        <v>80</v>
      </c>
      <c r="C43" s="45" t="s">
        <v>130</v>
      </c>
      <c r="D43" t="s">
        <v>942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965</v>
      </c>
      <c r="L43" s="17">
        <f t="shared" si="5"/>
        <v>25</v>
      </c>
      <c r="M43" s="17">
        <f t="shared" si="6"/>
        <v>3</v>
      </c>
      <c r="N43" s="18">
        <f t="shared" si="7"/>
        <v>0.8928571428571429</v>
      </c>
      <c r="O43" s="27"/>
      <c r="P43" s="8"/>
      <c r="Q43" s="8"/>
      <c r="R43" s="8"/>
      <c r="S43" s="27"/>
      <c r="T43" s="27"/>
      <c r="U43" s="8"/>
      <c r="V43" s="8"/>
      <c r="W43" s="8" t="s">
        <v>939</v>
      </c>
      <c r="X43" s="27" t="s">
        <v>939</v>
      </c>
      <c r="Y43" s="27" t="s">
        <v>939</v>
      </c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t="s">
        <v>80</v>
      </c>
      <c r="C44" s="45" t="s">
        <v>133</v>
      </c>
      <c r="D44" t="s">
        <v>941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966</v>
      </c>
      <c r="L44" s="17">
        <f t="shared" si="5"/>
        <v>16</v>
      </c>
      <c r="M44" s="17">
        <f t="shared" si="6"/>
        <v>12</v>
      </c>
      <c r="N44" s="18">
        <f t="shared" si="7"/>
        <v>0.5714285714285714</v>
      </c>
      <c r="O44" s="27" t="s">
        <v>939</v>
      </c>
      <c r="P44" s="8" t="s">
        <v>939</v>
      </c>
      <c r="Q44" s="8" t="s">
        <v>939</v>
      </c>
      <c r="R44" s="8" t="s">
        <v>939</v>
      </c>
      <c r="S44" s="27" t="s">
        <v>939</v>
      </c>
      <c r="T44" s="27" t="s">
        <v>939</v>
      </c>
      <c r="U44" s="8" t="s">
        <v>939</v>
      </c>
      <c r="V44" s="8" t="s">
        <v>939</v>
      </c>
      <c r="W44" s="8" t="s">
        <v>939</v>
      </c>
      <c r="X44" s="27" t="s">
        <v>939</v>
      </c>
      <c r="Y44" s="27" t="s">
        <v>939</v>
      </c>
      <c r="Z44" s="27"/>
      <c r="AA44" s="27"/>
      <c r="AB44" s="27"/>
      <c r="AC44" s="27"/>
      <c r="AD44" s="27"/>
      <c r="AE44" s="27"/>
      <c r="AF44" s="27"/>
      <c r="AG44" s="27" t="s">
        <v>939</v>
      </c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967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968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969</v>
      </c>
      <c r="L47" s="17">
        <f t="shared" si="5"/>
        <v>28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970</v>
      </c>
      <c r="L48" s="17">
        <f t="shared" si="5"/>
        <v>25</v>
      </c>
      <c r="M48" s="17">
        <f t="shared" si="6"/>
        <v>3</v>
      </c>
      <c r="N48" s="18">
        <f t="shared" si="7"/>
        <v>0.8928571428571429</v>
      </c>
      <c r="O48" s="27"/>
      <c r="P48" s="8"/>
      <c r="Q48" s="8"/>
      <c r="R48" s="8"/>
      <c r="S48" s="27"/>
      <c r="T48" s="27"/>
      <c r="U48" s="8"/>
      <c r="V48" s="8"/>
      <c r="W48" s="8" t="s">
        <v>939</v>
      </c>
      <c r="X48" s="27" t="s">
        <v>939</v>
      </c>
      <c r="Y48" s="27" t="s">
        <v>939</v>
      </c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971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 t="s">
        <v>939</v>
      </c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t="s">
        <v>80</v>
      </c>
      <c r="C50" s="45" t="s">
        <v>150</v>
      </c>
      <c r="D50" t="s">
        <v>1328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972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973</v>
      </c>
      <c r="L51" s="17">
        <f t="shared" si="5"/>
        <v>26</v>
      </c>
      <c r="M51" s="17">
        <f t="shared" si="6"/>
        <v>2</v>
      </c>
      <c r="N51" s="18">
        <f t="shared" si="7"/>
        <v>0.9285714285714286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 t="s">
        <v>939</v>
      </c>
      <c r="AH51" s="27"/>
      <c r="AI51" s="27"/>
      <c r="AJ51" s="27"/>
      <c r="AK51" s="8"/>
      <c r="AL51" s="8" t="s">
        <v>939</v>
      </c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974</v>
      </c>
      <c r="L52" s="17">
        <f t="shared" si="5"/>
        <v>16</v>
      </c>
      <c r="M52" s="17">
        <f t="shared" si="6"/>
        <v>12</v>
      </c>
      <c r="N52" s="18">
        <f t="shared" si="7"/>
        <v>0.5714285714285714</v>
      </c>
      <c r="O52" s="27" t="s">
        <v>939</v>
      </c>
      <c r="P52" s="8" t="s">
        <v>939</v>
      </c>
      <c r="Q52" s="8" t="s">
        <v>939</v>
      </c>
      <c r="R52" s="8" t="s">
        <v>939</v>
      </c>
      <c r="S52" s="27" t="s">
        <v>939</v>
      </c>
      <c r="T52" s="27" t="s">
        <v>939</v>
      </c>
      <c r="U52" s="8" t="s">
        <v>939</v>
      </c>
      <c r="V52" s="8" t="s">
        <v>939</v>
      </c>
      <c r="W52" s="8" t="s">
        <v>939</v>
      </c>
      <c r="X52" s="27" t="s">
        <v>939</v>
      </c>
      <c r="Y52" s="27" t="s">
        <v>939</v>
      </c>
      <c r="Z52" s="27"/>
      <c r="AA52" s="27"/>
      <c r="AB52" s="27"/>
      <c r="AC52" s="27"/>
      <c r="AD52" s="27"/>
      <c r="AE52" s="27"/>
      <c r="AF52" s="27"/>
      <c r="AG52" s="27" t="s">
        <v>939</v>
      </c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C53" s="45" t="s">
        <v>159</v>
      </c>
      <c r="D53" t="s">
        <v>160</v>
      </c>
      <c r="E53" t="s">
        <v>24</v>
      </c>
      <c r="F53" t="s">
        <v>945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975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976</v>
      </c>
      <c r="L54" s="17">
        <f t="shared" si="5"/>
        <v>21</v>
      </c>
      <c r="M54" s="17">
        <f t="shared" si="6"/>
        <v>7</v>
      </c>
      <c r="N54" s="18">
        <f t="shared" si="7"/>
        <v>0.75</v>
      </c>
      <c r="O54" s="27" t="s">
        <v>939</v>
      </c>
      <c r="P54" s="8" t="s">
        <v>939</v>
      </c>
      <c r="Q54" s="8" t="s">
        <v>939</v>
      </c>
      <c r="R54" s="8" t="s">
        <v>939</v>
      </c>
      <c r="S54" s="27" t="s">
        <v>939</v>
      </c>
      <c r="T54" s="27" t="s">
        <v>939</v>
      </c>
      <c r="U54" s="8" t="s">
        <v>939</v>
      </c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977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978</v>
      </c>
      <c r="L56" s="17">
        <f t="shared" si="5"/>
        <v>27</v>
      </c>
      <c r="M56" s="17">
        <f t="shared" si="6"/>
        <v>1</v>
      </c>
      <c r="N56" s="18">
        <f t="shared" si="7"/>
        <v>0.9642857142857143</v>
      </c>
      <c r="O56" s="27"/>
      <c r="P56" s="8"/>
      <c r="Q56" s="8"/>
      <c r="R56" s="8"/>
      <c r="S56" s="27"/>
      <c r="T56" s="27"/>
      <c r="U56" s="8"/>
      <c r="V56" s="8"/>
      <c r="W56" s="8" t="s">
        <v>939</v>
      </c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979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980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981</v>
      </c>
      <c r="L59" s="17">
        <f t="shared" si="5"/>
        <v>25</v>
      </c>
      <c r="M59" s="17">
        <f t="shared" si="6"/>
        <v>3</v>
      </c>
      <c r="N59" s="18">
        <f t="shared" si="7"/>
        <v>0.8928571428571429</v>
      </c>
      <c r="O59" s="27"/>
      <c r="P59" s="8"/>
      <c r="Q59" s="8"/>
      <c r="R59" s="8"/>
      <c r="S59" s="27"/>
      <c r="T59" s="27"/>
      <c r="U59" s="8"/>
      <c r="V59" s="8"/>
      <c r="W59" s="8" t="s">
        <v>939</v>
      </c>
      <c r="X59" s="27" t="s">
        <v>939</v>
      </c>
      <c r="Y59" s="27" t="s">
        <v>939</v>
      </c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982</v>
      </c>
      <c r="L60" s="17">
        <f t="shared" si="5"/>
        <v>18</v>
      </c>
      <c r="M60" s="17">
        <f t="shared" si="6"/>
        <v>10</v>
      </c>
      <c r="N60" s="18">
        <f t="shared" si="7"/>
        <v>0.6428571428571429</v>
      </c>
      <c r="O60" s="27" t="s">
        <v>939</v>
      </c>
      <c r="P60" s="8" t="s">
        <v>939</v>
      </c>
      <c r="Q60" s="8" t="s">
        <v>939</v>
      </c>
      <c r="R60" s="8" t="s">
        <v>939</v>
      </c>
      <c r="S60" s="27" t="s">
        <v>939</v>
      </c>
      <c r="T60" s="27" t="s">
        <v>939</v>
      </c>
      <c r="U60" s="8" t="s">
        <v>939</v>
      </c>
      <c r="V60" s="8"/>
      <c r="W60" s="8" t="s">
        <v>939</v>
      </c>
      <c r="X60" s="27" t="s">
        <v>939</v>
      </c>
      <c r="Y60" s="27" t="s">
        <v>939</v>
      </c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983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984</v>
      </c>
      <c r="L62" s="17">
        <f t="shared" si="5"/>
        <v>24</v>
      </c>
      <c r="M62" s="17">
        <f t="shared" si="6"/>
        <v>4</v>
      </c>
      <c r="N62" s="18">
        <f t="shared" si="7"/>
        <v>0.8571428571428571</v>
      </c>
      <c r="O62" s="27"/>
      <c r="P62" s="8"/>
      <c r="Q62" s="8"/>
      <c r="R62" s="8"/>
      <c r="S62" s="27"/>
      <c r="T62" s="27"/>
      <c r="U62" s="8"/>
      <c r="V62" s="8" t="s">
        <v>939</v>
      </c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 t="s">
        <v>939</v>
      </c>
      <c r="AO62" s="8" t="s">
        <v>939</v>
      </c>
      <c r="AP62" s="8" t="s">
        <v>939</v>
      </c>
      <c r="AQ62" s="27" t="s">
        <v>939</v>
      </c>
      <c r="AR62" s="27"/>
      <c r="AS62" s="27"/>
    </row>
    <row r="63" spans="1:45" ht="15" thickBot="1" x14ac:dyDescent="0.35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985</v>
      </c>
      <c r="L63" s="17">
        <f t="shared" si="5"/>
        <v>16</v>
      </c>
      <c r="M63" s="17">
        <f t="shared" si="6"/>
        <v>12</v>
      </c>
      <c r="N63" s="18">
        <f t="shared" si="7"/>
        <v>0.5714285714285714</v>
      </c>
      <c r="O63" s="27" t="s">
        <v>939</v>
      </c>
      <c r="P63" s="8" t="s">
        <v>939</v>
      </c>
      <c r="Q63" s="8" t="s">
        <v>939</v>
      </c>
      <c r="R63" s="8" t="s">
        <v>939</v>
      </c>
      <c r="S63" s="27" t="s">
        <v>939</v>
      </c>
      <c r="T63" s="27" t="s">
        <v>939</v>
      </c>
      <c r="U63" s="8" t="s">
        <v>939</v>
      </c>
      <c r="V63" s="8" t="s">
        <v>939</v>
      </c>
      <c r="W63" s="8" t="s">
        <v>939</v>
      </c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 t="s">
        <v>939</v>
      </c>
      <c r="AO63" s="8" t="s">
        <v>939</v>
      </c>
      <c r="AP63" s="8" t="s">
        <v>939</v>
      </c>
      <c r="AQ63" s="27" t="s">
        <v>939</v>
      </c>
      <c r="AR63" s="27"/>
      <c r="AS63" s="27"/>
    </row>
    <row r="64" spans="1:45" ht="15" thickBot="1" x14ac:dyDescent="0.35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986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987</v>
      </c>
      <c r="L65" s="17">
        <f t="shared" si="5"/>
        <v>14</v>
      </c>
      <c r="M65" s="17">
        <f t="shared" si="6"/>
        <v>14</v>
      </c>
      <c r="N65" s="18">
        <f t="shared" si="7"/>
        <v>0.5</v>
      </c>
      <c r="O65" s="27" t="s">
        <v>939</v>
      </c>
      <c r="P65" s="8" t="s">
        <v>939</v>
      </c>
      <c r="Q65" s="8" t="s">
        <v>939</v>
      </c>
      <c r="R65" s="8" t="s">
        <v>939</v>
      </c>
      <c r="S65" s="27" t="s">
        <v>939</v>
      </c>
      <c r="T65" s="27" t="s">
        <v>939</v>
      </c>
      <c r="U65" s="8" t="s">
        <v>939</v>
      </c>
      <c r="V65" s="8" t="s">
        <v>939</v>
      </c>
      <c r="W65" s="8" t="s">
        <v>939</v>
      </c>
      <c r="X65" s="27" t="s">
        <v>939</v>
      </c>
      <c r="Y65" s="27" t="s">
        <v>939</v>
      </c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 t="s">
        <v>939</v>
      </c>
      <c r="AO65" s="8" t="s">
        <v>939</v>
      </c>
      <c r="AP65" s="8" t="s">
        <v>939</v>
      </c>
      <c r="AQ65" s="27" t="s">
        <v>939</v>
      </c>
      <c r="AR65" s="27"/>
      <c r="AS65" s="27"/>
    </row>
    <row r="66" spans="1:45" ht="15" thickBot="1" x14ac:dyDescent="0.35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988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989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990</v>
      </c>
      <c r="L68" s="17">
        <f t="shared" si="5"/>
        <v>16</v>
      </c>
      <c r="M68" s="17">
        <f t="shared" si="6"/>
        <v>12</v>
      </c>
      <c r="N68" s="18">
        <f t="shared" si="7"/>
        <v>0.5714285714285714</v>
      </c>
      <c r="O68" s="27" t="s">
        <v>939</v>
      </c>
      <c r="P68" s="8" t="s">
        <v>939</v>
      </c>
      <c r="Q68" s="8" t="s">
        <v>939</v>
      </c>
      <c r="R68" s="8" t="s">
        <v>939</v>
      </c>
      <c r="S68" s="27" t="s">
        <v>939</v>
      </c>
      <c r="T68" s="27" t="s">
        <v>939</v>
      </c>
      <c r="U68" s="8" t="s">
        <v>939</v>
      </c>
      <c r="V68" s="8" t="s">
        <v>939</v>
      </c>
      <c r="W68" s="8" t="s">
        <v>939</v>
      </c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 t="s">
        <v>939</v>
      </c>
      <c r="AO68" s="8" t="s">
        <v>939</v>
      </c>
      <c r="AP68" s="8" t="s">
        <v>939</v>
      </c>
      <c r="AQ68" s="27" t="s">
        <v>939</v>
      </c>
      <c r="AR68" s="27"/>
      <c r="AS68" s="27"/>
    </row>
    <row r="69" spans="1:45" ht="15" thickBot="1" x14ac:dyDescent="0.35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991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992</v>
      </c>
      <c r="L70" s="17">
        <f t="shared" si="8"/>
        <v>16</v>
      </c>
      <c r="M70" s="17">
        <f t="shared" si="9"/>
        <v>12</v>
      </c>
      <c r="N70" s="18">
        <f t="shared" si="10"/>
        <v>0.5714285714285714</v>
      </c>
      <c r="O70" s="27" t="s">
        <v>939</v>
      </c>
      <c r="P70" s="8" t="s">
        <v>939</v>
      </c>
      <c r="Q70" s="8" t="s">
        <v>939</v>
      </c>
      <c r="R70" s="8" t="s">
        <v>939</v>
      </c>
      <c r="S70" s="27" t="s">
        <v>939</v>
      </c>
      <c r="T70" s="27" t="s">
        <v>939</v>
      </c>
      <c r="U70" s="8" t="s">
        <v>939</v>
      </c>
      <c r="V70" s="8" t="s">
        <v>939</v>
      </c>
      <c r="W70" s="8" t="s">
        <v>939</v>
      </c>
      <c r="X70" s="27" t="s">
        <v>939</v>
      </c>
      <c r="Y70" s="27"/>
      <c r="Z70" s="27"/>
      <c r="AA70" s="27"/>
      <c r="AB70" s="27"/>
      <c r="AC70" s="27"/>
      <c r="AD70" s="27"/>
      <c r="AE70" s="27"/>
      <c r="AF70" s="27"/>
      <c r="AG70" s="27" t="s">
        <v>939</v>
      </c>
      <c r="AH70" s="27"/>
      <c r="AI70" s="27"/>
      <c r="AJ70" s="27"/>
      <c r="AK70" s="8"/>
      <c r="AL70" s="8"/>
      <c r="AM70" s="8"/>
      <c r="AN70" s="27" t="s">
        <v>939</v>
      </c>
      <c r="AO70" s="8"/>
      <c r="AP70" s="8"/>
      <c r="AQ70" s="27"/>
      <c r="AR70" s="27"/>
      <c r="AS70" s="27"/>
    </row>
    <row r="71" spans="1:45" ht="15" thickBot="1" x14ac:dyDescent="0.35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993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994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995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996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997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998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999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1000</v>
      </c>
      <c r="L78" s="17">
        <f t="shared" si="8"/>
        <v>28</v>
      </c>
      <c r="M78" s="17">
        <f t="shared" si="9"/>
        <v>0</v>
      </c>
      <c r="N78" s="18">
        <f t="shared" si="10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1001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1002</v>
      </c>
      <c r="L80" s="17">
        <f t="shared" si="8"/>
        <v>0</v>
      </c>
      <c r="M80" s="17">
        <f t="shared" si="9"/>
        <v>28</v>
      </c>
      <c r="N80" s="18">
        <f t="shared" si="10"/>
        <v>0</v>
      </c>
      <c r="O80" s="27" t="s">
        <v>939</v>
      </c>
      <c r="P80" s="8" t="s">
        <v>939</v>
      </c>
      <c r="Q80" s="8" t="s">
        <v>939</v>
      </c>
      <c r="R80" s="8" t="s">
        <v>939</v>
      </c>
      <c r="S80" s="27" t="s">
        <v>939</v>
      </c>
      <c r="T80" s="27" t="s">
        <v>939</v>
      </c>
      <c r="U80" s="8" t="s">
        <v>939</v>
      </c>
      <c r="V80" s="8" t="s">
        <v>939</v>
      </c>
      <c r="W80" s="8" t="s">
        <v>939</v>
      </c>
      <c r="X80" s="27" t="s">
        <v>939</v>
      </c>
      <c r="Y80" s="27" t="s">
        <v>939</v>
      </c>
      <c r="Z80" s="27" t="s">
        <v>939</v>
      </c>
      <c r="AA80" s="27" t="s">
        <v>939</v>
      </c>
      <c r="AB80" s="27" t="s">
        <v>939</v>
      </c>
      <c r="AC80" s="27" t="s">
        <v>939</v>
      </c>
      <c r="AD80" s="27" t="s">
        <v>939</v>
      </c>
      <c r="AE80" s="27" t="s">
        <v>939</v>
      </c>
      <c r="AF80" s="27" t="s">
        <v>939</v>
      </c>
      <c r="AG80" s="27" t="s">
        <v>939</v>
      </c>
      <c r="AH80" s="27" t="s">
        <v>939</v>
      </c>
      <c r="AI80" s="27" t="s">
        <v>939</v>
      </c>
      <c r="AJ80" s="27" t="s">
        <v>939</v>
      </c>
      <c r="AK80" s="8" t="s">
        <v>939</v>
      </c>
      <c r="AL80" s="8" t="s">
        <v>939</v>
      </c>
      <c r="AM80" s="8" t="s">
        <v>939</v>
      </c>
      <c r="AN80" s="27" t="s">
        <v>939</v>
      </c>
      <c r="AO80" s="8" t="s">
        <v>939</v>
      </c>
      <c r="AP80" s="8" t="s">
        <v>939</v>
      </c>
      <c r="AQ80" s="27" t="s">
        <v>939</v>
      </c>
      <c r="AR80" s="27"/>
      <c r="AS80" s="27"/>
    </row>
    <row r="81" spans="1:45" ht="15" thickBot="1" x14ac:dyDescent="0.35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1003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1004</v>
      </c>
      <c r="L82" s="17">
        <f t="shared" si="8"/>
        <v>27</v>
      </c>
      <c r="M82" s="17">
        <f t="shared" si="9"/>
        <v>1</v>
      </c>
      <c r="N82" s="18">
        <f t="shared" si="10"/>
        <v>0.9642857142857143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 t="s">
        <v>939</v>
      </c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1005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1006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 t="s">
        <v>939</v>
      </c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1007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1008</v>
      </c>
      <c r="L86" s="17">
        <f t="shared" si="8"/>
        <v>27</v>
      </c>
      <c r="M86" s="17">
        <f t="shared" si="9"/>
        <v>1</v>
      </c>
      <c r="N86" s="18">
        <f t="shared" si="10"/>
        <v>0.9642857142857143</v>
      </c>
      <c r="O86" s="27" t="s">
        <v>939</v>
      </c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1011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1024</v>
      </c>
      <c r="L88" s="17">
        <f t="shared" si="8"/>
        <v>18</v>
      </c>
      <c r="M88" s="17">
        <f t="shared" si="9"/>
        <v>10</v>
      </c>
      <c r="N88" s="18">
        <f t="shared" si="10"/>
        <v>0.6428571428571429</v>
      </c>
      <c r="O88" s="27" t="s">
        <v>939</v>
      </c>
      <c r="P88" s="8" t="s">
        <v>939</v>
      </c>
      <c r="Q88" s="8" t="s">
        <v>939</v>
      </c>
      <c r="R88" s="8" t="s">
        <v>939</v>
      </c>
      <c r="S88" s="27" t="s">
        <v>939</v>
      </c>
      <c r="T88" s="27" t="s">
        <v>939</v>
      </c>
      <c r="U88" s="8" t="s">
        <v>939</v>
      </c>
      <c r="V88" s="8" t="s">
        <v>939</v>
      </c>
      <c r="W88" s="8" t="s">
        <v>939</v>
      </c>
      <c r="X88" s="27" t="s">
        <v>939</v>
      </c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1025</v>
      </c>
      <c r="L89" s="17">
        <f t="shared" si="8"/>
        <v>11</v>
      </c>
      <c r="M89" s="17">
        <f t="shared" si="9"/>
        <v>17</v>
      </c>
      <c r="N89" s="18">
        <f t="shared" si="10"/>
        <v>0.39285714285714285</v>
      </c>
      <c r="O89" s="27"/>
      <c r="P89" s="8" t="s">
        <v>939</v>
      </c>
      <c r="Q89" s="8" t="s">
        <v>939</v>
      </c>
      <c r="R89" s="8" t="s">
        <v>939</v>
      </c>
      <c r="S89" s="27" t="s">
        <v>939</v>
      </c>
      <c r="T89" s="27" t="s">
        <v>939</v>
      </c>
      <c r="U89" s="8" t="s">
        <v>939</v>
      </c>
      <c r="V89" s="8" t="s">
        <v>939</v>
      </c>
      <c r="W89" s="8" t="s">
        <v>939</v>
      </c>
      <c r="X89" s="27" t="s">
        <v>939</v>
      </c>
      <c r="Y89" s="27"/>
      <c r="Z89" s="27"/>
      <c r="AA89" s="27"/>
      <c r="AB89" s="27"/>
      <c r="AC89" s="27" t="s">
        <v>939</v>
      </c>
      <c r="AD89" s="27" t="s">
        <v>939</v>
      </c>
      <c r="AE89" s="27" t="s">
        <v>939</v>
      </c>
      <c r="AF89" s="27" t="s">
        <v>939</v>
      </c>
      <c r="AG89" s="27" t="s">
        <v>939</v>
      </c>
      <c r="AH89" s="27" t="s">
        <v>939</v>
      </c>
      <c r="AI89" s="27" t="s">
        <v>939</v>
      </c>
      <c r="AJ89" s="27" t="s">
        <v>939</v>
      </c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1026</v>
      </c>
      <c r="L90" s="17">
        <f t="shared" si="8"/>
        <v>9</v>
      </c>
      <c r="M90" s="17">
        <f t="shared" si="9"/>
        <v>19</v>
      </c>
      <c r="N90" s="18">
        <f t="shared" si="10"/>
        <v>0.32142857142857145</v>
      </c>
      <c r="O90" s="27" t="s">
        <v>939</v>
      </c>
      <c r="P90" s="8" t="s">
        <v>939</v>
      </c>
      <c r="Q90" s="8" t="s">
        <v>939</v>
      </c>
      <c r="R90" s="8" t="s">
        <v>939</v>
      </c>
      <c r="S90" s="27" t="s">
        <v>939</v>
      </c>
      <c r="T90" s="27" t="s">
        <v>939</v>
      </c>
      <c r="U90" s="8" t="s">
        <v>939</v>
      </c>
      <c r="V90" s="8" t="s">
        <v>939</v>
      </c>
      <c r="W90" s="8" t="s">
        <v>939</v>
      </c>
      <c r="X90" s="27" t="s">
        <v>939</v>
      </c>
      <c r="Y90" s="27"/>
      <c r="Z90" s="27"/>
      <c r="AA90" s="27"/>
      <c r="AB90" s="27"/>
      <c r="AC90" s="27" t="s">
        <v>939</v>
      </c>
      <c r="AD90" s="27" t="s">
        <v>939</v>
      </c>
      <c r="AE90" s="27" t="s">
        <v>939</v>
      </c>
      <c r="AF90" s="27" t="s">
        <v>939</v>
      </c>
      <c r="AG90" s="27" t="s">
        <v>939</v>
      </c>
      <c r="AH90" s="27" t="s">
        <v>939</v>
      </c>
      <c r="AI90" s="27" t="s">
        <v>939</v>
      </c>
      <c r="AJ90" s="27" t="s">
        <v>939</v>
      </c>
      <c r="AK90" s="8"/>
      <c r="AL90" s="8" t="s">
        <v>939</v>
      </c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1030</v>
      </c>
      <c r="L91" s="17">
        <f t="shared" si="8"/>
        <v>0</v>
      </c>
      <c r="M91" s="17">
        <f t="shared" si="9"/>
        <v>28</v>
      </c>
      <c r="N91" s="18">
        <f t="shared" si="10"/>
        <v>0</v>
      </c>
      <c r="O91" s="27" t="s">
        <v>939</v>
      </c>
      <c r="P91" s="8" t="s">
        <v>939</v>
      </c>
      <c r="Q91" s="8" t="s">
        <v>939</v>
      </c>
      <c r="R91" s="8" t="s">
        <v>939</v>
      </c>
      <c r="S91" s="27" t="s">
        <v>939</v>
      </c>
      <c r="T91" s="27" t="s">
        <v>939</v>
      </c>
      <c r="U91" s="8" t="s">
        <v>939</v>
      </c>
      <c r="V91" s="8" t="s">
        <v>939</v>
      </c>
      <c r="W91" s="8" t="s">
        <v>939</v>
      </c>
      <c r="X91" s="27" t="s">
        <v>939</v>
      </c>
      <c r="Y91" s="27" t="s">
        <v>939</v>
      </c>
      <c r="Z91" s="27" t="s">
        <v>939</v>
      </c>
      <c r="AA91" s="27" t="s">
        <v>939</v>
      </c>
      <c r="AB91" s="27" t="s">
        <v>939</v>
      </c>
      <c r="AC91" s="27" t="s">
        <v>939</v>
      </c>
      <c r="AD91" s="27" t="s">
        <v>939</v>
      </c>
      <c r="AE91" s="27" t="s">
        <v>939</v>
      </c>
      <c r="AF91" s="27" t="s">
        <v>939</v>
      </c>
      <c r="AG91" s="27" t="s">
        <v>939</v>
      </c>
      <c r="AH91" s="27" t="s">
        <v>939</v>
      </c>
      <c r="AI91" s="27" t="s">
        <v>939</v>
      </c>
      <c r="AJ91" s="27" t="s">
        <v>939</v>
      </c>
      <c r="AK91" s="8" t="s">
        <v>939</v>
      </c>
      <c r="AL91" s="8" t="s">
        <v>939</v>
      </c>
      <c r="AM91" s="8" t="s">
        <v>939</v>
      </c>
      <c r="AN91" s="27" t="s">
        <v>939</v>
      </c>
      <c r="AO91" s="8" t="s">
        <v>939</v>
      </c>
      <c r="AP91" s="8" t="s">
        <v>939</v>
      </c>
      <c r="AQ91" s="27" t="s">
        <v>939</v>
      </c>
      <c r="AR91" s="27"/>
      <c r="AS91" s="27"/>
    </row>
    <row r="92" spans="1:45" ht="15" thickBot="1" x14ac:dyDescent="0.35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1031</v>
      </c>
      <c r="L92" s="17">
        <f t="shared" si="8"/>
        <v>0</v>
      </c>
      <c r="M92" s="17">
        <f t="shared" si="9"/>
        <v>28</v>
      </c>
      <c r="N92" s="18">
        <f t="shared" si="10"/>
        <v>0</v>
      </c>
      <c r="O92" s="27" t="s">
        <v>939</v>
      </c>
      <c r="P92" s="8" t="s">
        <v>939</v>
      </c>
      <c r="Q92" s="8" t="s">
        <v>939</v>
      </c>
      <c r="R92" s="8" t="s">
        <v>939</v>
      </c>
      <c r="S92" s="27" t="s">
        <v>939</v>
      </c>
      <c r="T92" s="27" t="s">
        <v>939</v>
      </c>
      <c r="U92" s="8" t="s">
        <v>939</v>
      </c>
      <c r="V92" s="8" t="s">
        <v>939</v>
      </c>
      <c r="W92" s="8" t="s">
        <v>939</v>
      </c>
      <c r="X92" s="27" t="s">
        <v>939</v>
      </c>
      <c r="Y92" s="27" t="s">
        <v>939</v>
      </c>
      <c r="Z92" s="27" t="s">
        <v>939</v>
      </c>
      <c r="AA92" s="27" t="s">
        <v>939</v>
      </c>
      <c r="AB92" s="27" t="s">
        <v>939</v>
      </c>
      <c r="AC92" s="27" t="s">
        <v>939</v>
      </c>
      <c r="AD92" s="27" t="s">
        <v>939</v>
      </c>
      <c r="AE92" s="27" t="s">
        <v>939</v>
      </c>
      <c r="AF92" s="27" t="s">
        <v>939</v>
      </c>
      <c r="AG92" s="27" t="s">
        <v>939</v>
      </c>
      <c r="AH92" s="27" t="s">
        <v>939</v>
      </c>
      <c r="AI92" s="27" t="s">
        <v>939</v>
      </c>
      <c r="AJ92" s="27" t="s">
        <v>939</v>
      </c>
      <c r="AK92" s="8" t="s">
        <v>939</v>
      </c>
      <c r="AL92" s="8" t="s">
        <v>939</v>
      </c>
      <c r="AM92" s="8" t="s">
        <v>939</v>
      </c>
      <c r="AN92" s="27" t="s">
        <v>939</v>
      </c>
      <c r="AO92" s="8" t="s">
        <v>939</v>
      </c>
      <c r="AP92" s="8" t="s">
        <v>939</v>
      </c>
      <c r="AQ92" s="27" t="s">
        <v>939</v>
      </c>
      <c r="AR92" s="27"/>
      <c r="AS92" s="27"/>
    </row>
    <row r="93" spans="1:45" ht="15" thickBot="1" x14ac:dyDescent="0.35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1032</v>
      </c>
      <c r="L93" s="17">
        <f t="shared" si="8"/>
        <v>27</v>
      </c>
      <c r="M93" s="17">
        <f t="shared" si="9"/>
        <v>1</v>
      </c>
      <c r="N93" s="18">
        <f t="shared" si="10"/>
        <v>0.9642857142857143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 t="s">
        <v>939</v>
      </c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1036</v>
      </c>
      <c r="L94" s="17">
        <f t="shared" si="8"/>
        <v>27</v>
      </c>
      <c r="M94" s="17">
        <f t="shared" si="9"/>
        <v>1</v>
      </c>
      <c r="N94" s="18">
        <f t="shared" si="10"/>
        <v>0.9642857142857143</v>
      </c>
      <c r="O94" s="27"/>
      <c r="P94" s="8"/>
      <c r="Q94" s="8"/>
      <c r="R94" s="8"/>
      <c r="S94" s="27"/>
      <c r="T94" s="27"/>
      <c r="U94" s="8"/>
      <c r="V94" s="8"/>
      <c r="W94" s="8" t="s">
        <v>939</v>
      </c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1037</v>
      </c>
      <c r="L95" s="17">
        <f t="shared" si="8"/>
        <v>27</v>
      </c>
      <c r="M95" s="17">
        <f t="shared" si="9"/>
        <v>1</v>
      </c>
      <c r="N95" s="18">
        <f t="shared" si="10"/>
        <v>0.9642857142857143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 t="s">
        <v>939</v>
      </c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1038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1039</v>
      </c>
      <c r="L97" s="17">
        <f t="shared" si="8"/>
        <v>26</v>
      </c>
      <c r="M97" s="17">
        <f t="shared" si="9"/>
        <v>2</v>
      </c>
      <c r="N97" s="18">
        <f t="shared" si="10"/>
        <v>0.9285714285714286</v>
      </c>
      <c r="O97" s="27"/>
      <c r="P97" s="8"/>
      <c r="Q97" s="8"/>
      <c r="R97" s="8"/>
      <c r="S97" s="27"/>
      <c r="T97" s="27"/>
      <c r="U97" s="8" t="s">
        <v>939</v>
      </c>
      <c r="V97" s="8" t="s">
        <v>939</v>
      </c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1040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1041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1042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1043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1044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 t="s">
        <v>939</v>
      </c>
      <c r="V102" s="8"/>
      <c r="W102" s="8"/>
      <c r="X102" s="27"/>
      <c r="Y102" s="27"/>
      <c r="Z102" s="27" t="s">
        <v>939</v>
      </c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1045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t="s">
        <v>283</v>
      </c>
      <c r="C104" s="45" t="s">
        <v>284</v>
      </c>
      <c r="D104" t="s">
        <v>285</v>
      </c>
      <c r="E104" t="s">
        <v>113</v>
      </c>
      <c r="F104" t="s">
        <v>945</v>
      </c>
      <c r="G104"/>
      <c r="H104" t="s">
        <v>286</v>
      </c>
      <c r="I104" s="16">
        <v>-347971580000</v>
      </c>
      <c r="J104" s="16">
        <v>-583070820000</v>
      </c>
      <c r="K104" s="16" t="s">
        <v>1046</v>
      </c>
      <c r="L104" s="17">
        <f t="shared" si="8"/>
        <v>16</v>
      </c>
      <c r="M104" s="17">
        <f t="shared" si="9"/>
        <v>12</v>
      </c>
      <c r="N104" s="18">
        <f t="shared" si="10"/>
        <v>0.5714285714285714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 t="s">
        <v>939</v>
      </c>
      <c r="Z104" s="27" t="s">
        <v>939</v>
      </c>
      <c r="AA104" s="27" t="s">
        <v>939</v>
      </c>
      <c r="AB104" s="27" t="s">
        <v>939</v>
      </c>
      <c r="AC104" s="27" t="s">
        <v>939</v>
      </c>
      <c r="AD104" s="27" t="s">
        <v>939</v>
      </c>
      <c r="AE104" s="27" t="s">
        <v>939</v>
      </c>
      <c r="AF104" s="27" t="s">
        <v>939</v>
      </c>
      <c r="AG104" s="27" t="s">
        <v>939</v>
      </c>
      <c r="AH104" s="27" t="s">
        <v>939</v>
      </c>
      <c r="AI104" s="27" t="s">
        <v>939</v>
      </c>
      <c r="AJ104" s="27" t="s">
        <v>939</v>
      </c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t="s">
        <v>283</v>
      </c>
      <c r="C105" s="45" t="s">
        <v>287</v>
      </c>
      <c r="D105" t="s">
        <v>285</v>
      </c>
      <c r="E105" t="s">
        <v>113</v>
      </c>
      <c r="F105" t="s">
        <v>945</v>
      </c>
      <c r="G105"/>
      <c r="H105" t="s">
        <v>288</v>
      </c>
      <c r="I105" s="16">
        <v>-347971580000</v>
      </c>
      <c r="J105" s="16">
        <v>-583070820000</v>
      </c>
      <c r="K105" s="16" t="s">
        <v>1047</v>
      </c>
      <c r="L105" s="17">
        <f t="shared" si="8"/>
        <v>16</v>
      </c>
      <c r="M105" s="17">
        <f t="shared" si="9"/>
        <v>12</v>
      </c>
      <c r="N105" s="18">
        <f t="shared" si="10"/>
        <v>0.5714285714285714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 t="s">
        <v>939</v>
      </c>
      <c r="Z105" s="27" t="s">
        <v>939</v>
      </c>
      <c r="AA105" s="27" t="s">
        <v>939</v>
      </c>
      <c r="AB105" s="27" t="s">
        <v>939</v>
      </c>
      <c r="AC105" s="27" t="s">
        <v>939</v>
      </c>
      <c r="AD105" s="27" t="s">
        <v>939</v>
      </c>
      <c r="AE105" s="27" t="s">
        <v>939</v>
      </c>
      <c r="AF105" s="27" t="s">
        <v>939</v>
      </c>
      <c r="AG105" s="27" t="s">
        <v>939</v>
      </c>
      <c r="AH105" s="27" t="s">
        <v>939</v>
      </c>
      <c r="AI105" s="27" t="s">
        <v>939</v>
      </c>
      <c r="AJ105" s="27" t="s">
        <v>939</v>
      </c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1048</v>
      </c>
      <c r="L106" s="17">
        <f t="shared" si="8"/>
        <v>17</v>
      </c>
      <c r="M106" s="17">
        <f t="shared" si="9"/>
        <v>11</v>
      </c>
      <c r="N106" s="18">
        <f t="shared" si="10"/>
        <v>0.6071428571428571</v>
      </c>
      <c r="O106" s="27"/>
      <c r="P106" s="8" t="s">
        <v>939</v>
      </c>
      <c r="Q106" s="8" t="s">
        <v>939</v>
      </c>
      <c r="R106" s="8"/>
      <c r="S106" s="27"/>
      <c r="T106" s="27"/>
      <c r="U106" s="8"/>
      <c r="V106" s="8"/>
      <c r="W106" s="8"/>
      <c r="X106" s="27" t="s">
        <v>939</v>
      </c>
      <c r="Y106" s="27"/>
      <c r="Z106" s="27"/>
      <c r="AA106" s="27"/>
      <c r="AB106" s="27" t="s">
        <v>939</v>
      </c>
      <c r="AC106" s="27"/>
      <c r="AD106" s="27" t="s">
        <v>939</v>
      </c>
      <c r="AE106" s="27"/>
      <c r="AF106" s="27"/>
      <c r="AG106" s="27"/>
      <c r="AH106" s="27"/>
      <c r="AI106" s="27"/>
      <c r="AJ106" s="27" t="s">
        <v>939</v>
      </c>
      <c r="AK106" s="8"/>
      <c r="AL106" s="8" t="s">
        <v>939</v>
      </c>
      <c r="AM106" s="8" t="s">
        <v>939</v>
      </c>
      <c r="AN106" s="27" t="s">
        <v>939</v>
      </c>
      <c r="AO106" s="8" t="s">
        <v>939</v>
      </c>
      <c r="AP106" s="8" t="s">
        <v>939</v>
      </c>
      <c r="AQ106" s="27"/>
      <c r="AR106" s="27"/>
      <c r="AS106" s="27"/>
    </row>
    <row r="107" spans="1:45" ht="15" thickBot="1" x14ac:dyDescent="0.35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1049</v>
      </c>
      <c r="L107" s="17">
        <f t="shared" si="8"/>
        <v>17</v>
      </c>
      <c r="M107" s="17">
        <f t="shared" si="9"/>
        <v>11</v>
      </c>
      <c r="N107" s="18">
        <f t="shared" si="10"/>
        <v>0.6071428571428571</v>
      </c>
      <c r="O107" s="27"/>
      <c r="P107" s="8" t="s">
        <v>939</v>
      </c>
      <c r="Q107" s="8" t="s">
        <v>939</v>
      </c>
      <c r="R107" s="8"/>
      <c r="S107" s="27"/>
      <c r="T107" s="27"/>
      <c r="U107" s="8"/>
      <c r="V107" s="8"/>
      <c r="W107" s="8"/>
      <c r="X107" s="27" t="s">
        <v>939</v>
      </c>
      <c r="Y107" s="27"/>
      <c r="Z107" s="27"/>
      <c r="AA107" s="27"/>
      <c r="AB107" s="27" t="s">
        <v>939</v>
      </c>
      <c r="AC107" s="27"/>
      <c r="AD107" s="27" t="s">
        <v>939</v>
      </c>
      <c r="AE107" s="27"/>
      <c r="AF107" s="27"/>
      <c r="AG107" s="27"/>
      <c r="AH107" s="27"/>
      <c r="AI107" s="27"/>
      <c r="AJ107" s="27" t="s">
        <v>939</v>
      </c>
      <c r="AK107" s="8"/>
      <c r="AL107" s="8" t="s">
        <v>939</v>
      </c>
      <c r="AM107" s="8" t="s">
        <v>939</v>
      </c>
      <c r="AN107" s="27" t="s">
        <v>939</v>
      </c>
      <c r="AO107" s="8" t="s">
        <v>939</v>
      </c>
      <c r="AP107" s="8" t="s">
        <v>939</v>
      </c>
      <c r="AQ107" s="27"/>
      <c r="AR107" s="27"/>
      <c r="AS107" s="27"/>
    </row>
    <row r="108" spans="1:45" ht="15" thickBot="1" x14ac:dyDescent="0.35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1050</v>
      </c>
      <c r="L108" s="17">
        <f t="shared" si="8"/>
        <v>17</v>
      </c>
      <c r="M108" s="17">
        <f t="shared" si="9"/>
        <v>11</v>
      </c>
      <c r="N108" s="18">
        <f t="shared" si="10"/>
        <v>0.6071428571428571</v>
      </c>
      <c r="O108" s="27"/>
      <c r="P108" s="8" t="s">
        <v>939</v>
      </c>
      <c r="Q108" s="8" t="s">
        <v>939</v>
      </c>
      <c r="R108" s="8"/>
      <c r="S108" s="27"/>
      <c r="T108" s="27"/>
      <c r="U108" s="8"/>
      <c r="V108" s="8"/>
      <c r="W108" s="8"/>
      <c r="X108" s="27" t="s">
        <v>939</v>
      </c>
      <c r="Y108" s="27"/>
      <c r="Z108" s="27"/>
      <c r="AA108" s="27"/>
      <c r="AB108" s="27" t="s">
        <v>939</v>
      </c>
      <c r="AC108" s="27"/>
      <c r="AD108" s="27" t="s">
        <v>939</v>
      </c>
      <c r="AE108" s="27"/>
      <c r="AF108" s="27"/>
      <c r="AG108" s="27"/>
      <c r="AH108" s="27"/>
      <c r="AI108" s="27"/>
      <c r="AJ108" s="27" t="s">
        <v>939</v>
      </c>
      <c r="AK108" s="8"/>
      <c r="AL108" s="8" t="s">
        <v>939</v>
      </c>
      <c r="AM108" s="8" t="s">
        <v>939</v>
      </c>
      <c r="AN108" s="27" t="s">
        <v>939</v>
      </c>
      <c r="AO108" s="8" t="s">
        <v>939</v>
      </c>
      <c r="AP108" s="8" t="s">
        <v>939</v>
      </c>
      <c r="AQ108" s="27"/>
      <c r="AR108" s="27"/>
      <c r="AS108" s="27"/>
    </row>
    <row r="109" spans="1:45" ht="15" thickBot="1" x14ac:dyDescent="0.35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1051</v>
      </c>
      <c r="L109" s="17">
        <f t="shared" si="8"/>
        <v>17</v>
      </c>
      <c r="M109" s="17">
        <f t="shared" si="9"/>
        <v>11</v>
      </c>
      <c r="N109" s="18">
        <f t="shared" si="10"/>
        <v>0.6071428571428571</v>
      </c>
      <c r="O109" s="27"/>
      <c r="P109" s="8" t="s">
        <v>939</v>
      </c>
      <c r="Q109" s="8" t="s">
        <v>939</v>
      </c>
      <c r="R109" s="8"/>
      <c r="S109" s="27"/>
      <c r="T109" s="27"/>
      <c r="U109" s="8"/>
      <c r="V109" s="8"/>
      <c r="W109" s="8"/>
      <c r="X109" s="27" t="s">
        <v>939</v>
      </c>
      <c r="Y109" s="27"/>
      <c r="Z109" s="27"/>
      <c r="AA109" s="27"/>
      <c r="AB109" s="27" t="s">
        <v>939</v>
      </c>
      <c r="AC109" s="27"/>
      <c r="AD109" s="27" t="s">
        <v>939</v>
      </c>
      <c r="AE109" s="27"/>
      <c r="AF109" s="27"/>
      <c r="AG109" s="27"/>
      <c r="AH109" s="27"/>
      <c r="AI109" s="27"/>
      <c r="AJ109" s="27" t="s">
        <v>939</v>
      </c>
      <c r="AK109" s="8"/>
      <c r="AL109" s="8" t="s">
        <v>939</v>
      </c>
      <c r="AM109" s="8" t="s">
        <v>939</v>
      </c>
      <c r="AN109" s="27" t="s">
        <v>939</v>
      </c>
      <c r="AO109" s="8" t="s">
        <v>939</v>
      </c>
      <c r="AP109" s="8" t="s">
        <v>939</v>
      </c>
      <c r="AQ109" s="27"/>
      <c r="AR109" s="27"/>
      <c r="AS109" s="27"/>
    </row>
    <row r="110" spans="1:45" ht="15" thickBot="1" x14ac:dyDescent="0.35">
      <c r="A110" t="s">
        <v>301</v>
      </c>
      <c r="C110" s="45" t="s">
        <v>302</v>
      </c>
      <c r="D110" t="s">
        <v>303</v>
      </c>
      <c r="E110" t="s">
        <v>19</v>
      </c>
      <c r="F110" t="s">
        <v>945</v>
      </c>
      <c r="G110"/>
      <c r="H110" t="s">
        <v>304</v>
      </c>
      <c r="I110" s="16">
        <v>-348185740000</v>
      </c>
      <c r="J110" s="16">
        <v>-582866380000</v>
      </c>
      <c r="K110" s="16" t="s">
        <v>1058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1059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1052</v>
      </c>
      <c r="L112" s="17">
        <f t="shared" si="8"/>
        <v>24</v>
      </c>
      <c r="M112" s="17">
        <f t="shared" si="9"/>
        <v>4</v>
      </c>
      <c r="N112" s="18">
        <f t="shared" si="10"/>
        <v>0.8571428571428571</v>
      </c>
      <c r="O112" s="27"/>
      <c r="P112" s="8"/>
      <c r="Q112" s="8"/>
      <c r="R112" s="8"/>
      <c r="S112" s="27" t="s">
        <v>939</v>
      </c>
      <c r="T112" s="27"/>
      <c r="U112" s="8"/>
      <c r="V112" s="8"/>
      <c r="W112" s="8" t="s">
        <v>939</v>
      </c>
      <c r="X112" s="27"/>
      <c r="Y112" s="27"/>
      <c r="Z112" s="27"/>
      <c r="AA112" s="27"/>
      <c r="AB112" s="27"/>
      <c r="AC112" s="27"/>
      <c r="AD112" s="27"/>
      <c r="AE112" s="27"/>
      <c r="AF112" s="27"/>
      <c r="AG112" s="27" t="s">
        <v>939</v>
      </c>
      <c r="AH112" s="27"/>
      <c r="AI112" s="27"/>
      <c r="AJ112" s="27"/>
      <c r="AK112" s="8"/>
      <c r="AL112" s="8" t="s">
        <v>939</v>
      </c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t="s">
        <v>310</v>
      </c>
      <c r="C113" s="45" t="s">
        <v>311</v>
      </c>
      <c r="D113" t="s">
        <v>312</v>
      </c>
      <c r="E113" t="s">
        <v>24</v>
      </c>
      <c r="F113" t="s">
        <v>945</v>
      </c>
      <c r="G113" t="s">
        <v>151</v>
      </c>
      <c r="H113"/>
      <c r="I113" s="16">
        <v>-348125000000</v>
      </c>
      <c r="J113" s="16">
        <v>-582916650000</v>
      </c>
      <c r="K113" s="16" t="s">
        <v>1053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t="s">
        <v>313</v>
      </c>
      <c r="C114" s="45" t="s">
        <v>314</v>
      </c>
      <c r="D114" t="s">
        <v>315</v>
      </c>
      <c r="E114" t="s">
        <v>19</v>
      </c>
      <c r="F114" t="s">
        <v>945</v>
      </c>
      <c r="G114" t="s">
        <v>316</v>
      </c>
      <c r="H114"/>
      <c r="I114" s="16">
        <v>-348215020000</v>
      </c>
      <c r="J114" s="16">
        <v>-582844880000</v>
      </c>
      <c r="K114" s="16" t="s">
        <v>1054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1055</v>
      </c>
      <c r="L115" s="17">
        <f t="shared" si="8"/>
        <v>10</v>
      </c>
      <c r="M115" s="17">
        <f t="shared" si="9"/>
        <v>18</v>
      </c>
      <c r="N115" s="18">
        <f t="shared" si="10"/>
        <v>0.35714285714285715</v>
      </c>
      <c r="O115" s="27" t="s">
        <v>939</v>
      </c>
      <c r="P115" s="8" t="s">
        <v>939</v>
      </c>
      <c r="Q115" s="8" t="s">
        <v>939</v>
      </c>
      <c r="R115" s="8" t="s">
        <v>939</v>
      </c>
      <c r="S115" s="27" t="s">
        <v>939</v>
      </c>
      <c r="T115" s="27" t="s">
        <v>939</v>
      </c>
      <c r="U115" s="8" t="s">
        <v>939</v>
      </c>
      <c r="V115" s="8" t="s">
        <v>939</v>
      </c>
      <c r="W115" s="8" t="s">
        <v>939</v>
      </c>
      <c r="X115" s="27" t="s">
        <v>939</v>
      </c>
      <c r="Y115" s="27"/>
      <c r="Z115" s="27"/>
      <c r="AA115" s="27"/>
      <c r="AB115" s="27"/>
      <c r="AC115" s="27"/>
      <c r="AD115" s="27" t="s">
        <v>939</v>
      </c>
      <c r="AE115" s="27" t="s">
        <v>939</v>
      </c>
      <c r="AF115" s="27" t="s">
        <v>939</v>
      </c>
      <c r="AG115" s="27" t="s">
        <v>939</v>
      </c>
      <c r="AH115" s="27" t="s">
        <v>939</v>
      </c>
      <c r="AI115" s="27" t="s">
        <v>939</v>
      </c>
      <c r="AJ115" s="27" t="s">
        <v>939</v>
      </c>
      <c r="AK115" s="8" t="s">
        <v>939</v>
      </c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1056</v>
      </c>
      <c r="L116" s="17">
        <f t="shared" si="8"/>
        <v>10</v>
      </c>
      <c r="M116" s="17">
        <f t="shared" si="9"/>
        <v>18</v>
      </c>
      <c r="N116" s="18">
        <f t="shared" si="10"/>
        <v>0.35714285714285715</v>
      </c>
      <c r="O116" s="27" t="s">
        <v>939</v>
      </c>
      <c r="P116" s="8" t="s">
        <v>939</v>
      </c>
      <c r="Q116" s="8" t="s">
        <v>939</v>
      </c>
      <c r="R116" s="8" t="s">
        <v>939</v>
      </c>
      <c r="S116" s="27" t="s">
        <v>939</v>
      </c>
      <c r="T116" s="27" t="s">
        <v>939</v>
      </c>
      <c r="U116" s="8" t="s">
        <v>939</v>
      </c>
      <c r="V116" s="8" t="s">
        <v>939</v>
      </c>
      <c r="W116" s="8" t="s">
        <v>939</v>
      </c>
      <c r="X116" s="27" t="s">
        <v>939</v>
      </c>
      <c r="Y116" s="27"/>
      <c r="Z116" s="27"/>
      <c r="AA116" s="27"/>
      <c r="AB116" s="27"/>
      <c r="AC116" s="27"/>
      <c r="AD116" s="27" t="s">
        <v>939</v>
      </c>
      <c r="AE116" s="27" t="s">
        <v>939</v>
      </c>
      <c r="AF116" s="27" t="s">
        <v>939</v>
      </c>
      <c r="AG116" s="27" t="s">
        <v>939</v>
      </c>
      <c r="AH116" s="27" t="s">
        <v>939</v>
      </c>
      <c r="AI116" s="27" t="s">
        <v>939</v>
      </c>
      <c r="AJ116" s="27" t="s">
        <v>939</v>
      </c>
      <c r="AK116" s="8" t="s">
        <v>939</v>
      </c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1057</v>
      </c>
      <c r="L117" s="17">
        <f t="shared" si="8"/>
        <v>27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 t="s">
        <v>940</v>
      </c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1060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1061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1028</v>
      </c>
      <c r="L120" s="17">
        <f t="shared" si="8"/>
        <v>14</v>
      </c>
      <c r="M120" s="17">
        <f t="shared" si="9"/>
        <v>14</v>
      </c>
      <c r="N120" s="18">
        <f t="shared" si="10"/>
        <v>0.5</v>
      </c>
      <c r="O120" s="27" t="s">
        <v>939</v>
      </c>
      <c r="P120" s="8" t="s">
        <v>939</v>
      </c>
      <c r="Q120" s="8" t="s">
        <v>939</v>
      </c>
      <c r="R120" s="8" t="s">
        <v>939</v>
      </c>
      <c r="S120" s="27" t="s">
        <v>939</v>
      </c>
      <c r="T120" s="27" t="s">
        <v>939</v>
      </c>
      <c r="U120" s="8" t="s">
        <v>939</v>
      </c>
      <c r="V120" s="8" t="s">
        <v>939</v>
      </c>
      <c r="W120" s="8" t="s">
        <v>939</v>
      </c>
      <c r="X120" s="27" t="s">
        <v>939</v>
      </c>
      <c r="Y120" s="27" t="s">
        <v>939</v>
      </c>
      <c r="Z120" s="27" t="s">
        <v>939</v>
      </c>
      <c r="AA120" s="27" t="s">
        <v>939</v>
      </c>
      <c r="AB120" s="27" t="s">
        <v>939</v>
      </c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1029</v>
      </c>
      <c r="L121" s="17">
        <f t="shared" si="8"/>
        <v>14</v>
      </c>
      <c r="M121" s="17">
        <f t="shared" si="9"/>
        <v>14</v>
      </c>
      <c r="N121" s="18">
        <f t="shared" si="10"/>
        <v>0.5</v>
      </c>
      <c r="O121" s="27" t="s">
        <v>939</v>
      </c>
      <c r="P121" s="8" t="s">
        <v>939</v>
      </c>
      <c r="Q121" s="8" t="s">
        <v>939</v>
      </c>
      <c r="R121" s="8" t="s">
        <v>939</v>
      </c>
      <c r="S121" s="27" t="s">
        <v>939</v>
      </c>
      <c r="T121" s="27" t="s">
        <v>939</v>
      </c>
      <c r="U121" s="8" t="s">
        <v>939</v>
      </c>
      <c r="V121" s="8" t="s">
        <v>939</v>
      </c>
      <c r="W121" s="8" t="s">
        <v>939</v>
      </c>
      <c r="X121" s="27" t="s">
        <v>939</v>
      </c>
      <c r="Y121" s="27" t="s">
        <v>939</v>
      </c>
      <c r="Z121" s="27" t="s">
        <v>939</v>
      </c>
      <c r="AA121" s="27" t="s">
        <v>939</v>
      </c>
      <c r="AB121" s="27" t="s">
        <v>939</v>
      </c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1063</v>
      </c>
      <c r="L122" s="17">
        <f t="shared" si="8"/>
        <v>16</v>
      </c>
      <c r="M122" s="17">
        <f t="shared" si="9"/>
        <v>12</v>
      </c>
      <c r="N122" s="18">
        <f t="shared" si="10"/>
        <v>0.5714285714285714</v>
      </c>
      <c r="O122" s="27"/>
      <c r="P122" s="8" t="s">
        <v>939</v>
      </c>
      <c r="Q122" s="8" t="s">
        <v>939</v>
      </c>
      <c r="R122" s="8"/>
      <c r="S122" s="27"/>
      <c r="T122" s="27"/>
      <c r="U122" s="8" t="s">
        <v>939</v>
      </c>
      <c r="V122" s="8"/>
      <c r="W122" s="8"/>
      <c r="X122" s="27" t="s">
        <v>939</v>
      </c>
      <c r="Y122" s="27"/>
      <c r="Z122" s="27"/>
      <c r="AA122" s="27"/>
      <c r="AB122" s="27" t="s">
        <v>939</v>
      </c>
      <c r="AC122" s="27"/>
      <c r="AD122" s="27" t="s">
        <v>939</v>
      </c>
      <c r="AE122" s="27"/>
      <c r="AF122" s="27"/>
      <c r="AG122" s="27"/>
      <c r="AH122" s="27"/>
      <c r="AI122" s="27"/>
      <c r="AJ122" s="27" t="s">
        <v>939</v>
      </c>
      <c r="AK122" s="8"/>
      <c r="AL122" s="8" t="s">
        <v>939</v>
      </c>
      <c r="AM122" s="8" t="s">
        <v>939</v>
      </c>
      <c r="AN122" s="27" t="s">
        <v>939</v>
      </c>
      <c r="AO122" s="8" t="s">
        <v>939</v>
      </c>
      <c r="AP122" s="8" t="s">
        <v>939</v>
      </c>
      <c r="AQ122" s="27"/>
      <c r="AR122" s="27"/>
      <c r="AS122" s="27"/>
    </row>
    <row r="123" spans="1:45" ht="15" thickBot="1" x14ac:dyDescent="0.35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1064</v>
      </c>
      <c r="L123" s="17">
        <f t="shared" si="8"/>
        <v>16</v>
      </c>
      <c r="M123" s="17">
        <f t="shared" si="9"/>
        <v>12</v>
      </c>
      <c r="N123" s="18">
        <f t="shared" si="10"/>
        <v>0.5714285714285714</v>
      </c>
      <c r="O123" s="27"/>
      <c r="P123" s="8" t="s">
        <v>939</v>
      </c>
      <c r="Q123" s="8" t="s">
        <v>939</v>
      </c>
      <c r="R123" s="8"/>
      <c r="S123" s="27"/>
      <c r="T123" s="27"/>
      <c r="U123" s="8" t="s">
        <v>939</v>
      </c>
      <c r="V123" s="8"/>
      <c r="W123" s="8"/>
      <c r="X123" s="27" t="s">
        <v>939</v>
      </c>
      <c r="Y123" s="27"/>
      <c r="Z123" s="27"/>
      <c r="AA123" s="27"/>
      <c r="AB123" s="27" t="s">
        <v>939</v>
      </c>
      <c r="AC123" s="27"/>
      <c r="AD123" s="27" t="s">
        <v>939</v>
      </c>
      <c r="AE123" s="27"/>
      <c r="AF123" s="27"/>
      <c r="AG123" s="27"/>
      <c r="AH123" s="27"/>
      <c r="AI123" s="27"/>
      <c r="AJ123" s="27" t="s">
        <v>939</v>
      </c>
      <c r="AK123" s="8"/>
      <c r="AL123" s="8" t="s">
        <v>939</v>
      </c>
      <c r="AM123" s="8" t="s">
        <v>939</v>
      </c>
      <c r="AN123" s="27" t="s">
        <v>939</v>
      </c>
      <c r="AO123" s="8" t="s">
        <v>939</v>
      </c>
      <c r="AP123" s="8" t="s">
        <v>939</v>
      </c>
      <c r="AQ123" s="27"/>
      <c r="AR123" s="27"/>
      <c r="AS123" s="27"/>
    </row>
    <row r="124" spans="1:45" ht="15" thickBot="1" x14ac:dyDescent="0.35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1065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 t="s">
        <v>939</v>
      </c>
      <c r="AR124" s="27"/>
      <c r="AS124" s="27"/>
    </row>
    <row r="125" spans="1:45" ht="15" thickBot="1" x14ac:dyDescent="0.35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1072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1073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1074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1075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t="s">
        <v>342</v>
      </c>
      <c r="C129" s="45" t="s">
        <v>355</v>
      </c>
      <c r="D129" t="s">
        <v>356</v>
      </c>
      <c r="E129" t="s">
        <v>113</v>
      </c>
      <c r="F129" t="s">
        <v>945</v>
      </c>
      <c r="G129"/>
      <c r="H129" t="s">
        <v>297</v>
      </c>
      <c r="I129" s="16">
        <v>-348034360000</v>
      </c>
      <c r="J129" s="16">
        <v>-583009630000</v>
      </c>
      <c r="K129" s="16" t="s">
        <v>1077</v>
      </c>
      <c r="L129" s="17">
        <f t="shared" si="8"/>
        <v>15</v>
      </c>
      <c r="M129" s="17">
        <f t="shared" si="9"/>
        <v>13</v>
      </c>
      <c r="N129" s="18">
        <f t="shared" si="10"/>
        <v>0.5357142857142857</v>
      </c>
      <c r="O129" s="27"/>
      <c r="P129" s="8"/>
      <c r="Q129" s="8"/>
      <c r="R129" s="8"/>
      <c r="S129" s="27" t="s">
        <v>939</v>
      </c>
      <c r="T129" s="27"/>
      <c r="U129" s="8"/>
      <c r="V129" s="8"/>
      <c r="W129" s="8"/>
      <c r="X129" s="27"/>
      <c r="Y129" s="27" t="s">
        <v>939</v>
      </c>
      <c r="Z129" s="27" t="s">
        <v>939</v>
      </c>
      <c r="AA129" s="27" t="s">
        <v>939</v>
      </c>
      <c r="AB129" s="27" t="s">
        <v>939</v>
      </c>
      <c r="AC129" s="27" t="s">
        <v>939</v>
      </c>
      <c r="AD129" s="27" t="s">
        <v>939</v>
      </c>
      <c r="AE129" s="27" t="s">
        <v>939</v>
      </c>
      <c r="AF129" s="27" t="s">
        <v>939</v>
      </c>
      <c r="AG129" s="27" t="s">
        <v>939</v>
      </c>
      <c r="AH129" s="27" t="s">
        <v>939</v>
      </c>
      <c r="AI129" s="27" t="s">
        <v>939</v>
      </c>
      <c r="AJ129" s="27" t="s">
        <v>939</v>
      </c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t="s">
        <v>342</v>
      </c>
      <c r="C130" s="45" t="s">
        <v>357</v>
      </c>
      <c r="D130" t="s">
        <v>356</v>
      </c>
      <c r="E130" t="s">
        <v>113</v>
      </c>
      <c r="F130" t="s">
        <v>945</v>
      </c>
      <c r="G130"/>
      <c r="H130" t="s">
        <v>297</v>
      </c>
      <c r="I130" s="16">
        <v>-348034540000</v>
      </c>
      <c r="J130" s="16">
        <v>-583010170000</v>
      </c>
      <c r="K130" s="16" t="s">
        <v>1078</v>
      </c>
      <c r="L130" s="17">
        <f t="shared" si="8"/>
        <v>16</v>
      </c>
      <c r="M130" s="17">
        <f t="shared" si="9"/>
        <v>12</v>
      </c>
      <c r="N130" s="18">
        <f t="shared" si="10"/>
        <v>0.5714285714285714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 t="s">
        <v>939</v>
      </c>
      <c r="Z130" s="27" t="s">
        <v>939</v>
      </c>
      <c r="AA130" s="27" t="s">
        <v>939</v>
      </c>
      <c r="AB130" s="27" t="s">
        <v>939</v>
      </c>
      <c r="AC130" s="27" t="s">
        <v>939</v>
      </c>
      <c r="AD130" s="27" t="s">
        <v>939</v>
      </c>
      <c r="AE130" s="27" t="s">
        <v>939</v>
      </c>
      <c r="AF130" s="27" t="s">
        <v>939</v>
      </c>
      <c r="AG130" s="27" t="s">
        <v>939</v>
      </c>
      <c r="AH130" s="27" t="s">
        <v>939</v>
      </c>
      <c r="AI130" s="27" t="s">
        <v>939</v>
      </c>
      <c r="AJ130" s="27" t="s">
        <v>939</v>
      </c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1066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1067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1068</v>
      </c>
      <c r="L133" s="17">
        <f t="shared" ref="L133:L196" si="11">COUNTIF(O133:AP133,"")</f>
        <v>0</v>
      </c>
      <c r="M133" s="17">
        <f t="shared" ref="M133:M196" si="12">COUNTIF(O133:AP133,"APAGADO")</f>
        <v>28</v>
      </c>
      <c r="N133" s="18">
        <f t="shared" ref="N133:N196" si="13">(L133)/(M133+L133)</f>
        <v>0</v>
      </c>
      <c r="O133" s="27" t="s">
        <v>939</v>
      </c>
      <c r="P133" s="8" t="s">
        <v>939</v>
      </c>
      <c r="Q133" s="8" t="s">
        <v>939</v>
      </c>
      <c r="R133" s="8" t="s">
        <v>939</v>
      </c>
      <c r="S133" s="27" t="s">
        <v>939</v>
      </c>
      <c r="T133" s="27" t="s">
        <v>939</v>
      </c>
      <c r="U133" s="8" t="s">
        <v>939</v>
      </c>
      <c r="V133" s="8" t="s">
        <v>939</v>
      </c>
      <c r="W133" s="8" t="s">
        <v>939</v>
      </c>
      <c r="X133" s="27" t="s">
        <v>939</v>
      </c>
      <c r="Y133" s="27" t="s">
        <v>939</v>
      </c>
      <c r="Z133" s="27" t="s">
        <v>939</v>
      </c>
      <c r="AA133" s="27" t="s">
        <v>939</v>
      </c>
      <c r="AB133" s="27" t="s">
        <v>939</v>
      </c>
      <c r="AC133" s="27" t="s">
        <v>939</v>
      </c>
      <c r="AD133" s="27" t="s">
        <v>939</v>
      </c>
      <c r="AE133" s="27" t="s">
        <v>939</v>
      </c>
      <c r="AF133" s="27" t="s">
        <v>939</v>
      </c>
      <c r="AG133" s="27" t="s">
        <v>939</v>
      </c>
      <c r="AH133" s="27" t="s">
        <v>939</v>
      </c>
      <c r="AI133" s="27" t="s">
        <v>939</v>
      </c>
      <c r="AJ133" s="27" t="s">
        <v>939</v>
      </c>
      <c r="AK133" s="8" t="s">
        <v>939</v>
      </c>
      <c r="AL133" s="8" t="s">
        <v>939</v>
      </c>
      <c r="AM133" s="8" t="s">
        <v>939</v>
      </c>
      <c r="AN133" s="27" t="s">
        <v>939</v>
      </c>
      <c r="AO133" s="8" t="s">
        <v>939</v>
      </c>
      <c r="AP133" s="8" t="s">
        <v>939</v>
      </c>
      <c r="AQ133" s="27" t="s">
        <v>939</v>
      </c>
      <c r="AR133" s="27"/>
      <c r="AS133" s="27"/>
    </row>
    <row r="134" spans="1:45" ht="15" thickBot="1" x14ac:dyDescent="0.35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1069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7"/>
      <c r="P134" s="8"/>
      <c r="Q134" s="8"/>
      <c r="R134" s="8"/>
      <c r="S134" s="27" t="s">
        <v>939</v>
      </c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1070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1071</v>
      </c>
      <c r="L136" s="17">
        <f t="shared" si="11"/>
        <v>23</v>
      </c>
      <c r="M136" s="17">
        <f t="shared" si="12"/>
        <v>5</v>
      </c>
      <c r="N136" s="18">
        <f t="shared" si="13"/>
        <v>0.8214285714285714</v>
      </c>
      <c r="O136" s="27" t="s">
        <v>939</v>
      </c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 t="s">
        <v>939</v>
      </c>
      <c r="AN136" s="27" t="s">
        <v>939</v>
      </c>
      <c r="AO136" s="8" t="s">
        <v>939</v>
      </c>
      <c r="AP136" s="8" t="s">
        <v>939</v>
      </c>
      <c r="AQ136" s="27"/>
      <c r="AR136" s="27"/>
      <c r="AS136" s="27"/>
    </row>
    <row r="137" spans="1:45" ht="15" thickBot="1" x14ac:dyDescent="0.35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1076</v>
      </c>
      <c r="L137" s="17">
        <f t="shared" si="11"/>
        <v>24</v>
      </c>
      <c r="M137" s="17">
        <f t="shared" si="12"/>
        <v>4</v>
      </c>
      <c r="N137" s="18">
        <f t="shared" si="13"/>
        <v>0.8571428571428571</v>
      </c>
      <c r="O137" s="27" t="s">
        <v>939</v>
      </c>
      <c r="P137" s="8" t="s">
        <v>939</v>
      </c>
      <c r="Q137" s="8" t="s">
        <v>939</v>
      </c>
      <c r="R137" s="8" t="s">
        <v>939</v>
      </c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t="s">
        <v>342</v>
      </c>
      <c r="C138" s="45" t="s">
        <v>378</v>
      </c>
      <c r="D138" t="s">
        <v>379</v>
      </c>
      <c r="E138" t="s">
        <v>113</v>
      </c>
      <c r="F138" t="s">
        <v>945</v>
      </c>
      <c r="G138"/>
      <c r="H138" t="s">
        <v>380</v>
      </c>
      <c r="I138" s="16">
        <v>-348053300000</v>
      </c>
      <c r="J138" s="16">
        <v>-583014930000</v>
      </c>
      <c r="K138" s="16" t="s">
        <v>1079</v>
      </c>
      <c r="L138" s="17">
        <f t="shared" si="11"/>
        <v>16</v>
      </c>
      <c r="M138" s="17">
        <f t="shared" si="12"/>
        <v>12</v>
      </c>
      <c r="N138" s="18">
        <f t="shared" si="13"/>
        <v>0.5714285714285714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 t="s">
        <v>939</v>
      </c>
      <c r="Z138" s="27" t="s">
        <v>939</v>
      </c>
      <c r="AA138" s="27" t="s">
        <v>939</v>
      </c>
      <c r="AB138" s="27" t="s">
        <v>939</v>
      </c>
      <c r="AC138" s="27" t="s">
        <v>939</v>
      </c>
      <c r="AD138" s="27" t="s">
        <v>939</v>
      </c>
      <c r="AE138" s="27" t="s">
        <v>939</v>
      </c>
      <c r="AF138" s="27" t="s">
        <v>939</v>
      </c>
      <c r="AG138" s="27" t="s">
        <v>939</v>
      </c>
      <c r="AH138" s="27" t="s">
        <v>939</v>
      </c>
      <c r="AI138" s="27" t="s">
        <v>939</v>
      </c>
      <c r="AJ138" s="27" t="s">
        <v>939</v>
      </c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t="s">
        <v>342</v>
      </c>
      <c r="C139" s="45" t="s">
        <v>381</v>
      </c>
      <c r="D139" t="s">
        <v>379</v>
      </c>
      <c r="E139" t="s">
        <v>113</v>
      </c>
      <c r="F139" t="s">
        <v>945</v>
      </c>
      <c r="G139"/>
      <c r="H139" t="s">
        <v>382</v>
      </c>
      <c r="I139" s="16">
        <v>-348053300000</v>
      </c>
      <c r="J139" s="16">
        <v>-583014930000</v>
      </c>
      <c r="K139" s="16" t="s">
        <v>1080</v>
      </c>
      <c r="L139" s="17">
        <f t="shared" si="11"/>
        <v>16</v>
      </c>
      <c r="M139" s="17">
        <f t="shared" si="12"/>
        <v>12</v>
      </c>
      <c r="N139" s="18">
        <f t="shared" si="13"/>
        <v>0.5714285714285714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 t="s">
        <v>939</v>
      </c>
      <c r="Z139" s="27" t="s">
        <v>939</v>
      </c>
      <c r="AA139" s="27" t="s">
        <v>939</v>
      </c>
      <c r="AB139" s="27" t="s">
        <v>939</v>
      </c>
      <c r="AC139" s="27" t="s">
        <v>939</v>
      </c>
      <c r="AD139" s="27" t="s">
        <v>939</v>
      </c>
      <c r="AE139" s="27" t="s">
        <v>939</v>
      </c>
      <c r="AF139" s="27" t="s">
        <v>939</v>
      </c>
      <c r="AG139" s="27" t="s">
        <v>939</v>
      </c>
      <c r="AH139" s="27" t="s">
        <v>939</v>
      </c>
      <c r="AI139" s="27" t="s">
        <v>939</v>
      </c>
      <c r="AJ139" s="27" t="s">
        <v>939</v>
      </c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t="s">
        <v>342</v>
      </c>
      <c r="C140" s="45" t="s">
        <v>383</v>
      </c>
      <c r="D140" t="s">
        <v>384</v>
      </c>
      <c r="E140" t="s">
        <v>113</v>
      </c>
      <c r="F140" t="s">
        <v>945</v>
      </c>
      <c r="G140"/>
      <c r="H140" t="s">
        <v>385</v>
      </c>
      <c r="I140" s="16">
        <v>-348051560000</v>
      </c>
      <c r="J140" s="16">
        <v>-583023560000</v>
      </c>
      <c r="K140" s="16" t="s">
        <v>1081</v>
      </c>
      <c r="L140" s="17">
        <f t="shared" si="11"/>
        <v>16</v>
      </c>
      <c r="M140" s="17">
        <f t="shared" si="12"/>
        <v>12</v>
      </c>
      <c r="N140" s="18">
        <f t="shared" si="13"/>
        <v>0.5714285714285714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 t="s">
        <v>939</v>
      </c>
      <c r="Z140" s="27" t="s">
        <v>939</v>
      </c>
      <c r="AA140" s="27" t="s">
        <v>939</v>
      </c>
      <c r="AB140" s="27" t="s">
        <v>939</v>
      </c>
      <c r="AC140" s="27" t="s">
        <v>939</v>
      </c>
      <c r="AD140" s="27" t="s">
        <v>939</v>
      </c>
      <c r="AE140" s="27" t="s">
        <v>939</v>
      </c>
      <c r="AF140" s="27" t="s">
        <v>939</v>
      </c>
      <c r="AG140" s="27" t="s">
        <v>939</v>
      </c>
      <c r="AH140" s="27" t="s">
        <v>939</v>
      </c>
      <c r="AI140" s="27" t="s">
        <v>939</v>
      </c>
      <c r="AJ140" s="27" t="s">
        <v>939</v>
      </c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t="s">
        <v>342</v>
      </c>
      <c r="C141" s="45" t="s">
        <v>386</v>
      </c>
      <c r="D141" t="s">
        <v>384</v>
      </c>
      <c r="E141" t="s">
        <v>113</v>
      </c>
      <c r="F141" t="s">
        <v>945</v>
      </c>
      <c r="G141"/>
      <c r="H141" t="s">
        <v>385</v>
      </c>
      <c r="I141" s="16">
        <v>-348051560000</v>
      </c>
      <c r="J141" s="16">
        <v>-583023560000</v>
      </c>
      <c r="K141" s="16" t="s">
        <v>1082</v>
      </c>
      <c r="L141" s="17">
        <f t="shared" si="11"/>
        <v>15</v>
      </c>
      <c r="M141" s="17">
        <f t="shared" si="12"/>
        <v>13</v>
      </c>
      <c r="N141" s="18">
        <f t="shared" si="13"/>
        <v>0.5357142857142857</v>
      </c>
      <c r="O141" s="27"/>
      <c r="P141" s="8"/>
      <c r="Q141" s="8"/>
      <c r="R141" s="8"/>
      <c r="S141" s="27" t="s">
        <v>939</v>
      </c>
      <c r="T141" s="27"/>
      <c r="U141" s="8"/>
      <c r="V141" s="8"/>
      <c r="W141" s="8"/>
      <c r="X141" s="27"/>
      <c r="Y141" s="27" t="s">
        <v>939</v>
      </c>
      <c r="Z141" s="27" t="s">
        <v>939</v>
      </c>
      <c r="AA141" s="27" t="s">
        <v>939</v>
      </c>
      <c r="AB141" s="27" t="s">
        <v>939</v>
      </c>
      <c r="AC141" s="27" t="s">
        <v>939</v>
      </c>
      <c r="AD141" s="27" t="s">
        <v>939</v>
      </c>
      <c r="AE141" s="27" t="s">
        <v>939</v>
      </c>
      <c r="AF141" s="27" t="s">
        <v>939</v>
      </c>
      <c r="AG141" s="27" t="s">
        <v>939</v>
      </c>
      <c r="AH141" s="27" t="s">
        <v>939</v>
      </c>
      <c r="AI141" s="27" t="s">
        <v>939</v>
      </c>
      <c r="AJ141" s="27" t="s">
        <v>939</v>
      </c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t="s">
        <v>167</v>
      </c>
      <c r="C142" s="45" t="s">
        <v>387</v>
      </c>
      <c r="D142" t="s">
        <v>388</v>
      </c>
      <c r="E142" t="s">
        <v>19</v>
      </c>
      <c r="F142" t="s">
        <v>945</v>
      </c>
      <c r="G142"/>
      <c r="H142" t="s">
        <v>389</v>
      </c>
      <c r="I142" s="16">
        <v>-347976230000</v>
      </c>
      <c r="J142" s="16">
        <v>-582821290000</v>
      </c>
      <c r="K142" s="16" t="s">
        <v>1083</v>
      </c>
      <c r="L142" s="17">
        <f t="shared" si="11"/>
        <v>26</v>
      </c>
      <c r="M142" s="17">
        <f t="shared" si="12"/>
        <v>2</v>
      </c>
      <c r="N142" s="18">
        <f t="shared" si="13"/>
        <v>0.9285714285714286</v>
      </c>
      <c r="O142" s="27"/>
      <c r="P142" s="8"/>
      <c r="Q142" s="8"/>
      <c r="R142" s="8"/>
      <c r="S142" s="27"/>
      <c r="T142" s="27"/>
      <c r="U142" s="8"/>
      <c r="V142" s="8"/>
      <c r="W142" s="8" t="s">
        <v>939</v>
      </c>
      <c r="X142" s="27"/>
      <c r="Y142" s="27"/>
      <c r="Z142" s="27"/>
      <c r="AA142" s="27"/>
      <c r="AB142" s="27"/>
      <c r="AC142" s="27"/>
      <c r="AD142" s="27"/>
      <c r="AE142" s="27"/>
      <c r="AF142" s="27"/>
      <c r="AG142" s="27" t="s">
        <v>939</v>
      </c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t="s">
        <v>167</v>
      </c>
      <c r="C143" s="45" t="s">
        <v>390</v>
      </c>
      <c r="D143" t="s">
        <v>391</v>
      </c>
      <c r="E143" t="s">
        <v>19</v>
      </c>
      <c r="F143" t="s">
        <v>945</v>
      </c>
      <c r="G143"/>
      <c r="H143" t="s">
        <v>389</v>
      </c>
      <c r="I143" s="16">
        <v>-347960180000</v>
      </c>
      <c r="J143" s="16">
        <v>-582861620000</v>
      </c>
      <c r="K143" s="16" t="s">
        <v>1084</v>
      </c>
      <c r="L143" s="17">
        <f t="shared" si="11"/>
        <v>27</v>
      </c>
      <c r="M143" s="17">
        <f t="shared" si="12"/>
        <v>1</v>
      </c>
      <c r="N143" s="18">
        <f t="shared" si="13"/>
        <v>0.9642857142857143</v>
      </c>
      <c r="O143" s="27"/>
      <c r="P143" s="8"/>
      <c r="Q143" s="8"/>
      <c r="R143" s="8"/>
      <c r="S143" s="27"/>
      <c r="T143" s="27"/>
      <c r="U143" s="8"/>
      <c r="V143" s="8"/>
      <c r="W143" s="8" t="s">
        <v>939</v>
      </c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945</v>
      </c>
      <c r="G144"/>
      <c r="H144" t="s">
        <v>389</v>
      </c>
      <c r="I144" s="16">
        <v>-347947670000</v>
      </c>
      <c r="J144" s="16">
        <v>-582871810000</v>
      </c>
      <c r="K144" s="16" t="s">
        <v>1085</v>
      </c>
      <c r="L144" s="17">
        <f t="shared" si="11"/>
        <v>26</v>
      </c>
      <c r="M144" s="17">
        <f t="shared" si="12"/>
        <v>2</v>
      </c>
      <c r="N144" s="18">
        <f t="shared" si="13"/>
        <v>0.9285714285714286</v>
      </c>
      <c r="O144" s="27"/>
      <c r="P144" s="8"/>
      <c r="Q144" s="8"/>
      <c r="R144" s="8"/>
      <c r="S144" s="27"/>
      <c r="T144" s="27"/>
      <c r="U144" s="8"/>
      <c r="V144" s="8" t="s">
        <v>939</v>
      </c>
      <c r="W144" s="8" t="s">
        <v>939</v>
      </c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t="s">
        <v>261</v>
      </c>
      <c r="C145" s="45" t="s">
        <v>394</v>
      </c>
      <c r="D145" t="s">
        <v>1322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1086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1087</v>
      </c>
      <c r="L146" s="17">
        <f t="shared" si="11"/>
        <v>25</v>
      </c>
      <c r="M146" s="17">
        <f t="shared" si="12"/>
        <v>3</v>
      </c>
      <c r="N146" s="18">
        <f t="shared" si="13"/>
        <v>0.8928571428571429</v>
      </c>
      <c r="O146" s="27"/>
      <c r="P146" s="8"/>
      <c r="Q146" s="8"/>
      <c r="R146" s="8" t="s">
        <v>939</v>
      </c>
      <c r="S146" s="27" t="s">
        <v>939</v>
      </c>
      <c r="T146" s="27" t="s">
        <v>939</v>
      </c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1088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1062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1089</v>
      </c>
      <c r="L149" s="17">
        <f t="shared" si="11"/>
        <v>26</v>
      </c>
      <c r="M149" s="17">
        <f t="shared" si="12"/>
        <v>2</v>
      </c>
      <c r="N149" s="18">
        <f t="shared" si="13"/>
        <v>0.9285714285714286</v>
      </c>
      <c r="O149" s="27" t="s">
        <v>939</v>
      </c>
      <c r="P149" s="8" t="s">
        <v>939</v>
      </c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1090</v>
      </c>
      <c r="L150" s="17">
        <f t="shared" si="11"/>
        <v>26</v>
      </c>
      <c r="M150" s="17">
        <f t="shared" si="12"/>
        <v>2</v>
      </c>
      <c r="N150" s="18">
        <f t="shared" si="13"/>
        <v>0.9285714285714286</v>
      </c>
      <c r="O150" s="27" t="s">
        <v>939</v>
      </c>
      <c r="P150" s="8" t="s">
        <v>939</v>
      </c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1091</v>
      </c>
      <c r="L151" s="17">
        <f t="shared" si="11"/>
        <v>26</v>
      </c>
      <c r="M151" s="17">
        <f t="shared" si="12"/>
        <v>2</v>
      </c>
      <c r="N151" s="18">
        <f t="shared" si="13"/>
        <v>0.9285714285714286</v>
      </c>
      <c r="O151" s="27" t="s">
        <v>939</v>
      </c>
      <c r="P151" s="8" t="s">
        <v>939</v>
      </c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1092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1093</v>
      </c>
      <c r="L153" s="17">
        <f t="shared" si="11"/>
        <v>8</v>
      </c>
      <c r="M153" s="17">
        <f t="shared" si="12"/>
        <v>20</v>
      </c>
      <c r="N153" s="18">
        <f t="shared" si="13"/>
        <v>0.2857142857142857</v>
      </c>
      <c r="O153" s="27"/>
      <c r="P153" s="8"/>
      <c r="Q153" s="8"/>
      <c r="R153" s="8"/>
      <c r="S153" s="27"/>
      <c r="T153" s="27"/>
      <c r="U153" s="8"/>
      <c r="V153" s="8" t="s">
        <v>939</v>
      </c>
      <c r="W153" s="8" t="s">
        <v>939</v>
      </c>
      <c r="X153" s="27" t="s">
        <v>939</v>
      </c>
      <c r="Y153" s="27" t="s">
        <v>939</v>
      </c>
      <c r="Z153" s="27" t="s">
        <v>939</v>
      </c>
      <c r="AA153" s="27" t="s">
        <v>939</v>
      </c>
      <c r="AB153" s="27" t="s">
        <v>939</v>
      </c>
      <c r="AC153" s="27" t="s">
        <v>939</v>
      </c>
      <c r="AD153" s="27" t="s">
        <v>939</v>
      </c>
      <c r="AE153" s="27" t="s">
        <v>939</v>
      </c>
      <c r="AF153" s="27" t="s">
        <v>939</v>
      </c>
      <c r="AG153" s="27" t="s">
        <v>939</v>
      </c>
      <c r="AH153" s="27" t="s">
        <v>939</v>
      </c>
      <c r="AI153" s="27" t="s">
        <v>939</v>
      </c>
      <c r="AJ153" s="27" t="s">
        <v>939</v>
      </c>
      <c r="AK153" s="8" t="s">
        <v>939</v>
      </c>
      <c r="AL153" s="8" t="s">
        <v>939</v>
      </c>
      <c r="AM153" s="8" t="s">
        <v>939</v>
      </c>
      <c r="AN153" s="27"/>
      <c r="AO153" s="8" t="s">
        <v>939</v>
      </c>
      <c r="AP153" s="8" t="s">
        <v>939</v>
      </c>
      <c r="AQ153" s="27" t="s">
        <v>939</v>
      </c>
      <c r="AR153" s="27"/>
      <c r="AS153" s="27"/>
    </row>
    <row r="154" spans="1:45" ht="15" thickBot="1" x14ac:dyDescent="0.35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1094</v>
      </c>
      <c r="L154" s="17">
        <f t="shared" si="11"/>
        <v>27</v>
      </c>
      <c r="M154" s="17">
        <f t="shared" si="12"/>
        <v>1</v>
      </c>
      <c r="N154" s="18">
        <f t="shared" si="13"/>
        <v>0.9642857142857143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 t="s">
        <v>939</v>
      </c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1095</v>
      </c>
      <c r="L155" s="17">
        <f t="shared" si="11"/>
        <v>26</v>
      </c>
      <c r="M155" s="17">
        <f t="shared" si="12"/>
        <v>2</v>
      </c>
      <c r="N155" s="18">
        <f t="shared" si="13"/>
        <v>0.9285714285714286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 t="s">
        <v>939</v>
      </c>
      <c r="AF155" s="27"/>
      <c r="AG155" s="27" t="s">
        <v>939</v>
      </c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1096</v>
      </c>
      <c r="L156" s="17">
        <f t="shared" si="11"/>
        <v>1</v>
      </c>
      <c r="M156" s="17">
        <f t="shared" si="12"/>
        <v>27</v>
      </c>
      <c r="N156" s="18">
        <f t="shared" si="13"/>
        <v>3.5714285714285712E-2</v>
      </c>
      <c r="O156" s="27"/>
      <c r="P156" s="8" t="s">
        <v>939</v>
      </c>
      <c r="Q156" s="8" t="s">
        <v>939</v>
      </c>
      <c r="R156" s="8" t="s">
        <v>939</v>
      </c>
      <c r="S156" s="27" t="s">
        <v>939</v>
      </c>
      <c r="T156" s="27" t="s">
        <v>939</v>
      </c>
      <c r="U156" s="8" t="s">
        <v>939</v>
      </c>
      <c r="V156" s="8" t="s">
        <v>939</v>
      </c>
      <c r="W156" s="8" t="s">
        <v>939</v>
      </c>
      <c r="X156" s="27" t="s">
        <v>939</v>
      </c>
      <c r="Y156" s="27" t="s">
        <v>939</v>
      </c>
      <c r="Z156" s="27" t="s">
        <v>939</v>
      </c>
      <c r="AA156" s="27" t="s">
        <v>939</v>
      </c>
      <c r="AB156" s="27" t="s">
        <v>939</v>
      </c>
      <c r="AC156" s="27" t="s">
        <v>939</v>
      </c>
      <c r="AD156" s="27" t="s">
        <v>939</v>
      </c>
      <c r="AE156" s="27" t="s">
        <v>939</v>
      </c>
      <c r="AF156" s="27" t="s">
        <v>939</v>
      </c>
      <c r="AG156" s="27" t="s">
        <v>939</v>
      </c>
      <c r="AH156" s="27" t="s">
        <v>939</v>
      </c>
      <c r="AI156" s="27" t="s">
        <v>939</v>
      </c>
      <c r="AJ156" s="27" t="s">
        <v>939</v>
      </c>
      <c r="AK156" s="8" t="s">
        <v>939</v>
      </c>
      <c r="AL156" s="8" t="s">
        <v>939</v>
      </c>
      <c r="AM156" s="8" t="s">
        <v>939</v>
      </c>
      <c r="AN156" s="27" t="s">
        <v>939</v>
      </c>
      <c r="AO156" s="8" t="s">
        <v>939</v>
      </c>
      <c r="AP156" s="8" t="s">
        <v>939</v>
      </c>
      <c r="AQ156" s="27" t="s">
        <v>939</v>
      </c>
      <c r="AR156" s="27"/>
      <c r="AS156" s="27"/>
    </row>
    <row r="157" spans="1:45" ht="15" thickBot="1" x14ac:dyDescent="0.35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1097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1098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 t="s">
        <v>939</v>
      </c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1099</v>
      </c>
      <c r="L159" s="17">
        <f t="shared" si="11"/>
        <v>7</v>
      </c>
      <c r="M159" s="17">
        <f t="shared" si="12"/>
        <v>21</v>
      </c>
      <c r="N159" s="18">
        <f t="shared" si="13"/>
        <v>0.25</v>
      </c>
      <c r="O159" s="27" t="s">
        <v>939</v>
      </c>
      <c r="P159" s="8" t="s">
        <v>939</v>
      </c>
      <c r="Q159" s="8" t="s">
        <v>939</v>
      </c>
      <c r="R159" s="8" t="s">
        <v>939</v>
      </c>
      <c r="S159" s="27" t="s">
        <v>939</v>
      </c>
      <c r="T159" s="27" t="s">
        <v>939</v>
      </c>
      <c r="U159" s="8" t="s">
        <v>939</v>
      </c>
      <c r="V159" s="8"/>
      <c r="W159" s="8" t="s">
        <v>939</v>
      </c>
      <c r="X159" s="27" t="s">
        <v>939</v>
      </c>
      <c r="Y159" s="27" t="s">
        <v>939</v>
      </c>
      <c r="Z159" s="27" t="s">
        <v>939</v>
      </c>
      <c r="AA159" s="27" t="s">
        <v>939</v>
      </c>
      <c r="AB159" s="27" t="s">
        <v>939</v>
      </c>
      <c r="AC159" s="27"/>
      <c r="AD159" s="27" t="s">
        <v>939</v>
      </c>
      <c r="AE159" s="27" t="s">
        <v>939</v>
      </c>
      <c r="AF159" s="27" t="s">
        <v>939</v>
      </c>
      <c r="AG159" s="27" t="s">
        <v>939</v>
      </c>
      <c r="AH159" s="27" t="s">
        <v>939</v>
      </c>
      <c r="AI159" s="27" t="s">
        <v>939</v>
      </c>
      <c r="AJ159" s="27" t="s">
        <v>939</v>
      </c>
      <c r="AK159" s="8"/>
      <c r="AL159" s="8" t="s">
        <v>939</v>
      </c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t="s">
        <v>415</v>
      </c>
      <c r="C160" s="45" t="s">
        <v>430</v>
      </c>
      <c r="D160" t="s">
        <v>1327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1100</v>
      </c>
      <c r="L160" s="17">
        <f t="shared" si="11"/>
        <v>14</v>
      </c>
      <c r="M160" s="17">
        <f t="shared" si="12"/>
        <v>14</v>
      </c>
      <c r="N160" s="18">
        <f t="shared" si="13"/>
        <v>0.5</v>
      </c>
      <c r="O160" s="27"/>
      <c r="P160" s="8" t="s">
        <v>939</v>
      </c>
      <c r="Q160" s="8" t="s">
        <v>939</v>
      </c>
      <c r="R160" s="8" t="s">
        <v>939</v>
      </c>
      <c r="S160" s="27" t="s">
        <v>939</v>
      </c>
      <c r="T160" s="27" t="s">
        <v>939</v>
      </c>
      <c r="U160" s="8" t="s">
        <v>939</v>
      </c>
      <c r="V160" s="8" t="s">
        <v>939</v>
      </c>
      <c r="W160" s="8" t="s">
        <v>939</v>
      </c>
      <c r="X160" s="27" t="s">
        <v>939</v>
      </c>
      <c r="Y160" s="27" t="s">
        <v>939</v>
      </c>
      <c r="Z160" s="27" t="s">
        <v>939</v>
      </c>
      <c r="AA160" s="27"/>
      <c r="AB160" s="27" t="s">
        <v>939</v>
      </c>
      <c r="AC160" s="27" t="s">
        <v>939</v>
      </c>
      <c r="AD160" s="27"/>
      <c r="AE160" s="27"/>
      <c r="AF160" s="27"/>
      <c r="AG160" s="27"/>
      <c r="AH160" s="27"/>
      <c r="AI160" s="27"/>
      <c r="AJ160" s="27"/>
      <c r="AK160" s="8"/>
      <c r="AL160" s="8" t="s">
        <v>939</v>
      </c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1101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 t="s">
        <v>939</v>
      </c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1102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1103</v>
      </c>
      <c r="L163" s="17">
        <f t="shared" si="11"/>
        <v>14</v>
      </c>
      <c r="M163" s="17">
        <f t="shared" si="12"/>
        <v>14</v>
      </c>
      <c r="N163" s="18">
        <f t="shared" si="13"/>
        <v>0.5</v>
      </c>
      <c r="O163" s="27"/>
      <c r="P163" s="8" t="s">
        <v>939</v>
      </c>
      <c r="Q163" s="8" t="s">
        <v>939</v>
      </c>
      <c r="R163" s="8" t="s">
        <v>939</v>
      </c>
      <c r="S163" s="27" t="s">
        <v>939</v>
      </c>
      <c r="T163" s="27" t="s">
        <v>939</v>
      </c>
      <c r="U163" s="8" t="s">
        <v>939</v>
      </c>
      <c r="V163" s="8" t="s">
        <v>939</v>
      </c>
      <c r="W163" s="8" t="s">
        <v>939</v>
      </c>
      <c r="X163" s="27" t="s">
        <v>939</v>
      </c>
      <c r="Y163" s="27" t="s">
        <v>939</v>
      </c>
      <c r="Z163" s="27" t="s">
        <v>939</v>
      </c>
      <c r="AA163" s="27" t="s">
        <v>939</v>
      </c>
      <c r="AB163" s="27" t="s">
        <v>939</v>
      </c>
      <c r="AC163" s="27" t="s">
        <v>939</v>
      </c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1104</v>
      </c>
      <c r="L164" s="17">
        <f t="shared" si="11"/>
        <v>14</v>
      </c>
      <c r="M164" s="17">
        <f t="shared" si="12"/>
        <v>14</v>
      </c>
      <c r="N164" s="18">
        <f t="shared" si="13"/>
        <v>0.5</v>
      </c>
      <c r="O164" s="27"/>
      <c r="P164" s="8" t="s">
        <v>939</v>
      </c>
      <c r="Q164" s="8" t="s">
        <v>939</v>
      </c>
      <c r="R164" s="8" t="s">
        <v>939</v>
      </c>
      <c r="S164" s="27" t="s">
        <v>939</v>
      </c>
      <c r="T164" s="27" t="s">
        <v>939</v>
      </c>
      <c r="U164" s="8" t="s">
        <v>939</v>
      </c>
      <c r="V164" s="8" t="s">
        <v>939</v>
      </c>
      <c r="W164" s="8" t="s">
        <v>939</v>
      </c>
      <c r="X164" s="27" t="s">
        <v>939</v>
      </c>
      <c r="Y164" s="27" t="s">
        <v>939</v>
      </c>
      <c r="Z164" s="27" t="s">
        <v>939</v>
      </c>
      <c r="AA164" s="27" t="s">
        <v>939</v>
      </c>
      <c r="AB164" s="27" t="s">
        <v>939</v>
      </c>
      <c r="AC164" s="27" t="s">
        <v>939</v>
      </c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1105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1107</v>
      </c>
      <c r="L166" s="17">
        <f t="shared" si="11"/>
        <v>22</v>
      </c>
      <c r="M166" s="17">
        <f t="shared" si="12"/>
        <v>6</v>
      </c>
      <c r="N166" s="18">
        <f t="shared" si="13"/>
        <v>0.7857142857142857</v>
      </c>
      <c r="O166" s="27"/>
      <c r="P166" s="8"/>
      <c r="Q166" s="8"/>
      <c r="R166" s="8"/>
      <c r="S166" s="27" t="s">
        <v>939</v>
      </c>
      <c r="T166" s="27" t="s">
        <v>939</v>
      </c>
      <c r="U166" s="8" t="s">
        <v>939</v>
      </c>
      <c r="V166" s="8" t="s">
        <v>939</v>
      </c>
      <c r="W166" s="8" t="s">
        <v>939</v>
      </c>
      <c r="X166" s="27" t="s">
        <v>939</v>
      </c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1106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1108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1113</v>
      </c>
      <c r="L169" s="17">
        <f t="shared" si="11"/>
        <v>15</v>
      </c>
      <c r="M169" s="17">
        <f t="shared" si="12"/>
        <v>13</v>
      </c>
      <c r="N169" s="18">
        <f t="shared" si="13"/>
        <v>0.5357142857142857</v>
      </c>
      <c r="O169" s="27"/>
      <c r="P169" s="8" t="s">
        <v>939</v>
      </c>
      <c r="Q169" s="8" t="s">
        <v>939</v>
      </c>
      <c r="R169" s="8" t="s">
        <v>939</v>
      </c>
      <c r="S169" s="27" t="s">
        <v>939</v>
      </c>
      <c r="T169" s="27" t="s">
        <v>939</v>
      </c>
      <c r="U169" s="8" t="s">
        <v>939</v>
      </c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 t="s">
        <v>939</v>
      </c>
      <c r="AK169" s="8" t="s">
        <v>939</v>
      </c>
      <c r="AL169" s="8" t="s">
        <v>939</v>
      </c>
      <c r="AM169" s="8" t="s">
        <v>939</v>
      </c>
      <c r="AN169" s="27" t="s">
        <v>939</v>
      </c>
      <c r="AO169" s="8" t="s">
        <v>939</v>
      </c>
      <c r="AP169" s="8" t="s">
        <v>939</v>
      </c>
      <c r="AQ169" s="27" t="s">
        <v>939</v>
      </c>
      <c r="AR169" s="27"/>
      <c r="AS169" s="27"/>
    </row>
    <row r="170" spans="1:45" ht="15" thickBot="1" x14ac:dyDescent="0.35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1114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1115</v>
      </c>
      <c r="L171" s="17">
        <f t="shared" si="11"/>
        <v>7</v>
      </c>
      <c r="M171" s="17">
        <f t="shared" si="12"/>
        <v>21</v>
      </c>
      <c r="N171" s="18">
        <f t="shared" si="13"/>
        <v>0.25</v>
      </c>
      <c r="O171" s="27" t="s">
        <v>939</v>
      </c>
      <c r="P171" s="8" t="s">
        <v>939</v>
      </c>
      <c r="Q171" s="8" t="s">
        <v>939</v>
      </c>
      <c r="R171" s="8" t="s">
        <v>939</v>
      </c>
      <c r="S171" s="27" t="s">
        <v>939</v>
      </c>
      <c r="T171" s="27" t="s">
        <v>939</v>
      </c>
      <c r="U171" s="8" t="s">
        <v>939</v>
      </c>
      <c r="V171" s="8" t="s">
        <v>939</v>
      </c>
      <c r="W171" s="8"/>
      <c r="X171" s="27"/>
      <c r="Y171" s="27"/>
      <c r="Z171" s="27" t="s">
        <v>939</v>
      </c>
      <c r="AA171" s="27" t="s">
        <v>939</v>
      </c>
      <c r="AB171" s="27" t="s">
        <v>939</v>
      </c>
      <c r="AC171" s="27" t="s">
        <v>939</v>
      </c>
      <c r="AD171" s="27" t="s">
        <v>939</v>
      </c>
      <c r="AE171" s="27" t="s">
        <v>939</v>
      </c>
      <c r="AF171" s="27"/>
      <c r="AG171" s="27"/>
      <c r="AH171" s="27"/>
      <c r="AI171" s="27"/>
      <c r="AJ171" s="27" t="s">
        <v>939</v>
      </c>
      <c r="AK171" s="8" t="s">
        <v>939</v>
      </c>
      <c r="AL171" s="8" t="s">
        <v>939</v>
      </c>
      <c r="AM171" s="8" t="s">
        <v>939</v>
      </c>
      <c r="AN171" s="27" t="s">
        <v>939</v>
      </c>
      <c r="AO171" s="8" t="s">
        <v>939</v>
      </c>
      <c r="AP171" s="8" t="s">
        <v>939</v>
      </c>
      <c r="AQ171" s="27" t="s">
        <v>939</v>
      </c>
      <c r="AR171" s="27"/>
      <c r="AS171" s="27"/>
    </row>
    <row r="172" spans="1:45" ht="15" thickBot="1" x14ac:dyDescent="0.35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1116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1117</v>
      </c>
      <c r="L173" s="17">
        <f t="shared" si="11"/>
        <v>21</v>
      </c>
      <c r="M173" s="17">
        <f t="shared" si="12"/>
        <v>7</v>
      </c>
      <c r="N173" s="18">
        <f t="shared" si="13"/>
        <v>0.75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 t="s">
        <v>939</v>
      </c>
      <c r="AK173" s="8" t="s">
        <v>939</v>
      </c>
      <c r="AL173" s="8" t="s">
        <v>939</v>
      </c>
      <c r="AM173" s="8" t="s">
        <v>939</v>
      </c>
      <c r="AN173" s="27" t="s">
        <v>939</v>
      </c>
      <c r="AO173" s="8" t="s">
        <v>939</v>
      </c>
      <c r="AP173" s="8" t="s">
        <v>939</v>
      </c>
      <c r="AQ173" s="27" t="s">
        <v>939</v>
      </c>
      <c r="AR173" s="27"/>
      <c r="AS173" s="27"/>
    </row>
    <row r="174" spans="1:45" ht="15" thickBot="1" x14ac:dyDescent="0.35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1118</v>
      </c>
      <c r="L174" s="17">
        <f t="shared" si="11"/>
        <v>11</v>
      </c>
      <c r="M174" s="17">
        <f t="shared" si="12"/>
        <v>17</v>
      </c>
      <c r="N174" s="18">
        <f t="shared" si="13"/>
        <v>0.39285714285714285</v>
      </c>
      <c r="O174" s="27" t="s">
        <v>939</v>
      </c>
      <c r="P174" s="8" t="s">
        <v>939</v>
      </c>
      <c r="Q174" s="8" t="s">
        <v>939</v>
      </c>
      <c r="R174" s="8" t="s">
        <v>939</v>
      </c>
      <c r="S174" s="27"/>
      <c r="T174" s="27" t="s">
        <v>939</v>
      </c>
      <c r="U174" s="8" t="s">
        <v>939</v>
      </c>
      <c r="V174" s="8" t="s">
        <v>939</v>
      </c>
      <c r="W174" s="8" t="s">
        <v>939</v>
      </c>
      <c r="X174" s="27" t="s">
        <v>939</v>
      </c>
      <c r="Y174" s="27"/>
      <c r="Z174" s="27"/>
      <c r="AA174" s="27"/>
      <c r="AB174" s="27"/>
      <c r="AC174" s="27"/>
      <c r="AD174" s="27" t="s">
        <v>939</v>
      </c>
      <c r="AE174" s="27"/>
      <c r="AF174" s="27"/>
      <c r="AG174" s="27"/>
      <c r="AH174" s="27"/>
      <c r="AI174" s="27"/>
      <c r="AJ174" s="27" t="s">
        <v>939</v>
      </c>
      <c r="AK174" s="8" t="s">
        <v>939</v>
      </c>
      <c r="AL174" s="8" t="s">
        <v>939</v>
      </c>
      <c r="AM174" s="8" t="s">
        <v>939</v>
      </c>
      <c r="AN174" s="27" t="s">
        <v>939</v>
      </c>
      <c r="AO174" s="8" t="s">
        <v>939</v>
      </c>
      <c r="AP174" s="8" t="s">
        <v>939</v>
      </c>
      <c r="AQ174" s="27" t="s">
        <v>939</v>
      </c>
      <c r="AR174" s="27"/>
      <c r="AS174" s="27"/>
    </row>
    <row r="175" spans="1:45" ht="15" thickBot="1" x14ac:dyDescent="0.35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1119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1120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1121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1122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1130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1123</v>
      </c>
      <c r="L180" s="17">
        <f t="shared" si="11"/>
        <v>17</v>
      </c>
      <c r="M180" s="17">
        <f t="shared" si="12"/>
        <v>11</v>
      </c>
      <c r="N180" s="18">
        <f t="shared" si="13"/>
        <v>0.6071428571428571</v>
      </c>
      <c r="O180" s="27" t="s">
        <v>939</v>
      </c>
      <c r="P180" s="8"/>
      <c r="Q180" s="8"/>
      <c r="R180" s="8" t="s">
        <v>939</v>
      </c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 t="s">
        <v>939</v>
      </c>
      <c r="AE180" s="27"/>
      <c r="AF180" s="27"/>
      <c r="AG180" s="27"/>
      <c r="AH180" s="27"/>
      <c r="AI180" s="27" t="s">
        <v>939</v>
      </c>
      <c r="AJ180" s="27" t="s">
        <v>939</v>
      </c>
      <c r="AK180" s="8" t="s">
        <v>939</v>
      </c>
      <c r="AL180" s="8" t="s">
        <v>939</v>
      </c>
      <c r="AM180" s="8" t="s">
        <v>939</v>
      </c>
      <c r="AN180" s="27" t="s">
        <v>939</v>
      </c>
      <c r="AO180" s="8" t="s">
        <v>939</v>
      </c>
      <c r="AP180" s="8" t="s">
        <v>939</v>
      </c>
      <c r="AQ180" s="27" t="s">
        <v>939</v>
      </c>
      <c r="AR180" s="27"/>
      <c r="AS180" s="27"/>
    </row>
    <row r="181" spans="1:45" ht="15" thickBot="1" x14ac:dyDescent="0.35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1124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t="s">
        <v>480</v>
      </c>
      <c r="C182" s="45" t="s">
        <v>489</v>
      </c>
      <c r="D182" t="s">
        <v>490</v>
      </c>
      <c r="E182" t="s">
        <v>24</v>
      </c>
      <c r="F182" t="s">
        <v>945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1125</v>
      </c>
      <c r="L182" s="17">
        <f t="shared" si="11"/>
        <v>25</v>
      </c>
      <c r="M182" s="17">
        <f t="shared" si="12"/>
        <v>3</v>
      </c>
      <c r="N182" s="18">
        <f t="shared" si="13"/>
        <v>0.8928571428571429</v>
      </c>
      <c r="O182" s="27"/>
      <c r="P182" s="8"/>
      <c r="Q182" s="8"/>
      <c r="R182" s="8"/>
      <c r="S182" s="27"/>
      <c r="T182" s="27"/>
      <c r="U182" s="8"/>
      <c r="V182" s="8"/>
      <c r="W182" s="8" t="s">
        <v>939</v>
      </c>
      <c r="X182" s="27" t="s">
        <v>939</v>
      </c>
      <c r="Y182" s="27" t="s">
        <v>939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1126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1127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1128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1129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1131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1132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1133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1134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1135</v>
      </c>
      <c r="L191" s="17">
        <f t="shared" si="11"/>
        <v>0</v>
      </c>
      <c r="M191" s="17">
        <f t="shared" si="12"/>
        <v>28</v>
      </c>
      <c r="N191" s="18">
        <f t="shared" si="13"/>
        <v>0</v>
      </c>
      <c r="O191" s="27" t="s">
        <v>939</v>
      </c>
      <c r="P191" s="8" t="s">
        <v>939</v>
      </c>
      <c r="Q191" s="8" t="s">
        <v>939</v>
      </c>
      <c r="R191" s="8" t="s">
        <v>939</v>
      </c>
      <c r="S191" s="27" t="s">
        <v>939</v>
      </c>
      <c r="T191" s="27" t="s">
        <v>939</v>
      </c>
      <c r="U191" s="8" t="s">
        <v>939</v>
      </c>
      <c r="V191" s="8" t="s">
        <v>939</v>
      </c>
      <c r="W191" s="8" t="s">
        <v>939</v>
      </c>
      <c r="X191" s="27" t="s">
        <v>939</v>
      </c>
      <c r="Y191" s="27" t="s">
        <v>939</v>
      </c>
      <c r="Z191" s="27" t="s">
        <v>939</v>
      </c>
      <c r="AA191" s="27" t="s">
        <v>939</v>
      </c>
      <c r="AB191" s="27" t="s">
        <v>939</v>
      </c>
      <c r="AC191" s="27" t="s">
        <v>939</v>
      </c>
      <c r="AD191" s="27" t="s">
        <v>939</v>
      </c>
      <c r="AE191" s="27" t="s">
        <v>939</v>
      </c>
      <c r="AF191" s="27" t="s">
        <v>939</v>
      </c>
      <c r="AG191" s="27" t="s">
        <v>939</v>
      </c>
      <c r="AH191" s="27" t="s">
        <v>939</v>
      </c>
      <c r="AI191" s="27" t="s">
        <v>939</v>
      </c>
      <c r="AJ191" s="27" t="s">
        <v>939</v>
      </c>
      <c r="AK191" s="8" t="s">
        <v>939</v>
      </c>
      <c r="AL191" s="8" t="s">
        <v>939</v>
      </c>
      <c r="AM191" s="8" t="s">
        <v>939</v>
      </c>
      <c r="AN191" s="27" t="s">
        <v>939</v>
      </c>
      <c r="AO191" s="8" t="s">
        <v>939</v>
      </c>
      <c r="AP191" s="8" t="s">
        <v>939</v>
      </c>
      <c r="AQ191" s="27" t="s">
        <v>939</v>
      </c>
      <c r="AR191" s="27"/>
      <c r="AS191" s="27"/>
    </row>
    <row r="192" spans="1:45" ht="15" thickBot="1" x14ac:dyDescent="0.35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1136</v>
      </c>
      <c r="L192" s="17">
        <f t="shared" si="11"/>
        <v>0</v>
      </c>
      <c r="M192" s="17">
        <f t="shared" si="12"/>
        <v>28</v>
      </c>
      <c r="N192" s="18">
        <f t="shared" si="13"/>
        <v>0</v>
      </c>
      <c r="O192" s="27" t="s">
        <v>939</v>
      </c>
      <c r="P192" s="8" t="s">
        <v>939</v>
      </c>
      <c r="Q192" s="8" t="s">
        <v>939</v>
      </c>
      <c r="R192" s="8" t="s">
        <v>939</v>
      </c>
      <c r="S192" s="27" t="s">
        <v>939</v>
      </c>
      <c r="T192" s="27" t="s">
        <v>939</v>
      </c>
      <c r="U192" s="8" t="s">
        <v>939</v>
      </c>
      <c r="V192" s="8" t="s">
        <v>939</v>
      </c>
      <c r="W192" s="8" t="s">
        <v>939</v>
      </c>
      <c r="X192" s="27" t="s">
        <v>939</v>
      </c>
      <c r="Y192" s="27" t="s">
        <v>939</v>
      </c>
      <c r="Z192" s="27" t="s">
        <v>939</v>
      </c>
      <c r="AA192" s="27" t="s">
        <v>939</v>
      </c>
      <c r="AB192" s="27" t="s">
        <v>939</v>
      </c>
      <c r="AC192" s="27" t="s">
        <v>939</v>
      </c>
      <c r="AD192" s="27" t="s">
        <v>939</v>
      </c>
      <c r="AE192" s="27" t="s">
        <v>939</v>
      </c>
      <c r="AF192" s="27" t="s">
        <v>939</v>
      </c>
      <c r="AG192" s="27" t="s">
        <v>939</v>
      </c>
      <c r="AH192" s="27" t="s">
        <v>939</v>
      </c>
      <c r="AI192" s="27" t="s">
        <v>939</v>
      </c>
      <c r="AJ192" s="27" t="s">
        <v>939</v>
      </c>
      <c r="AK192" s="8" t="s">
        <v>939</v>
      </c>
      <c r="AL192" s="8" t="s">
        <v>939</v>
      </c>
      <c r="AM192" s="8" t="s">
        <v>939</v>
      </c>
      <c r="AN192" s="27" t="s">
        <v>939</v>
      </c>
      <c r="AO192" s="8" t="s">
        <v>939</v>
      </c>
      <c r="AP192" s="8" t="s">
        <v>939</v>
      </c>
      <c r="AQ192" s="27" t="s">
        <v>939</v>
      </c>
      <c r="AR192" s="27"/>
      <c r="AS192" s="27"/>
    </row>
    <row r="193" spans="1:45" ht="15" thickBot="1" x14ac:dyDescent="0.35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1137</v>
      </c>
      <c r="L193" s="17">
        <f t="shared" si="11"/>
        <v>8</v>
      </c>
      <c r="M193" s="17">
        <f t="shared" si="12"/>
        <v>20</v>
      </c>
      <c r="N193" s="18">
        <f t="shared" si="13"/>
        <v>0.2857142857142857</v>
      </c>
      <c r="O193" s="27" t="s">
        <v>939</v>
      </c>
      <c r="P193" s="8" t="s">
        <v>939</v>
      </c>
      <c r="Q193" s="8" t="s">
        <v>939</v>
      </c>
      <c r="R193" s="8" t="s">
        <v>939</v>
      </c>
      <c r="S193" s="27" t="s">
        <v>939</v>
      </c>
      <c r="T193" s="27" t="s">
        <v>939</v>
      </c>
      <c r="U193" s="8" t="s">
        <v>939</v>
      </c>
      <c r="V193" s="8" t="s">
        <v>939</v>
      </c>
      <c r="W193" s="8" t="s">
        <v>939</v>
      </c>
      <c r="X193" s="27" t="s">
        <v>939</v>
      </c>
      <c r="Y193" s="27" t="s">
        <v>939</v>
      </c>
      <c r="Z193" s="27" t="s">
        <v>939</v>
      </c>
      <c r="AA193" s="27" t="s">
        <v>939</v>
      </c>
      <c r="AB193" s="27" t="s">
        <v>939</v>
      </c>
      <c r="AC193" s="27" t="s">
        <v>939</v>
      </c>
      <c r="AD193" s="27" t="s">
        <v>939</v>
      </c>
      <c r="AE193" s="27"/>
      <c r="AF193" s="27" t="s">
        <v>939</v>
      </c>
      <c r="AG193" s="27"/>
      <c r="AH193" s="27"/>
      <c r="AI193" s="27"/>
      <c r="AJ193" s="27" t="s">
        <v>939</v>
      </c>
      <c r="AK193" s="8" t="s">
        <v>939</v>
      </c>
      <c r="AL193" s="8"/>
      <c r="AM193" s="8"/>
      <c r="AN193" s="27"/>
      <c r="AO193" s="8"/>
      <c r="AP193" s="8" t="s">
        <v>939</v>
      </c>
      <c r="AQ193" s="27" t="s">
        <v>939</v>
      </c>
      <c r="AR193" s="27"/>
      <c r="AS193" s="27"/>
    </row>
    <row r="194" spans="1:45" ht="15" thickBot="1" x14ac:dyDescent="0.35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1138</v>
      </c>
      <c r="L194" s="17">
        <f t="shared" si="11"/>
        <v>9</v>
      </c>
      <c r="M194" s="17">
        <f t="shared" si="12"/>
        <v>19</v>
      </c>
      <c r="N194" s="18">
        <f t="shared" si="13"/>
        <v>0.32142857142857145</v>
      </c>
      <c r="O194" s="27" t="s">
        <v>939</v>
      </c>
      <c r="P194" s="8" t="s">
        <v>939</v>
      </c>
      <c r="Q194" s="8" t="s">
        <v>939</v>
      </c>
      <c r="R194" s="8" t="s">
        <v>939</v>
      </c>
      <c r="S194" s="27" t="s">
        <v>939</v>
      </c>
      <c r="T194" s="27" t="s">
        <v>939</v>
      </c>
      <c r="U194" s="8" t="s">
        <v>939</v>
      </c>
      <c r="V194" s="8" t="s">
        <v>939</v>
      </c>
      <c r="W194" s="8" t="s">
        <v>939</v>
      </c>
      <c r="X194" s="27" t="s">
        <v>939</v>
      </c>
      <c r="Y194" s="27" t="s">
        <v>939</v>
      </c>
      <c r="Z194" s="27"/>
      <c r="AA194" s="27" t="s">
        <v>939</v>
      </c>
      <c r="AB194" s="27" t="s">
        <v>939</v>
      </c>
      <c r="AC194" s="27" t="s">
        <v>939</v>
      </c>
      <c r="AD194" s="27" t="s">
        <v>939</v>
      </c>
      <c r="AE194" s="27"/>
      <c r="AF194" s="27" t="s">
        <v>939</v>
      </c>
      <c r="AG194" s="27"/>
      <c r="AH194" s="27"/>
      <c r="AI194" s="27"/>
      <c r="AJ194" s="27" t="s">
        <v>939</v>
      </c>
      <c r="AK194" s="8" t="s">
        <v>939</v>
      </c>
      <c r="AL194" s="8"/>
      <c r="AM194" s="8"/>
      <c r="AN194" s="27"/>
      <c r="AO194" s="8"/>
      <c r="AP194" s="8" t="s">
        <v>939</v>
      </c>
      <c r="AQ194" s="27" t="s">
        <v>939</v>
      </c>
      <c r="AR194" s="27"/>
      <c r="AS194" s="27"/>
    </row>
    <row r="195" spans="1:45" ht="15" thickBot="1" x14ac:dyDescent="0.35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1139</v>
      </c>
      <c r="L195" s="17">
        <f t="shared" si="11"/>
        <v>19</v>
      </c>
      <c r="M195" s="17">
        <f t="shared" si="12"/>
        <v>9</v>
      </c>
      <c r="N195" s="18">
        <f t="shared" si="13"/>
        <v>0.6785714285714286</v>
      </c>
      <c r="O195" s="27"/>
      <c r="P195" s="8" t="s">
        <v>939</v>
      </c>
      <c r="Q195" s="8" t="s">
        <v>939</v>
      </c>
      <c r="R195" s="8" t="s">
        <v>939</v>
      </c>
      <c r="S195" s="27" t="s">
        <v>939</v>
      </c>
      <c r="T195" s="27" t="s">
        <v>939</v>
      </c>
      <c r="U195" s="8" t="s">
        <v>939</v>
      </c>
      <c r="V195" s="8" t="s">
        <v>939</v>
      </c>
      <c r="W195" s="8" t="s">
        <v>939</v>
      </c>
      <c r="X195" s="27" t="s">
        <v>939</v>
      </c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1140</v>
      </c>
      <c r="L196" s="17">
        <f t="shared" si="11"/>
        <v>19</v>
      </c>
      <c r="M196" s="17">
        <f t="shared" si="12"/>
        <v>9</v>
      </c>
      <c r="N196" s="18">
        <f t="shared" si="13"/>
        <v>0.6785714285714286</v>
      </c>
      <c r="O196" s="27"/>
      <c r="P196" s="8" t="s">
        <v>939</v>
      </c>
      <c r="Q196" s="8" t="s">
        <v>939</v>
      </c>
      <c r="R196" s="8" t="s">
        <v>939</v>
      </c>
      <c r="S196" s="27" t="s">
        <v>939</v>
      </c>
      <c r="T196" s="27" t="s">
        <v>939</v>
      </c>
      <c r="U196" s="8" t="s">
        <v>939</v>
      </c>
      <c r="V196" s="8" t="s">
        <v>939</v>
      </c>
      <c r="W196" s="8" t="s">
        <v>939</v>
      </c>
      <c r="X196" s="27" t="s">
        <v>939</v>
      </c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1141</v>
      </c>
      <c r="L197" s="17">
        <f t="shared" ref="L197:L262" si="14">COUNTIF(O197:AP197,"")</f>
        <v>12</v>
      </c>
      <c r="M197" s="17">
        <f t="shared" ref="M197:M262" si="15">COUNTIF(O197:AP197,"APAGADO")</f>
        <v>16</v>
      </c>
      <c r="N197" s="18">
        <f t="shared" ref="N197:N262" si="16">(L197)/(M197+L197)</f>
        <v>0.42857142857142855</v>
      </c>
      <c r="O197" s="27" t="s">
        <v>939</v>
      </c>
      <c r="P197" s="8" t="s">
        <v>939</v>
      </c>
      <c r="Q197" s="8" t="s">
        <v>939</v>
      </c>
      <c r="R197" s="8" t="s">
        <v>939</v>
      </c>
      <c r="S197" s="27" t="s">
        <v>939</v>
      </c>
      <c r="T197" s="27" t="s">
        <v>939</v>
      </c>
      <c r="U197" s="8"/>
      <c r="V197" s="8"/>
      <c r="W197" s="8"/>
      <c r="X197" s="27" t="s">
        <v>939</v>
      </c>
      <c r="Y197" s="27"/>
      <c r="Z197" s="27"/>
      <c r="AA197" s="27" t="s">
        <v>939</v>
      </c>
      <c r="AB197" s="27" t="s">
        <v>939</v>
      </c>
      <c r="AC197" s="27"/>
      <c r="AD197" s="27" t="s">
        <v>939</v>
      </c>
      <c r="AE197" s="27"/>
      <c r="AF197" s="27"/>
      <c r="AG197" s="27"/>
      <c r="AH197" s="27"/>
      <c r="AI197" s="27"/>
      <c r="AJ197" s="27" t="s">
        <v>939</v>
      </c>
      <c r="AK197" s="8"/>
      <c r="AL197" s="8" t="s">
        <v>939</v>
      </c>
      <c r="AM197" s="8" t="s">
        <v>939</v>
      </c>
      <c r="AN197" s="27" t="s">
        <v>939</v>
      </c>
      <c r="AO197" s="8" t="s">
        <v>939</v>
      </c>
      <c r="AP197" s="8" t="s">
        <v>939</v>
      </c>
      <c r="AQ197" s="27" t="s">
        <v>939</v>
      </c>
      <c r="AR197" s="27"/>
      <c r="AS197" s="27"/>
    </row>
    <row r="198" spans="1:45" ht="15" thickBot="1" x14ac:dyDescent="0.35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1142</v>
      </c>
      <c r="L198" s="17">
        <f t="shared" si="14"/>
        <v>16</v>
      </c>
      <c r="M198" s="17">
        <f t="shared" si="15"/>
        <v>12</v>
      </c>
      <c r="N198" s="18">
        <f t="shared" si="16"/>
        <v>0.5714285714285714</v>
      </c>
      <c r="O198" s="27"/>
      <c r="P198" s="8" t="s">
        <v>939</v>
      </c>
      <c r="Q198" s="8" t="s">
        <v>939</v>
      </c>
      <c r="R198" s="8"/>
      <c r="S198" s="27"/>
      <c r="T198" s="27"/>
      <c r="U198" s="8"/>
      <c r="V198" s="8"/>
      <c r="W198" s="8"/>
      <c r="X198" s="27" t="s">
        <v>939</v>
      </c>
      <c r="Y198" s="27"/>
      <c r="Z198" s="27"/>
      <c r="AA198" s="27" t="s">
        <v>939</v>
      </c>
      <c r="AB198" s="27" t="s">
        <v>939</v>
      </c>
      <c r="AC198" s="27"/>
      <c r="AD198" s="27" t="s">
        <v>939</v>
      </c>
      <c r="AE198" s="27"/>
      <c r="AF198" s="27"/>
      <c r="AG198" s="27"/>
      <c r="AH198" s="27"/>
      <c r="AI198" s="27"/>
      <c r="AJ198" s="27" t="s">
        <v>939</v>
      </c>
      <c r="AK198" s="8"/>
      <c r="AL198" s="8" t="s">
        <v>939</v>
      </c>
      <c r="AM198" s="8" t="s">
        <v>939</v>
      </c>
      <c r="AN198" s="27" t="s">
        <v>939</v>
      </c>
      <c r="AO198" s="8" t="s">
        <v>939</v>
      </c>
      <c r="AP198" s="8" t="s">
        <v>939</v>
      </c>
      <c r="AQ198" s="27"/>
      <c r="AR198" s="27"/>
      <c r="AS198" s="27"/>
    </row>
    <row r="199" spans="1:45" ht="15" thickBot="1" x14ac:dyDescent="0.35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1143</v>
      </c>
      <c r="L199" s="17">
        <f t="shared" si="14"/>
        <v>19</v>
      </c>
      <c r="M199" s="17">
        <f t="shared" si="15"/>
        <v>9</v>
      </c>
      <c r="N199" s="18">
        <f t="shared" si="16"/>
        <v>0.6785714285714286</v>
      </c>
      <c r="O199" s="27"/>
      <c r="P199" s="8"/>
      <c r="Q199" s="8"/>
      <c r="R199" s="8"/>
      <c r="S199" s="27"/>
      <c r="T199" s="27"/>
      <c r="U199" s="8" t="s">
        <v>939</v>
      </c>
      <c r="V199" s="8" t="s">
        <v>939</v>
      </c>
      <c r="W199" s="8" t="s">
        <v>939</v>
      </c>
      <c r="X199" s="27"/>
      <c r="Y199" s="27" t="s">
        <v>939</v>
      </c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 t="s">
        <v>939</v>
      </c>
      <c r="AM199" s="8" t="s">
        <v>939</v>
      </c>
      <c r="AN199" s="27" t="s">
        <v>939</v>
      </c>
      <c r="AO199" s="8" t="s">
        <v>939</v>
      </c>
      <c r="AP199" s="8" t="s">
        <v>939</v>
      </c>
      <c r="AQ199" s="27" t="s">
        <v>939</v>
      </c>
      <c r="AR199" s="27"/>
      <c r="AS199" s="27"/>
    </row>
    <row r="200" spans="1:45" ht="15" thickBot="1" x14ac:dyDescent="0.35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1144</v>
      </c>
      <c r="L200" s="17">
        <f t="shared" si="14"/>
        <v>22</v>
      </c>
      <c r="M200" s="17">
        <f t="shared" si="15"/>
        <v>6</v>
      </c>
      <c r="N200" s="18">
        <f t="shared" si="16"/>
        <v>0.7857142857142857</v>
      </c>
      <c r="O200" s="27"/>
      <c r="P200" s="8"/>
      <c r="Q200" s="8"/>
      <c r="R200" s="8"/>
      <c r="S200" s="27"/>
      <c r="T200" s="27"/>
      <c r="U200" s="8" t="s">
        <v>939</v>
      </c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 t="s">
        <v>939</v>
      </c>
      <c r="AM200" s="8" t="s">
        <v>939</v>
      </c>
      <c r="AN200" s="27" t="s">
        <v>939</v>
      </c>
      <c r="AO200" s="8" t="s">
        <v>939</v>
      </c>
      <c r="AP200" s="8" t="s">
        <v>939</v>
      </c>
      <c r="AQ200" s="27"/>
      <c r="AR200" s="27"/>
      <c r="AS200" s="27"/>
    </row>
    <row r="201" spans="1:45" ht="15" thickBot="1" x14ac:dyDescent="0.35">
      <c r="A201" t="s">
        <v>358</v>
      </c>
      <c r="C201" s="45" t="s">
        <v>1154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1155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 t="s">
        <v>939</v>
      </c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1145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 t="s">
        <v>939</v>
      </c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1146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 t="s">
        <v>939</v>
      </c>
      <c r="AR203" s="27"/>
      <c r="AS203" s="27"/>
    </row>
    <row r="204" spans="1:45" ht="15" thickBot="1" x14ac:dyDescent="0.35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1148</v>
      </c>
      <c r="L204" s="17">
        <f t="shared" si="14"/>
        <v>21</v>
      </c>
      <c r="M204" s="17">
        <f t="shared" si="15"/>
        <v>7</v>
      </c>
      <c r="N204" s="18">
        <f t="shared" si="16"/>
        <v>0.75</v>
      </c>
      <c r="O204" s="27" t="s">
        <v>939</v>
      </c>
      <c r="P204" s="8"/>
      <c r="Q204" s="8"/>
      <c r="R204" s="8"/>
      <c r="S204" s="27"/>
      <c r="T204" s="27" t="s">
        <v>939</v>
      </c>
      <c r="U204" s="8" t="s">
        <v>939</v>
      </c>
      <c r="V204" s="8" t="s">
        <v>939</v>
      </c>
      <c r="W204" s="8" t="s">
        <v>939</v>
      </c>
      <c r="X204" s="27" t="s">
        <v>939</v>
      </c>
      <c r="Y204" s="27" t="s">
        <v>939</v>
      </c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1149</v>
      </c>
      <c r="L205" s="17">
        <f t="shared" si="14"/>
        <v>22</v>
      </c>
      <c r="M205" s="17">
        <f t="shared" si="15"/>
        <v>6</v>
      </c>
      <c r="N205" s="18">
        <f t="shared" si="16"/>
        <v>0.7857142857142857</v>
      </c>
      <c r="O205" s="27"/>
      <c r="P205" s="8"/>
      <c r="Q205" s="8"/>
      <c r="R205" s="8"/>
      <c r="S205" s="27"/>
      <c r="T205" s="27" t="s">
        <v>939</v>
      </c>
      <c r="U205" s="8" t="s">
        <v>939</v>
      </c>
      <c r="V205" s="8" t="s">
        <v>939</v>
      </c>
      <c r="W205" s="8" t="s">
        <v>939</v>
      </c>
      <c r="X205" s="27" t="s">
        <v>939</v>
      </c>
      <c r="Y205" s="27" t="s">
        <v>939</v>
      </c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1156</v>
      </c>
      <c r="L206" s="17">
        <f t="shared" si="14"/>
        <v>1</v>
      </c>
      <c r="M206" s="17">
        <f t="shared" si="15"/>
        <v>27</v>
      </c>
      <c r="N206" s="18">
        <f t="shared" si="16"/>
        <v>3.5714285714285712E-2</v>
      </c>
      <c r="O206" s="27" t="s">
        <v>939</v>
      </c>
      <c r="P206" s="8" t="s">
        <v>939</v>
      </c>
      <c r="Q206" s="8" t="s">
        <v>939</v>
      </c>
      <c r="R206" s="8" t="s">
        <v>939</v>
      </c>
      <c r="S206" s="27" t="s">
        <v>939</v>
      </c>
      <c r="T206" s="27" t="s">
        <v>939</v>
      </c>
      <c r="U206" s="8" t="s">
        <v>939</v>
      </c>
      <c r="V206" s="8" t="s">
        <v>939</v>
      </c>
      <c r="W206" s="8" t="s">
        <v>939</v>
      </c>
      <c r="X206" s="27" t="s">
        <v>939</v>
      </c>
      <c r="Y206" s="27" t="s">
        <v>939</v>
      </c>
      <c r="Z206" s="27" t="s">
        <v>939</v>
      </c>
      <c r="AA206" s="27" t="s">
        <v>939</v>
      </c>
      <c r="AB206" s="27" t="s">
        <v>939</v>
      </c>
      <c r="AC206" s="27" t="s">
        <v>939</v>
      </c>
      <c r="AD206" s="27" t="s">
        <v>939</v>
      </c>
      <c r="AE206" s="27" t="s">
        <v>939</v>
      </c>
      <c r="AF206" s="27" t="s">
        <v>939</v>
      </c>
      <c r="AG206" s="27" t="s">
        <v>939</v>
      </c>
      <c r="AH206" s="27" t="s">
        <v>939</v>
      </c>
      <c r="AI206" s="27" t="s">
        <v>939</v>
      </c>
      <c r="AJ206" s="27"/>
      <c r="AK206" s="8" t="s">
        <v>939</v>
      </c>
      <c r="AL206" s="8" t="s">
        <v>939</v>
      </c>
      <c r="AM206" s="8" t="s">
        <v>939</v>
      </c>
      <c r="AN206" s="27" t="s">
        <v>939</v>
      </c>
      <c r="AO206" s="8" t="s">
        <v>939</v>
      </c>
      <c r="AP206" s="8" t="s">
        <v>939</v>
      </c>
      <c r="AQ206" s="27" t="s">
        <v>939</v>
      </c>
      <c r="AR206" s="27"/>
      <c r="AS206" s="27"/>
    </row>
    <row r="207" spans="1:45" ht="15" thickBot="1" x14ac:dyDescent="0.35">
      <c r="A207" t="s">
        <v>310</v>
      </c>
      <c r="C207" s="45" t="s">
        <v>545</v>
      </c>
      <c r="D207" t="s">
        <v>546</v>
      </c>
      <c r="E207" t="s">
        <v>19</v>
      </c>
      <c r="F207" t="s">
        <v>945</v>
      </c>
      <c r="G207"/>
      <c r="H207" t="s">
        <v>547</v>
      </c>
      <c r="I207" s="16">
        <v>-348181990000</v>
      </c>
      <c r="J207" s="16">
        <v>-583002490000</v>
      </c>
      <c r="K207" s="16" t="s">
        <v>1150</v>
      </c>
      <c r="L207" s="17">
        <f t="shared" si="14"/>
        <v>20</v>
      </c>
      <c r="M207" s="17">
        <f t="shared" si="15"/>
        <v>8</v>
      </c>
      <c r="N207" s="18">
        <f t="shared" si="16"/>
        <v>0.7142857142857143</v>
      </c>
      <c r="O207" s="27"/>
      <c r="P207" s="8" t="s">
        <v>939</v>
      </c>
      <c r="Q207" s="8" t="s">
        <v>939</v>
      </c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 t="s">
        <v>939</v>
      </c>
      <c r="AL207" s="8" t="s">
        <v>939</v>
      </c>
      <c r="AM207" s="8" t="s">
        <v>939</v>
      </c>
      <c r="AN207" s="27" t="s">
        <v>939</v>
      </c>
      <c r="AO207" s="8" t="s">
        <v>939</v>
      </c>
      <c r="AP207" s="8" t="s">
        <v>939</v>
      </c>
      <c r="AQ207" s="27" t="s">
        <v>939</v>
      </c>
      <c r="AR207" s="27"/>
      <c r="AS207" s="27"/>
    </row>
    <row r="208" spans="1:45" ht="15" thickBot="1" x14ac:dyDescent="0.35">
      <c r="A208" t="s">
        <v>310</v>
      </c>
      <c r="C208" s="45" t="s">
        <v>548</v>
      </c>
      <c r="D208" t="s">
        <v>546</v>
      </c>
      <c r="E208" t="s">
        <v>113</v>
      </c>
      <c r="F208" t="s">
        <v>945</v>
      </c>
      <c r="G208"/>
      <c r="H208" t="s">
        <v>547</v>
      </c>
      <c r="I208" s="16">
        <v>-348181940000</v>
      </c>
      <c r="J208" s="16">
        <v>-583002740000</v>
      </c>
      <c r="K208" s="16" t="s">
        <v>1151</v>
      </c>
      <c r="L208" s="17">
        <f t="shared" si="14"/>
        <v>24</v>
      </c>
      <c r="M208" s="17">
        <f t="shared" si="15"/>
        <v>4</v>
      </c>
      <c r="N208" s="18">
        <f t="shared" si="16"/>
        <v>0.8571428571428571</v>
      </c>
      <c r="O208" s="27"/>
      <c r="P208" s="8" t="s">
        <v>939</v>
      </c>
      <c r="Q208" s="8" t="s">
        <v>939</v>
      </c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 t="s">
        <v>939</v>
      </c>
      <c r="AM208" s="8"/>
      <c r="AN208" s="27" t="s">
        <v>939</v>
      </c>
      <c r="AO208" s="8"/>
      <c r="AP208" s="8"/>
      <c r="AQ208" s="27"/>
      <c r="AR208" s="27"/>
      <c r="AS208" s="27"/>
    </row>
    <row r="209" spans="1:45" ht="15" thickBot="1" x14ac:dyDescent="0.35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1157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1158</v>
      </c>
      <c r="L210" s="17">
        <f t="shared" si="14"/>
        <v>23</v>
      </c>
      <c r="M210" s="17">
        <f t="shared" si="15"/>
        <v>5</v>
      </c>
      <c r="N210" s="18">
        <f t="shared" si="16"/>
        <v>0.8214285714285714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 t="s">
        <v>939</v>
      </c>
      <c r="AM210" s="8" t="s">
        <v>939</v>
      </c>
      <c r="AN210" s="27" t="s">
        <v>939</v>
      </c>
      <c r="AO210" s="8" t="s">
        <v>939</v>
      </c>
      <c r="AP210" s="8" t="s">
        <v>939</v>
      </c>
      <c r="AQ210" s="27"/>
      <c r="AR210" s="27"/>
      <c r="AS210" s="27"/>
    </row>
    <row r="211" spans="1:45" ht="15" thickBot="1" x14ac:dyDescent="0.35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1153</v>
      </c>
      <c r="L211" s="17">
        <f t="shared" si="14"/>
        <v>18</v>
      </c>
      <c r="M211" s="17">
        <f t="shared" si="15"/>
        <v>10</v>
      </c>
      <c r="N211" s="18">
        <f t="shared" si="16"/>
        <v>0.6428571428571429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 t="s">
        <v>939</v>
      </c>
      <c r="AG211" s="27" t="s">
        <v>939</v>
      </c>
      <c r="AH211" s="27" t="s">
        <v>939</v>
      </c>
      <c r="AI211" s="27" t="s">
        <v>939</v>
      </c>
      <c r="AJ211" s="27" t="s">
        <v>939</v>
      </c>
      <c r="AK211" s="8"/>
      <c r="AL211" s="8" t="s">
        <v>939</v>
      </c>
      <c r="AM211" s="8" t="s">
        <v>939</v>
      </c>
      <c r="AN211" s="27" t="s">
        <v>939</v>
      </c>
      <c r="AO211" s="8" t="s">
        <v>939</v>
      </c>
      <c r="AP211" s="8" t="s">
        <v>939</v>
      </c>
      <c r="AQ211" s="27"/>
      <c r="AR211" s="27"/>
      <c r="AS211" s="27"/>
    </row>
    <row r="212" spans="1:45" ht="15" thickBot="1" x14ac:dyDescent="0.35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1152</v>
      </c>
      <c r="L212" s="17">
        <f t="shared" si="14"/>
        <v>18</v>
      </c>
      <c r="M212" s="17">
        <f t="shared" si="15"/>
        <v>10</v>
      </c>
      <c r="N212" s="18">
        <f t="shared" si="16"/>
        <v>0.6428571428571429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 t="s">
        <v>939</v>
      </c>
      <c r="AG212" s="27" t="s">
        <v>939</v>
      </c>
      <c r="AH212" s="27" t="s">
        <v>939</v>
      </c>
      <c r="AI212" s="27" t="s">
        <v>939</v>
      </c>
      <c r="AJ212" s="27" t="s">
        <v>939</v>
      </c>
      <c r="AK212" s="8"/>
      <c r="AL212" s="8" t="s">
        <v>939</v>
      </c>
      <c r="AM212" s="8" t="s">
        <v>939</v>
      </c>
      <c r="AN212" s="27" t="s">
        <v>939</v>
      </c>
      <c r="AO212" s="8" t="s">
        <v>939</v>
      </c>
      <c r="AP212" s="8" t="s">
        <v>939</v>
      </c>
      <c r="AQ212" s="27"/>
      <c r="AR212" s="27"/>
      <c r="AS212" s="27"/>
    </row>
    <row r="213" spans="1:45" ht="15" thickBot="1" x14ac:dyDescent="0.35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1147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 t="s">
        <v>939</v>
      </c>
      <c r="AR213" s="27"/>
      <c r="AS213" s="27"/>
    </row>
    <row r="214" spans="1:45" ht="15" thickBot="1" x14ac:dyDescent="0.35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1159</v>
      </c>
      <c r="L214" s="17">
        <f t="shared" si="14"/>
        <v>27</v>
      </c>
      <c r="M214" s="17">
        <f t="shared" si="15"/>
        <v>1</v>
      </c>
      <c r="N214" s="18">
        <f t="shared" si="16"/>
        <v>0.9642857142857143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 t="s">
        <v>939</v>
      </c>
      <c r="AQ214" s="27" t="s">
        <v>939</v>
      </c>
      <c r="AR214" s="27"/>
      <c r="AS214" s="27"/>
    </row>
    <row r="215" spans="1:45" ht="15" thickBot="1" x14ac:dyDescent="0.35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1160</v>
      </c>
      <c r="L215" s="17">
        <f t="shared" si="14"/>
        <v>27</v>
      </c>
      <c r="M215" s="17">
        <f t="shared" si="15"/>
        <v>1</v>
      </c>
      <c r="N215" s="18">
        <f t="shared" si="16"/>
        <v>0.9642857142857143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 t="s">
        <v>939</v>
      </c>
      <c r="AQ215" s="27" t="s">
        <v>939</v>
      </c>
      <c r="AR215" s="27"/>
      <c r="AS215" s="27"/>
    </row>
    <row r="216" spans="1:45" ht="15" thickBot="1" x14ac:dyDescent="0.35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1161</v>
      </c>
      <c r="L216" s="17">
        <f t="shared" si="14"/>
        <v>27</v>
      </c>
      <c r="M216" s="17">
        <f t="shared" si="15"/>
        <v>1</v>
      </c>
      <c r="N216" s="18">
        <f t="shared" si="16"/>
        <v>0.9642857142857143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 t="s">
        <v>939</v>
      </c>
      <c r="AQ216" s="27" t="s">
        <v>939</v>
      </c>
      <c r="AR216" s="27"/>
      <c r="AS216" s="27"/>
    </row>
    <row r="217" spans="1:45" ht="15" thickBot="1" x14ac:dyDescent="0.35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1162</v>
      </c>
      <c r="L217" s="17">
        <f t="shared" si="14"/>
        <v>27</v>
      </c>
      <c r="M217" s="17">
        <f t="shared" si="15"/>
        <v>1</v>
      </c>
      <c r="N217" s="18">
        <f t="shared" si="16"/>
        <v>0.9642857142857143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 t="s">
        <v>939</v>
      </c>
      <c r="AQ217" s="27" t="s">
        <v>939</v>
      </c>
      <c r="AR217" s="27"/>
      <c r="AS217" s="27"/>
    </row>
    <row r="218" spans="1:45" ht="15" thickBot="1" x14ac:dyDescent="0.35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1163</v>
      </c>
      <c r="L218" s="17">
        <f t="shared" si="14"/>
        <v>27</v>
      </c>
      <c r="M218" s="17">
        <f t="shared" si="15"/>
        <v>1</v>
      </c>
      <c r="N218" s="18">
        <f t="shared" si="16"/>
        <v>0.9642857142857143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 t="s">
        <v>939</v>
      </c>
      <c r="AQ218" s="27" t="s">
        <v>939</v>
      </c>
      <c r="AR218" s="27"/>
      <c r="AS218" s="27"/>
    </row>
    <row r="219" spans="1:45" ht="15" thickBot="1" x14ac:dyDescent="0.35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1164</v>
      </c>
      <c r="L219" s="17">
        <f t="shared" si="14"/>
        <v>27</v>
      </c>
      <c r="M219" s="17">
        <f t="shared" si="15"/>
        <v>1</v>
      </c>
      <c r="N219" s="18">
        <f t="shared" si="16"/>
        <v>0.9642857142857143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 t="s">
        <v>939</v>
      </c>
      <c r="AQ219" s="27" t="s">
        <v>939</v>
      </c>
      <c r="AR219" s="27"/>
      <c r="AS219" s="27"/>
    </row>
    <row r="220" spans="1:45" ht="15" thickBot="1" x14ac:dyDescent="0.35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1165</v>
      </c>
      <c r="L220" s="17">
        <f t="shared" si="14"/>
        <v>27</v>
      </c>
      <c r="M220" s="17">
        <f t="shared" si="15"/>
        <v>1</v>
      </c>
      <c r="N220" s="18">
        <f t="shared" si="16"/>
        <v>0.9642857142857143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 t="s">
        <v>939</v>
      </c>
      <c r="AQ220" s="27" t="s">
        <v>939</v>
      </c>
      <c r="AR220" s="27"/>
      <c r="AS220" s="27"/>
    </row>
    <row r="221" spans="1:45" ht="15" thickBot="1" x14ac:dyDescent="0.35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1168</v>
      </c>
      <c r="L221" s="17">
        <f t="shared" si="14"/>
        <v>27</v>
      </c>
      <c r="M221" s="17">
        <f t="shared" si="15"/>
        <v>1</v>
      </c>
      <c r="N221" s="18">
        <f t="shared" si="16"/>
        <v>0.9642857142857143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 t="s">
        <v>939</v>
      </c>
      <c r="AQ221" s="27" t="s">
        <v>939</v>
      </c>
      <c r="AR221" s="27"/>
      <c r="AS221" s="27"/>
    </row>
    <row r="222" spans="1:45" ht="15" thickBot="1" x14ac:dyDescent="0.35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1166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 t="s">
        <v>939</v>
      </c>
      <c r="AQ222" s="27" t="s">
        <v>939</v>
      </c>
      <c r="AR222" s="27"/>
      <c r="AS222" s="27"/>
    </row>
    <row r="223" spans="1:45" ht="15" thickBot="1" x14ac:dyDescent="0.35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1167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 t="s">
        <v>939</v>
      </c>
      <c r="AQ223" s="27" t="s">
        <v>939</v>
      </c>
      <c r="AR223" s="27"/>
      <c r="AS223" s="27"/>
    </row>
    <row r="224" spans="1:45" ht="15" thickBot="1" x14ac:dyDescent="0.35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1169</v>
      </c>
      <c r="L224" s="17">
        <f t="shared" si="14"/>
        <v>11</v>
      </c>
      <c r="M224" s="17">
        <f t="shared" si="15"/>
        <v>17</v>
      </c>
      <c r="N224" s="18">
        <f t="shared" si="16"/>
        <v>0.39285714285714285</v>
      </c>
      <c r="O224" s="27" t="s">
        <v>939</v>
      </c>
      <c r="P224" s="8" t="s">
        <v>939</v>
      </c>
      <c r="Q224" s="8" t="s">
        <v>939</v>
      </c>
      <c r="R224" s="8" t="s">
        <v>939</v>
      </c>
      <c r="S224" s="27" t="s">
        <v>939</v>
      </c>
      <c r="T224" s="27" t="s">
        <v>939</v>
      </c>
      <c r="U224" s="8" t="s">
        <v>939</v>
      </c>
      <c r="V224" s="8" t="s">
        <v>939</v>
      </c>
      <c r="W224" s="8" t="s">
        <v>939</v>
      </c>
      <c r="X224" s="27" t="s">
        <v>939</v>
      </c>
      <c r="Y224" s="27" t="s">
        <v>939</v>
      </c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 t="s">
        <v>939</v>
      </c>
      <c r="AL224" s="8" t="s">
        <v>939</v>
      </c>
      <c r="AM224" s="8" t="s">
        <v>939</v>
      </c>
      <c r="AN224" s="27" t="s">
        <v>939</v>
      </c>
      <c r="AO224" s="8" t="s">
        <v>939</v>
      </c>
      <c r="AP224" s="8" t="s">
        <v>939</v>
      </c>
      <c r="AQ224" s="27" t="s">
        <v>939</v>
      </c>
      <c r="AR224" s="27"/>
      <c r="AS224" s="27"/>
    </row>
    <row r="225" spans="1:45" ht="15" thickBot="1" x14ac:dyDescent="0.35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1170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 t="s">
        <v>939</v>
      </c>
      <c r="AA225" s="27" t="s">
        <v>939</v>
      </c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1171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1172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1173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1176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1177</v>
      </c>
      <c r="L230" s="17">
        <f t="shared" si="14"/>
        <v>20</v>
      </c>
      <c r="M230" s="17">
        <f t="shared" si="15"/>
        <v>8</v>
      </c>
      <c r="N230" s="18">
        <f t="shared" si="16"/>
        <v>0.7142857142857143</v>
      </c>
      <c r="O230" s="27" t="s">
        <v>939</v>
      </c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 t="s">
        <v>939</v>
      </c>
      <c r="AK230" s="8" t="s">
        <v>939</v>
      </c>
      <c r="AL230" s="8" t="s">
        <v>939</v>
      </c>
      <c r="AM230" s="8" t="s">
        <v>939</v>
      </c>
      <c r="AN230" s="27" t="s">
        <v>939</v>
      </c>
      <c r="AO230" s="8" t="s">
        <v>939</v>
      </c>
      <c r="AP230" s="8" t="s">
        <v>939</v>
      </c>
      <c r="AQ230" s="27" t="s">
        <v>939</v>
      </c>
      <c r="AR230" s="27"/>
      <c r="AS230" s="27"/>
    </row>
    <row r="231" spans="1:45" ht="15" thickBot="1" x14ac:dyDescent="0.35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1174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 t="s">
        <v>939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1175</v>
      </c>
      <c r="L232" s="17">
        <f t="shared" si="14"/>
        <v>27</v>
      </c>
      <c r="M232" s="17">
        <f t="shared" si="15"/>
        <v>1</v>
      </c>
      <c r="N232" s="18">
        <f t="shared" si="16"/>
        <v>0.9642857142857143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 t="s">
        <v>939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1179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7"/>
      <c r="P233" s="8"/>
      <c r="Q233" s="8" t="s">
        <v>939</v>
      </c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1180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1181</v>
      </c>
      <c r="L235" s="17">
        <f t="shared" si="14"/>
        <v>22</v>
      </c>
      <c r="M235" s="17">
        <f t="shared" si="15"/>
        <v>6</v>
      </c>
      <c r="N235" s="18">
        <f t="shared" si="16"/>
        <v>0.7857142857142857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 t="s">
        <v>939</v>
      </c>
      <c r="AA235" s="27" t="s">
        <v>939</v>
      </c>
      <c r="AB235" s="27" t="s">
        <v>939</v>
      </c>
      <c r="AC235" s="27" t="s">
        <v>939</v>
      </c>
      <c r="AD235" s="27" t="s">
        <v>939</v>
      </c>
      <c r="AE235" s="27"/>
      <c r="AF235" s="27"/>
      <c r="AG235" s="27"/>
      <c r="AH235" s="27"/>
      <c r="AI235" s="27"/>
      <c r="AJ235" s="27"/>
      <c r="AK235" s="8"/>
      <c r="AL235" s="8" t="s">
        <v>939</v>
      </c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1182</v>
      </c>
      <c r="L236" s="17">
        <f t="shared" si="14"/>
        <v>22</v>
      </c>
      <c r="M236" s="17">
        <f t="shared" si="15"/>
        <v>6</v>
      </c>
      <c r="N236" s="18">
        <f t="shared" si="16"/>
        <v>0.7857142857142857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 t="s">
        <v>939</v>
      </c>
      <c r="AA236" s="27" t="s">
        <v>939</v>
      </c>
      <c r="AB236" s="27" t="s">
        <v>939</v>
      </c>
      <c r="AC236" s="27" t="s">
        <v>939</v>
      </c>
      <c r="AD236" s="27" t="s">
        <v>939</v>
      </c>
      <c r="AE236" s="27"/>
      <c r="AF236" s="27"/>
      <c r="AG236" s="27"/>
      <c r="AH236" s="27"/>
      <c r="AI236" s="27"/>
      <c r="AJ236" s="27"/>
      <c r="AK236" s="8"/>
      <c r="AL236" s="8" t="s">
        <v>939</v>
      </c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1183</v>
      </c>
      <c r="L237" s="17">
        <f t="shared" si="14"/>
        <v>21</v>
      </c>
      <c r="M237" s="17">
        <f t="shared" si="15"/>
        <v>7</v>
      </c>
      <c r="N237" s="18">
        <f t="shared" si="16"/>
        <v>0.75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939</v>
      </c>
      <c r="AA237" s="27" t="s">
        <v>939</v>
      </c>
      <c r="AB237" s="27" t="s">
        <v>939</v>
      </c>
      <c r="AC237" s="27" t="s">
        <v>939</v>
      </c>
      <c r="AD237" s="27" t="s">
        <v>939</v>
      </c>
      <c r="AE237" s="27"/>
      <c r="AF237" s="27"/>
      <c r="AG237" s="27"/>
      <c r="AH237" s="27"/>
      <c r="AI237" s="27" t="s">
        <v>939</v>
      </c>
      <c r="AJ237" s="27"/>
      <c r="AK237" s="8"/>
      <c r="AL237" s="8" t="s">
        <v>939</v>
      </c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1178</v>
      </c>
      <c r="L238" s="17">
        <f t="shared" si="14"/>
        <v>24</v>
      </c>
      <c r="M238" s="17">
        <f t="shared" si="15"/>
        <v>4</v>
      </c>
      <c r="N238" s="18">
        <f t="shared" si="16"/>
        <v>0.8571428571428571</v>
      </c>
      <c r="O238" s="27" t="s">
        <v>939</v>
      </c>
      <c r="P238" s="8" t="s">
        <v>939</v>
      </c>
      <c r="Q238" s="8" t="s">
        <v>939</v>
      </c>
      <c r="R238" s="8" t="s">
        <v>939</v>
      </c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1184</v>
      </c>
      <c r="L239" s="17">
        <f t="shared" si="14"/>
        <v>18</v>
      </c>
      <c r="M239" s="17">
        <f t="shared" si="15"/>
        <v>10</v>
      </c>
      <c r="N239" s="18">
        <f t="shared" si="16"/>
        <v>0.6428571428571429</v>
      </c>
      <c r="O239" s="27" t="s">
        <v>939</v>
      </c>
      <c r="P239" s="8" t="s">
        <v>939</v>
      </c>
      <c r="Q239" s="8" t="s">
        <v>939</v>
      </c>
      <c r="R239" s="8" t="s">
        <v>939</v>
      </c>
      <c r="S239" s="27" t="s">
        <v>939</v>
      </c>
      <c r="T239" s="27" t="s">
        <v>939</v>
      </c>
      <c r="U239" s="8" t="s">
        <v>939</v>
      </c>
      <c r="V239" s="8" t="s">
        <v>939</v>
      </c>
      <c r="W239" s="8" t="s">
        <v>939</v>
      </c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 t="s">
        <v>939</v>
      </c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1185</v>
      </c>
      <c r="L240" s="17">
        <f t="shared" si="14"/>
        <v>17</v>
      </c>
      <c r="M240" s="17">
        <f t="shared" si="15"/>
        <v>11</v>
      </c>
      <c r="N240" s="18">
        <f t="shared" si="16"/>
        <v>0.6071428571428571</v>
      </c>
      <c r="O240" s="27" t="s">
        <v>939</v>
      </c>
      <c r="P240" s="8" t="s">
        <v>939</v>
      </c>
      <c r="Q240" s="8" t="s">
        <v>939</v>
      </c>
      <c r="R240" s="8" t="s">
        <v>939</v>
      </c>
      <c r="S240" s="27" t="s">
        <v>939</v>
      </c>
      <c r="T240" s="27" t="s">
        <v>939</v>
      </c>
      <c r="U240" s="8" t="s">
        <v>939</v>
      </c>
      <c r="V240" s="8" t="s">
        <v>939</v>
      </c>
      <c r="W240" s="8" t="s">
        <v>939</v>
      </c>
      <c r="X240" s="27"/>
      <c r="Y240" s="27"/>
      <c r="Z240" s="27"/>
      <c r="AA240" s="27"/>
      <c r="AB240" s="27"/>
      <c r="AC240" s="27"/>
      <c r="AD240" s="27"/>
      <c r="AE240" s="27"/>
      <c r="AF240" s="27"/>
      <c r="AG240" s="27" t="s">
        <v>939</v>
      </c>
      <c r="AH240" s="27"/>
      <c r="AI240" s="27"/>
      <c r="AJ240" s="27"/>
      <c r="AK240" s="8"/>
      <c r="AL240" s="8" t="s">
        <v>939</v>
      </c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1186</v>
      </c>
      <c r="L241" s="17">
        <f t="shared" si="14"/>
        <v>22</v>
      </c>
      <c r="M241" s="17">
        <f t="shared" si="15"/>
        <v>6</v>
      </c>
      <c r="N241" s="18">
        <f t="shared" si="16"/>
        <v>0.7857142857142857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 t="s">
        <v>939</v>
      </c>
      <c r="AA241" s="27" t="s">
        <v>939</v>
      </c>
      <c r="AB241" s="27" t="s">
        <v>939</v>
      </c>
      <c r="AC241" s="27" t="s">
        <v>939</v>
      </c>
      <c r="AD241" s="27" t="s">
        <v>939</v>
      </c>
      <c r="AE241" s="27"/>
      <c r="AF241" s="27"/>
      <c r="AG241" s="27"/>
      <c r="AH241" s="27"/>
      <c r="AI241" s="27"/>
      <c r="AJ241" s="27"/>
      <c r="AK241" s="8"/>
      <c r="AL241" s="8" t="s">
        <v>939</v>
      </c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1187</v>
      </c>
      <c r="L242" s="17">
        <f t="shared" si="14"/>
        <v>22</v>
      </c>
      <c r="M242" s="17">
        <f t="shared" si="15"/>
        <v>6</v>
      </c>
      <c r="N242" s="18">
        <f t="shared" si="16"/>
        <v>0.7857142857142857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 t="s">
        <v>939</v>
      </c>
      <c r="AA242" s="27" t="s">
        <v>939</v>
      </c>
      <c r="AB242" s="27" t="s">
        <v>939</v>
      </c>
      <c r="AC242" s="27" t="s">
        <v>939</v>
      </c>
      <c r="AD242" s="27" t="s">
        <v>939</v>
      </c>
      <c r="AE242" s="27"/>
      <c r="AF242" s="27"/>
      <c r="AG242" s="27"/>
      <c r="AH242" s="27"/>
      <c r="AI242" s="27"/>
      <c r="AJ242" s="27"/>
      <c r="AK242" s="8"/>
      <c r="AL242" s="8" t="s">
        <v>939</v>
      </c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1188</v>
      </c>
      <c r="L243" s="17">
        <f t="shared" si="14"/>
        <v>22</v>
      </c>
      <c r="M243" s="17">
        <f t="shared" si="15"/>
        <v>6</v>
      </c>
      <c r="N243" s="18">
        <f t="shared" si="16"/>
        <v>0.7857142857142857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 t="s">
        <v>939</v>
      </c>
      <c r="AA243" s="27" t="s">
        <v>939</v>
      </c>
      <c r="AB243" s="27" t="s">
        <v>939</v>
      </c>
      <c r="AC243" s="27" t="s">
        <v>939</v>
      </c>
      <c r="AD243" s="27" t="s">
        <v>939</v>
      </c>
      <c r="AE243" s="27"/>
      <c r="AF243" s="27"/>
      <c r="AG243" s="27"/>
      <c r="AH243" s="27"/>
      <c r="AI243" s="27"/>
      <c r="AJ243" s="27"/>
      <c r="AK243" s="8"/>
      <c r="AL243" s="8" t="s">
        <v>939</v>
      </c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1189</v>
      </c>
      <c r="L244" s="17">
        <f t="shared" si="14"/>
        <v>22</v>
      </c>
      <c r="M244" s="17">
        <f t="shared" si="15"/>
        <v>6</v>
      </c>
      <c r="N244" s="18">
        <f t="shared" si="16"/>
        <v>0.7857142857142857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 t="s">
        <v>939</v>
      </c>
      <c r="AA244" s="27" t="s">
        <v>939</v>
      </c>
      <c r="AB244" s="27" t="s">
        <v>939</v>
      </c>
      <c r="AC244" s="27" t="s">
        <v>939</v>
      </c>
      <c r="AD244" s="27" t="s">
        <v>939</v>
      </c>
      <c r="AE244" s="27"/>
      <c r="AF244" s="27"/>
      <c r="AG244" s="27"/>
      <c r="AH244" s="27"/>
      <c r="AI244" s="27"/>
      <c r="AJ244" s="27"/>
      <c r="AK244" s="8"/>
      <c r="AL244" s="8" t="s">
        <v>939</v>
      </c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t="s">
        <v>619</v>
      </c>
      <c r="C245" s="45" t="s">
        <v>1329</v>
      </c>
      <c r="D245" t="s">
        <v>1330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/>
      <c r="L245" s="17"/>
      <c r="M245" s="17"/>
      <c r="N245" s="18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 t="s">
        <v>939</v>
      </c>
      <c r="AF245" s="27" t="s">
        <v>939</v>
      </c>
      <c r="AG245" s="27" t="s">
        <v>939</v>
      </c>
      <c r="AH245" s="27" t="s">
        <v>939</v>
      </c>
      <c r="AI245" s="27" t="s">
        <v>939</v>
      </c>
      <c r="AJ245" s="27" t="s">
        <v>939</v>
      </c>
      <c r="AK245" s="27" t="s">
        <v>939</v>
      </c>
      <c r="AL245" s="27" t="s">
        <v>939</v>
      </c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t="s">
        <v>609</v>
      </c>
      <c r="C246" s="45" t="s">
        <v>1331</v>
      </c>
      <c r="D246" t="s">
        <v>1332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/>
      <c r="L246" s="17"/>
      <c r="M246" s="17"/>
      <c r="N246" s="18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 t="s">
        <v>939</v>
      </c>
      <c r="AC246" s="27" t="s">
        <v>939</v>
      </c>
      <c r="AD246" s="27" t="s">
        <v>939</v>
      </c>
      <c r="AE246" s="27"/>
      <c r="AF246" s="27" t="s">
        <v>939</v>
      </c>
      <c r="AG246" s="27" t="s">
        <v>939</v>
      </c>
      <c r="AH246" s="27" t="s">
        <v>939</v>
      </c>
      <c r="AI246" s="27" t="s">
        <v>939</v>
      </c>
      <c r="AJ246" s="27" t="s">
        <v>939</v>
      </c>
      <c r="AK246" s="27" t="s">
        <v>939</v>
      </c>
      <c r="AL246" s="27" t="s">
        <v>939</v>
      </c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1192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1194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1190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1191</v>
      </c>
      <c r="L250" s="17">
        <f t="shared" si="14"/>
        <v>26</v>
      </c>
      <c r="M250" s="17">
        <f t="shared" si="15"/>
        <v>2</v>
      </c>
      <c r="N250" s="18">
        <f t="shared" si="16"/>
        <v>0.9285714285714286</v>
      </c>
      <c r="O250" s="27"/>
      <c r="P250" s="8"/>
      <c r="Q250" s="8"/>
      <c r="R250" s="8"/>
      <c r="S250" s="27" t="s">
        <v>939</v>
      </c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 t="s">
        <v>939</v>
      </c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1195</v>
      </c>
      <c r="L251" s="17">
        <f t="shared" si="14"/>
        <v>6</v>
      </c>
      <c r="M251" s="17">
        <f t="shared" si="15"/>
        <v>22</v>
      </c>
      <c r="N251" s="18">
        <f t="shared" si="16"/>
        <v>0.21428571428571427</v>
      </c>
      <c r="O251" s="27" t="s">
        <v>939</v>
      </c>
      <c r="P251" s="8" t="s">
        <v>939</v>
      </c>
      <c r="Q251" s="8" t="s">
        <v>939</v>
      </c>
      <c r="R251" s="8" t="s">
        <v>939</v>
      </c>
      <c r="S251" s="27" t="s">
        <v>939</v>
      </c>
      <c r="T251" s="27" t="s">
        <v>939</v>
      </c>
      <c r="U251" s="8" t="s">
        <v>939</v>
      </c>
      <c r="V251" s="8" t="s">
        <v>939</v>
      </c>
      <c r="W251" s="8" t="s">
        <v>939</v>
      </c>
      <c r="X251" s="27" t="s">
        <v>939</v>
      </c>
      <c r="Y251" s="27" t="s">
        <v>939</v>
      </c>
      <c r="Z251" s="27" t="s">
        <v>939</v>
      </c>
      <c r="AA251" s="27" t="s">
        <v>939</v>
      </c>
      <c r="AB251" s="27" t="s">
        <v>939</v>
      </c>
      <c r="AC251" s="27" t="s">
        <v>939</v>
      </c>
      <c r="AD251" s="27" t="s">
        <v>939</v>
      </c>
      <c r="AE251" s="27" t="s">
        <v>939</v>
      </c>
      <c r="AF251" s="27" t="s">
        <v>939</v>
      </c>
      <c r="AG251" s="27" t="s">
        <v>939</v>
      </c>
      <c r="AH251" s="27" t="s">
        <v>939</v>
      </c>
      <c r="AI251" s="27" t="s">
        <v>939</v>
      </c>
      <c r="AJ251" s="27" t="s">
        <v>939</v>
      </c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1196</v>
      </c>
      <c r="L252" s="17">
        <f t="shared" si="14"/>
        <v>6</v>
      </c>
      <c r="M252" s="17">
        <f t="shared" si="15"/>
        <v>22</v>
      </c>
      <c r="N252" s="18">
        <f t="shared" si="16"/>
        <v>0.21428571428571427</v>
      </c>
      <c r="O252" s="27" t="s">
        <v>939</v>
      </c>
      <c r="P252" s="8" t="s">
        <v>939</v>
      </c>
      <c r="Q252" s="8" t="s">
        <v>939</v>
      </c>
      <c r="R252" s="8" t="s">
        <v>939</v>
      </c>
      <c r="S252" s="27" t="s">
        <v>939</v>
      </c>
      <c r="T252" s="27" t="s">
        <v>939</v>
      </c>
      <c r="U252" s="8" t="s">
        <v>939</v>
      </c>
      <c r="V252" s="8" t="s">
        <v>939</v>
      </c>
      <c r="W252" s="8" t="s">
        <v>939</v>
      </c>
      <c r="X252" s="27" t="s">
        <v>939</v>
      </c>
      <c r="Y252" s="27" t="s">
        <v>939</v>
      </c>
      <c r="Z252" s="27" t="s">
        <v>939</v>
      </c>
      <c r="AA252" s="27" t="s">
        <v>939</v>
      </c>
      <c r="AB252" s="27" t="s">
        <v>939</v>
      </c>
      <c r="AC252" s="27" t="s">
        <v>939</v>
      </c>
      <c r="AD252" s="27" t="s">
        <v>939</v>
      </c>
      <c r="AE252" s="27" t="s">
        <v>939</v>
      </c>
      <c r="AF252" s="27" t="s">
        <v>939</v>
      </c>
      <c r="AG252" s="27" t="s">
        <v>939</v>
      </c>
      <c r="AH252" s="27" t="s">
        <v>939</v>
      </c>
      <c r="AI252" s="27" t="s">
        <v>939</v>
      </c>
      <c r="AJ252" s="27" t="s">
        <v>939</v>
      </c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1197</v>
      </c>
      <c r="L253" s="17">
        <f t="shared" si="14"/>
        <v>6</v>
      </c>
      <c r="M253" s="17">
        <f t="shared" si="15"/>
        <v>22</v>
      </c>
      <c r="N253" s="18">
        <f t="shared" si="16"/>
        <v>0.21428571428571427</v>
      </c>
      <c r="O253" s="27" t="s">
        <v>939</v>
      </c>
      <c r="P253" s="8" t="s">
        <v>939</v>
      </c>
      <c r="Q253" s="8" t="s">
        <v>939</v>
      </c>
      <c r="R253" s="8" t="s">
        <v>939</v>
      </c>
      <c r="S253" s="27" t="s">
        <v>939</v>
      </c>
      <c r="T253" s="27" t="s">
        <v>939</v>
      </c>
      <c r="U253" s="8" t="s">
        <v>939</v>
      </c>
      <c r="V253" s="8" t="s">
        <v>939</v>
      </c>
      <c r="W253" s="8" t="s">
        <v>939</v>
      </c>
      <c r="X253" s="27" t="s">
        <v>939</v>
      </c>
      <c r="Y253" s="27" t="s">
        <v>939</v>
      </c>
      <c r="Z253" s="27" t="s">
        <v>939</v>
      </c>
      <c r="AA253" s="27" t="s">
        <v>939</v>
      </c>
      <c r="AB253" s="27" t="s">
        <v>939</v>
      </c>
      <c r="AC253" s="27" t="s">
        <v>939</v>
      </c>
      <c r="AD253" s="27" t="s">
        <v>939</v>
      </c>
      <c r="AE253" s="27" t="s">
        <v>939</v>
      </c>
      <c r="AF253" s="27" t="s">
        <v>939</v>
      </c>
      <c r="AG253" s="27" t="s">
        <v>939</v>
      </c>
      <c r="AH253" s="27" t="s">
        <v>939</v>
      </c>
      <c r="AI253" s="27" t="s">
        <v>939</v>
      </c>
      <c r="AJ253" s="27" t="s">
        <v>939</v>
      </c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1198</v>
      </c>
      <c r="L254" s="17">
        <f t="shared" si="14"/>
        <v>6</v>
      </c>
      <c r="M254" s="17">
        <f t="shared" si="15"/>
        <v>22</v>
      </c>
      <c r="N254" s="18">
        <f t="shared" si="16"/>
        <v>0.21428571428571427</v>
      </c>
      <c r="O254" s="27" t="s">
        <v>939</v>
      </c>
      <c r="P254" s="8" t="s">
        <v>939</v>
      </c>
      <c r="Q254" s="8" t="s">
        <v>939</v>
      </c>
      <c r="R254" s="8" t="s">
        <v>939</v>
      </c>
      <c r="S254" s="27" t="s">
        <v>939</v>
      </c>
      <c r="T254" s="27" t="s">
        <v>939</v>
      </c>
      <c r="U254" s="8" t="s">
        <v>939</v>
      </c>
      <c r="V254" s="8" t="s">
        <v>939</v>
      </c>
      <c r="W254" s="8" t="s">
        <v>939</v>
      </c>
      <c r="X254" s="27" t="s">
        <v>939</v>
      </c>
      <c r="Y254" s="27" t="s">
        <v>939</v>
      </c>
      <c r="Z254" s="27" t="s">
        <v>939</v>
      </c>
      <c r="AA254" s="27" t="s">
        <v>939</v>
      </c>
      <c r="AB254" s="27" t="s">
        <v>939</v>
      </c>
      <c r="AC254" s="27" t="s">
        <v>939</v>
      </c>
      <c r="AD254" s="27" t="s">
        <v>939</v>
      </c>
      <c r="AE254" s="27" t="s">
        <v>939</v>
      </c>
      <c r="AF254" s="27" t="s">
        <v>939</v>
      </c>
      <c r="AG254" s="27" t="s">
        <v>939</v>
      </c>
      <c r="AH254" s="27" t="s">
        <v>939</v>
      </c>
      <c r="AI254" s="27" t="s">
        <v>939</v>
      </c>
      <c r="AJ254" s="27" t="s">
        <v>939</v>
      </c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1199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1202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1203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1205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 t="s">
        <v>939</v>
      </c>
      <c r="AQ258" s="27" t="s">
        <v>939</v>
      </c>
      <c r="AR258" s="27"/>
      <c r="AS258" s="27"/>
    </row>
    <row r="259" spans="1:45" ht="15" thickBot="1" x14ac:dyDescent="0.35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1206</v>
      </c>
      <c r="L259" s="17">
        <f t="shared" si="14"/>
        <v>27</v>
      </c>
      <c r="M259" s="17">
        <f t="shared" si="15"/>
        <v>1</v>
      </c>
      <c r="N259" s="18">
        <f t="shared" si="16"/>
        <v>0.9642857142857143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 t="s">
        <v>939</v>
      </c>
      <c r="AQ259" s="27" t="s">
        <v>939</v>
      </c>
      <c r="AR259" s="27"/>
      <c r="AS259" s="27"/>
    </row>
    <row r="260" spans="1:45" ht="15" thickBot="1" x14ac:dyDescent="0.35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1200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1201</v>
      </c>
      <c r="L261" s="17">
        <f t="shared" si="14"/>
        <v>18</v>
      </c>
      <c r="M261" s="17">
        <f t="shared" si="15"/>
        <v>10</v>
      </c>
      <c r="N261" s="18">
        <f t="shared" si="16"/>
        <v>0.6428571428571429</v>
      </c>
      <c r="O261" s="27" t="s">
        <v>939</v>
      </c>
      <c r="P261" s="8" t="s">
        <v>939</v>
      </c>
      <c r="Q261" s="8" t="s">
        <v>939</v>
      </c>
      <c r="R261" s="8" t="s">
        <v>939</v>
      </c>
      <c r="S261" s="27" t="s">
        <v>939</v>
      </c>
      <c r="T261" s="27" t="s">
        <v>939</v>
      </c>
      <c r="U261" s="8" t="s">
        <v>939</v>
      </c>
      <c r="V261" s="8" t="s">
        <v>939</v>
      </c>
      <c r="W261" s="8" t="s">
        <v>939</v>
      </c>
      <c r="X261" s="27" t="s">
        <v>939</v>
      </c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t="s">
        <v>654</v>
      </c>
      <c r="C262" s="45" t="s">
        <v>667</v>
      </c>
      <c r="D262" t="s">
        <v>668</v>
      </c>
      <c r="E262" t="s">
        <v>19</v>
      </c>
      <c r="F262" t="s">
        <v>945</v>
      </c>
      <c r="G262"/>
      <c r="H262" t="s">
        <v>669</v>
      </c>
      <c r="I262" s="16">
        <v>-348150250000</v>
      </c>
      <c r="J262" s="16">
        <v>-582640890000</v>
      </c>
      <c r="K262" s="16" t="s">
        <v>1204</v>
      </c>
      <c r="L262" s="17">
        <f t="shared" si="14"/>
        <v>22</v>
      </c>
      <c r="M262" s="17">
        <f t="shared" si="15"/>
        <v>6</v>
      </c>
      <c r="N262" s="18">
        <f t="shared" si="16"/>
        <v>0.7857142857142857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 t="s">
        <v>939</v>
      </c>
      <c r="AE262" s="27" t="s">
        <v>939</v>
      </c>
      <c r="AF262" s="27" t="s">
        <v>939</v>
      </c>
      <c r="AG262" s="27" t="s">
        <v>939</v>
      </c>
      <c r="AH262" s="27" t="s">
        <v>939</v>
      </c>
      <c r="AI262" s="27" t="s">
        <v>939</v>
      </c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1207</v>
      </c>
      <c r="L263" s="17">
        <f t="shared" ref="L263:L326" si="17">COUNTIF(O263:AP263,"")</f>
        <v>21</v>
      </c>
      <c r="M263" s="17">
        <f t="shared" ref="M263:M326" si="18">COUNTIF(O263:AP263,"APAGADO")</f>
        <v>7</v>
      </c>
      <c r="N263" s="18">
        <f t="shared" ref="N263:N326" si="19">(L263)/(M263+L263)</f>
        <v>0.75</v>
      </c>
      <c r="O263" s="27"/>
      <c r="P263" s="8"/>
      <c r="Q263" s="8"/>
      <c r="R263" s="8"/>
      <c r="S263" s="27"/>
      <c r="T263" s="27"/>
      <c r="U263" s="8"/>
      <c r="V263" s="8"/>
      <c r="W263" s="8" t="s">
        <v>939</v>
      </c>
      <c r="X263" s="27"/>
      <c r="Y263" s="27"/>
      <c r="Z263" s="27"/>
      <c r="AA263" s="27"/>
      <c r="AB263" s="27"/>
      <c r="AC263" s="27"/>
      <c r="AD263" s="27"/>
      <c r="AE263" s="27"/>
      <c r="AF263" s="27" t="s">
        <v>939</v>
      </c>
      <c r="AG263" s="27" t="s">
        <v>939</v>
      </c>
      <c r="AH263" s="27" t="s">
        <v>939</v>
      </c>
      <c r="AI263" s="27" t="s">
        <v>939</v>
      </c>
      <c r="AJ263" s="27" t="s">
        <v>939</v>
      </c>
      <c r="AK263" s="8" t="s">
        <v>939</v>
      </c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1208</v>
      </c>
      <c r="L264" s="17">
        <f t="shared" si="17"/>
        <v>21</v>
      </c>
      <c r="M264" s="17">
        <f t="shared" si="18"/>
        <v>7</v>
      </c>
      <c r="N264" s="18">
        <f t="shared" si="19"/>
        <v>0.75</v>
      </c>
      <c r="O264" s="27"/>
      <c r="P264" s="8"/>
      <c r="Q264" s="8"/>
      <c r="R264" s="8"/>
      <c r="S264" s="27"/>
      <c r="T264" s="27"/>
      <c r="U264" s="8"/>
      <c r="V264" s="8"/>
      <c r="W264" s="8" t="s">
        <v>939</v>
      </c>
      <c r="X264" s="27"/>
      <c r="Y264" s="27"/>
      <c r="Z264" s="27"/>
      <c r="AA264" s="27"/>
      <c r="AB264" s="27"/>
      <c r="AC264" s="27"/>
      <c r="AD264" s="27"/>
      <c r="AE264" s="27"/>
      <c r="AF264" s="27" t="s">
        <v>939</v>
      </c>
      <c r="AG264" s="27" t="s">
        <v>939</v>
      </c>
      <c r="AH264" s="27" t="s">
        <v>939</v>
      </c>
      <c r="AI264" s="27" t="s">
        <v>939</v>
      </c>
      <c r="AJ264" s="27" t="s">
        <v>939</v>
      </c>
      <c r="AK264" s="8" t="s">
        <v>939</v>
      </c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1209</v>
      </c>
      <c r="L265" s="17">
        <f t="shared" si="17"/>
        <v>14</v>
      </c>
      <c r="M265" s="17">
        <f t="shared" si="18"/>
        <v>14</v>
      </c>
      <c r="N265" s="18">
        <f t="shared" si="19"/>
        <v>0.5</v>
      </c>
      <c r="O265" s="27"/>
      <c r="P265" s="8" t="s">
        <v>939</v>
      </c>
      <c r="Q265" s="8" t="s">
        <v>939</v>
      </c>
      <c r="R265" s="8" t="s">
        <v>939</v>
      </c>
      <c r="S265" s="27" t="s">
        <v>939</v>
      </c>
      <c r="T265" s="27" t="s">
        <v>939</v>
      </c>
      <c r="U265" s="8" t="s">
        <v>939</v>
      </c>
      <c r="V265" s="8" t="s">
        <v>939</v>
      </c>
      <c r="W265" s="8" t="s">
        <v>939</v>
      </c>
      <c r="X265" s="27"/>
      <c r="Y265" s="27"/>
      <c r="Z265" s="27"/>
      <c r="AA265" s="27"/>
      <c r="AB265" s="27"/>
      <c r="AC265" s="27"/>
      <c r="AD265" s="27"/>
      <c r="AE265" s="27"/>
      <c r="AF265" s="27" t="s">
        <v>939</v>
      </c>
      <c r="AG265" s="27" t="s">
        <v>939</v>
      </c>
      <c r="AH265" s="27" t="s">
        <v>939</v>
      </c>
      <c r="AI265" s="27" t="s">
        <v>939</v>
      </c>
      <c r="AJ265" s="27" t="s">
        <v>939</v>
      </c>
      <c r="AK265" s="8" t="s">
        <v>939</v>
      </c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1210</v>
      </c>
      <c r="L266" s="17">
        <f t="shared" si="17"/>
        <v>14</v>
      </c>
      <c r="M266" s="17">
        <f t="shared" si="18"/>
        <v>14</v>
      </c>
      <c r="N266" s="18">
        <f t="shared" si="19"/>
        <v>0.5</v>
      </c>
      <c r="O266" s="27"/>
      <c r="P266" s="8" t="s">
        <v>939</v>
      </c>
      <c r="Q266" s="8" t="s">
        <v>939</v>
      </c>
      <c r="R266" s="8" t="s">
        <v>939</v>
      </c>
      <c r="S266" s="27" t="s">
        <v>939</v>
      </c>
      <c r="T266" s="27" t="s">
        <v>939</v>
      </c>
      <c r="U266" s="8" t="s">
        <v>939</v>
      </c>
      <c r="V266" s="8" t="s">
        <v>939</v>
      </c>
      <c r="W266" s="8" t="s">
        <v>939</v>
      </c>
      <c r="X266" s="27"/>
      <c r="Y266" s="27"/>
      <c r="Z266" s="27"/>
      <c r="AA266" s="27"/>
      <c r="AB266" s="27"/>
      <c r="AC266" s="27"/>
      <c r="AD266" s="27"/>
      <c r="AE266" s="27"/>
      <c r="AF266" s="27" t="s">
        <v>939</v>
      </c>
      <c r="AG266" s="27" t="s">
        <v>939</v>
      </c>
      <c r="AH266" s="27" t="s">
        <v>939</v>
      </c>
      <c r="AI266" s="27" t="s">
        <v>939</v>
      </c>
      <c r="AJ266" s="27" t="s">
        <v>939</v>
      </c>
      <c r="AK266" s="8" t="s">
        <v>939</v>
      </c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1217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1218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1219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1220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1193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1221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1225</v>
      </c>
      <c r="L273" s="17">
        <f t="shared" si="17"/>
        <v>15</v>
      </c>
      <c r="M273" s="17">
        <f t="shared" si="18"/>
        <v>13</v>
      </c>
      <c r="N273" s="18">
        <f t="shared" si="19"/>
        <v>0.5357142857142857</v>
      </c>
      <c r="O273" s="27" t="s">
        <v>939</v>
      </c>
      <c r="P273" s="8" t="s">
        <v>939</v>
      </c>
      <c r="Q273" s="8" t="s">
        <v>939</v>
      </c>
      <c r="R273" s="8" t="s">
        <v>939</v>
      </c>
      <c r="S273" s="27" t="s">
        <v>939</v>
      </c>
      <c r="T273" s="27" t="s">
        <v>939</v>
      </c>
      <c r="U273" s="8"/>
      <c r="V273" s="8" t="s">
        <v>939</v>
      </c>
      <c r="W273" s="8" t="s">
        <v>939</v>
      </c>
      <c r="X273" s="27" t="s">
        <v>939</v>
      </c>
      <c r="Y273" s="27" t="s">
        <v>939</v>
      </c>
      <c r="Z273" s="27" t="s">
        <v>939</v>
      </c>
      <c r="AA273" s="27" t="s">
        <v>939</v>
      </c>
      <c r="AB273" s="27" t="s">
        <v>939</v>
      </c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1226</v>
      </c>
      <c r="L274" s="17">
        <f t="shared" si="17"/>
        <v>16</v>
      </c>
      <c r="M274" s="17">
        <f t="shared" si="18"/>
        <v>12</v>
      </c>
      <c r="N274" s="18">
        <f t="shared" si="19"/>
        <v>0.5714285714285714</v>
      </c>
      <c r="O274" s="27" t="s">
        <v>939</v>
      </c>
      <c r="P274" s="8" t="s">
        <v>939</v>
      </c>
      <c r="Q274" s="8" t="s">
        <v>939</v>
      </c>
      <c r="R274" s="8" t="s">
        <v>939</v>
      </c>
      <c r="S274" s="27" t="s">
        <v>939</v>
      </c>
      <c r="T274" s="27" t="s">
        <v>939</v>
      </c>
      <c r="U274" s="8"/>
      <c r="V274" s="8" t="s">
        <v>939</v>
      </c>
      <c r="W274" s="8" t="s">
        <v>939</v>
      </c>
      <c r="X274" s="27" t="s">
        <v>939</v>
      </c>
      <c r="Y274" s="27" t="s">
        <v>939</v>
      </c>
      <c r="Z274" s="27"/>
      <c r="AA274" s="27" t="s">
        <v>939</v>
      </c>
      <c r="AB274" s="27" t="s">
        <v>939</v>
      </c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1213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1214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1215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1216</v>
      </c>
      <c r="L278" s="17">
        <f t="shared" si="17"/>
        <v>24</v>
      </c>
      <c r="M278" s="17">
        <f t="shared" si="18"/>
        <v>4</v>
      </c>
      <c r="N278" s="18">
        <f t="shared" si="19"/>
        <v>0.8571428571428571</v>
      </c>
      <c r="O278" s="27"/>
      <c r="P278" s="8" t="s">
        <v>939</v>
      </c>
      <c r="Q278" s="8" t="s">
        <v>939</v>
      </c>
      <c r="R278" s="8" t="s">
        <v>939</v>
      </c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 t="s">
        <v>939</v>
      </c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1211</v>
      </c>
      <c r="L279" s="17">
        <f t="shared" si="17"/>
        <v>22</v>
      </c>
      <c r="M279" s="17">
        <f t="shared" si="18"/>
        <v>6</v>
      </c>
      <c r="N279" s="18">
        <f t="shared" si="19"/>
        <v>0.7857142857142857</v>
      </c>
      <c r="O279" s="27" t="s">
        <v>939</v>
      </c>
      <c r="P279" s="8" t="s">
        <v>939</v>
      </c>
      <c r="Q279" s="8" t="s">
        <v>939</v>
      </c>
      <c r="R279" s="8" t="s">
        <v>939</v>
      </c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 t="s">
        <v>939</v>
      </c>
      <c r="AM279" s="8"/>
      <c r="AN279" s="27"/>
      <c r="AO279" s="8" t="s">
        <v>939</v>
      </c>
      <c r="AP279" s="8"/>
      <c r="AQ279" s="27"/>
      <c r="AR279" s="27"/>
      <c r="AS279" s="27"/>
    </row>
    <row r="280" spans="1:45" ht="15" thickBot="1" x14ac:dyDescent="0.35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1212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 t="s">
        <v>939</v>
      </c>
      <c r="AO280" s="8"/>
      <c r="AP280" s="8"/>
      <c r="AQ280" s="27"/>
      <c r="AR280" s="27"/>
      <c r="AS280" s="27"/>
    </row>
    <row r="281" spans="1:45" ht="15" thickBot="1" x14ac:dyDescent="0.35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1222</v>
      </c>
      <c r="L281" s="17">
        <f t="shared" si="17"/>
        <v>7</v>
      </c>
      <c r="M281" s="17">
        <f t="shared" si="18"/>
        <v>21</v>
      </c>
      <c r="N281" s="18">
        <f t="shared" si="19"/>
        <v>0.25</v>
      </c>
      <c r="O281" s="27"/>
      <c r="P281" s="8"/>
      <c r="Q281" s="8"/>
      <c r="R281" s="8"/>
      <c r="S281" s="27"/>
      <c r="T281" s="27"/>
      <c r="U281" s="8"/>
      <c r="V281" s="8" t="s">
        <v>939</v>
      </c>
      <c r="W281" s="8" t="s">
        <v>939</v>
      </c>
      <c r="X281" s="27" t="s">
        <v>939</v>
      </c>
      <c r="Y281" s="27" t="s">
        <v>939</v>
      </c>
      <c r="Z281" s="27" t="s">
        <v>939</v>
      </c>
      <c r="AA281" s="27" t="s">
        <v>939</v>
      </c>
      <c r="AB281" s="27" t="s">
        <v>939</v>
      </c>
      <c r="AC281" s="27" t="s">
        <v>939</v>
      </c>
      <c r="AD281" s="27" t="s">
        <v>939</v>
      </c>
      <c r="AE281" s="27" t="s">
        <v>939</v>
      </c>
      <c r="AF281" s="27" t="s">
        <v>939</v>
      </c>
      <c r="AG281" s="27" t="s">
        <v>939</v>
      </c>
      <c r="AH281" s="27" t="s">
        <v>939</v>
      </c>
      <c r="AI281" s="27" t="s">
        <v>939</v>
      </c>
      <c r="AJ281" s="27" t="s">
        <v>939</v>
      </c>
      <c r="AK281" s="8" t="s">
        <v>939</v>
      </c>
      <c r="AL281" s="8" t="s">
        <v>939</v>
      </c>
      <c r="AM281" s="8" t="s">
        <v>939</v>
      </c>
      <c r="AN281" s="27" t="s">
        <v>939</v>
      </c>
      <c r="AO281" s="8" t="s">
        <v>939</v>
      </c>
      <c r="AP281" s="8" t="s">
        <v>939</v>
      </c>
      <c r="AQ281" s="27" t="s">
        <v>939</v>
      </c>
      <c r="AR281" s="27"/>
      <c r="AS281" s="27"/>
    </row>
    <row r="282" spans="1:45" ht="15" thickBot="1" x14ac:dyDescent="0.35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1223</v>
      </c>
      <c r="L282" s="17">
        <f t="shared" si="17"/>
        <v>3</v>
      </c>
      <c r="M282" s="17">
        <f t="shared" si="18"/>
        <v>25</v>
      </c>
      <c r="N282" s="18">
        <f t="shared" si="19"/>
        <v>0.10714285714285714</v>
      </c>
      <c r="O282" s="27" t="s">
        <v>939</v>
      </c>
      <c r="P282" s="8" t="s">
        <v>939</v>
      </c>
      <c r="Q282" s="8" t="s">
        <v>939</v>
      </c>
      <c r="R282" s="8" t="s">
        <v>939</v>
      </c>
      <c r="S282" s="27"/>
      <c r="T282" s="27"/>
      <c r="U282" s="8" t="s">
        <v>939</v>
      </c>
      <c r="V282" s="8" t="s">
        <v>939</v>
      </c>
      <c r="W282" s="8" t="s">
        <v>939</v>
      </c>
      <c r="X282" s="27" t="s">
        <v>939</v>
      </c>
      <c r="Y282" s="27" t="s">
        <v>939</v>
      </c>
      <c r="Z282" s="27" t="s">
        <v>939</v>
      </c>
      <c r="AA282" s="27" t="s">
        <v>939</v>
      </c>
      <c r="AB282" s="27" t="s">
        <v>939</v>
      </c>
      <c r="AC282" s="27" t="s">
        <v>939</v>
      </c>
      <c r="AD282" s="27" t="s">
        <v>939</v>
      </c>
      <c r="AE282" s="27" t="s">
        <v>939</v>
      </c>
      <c r="AF282" s="27" t="s">
        <v>939</v>
      </c>
      <c r="AG282" s="27" t="s">
        <v>939</v>
      </c>
      <c r="AH282" s="27" t="s">
        <v>939</v>
      </c>
      <c r="AI282" s="27" t="s">
        <v>939</v>
      </c>
      <c r="AJ282" s="27" t="s">
        <v>939</v>
      </c>
      <c r="AK282" s="8"/>
      <c r="AL282" s="8" t="s">
        <v>939</v>
      </c>
      <c r="AM282" s="8" t="s">
        <v>939</v>
      </c>
      <c r="AN282" s="27" t="s">
        <v>939</v>
      </c>
      <c r="AO282" s="8" t="s">
        <v>939</v>
      </c>
      <c r="AP282" s="8" t="s">
        <v>939</v>
      </c>
      <c r="AQ282" s="27" t="s">
        <v>939</v>
      </c>
      <c r="AR282" s="27"/>
      <c r="AS282" s="27"/>
    </row>
    <row r="283" spans="1:45" ht="15" thickBot="1" x14ac:dyDescent="0.35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1224</v>
      </c>
      <c r="L283" s="17">
        <f t="shared" si="17"/>
        <v>28</v>
      </c>
      <c r="M283" s="17">
        <f t="shared" si="18"/>
        <v>0</v>
      </c>
      <c r="N283" s="18">
        <f t="shared" si="19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1227</v>
      </c>
      <c r="L284" s="17">
        <f t="shared" si="17"/>
        <v>18</v>
      </c>
      <c r="M284" s="17">
        <f t="shared" si="18"/>
        <v>10</v>
      </c>
      <c r="N284" s="18">
        <f t="shared" si="19"/>
        <v>0.6428571428571429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 t="s">
        <v>939</v>
      </c>
      <c r="AG284" s="27" t="s">
        <v>939</v>
      </c>
      <c r="AH284" s="27" t="s">
        <v>939</v>
      </c>
      <c r="AI284" s="27" t="s">
        <v>939</v>
      </c>
      <c r="AJ284" s="27" t="s">
        <v>939</v>
      </c>
      <c r="AK284" s="8"/>
      <c r="AL284" s="8" t="s">
        <v>939</v>
      </c>
      <c r="AM284" s="8" t="s">
        <v>939</v>
      </c>
      <c r="AN284" s="27" t="s">
        <v>939</v>
      </c>
      <c r="AO284" s="8" t="s">
        <v>939</v>
      </c>
      <c r="AP284" s="8" t="s">
        <v>939</v>
      </c>
      <c r="AQ284" s="27"/>
      <c r="AR284" s="27"/>
      <c r="AS284" s="27"/>
    </row>
    <row r="285" spans="1:45" ht="15" thickBot="1" x14ac:dyDescent="0.35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1228</v>
      </c>
      <c r="L285" s="17">
        <f t="shared" si="17"/>
        <v>18</v>
      </c>
      <c r="M285" s="17">
        <f t="shared" si="18"/>
        <v>10</v>
      </c>
      <c r="N285" s="18">
        <f t="shared" si="19"/>
        <v>0.6428571428571429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 t="s">
        <v>939</v>
      </c>
      <c r="AG285" s="27" t="s">
        <v>939</v>
      </c>
      <c r="AH285" s="27" t="s">
        <v>939</v>
      </c>
      <c r="AI285" s="27" t="s">
        <v>939</v>
      </c>
      <c r="AJ285" s="27" t="s">
        <v>939</v>
      </c>
      <c r="AK285" s="8"/>
      <c r="AL285" s="8" t="s">
        <v>939</v>
      </c>
      <c r="AM285" s="8" t="s">
        <v>939</v>
      </c>
      <c r="AN285" s="27" t="s">
        <v>939</v>
      </c>
      <c r="AO285" s="8" t="s">
        <v>939</v>
      </c>
      <c r="AP285" s="8" t="s">
        <v>939</v>
      </c>
      <c r="AQ285" s="27"/>
      <c r="AR285" s="27"/>
      <c r="AS285" s="27"/>
    </row>
    <row r="286" spans="1:45" ht="15" thickBot="1" x14ac:dyDescent="0.35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1229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 t="s">
        <v>939</v>
      </c>
      <c r="AQ286" s="27" t="s">
        <v>939</v>
      </c>
      <c r="AR286" s="27"/>
      <c r="AS286" s="27"/>
    </row>
    <row r="287" spans="1:45" ht="15" thickBot="1" x14ac:dyDescent="0.35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1230</v>
      </c>
      <c r="L287" s="17">
        <f t="shared" si="17"/>
        <v>27</v>
      </c>
      <c r="M287" s="17">
        <f t="shared" si="18"/>
        <v>1</v>
      </c>
      <c r="N287" s="18">
        <f t="shared" si="19"/>
        <v>0.9642857142857143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 t="s">
        <v>939</v>
      </c>
      <c r="AQ287" s="27" t="s">
        <v>939</v>
      </c>
      <c r="AR287" s="27"/>
      <c r="AS287" s="27"/>
    </row>
    <row r="288" spans="1:45" ht="15" thickBot="1" x14ac:dyDescent="0.35">
      <c r="A288" t="s">
        <v>724</v>
      </c>
      <c r="C288" s="45" t="s">
        <v>725</v>
      </c>
      <c r="D288" t="s">
        <v>726</v>
      </c>
      <c r="E288" t="s">
        <v>24</v>
      </c>
      <c r="F288" t="s">
        <v>945</v>
      </c>
      <c r="G288" t="s">
        <v>727</v>
      </c>
      <c r="H288"/>
      <c r="I288" s="16">
        <v>-347888010000</v>
      </c>
      <c r="J288" s="16">
        <v>-582597900000</v>
      </c>
      <c r="K288" s="16" t="s">
        <v>1231</v>
      </c>
      <c r="L288" s="17">
        <f t="shared" si="17"/>
        <v>25</v>
      </c>
      <c r="M288" s="17">
        <f t="shared" si="18"/>
        <v>3</v>
      </c>
      <c r="N288" s="18">
        <f t="shared" si="19"/>
        <v>0.8928571428571429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 t="s">
        <v>939</v>
      </c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 t="s">
        <v>939</v>
      </c>
      <c r="AM288" s="8"/>
      <c r="AN288" s="27"/>
      <c r="AO288" s="8" t="s">
        <v>939</v>
      </c>
      <c r="AP288" s="8"/>
      <c r="AQ288" s="27"/>
      <c r="AR288" s="27"/>
      <c r="AS288" s="27"/>
    </row>
    <row r="289" spans="1:45" ht="16.95" customHeight="1" thickBot="1" x14ac:dyDescent="0.35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1232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1233</v>
      </c>
      <c r="L290" s="17">
        <f t="shared" si="17"/>
        <v>26</v>
      </c>
      <c r="M290" s="17">
        <f t="shared" si="18"/>
        <v>2</v>
      </c>
      <c r="N290" s="18">
        <f t="shared" si="19"/>
        <v>0.9285714285714286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 t="s">
        <v>939</v>
      </c>
      <c r="AN290" s="27"/>
      <c r="AO290" s="8"/>
      <c r="AP290" s="8" t="s">
        <v>939</v>
      </c>
      <c r="AQ290" s="27"/>
      <c r="AR290" s="27"/>
      <c r="AS290" s="27"/>
    </row>
    <row r="291" spans="1:45" ht="15" thickBot="1" x14ac:dyDescent="0.35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1234</v>
      </c>
      <c r="L291" s="17">
        <f t="shared" si="17"/>
        <v>24</v>
      </c>
      <c r="M291" s="17">
        <f t="shared" si="18"/>
        <v>4</v>
      </c>
      <c r="N291" s="18">
        <f t="shared" si="19"/>
        <v>0.8571428571428571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 t="s">
        <v>939</v>
      </c>
      <c r="AM291" s="8" t="s">
        <v>939</v>
      </c>
      <c r="AN291" s="27"/>
      <c r="AO291" s="8" t="s">
        <v>939</v>
      </c>
      <c r="AP291" s="8" t="s">
        <v>939</v>
      </c>
      <c r="AQ291" s="27" t="s">
        <v>939</v>
      </c>
      <c r="AR291" s="27"/>
      <c r="AS291" s="27"/>
    </row>
    <row r="292" spans="1:45" ht="15" thickBot="1" x14ac:dyDescent="0.35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1235</v>
      </c>
      <c r="L292" s="17">
        <f t="shared" si="17"/>
        <v>23</v>
      </c>
      <c r="M292" s="17">
        <f t="shared" si="18"/>
        <v>5</v>
      </c>
      <c r="N292" s="18">
        <f t="shared" si="19"/>
        <v>0.8214285714285714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 t="s">
        <v>939</v>
      </c>
      <c r="AM292" s="8" t="s">
        <v>939</v>
      </c>
      <c r="AN292" s="27" t="s">
        <v>939</v>
      </c>
      <c r="AO292" s="8" t="s">
        <v>939</v>
      </c>
      <c r="AP292" s="8" t="s">
        <v>939</v>
      </c>
      <c r="AQ292" s="27" t="s">
        <v>939</v>
      </c>
      <c r="AR292" s="27"/>
      <c r="AS292" s="27"/>
    </row>
    <row r="293" spans="1:45" ht="15" thickBot="1" x14ac:dyDescent="0.35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1236</v>
      </c>
      <c r="L293" s="17">
        <f t="shared" si="17"/>
        <v>23</v>
      </c>
      <c r="M293" s="17">
        <f t="shared" si="18"/>
        <v>5</v>
      </c>
      <c r="N293" s="18">
        <f t="shared" si="19"/>
        <v>0.8214285714285714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 t="s">
        <v>939</v>
      </c>
      <c r="AM293" s="8" t="s">
        <v>939</v>
      </c>
      <c r="AN293" s="27" t="s">
        <v>939</v>
      </c>
      <c r="AO293" s="8" t="s">
        <v>939</v>
      </c>
      <c r="AP293" s="8" t="s">
        <v>939</v>
      </c>
      <c r="AQ293" s="27" t="s">
        <v>939</v>
      </c>
      <c r="AR293" s="27"/>
      <c r="AS293" s="27"/>
    </row>
    <row r="294" spans="1:45" ht="15" thickBot="1" x14ac:dyDescent="0.35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1237</v>
      </c>
      <c r="L294" s="17">
        <f t="shared" si="17"/>
        <v>23</v>
      </c>
      <c r="M294" s="17">
        <f t="shared" si="18"/>
        <v>5</v>
      </c>
      <c r="N294" s="18">
        <f t="shared" si="19"/>
        <v>0.8214285714285714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 t="s">
        <v>939</v>
      </c>
      <c r="AM294" s="8" t="s">
        <v>939</v>
      </c>
      <c r="AN294" s="27" t="s">
        <v>939</v>
      </c>
      <c r="AO294" s="8" t="s">
        <v>939</v>
      </c>
      <c r="AP294" s="8" t="s">
        <v>939</v>
      </c>
      <c r="AQ294" s="27" t="s">
        <v>939</v>
      </c>
      <c r="AR294" s="27"/>
      <c r="AS294" s="27"/>
    </row>
    <row r="295" spans="1:45" ht="15" thickBot="1" x14ac:dyDescent="0.35">
      <c r="A295" t="s">
        <v>724</v>
      </c>
      <c r="C295" s="45" t="s">
        <v>744</v>
      </c>
      <c r="D295" t="s">
        <v>745</v>
      </c>
      <c r="E295" t="s">
        <v>24</v>
      </c>
      <c r="F295" t="s">
        <v>945</v>
      </c>
      <c r="G295" t="s">
        <v>735</v>
      </c>
      <c r="H295"/>
      <c r="I295" s="16">
        <v>-347917260000</v>
      </c>
      <c r="J295" s="16">
        <v>-582524730000</v>
      </c>
      <c r="K295" s="16" t="s">
        <v>1238</v>
      </c>
      <c r="L295" s="17">
        <f t="shared" si="17"/>
        <v>23</v>
      </c>
      <c r="M295" s="17">
        <f t="shared" si="18"/>
        <v>5</v>
      </c>
      <c r="N295" s="18">
        <f t="shared" si="19"/>
        <v>0.8214285714285714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 t="s">
        <v>939</v>
      </c>
      <c r="AM295" s="8" t="s">
        <v>939</v>
      </c>
      <c r="AN295" s="27" t="s">
        <v>939</v>
      </c>
      <c r="AO295" s="8" t="s">
        <v>939</v>
      </c>
      <c r="AP295" s="8" t="s">
        <v>939</v>
      </c>
      <c r="AQ295" s="27" t="s">
        <v>939</v>
      </c>
      <c r="AR295" s="27"/>
      <c r="AS295" s="27"/>
    </row>
    <row r="296" spans="1:45" ht="15" thickBot="1" x14ac:dyDescent="0.35">
      <c r="A296" t="s">
        <v>412</v>
      </c>
      <c r="C296" s="45" t="s">
        <v>746</v>
      </c>
      <c r="D296" t="s">
        <v>747</v>
      </c>
      <c r="E296" t="s">
        <v>24</v>
      </c>
      <c r="F296" t="s">
        <v>945</v>
      </c>
      <c r="G296" t="s">
        <v>161</v>
      </c>
      <c r="H296"/>
      <c r="I296" s="16">
        <v>-347867610000</v>
      </c>
      <c r="J296" s="16">
        <v>-582563190000</v>
      </c>
      <c r="K296" s="16" t="s">
        <v>1239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 t="s">
        <v>939</v>
      </c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1240</v>
      </c>
      <c r="L297" s="17">
        <f t="shared" si="17"/>
        <v>22</v>
      </c>
      <c r="M297" s="17">
        <f t="shared" si="18"/>
        <v>6</v>
      </c>
      <c r="N297" s="18">
        <f t="shared" si="19"/>
        <v>0.7857142857142857</v>
      </c>
      <c r="O297" s="27"/>
      <c r="P297" s="8"/>
      <c r="Q297" s="8"/>
      <c r="R297" s="8"/>
      <c r="S297" s="27"/>
      <c r="T297" s="27" t="s">
        <v>939</v>
      </c>
      <c r="U297" s="8"/>
      <c r="V297" s="8" t="s">
        <v>939</v>
      </c>
      <c r="W297" s="8" t="s">
        <v>939</v>
      </c>
      <c r="X297" s="27" t="s">
        <v>939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 t="s">
        <v>939</v>
      </c>
      <c r="AM297" s="8" t="s">
        <v>939</v>
      </c>
      <c r="AN297" s="27"/>
      <c r="AO297" s="8"/>
      <c r="AP297" s="8"/>
      <c r="AQ297" s="27"/>
      <c r="AR297" s="27"/>
      <c r="AS297" s="27"/>
    </row>
    <row r="298" spans="1:45" ht="15" thickBot="1" x14ac:dyDescent="0.35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1241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1242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1243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1244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1245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1246</v>
      </c>
      <c r="L303" s="17">
        <f t="shared" si="17"/>
        <v>24</v>
      </c>
      <c r="M303" s="17">
        <f t="shared" si="18"/>
        <v>4</v>
      </c>
      <c r="N303" s="18">
        <f t="shared" si="19"/>
        <v>0.8571428571428571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 t="s">
        <v>939</v>
      </c>
      <c r="AM303" s="8" t="s">
        <v>939</v>
      </c>
      <c r="AN303" s="27" t="s">
        <v>939</v>
      </c>
      <c r="AO303" s="8" t="s">
        <v>939</v>
      </c>
      <c r="AP303" s="8"/>
      <c r="AQ303" s="27" t="s">
        <v>939</v>
      </c>
      <c r="AR303" s="27"/>
      <c r="AS303" s="27"/>
    </row>
    <row r="304" spans="1:45" ht="15" thickBot="1" x14ac:dyDescent="0.35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1247</v>
      </c>
      <c r="L304" s="17">
        <f t="shared" si="17"/>
        <v>16</v>
      </c>
      <c r="M304" s="17">
        <f t="shared" si="18"/>
        <v>12</v>
      </c>
      <c r="N304" s="18">
        <f t="shared" si="19"/>
        <v>0.5714285714285714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 t="s">
        <v>939</v>
      </c>
      <c r="Z304" s="27" t="s">
        <v>939</v>
      </c>
      <c r="AA304" s="27" t="s">
        <v>939</v>
      </c>
      <c r="AB304" s="27" t="s">
        <v>939</v>
      </c>
      <c r="AC304" s="27" t="s">
        <v>939</v>
      </c>
      <c r="AD304" s="27" t="s">
        <v>939</v>
      </c>
      <c r="AE304" s="27" t="s">
        <v>939</v>
      </c>
      <c r="AF304" s="27" t="s">
        <v>939</v>
      </c>
      <c r="AG304" s="27" t="s">
        <v>939</v>
      </c>
      <c r="AH304" s="27" t="s">
        <v>939</v>
      </c>
      <c r="AI304" s="27" t="s">
        <v>939</v>
      </c>
      <c r="AJ304" s="27" t="s">
        <v>939</v>
      </c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1248</v>
      </c>
      <c r="L305" s="17">
        <f t="shared" si="17"/>
        <v>15</v>
      </c>
      <c r="M305" s="17">
        <f t="shared" si="18"/>
        <v>13</v>
      </c>
      <c r="N305" s="18">
        <f t="shared" si="19"/>
        <v>0.5357142857142857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 t="s">
        <v>939</v>
      </c>
      <c r="Z305" s="27" t="s">
        <v>939</v>
      </c>
      <c r="AA305" s="27" t="s">
        <v>939</v>
      </c>
      <c r="AB305" s="27" t="s">
        <v>939</v>
      </c>
      <c r="AC305" s="27" t="s">
        <v>939</v>
      </c>
      <c r="AD305" s="27" t="s">
        <v>939</v>
      </c>
      <c r="AE305" s="27" t="s">
        <v>939</v>
      </c>
      <c r="AF305" s="27" t="s">
        <v>939</v>
      </c>
      <c r="AG305" s="27" t="s">
        <v>939</v>
      </c>
      <c r="AH305" s="27" t="s">
        <v>939</v>
      </c>
      <c r="AI305" s="27" t="s">
        <v>939</v>
      </c>
      <c r="AJ305" s="27" t="s">
        <v>939</v>
      </c>
      <c r="AK305" s="8"/>
      <c r="AL305" s="8" t="s">
        <v>939</v>
      </c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1249</v>
      </c>
      <c r="L306" s="17">
        <f t="shared" si="17"/>
        <v>16</v>
      </c>
      <c r="M306" s="17">
        <f t="shared" si="18"/>
        <v>12</v>
      </c>
      <c r="N306" s="18">
        <f t="shared" si="19"/>
        <v>0.5714285714285714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 t="s">
        <v>939</v>
      </c>
      <c r="Z306" s="27" t="s">
        <v>939</v>
      </c>
      <c r="AA306" s="27" t="s">
        <v>939</v>
      </c>
      <c r="AB306" s="27" t="s">
        <v>939</v>
      </c>
      <c r="AC306" s="27" t="s">
        <v>939</v>
      </c>
      <c r="AD306" s="27" t="s">
        <v>939</v>
      </c>
      <c r="AE306" s="27" t="s">
        <v>939</v>
      </c>
      <c r="AF306" s="27" t="s">
        <v>939</v>
      </c>
      <c r="AG306" s="27" t="s">
        <v>939</v>
      </c>
      <c r="AH306" s="27" t="s">
        <v>939</v>
      </c>
      <c r="AI306" s="27" t="s">
        <v>939</v>
      </c>
      <c r="AJ306" s="27" t="s">
        <v>939</v>
      </c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1250</v>
      </c>
      <c r="L307" s="17">
        <f t="shared" si="17"/>
        <v>16</v>
      </c>
      <c r="M307" s="17">
        <f t="shared" si="18"/>
        <v>12</v>
      </c>
      <c r="N307" s="18">
        <f t="shared" si="19"/>
        <v>0.5714285714285714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 t="s">
        <v>939</v>
      </c>
      <c r="Z307" s="27" t="s">
        <v>939</v>
      </c>
      <c r="AA307" s="27" t="s">
        <v>939</v>
      </c>
      <c r="AB307" s="27" t="s">
        <v>939</v>
      </c>
      <c r="AC307" s="27" t="s">
        <v>939</v>
      </c>
      <c r="AD307" s="27" t="s">
        <v>939</v>
      </c>
      <c r="AE307" s="27" t="s">
        <v>939</v>
      </c>
      <c r="AF307" s="27" t="s">
        <v>939</v>
      </c>
      <c r="AG307" s="27" t="s">
        <v>939</v>
      </c>
      <c r="AH307" s="27" t="s">
        <v>939</v>
      </c>
      <c r="AI307" s="27" t="s">
        <v>939</v>
      </c>
      <c r="AJ307" s="27" t="s">
        <v>939</v>
      </c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C308" s="45" t="s">
        <v>769</v>
      </c>
      <c r="D308" t="s">
        <v>770</v>
      </c>
      <c r="E308" t="s">
        <v>19</v>
      </c>
      <c r="F308" t="s">
        <v>945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1262</v>
      </c>
      <c r="L308" s="17">
        <f t="shared" si="17"/>
        <v>24</v>
      </c>
      <c r="M308" s="17">
        <f t="shared" si="18"/>
        <v>4</v>
      </c>
      <c r="N308" s="18">
        <f t="shared" si="19"/>
        <v>0.8571428571428571</v>
      </c>
      <c r="O308" s="27" t="s">
        <v>939</v>
      </c>
      <c r="P308" s="8" t="s">
        <v>939</v>
      </c>
      <c r="Q308" s="8"/>
      <c r="R308" s="8"/>
      <c r="S308" s="27" t="s">
        <v>939</v>
      </c>
      <c r="T308" s="27"/>
      <c r="U308" s="8"/>
      <c r="V308" s="8"/>
      <c r="W308" s="8"/>
      <c r="X308" s="27"/>
      <c r="Y308" s="27"/>
      <c r="Z308" s="27"/>
      <c r="AA308" s="27" t="s">
        <v>939</v>
      </c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t="s">
        <v>772</v>
      </c>
      <c r="C309" s="45" t="s">
        <v>773</v>
      </c>
      <c r="D309" t="s">
        <v>774</v>
      </c>
      <c r="E309" t="s">
        <v>24</v>
      </c>
      <c r="F309" t="s">
        <v>945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1263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C310" s="45" t="s">
        <v>776</v>
      </c>
      <c r="D310" t="s">
        <v>777</v>
      </c>
      <c r="E310" t="s">
        <v>19</v>
      </c>
      <c r="F310" t="s">
        <v>945</v>
      </c>
      <c r="G310" t="s">
        <v>778</v>
      </c>
      <c r="H310"/>
      <c r="I310" s="16">
        <v>-348129440000</v>
      </c>
      <c r="J310" s="16">
        <v>-582759900000</v>
      </c>
      <c r="K310" s="16" t="s">
        <v>1265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t="s">
        <v>779</v>
      </c>
      <c r="C311" s="45" t="s">
        <v>780</v>
      </c>
      <c r="D311" t="s">
        <v>781</v>
      </c>
      <c r="E311" t="s">
        <v>19</v>
      </c>
      <c r="F311" t="s">
        <v>945</v>
      </c>
      <c r="G311"/>
      <c r="H311" t="s">
        <v>782</v>
      </c>
      <c r="I311" s="16">
        <v>-348174960000</v>
      </c>
      <c r="J311" s="16">
        <v>-582687670000</v>
      </c>
      <c r="K311" s="16" t="s">
        <v>1266</v>
      </c>
      <c r="L311" s="17">
        <f t="shared" si="17"/>
        <v>22</v>
      </c>
      <c r="M311" s="17">
        <f t="shared" si="18"/>
        <v>6</v>
      </c>
      <c r="N311" s="18">
        <f t="shared" si="19"/>
        <v>0.7857142857142857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 t="s">
        <v>939</v>
      </c>
      <c r="AE311" s="27" t="s">
        <v>939</v>
      </c>
      <c r="AF311" s="27" t="s">
        <v>939</v>
      </c>
      <c r="AG311" s="27" t="s">
        <v>939</v>
      </c>
      <c r="AH311" s="27" t="s">
        <v>939</v>
      </c>
      <c r="AI311" s="27" t="s">
        <v>939</v>
      </c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t="s">
        <v>779</v>
      </c>
      <c r="C312" s="45" t="s">
        <v>783</v>
      </c>
      <c r="D312" t="s">
        <v>928</v>
      </c>
      <c r="E312" t="s">
        <v>19</v>
      </c>
      <c r="F312" t="s">
        <v>945</v>
      </c>
      <c r="G312"/>
      <c r="H312" t="s">
        <v>30</v>
      </c>
      <c r="I312" s="16">
        <v>-348206040000</v>
      </c>
      <c r="J312" s="16">
        <v>-582725050000</v>
      </c>
      <c r="K312" s="16" t="s">
        <v>1267</v>
      </c>
      <c r="L312" s="17">
        <f t="shared" si="17"/>
        <v>23</v>
      </c>
      <c r="M312" s="17">
        <f t="shared" si="18"/>
        <v>5</v>
      </c>
      <c r="N312" s="18">
        <f t="shared" si="19"/>
        <v>0.8214285714285714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 t="s">
        <v>939</v>
      </c>
      <c r="AF312" s="27" t="s">
        <v>939</v>
      </c>
      <c r="AG312" s="27" t="s">
        <v>939</v>
      </c>
      <c r="AH312" s="27" t="s">
        <v>939</v>
      </c>
      <c r="AI312" s="27" t="s">
        <v>939</v>
      </c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t="s">
        <v>772</v>
      </c>
      <c r="C313" s="45" t="s">
        <v>784</v>
      </c>
      <c r="D313" t="s">
        <v>785</v>
      </c>
      <c r="E313" t="s">
        <v>19</v>
      </c>
      <c r="F313" t="s">
        <v>945</v>
      </c>
      <c r="G313"/>
      <c r="H313" t="s">
        <v>692</v>
      </c>
      <c r="I313" s="16">
        <v>-348117590000</v>
      </c>
      <c r="J313" s="16">
        <v>-582727020000</v>
      </c>
      <c r="K313" s="16" t="s">
        <v>1268</v>
      </c>
      <c r="L313" s="17">
        <f t="shared" si="17"/>
        <v>22</v>
      </c>
      <c r="M313" s="17">
        <f t="shared" si="18"/>
        <v>6</v>
      </c>
      <c r="N313" s="18">
        <f t="shared" si="19"/>
        <v>0.7857142857142857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 t="s">
        <v>939</v>
      </c>
      <c r="AB313" s="27"/>
      <c r="AC313" s="27"/>
      <c r="AD313" s="27"/>
      <c r="AE313" s="27" t="s">
        <v>939</v>
      </c>
      <c r="AF313" s="27" t="s">
        <v>939</v>
      </c>
      <c r="AG313" s="27" t="s">
        <v>939</v>
      </c>
      <c r="AH313" s="27" t="s">
        <v>939</v>
      </c>
      <c r="AI313" s="27" t="s">
        <v>939</v>
      </c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1269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 t="s">
        <v>939</v>
      </c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1270</v>
      </c>
      <c r="L315" s="17">
        <f t="shared" si="17"/>
        <v>27</v>
      </c>
      <c r="M315" s="17">
        <f t="shared" si="18"/>
        <v>1</v>
      </c>
      <c r="N315" s="18">
        <f t="shared" si="19"/>
        <v>0.9642857142857143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 t="s">
        <v>939</v>
      </c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1251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1252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1253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1254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1255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1256</v>
      </c>
      <c r="L321" s="17">
        <f t="shared" si="17"/>
        <v>10</v>
      </c>
      <c r="M321" s="17">
        <f t="shared" si="18"/>
        <v>18</v>
      </c>
      <c r="N321" s="18">
        <f t="shared" si="19"/>
        <v>0.35714285714285715</v>
      </c>
      <c r="O321" s="27" t="s">
        <v>939</v>
      </c>
      <c r="P321" s="8" t="s">
        <v>939</v>
      </c>
      <c r="Q321" s="8" t="s">
        <v>939</v>
      </c>
      <c r="R321" s="8" t="s">
        <v>939</v>
      </c>
      <c r="S321" s="27" t="s">
        <v>939</v>
      </c>
      <c r="T321" s="27" t="s">
        <v>939</v>
      </c>
      <c r="U321" s="8" t="s">
        <v>939</v>
      </c>
      <c r="V321" s="8" t="s">
        <v>939</v>
      </c>
      <c r="W321" s="8" t="s">
        <v>939</v>
      </c>
      <c r="X321" s="27" t="s">
        <v>939</v>
      </c>
      <c r="Y321" s="27"/>
      <c r="Z321" s="27"/>
      <c r="AA321" s="27"/>
      <c r="AB321" s="27"/>
      <c r="AC321" s="27"/>
      <c r="AD321" s="27" t="s">
        <v>939</v>
      </c>
      <c r="AE321" s="27" t="s">
        <v>939</v>
      </c>
      <c r="AF321" s="27" t="s">
        <v>939</v>
      </c>
      <c r="AG321" s="27" t="s">
        <v>939</v>
      </c>
      <c r="AH321" s="27" t="s">
        <v>939</v>
      </c>
      <c r="AI321" s="27" t="s">
        <v>939</v>
      </c>
      <c r="AJ321" s="27" t="s">
        <v>939</v>
      </c>
      <c r="AK321" s="8" t="s">
        <v>939</v>
      </c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t="s">
        <v>772</v>
      </c>
      <c r="C322" s="45" t="s">
        <v>803</v>
      </c>
      <c r="D322" t="s">
        <v>925</v>
      </c>
      <c r="E322" t="s">
        <v>19</v>
      </c>
      <c r="F322" t="s">
        <v>945</v>
      </c>
      <c r="G322" t="s">
        <v>804</v>
      </c>
      <c r="H322"/>
      <c r="I322" s="16">
        <v>-348119360000</v>
      </c>
      <c r="J322" s="16">
        <v>-582777500000</v>
      </c>
      <c r="K322" s="16" t="s">
        <v>1257</v>
      </c>
      <c r="L322" s="17">
        <f t="shared" si="17"/>
        <v>14</v>
      </c>
      <c r="M322" s="17">
        <f t="shared" si="18"/>
        <v>14</v>
      </c>
      <c r="N322" s="18">
        <f t="shared" si="19"/>
        <v>0.5</v>
      </c>
      <c r="O322" s="27" t="s">
        <v>939</v>
      </c>
      <c r="P322" s="8" t="s">
        <v>939</v>
      </c>
      <c r="Q322" s="8" t="s">
        <v>939</v>
      </c>
      <c r="R322" s="8" t="s">
        <v>939</v>
      </c>
      <c r="S322" s="27" t="s">
        <v>939</v>
      </c>
      <c r="T322" s="27" t="s">
        <v>939</v>
      </c>
      <c r="U322" s="8" t="s">
        <v>939</v>
      </c>
      <c r="V322" s="8" t="s">
        <v>939</v>
      </c>
      <c r="W322" s="8" t="s">
        <v>939</v>
      </c>
      <c r="X322" s="27" t="s">
        <v>939</v>
      </c>
      <c r="Y322" s="27"/>
      <c r="Z322" s="27"/>
      <c r="AA322" s="27"/>
      <c r="AB322" s="27"/>
      <c r="AC322" s="27" t="s">
        <v>939</v>
      </c>
      <c r="AD322" s="27" t="s">
        <v>939</v>
      </c>
      <c r="AE322" s="27"/>
      <c r="AF322" s="27"/>
      <c r="AG322" s="27" t="s">
        <v>939</v>
      </c>
      <c r="AH322" s="27"/>
      <c r="AI322" s="27"/>
      <c r="AJ322" s="27" t="s">
        <v>939</v>
      </c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1258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 t="s">
        <v>939</v>
      </c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1259</v>
      </c>
      <c r="L324" s="17">
        <f t="shared" si="17"/>
        <v>21</v>
      </c>
      <c r="M324" s="17">
        <f t="shared" si="18"/>
        <v>7</v>
      </c>
      <c r="N324" s="18">
        <f t="shared" si="19"/>
        <v>0.75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 t="s">
        <v>939</v>
      </c>
      <c r="AE324" s="27" t="s">
        <v>939</v>
      </c>
      <c r="AF324" s="27" t="s">
        <v>939</v>
      </c>
      <c r="AG324" s="27"/>
      <c r="AH324" s="27"/>
      <c r="AI324" s="27" t="s">
        <v>939</v>
      </c>
      <c r="AJ324" s="27" t="s">
        <v>939</v>
      </c>
      <c r="AK324" s="8" t="s">
        <v>939</v>
      </c>
      <c r="AL324" s="8"/>
      <c r="AM324" s="8" t="s">
        <v>939</v>
      </c>
      <c r="AN324" s="27"/>
      <c r="AO324" s="8"/>
      <c r="AP324" s="8"/>
      <c r="AQ324" s="27"/>
      <c r="AR324" s="27"/>
      <c r="AS324" s="27"/>
    </row>
    <row r="325" spans="1:45" ht="15" thickBot="1" x14ac:dyDescent="0.35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1260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1261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1264</v>
      </c>
      <c r="L327" s="17">
        <f t="shared" ref="L327:L370" si="20">COUNTIF(O327:AP327,"")</f>
        <v>28</v>
      </c>
      <c r="M327" s="17">
        <f t="shared" ref="M327:M370" si="21">COUNTIF(O327:AP327,"APAGADO")</f>
        <v>0</v>
      </c>
      <c r="N327" s="18">
        <f t="shared" ref="N327:N370" si="22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1271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1272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1027</v>
      </c>
      <c r="L330" s="17">
        <f t="shared" si="20"/>
        <v>12</v>
      </c>
      <c r="M330" s="17">
        <f t="shared" si="21"/>
        <v>16</v>
      </c>
      <c r="N330" s="18">
        <f t="shared" si="22"/>
        <v>0.42857142857142855</v>
      </c>
      <c r="O330" s="27"/>
      <c r="P330" s="8" t="s">
        <v>939</v>
      </c>
      <c r="Q330" s="8" t="s">
        <v>939</v>
      </c>
      <c r="R330" s="8" t="s">
        <v>939</v>
      </c>
      <c r="S330" s="27" t="s">
        <v>939</v>
      </c>
      <c r="T330" s="27" t="s">
        <v>939</v>
      </c>
      <c r="U330" s="8" t="s">
        <v>939</v>
      </c>
      <c r="V330" s="8" t="s">
        <v>939</v>
      </c>
      <c r="W330" s="8" t="s">
        <v>939</v>
      </c>
      <c r="X330" s="27" t="s">
        <v>939</v>
      </c>
      <c r="Y330" s="27"/>
      <c r="Z330" s="27"/>
      <c r="AA330" s="27"/>
      <c r="AB330" s="27" t="s">
        <v>939</v>
      </c>
      <c r="AC330" s="27" t="s">
        <v>939</v>
      </c>
      <c r="AD330" s="27" t="s">
        <v>939</v>
      </c>
      <c r="AE330" s="27"/>
      <c r="AF330" s="27"/>
      <c r="AG330" s="27" t="s">
        <v>939</v>
      </c>
      <c r="AH330" s="27" t="s">
        <v>939</v>
      </c>
      <c r="AI330" s="27" t="s">
        <v>939</v>
      </c>
      <c r="AJ330" s="27" t="s">
        <v>939</v>
      </c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1273</v>
      </c>
      <c r="L331" s="17">
        <f t="shared" si="20"/>
        <v>12</v>
      </c>
      <c r="M331" s="17">
        <f t="shared" si="21"/>
        <v>16</v>
      </c>
      <c r="N331" s="18">
        <f t="shared" si="22"/>
        <v>0.42857142857142855</v>
      </c>
      <c r="O331" s="27"/>
      <c r="P331" s="8" t="s">
        <v>939</v>
      </c>
      <c r="Q331" s="8" t="s">
        <v>939</v>
      </c>
      <c r="R331" s="8" t="s">
        <v>939</v>
      </c>
      <c r="S331" s="27" t="s">
        <v>939</v>
      </c>
      <c r="T331" s="27" t="s">
        <v>939</v>
      </c>
      <c r="U331" s="8" t="s">
        <v>939</v>
      </c>
      <c r="V331" s="8" t="s">
        <v>939</v>
      </c>
      <c r="W331" s="8" t="s">
        <v>939</v>
      </c>
      <c r="X331" s="27" t="s">
        <v>939</v>
      </c>
      <c r="Y331" s="27"/>
      <c r="Z331" s="27"/>
      <c r="AA331" s="27"/>
      <c r="AB331" s="27" t="s">
        <v>939</v>
      </c>
      <c r="AC331" s="27" t="s">
        <v>939</v>
      </c>
      <c r="AD331" s="27" t="s">
        <v>939</v>
      </c>
      <c r="AE331" s="27"/>
      <c r="AF331" s="27"/>
      <c r="AG331" s="27" t="s">
        <v>939</v>
      </c>
      <c r="AH331" s="27" t="s">
        <v>939</v>
      </c>
      <c r="AI331" s="27" t="s">
        <v>939</v>
      </c>
      <c r="AJ331" s="27" t="s">
        <v>939</v>
      </c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1280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 t="s">
        <v>939</v>
      </c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1276</v>
      </c>
      <c r="L333" s="17">
        <f t="shared" si="20"/>
        <v>20</v>
      </c>
      <c r="M333" s="17">
        <f t="shared" si="21"/>
        <v>8</v>
      </c>
      <c r="N333" s="18">
        <f t="shared" si="22"/>
        <v>0.7142857142857143</v>
      </c>
      <c r="O333" s="27" t="s">
        <v>939</v>
      </c>
      <c r="P333" s="8" t="s">
        <v>939</v>
      </c>
      <c r="Q333" s="8" t="s">
        <v>939</v>
      </c>
      <c r="R333" s="8" t="s">
        <v>939</v>
      </c>
      <c r="S333" s="27" t="s">
        <v>939</v>
      </c>
      <c r="T333" s="27" t="s">
        <v>939</v>
      </c>
      <c r="U333" s="8" t="s">
        <v>939</v>
      </c>
      <c r="V333" s="8" t="s">
        <v>939</v>
      </c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1277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1274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1275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1278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 t="s">
        <v>939</v>
      </c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1279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 t="s">
        <v>939</v>
      </c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1281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 t="s">
        <v>939</v>
      </c>
      <c r="AE339" s="27"/>
      <c r="AF339" s="27"/>
      <c r="AG339" s="27"/>
      <c r="AH339" s="27"/>
      <c r="AI339" s="27"/>
      <c r="AJ339" s="27"/>
      <c r="AK339" s="8"/>
      <c r="AL339" s="8" t="s">
        <v>939</v>
      </c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1282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1283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1284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 t="s">
        <v>939</v>
      </c>
      <c r="AO342" s="8"/>
      <c r="AP342" s="8"/>
      <c r="AQ342" s="27"/>
      <c r="AR342" s="27"/>
      <c r="AS342" s="27"/>
    </row>
    <row r="343" spans="1:45" ht="15" thickBot="1" x14ac:dyDescent="0.35">
      <c r="A343" t="s">
        <v>730</v>
      </c>
      <c r="C343" s="45" t="s">
        <v>848</v>
      </c>
      <c r="D343" t="s">
        <v>849</v>
      </c>
      <c r="E343" t="s">
        <v>24</v>
      </c>
      <c r="F343" t="s">
        <v>945</v>
      </c>
      <c r="G343" t="s">
        <v>65</v>
      </c>
      <c r="H343"/>
      <c r="I343" s="16">
        <v>-347937530000</v>
      </c>
      <c r="J343" s="16">
        <v>-582478490000</v>
      </c>
      <c r="K343" s="16" t="s">
        <v>1285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1286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1287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 t="s">
        <v>939</v>
      </c>
      <c r="AQ345" s="27" t="s">
        <v>939</v>
      </c>
      <c r="AR345" s="27"/>
      <c r="AS345" s="27"/>
    </row>
    <row r="346" spans="1:45" ht="15" thickBot="1" x14ac:dyDescent="0.35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1288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 t="s">
        <v>939</v>
      </c>
      <c r="AQ346" s="27" t="s">
        <v>939</v>
      </c>
      <c r="AR346" s="27"/>
      <c r="AS346" s="27"/>
    </row>
    <row r="347" spans="1:45" ht="15" thickBot="1" x14ac:dyDescent="0.35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1289</v>
      </c>
      <c r="L347" s="17">
        <f t="shared" si="20"/>
        <v>16</v>
      </c>
      <c r="M347" s="17">
        <f t="shared" si="21"/>
        <v>12</v>
      </c>
      <c r="N347" s="18">
        <f t="shared" si="22"/>
        <v>0.5714285714285714</v>
      </c>
      <c r="O347" s="27" t="s">
        <v>939</v>
      </c>
      <c r="P347" s="8" t="s">
        <v>939</v>
      </c>
      <c r="Q347" s="8" t="s">
        <v>939</v>
      </c>
      <c r="R347" s="8" t="s">
        <v>939</v>
      </c>
      <c r="S347" s="27" t="s">
        <v>939</v>
      </c>
      <c r="T347" s="27" t="s">
        <v>939</v>
      </c>
      <c r="U347" s="8" t="s">
        <v>939</v>
      </c>
      <c r="V347" s="8" t="s">
        <v>939</v>
      </c>
      <c r="W347" s="8" t="s">
        <v>939</v>
      </c>
      <c r="X347" s="27" t="s">
        <v>939</v>
      </c>
      <c r="Y347" s="27" t="s">
        <v>939</v>
      </c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 t="s">
        <v>939</v>
      </c>
      <c r="AQ347" s="27" t="s">
        <v>939</v>
      </c>
      <c r="AR347" s="27"/>
      <c r="AS347" s="27"/>
    </row>
    <row r="348" spans="1:45" ht="15" thickBot="1" x14ac:dyDescent="0.35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1290</v>
      </c>
      <c r="L348" s="17">
        <f t="shared" si="20"/>
        <v>16</v>
      </c>
      <c r="M348" s="17">
        <f t="shared" si="21"/>
        <v>12</v>
      </c>
      <c r="N348" s="18">
        <f t="shared" si="22"/>
        <v>0.5714285714285714</v>
      </c>
      <c r="O348" s="27" t="s">
        <v>939</v>
      </c>
      <c r="P348" s="8" t="s">
        <v>939</v>
      </c>
      <c r="Q348" s="8" t="s">
        <v>939</v>
      </c>
      <c r="R348" s="8" t="s">
        <v>939</v>
      </c>
      <c r="S348" s="27" t="s">
        <v>939</v>
      </c>
      <c r="T348" s="27" t="s">
        <v>939</v>
      </c>
      <c r="U348" s="8" t="s">
        <v>939</v>
      </c>
      <c r="V348" s="8" t="s">
        <v>939</v>
      </c>
      <c r="W348" s="8" t="s">
        <v>939</v>
      </c>
      <c r="X348" s="27" t="s">
        <v>939</v>
      </c>
      <c r="Y348" s="27" t="s">
        <v>939</v>
      </c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 t="s">
        <v>939</v>
      </c>
      <c r="AQ348" s="27" t="s">
        <v>939</v>
      </c>
      <c r="AR348" s="27"/>
      <c r="AS348" s="27"/>
    </row>
    <row r="349" spans="1:45" ht="15" thickBot="1" x14ac:dyDescent="0.35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1291</v>
      </c>
      <c r="L349" s="17">
        <f t="shared" si="20"/>
        <v>8</v>
      </c>
      <c r="M349" s="17">
        <f t="shared" si="21"/>
        <v>20</v>
      </c>
      <c r="N349" s="18">
        <f t="shared" si="22"/>
        <v>0.2857142857142857</v>
      </c>
      <c r="O349" s="27" t="s">
        <v>939</v>
      </c>
      <c r="P349" s="8" t="s">
        <v>939</v>
      </c>
      <c r="Q349" s="8" t="s">
        <v>939</v>
      </c>
      <c r="R349" s="8" t="s">
        <v>939</v>
      </c>
      <c r="S349" s="27" t="s">
        <v>939</v>
      </c>
      <c r="T349" s="27" t="s">
        <v>939</v>
      </c>
      <c r="U349" s="8" t="s">
        <v>939</v>
      </c>
      <c r="V349" s="8" t="s">
        <v>939</v>
      </c>
      <c r="W349" s="8" t="s">
        <v>939</v>
      </c>
      <c r="X349" s="27" t="s">
        <v>939</v>
      </c>
      <c r="Y349" s="27" t="s">
        <v>939</v>
      </c>
      <c r="Z349" s="27"/>
      <c r="AA349" s="27"/>
      <c r="AB349" s="27" t="s">
        <v>939</v>
      </c>
      <c r="AC349" s="27" t="s">
        <v>939</v>
      </c>
      <c r="AD349" s="27" t="s">
        <v>939</v>
      </c>
      <c r="AE349" s="27" t="s">
        <v>939</v>
      </c>
      <c r="AF349" s="27" t="s">
        <v>939</v>
      </c>
      <c r="AG349" s="27" t="s">
        <v>939</v>
      </c>
      <c r="AH349" s="27" t="s">
        <v>939</v>
      </c>
      <c r="AI349" s="27" t="s">
        <v>939</v>
      </c>
      <c r="AJ349" s="27"/>
      <c r="AK349" s="8"/>
      <c r="AL349" s="8"/>
      <c r="AM349" s="8"/>
      <c r="AN349" s="27"/>
      <c r="AO349" s="8"/>
      <c r="AP349" s="8" t="s">
        <v>939</v>
      </c>
      <c r="AQ349" s="27" t="s">
        <v>939</v>
      </c>
      <c r="AR349" s="27"/>
      <c r="AS349" s="27"/>
    </row>
    <row r="350" spans="1:45" ht="15" thickBot="1" x14ac:dyDescent="0.35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1292</v>
      </c>
      <c r="L350" s="17">
        <f t="shared" si="20"/>
        <v>12</v>
      </c>
      <c r="M350" s="17">
        <f t="shared" si="21"/>
        <v>16</v>
      </c>
      <c r="N350" s="18">
        <f t="shared" si="22"/>
        <v>0.42857142857142855</v>
      </c>
      <c r="O350" s="27" t="s">
        <v>939</v>
      </c>
      <c r="P350" s="8" t="s">
        <v>939</v>
      </c>
      <c r="Q350" s="8" t="s">
        <v>939</v>
      </c>
      <c r="R350" s="8" t="s">
        <v>939</v>
      </c>
      <c r="S350" s="27"/>
      <c r="T350" s="27" t="s">
        <v>939</v>
      </c>
      <c r="U350" s="8" t="s">
        <v>939</v>
      </c>
      <c r="V350" s="8" t="s">
        <v>939</v>
      </c>
      <c r="W350" s="8"/>
      <c r="X350" s="27"/>
      <c r="Y350" s="27"/>
      <c r="Z350" s="27" t="s">
        <v>939</v>
      </c>
      <c r="AA350" s="27" t="s">
        <v>939</v>
      </c>
      <c r="AB350" s="27"/>
      <c r="AC350" s="27"/>
      <c r="AD350" s="27" t="s">
        <v>939</v>
      </c>
      <c r="AE350" s="27" t="s">
        <v>939</v>
      </c>
      <c r="AF350" s="27" t="s">
        <v>939</v>
      </c>
      <c r="AG350" s="27" t="s">
        <v>939</v>
      </c>
      <c r="AH350" s="27" t="s">
        <v>939</v>
      </c>
      <c r="AI350" s="27" t="s">
        <v>939</v>
      </c>
      <c r="AJ350" s="27" t="s">
        <v>939</v>
      </c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1293</v>
      </c>
      <c r="L351" s="17">
        <f t="shared" si="20"/>
        <v>17</v>
      </c>
      <c r="M351" s="17">
        <f t="shared" si="21"/>
        <v>11</v>
      </c>
      <c r="N351" s="18">
        <f t="shared" si="22"/>
        <v>0.6071428571428571</v>
      </c>
      <c r="O351" s="27" t="s">
        <v>939</v>
      </c>
      <c r="P351" s="8" t="s">
        <v>939</v>
      </c>
      <c r="Q351" s="8" t="s">
        <v>939</v>
      </c>
      <c r="R351" s="8" t="s">
        <v>939</v>
      </c>
      <c r="S351" s="27" t="s">
        <v>939</v>
      </c>
      <c r="T351" s="27" t="s">
        <v>939</v>
      </c>
      <c r="U351" s="8" t="s">
        <v>939</v>
      </c>
      <c r="V351" s="8" t="s">
        <v>939</v>
      </c>
      <c r="W351" s="8" t="s">
        <v>939</v>
      </c>
      <c r="X351" s="27" t="s">
        <v>939</v>
      </c>
      <c r="Y351" s="27" t="s">
        <v>939</v>
      </c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 t="s">
        <v>939</v>
      </c>
      <c r="AR351" s="27"/>
      <c r="AS351" s="27"/>
    </row>
    <row r="352" spans="1:45" ht="15" thickBot="1" x14ac:dyDescent="0.35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1294</v>
      </c>
      <c r="L352" s="17">
        <f t="shared" si="20"/>
        <v>25</v>
      </c>
      <c r="M352" s="17">
        <f t="shared" si="21"/>
        <v>3</v>
      </c>
      <c r="N352" s="18">
        <f t="shared" si="22"/>
        <v>0.8928571428571429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 t="s">
        <v>939</v>
      </c>
      <c r="AO352" s="8" t="s">
        <v>939</v>
      </c>
      <c r="AP352" s="8" t="s">
        <v>939</v>
      </c>
      <c r="AQ352" s="27" t="s">
        <v>939</v>
      </c>
      <c r="AR352" s="27"/>
      <c r="AS352" s="27"/>
    </row>
    <row r="353" spans="1:45" ht="15" thickBot="1" x14ac:dyDescent="0.35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1295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 t="s">
        <v>939</v>
      </c>
      <c r="AR353" s="27"/>
      <c r="AS353" s="27"/>
    </row>
    <row r="354" spans="1:45" ht="15" thickBot="1" x14ac:dyDescent="0.35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1296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20</v>
      </c>
      <c r="M355" s="17">
        <f t="shared" si="21"/>
        <v>8</v>
      </c>
      <c r="N355" s="18">
        <f t="shared" si="22"/>
        <v>0.7142857142857143</v>
      </c>
      <c r="O355" s="27"/>
      <c r="P355" s="8"/>
      <c r="Q355" s="8"/>
      <c r="R355" s="8"/>
      <c r="S355" s="27" t="s">
        <v>939</v>
      </c>
      <c r="T355" s="27" t="s">
        <v>939</v>
      </c>
      <c r="U355" s="8"/>
      <c r="V355" s="8"/>
      <c r="W355" s="8"/>
      <c r="X355" s="27"/>
      <c r="Y355" s="27"/>
      <c r="Z355" s="27" t="s">
        <v>939</v>
      </c>
      <c r="AA355" s="27" t="s">
        <v>939</v>
      </c>
      <c r="AB355" s="27"/>
      <c r="AC355" s="27"/>
      <c r="AD355" s="27"/>
      <c r="AE355" s="27"/>
      <c r="AF355" s="27"/>
      <c r="AG355" s="27" t="s">
        <v>939</v>
      </c>
      <c r="AH355" s="27"/>
      <c r="AI355" s="27"/>
      <c r="AJ355" s="27"/>
      <c r="AK355" s="8"/>
      <c r="AL355" s="8" t="s">
        <v>939</v>
      </c>
      <c r="AM355" s="8"/>
      <c r="AN355" s="27" t="s">
        <v>939</v>
      </c>
      <c r="AO355" s="8" t="s">
        <v>939</v>
      </c>
      <c r="AP355" s="8"/>
      <c r="AQ355" s="27"/>
      <c r="AR355" s="27"/>
      <c r="AS355" s="27"/>
    </row>
    <row r="356" spans="1:45" ht="15" thickBot="1" x14ac:dyDescent="0.35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1297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1298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1299</v>
      </c>
      <c r="L358" s="17">
        <f t="shared" si="20"/>
        <v>23</v>
      </c>
      <c r="M358" s="17">
        <f t="shared" si="21"/>
        <v>5</v>
      </c>
      <c r="N358" s="18">
        <f t="shared" si="22"/>
        <v>0.8214285714285714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 t="s">
        <v>939</v>
      </c>
      <c r="AM358" s="8" t="s">
        <v>939</v>
      </c>
      <c r="AN358" s="27" t="s">
        <v>939</v>
      </c>
      <c r="AO358" s="8" t="s">
        <v>939</v>
      </c>
      <c r="AP358" s="8" t="s">
        <v>939</v>
      </c>
      <c r="AQ358" s="27"/>
      <c r="AR358" s="27"/>
      <c r="AS358" s="27"/>
    </row>
    <row r="359" spans="1:45" ht="15" thickBot="1" x14ac:dyDescent="0.35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1300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1301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1302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1303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1304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 t="s">
        <v>939</v>
      </c>
      <c r="AQ363" s="27" t="s">
        <v>939</v>
      </c>
      <c r="AR363" s="27"/>
      <c r="AS363" s="27"/>
    </row>
    <row r="364" spans="1:45" ht="15" thickBot="1" x14ac:dyDescent="0.35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1305</v>
      </c>
      <c r="L364" s="17">
        <f t="shared" si="20"/>
        <v>19</v>
      </c>
      <c r="M364" s="17">
        <f t="shared" si="21"/>
        <v>9</v>
      </c>
      <c r="N364" s="18">
        <f t="shared" si="22"/>
        <v>0.6785714285714286</v>
      </c>
      <c r="O364" s="27"/>
      <c r="P364" s="8"/>
      <c r="Q364" s="8"/>
      <c r="R364" s="8"/>
      <c r="S364" s="27"/>
      <c r="T364" s="27"/>
      <c r="U364" s="8" t="s">
        <v>939</v>
      </c>
      <c r="V364" s="8" t="s">
        <v>939</v>
      </c>
      <c r="W364" s="8" t="s">
        <v>939</v>
      </c>
      <c r="X364" s="27" t="s">
        <v>939</v>
      </c>
      <c r="Y364" s="27" t="s">
        <v>939</v>
      </c>
      <c r="Z364" s="27"/>
      <c r="AA364" s="27" t="s">
        <v>939</v>
      </c>
      <c r="AB364" s="27" t="s">
        <v>939</v>
      </c>
      <c r="AC364" s="27" t="s">
        <v>939</v>
      </c>
      <c r="AD364" s="27" t="s">
        <v>939</v>
      </c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1306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1307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1311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1308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1309</v>
      </c>
      <c r="L369" s="17">
        <f t="shared" si="20"/>
        <v>10</v>
      </c>
      <c r="M369" s="17">
        <f t="shared" si="21"/>
        <v>18</v>
      </c>
      <c r="N369" s="18">
        <f t="shared" si="22"/>
        <v>0.35714285714285715</v>
      </c>
      <c r="O369" s="27" t="s">
        <v>939</v>
      </c>
      <c r="P369" s="8" t="s">
        <v>939</v>
      </c>
      <c r="Q369" s="8" t="s">
        <v>939</v>
      </c>
      <c r="R369" s="8" t="s">
        <v>939</v>
      </c>
      <c r="S369" s="27" t="s">
        <v>939</v>
      </c>
      <c r="T369" s="27" t="s">
        <v>939</v>
      </c>
      <c r="U369" s="8" t="s">
        <v>939</v>
      </c>
      <c r="V369" s="8" t="s">
        <v>939</v>
      </c>
      <c r="W369" s="8" t="s">
        <v>939</v>
      </c>
      <c r="X369" s="27" t="s">
        <v>939</v>
      </c>
      <c r="Y369" s="27" t="s">
        <v>939</v>
      </c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 t="s">
        <v>939</v>
      </c>
      <c r="AK369" s="8" t="s">
        <v>939</v>
      </c>
      <c r="AL369" s="8" t="s">
        <v>939</v>
      </c>
      <c r="AM369" s="8" t="s">
        <v>939</v>
      </c>
      <c r="AN369" s="27" t="s">
        <v>939</v>
      </c>
      <c r="AO369" s="8" t="s">
        <v>939</v>
      </c>
      <c r="AP369" s="8" t="s">
        <v>939</v>
      </c>
      <c r="AQ369" s="27" t="s">
        <v>939</v>
      </c>
      <c r="AR369" s="27"/>
      <c r="AS369" s="27"/>
    </row>
    <row r="370" spans="1:45" ht="15" thickBot="1" x14ac:dyDescent="0.35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1310</v>
      </c>
      <c r="L370" s="17">
        <f t="shared" si="20"/>
        <v>27</v>
      </c>
      <c r="M370" s="17">
        <f t="shared" si="21"/>
        <v>1</v>
      </c>
      <c r="N370" s="18">
        <f t="shared" si="22"/>
        <v>0.9642857142857143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 t="s">
        <v>939</v>
      </c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t="s">
        <v>1318</v>
      </c>
      <c r="C371" s="45" t="s">
        <v>1314</v>
      </c>
      <c r="D371" t="s">
        <v>1316</v>
      </c>
      <c r="E371" s="45" t="s">
        <v>113</v>
      </c>
      <c r="F371" s="45" t="s">
        <v>36</v>
      </c>
      <c r="G371" s="9"/>
      <c r="H371" s="9" t="s">
        <v>1321</v>
      </c>
      <c r="I371" s="9"/>
      <c r="J371" s="9"/>
      <c r="K371" s="28" t="s">
        <v>1319</v>
      </c>
      <c r="L371" s="17">
        <f t="shared" ref="L371:L372" si="23">COUNTIF(O371:AP371,"")</f>
        <v>26</v>
      </c>
      <c r="M371" s="17">
        <f t="shared" ref="M371:M372" si="24">COUNTIF(O371:AP371,"APAGADO")</f>
        <v>2</v>
      </c>
      <c r="N371" s="18">
        <f t="shared" ref="N371:N372" si="25">(L371)/(M371+L371)</f>
        <v>0.9285714285714286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 t="s">
        <v>939</v>
      </c>
      <c r="AM371" s="27"/>
      <c r="AN371" s="27"/>
      <c r="AO371" s="27"/>
      <c r="AP371" s="27" t="s">
        <v>939</v>
      </c>
      <c r="AQ371" s="27" t="s">
        <v>939</v>
      </c>
      <c r="AR371" s="27"/>
      <c r="AS371" s="27"/>
    </row>
    <row r="372" spans="1:45" ht="15" thickBot="1" x14ac:dyDescent="0.35">
      <c r="A372" t="s">
        <v>1318</v>
      </c>
      <c r="C372" s="45" t="s">
        <v>1315</v>
      </c>
      <c r="D372" t="s">
        <v>1317</v>
      </c>
      <c r="E372" s="45" t="s">
        <v>113</v>
      </c>
      <c r="F372" s="45" t="s">
        <v>36</v>
      </c>
      <c r="G372" s="9" t="s">
        <v>1321</v>
      </c>
      <c r="H372" s="9"/>
      <c r="I372" s="9"/>
      <c r="J372" s="9"/>
      <c r="K372" s="28" t="s">
        <v>1320</v>
      </c>
      <c r="L372" s="17">
        <f t="shared" si="23"/>
        <v>26</v>
      </c>
      <c r="M372" s="17">
        <f t="shared" si="24"/>
        <v>2</v>
      </c>
      <c r="N372" s="18">
        <f t="shared" si="25"/>
        <v>0.9285714285714286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 t="s">
        <v>939</v>
      </c>
      <c r="AM372" s="27"/>
      <c r="AN372" s="27"/>
      <c r="AO372" s="27"/>
      <c r="AP372" s="27" t="s">
        <v>939</v>
      </c>
      <c r="AQ372" s="27" t="s">
        <v>939</v>
      </c>
      <c r="AR372" s="27"/>
      <c r="AS372" s="27"/>
    </row>
    <row r="373" spans="1:45" x14ac:dyDescent="0.3">
      <c r="E373" s="9"/>
      <c r="F373" s="9"/>
      <c r="G373" s="9"/>
      <c r="H373" s="9"/>
      <c r="I373" s="9"/>
      <c r="J373" s="9"/>
      <c r="K373" s="28"/>
      <c r="N373" s="21"/>
      <c r="O373" s="28"/>
      <c r="P373" s="9"/>
      <c r="Q373" s="9"/>
      <c r="R373" s="9"/>
      <c r="S373" s="9"/>
      <c r="T373" s="9"/>
      <c r="U373" s="9"/>
      <c r="V373" s="9"/>
      <c r="W373" s="9"/>
      <c r="X373" s="9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9"/>
      <c r="AL373" s="9"/>
      <c r="AM373" s="9"/>
      <c r="AN373" s="9"/>
      <c r="AO373" s="9"/>
      <c r="AP373" s="9"/>
      <c r="AQ373" s="28"/>
      <c r="AR373" s="28"/>
      <c r="AS373" s="28"/>
    </row>
    <row r="374" spans="1:45" x14ac:dyDescent="0.3">
      <c r="E374" s="9"/>
      <c r="F374" s="9"/>
      <c r="G374" s="9"/>
      <c r="H374" s="9"/>
      <c r="I374" s="9"/>
      <c r="J374" s="9"/>
      <c r="K374" s="28"/>
      <c r="N374" s="2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9"/>
      <c r="AL374" s="9"/>
      <c r="AM374" s="9"/>
      <c r="AN374" s="9"/>
      <c r="AO374" s="9"/>
      <c r="AP374" s="9"/>
      <c r="AQ374" s="28"/>
      <c r="AR374" s="28"/>
      <c r="AS374" s="28"/>
    </row>
    <row r="375" spans="1:45" x14ac:dyDescent="0.3">
      <c r="E375" s="9"/>
      <c r="F375" s="9"/>
      <c r="G375" s="9"/>
      <c r="H375" s="9"/>
      <c r="I375" s="9"/>
      <c r="J375" s="9"/>
      <c r="K375" s="28"/>
      <c r="N375" s="2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9"/>
      <c r="AL375" s="9"/>
      <c r="AM375" s="9"/>
      <c r="AN375" s="9"/>
      <c r="AO375" s="9"/>
      <c r="AP375" s="9"/>
      <c r="AQ375" s="28"/>
      <c r="AR375" s="28"/>
      <c r="AS375" s="28"/>
    </row>
    <row r="376" spans="1:45" x14ac:dyDescent="0.3">
      <c r="E376" s="9"/>
      <c r="F376" s="9"/>
      <c r="G376" s="9"/>
      <c r="H376" s="9"/>
      <c r="I376" s="9"/>
      <c r="J376" s="9"/>
      <c r="K376" s="28"/>
      <c r="N376" s="2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9"/>
      <c r="AL376" s="9"/>
      <c r="AM376" s="9"/>
      <c r="AN376" s="9"/>
      <c r="AO376" s="9"/>
      <c r="AP376" s="9"/>
      <c r="AQ376" s="28"/>
      <c r="AR376" s="28"/>
      <c r="AS376" s="28"/>
    </row>
    <row r="377" spans="1:45" x14ac:dyDescent="0.3">
      <c r="E377" s="9"/>
      <c r="F377" s="9"/>
      <c r="G377" s="9"/>
      <c r="H377" s="9"/>
      <c r="I377" s="9"/>
      <c r="J377" s="9"/>
      <c r="K377" s="28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9"/>
      <c r="AL377" s="9"/>
      <c r="AM377" s="9"/>
      <c r="AN377" s="9"/>
      <c r="AO377" s="9"/>
      <c r="AP377" s="9"/>
      <c r="AQ377" s="28"/>
      <c r="AR377" s="28"/>
      <c r="AS377" s="28"/>
    </row>
    <row r="378" spans="1:45" x14ac:dyDescent="0.3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28"/>
    </row>
    <row r="379" spans="1:45" x14ac:dyDescent="0.3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28"/>
    </row>
    <row r="380" spans="1:45" x14ac:dyDescent="0.3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28"/>
    </row>
    <row r="381" spans="1:45" x14ac:dyDescent="0.3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28"/>
    </row>
    <row r="382" spans="1:45" x14ac:dyDescent="0.3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28"/>
    </row>
    <row r="383" spans="1:45" x14ac:dyDescent="0.3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28"/>
    </row>
    <row r="384" spans="1:45" x14ac:dyDescent="0.3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28"/>
    </row>
    <row r="385" spans="5:45" x14ac:dyDescent="0.3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28"/>
    </row>
    <row r="386" spans="5:45" x14ac:dyDescent="0.3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28"/>
    </row>
    <row r="387" spans="5:45" x14ac:dyDescent="0.3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28"/>
    </row>
    <row r="388" spans="5:45" x14ac:dyDescent="0.3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28"/>
    </row>
    <row r="389" spans="5:45" x14ac:dyDescent="0.3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28"/>
    </row>
    <row r="390" spans="5:45" x14ac:dyDescent="0.3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28"/>
    </row>
    <row r="391" spans="5:45" x14ac:dyDescent="0.3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28"/>
    </row>
    <row r="392" spans="5:45" x14ac:dyDescent="0.3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28"/>
    </row>
    <row r="393" spans="5:45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28"/>
    </row>
    <row r="394" spans="5:45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28"/>
    </row>
    <row r="395" spans="5:45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28"/>
    </row>
    <row r="396" spans="5:45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28"/>
    </row>
    <row r="397" spans="5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28"/>
    </row>
    <row r="398" spans="5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28"/>
    </row>
    <row r="399" spans="5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28"/>
    </row>
    <row r="400" spans="5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28"/>
    </row>
    <row r="401" spans="5:45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28"/>
    </row>
    <row r="402" spans="5:45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28"/>
    </row>
    <row r="403" spans="5:45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28"/>
    </row>
    <row r="404" spans="5:45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28"/>
    </row>
    <row r="405" spans="5:45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28"/>
    </row>
    <row r="406" spans="5:45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28"/>
    </row>
    <row r="407" spans="5:45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28"/>
    </row>
    <row r="408" spans="5:45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28"/>
    </row>
    <row r="409" spans="5:45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28"/>
    </row>
    <row r="410" spans="5:45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28"/>
    </row>
    <row r="411" spans="5:45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28"/>
    </row>
    <row r="412" spans="5:45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28"/>
    </row>
    <row r="413" spans="5:45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28"/>
    </row>
    <row r="414" spans="5:45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28"/>
    </row>
    <row r="415" spans="5:45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28"/>
    </row>
    <row r="416" spans="5:45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28"/>
    </row>
    <row r="417" spans="5:45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28"/>
    </row>
    <row r="418" spans="5:45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28"/>
    </row>
    <row r="419" spans="5:45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28"/>
    </row>
    <row r="420" spans="5:45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28"/>
    </row>
    <row r="421" spans="5:45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28"/>
    </row>
    <row r="422" spans="5:45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28"/>
    </row>
    <row r="423" spans="5:45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28"/>
    </row>
    <row r="424" spans="5:45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28"/>
    </row>
    <row r="425" spans="5:45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28"/>
    </row>
    <row r="426" spans="5:45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28"/>
    </row>
    <row r="427" spans="5:45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28"/>
    </row>
    <row r="428" spans="5:45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28"/>
    </row>
    <row r="429" spans="5:45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28"/>
    </row>
    <row r="430" spans="5:45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28"/>
    </row>
    <row r="431" spans="5:45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28"/>
    </row>
    <row r="432" spans="5:45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28"/>
    </row>
    <row r="433" spans="5:45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28"/>
    </row>
    <row r="434" spans="5:45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28"/>
    </row>
    <row r="435" spans="5:45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28"/>
    </row>
    <row r="436" spans="5:45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28"/>
    </row>
    <row r="437" spans="5:45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28"/>
    </row>
    <row r="438" spans="5:45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28"/>
    </row>
    <row r="439" spans="5:45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28"/>
    </row>
    <row r="440" spans="5:45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28"/>
    </row>
    <row r="441" spans="5:45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28"/>
    </row>
    <row r="442" spans="5:45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28"/>
    </row>
    <row r="443" spans="5:45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28"/>
    </row>
    <row r="444" spans="5:45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28"/>
    </row>
    <row r="445" spans="5:45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28"/>
    </row>
    <row r="446" spans="5:45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28"/>
    </row>
    <row r="447" spans="5:45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28"/>
    </row>
    <row r="448" spans="5:45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28"/>
    </row>
    <row r="449" spans="5:45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28"/>
    </row>
    <row r="450" spans="5:45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28"/>
    </row>
    <row r="451" spans="5:45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28"/>
    </row>
    <row r="452" spans="5:45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28"/>
    </row>
    <row r="453" spans="5:45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28"/>
    </row>
    <row r="454" spans="5:45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28"/>
    </row>
    <row r="455" spans="5:45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28"/>
    </row>
    <row r="456" spans="5:45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28"/>
    </row>
    <row r="457" spans="5:45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28"/>
    </row>
    <row r="458" spans="5:45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28"/>
    </row>
    <row r="459" spans="5:45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28"/>
    </row>
    <row r="460" spans="5:45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28"/>
    </row>
    <row r="461" spans="5:45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28"/>
    </row>
    <row r="462" spans="5:45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28"/>
    </row>
    <row r="463" spans="5:45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28"/>
    </row>
    <row r="464" spans="5:45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28"/>
    </row>
    <row r="465" spans="5:45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28"/>
    </row>
    <row r="466" spans="5:45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28"/>
    </row>
    <row r="467" spans="5:45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28"/>
    </row>
    <row r="468" spans="5:45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28"/>
    </row>
    <row r="469" spans="5:45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28"/>
    </row>
    <row r="470" spans="5:45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28"/>
    </row>
    <row r="471" spans="5:45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28"/>
    </row>
    <row r="472" spans="5:45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28"/>
    </row>
    <row r="473" spans="5:45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28"/>
    </row>
    <row r="474" spans="5:45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28"/>
    </row>
    <row r="475" spans="5:45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28"/>
    </row>
    <row r="476" spans="5:45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28"/>
    </row>
    <row r="477" spans="5:45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28"/>
    </row>
    <row r="478" spans="5:45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28"/>
    </row>
    <row r="479" spans="5:45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28"/>
    </row>
    <row r="480" spans="5:45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28"/>
    </row>
    <row r="481" spans="5:45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28"/>
    </row>
    <row r="482" spans="5:45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28"/>
    </row>
    <row r="483" spans="5:45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28"/>
    </row>
    <row r="484" spans="5:45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28"/>
    </row>
    <row r="485" spans="5:45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28"/>
    </row>
    <row r="486" spans="5:45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28"/>
    </row>
    <row r="487" spans="5:45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28"/>
    </row>
    <row r="488" spans="5:45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28"/>
    </row>
    <row r="489" spans="5:45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28"/>
    </row>
    <row r="490" spans="5:45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28"/>
    </row>
    <row r="491" spans="5:45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28"/>
    </row>
    <row r="492" spans="5:45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28"/>
    </row>
    <row r="493" spans="5:45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28"/>
    </row>
    <row r="494" spans="5:45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28"/>
    </row>
    <row r="495" spans="5:45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28"/>
    </row>
    <row r="496" spans="5:45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28"/>
    </row>
    <row r="497" spans="5:45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28"/>
    </row>
    <row r="498" spans="5:45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28"/>
    </row>
    <row r="499" spans="5:45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28"/>
    </row>
    <row r="500" spans="5:45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28"/>
    </row>
    <row r="501" spans="5:45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28"/>
    </row>
    <row r="502" spans="5:45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28"/>
    </row>
    <row r="503" spans="5:45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28"/>
    </row>
    <row r="504" spans="5:45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28"/>
    </row>
    <row r="505" spans="5:45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28"/>
    </row>
    <row r="506" spans="5:45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28"/>
    </row>
    <row r="507" spans="5:45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28"/>
    </row>
    <row r="508" spans="5:45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28"/>
    </row>
    <row r="509" spans="5:45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28"/>
    </row>
    <row r="510" spans="5:45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28"/>
    </row>
    <row r="511" spans="5:45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28"/>
    </row>
    <row r="512" spans="5:45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28"/>
    </row>
    <row r="513" spans="5:45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28"/>
    </row>
    <row r="514" spans="5:45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28"/>
    </row>
    <row r="515" spans="5:45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28"/>
    </row>
    <row r="516" spans="5:45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28"/>
    </row>
    <row r="517" spans="5:45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28"/>
    </row>
    <row r="518" spans="5:45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28"/>
    </row>
    <row r="519" spans="5:45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28"/>
    </row>
    <row r="520" spans="5:45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28"/>
    </row>
    <row r="521" spans="5:45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28"/>
    </row>
    <row r="522" spans="5:45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28"/>
    </row>
    <row r="523" spans="5:45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28"/>
    </row>
    <row r="524" spans="5:45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28"/>
    </row>
    <row r="525" spans="5:45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28"/>
    </row>
    <row r="526" spans="5:45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28"/>
    </row>
    <row r="527" spans="5:45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28"/>
    </row>
    <row r="528" spans="5:45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28"/>
    </row>
    <row r="529" spans="5:45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28"/>
    </row>
    <row r="530" spans="5:45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28"/>
    </row>
    <row r="531" spans="5:45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28"/>
    </row>
    <row r="532" spans="5:45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28"/>
    </row>
    <row r="533" spans="5:45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28"/>
    </row>
    <row r="534" spans="5:45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28"/>
    </row>
    <row r="535" spans="5:45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28"/>
    </row>
    <row r="536" spans="5:45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28"/>
    </row>
    <row r="537" spans="5:45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28"/>
    </row>
    <row r="538" spans="5:45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28"/>
    </row>
    <row r="539" spans="5:45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28"/>
    </row>
    <row r="540" spans="5:45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28"/>
    </row>
    <row r="541" spans="5:45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28"/>
    </row>
    <row r="542" spans="5:45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28"/>
    </row>
    <row r="543" spans="5:45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28"/>
    </row>
    <row r="544" spans="5:45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28"/>
    </row>
    <row r="545" spans="5:45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28"/>
    </row>
    <row r="546" spans="5:45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28"/>
    </row>
    <row r="547" spans="5:45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28"/>
    </row>
    <row r="548" spans="5:45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28"/>
    </row>
    <row r="549" spans="5:45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28"/>
    </row>
    <row r="550" spans="5:45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28"/>
    </row>
    <row r="551" spans="5:45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28"/>
    </row>
    <row r="552" spans="5:45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28"/>
    </row>
    <row r="553" spans="5:45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28"/>
    </row>
    <row r="554" spans="5:45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28"/>
    </row>
    <row r="555" spans="5:45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28"/>
    </row>
    <row r="556" spans="5:45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28"/>
    </row>
    <row r="557" spans="5:45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28"/>
    </row>
    <row r="558" spans="5:45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28"/>
    </row>
    <row r="559" spans="5:45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28"/>
    </row>
    <row r="560" spans="5:45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28"/>
    </row>
    <row r="561" spans="5:45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28"/>
    </row>
    <row r="562" spans="5:45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28"/>
    </row>
    <row r="563" spans="5:45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28"/>
    </row>
    <row r="564" spans="5:45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28"/>
    </row>
    <row r="565" spans="5:45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28"/>
    </row>
    <row r="566" spans="5:45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28"/>
    </row>
    <row r="567" spans="5:45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28"/>
    </row>
    <row r="568" spans="5:45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28"/>
    </row>
    <row r="569" spans="5:45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28"/>
    </row>
    <row r="570" spans="5:45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28"/>
    </row>
    <row r="571" spans="5:45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28"/>
    </row>
    <row r="572" spans="5:45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28"/>
    </row>
    <row r="573" spans="5:45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28"/>
    </row>
    <row r="574" spans="5:45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28"/>
    </row>
    <row r="575" spans="5:45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28"/>
    </row>
    <row r="576" spans="5:45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28"/>
    </row>
    <row r="577" spans="5:45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28"/>
    </row>
    <row r="578" spans="5:45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28"/>
    </row>
    <row r="579" spans="5:45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28"/>
    </row>
    <row r="580" spans="5:45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28"/>
    </row>
    <row r="581" spans="5:45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28"/>
    </row>
    <row r="582" spans="5:45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28"/>
    </row>
    <row r="583" spans="5:45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28"/>
    </row>
    <row r="584" spans="5:45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28"/>
    </row>
    <row r="585" spans="5:45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28"/>
    </row>
    <row r="586" spans="5:45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28"/>
    </row>
    <row r="587" spans="5:45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28"/>
    </row>
    <row r="588" spans="5:45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28"/>
    </row>
    <row r="589" spans="5:45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28"/>
    </row>
    <row r="590" spans="5:45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28"/>
    </row>
    <row r="591" spans="5:45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28"/>
    </row>
    <row r="592" spans="5:45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28"/>
    </row>
    <row r="593" spans="5:45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28"/>
    </row>
    <row r="594" spans="5:45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28"/>
    </row>
    <row r="595" spans="5:45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28"/>
    </row>
    <row r="596" spans="5:45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28"/>
    </row>
    <row r="597" spans="5:45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28"/>
    </row>
    <row r="598" spans="5:45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28"/>
    </row>
    <row r="599" spans="5:45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28"/>
    </row>
    <row r="600" spans="5:45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28"/>
    </row>
    <row r="601" spans="5:45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28"/>
    </row>
    <row r="602" spans="5:45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28"/>
    </row>
    <row r="603" spans="5:45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28"/>
    </row>
    <row r="604" spans="5:45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28"/>
    </row>
    <row r="605" spans="5:45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28"/>
    </row>
    <row r="606" spans="5:45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28"/>
    </row>
    <row r="607" spans="5:45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28"/>
    </row>
    <row r="608" spans="5:45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28"/>
    </row>
    <row r="609" spans="5:45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28"/>
    </row>
    <row r="610" spans="5:45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28"/>
    </row>
    <row r="611" spans="5:45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28"/>
    </row>
    <row r="612" spans="5:45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28"/>
    </row>
    <row r="613" spans="5:45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28"/>
    </row>
    <row r="614" spans="5:45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28"/>
    </row>
    <row r="615" spans="5:45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28"/>
    </row>
    <row r="616" spans="5:45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28"/>
    </row>
    <row r="617" spans="5:45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28"/>
    </row>
    <row r="618" spans="5:45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28"/>
    </row>
    <row r="619" spans="5:45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28"/>
    </row>
    <row r="620" spans="5:45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28"/>
    </row>
    <row r="621" spans="5:45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28"/>
    </row>
    <row r="622" spans="5:45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28"/>
    </row>
    <row r="623" spans="5:45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28"/>
    </row>
    <row r="624" spans="5:45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28"/>
    </row>
    <row r="625" spans="5:45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28"/>
    </row>
    <row r="626" spans="5:45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28"/>
    </row>
    <row r="627" spans="5:45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28"/>
    </row>
    <row r="628" spans="5:45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28"/>
    </row>
    <row r="629" spans="5:45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28"/>
    </row>
    <row r="630" spans="5:45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28"/>
    </row>
    <row r="631" spans="5:45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28"/>
    </row>
    <row r="632" spans="5:45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28"/>
    </row>
    <row r="633" spans="5:45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28"/>
    </row>
    <row r="634" spans="5:45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28"/>
    </row>
    <row r="635" spans="5:45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28"/>
    </row>
    <row r="636" spans="5:45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28"/>
    </row>
    <row r="637" spans="5:45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28"/>
    </row>
    <row r="638" spans="5:45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28"/>
    </row>
    <row r="639" spans="5:45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28"/>
    </row>
    <row r="640" spans="5:45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28"/>
    </row>
    <row r="641" spans="5:45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28"/>
    </row>
    <row r="642" spans="5:45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28"/>
    </row>
    <row r="643" spans="5:45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28"/>
    </row>
    <row r="644" spans="5:45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28"/>
    </row>
    <row r="645" spans="5:45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28"/>
    </row>
    <row r="646" spans="5:45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28"/>
    </row>
    <row r="647" spans="5:45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28"/>
    </row>
    <row r="648" spans="5:45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28"/>
    </row>
    <row r="649" spans="5:45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28"/>
    </row>
    <row r="650" spans="5:45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28"/>
    </row>
    <row r="651" spans="5:45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28"/>
    </row>
    <row r="652" spans="5:45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28"/>
    </row>
    <row r="653" spans="5:45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28"/>
    </row>
    <row r="654" spans="5:45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28"/>
    </row>
    <row r="655" spans="5:45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28"/>
    </row>
    <row r="656" spans="5:45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28"/>
    </row>
    <row r="657" spans="5:45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28"/>
    </row>
    <row r="658" spans="5:45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28"/>
    </row>
    <row r="659" spans="5:45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28"/>
    </row>
    <row r="660" spans="5:45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28"/>
    </row>
    <row r="661" spans="5:45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28"/>
    </row>
    <row r="662" spans="5:45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28"/>
    </row>
    <row r="663" spans="5:45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28"/>
    </row>
    <row r="664" spans="5:45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28"/>
    </row>
    <row r="665" spans="5:45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28"/>
    </row>
    <row r="666" spans="5:45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28"/>
    </row>
    <row r="667" spans="5:45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28"/>
    </row>
    <row r="668" spans="5:45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28"/>
    </row>
    <row r="669" spans="5:45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28"/>
    </row>
    <row r="670" spans="5:45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28"/>
    </row>
    <row r="671" spans="5:45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28"/>
    </row>
    <row r="672" spans="5:45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N247:N372 P236:U244 P247:U281 O95:O244 O247:O369 V96:X244 V247:X372 N245:X246 Y96:AJ372 AK95:AP369 AR95:AS369">
    <cfRule type="cellIs" dxfId="914" priority="1876" operator="lessThan">
      <formula>0.8</formula>
    </cfRule>
    <cfRule type="cellIs" dxfId="913" priority="1877" operator="greaterThan">
      <formula>0.8</formula>
    </cfRule>
  </conditionalFormatting>
  <conditionalFormatting sqref="E1:K3 E284:K334 E236:K236 E5:K32 E36:K91 E94:K230 E337:K364 E369:K372 E243:K281 E391:K1048576">
    <cfRule type="containsText" dxfId="912" priority="1875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S1048576 AR95:AS372">
    <cfRule type="notContainsText" dxfId="911" priority="1871" operator="notContains" text="Caida">
      <formula>ISERROR(SEARCH("Caida",O95))</formula>
    </cfRule>
    <cfRule type="containsText" dxfId="910" priority="1872" operator="containsText" text="Caida">
      <formula>NOT(ISERROR(SEARCH("Caida",O95)))</formula>
    </cfRule>
  </conditionalFormatting>
  <conditionalFormatting sqref="E282:K282">
    <cfRule type="containsText" dxfId="909" priority="1844" operator="containsText" text="Radio">
      <formula>NOT(ISERROR(SEARCH("Radio",E282)))</formula>
    </cfRule>
  </conditionalFormatting>
  <conditionalFormatting sqref="E283:K283">
    <cfRule type="containsText" dxfId="908" priority="1819" operator="containsText" text="Radio">
      <formula>NOT(ISERROR(SEARCH("Radio",E283)))</formula>
    </cfRule>
  </conditionalFormatting>
  <conditionalFormatting sqref="E4:K4">
    <cfRule type="containsText" dxfId="907" priority="1794" operator="containsText" text="Radio">
      <formula>NOT(ISERROR(SEARCH("Radio",E4)))</formula>
    </cfRule>
  </conditionalFormatting>
  <conditionalFormatting sqref="E231:K231">
    <cfRule type="containsText" dxfId="906" priority="1793" operator="containsText" text="Radio">
      <formula>NOT(ISERROR(SEARCH("Radio",E231)))</formula>
    </cfRule>
  </conditionalFormatting>
  <conditionalFormatting sqref="E232:K232">
    <cfRule type="containsText" dxfId="905" priority="1768" operator="containsText" text="Radio">
      <formula>NOT(ISERROR(SEARCH("Radio",E232)))</formula>
    </cfRule>
  </conditionalFormatting>
  <conditionalFormatting sqref="E233:K233">
    <cfRule type="containsText" dxfId="904" priority="1743" operator="containsText" text="Radio">
      <formula>NOT(ISERROR(SEARCH("Radio",E233)))</formula>
    </cfRule>
  </conditionalFormatting>
  <conditionalFormatting sqref="E234:K234">
    <cfRule type="containsText" dxfId="903" priority="1718" operator="containsText" text="Radio">
      <formula>NOT(ISERROR(SEARCH("Radio",E234)))</formula>
    </cfRule>
  </conditionalFormatting>
  <conditionalFormatting sqref="E235:K235">
    <cfRule type="containsText" dxfId="902" priority="1693" operator="containsText" text="Radio">
      <formula>NOT(ISERROR(SEARCH("Radio",E235)))</formula>
    </cfRule>
  </conditionalFormatting>
  <conditionalFormatting sqref="E335:K335">
    <cfRule type="containsText" dxfId="901" priority="1644" operator="containsText" text="Radio">
      <formula>NOT(ISERROR(SEARCH("Radio",E335)))</formula>
    </cfRule>
  </conditionalFormatting>
  <conditionalFormatting sqref="E336:K336">
    <cfRule type="containsText" dxfId="900" priority="1619" operator="containsText" text="Radio">
      <formula>NOT(ISERROR(SEARCH("Radio",E336)))</formula>
    </cfRule>
  </conditionalFormatting>
  <conditionalFormatting sqref="E237:K237">
    <cfRule type="containsText" dxfId="899" priority="1594" operator="containsText" text="Radio">
      <formula>NOT(ISERROR(SEARCH("Radio",E237)))</formula>
    </cfRule>
  </conditionalFormatting>
  <conditionalFormatting sqref="E238:K238">
    <cfRule type="containsText" dxfId="898" priority="1569" operator="containsText" text="Radio">
      <formula>NOT(ISERROR(SEARCH("Radio",E238)))</formula>
    </cfRule>
  </conditionalFormatting>
  <conditionalFormatting sqref="E33:K35">
    <cfRule type="containsText" dxfId="897" priority="1544" operator="containsText" text="Radio">
      <formula>NOT(ISERROR(SEARCH("Radio",E33)))</formula>
    </cfRule>
  </conditionalFormatting>
  <conditionalFormatting sqref="E239:K239">
    <cfRule type="containsText" dxfId="896" priority="1519" operator="containsText" text="Radio">
      <formula>NOT(ISERROR(SEARCH("Radio",E239)))</formula>
    </cfRule>
  </conditionalFormatting>
  <conditionalFormatting sqref="E240:K240">
    <cfRule type="containsText" dxfId="895" priority="1494" operator="containsText" text="Radio">
      <formula>NOT(ISERROR(SEARCH("Radio",E240)))</formula>
    </cfRule>
  </conditionalFormatting>
  <conditionalFormatting sqref="E241:K241">
    <cfRule type="containsText" dxfId="894" priority="1469" operator="containsText" text="Radio">
      <formula>NOT(ISERROR(SEARCH("Radio",E241)))</formula>
    </cfRule>
  </conditionalFormatting>
  <conditionalFormatting sqref="E242:K242">
    <cfRule type="containsText" dxfId="893" priority="1444" operator="containsText" text="Radio">
      <formula>NOT(ISERROR(SEARCH("Radio",E242)))</formula>
    </cfRule>
  </conditionalFormatting>
  <conditionalFormatting sqref="P6:P92 P96:P230">
    <cfRule type="cellIs" dxfId="892" priority="1369" operator="lessThan">
      <formula>0.8</formula>
    </cfRule>
    <cfRule type="cellIs" dxfId="891" priority="1370" operator="greaterThan">
      <formula>0.8</formula>
    </cfRule>
  </conditionalFormatting>
  <conditionalFormatting sqref="P6:P92 P96:P230">
    <cfRule type="notContainsText" dxfId="890" priority="1367" operator="notContains" text="Caida">
      <formula>ISERROR(SEARCH("Caida",P6))</formula>
    </cfRule>
    <cfRule type="containsText" dxfId="889" priority="1368" operator="containsText" text="Caida">
      <formula>NOT(ISERROR(SEARCH("Caida",P6)))</formula>
    </cfRule>
  </conditionalFormatting>
  <conditionalFormatting sqref="P337:P366 P284:P334">
    <cfRule type="cellIs" dxfId="888" priority="1365" operator="lessThan">
      <formula>0.8</formula>
    </cfRule>
    <cfRule type="cellIs" dxfId="887" priority="1366" operator="greaterThan">
      <formula>0.8</formula>
    </cfRule>
  </conditionalFormatting>
  <conditionalFormatting sqref="P337:P366 P284:P334 P391:P1048576">
    <cfRule type="notContainsText" dxfId="886" priority="1363" operator="notContains" text="Caida">
      <formula>ISERROR(SEARCH("Caida",P284))</formula>
    </cfRule>
    <cfRule type="containsText" dxfId="885" priority="1364" operator="containsText" text="Caida">
      <formula>NOT(ISERROR(SEARCH("Caida",P284)))</formula>
    </cfRule>
  </conditionalFormatting>
  <conditionalFormatting sqref="O391:O1048576">
    <cfRule type="notContainsText" dxfId="884" priority="1412" operator="notContains" text="Caida">
      <formula>ISERROR(SEARCH("Caida",O391))</formula>
    </cfRule>
    <cfRule type="containsText" dxfId="883" priority="1413" operator="containsText" text="Caida">
      <formula>NOT(ISERROR(SEARCH("Caida",O391)))</formula>
    </cfRule>
  </conditionalFormatting>
  <conditionalFormatting sqref="P336">
    <cfRule type="cellIs" dxfId="882" priority="1324" operator="lessThan">
      <formula>0.8</formula>
    </cfRule>
    <cfRule type="cellIs" dxfId="881" priority="1325" operator="greaterThan">
      <formula>0.8</formula>
    </cfRule>
  </conditionalFormatting>
  <conditionalFormatting sqref="P336">
    <cfRule type="notContainsText" dxfId="880" priority="1322" operator="notContains" text="Caida">
      <formula>ISERROR(SEARCH("Caida",P336))</formula>
    </cfRule>
    <cfRule type="containsText" dxfId="879" priority="1323" operator="containsText" text="Caida">
      <formula>NOT(ISERROR(SEARCH("Caida",P336)))</formula>
    </cfRule>
  </conditionalFormatting>
  <conditionalFormatting sqref="P22">
    <cfRule type="containsText" dxfId="878" priority="1362" operator="containsText" text="Instaladas en Funcionamiento Caida">
      <formula>NOT(ISERROR(SEARCH("Instaladas en Funcionamiento Caida",P22)))</formula>
    </cfRule>
  </conditionalFormatting>
  <conditionalFormatting sqref="P282">
    <cfRule type="cellIs" dxfId="877" priority="1360" operator="lessThan">
      <formula>0.8</formula>
    </cfRule>
    <cfRule type="cellIs" dxfId="876" priority="1361" operator="greaterThan">
      <formula>0.8</formula>
    </cfRule>
  </conditionalFormatting>
  <conditionalFormatting sqref="P282">
    <cfRule type="notContainsText" dxfId="875" priority="1358" operator="notContains" text="Caida">
      <formula>ISERROR(SEARCH("Caida",P282))</formula>
    </cfRule>
    <cfRule type="containsText" dxfId="874" priority="1359" operator="containsText" text="Caida">
      <formula>NOT(ISERROR(SEARCH("Caida",P282)))</formula>
    </cfRule>
  </conditionalFormatting>
  <conditionalFormatting sqref="P283">
    <cfRule type="cellIs" dxfId="873" priority="1356" operator="lessThan">
      <formula>0.8</formula>
    </cfRule>
    <cfRule type="cellIs" dxfId="872" priority="1357" operator="greaterThan">
      <formula>0.8</formula>
    </cfRule>
  </conditionalFormatting>
  <conditionalFormatting sqref="P283">
    <cfRule type="notContainsText" dxfId="871" priority="1354" operator="notContains" text="Caida">
      <formula>ISERROR(SEARCH("Caida",P283))</formula>
    </cfRule>
    <cfRule type="containsText" dxfId="870" priority="1355" operator="containsText" text="Caida">
      <formula>NOT(ISERROR(SEARCH("Caida",P283)))</formula>
    </cfRule>
  </conditionalFormatting>
  <conditionalFormatting sqref="P5">
    <cfRule type="cellIs" dxfId="869" priority="1352" operator="lessThan">
      <formula>0.8</formula>
    </cfRule>
    <cfRule type="cellIs" dxfId="868" priority="1353" operator="greaterThan">
      <formula>0.8</formula>
    </cfRule>
  </conditionalFormatting>
  <conditionalFormatting sqref="P5">
    <cfRule type="notContainsText" dxfId="867" priority="1350" operator="notContains" text="Caida">
      <formula>ISERROR(SEARCH("Caida",P5))</formula>
    </cfRule>
    <cfRule type="containsText" dxfId="866" priority="1351" operator="containsText" text="Caida">
      <formula>NOT(ISERROR(SEARCH("Caida",P5)))</formula>
    </cfRule>
  </conditionalFormatting>
  <conditionalFormatting sqref="P231">
    <cfRule type="cellIs" dxfId="865" priority="1348" operator="lessThan">
      <formula>0.8</formula>
    </cfRule>
    <cfRule type="cellIs" dxfId="864" priority="1349" operator="greaterThan">
      <formula>0.8</formula>
    </cfRule>
  </conditionalFormatting>
  <conditionalFormatting sqref="P231">
    <cfRule type="notContainsText" dxfId="863" priority="1346" operator="notContains" text="Caida">
      <formula>ISERROR(SEARCH("Caida",P231))</formula>
    </cfRule>
    <cfRule type="containsText" dxfId="862" priority="1347" operator="containsText" text="Caida">
      <formula>NOT(ISERROR(SEARCH("Caida",P231)))</formula>
    </cfRule>
  </conditionalFormatting>
  <conditionalFormatting sqref="P232">
    <cfRule type="cellIs" dxfId="861" priority="1344" operator="lessThan">
      <formula>0.8</formula>
    </cfRule>
    <cfRule type="cellIs" dxfId="860" priority="1345" operator="greaterThan">
      <formula>0.8</formula>
    </cfRule>
  </conditionalFormatting>
  <conditionalFormatting sqref="P232">
    <cfRule type="notContainsText" dxfId="859" priority="1342" operator="notContains" text="Caida">
      <formula>ISERROR(SEARCH("Caida",P232))</formula>
    </cfRule>
    <cfRule type="containsText" dxfId="858" priority="1343" operator="containsText" text="Caida">
      <formula>NOT(ISERROR(SEARCH("Caida",P232)))</formula>
    </cfRule>
  </conditionalFormatting>
  <conditionalFormatting sqref="P233">
    <cfRule type="cellIs" dxfId="857" priority="1340" operator="lessThan">
      <formula>0.8</formula>
    </cfRule>
    <cfRule type="cellIs" dxfId="856" priority="1341" operator="greaterThan">
      <formula>0.8</formula>
    </cfRule>
  </conditionalFormatting>
  <conditionalFormatting sqref="P233">
    <cfRule type="notContainsText" dxfId="855" priority="1338" operator="notContains" text="Caida">
      <formula>ISERROR(SEARCH("Caida",P233))</formula>
    </cfRule>
    <cfRule type="containsText" dxfId="854" priority="1339" operator="containsText" text="Caida">
      <formula>NOT(ISERROR(SEARCH("Caida",P233)))</formula>
    </cfRule>
  </conditionalFormatting>
  <conditionalFormatting sqref="P234">
    <cfRule type="cellIs" dxfId="853" priority="1336" operator="lessThan">
      <formula>0.8</formula>
    </cfRule>
    <cfRule type="cellIs" dxfId="852" priority="1337" operator="greaterThan">
      <formula>0.8</formula>
    </cfRule>
  </conditionalFormatting>
  <conditionalFormatting sqref="P234">
    <cfRule type="notContainsText" dxfId="851" priority="1334" operator="notContains" text="Caida">
      <formula>ISERROR(SEARCH("Caida",P234))</formula>
    </cfRule>
    <cfRule type="containsText" dxfId="850" priority="1335" operator="containsText" text="Caida">
      <formula>NOT(ISERROR(SEARCH("Caida",P234)))</formula>
    </cfRule>
  </conditionalFormatting>
  <conditionalFormatting sqref="P235">
    <cfRule type="cellIs" dxfId="849" priority="1332" operator="lessThan">
      <formula>0.8</formula>
    </cfRule>
    <cfRule type="cellIs" dxfId="848" priority="1333" operator="greaterThan">
      <formula>0.8</formula>
    </cfRule>
  </conditionalFormatting>
  <conditionalFormatting sqref="P235">
    <cfRule type="notContainsText" dxfId="847" priority="1330" operator="notContains" text="Caida">
      <formula>ISERROR(SEARCH("Caida",P235))</formula>
    </cfRule>
    <cfRule type="containsText" dxfId="846" priority="1331" operator="containsText" text="Caida">
      <formula>NOT(ISERROR(SEARCH("Caida",P235)))</formula>
    </cfRule>
  </conditionalFormatting>
  <conditionalFormatting sqref="P335">
    <cfRule type="cellIs" dxfId="845" priority="1328" operator="lessThan">
      <formula>0.8</formula>
    </cfRule>
    <cfRule type="cellIs" dxfId="844" priority="1329" operator="greaterThan">
      <formula>0.8</formula>
    </cfRule>
  </conditionalFormatting>
  <conditionalFormatting sqref="P335">
    <cfRule type="notContainsText" dxfId="843" priority="1326" operator="notContains" text="Caida">
      <formula>ISERROR(SEARCH("Caida",P335))</formula>
    </cfRule>
    <cfRule type="containsText" dxfId="842" priority="1327" operator="containsText" text="Caida">
      <formula>NOT(ISERROR(SEARCH("Caida",P335)))</formula>
    </cfRule>
  </conditionalFormatting>
  <conditionalFormatting sqref="Q6:Q92 Q96:Q230">
    <cfRule type="cellIs" dxfId="841" priority="1320" operator="lessThan">
      <formula>0.8</formula>
    </cfRule>
    <cfRule type="cellIs" dxfId="840" priority="1321" operator="greaterThan">
      <formula>0.8</formula>
    </cfRule>
  </conditionalFormatting>
  <conditionalFormatting sqref="Q6:Q92 Q96:Q230">
    <cfRule type="notContainsText" dxfId="839" priority="1318" operator="notContains" text="Caida">
      <formula>ISERROR(SEARCH("Caida",Q6))</formula>
    </cfRule>
    <cfRule type="containsText" dxfId="838" priority="1319" operator="containsText" text="Caida">
      <formula>NOT(ISERROR(SEARCH("Caida",Q6)))</formula>
    </cfRule>
  </conditionalFormatting>
  <conditionalFormatting sqref="Q336">
    <cfRule type="cellIs" dxfId="837" priority="1275" operator="lessThan">
      <formula>0.8</formula>
    </cfRule>
    <cfRule type="cellIs" dxfId="836" priority="1276" operator="greaterThan">
      <formula>0.8</formula>
    </cfRule>
  </conditionalFormatting>
  <conditionalFormatting sqref="Q336">
    <cfRule type="notContainsText" dxfId="835" priority="1273" operator="notContains" text="Caida">
      <formula>ISERROR(SEARCH("Caida",Q336))</formula>
    </cfRule>
    <cfRule type="containsText" dxfId="834" priority="1274" operator="containsText" text="Caida">
      <formula>NOT(ISERROR(SEARCH("Caida",Q336)))</formula>
    </cfRule>
  </conditionalFormatting>
  <conditionalFormatting sqref="Q337:Q366 Q284:Q334">
    <cfRule type="cellIs" dxfId="833" priority="1316" operator="lessThan">
      <formula>0.8</formula>
    </cfRule>
    <cfRule type="cellIs" dxfId="832" priority="1317" operator="greaterThan">
      <formula>0.8</formula>
    </cfRule>
  </conditionalFormatting>
  <conditionalFormatting sqref="Q337:Q366 Q284:Q334 Q391:Q1048576">
    <cfRule type="notContainsText" dxfId="831" priority="1314" operator="notContains" text="Caida">
      <formula>ISERROR(SEARCH("Caida",Q284))</formula>
    </cfRule>
    <cfRule type="containsText" dxfId="830" priority="1315" operator="containsText" text="Caida">
      <formula>NOT(ISERROR(SEARCH("Caida",Q284)))</formula>
    </cfRule>
  </conditionalFormatting>
  <conditionalFormatting sqref="Q22">
    <cfRule type="containsText" dxfId="829" priority="1313" operator="containsText" text="Instaladas en Funcionamiento Caida">
      <formula>NOT(ISERROR(SEARCH("Instaladas en Funcionamiento Caida",Q22)))</formula>
    </cfRule>
  </conditionalFormatting>
  <conditionalFormatting sqref="Q282">
    <cfRule type="cellIs" dxfId="828" priority="1311" operator="lessThan">
      <formula>0.8</formula>
    </cfRule>
    <cfRule type="cellIs" dxfId="827" priority="1312" operator="greaterThan">
      <formula>0.8</formula>
    </cfRule>
  </conditionalFormatting>
  <conditionalFormatting sqref="Q282">
    <cfRule type="notContainsText" dxfId="826" priority="1309" operator="notContains" text="Caida">
      <formula>ISERROR(SEARCH("Caida",Q282))</formula>
    </cfRule>
    <cfRule type="containsText" dxfId="825" priority="1310" operator="containsText" text="Caida">
      <formula>NOT(ISERROR(SEARCH("Caida",Q282)))</formula>
    </cfRule>
  </conditionalFormatting>
  <conditionalFormatting sqref="Q283">
    <cfRule type="cellIs" dxfId="824" priority="1307" operator="lessThan">
      <formula>0.8</formula>
    </cfRule>
    <cfRule type="cellIs" dxfId="823" priority="1308" operator="greaterThan">
      <formula>0.8</formula>
    </cfRule>
  </conditionalFormatting>
  <conditionalFormatting sqref="Q283">
    <cfRule type="notContainsText" dxfId="822" priority="1305" operator="notContains" text="Caida">
      <formula>ISERROR(SEARCH("Caida",Q283))</formula>
    </cfRule>
    <cfRule type="containsText" dxfId="821" priority="1306" operator="containsText" text="Caida">
      <formula>NOT(ISERROR(SEARCH("Caida",Q283)))</formula>
    </cfRule>
  </conditionalFormatting>
  <conditionalFormatting sqref="Q5">
    <cfRule type="cellIs" dxfId="820" priority="1303" operator="lessThan">
      <formula>0.8</formula>
    </cfRule>
    <cfRule type="cellIs" dxfId="819" priority="1304" operator="greaterThan">
      <formula>0.8</formula>
    </cfRule>
  </conditionalFormatting>
  <conditionalFormatting sqref="Q5">
    <cfRule type="notContainsText" dxfId="818" priority="1301" operator="notContains" text="Caida">
      <formula>ISERROR(SEARCH("Caida",Q5))</formula>
    </cfRule>
    <cfRule type="containsText" dxfId="817" priority="1302" operator="containsText" text="Caida">
      <formula>NOT(ISERROR(SEARCH("Caida",Q5)))</formula>
    </cfRule>
  </conditionalFormatting>
  <conditionalFormatting sqref="Q231">
    <cfRule type="cellIs" dxfId="816" priority="1299" operator="lessThan">
      <formula>0.8</formula>
    </cfRule>
    <cfRule type="cellIs" dxfId="815" priority="1300" operator="greaterThan">
      <formula>0.8</formula>
    </cfRule>
  </conditionalFormatting>
  <conditionalFormatting sqref="Q231">
    <cfRule type="notContainsText" dxfId="814" priority="1297" operator="notContains" text="Caida">
      <formula>ISERROR(SEARCH("Caida",Q231))</formula>
    </cfRule>
    <cfRule type="containsText" dxfId="813" priority="1298" operator="containsText" text="Caida">
      <formula>NOT(ISERROR(SEARCH("Caida",Q231)))</formula>
    </cfRule>
  </conditionalFormatting>
  <conditionalFormatting sqref="Q232">
    <cfRule type="cellIs" dxfId="812" priority="1295" operator="lessThan">
      <formula>0.8</formula>
    </cfRule>
    <cfRule type="cellIs" dxfId="811" priority="1296" operator="greaterThan">
      <formula>0.8</formula>
    </cfRule>
  </conditionalFormatting>
  <conditionalFormatting sqref="Q232">
    <cfRule type="notContainsText" dxfId="810" priority="1293" operator="notContains" text="Caida">
      <formula>ISERROR(SEARCH("Caida",Q232))</formula>
    </cfRule>
    <cfRule type="containsText" dxfId="809" priority="1294" operator="containsText" text="Caida">
      <formula>NOT(ISERROR(SEARCH("Caida",Q232)))</formula>
    </cfRule>
  </conditionalFormatting>
  <conditionalFormatting sqref="Q233">
    <cfRule type="cellIs" dxfId="808" priority="1291" operator="lessThan">
      <formula>0.8</formula>
    </cfRule>
    <cfRule type="cellIs" dxfId="807" priority="1292" operator="greaterThan">
      <formula>0.8</formula>
    </cfRule>
  </conditionalFormatting>
  <conditionalFormatting sqref="Q233">
    <cfRule type="notContainsText" dxfId="806" priority="1289" operator="notContains" text="Caida">
      <formula>ISERROR(SEARCH("Caida",Q233))</formula>
    </cfRule>
    <cfRule type="containsText" dxfId="805" priority="1290" operator="containsText" text="Caida">
      <formula>NOT(ISERROR(SEARCH("Caida",Q233)))</formula>
    </cfRule>
  </conditionalFormatting>
  <conditionalFormatting sqref="Q234">
    <cfRule type="cellIs" dxfId="804" priority="1287" operator="lessThan">
      <formula>0.8</formula>
    </cfRule>
    <cfRule type="cellIs" dxfId="803" priority="1288" operator="greaterThan">
      <formula>0.8</formula>
    </cfRule>
  </conditionalFormatting>
  <conditionalFormatting sqref="Q234">
    <cfRule type="notContainsText" dxfId="802" priority="1285" operator="notContains" text="Caida">
      <formula>ISERROR(SEARCH("Caida",Q234))</formula>
    </cfRule>
    <cfRule type="containsText" dxfId="801" priority="1286" operator="containsText" text="Caida">
      <formula>NOT(ISERROR(SEARCH("Caida",Q234)))</formula>
    </cfRule>
  </conditionalFormatting>
  <conditionalFormatting sqref="Q235">
    <cfRule type="cellIs" dxfId="800" priority="1283" operator="lessThan">
      <formula>0.8</formula>
    </cfRule>
    <cfRule type="cellIs" dxfId="799" priority="1284" operator="greaterThan">
      <formula>0.8</formula>
    </cfRule>
  </conditionalFormatting>
  <conditionalFormatting sqref="Q235">
    <cfRule type="notContainsText" dxfId="798" priority="1281" operator="notContains" text="Caida">
      <formula>ISERROR(SEARCH("Caida",Q235))</formula>
    </cfRule>
    <cfRule type="containsText" dxfId="797" priority="1282" operator="containsText" text="Caida">
      <formula>NOT(ISERROR(SEARCH("Caida",Q235)))</formula>
    </cfRule>
  </conditionalFormatting>
  <conditionalFormatting sqref="Q335">
    <cfRule type="cellIs" dxfId="796" priority="1279" operator="lessThan">
      <formula>0.8</formula>
    </cfRule>
    <cfRule type="cellIs" dxfId="795" priority="1280" operator="greaterThan">
      <formula>0.8</formula>
    </cfRule>
  </conditionalFormatting>
  <conditionalFormatting sqref="Q335">
    <cfRule type="notContainsText" dxfId="794" priority="1277" operator="notContains" text="Caida">
      <formula>ISERROR(SEARCH("Caida",Q335))</formula>
    </cfRule>
    <cfRule type="containsText" dxfId="793" priority="1278" operator="containsText" text="Caida">
      <formula>NOT(ISERROR(SEARCH("Caida",Q335)))</formula>
    </cfRule>
  </conditionalFormatting>
  <conditionalFormatting sqref="R6:R92 R96:R230">
    <cfRule type="cellIs" dxfId="792" priority="1271" operator="lessThan">
      <formula>0.8</formula>
    </cfRule>
    <cfRule type="cellIs" dxfId="791" priority="1272" operator="greaterThan">
      <formula>0.8</formula>
    </cfRule>
  </conditionalFormatting>
  <conditionalFormatting sqref="R6:R92 R96:R230">
    <cfRule type="notContainsText" dxfId="790" priority="1269" operator="notContains" text="Caida">
      <formula>ISERROR(SEARCH("Caida",R6))</formula>
    </cfRule>
    <cfRule type="containsText" dxfId="789" priority="1270" operator="containsText" text="Caida">
      <formula>NOT(ISERROR(SEARCH("Caida",R6)))</formula>
    </cfRule>
  </conditionalFormatting>
  <conditionalFormatting sqref="R336:T336">
    <cfRule type="cellIs" dxfId="788" priority="1226" operator="lessThan">
      <formula>0.8</formula>
    </cfRule>
    <cfRule type="cellIs" dxfId="787" priority="1227" operator="greaterThan">
      <formula>0.8</formula>
    </cfRule>
  </conditionalFormatting>
  <conditionalFormatting sqref="R336:T336">
    <cfRule type="notContainsText" dxfId="786" priority="1224" operator="notContains" text="Caida">
      <formula>ISERROR(SEARCH("Caida",R336))</formula>
    </cfRule>
    <cfRule type="containsText" dxfId="785" priority="1225" operator="containsText" text="Caida">
      <formula>NOT(ISERROR(SEARCH("Caida",R336)))</formula>
    </cfRule>
  </conditionalFormatting>
  <conditionalFormatting sqref="R337:R366 R284:R334">
    <cfRule type="cellIs" dxfId="784" priority="1267" operator="lessThan">
      <formula>0.8</formula>
    </cfRule>
    <cfRule type="cellIs" dxfId="783" priority="1268" operator="greaterThan">
      <formula>0.8</formula>
    </cfRule>
  </conditionalFormatting>
  <conditionalFormatting sqref="R337:R366 R284:R334 R391:R1048576">
    <cfRule type="notContainsText" dxfId="782" priority="1265" operator="notContains" text="Caida">
      <formula>ISERROR(SEARCH("Caida",R284))</formula>
    </cfRule>
    <cfRule type="containsText" dxfId="781" priority="1266" operator="containsText" text="Caida">
      <formula>NOT(ISERROR(SEARCH("Caida",R284)))</formula>
    </cfRule>
  </conditionalFormatting>
  <conditionalFormatting sqref="R22:T22">
    <cfRule type="containsText" dxfId="780" priority="1264" operator="containsText" text="Instaladas en Funcionamiento Caida">
      <formula>NOT(ISERROR(SEARCH("Instaladas en Funcionamiento Caida",R22)))</formula>
    </cfRule>
  </conditionalFormatting>
  <conditionalFormatting sqref="R282:T282">
    <cfRule type="cellIs" dxfId="779" priority="1262" operator="lessThan">
      <formula>0.8</formula>
    </cfRule>
    <cfRule type="cellIs" dxfId="778" priority="1263" operator="greaterThan">
      <formula>0.8</formula>
    </cfRule>
  </conditionalFormatting>
  <conditionalFormatting sqref="R282:T282">
    <cfRule type="notContainsText" dxfId="777" priority="1260" operator="notContains" text="Caida">
      <formula>ISERROR(SEARCH("Caida",R282))</formula>
    </cfRule>
    <cfRule type="containsText" dxfId="776" priority="1261" operator="containsText" text="Caida">
      <formula>NOT(ISERROR(SEARCH("Caida",R282)))</formula>
    </cfRule>
  </conditionalFormatting>
  <conditionalFormatting sqref="R283:T283">
    <cfRule type="cellIs" dxfId="775" priority="1258" operator="lessThan">
      <formula>0.8</formula>
    </cfRule>
    <cfRule type="cellIs" dxfId="774" priority="1259" operator="greaterThan">
      <formula>0.8</formula>
    </cfRule>
  </conditionalFormatting>
  <conditionalFormatting sqref="R283:T283">
    <cfRule type="notContainsText" dxfId="773" priority="1256" operator="notContains" text="Caida">
      <formula>ISERROR(SEARCH("Caida",R283))</formula>
    </cfRule>
    <cfRule type="containsText" dxfId="772" priority="1257" operator="containsText" text="Caida">
      <formula>NOT(ISERROR(SEARCH("Caida",R283)))</formula>
    </cfRule>
  </conditionalFormatting>
  <conditionalFormatting sqref="R5:T5">
    <cfRule type="cellIs" dxfId="771" priority="1254" operator="lessThan">
      <formula>0.8</formula>
    </cfRule>
    <cfRule type="cellIs" dxfId="770" priority="1255" operator="greaterThan">
      <formula>0.8</formula>
    </cfRule>
  </conditionalFormatting>
  <conditionalFormatting sqref="R5:T5">
    <cfRule type="notContainsText" dxfId="769" priority="1252" operator="notContains" text="Caida">
      <formula>ISERROR(SEARCH("Caida",R5))</formula>
    </cfRule>
    <cfRule type="containsText" dxfId="768" priority="1253" operator="containsText" text="Caida">
      <formula>NOT(ISERROR(SEARCH("Caida",R5)))</formula>
    </cfRule>
  </conditionalFormatting>
  <conditionalFormatting sqref="R231:T231">
    <cfRule type="cellIs" dxfId="767" priority="1250" operator="lessThan">
      <formula>0.8</formula>
    </cfRule>
    <cfRule type="cellIs" dxfId="766" priority="1251" operator="greaterThan">
      <formula>0.8</formula>
    </cfRule>
  </conditionalFormatting>
  <conditionalFormatting sqref="R231:T231">
    <cfRule type="notContainsText" dxfId="765" priority="1248" operator="notContains" text="Caida">
      <formula>ISERROR(SEARCH("Caida",R231))</formula>
    </cfRule>
    <cfRule type="containsText" dxfId="764" priority="1249" operator="containsText" text="Caida">
      <formula>NOT(ISERROR(SEARCH("Caida",R231)))</formula>
    </cfRule>
  </conditionalFormatting>
  <conditionalFormatting sqref="R232:T232">
    <cfRule type="cellIs" dxfId="763" priority="1246" operator="lessThan">
      <formula>0.8</formula>
    </cfRule>
    <cfRule type="cellIs" dxfId="762" priority="1247" operator="greaterThan">
      <formula>0.8</formula>
    </cfRule>
  </conditionalFormatting>
  <conditionalFormatting sqref="R232:T232">
    <cfRule type="notContainsText" dxfId="761" priority="1244" operator="notContains" text="Caida">
      <formula>ISERROR(SEARCH("Caida",R232))</formula>
    </cfRule>
    <cfRule type="containsText" dxfId="760" priority="1245" operator="containsText" text="Caida">
      <formula>NOT(ISERROR(SEARCH("Caida",R232)))</formula>
    </cfRule>
  </conditionalFormatting>
  <conditionalFormatting sqref="R233:T233">
    <cfRule type="cellIs" dxfId="759" priority="1242" operator="lessThan">
      <formula>0.8</formula>
    </cfRule>
    <cfRule type="cellIs" dxfId="758" priority="1243" operator="greaterThan">
      <formula>0.8</formula>
    </cfRule>
  </conditionalFormatting>
  <conditionalFormatting sqref="R233:T233">
    <cfRule type="notContainsText" dxfId="757" priority="1240" operator="notContains" text="Caida">
      <formula>ISERROR(SEARCH("Caida",R233))</formula>
    </cfRule>
    <cfRule type="containsText" dxfId="756" priority="1241" operator="containsText" text="Caida">
      <formula>NOT(ISERROR(SEARCH("Caida",R233)))</formula>
    </cfRule>
  </conditionalFormatting>
  <conditionalFormatting sqref="R234:T234">
    <cfRule type="cellIs" dxfId="755" priority="1238" operator="lessThan">
      <formula>0.8</formula>
    </cfRule>
    <cfRule type="cellIs" dxfId="754" priority="1239" operator="greaterThan">
      <formula>0.8</formula>
    </cfRule>
  </conditionalFormatting>
  <conditionalFormatting sqref="R234:T234">
    <cfRule type="notContainsText" dxfId="753" priority="1236" operator="notContains" text="Caida">
      <formula>ISERROR(SEARCH("Caida",R234))</formula>
    </cfRule>
    <cfRule type="containsText" dxfId="752" priority="1237" operator="containsText" text="Caida">
      <formula>NOT(ISERROR(SEARCH("Caida",R234)))</formula>
    </cfRule>
  </conditionalFormatting>
  <conditionalFormatting sqref="R235:T235">
    <cfRule type="cellIs" dxfId="751" priority="1234" operator="lessThan">
      <formula>0.8</formula>
    </cfRule>
    <cfRule type="cellIs" dxfId="750" priority="1235" operator="greaterThan">
      <formula>0.8</formula>
    </cfRule>
  </conditionalFormatting>
  <conditionalFormatting sqref="R235:T235">
    <cfRule type="notContainsText" dxfId="749" priority="1232" operator="notContains" text="Caida">
      <formula>ISERROR(SEARCH("Caida",R235))</formula>
    </cfRule>
    <cfRule type="containsText" dxfId="748" priority="1233" operator="containsText" text="Caida">
      <formula>NOT(ISERROR(SEARCH("Caida",R235)))</formula>
    </cfRule>
  </conditionalFormatting>
  <conditionalFormatting sqref="R335:T335">
    <cfRule type="cellIs" dxfId="747" priority="1230" operator="lessThan">
      <formula>0.8</formula>
    </cfRule>
    <cfRule type="cellIs" dxfId="746" priority="1231" operator="greaterThan">
      <formula>0.8</formula>
    </cfRule>
  </conditionalFormatting>
  <conditionalFormatting sqref="R335:T335">
    <cfRule type="notContainsText" dxfId="745" priority="1228" operator="notContains" text="Caida">
      <formula>ISERROR(SEARCH("Caida",R335))</formula>
    </cfRule>
    <cfRule type="containsText" dxfId="744" priority="1229" operator="containsText" text="Caida">
      <formula>NOT(ISERROR(SEARCH("Caida",R335)))</formula>
    </cfRule>
  </conditionalFormatting>
  <conditionalFormatting sqref="S391:S1048576">
    <cfRule type="notContainsText" dxfId="743" priority="1216" operator="notContains" text="Caida">
      <formula>ISERROR(SEARCH("Caida",S391))</formula>
    </cfRule>
    <cfRule type="containsText" dxfId="742" priority="1217" operator="containsText" text="Caida">
      <formula>NOT(ISERROR(SEARCH("Caida",S391)))</formula>
    </cfRule>
  </conditionalFormatting>
  <conditionalFormatting sqref="T391:T1048576">
    <cfRule type="notContainsText" dxfId="741" priority="1167" operator="notContains" text="Caida">
      <formula>ISERROR(SEARCH("Caida",T391))</formula>
    </cfRule>
    <cfRule type="containsText" dxfId="740" priority="1168" operator="containsText" text="Caida">
      <formula>NOT(ISERROR(SEARCH("Caida",T391)))</formula>
    </cfRule>
  </conditionalFormatting>
  <conditionalFormatting sqref="E92:K93">
    <cfRule type="containsText" dxfId="739" priority="1123" operator="containsText" text="Radio">
      <formula>NOT(ISERROR(SEARCH("Radio",E92)))</formula>
    </cfRule>
  </conditionalFormatting>
  <conditionalFormatting sqref="P93:P95">
    <cfRule type="cellIs" dxfId="738" priority="1093" operator="lessThan">
      <formula>0.8</formula>
    </cfRule>
    <cfRule type="cellIs" dxfId="737" priority="1094" operator="greaterThan">
      <formula>0.8</formula>
    </cfRule>
  </conditionalFormatting>
  <conditionalFormatting sqref="P93:P95">
    <cfRule type="notContainsText" dxfId="736" priority="1091" operator="notContains" text="Caida">
      <formula>ISERROR(SEARCH("Caida",P93))</formula>
    </cfRule>
    <cfRule type="containsText" dxfId="735" priority="1092" operator="containsText" text="Caida">
      <formula>NOT(ISERROR(SEARCH("Caida",P93)))</formula>
    </cfRule>
  </conditionalFormatting>
  <conditionalFormatting sqref="Q93:Q95">
    <cfRule type="cellIs" dxfId="734" priority="1089" operator="lessThan">
      <formula>0.8</formula>
    </cfRule>
    <cfRule type="cellIs" dxfId="733" priority="1090" operator="greaterThan">
      <formula>0.8</formula>
    </cfRule>
  </conditionalFormatting>
  <conditionalFormatting sqref="Q93:Q95">
    <cfRule type="notContainsText" dxfId="732" priority="1087" operator="notContains" text="Caida">
      <formula>ISERROR(SEARCH("Caida",Q93))</formula>
    </cfRule>
    <cfRule type="containsText" dxfId="731" priority="1088" operator="containsText" text="Caida">
      <formula>NOT(ISERROR(SEARCH("Caida",Q93)))</formula>
    </cfRule>
  </conditionalFormatting>
  <conditionalFormatting sqref="R93:R95">
    <cfRule type="cellIs" dxfId="730" priority="1085" operator="lessThan">
      <formula>0.8</formula>
    </cfRule>
    <cfRule type="cellIs" dxfId="729" priority="1086" operator="greaterThan">
      <formula>0.8</formula>
    </cfRule>
  </conditionalFormatting>
  <conditionalFormatting sqref="R93:R95">
    <cfRule type="notContainsText" dxfId="728" priority="1083" operator="notContains" text="Caida">
      <formula>ISERROR(SEARCH("Caida",R93))</formula>
    </cfRule>
    <cfRule type="containsText" dxfId="727" priority="1084" operator="containsText" text="Caida">
      <formula>NOT(ISERROR(SEARCH("Caida",R93)))</formula>
    </cfRule>
  </conditionalFormatting>
  <conditionalFormatting sqref="E365:K365">
    <cfRule type="containsText" dxfId="726" priority="1072" operator="containsText" text="Radio">
      <formula>NOT(ISERROR(SEARCH("Radio",E365)))</formula>
    </cfRule>
  </conditionalFormatting>
  <conditionalFormatting sqref="P367">
    <cfRule type="cellIs" dxfId="725" priority="1054" operator="lessThan">
      <formula>0.8</formula>
    </cfRule>
    <cfRule type="cellIs" dxfId="724" priority="1055" operator="greaterThan">
      <formula>0.8</formula>
    </cfRule>
  </conditionalFormatting>
  <conditionalFormatting sqref="P367">
    <cfRule type="notContainsText" dxfId="723" priority="1052" operator="notContains" text="Caida">
      <formula>ISERROR(SEARCH("Caida",P367))</formula>
    </cfRule>
    <cfRule type="containsText" dxfId="722" priority="1053" operator="containsText" text="Caida">
      <formula>NOT(ISERROR(SEARCH("Caida",P367)))</formula>
    </cfRule>
  </conditionalFormatting>
  <conditionalFormatting sqref="Q367">
    <cfRule type="cellIs" dxfId="721" priority="1050" operator="lessThan">
      <formula>0.8</formula>
    </cfRule>
    <cfRule type="cellIs" dxfId="720" priority="1051" operator="greaterThan">
      <formula>0.8</formula>
    </cfRule>
  </conditionalFormatting>
  <conditionalFormatting sqref="Q367">
    <cfRule type="notContainsText" dxfId="719" priority="1048" operator="notContains" text="Caida">
      <formula>ISERROR(SEARCH("Caida",Q367))</formula>
    </cfRule>
    <cfRule type="containsText" dxfId="718" priority="1049" operator="containsText" text="Caida">
      <formula>NOT(ISERROR(SEARCH("Caida",Q367)))</formula>
    </cfRule>
  </conditionalFormatting>
  <conditionalFormatting sqref="R367:T367">
    <cfRule type="cellIs" dxfId="717" priority="1046" operator="lessThan">
      <formula>0.8</formula>
    </cfRule>
    <cfRule type="cellIs" dxfId="716" priority="1047" operator="greaterThan">
      <formula>0.8</formula>
    </cfRule>
  </conditionalFormatting>
  <conditionalFormatting sqref="R367:T367">
    <cfRule type="notContainsText" dxfId="715" priority="1044" operator="notContains" text="Caida">
      <formula>ISERROR(SEARCH("Caida",R367))</formula>
    </cfRule>
    <cfRule type="containsText" dxfId="714" priority="1045" operator="containsText" text="Caida">
      <formula>NOT(ISERROR(SEARCH("Caida",R367)))</formula>
    </cfRule>
  </conditionalFormatting>
  <conditionalFormatting sqref="E366:K366">
    <cfRule type="containsText" dxfId="713" priority="1033" operator="containsText" text="Radio">
      <formula>NOT(ISERROR(SEARCH("Radio",E366)))</formula>
    </cfRule>
  </conditionalFormatting>
  <conditionalFormatting sqref="P368">
    <cfRule type="cellIs" dxfId="712" priority="1015" operator="lessThan">
      <formula>0.8</formula>
    </cfRule>
    <cfRule type="cellIs" dxfId="711" priority="1016" operator="greaterThan">
      <formula>0.8</formula>
    </cfRule>
  </conditionalFormatting>
  <conditionalFormatting sqref="P368">
    <cfRule type="notContainsText" dxfId="710" priority="1013" operator="notContains" text="Caida">
      <formula>ISERROR(SEARCH("Caida",P368))</formula>
    </cfRule>
    <cfRule type="containsText" dxfId="709" priority="1014" operator="containsText" text="Caida">
      <formula>NOT(ISERROR(SEARCH("Caida",P368)))</formula>
    </cfRule>
  </conditionalFormatting>
  <conditionalFormatting sqref="Q368">
    <cfRule type="cellIs" dxfId="708" priority="1011" operator="lessThan">
      <formula>0.8</formula>
    </cfRule>
    <cfRule type="cellIs" dxfId="707" priority="1012" operator="greaterThan">
      <formula>0.8</formula>
    </cfRule>
  </conditionalFormatting>
  <conditionalFormatting sqref="Q368">
    <cfRule type="notContainsText" dxfId="706" priority="1009" operator="notContains" text="Caida">
      <formula>ISERROR(SEARCH("Caida",Q368))</formula>
    </cfRule>
    <cfRule type="containsText" dxfId="705" priority="1010" operator="containsText" text="Caida">
      <formula>NOT(ISERROR(SEARCH("Caida",Q368)))</formula>
    </cfRule>
  </conditionalFormatting>
  <conditionalFormatting sqref="R368:T368">
    <cfRule type="cellIs" dxfId="704" priority="1007" operator="lessThan">
      <formula>0.8</formula>
    </cfRule>
    <cfRule type="cellIs" dxfId="703" priority="1008" operator="greaterThan">
      <formula>0.8</formula>
    </cfRule>
  </conditionalFormatting>
  <conditionalFormatting sqref="R368:T368">
    <cfRule type="notContainsText" dxfId="702" priority="1005" operator="notContains" text="Caida">
      <formula>ISERROR(SEARCH("Caida",R368))</formula>
    </cfRule>
    <cfRule type="containsText" dxfId="701" priority="1006" operator="containsText" text="Caida">
      <formula>NOT(ISERROR(SEARCH("Caida",R368)))</formula>
    </cfRule>
  </conditionalFormatting>
  <conditionalFormatting sqref="E367:K367">
    <cfRule type="containsText" dxfId="700" priority="994" operator="containsText" text="Radio">
      <formula>NOT(ISERROR(SEARCH("Radio",E367)))</formula>
    </cfRule>
  </conditionalFormatting>
  <conditionalFormatting sqref="P369">
    <cfRule type="cellIs" dxfId="699" priority="976" operator="lessThan">
      <formula>0.8</formula>
    </cfRule>
    <cfRule type="cellIs" dxfId="698" priority="977" operator="greaterThan">
      <formula>0.8</formula>
    </cfRule>
  </conditionalFormatting>
  <conditionalFormatting sqref="P369">
    <cfRule type="notContainsText" dxfId="697" priority="974" operator="notContains" text="Caida">
      <formula>ISERROR(SEARCH("Caida",P369))</formula>
    </cfRule>
    <cfRule type="containsText" dxfId="696" priority="975" operator="containsText" text="Caida">
      <formula>NOT(ISERROR(SEARCH("Caida",P369)))</formula>
    </cfRule>
  </conditionalFormatting>
  <conditionalFormatting sqref="Q369">
    <cfRule type="cellIs" dxfId="695" priority="972" operator="lessThan">
      <formula>0.8</formula>
    </cfRule>
    <cfRule type="cellIs" dxfId="694" priority="973" operator="greaterThan">
      <formula>0.8</formula>
    </cfRule>
  </conditionalFormatting>
  <conditionalFormatting sqref="Q369">
    <cfRule type="notContainsText" dxfId="693" priority="970" operator="notContains" text="Caida">
      <formula>ISERROR(SEARCH("Caida",Q369))</formula>
    </cfRule>
    <cfRule type="containsText" dxfId="692" priority="971" operator="containsText" text="Caida">
      <formula>NOT(ISERROR(SEARCH("Caida",Q369)))</formula>
    </cfRule>
  </conditionalFormatting>
  <conditionalFormatting sqref="R369:T369">
    <cfRule type="cellIs" dxfId="691" priority="968" operator="lessThan">
      <formula>0.8</formula>
    </cfRule>
    <cfRule type="cellIs" dxfId="690" priority="969" operator="greaterThan">
      <formula>0.8</formula>
    </cfRule>
  </conditionalFormatting>
  <conditionalFormatting sqref="R369:T369">
    <cfRule type="notContainsText" dxfId="689" priority="966" operator="notContains" text="Caida">
      <formula>ISERROR(SEARCH("Caida",R369))</formula>
    </cfRule>
    <cfRule type="containsText" dxfId="688" priority="967" operator="containsText" text="Caida">
      <formula>NOT(ISERROR(SEARCH("Caida",R369)))</formula>
    </cfRule>
  </conditionalFormatting>
  <conditionalFormatting sqref="E368:K368">
    <cfRule type="containsText" dxfId="687" priority="955" operator="containsText" text="Radio">
      <formula>NOT(ISERROR(SEARCH("Radio",E368)))</formula>
    </cfRule>
  </conditionalFormatting>
  <conditionalFormatting sqref="U231">
    <cfRule type="cellIs" dxfId="686" priority="896" operator="lessThan">
      <formula>0.8</formula>
    </cfRule>
    <cfRule type="cellIs" dxfId="685" priority="897" operator="greaterThan">
      <formula>0.8</formula>
    </cfRule>
  </conditionalFormatting>
  <conditionalFormatting sqref="U231">
    <cfRule type="notContainsText" dxfId="684" priority="894" operator="notContains" text="Caida">
      <formula>ISERROR(SEARCH("Caida",U231))</formula>
    </cfRule>
    <cfRule type="containsText" dxfId="683" priority="895" operator="containsText" text="Caida">
      <formula>NOT(ISERROR(SEARCH("Caida",U231)))</formula>
    </cfRule>
  </conditionalFormatting>
  <conditionalFormatting sqref="U232">
    <cfRule type="cellIs" dxfId="682" priority="892" operator="lessThan">
      <formula>0.8</formula>
    </cfRule>
    <cfRule type="cellIs" dxfId="681" priority="893" operator="greaterThan">
      <formula>0.8</formula>
    </cfRule>
  </conditionalFormatting>
  <conditionalFormatting sqref="U232">
    <cfRule type="notContainsText" dxfId="680" priority="890" operator="notContains" text="Caida">
      <formula>ISERROR(SEARCH("Caida",U232))</formula>
    </cfRule>
    <cfRule type="containsText" dxfId="679" priority="891" operator="containsText" text="Caida">
      <formula>NOT(ISERROR(SEARCH("Caida",U232)))</formula>
    </cfRule>
  </conditionalFormatting>
  <conditionalFormatting sqref="P370:P372">
    <cfRule type="cellIs" dxfId="678" priority="937" operator="lessThan">
      <formula>0.8</formula>
    </cfRule>
    <cfRule type="cellIs" dxfId="677" priority="938" operator="greaterThan">
      <formula>0.8</formula>
    </cfRule>
  </conditionalFormatting>
  <conditionalFormatting sqref="P370:P372">
    <cfRule type="notContainsText" dxfId="676" priority="935" operator="notContains" text="Caida">
      <formula>ISERROR(SEARCH("Caida",P370))</formula>
    </cfRule>
    <cfRule type="containsText" dxfId="675" priority="936" operator="containsText" text="Caida">
      <formula>NOT(ISERROR(SEARCH("Caida",P370)))</formula>
    </cfRule>
  </conditionalFormatting>
  <conditionalFormatting sqref="Q370:Q372">
    <cfRule type="cellIs" dxfId="674" priority="933" operator="lessThan">
      <formula>0.8</formula>
    </cfRule>
    <cfRule type="cellIs" dxfId="673" priority="934" operator="greaterThan">
      <formula>0.8</formula>
    </cfRule>
  </conditionalFormatting>
  <conditionalFormatting sqref="Q370:Q372">
    <cfRule type="notContainsText" dxfId="672" priority="931" operator="notContains" text="Caida">
      <formula>ISERROR(SEARCH("Caida",Q370))</formula>
    </cfRule>
    <cfRule type="containsText" dxfId="671" priority="932" operator="containsText" text="Caida">
      <formula>NOT(ISERROR(SEARCH("Caida",Q370)))</formula>
    </cfRule>
  </conditionalFormatting>
  <conditionalFormatting sqref="R370:T370">
    <cfRule type="cellIs" dxfId="670" priority="929" operator="lessThan">
      <formula>0.8</formula>
    </cfRule>
    <cfRule type="cellIs" dxfId="669" priority="930" operator="greaterThan">
      <formula>0.8</formula>
    </cfRule>
  </conditionalFormatting>
  <conditionalFormatting sqref="R370:T370">
    <cfRule type="notContainsText" dxfId="668" priority="927" operator="notContains" text="Caida">
      <formula>ISERROR(SEARCH("Caida",R370))</formula>
    </cfRule>
    <cfRule type="containsText" dxfId="667" priority="928" operator="containsText" text="Caida">
      <formula>NOT(ISERROR(SEARCH("Caida",R370)))</formula>
    </cfRule>
  </conditionalFormatting>
  <conditionalFormatting sqref="U368">
    <cfRule type="cellIs" dxfId="666" priority="860" operator="lessThan">
      <formula>0.8</formula>
    </cfRule>
    <cfRule type="cellIs" dxfId="665" priority="861" operator="greaterThan">
      <formula>0.8</formula>
    </cfRule>
  </conditionalFormatting>
  <conditionalFormatting sqref="U368">
    <cfRule type="notContainsText" dxfId="664" priority="858" operator="notContains" text="Caida">
      <formula>ISERROR(SEARCH("Caida",U368))</formula>
    </cfRule>
    <cfRule type="containsText" dxfId="663" priority="859" operator="containsText" text="Caida">
      <formula>NOT(ISERROR(SEARCH("Caida",U368)))</formula>
    </cfRule>
  </conditionalFormatting>
  <conditionalFormatting sqref="U369">
    <cfRule type="cellIs" dxfId="662" priority="856" operator="lessThan">
      <formula>0.8</formula>
    </cfRule>
    <cfRule type="cellIs" dxfId="661" priority="857" operator="greaterThan">
      <formula>0.8</formula>
    </cfRule>
  </conditionalFormatting>
  <conditionalFormatting sqref="U369">
    <cfRule type="notContainsText" dxfId="660" priority="854" operator="notContains" text="Caida">
      <formula>ISERROR(SEARCH("Caida",U369))</formula>
    </cfRule>
    <cfRule type="containsText" dxfId="659" priority="855" operator="containsText" text="Caida">
      <formula>NOT(ISERROR(SEARCH("Caida",U369)))</formula>
    </cfRule>
  </conditionalFormatting>
  <conditionalFormatting sqref="U370:U372">
    <cfRule type="cellIs" dxfId="658" priority="852" operator="lessThan">
      <formula>0.8</formula>
    </cfRule>
    <cfRule type="cellIs" dxfId="657" priority="853" operator="greaterThan">
      <formula>0.8</formula>
    </cfRule>
  </conditionalFormatting>
  <conditionalFormatting sqref="U370:U372">
    <cfRule type="notContainsText" dxfId="656" priority="850" operator="notContains" text="Caida">
      <formula>ISERROR(SEARCH("Caida",U370))</formula>
    </cfRule>
    <cfRule type="containsText" dxfId="655" priority="851" operator="containsText" text="Caida">
      <formula>NOT(ISERROR(SEARCH("Caida",U370)))</formula>
    </cfRule>
  </conditionalFormatting>
  <conditionalFormatting sqref="U6:U92 U96:U230">
    <cfRule type="cellIs" dxfId="654" priority="917" operator="lessThan">
      <formula>0.8</formula>
    </cfRule>
    <cfRule type="cellIs" dxfId="653" priority="918" operator="greaterThan">
      <formula>0.8</formula>
    </cfRule>
  </conditionalFormatting>
  <conditionalFormatting sqref="U6:U92 U96:U230">
    <cfRule type="notContainsText" dxfId="652" priority="915" operator="notContains" text="Caida">
      <formula>ISERROR(SEARCH("Caida",U6))</formula>
    </cfRule>
    <cfRule type="containsText" dxfId="651" priority="916" operator="containsText" text="Caida">
      <formula>NOT(ISERROR(SEARCH("Caida",U6)))</formula>
    </cfRule>
  </conditionalFormatting>
  <conditionalFormatting sqref="U336">
    <cfRule type="cellIs" dxfId="650" priority="872" operator="lessThan">
      <formula>0.8</formula>
    </cfRule>
    <cfRule type="cellIs" dxfId="649" priority="873" operator="greaterThan">
      <formula>0.8</formula>
    </cfRule>
  </conditionalFormatting>
  <conditionalFormatting sqref="U336">
    <cfRule type="notContainsText" dxfId="648" priority="870" operator="notContains" text="Caida">
      <formula>ISERROR(SEARCH("Caida",U336))</formula>
    </cfRule>
    <cfRule type="containsText" dxfId="647" priority="871" operator="containsText" text="Caida">
      <formula>NOT(ISERROR(SEARCH("Caida",U336)))</formula>
    </cfRule>
  </conditionalFormatting>
  <conditionalFormatting sqref="U337:U366 U284:U334">
    <cfRule type="cellIs" dxfId="646" priority="913" operator="lessThan">
      <formula>0.8</formula>
    </cfRule>
    <cfRule type="cellIs" dxfId="645" priority="914" operator="greaterThan">
      <formula>0.8</formula>
    </cfRule>
  </conditionalFormatting>
  <conditionalFormatting sqref="U337:U366 U284:U334 U391:U1048576">
    <cfRule type="notContainsText" dxfId="644" priority="911" operator="notContains" text="Caida">
      <formula>ISERROR(SEARCH("Caida",U284))</formula>
    </cfRule>
    <cfRule type="containsText" dxfId="643" priority="912" operator="containsText" text="Caida">
      <formula>NOT(ISERROR(SEARCH("Caida",U284)))</formula>
    </cfRule>
  </conditionalFormatting>
  <conditionalFormatting sqref="U22">
    <cfRule type="containsText" dxfId="642" priority="910" operator="containsText" text="Instaladas en Funcionamiento Caida">
      <formula>NOT(ISERROR(SEARCH("Instaladas en Funcionamiento Caida",U22)))</formula>
    </cfRule>
  </conditionalFormatting>
  <conditionalFormatting sqref="U282">
    <cfRule type="cellIs" dxfId="641" priority="908" operator="lessThan">
      <formula>0.8</formula>
    </cfRule>
    <cfRule type="cellIs" dxfId="640" priority="909" operator="greaterThan">
      <formula>0.8</formula>
    </cfRule>
  </conditionalFormatting>
  <conditionalFormatting sqref="U282">
    <cfRule type="notContainsText" dxfId="639" priority="906" operator="notContains" text="Caida">
      <formula>ISERROR(SEARCH("Caida",U282))</formula>
    </cfRule>
    <cfRule type="containsText" dxfId="638" priority="907" operator="containsText" text="Caida">
      <formula>NOT(ISERROR(SEARCH("Caida",U282)))</formula>
    </cfRule>
  </conditionalFormatting>
  <conditionalFormatting sqref="U283">
    <cfRule type="cellIs" dxfId="637" priority="904" operator="lessThan">
      <formula>0.8</formula>
    </cfRule>
    <cfRule type="cellIs" dxfId="636" priority="905" operator="greaterThan">
      <formula>0.8</formula>
    </cfRule>
  </conditionalFormatting>
  <conditionalFormatting sqref="U283">
    <cfRule type="notContainsText" dxfId="635" priority="902" operator="notContains" text="Caida">
      <formula>ISERROR(SEARCH("Caida",U283))</formula>
    </cfRule>
    <cfRule type="containsText" dxfId="634" priority="903" operator="containsText" text="Caida">
      <formula>NOT(ISERROR(SEARCH("Caida",U283)))</formula>
    </cfRule>
  </conditionalFormatting>
  <conditionalFormatting sqref="U5">
    <cfRule type="cellIs" dxfId="633" priority="900" operator="lessThan">
      <formula>0.8</formula>
    </cfRule>
    <cfRule type="cellIs" dxfId="632" priority="901" operator="greaterThan">
      <formula>0.8</formula>
    </cfRule>
  </conditionalFormatting>
  <conditionalFormatting sqref="U5">
    <cfRule type="notContainsText" dxfId="631" priority="898" operator="notContains" text="Caida">
      <formula>ISERROR(SEARCH("Caida",U5))</formula>
    </cfRule>
    <cfRule type="containsText" dxfId="630" priority="899" operator="containsText" text="Caida">
      <formula>NOT(ISERROR(SEARCH("Caida",U5)))</formula>
    </cfRule>
  </conditionalFormatting>
  <conditionalFormatting sqref="U233">
    <cfRule type="cellIs" dxfId="629" priority="888" operator="lessThan">
      <formula>0.8</formula>
    </cfRule>
    <cfRule type="cellIs" dxfId="628" priority="889" operator="greaterThan">
      <formula>0.8</formula>
    </cfRule>
  </conditionalFormatting>
  <conditionalFormatting sqref="U233">
    <cfRule type="notContainsText" dxfId="627" priority="886" operator="notContains" text="Caida">
      <formula>ISERROR(SEARCH("Caida",U233))</formula>
    </cfRule>
    <cfRule type="containsText" dxfId="626" priority="887" operator="containsText" text="Caida">
      <formula>NOT(ISERROR(SEARCH("Caida",U233)))</formula>
    </cfRule>
  </conditionalFormatting>
  <conditionalFormatting sqref="U234">
    <cfRule type="cellIs" dxfId="625" priority="884" operator="lessThan">
      <formula>0.8</formula>
    </cfRule>
    <cfRule type="cellIs" dxfId="624" priority="885" operator="greaterThan">
      <formula>0.8</formula>
    </cfRule>
  </conditionalFormatting>
  <conditionalFormatting sqref="U234">
    <cfRule type="notContainsText" dxfId="623" priority="882" operator="notContains" text="Caida">
      <formula>ISERROR(SEARCH("Caida",U234))</formula>
    </cfRule>
    <cfRule type="containsText" dxfId="622" priority="883" operator="containsText" text="Caida">
      <formula>NOT(ISERROR(SEARCH("Caida",U234)))</formula>
    </cfRule>
  </conditionalFormatting>
  <conditionalFormatting sqref="U235">
    <cfRule type="cellIs" dxfId="621" priority="880" operator="lessThan">
      <formula>0.8</formula>
    </cfRule>
    <cfRule type="cellIs" dxfId="620" priority="881" operator="greaterThan">
      <formula>0.8</formula>
    </cfRule>
  </conditionalFormatting>
  <conditionalFormatting sqref="U235">
    <cfRule type="notContainsText" dxfId="619" priority="878" operator="notContains" text="Caida">
      <formula>ISERROR(SEARCH("Caida",U235))</formula>
    </cfRule>
    <cfRule type="containsText" dxfId="618" priority="879" operator="containsText" text="Caida">
      <formula>NOT(ISERROR(SEARCH("Caida",U235)))</formula>
    </cfRule>
  </conditionalFormatting>
  <conditionalFormatting sqref="U335">
    <cfRule type="cellIs" dxfId="617" priority="876" operator="lessThan">
      <formula>0.8</formula>
    </cfRule>
    <cfRule type="cellIs" dxfId="616" priority="877" operator="greaterThan">
      <formula>0.8</formula>
    </cfRule>
  </conditionalFormatting>
  <conditionalFormatting sqref="U335">
    <cfRule type="notContainsText" dxfId="615" priority="874" operator="notContains" text="Caida">
      <formula>ISERROR(SEARCH("Caida",U335))</formula>
    </cfRule>
    <cfRule type="containsText" dxfId="614" priority="875" operator="containsText" text="Caida">
      <formula>NOT(ISERROR(SEARCH("Caida",U335)))</formula>
    </cfRule>
  </conditionalFormatting>
  <conditionalFormatting sqref="U93:U95">
    <cfRule type="cellIs" dxfId="613" priority="868" operator="lessThan">
      <formula>0.8</formula>
    </cfRule>
    <cfRule type="cellIs" dxfId="612" priority="869" operator="greaterThan">
      <formula>0.8</formula>
    </cfRule>
  </conditionalFormatting>
  <conditionalFormatting sqref="U93:U95">
    <cfRule type="notContainsText" dxfId="611" priority="866" operator="notContains" text="Caida">
      <formula>ISERROR(SEARCH("Caida",U93))</formula>
    </cfRule>
    <cfRule type="containsText" dxfId="610" priority="867" operator="containsText" text="Caida">
      <formula>NOT(ISERROR(SEARCH("Caida",U93)))</formula>
    </cfRule>
  </conditionalFormatting>
  <conditionalFormatting sqref="U367">
    <cfRule type="cellIs" dxfId="609" priority="864" operator="lessThan">
      <formula>0.8</formula>
    </cfRule>
    <cfRule type="cellIs" dxfId="608" priority="865" operator="greaterThan">
      <formula>0.8</formula>
    </cfRule>
  </conditionalFormatting>
  <conditionalFormatting sqref="U367">
    <cfRule type="notContainsText" dxfId="607" priority="862" operator="notContains" text="Caida">
      <formula>ISERROR(SEARCH("Caida",U367))</formula>
    </cfRule>
    <cfRule type="containsText" dxfId="606" priority="863" operator="containsText" text="Caida">
      <formula>NOT(ISERROR(SEARCH("Caida",U367)))</formula>
    </cfRule>
  </conditionalFormatting>
  <conditionalFormatting sqref="V6:X92">
    <cfRule type="cellIs" dxfId="605" priority="848" operator="lessThan">
      <formula>0.8</formula>
    </cfRule>
    <cfRule type="cellIs" dxfId="604" priority="849" operator="greaterThan">
      <formula>0.8</formula>
    </cfRule>
  </conditionalFormatting>
  <conditionalFormatting sqref="V6:X92">
    <cfRule type="notContainsText" dxfId="603" priority="846" operator="notContains" text="Caida">
      <formula>ISERROR(SEARCH("Caida",V6))</formula>
    </cfRule>
    <cfRule type="containsText" dxfId="602" priority="847" operator="containsText" text="Caida">
      <formula>NOT(ISERROR(SEARCH("Caida",V6)))</formula>
    </cfRule>
  </conditionalFormatting>
  <conditionalFormatting sqref="V22:AJ22">
    <cfRule type="containsText" dxfId="601" priority="845" operator="containsText" text="Instaladas en Funcionamiento Caida">
      <formula>NOT(ISERROR(SEARCH("Instaladas en Funcionamiento Caida",V22)))</formula>
    </cfRule>
  </conditionalFormatting>
  <conditionalFormatting sqref="V5:AJ5">
    <cfRule type="cellIs" dxfId="600" priority="843" operator="lessThan">
      <formula>0.8</formula>
    </cfRule>
    <cfRule type="cellIs" dxfId="599" priority="844" operator="greaterThan">
      <formula>0.8</formula>
    </cfRule>
  </conditionalFormatting>
  <conditionalFormatting sqref="V5:AJ5">
    <cfRule type="notContainsText" dxfId="598" priority="841" operator="notContains" text="Caida">
      <formula>ISERROR(SEARCH("Caida",V5))</formula>
    </cfRule>
    <cfRule type="containsText" dxfId="597" priority="842" operator="containsText" text="Caida">
      <formula>NOT(ISERROR(SEARCH("Caida",V5)))</formula>
    </cfRule>
  </conditionalFormatting>
  <conditionalFormatting sqref="V93:X95">
    <cfRule type="cellIs" dxfId="596" priority="839" operator="lessThan">
      <formula>0.8</formula>
    </cfRule>
    <cfRule type="cellIs" dxfId="595" priority="840" operator="greaterThan">
      <formula>0.8</formula>
    </cfRule>
  </conditionalFormatting>
  <conditionalFormatting sqref="V93:X95">
    <cfRule type="notContainsText" dxfId="594" priority="837" operator="notContains" text="Caida">
      <formula>ISERROR(SEARCH("Caida",V93))</formula>
    </cfRule>
    <cfRule type="containsText" dxfId="593" priority="838" operator="containsText" text="Caida">
      <formula>NOT(ISERROR(SEARCH("Caida",V93)))</formula>
    </cfRule>
  </conditionalFormatting>
  <conditionalFormatting sqref="E1:E372 E391:E1048576">
    <cfRule type="containsText" dxfId="592" priority="697" operator="containsText" text="fija">
      <formula>NOT(ISERROR(SEARCH("fija",E1)))</formula>
    </cfRule>
    <cfRule type="containsText" dxfId="591" priority="698" operator="containsText" text="domo">
      <formula>NOT(ISERROR(SEARCH("domo",E1)))</formula>
    </cfRule>
  </conditionalFormatting>
  <conditionalFormatting sqref="AK6:AP92">
    <cfRule type="cellIs" dxfId="590" priority="673" operator="lessThan">
      <formula>0.8</formula>
    </cfRule>
    <cfRule type="cellIs" dxfId="589" priority="674" operator="greaterThan">
      <formula>0.8</formula>
    </cfRule>
  </conditionalFormatting>
  <conditionalFormatting sqref="AK6:AP92">
    <cfRule type="notContainsText" dxfId="588" priority="671" operator="notContains" text="Caida">
      <formula>ISERROR(SEARCH("Caida",AK6))</formula>
    </cfRule>
    <cfRule type="containsText" dxfId="587" priority="672" operator="containsText" text="Caida">
      <formula>NOT(ISERROR(SEARCH("Caida",AK6)))</formula>
    </cfRule>
  </conditionalFormatting>
  <conditionalFormatting sqref="AK22:AS22">
    <cfRule type="containsText" dxfId="586" priority="670" operator="containsText" text="Instaladas en Funcionamiento Caida">
      <formula>NOT(ISERROR(SEARCH("Instaladas en Funcionamiento Caida",AK22)))</formula>
    </cfRule>
  </conditionalFormatting>
  <conditionalFormatting sqref="AK5:AS5">
    <cfRule type="cellIs" dxfId="585" priority="668" operator="lessThan">
      <formula>0.8</formula>
    </cfRule>
    <cfRule type="cellIs" dxfId="584" priority="669" operator="greaterThan">
      <formula>0.8</formula>
    </cfRule>
  </conditionalFormatting>
  <conditionalFormatting sqref="AK5:AS5">
    <cfRule type="notContainsText" dxfId="583" priority="666" operator="notContains" text="Caida">
      <formula>ISERROR(SEARCH("Caida",AK5))</formula>
    </cfRule>
    <cfRule type="containsText" dxfId="582" priority="667" operator="containsText" text="Caida">
      <formula>NOT(ISERROR(SEARCH("Caida",AK5)))</formula>
    </cfRule>
  </conditionalFormatting>
  <conditionalFormatting sqref="AK93:AP94">
    <cfRule type="cellIs" dxfId="581" priority="664" operator="lessThan">
      <formula>0.8</formula>
    </cfRule>
    <cfRule type="cellIs" dxfId="580" priority="665" operator="greaterThan">
      <formula>0.8</formula>
    </cfRule>
  </conditionalFormatting>
  <conditionalFormatting sqref="AK93:AP94">
    <cfRule type="notContainsText" dxfId="579" priority="662" operator="notContains" text="Caida">
      <formula>ISERROR(SEARCH("Caida",AK93))</formula>
    </cfRule>
    <cfRule type="containsText" dxfId="578" priority="663" operator="containsText" text="Caida">
      <formula>NOT(ISERROR(SEARCH("Caida",AK93)))</formula>
    </cfRule>
  </conditionalFormatting>
  <conditionalFormatting sqref="O247:O372 O5:AJ369 AK1:AS1 AK391:AS1048576 AK5:AS372">
    <cfRule type="cellIs" dxfId="577" priority="661" operator="equal">
      <formula>"APAGADO"</formula>
    </cfRule>
  </conditionalFormatting>
  <conditionalFormatting sqref="S6:S92 S96:S230">
    <cfRule type="cellIs" dxfId="576" priority="645" operator="lessThan">
      <formula>0.8</formula>
    </cfRule>
    <cfRule type="cellIs" dxfId="575" priority="646" operator="greaterThan">
      <formula>0.8</formula>
    </cfRule>
  </conditionalFormatting>
  <conditionalFormatting sqref="S6:S92 S96:S230">
    <cfRule type="notContainsText" dxfId="574" priority="643" operator="notContains" text="Caida">
      <formula>ISERROR(SEARCH("Caida",S6))</formula>
    </cfRule>
    <cfRule type="containsText" dxfId="573" priority="644" operator="containsText" text="Caida">
      <formula>NOT(ISERROR(SEARCH("Caida",S6)))</formula>
    </cfRule>
  </conditionalFormatting>
  <conditionalFormatting sqref="S337:S366 S284:S334">
    <cfRule type="cellIs" dxfId="572" priority="641" operator="lessThan">
      <formula>0.8</formula>
    </cfRule>
    <cfRule type="cellIs" dxfId="571" priority="642" operator="greaterThan">
      <formula>0.8</formula>
    </cfRule>
  </conditionalFormatting>
  <conditionalFormatting sqref="S337:S366 S284:S334">
    <cfRule type="notContainsText" dxfId="570" priority="639" operator="notContains" text="Caida">
      <formula>ISERROR(SEARCH("Caida",S284))</formula>
    </cfRule>
    <cfRule type="containsText" dxfId="569" priority="640" operator="containsText" text="Caida">
      <formula>NOT(ISERROR(SEARCH("Caida",S284)))</formula>
    </cfRule>
  </conditionalFormatting>
  <conditionalFormatting sqref="S93:S95">
    <cfRule type="cellIs" dxfId="568" priority="637" operator="lessThan">
      <formula>0.8</formula>
    </cfRule>
    <cfRule type="cellIs" dxfId="567" priority="638" operator="greaterThan">
      <formula>0.8</formula>
    </cfRule>
  </conditionalFormatting>
  <conditionalFormatting sqref="S93:S95">
    <cfRule type="notContainsText" dxfId="566" priority="635" operator="notContains" text="Caida">
      <formula>ISERROR(SEARCH("Caida",S93))</formula>
    </cfRule>
    <cfRule type="containsText" dxfId="565" priority="636" operator="containsText" text="Caida">
      <formula>NOT(ISERROR(SEARCH("Caida",S93)))</formula>
    </cfRule>
  </conditionalFormatting>
  <conditionalFormatting sqref="T6:T92 T96:T230">
    <cfRule type="cellIs" dxfId="564" priority="633" operator="lessThan">
      <formula>0.8</formula>
    </cfRule>
    <cfRule type="cellIs" dxfId="563" priority="634" operator="greaterThan">
      <formula>0.8</formula>
    </cfRule>
  </conditionalFormatting>
  <conditionalFormatting sqref="T6:T92 T96:T230">
    <cfRule type="notContainsText" dxfId="562" priority="631" operator="notContains" text="Caida">
      <formula>ISERROR(SEARCH("Caida",T6))</formula>
    </cfRule>
    <cfRule type="containsText" dxfId="561" priority="632" operator="containsText" text="Caida">
      <formula>NOT(ISERROR(SEARCH("Caida",T6)))</formula>
    </cfRule>
  </conditionalFormatting>
  <conditionalFormatting sqref="T337:T366 T284:T334">
    <cfRule type="cellIs" dxfId="560" priority="629" operator="lessThan">
      <formula>0.8</formula>
    </cfRule>
    <cfRule type="cellIs" dxfId="559" priority="630" operator="greaterThan">
      <formula>0.8</formula>
    </cfRule>
  </conditionalFormatting>
  <conditionalFormatting sqref="T337:T366 T284:T334">
    <cfRule type="notContainsText" dxfId="558" priority="627" operator="notContains" text="Caida">
      <formula>ISERROR(SEARCH("Caida",T284))</formula>
    </cfRule>
    <cfRule type="containsText" dxfId="557" priority="628" operator="containsText" text="Caida">
      <formula>NOT(ISERROR(SEARCH("Caida",T284)))</formula>
    </cfRule>
  </conditionalFormatting>
  <conditionalFormatting sqref="T93:T95">
    <cfRule type="cellIs" dxfId="556" priority="625" operator="lessThan">
      <formula>0.8</formula>
    </cfRule>
    <cfRule type="cellIs" dxfId="555" priority="626" operator="greaterThan">
      <formula>0.8</formula>
    </cfRule>
  </conditionalFormatting>
  <conditionalFormatting sqref="T93:T95">
    <cfRule type="notContainsText" dxfId="554" priority="623" operator="notContains" text="Caida">
      <formula>ISERROR(SEARCH("Caida",T93))</formula>
    </cfRule>
    <cfRule type="containsText" dxfId="553" priority="624" operator="containsText" text="Caida">
      <formula>NOT(ISERROR(SEARCH("Caida",T93)))</formula>
    </cfRule>
  </conditionalFormatting>
  <conditionalFormatting sqref="F1:F372 F391:F1048576">
    <cfRule type="cellIs" dxfId="552" priority="552" operator="equal">
      <formula>"PTP A FO"</formula>
    </cfRule>
  </conditionalFormatting>
  <conditionalFormatting sqref="R371:T372">
    <cfRule type="cellIs" dxfId="551" priority="181" operator="lessThan">
      <formula>0.8</formula>
    </cfRule>
    <cfRule type="cellIs" dxfId="550" priority="182" operator="greaterThan">
      <formula>0.8</formula>
    </cfRule>
  </conditionalFormatting>
  <conditionalFormatting sqref="R371:T372">
    <cfRule type="notContainsText" dxfId="549" priority="179" operator="notContains" text="Caida">
      <formula>ISERROR(SEARCH("Caida",R371))</formula>
    </cfRule>
    <cfRule type="containsText" dxfId="548" priority="180" operator="containsText" text="Caida">
      <formula>NOT(ISERROR(SEARCH("Caida",R371)))</formula>
    </cfRule>
  </conditionalFormatting>
  <conditionalFormatting sqref="O6:O92">
    <cfRule type="cellIs" dxfId="547" priority="169" operator="lessThan">
      <formula>0.8</formula>
    </cfRule>
    <cfRule type="cellIs" dxfId="546" priority="170" operator="greaterThan">
      <formula>0.8</formula>
    </cfRule>
  </conditionalFormatting>
  <conditionalFormatting sqref="O6:O92">
    <cfRule type="notContainsText" dxfId="545" priority="167" operator="notContains" text="Caida">
      <formula>ISERROR(SEARCH("Caida",O6))</formula>
    </cfRule>
    <cfRule type="containsText" dxfId="544" priority="168" operator="containsText" text="Caida">
      <formula>NOT(ISERROR(SEARCH("Caida",O6)))</formula>
    </cfRule>
  </conditionalFormatting>
  <conditionalFormatting sqref="O22">
    <cfRule type="containsText" dxfId="543" priority="166" operator="containsText" text="Instaladas en Funcionamiento Caida">
      <formula>NOT(ISERROR(SEARCH("Instaladas en Funcionamiento Caida",O22)))</formula>
    </cfRule>
  </conditionalFormatting>
  <conditionalFormatting sqref="O5">
    <cfRule type="cellIs" dxfId="542" priority="164" operator="lessThan">
      <formula>0.8</formula>
    </cfRule>
    <cfRule type="cellIs" dxfId="541" priority="165" operator="greaterThan">
      <formula>0.8</formula>
    </cfRule>
  </conditionalFormatting>
  <conditionalFormatting sqref="O5">
    <cfRule type="notContainsText" dxfId="540" priority="162" operator="notContains" text="Caida">
      <formula>ISERROR(SEARCH("Caida",O5))</formula>
    </cfRule>
    <cfRule type="containsText" dxfId="539" priority="163" operator="containsText" text="Caida">
      <formula>NOT(ISERROR(SEARCH("Caida",O5)))</formula>
    </cfRule>
  </conditionalFormatting>
  <conditionalFormatting sqref="O93:O94">
    <cfRule type="cellIs" dxfId="538" priority="160" operator="lessThan">
      <formula>0.8</formula>
    </cfRule>
    <cfRule type="cellIs" dxfId="537" priority="161" operator="greaterThan">
      <formula>0.8</formula>
    </cfRule>
  </conditionalFormatting>
  <conditionalFormatting sqref="O93:O94">
    <cfRule type="notContainsText" dxfId="536" priority="158" operator="notContains" text="Caida">
      <formula>ISERROR(SEARCH("Caida",O93))</formula>
    </cfRule>
    <cfRule type="containsText" dxfId="535" priority="159" operator="containsText" text="Caida">
      <formula>NOT(ISERROR(SEARCH("Caida",O93)))</formula>
    </cfRule>
  </conditionalFormatting>
  <conditionalFormatting sqref="AR6:AS92">
    <cfRule type="cellIs" dxfId="534" priority="151" operator="lessThan">
      <formula>0.8</formula>
    </cfRule>
    <cfRule type="cellIs" dxfId="533" priority="152" operator="greaterThan">
      <formula>0.8</formula>
    </cfRule>
  </conditionalFormatting>
  <conditionalFormatting sqref="AR6:AS92">
    <cfRule type="notContainsText" dxfId="532" priority="149" operator="notContains" text="Caida">
      <formula>ISERROR(SEARCH("Caida",AR6))</formula>
    </cfRule>
    <cfRule type="containsText" dxfId="531" priority="150" operator="containsText" text="Caida">
      <formula>NOT(ISERROR(SEARCH("Caida",AR6)))</formula>
    </cfRule>
  </conditionalFormatting>
  <conditionalFormatting sqref="AR93:AS94">
    <cfRule type="cellIs" dxfId="530" priority="147" operator="lessThan">
      <formula>0.8</formula>
    </cfRule>
    <cfRule type="cellIs" dxfId="529" priority="148" operator="greaterThan">
      <formula>0.8</formula>
    </cfRule>
  </conditionalFormatting>
  <conditionalFormatting sqref="AR93:AS94">
    <cfRule type="notContainsText" dxfId="528" priority="145" operator="notContains" text="Caida">
      <formula>ISERROR(SEARCH("Caida",AR93))</formula>
    </cfRule>
    <cfRule type="containsText" dxfId="527" priority="146" operator="containsText" text="Caida">
      <formula>NOT(ISERROR(SEARCH("Caida",AR93)))</formula>
    </cfRule>
  </conditionalFormatting>
  <conditionalFormatting sqref="Y6:AF92">
    <cfRule type="cellIs" dxfId="526" priority="86" operator="lessThan">
      <formula>0.8</formula>
    </cfRule>
    <cfRule type="cellIs" dxfId="525" priority="87" operator="greaterThan">
      <formula>0.8</formula>
    </cfRule>
  </conditionalFormatting>
  <conditionalFormatting sqref="Y6:AF92">
    <cfRule type="notContainsText" dxfId="524" priority="84" operator="notContains" text="Caida">
      <formula>ISERROR(SEARCH("Caida",Y6))</formula>
    </cfRule>
    <cfRule type="containsText" dxfId="523" priority="85" operator="containsText" text="Caida">
      <formula>NOT(ISERROR(SEARCH("Caida",Y6)))</formula>
    </cfRule>
  </conditionalFormatting>
  <conditionalFormatting sqref="Y93:AF95">
    <cfRule type="cellIs" dxfId="522" priority="82" operator="lessThan">
      <formula>0.8</formula>
    </cfRule>
    <cfRule type="cellIs" dxfId="521" priority="83" operator="greaterThan">
      <formula>0.8</formula>
    </cfRule>
  </conditionalFormatting>
  <conditionalFormatting sqref="Y93:AF95">
    <cfRule type="notContainsText" dxfId="520" priority="80" operator="notContains" text="Caida">
      <formula>ISERROR(SEARCH("Caida",Y93))</formula>
    </cfRule>
    <cfRule type="containsText" dxfId="519" priority="81" operator="containsText" text="Caida">
      <formula>NOT(ISERROR(SEARCH("Caida",Y93)))</formula>
    </cfRule>
  </conditionalFormatting>
  <conditionalFormatting sqref="AF1:AF1048576">
    <cfRule type="cellIs" dxfId="518" priority="79" operator="equal">
      <formula>"apagado"</formula>
    </cfRule>
  </conditionalFormatting>
  <conditionalFormatting sqref="AE1:AE1048576">
    <cfRule type="cellIs" dxfId="517" priority="78" operator="equal">
      <formula>"apagado"</formula>
    </cfRule>
  </conditionalFormatting>
  <conditionalFormatting sqref="AD1:AD1048576">
    <cfRule type="cellIs" dxfId="516" priority="77" operator="equal">
      <formula>"apagado"</formula>
    </cfRule>
  </conditionalFormatting>
  <conditionalFormatting sqref="AC1:AC1048576">
    <cfRule type="cellIs" dxfId="515" priority="76" operator="equal">
      <formula>"apagado"</formula>
    </cfRule>
  </conditionalFormatting>
  <conditionalFormatting sqref="AB1:AB1048576">
    <cfRule type="cellIs" dxfId="514" priority="75" operator="equal">
      <formula>"apagado"</formula>
    </cfRule>
  </conditionalFormatting>
  <conditionalFormatting sqref="AA1:AA1048576">
    <cfRule type="cellIs" dxfId="513" priority="74" operator="equal">
      <formula>"apagado"</formula>
    </cfRule>
  </conditionalFormatting>
  <conditionalFormatting sqref="Z1:Z1048576">
    <cfRule type="cellIs" dxfId="512" priority="73" operator="equal">
      <formula>"apagado"</formula>
    </cfRule>
  </conditionalFormatting>
  <conditionalFormatting sqref="Y1:Y1048576">
    <cfRule type="cellIs" dxfId="511" priority="72" operator="equal">
      <formula>"apagado"</formula>
    </cfRule>
  </conditionalFormatting>
  <conditionalFormatting sqref="AG6:AG92">
    <cfRule type="cellIs" dxfId="510" priority="70" operator="lessThan">
      <formula>0.8</formula>
    </cfRule>
    <cfRule type="cellIs" dxfId="509" priority="71" operator="greaterThan">
      <formula>0.8</formula>
    </cfRule>
  </conditionalFormatting>
  <conditionalFormatting sqref="AG6:AG92">
    <cfRule type="notContainsText" dxfId="508" priority="68" operator="notContains" text="Caida">
      <formula>ISERROR(SEARCH("Caida",AG6))</formula>
    </cfRule>
    <cfRule type="containsText" dxfId="507" priority="69" operator="containsText" text="Caida">
      <formula>NOT(ISERROR(SEARCH("Caida",AG6)))</formula>
    </cfRule>
  </conditionalFormatting>
  <conditionalFormatting sqref="AG93:AG95">
    <cfRule type="cellIs" dxfId="506" priority="66" operator="lessThan">
      <formula>0.8</formula>
    </cfRule>
    <cfRule type="cellIs" dxfId="505" priority="67" operator="greaterThan">
      <formula>0.8</formula>
    </cfRule>
  </conditionalFormatting>
  <conditionalFormatting sqref="AG93:AG95">
    <cfRule type="notContainsText" dxfId="504" priority="64" operator="notContains" text="Caida">
      <formula>ISERROR(SEARCH("Caida",AG93))</formula>
    </cfRule>
    <cfRule type="containsText" dxfId="503" priority="65" operator="containsText" text="Caida">
      <formula>NOT(ISERROR(SEARCH("Caida",AG93)))</formula>
    </cfRule>
  </conditionalFormatting>
  <conditionalFormatting sqref="AG1:AG1048576">
    <cfRule type="cellIs" dxfId="502" priority="63" operator="equal">
      <formula>"apagado"</formula>
    </cfRule>
  </conditionalFormatting>
  <conditionalFormatting sqref="AH6:AH92">
    <cfRule type="cellIs" dxfId="501" priority="61" operator="lessThan">
      <formula>0.8</formula>
    </cfRule>
    <cfRule type="cellIs" dxfId="500" priority="62" operator="greaterThan">
      <formula>0.8</formula>
    </cfRule>
  </conditionalFormatting>
  <conditionalFormatting sqref="AH6:AH92">
    <cfRule type="notContainsText" dxfId="499" priority="59" operator="notContains" text="Caida">
      <formula>ISERROR(SEARCH("Caida",AH6))</formula>
    </cfRule>
    <cfRule type="containsText" dxfId="498" priority="60" operator="containsText" text="Caida">
      <formula>NOT(ISERROR(SEARCH("Caida",AH6)))</formula>
    </cfRule>
  </conditionalFormatting>
  <conditionalFormatting sqref="AH93:AH95">
    <cfRule type="cellIs" dxfId="497" priority="57" operator="lessThan">
      <formula>0.8</formula>
    </cfRule>
    <cfRule type="cellIs" dxfId="496" priority="58" operator="greaterThan">
      <formula>0.8</formula>
    </cfRule>
  </conditionalFormatting>
  <conditionalFormatting sqref="AH93:AH95">
    <cfRule type="notContainsText" dxfId="495" priority="55" operator="notContains" text="Caida">
      <formula>ISERROR(SEARCH("Caida",AH93))</formula>
    </cfRule>
    <cfRule type="containsText" dxfId="494" priority="56" operator="containsText" text="Caida">
      <formula>NOT(ISERROR(SEARCH("Caida",AH93)))</formula>
    </cfRule>
  </conditionalFormatting>
  <conditionalFormatting sqref="AH1:AH1048576">
    <cfRule type="cellIs" dxfId="493" priority="54" operator="equal">
      <formula>"apagado"</formula>
    </cfRule>
  </conditionalFormatting>
  <conditionalFormatting sqref="AI6:AI92">
    <cfRule type="cellIs" dxfId="492" priority="52" operator="lessThan">
      <formula>0.8</formula>
    </cfRule>
    <cfRule type="cellIs" dxfId="491" priority="53" operator="greaterThan">
      <formula>0.8</formula>
    </cfRule>
  </conditionalFormatting>
  <conditionalFormatting sqref="AI6:AI92">
    <cfRule type="notContainsText" dxfId="490" priority="50" operator="notContains" text="Caida">
      <formula>ISERROR(SEARCH("Caida",AI6))</formula>
    </cfRule>
    <cfRule type="containsText" dxfId="489" priority="51" operator="containsText" text="Caida">
      <formula>NOT(ISERROR(SEARCH("Caida",AI6)))</formula>
    </cfRule>
  </conditionalFormatting>
  <conditionalFormatting sqref="AI93:AI95">
    <cfRule type="cellIs" dxfId="488" priority="48" operator="lessThan">
      <formula>0.8</formula>
    </cfRule>
    <cfRule type="cellIs" dxfId="487" priority="49" operator="greaterThan">
      <formula>0.8</formula>
    </cfRule>
  </conditionalFormatting>
  <conditionalFormatting sqref="AI93:AI95">
    <cfRule type="notContainsText" dxfId="486" priority="46" operator="notContains" text="Caida">
      <formula>ISERROR(SEARCH("Caida",AI93))</formula>
    </cfRule>
    <cfRule type="containsText" dxfId="485" priority="47" operator="containsText" text="Caida">
      <formula>NOT(ISERROR(SEARCH("Caida",AI93)))</formula>
    </cfRule>
  </conditionalFormatting>
  <conditionalFormatting sqref="AI1:AI1048576">
    <cfRule type="cellIs" dxfId="484" priority="45" operator="equal">
      <formula>"apagado"</formula>
    </cfRule>
  </conditionalFormatting>
  <conditionalFormatting sqref="AJ6:AJ92">
    <cfRule type="cellIs" dxfId="483" priority="43" operator="lessThan">
      <formula>0.8</formula>
    </cfRule>
    <cfRule type="cellIs" dxfId="482" priority="44" operator="greaterThan">
      <formula>0.8</formula>
    </cfRule>
  </conditionalFormatting>
  <conditionalFormatting sqref="AJ6:AJ92">
    <cfRule type="notContainsText" dxfId="481" priority="41" operator="notContains" text="Caida">
      <formula>ISERROR(SEARCH("Caida",AJ6))</formula>
    </cfRule>
    <cfRule type="containsText" dxfId="480" priority="42" operator="containsText" text="Caida">
      <formula>NOT(ISERROR(SEARCH("Caida",AJ6)))</formula>
    </cfRule>
  </conditionalFormatting>
  <conditionalFormatting sqref="AJ93:AJ95">
    <cfRule type="cellIs" dxfId="479" priority="39" operator="lessThan">
      <formula>0.8</formula>
    </cfRule>
    <cfRule type="cellIs" dxfId="478" priority="40" operator="greaterThan">
      <formula>0.8</formula>
    </cfRule>
  </conditionalFormatting>
  <conditionalFormatting sqref="AJ93:AJ95">
    <cfRule type="notContainsText" dxfId="477" priority="37" operator="notContains" text="Caida">
      <formula>ISERROR(SEARCH("Caida",AJ93))</formula>
    </cfRule>
    <cfRule type="containsText" dxfId="476" priority="38" operator="containsText" text="Caida">
      <formula>NOT(ISERROR(SEARCH("Caida",AJ93)))</formula>
    </cfRule>
  </conditionalFormatting>
  <conditionalFormatting sqref="AJ1:AJ1048576">
    <cfRule type="cellIs" dxfId="475" priority="36" operator="equal">
      <formula>"apagado"</formula>
    </cfRule>
  </conditionalFormatting>
  <conditionalFormatting sqref="AQ95:AQ369">
    <cfRule type="cellIs" dxfId="474" priority="17" operator="lessThan">
      <formula>0.8</formula>
    </cfRule>
    <cfRule type="cellIs" dxfId="473" priority="18" operator="greaterThan">
      <formula>0.8</formula>
    </cfRule>
  </conditionalFormatting>
  <conditionalFormatting sqref="AQ95:AQ372 AQ391:AQ1048576">
    <cfRule type="notContainsText" dxfId="472" priority="15" operator="notContains" text="Caida">
      <formula>ISERROR(SEARCH("Caida",AQ95))</formula>
    </cfRule>
    <cfRule type="containsText" dxfId="471" priority="16" operator="containsText" text="Caida">
      <formula>NOT(ISERROR(SEARCH("Caida",AQ95)))</formula>
    </cfRule>
  </conditionalFormatting>
  <conditionalFormatting sqref="AQ6:AQ92">
    <cfRule type="cellIs" dxfId="470" priority="13" operator="lessThan">
      <formula>0.8</formula>
    </cfRule>
    <cfRule type="cellIs" dxfId="469" priority="14" operator="greaterThan">
      <formula>0.8</formula>
    </cfRule>
  </conditionalFormatting>
  <conditionalFormatting sqref="AQ6:AQ92">
    <cfRule type="notContainsText" dxfId="468" priority="11" operator="notContains" text="Caida">
      <formula>ISERROR(SEARCH("Caida",AQ6))</formula>
    </cfRule>
    <cfRule type="containsText" dxfId="467" priority="12" operator="containsText" text="Caida">
      <formula>NOT(ISERROR(SEARCH("Caida",AQ6)))</formula>
    </cfRule>
  </conditionalFormatting>
  <conditionalFormatting sqref="AQ93:AQ94">
    <cfRule type="cellIs" dxfId="466" priority="9" operator="lessThan">
      <formula>0.8</formula>
    </cfRule>
    <cfRule type="cellIs" dxfId="465" priority="10" operator="greaterThan">
      <formula>0.8</formula>
    </cfRule>
  </conditionalFormatting>
  <conditionalFormatting sqref="AQ93:AQ94">
    <cfRule type="notContainsText" dxfId="464" priority="7" operator="notContains" text="Caida">
      <formula>ISERROR(SEARCH("Caida",AQ93))</formula>
    </cfRule>
    <cfRule type="containsText" dxfId="463" priority="8" operator="containsText" text="Caida">
      <formula>NOT(ISERROR(SEARCH("Caida",AQ93)))</formula>
    </cfRule>
  </conditionalFormatting>
  <conditionalFormatting sqref="AQ10">
    <cfRule type="cellIs" dxfId="462" priority="5" operator="lessThan">
      <formula>0.8</formula>
    </cfRule>
    <cfRule type="cellIs" dxfId="461" priority="6" operator="greaterThan">
      <formula>0.8</formula>
    </cfRule>
    <cfRule type="cellIs" dxfId="460" priority="2" operator="equal">
      <formula>"apagado"</formula>
    </cfRule>
  </conditionalFormatting>
  <conditionalFormatting sqref="AQ10">
    <cfRule type="notContainsText" dxfId="459" priority="3" operator="notContains" text="Caida">
      <formula>ISERROR(SEARCH("Caida",AQ10))</formula>
    </cfRule>
    <cfRule type="containsText" dxfId="458" priority="4" operator="containsText" text="Caida">
      <formula>NOT(ISERROR(SEARCH("Caida",AQ10)))</formula>
    </cfRule>
  </conditionalFormatting>
  <conditionalFormatting sqref="AQ1:AQ1048576">
    <cfRule type="cellIs" dxfId="0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topLeftCell="A4" workbookViewId="0">
      <selection activeCell="B21" sqref="B21"/>
    </sheetView>
  </sheetViews>
  <sheetFormatPr baseColWidth="10" defaultColWidth="11.5546875" defaultRowHeight="14.4" x14ac:dyDescent="0.3"/>
  <cols>
    <col min="1" max="1" width="18.33203125" style="47" bestFit="1" customWidth="1"/>
    <col min="2" max="2" width="81.109375" style="47" bestFit="1" customWidth="1"/>
    <col min="3" max="16384" width="11.5546875" style="47"/>
  </cols>
  <sheetData>
    <row r="1" spans="1:1" x14ac:dyDescent="0.3">
      <c r="A1" s="47" t="s">
        <v>1312</v>
      </c>
    </row>
    <row r="2" spans="1:1" ht="15" thickBot="1" x14ac:dyDescent="0.35"/>
    <row r="3" spans="1:1" ht="19.2" thickTop="1" thickBot="1" x14ac:dyDescent="0.35">
      <c r="A3" s="48">
        <v>44621</v>
      </c>
    </row>
    <row r="4" spans="1:1" ht="19.2" thickTop="1" thickBot="1" x14ac:dyDescent="0.35">
      <c r="A4" s="48">
        <v>44622</v>
      </c>
    </row>
    <row r="5" spans="1:1" ht="19.2" thickTop="1" thickBot="1" x14ac:dyDescent="0.35">
      <c r="A5" s="48">
        <v>44623</v>
      </c>
    </row>
    <row r="6" spans="1:1" ht="19.2" thickTop="1" thickBot="1" x14ac:dyDescent="0.35">
      <c r="A6" s="48">
        <v>44624</v>
      </c>
    </row>
    <row r="7" spans="1:1" ht="19.2" thickTop="1" thickBot="1" x14ac:dyDescent="0.35">
      <c r="A7" s="48">
        <v>44625</v>
      </c>
    </row>
    <row r="8" spans="1:1" ht="19.2" thickTop="1" thickBot="1" x14ac:dyDescent="0.35">
      <c r="A8" s="48">
        <v>44626</v>
      </c>
    </row>
    <row r="9" spans="1:1" ht="19.2" thickTop="1" thickBot="1" x14ac:dyDescent="0.35">
      <c r="A9" s="48">
        <v>44627</v>
      </c>
    </row>
    <row r="10" spans="1:1" ht="19.2" thickTop="1" thickBot="1" x14ac:dyDescent="0.35">
      <c r="A10" s="48">
        <v>44628</v>
      </c>
    </row>
    <row r="11" spans="1:1" ht="19.2" thickTop="1" thickBot="1" x14ac:dyDescent="0.35">
      <c r="A11" s="48">
        <v>44629</v>
      </c>
    </row>
    <row r="12" spans="1:1" ht="19.2" thickTop="1" thickBot="1" x14ac:dyDescent="0.35">
      <c r="A12" s="48">
        <v>44630</v>
      </c>
    </row>
    <row r="13" spans="1:1" ht="19.2" thickTop="1" thickBot="1" x14ac:dyDescent="0.35">
      <c r="A13" s="48">
        <v>44631</v>
      </c>
    </row>
    <row r="14" spans="1:1" ht="19.2" thickTop="1" thickBot="1" x14ac:dyDescent="0.35">
      <c r="A14" s="48">
        <v>44632</v>
      </c>
    </row>
    <row r="15" spans="1:1" ht="19.2" thickTop="1" thickBot="1" x14ac:dyDescent="0.35">
      <c r="A15" s="48">
        <v>44633</v>
      </c>
    </row>
    <row r="16" spans="1:1" ht="19.2" thickTop="1" thickBot="1" x14ac:dyDescent="0.35">
      <c r="A16" s="48">
        <v>44634</v>
      </c>
    </row>
    <row r="17" spans="1:2" ht="19.2" thickTop="1" thickBot="1" x14ac:dyDescent="0.35">
      <c r="A17" s="48">
        <v>44635</v>
      </c>
    </row>
    <row r="18" spans="1:2" ht="19.2" thickTop="1" thickBot="1" x14ac:dyDescent="0.35">
      <c r="A18" s="48">
        <v>44636</v>
      </c>
    </row>
    <row r="19" spans="1:2" ht="19.2" thickTop="1" thickBot="1" x14ac:dyDescent="0.35">
      <c r="A19" s="48">
        <v>44637</v>
      </c>
    </row>
    <row r="20" spans="1:2" ht="19.2" thickTop="1" thickBot="1" x14ac:dyDescent="0.35">
      <c r="A20" s="48">
        <v>44638</v>
      </c>
    </row>
    <row r="21" spans="1:2" ht="19.2" thickTop="1" thickBot="1" x14ac:dyDescent="0.35">
      <c r="A21" s="48">
        <v>44639</v>
      </c>
    </row>
    <row r="22" spans="1:2" ht="19.2" thickTop="1" thickBot="1" x14ac:dyDescent="0.35">
      <c r="A22" s="48">
        <v>44640</v>
      </c>
    </row>
    <row r="23" spans="1:2" ht="19.2" thickTop="1" thickBot="1" x14ac:dyDescent="0.35">
      <c r="A23" s="48">
        <v>44641</v>
      </c>
      <c r="B23" s="49"/>
    </row>
    <row r="24" spans="1:2" ht="19.2" thickTop="1" thickBot="1" x14ac:dyDescent="0.35">
      <c r="A24" s="48">
        <v>44642</v>
      </c>
      <c r="B24" s="50"/>
    </row>
    <row r="25" spans="1:2" ht="19.2" thickTop="1" thickBot="1" x14ac:dyDescent="0.35">
      <c r="A25" s="48">
        <v>44643</v>
      </c>
    </row>
    <row r="26" spans="1:2" ht="19.2" thickTop="1" thickBot="1" x14ac:dyDescent="0.35">
      <c r="A26" s="48">
        <v>44644</v>
      </c>
    </row>
    <row r="27" spans="1:2" ht="19.2" thickTop="1" thickBot="1" x14ac:dyDescent="0.35">
      <c r="A27" s="48">
        <v>44645</v>
      </c>
    </row>
    <row r="28" spans="1:2" ht="19.2" thickTop="1" thickBot="1" x14ac:dyDescent="0.35">
      <c r="A28" s="48">
        <v>44646</v>
      </c>
    </row>
    <row r="29" spans="1:2" ht="19.2" thickTop="1" thickBot="1" x14ac:dyDescent="0.35">
      <c r="A29" s="48">
        <v>44647</v>
      </c>
    </row>
    <row r="30" spans="1:2" ht="19.2" thickTop="1" thickBot="1" x14ac:dyDescent="0.35">
      <c r="A30" s="48">
        <v>44648</v>
      </c>
    </row>
    <row r="31" spans="1:2" ht="19.2" thickTop="1" thickBot="1" x14ac:dyDescent="0.35">
      <c r="A31" s="48">
        <v>44649</v>
      </c>
    </row>
    <row r="32" spans="1:2" ht="19.2" thickTop="1" thickBot="1" x14ac:dyDescent="0.35">
      <c r="A32" s="48">
        <v>44650</v>
      </c>
    </row>
    <row r="33" spans="1:1" ht="19.2" thickTop="1" thickBot="1" x14ac:dyDescent="0.35">
      <c r="A33" s="48">
        <v>44651</v>
      </c>
    </row>
    <row r="34" spans="1:1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T85" workbookViewId="0">
      <selection activeCell="AG2" sqref="AG2:AJ37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44621</v>
      </c>
      <c r="G1" s="25">
        <f>'RESUMEN TOTAL'!P4</f>
        <v>44622</v>
      </c>
      <c r="H1" s="25">
        <f>'RESUMEN TOTAL'!Q4</f>
        <v>44623</v>
      </c>
      <c r="I1" s="25">
        <f>'RESUMEN TOTAL'!R4</f>
        <v>44624</v>
      </c>
      <c r="J1" s="25">
        <f>'RESUMEN TOTAL'!S4</f>
        <v>44625</v>
      </c>
      <c r="K1" s="25">
        <f>'RESUMEN TOTAL'!T4</f>
        <v>44626</v>
      </c>
      <c r="L1" s="25">
        <f>'RESUMEN TOTAL'!U4</f>
        <v>44627</v>
      </c>
      <c r="M1" s="25">
        <f>'RESUMEN TOTAL'!V4</f>
        <v>44628</v>
      </c>
      <c r="N1" s="25">
        <f>'RESUMEN TOTAL'!W4</f>
        <v>44629</v>
      </c>
      <c r="O1" s="25">
        <f>'RESUMEN TOTAL'!X4</f>
        <v>44630</v>
      </c>
      <c r="P1" s="25">
        <f>'RESUMEN TOTAL'!Y4</f>
        <v>44631</v>
      </c>
      <c r="Q1" s="25">
        <f>'RESUMEN TOTAL'!Z4</f>
        <v>44632</v>
      </c>
      <c r="R1" s="25">
        <f>'RESUMEN TOTAL'!AA4</f>
        <v>44633</v>
      </c>
      <c r="S1" s="25">
        <f>'RESUMEN TOTAL'!AB4</f>
        <v>44634</v>
      </c>
      <c r="T1" s="25">
        <f>'RESUMEN TOTAL'!AC4</f>
        <v>44635</v>
      </c>
      <c r="U1" s="25">
        <f>'RESUMEN TOTAL'!AD4</f>
        <v>44636</v>
      </c>
      <c r="V1" s="25">
        <f>'RESUMEN TOTAL'!AE4</f>
        <v>44637</v>
      </c>
      <c r="W1" s="25">
        <f>'RESUMEN TOTAL'!AF4</f>
        <v>44638</v>
      </c>
      <c r="X1" s="25">
        <f>'RESUMEN TOTAL'!AG4</f>
        <v>44639</v>
      </c>
      <c r="Y1" s="25">
        <f>'RESUMEN TOTAL'!AH4</f>
        <v>44640</v>
      </c>
      <c r="Z1" s="25">
        <f>'RESUMEN TOTAL'!AI4</f>
        <v>44641</v>
      </c>
      <c r="AA1" s="25">
        <f>'RESUMEN TOTAL'!AJ4</f>
        <v>44642</v>
      </c>
      <c r="AB1" s="25">
        <f>'RESUMEN TOTAL'!AK4</f>
        <v>44643</v>
      </c>
      <c r="AC1" s="25">
        <f>'RESUMEN TOTAL'!AL4</f>
        <v>44644</v>
      </c>
      <c r="AD1" s="25">
        <f>'RESUMEN TOTAL'!AM4</f>
        <v>44645</v>
      </c>
      <c r="AE1" s="25">
        <f>'RESUMEN TOTAL'!AN4</f>
        <v>44646</v>
      </c>
      <c r="AF1" s="25">
        <f>'RESUMEN TOTAL'!AO4</f>
        <v>44647</v>
      </c>
      <c r="AG1" s="25">
        <f>'RESUMEN TOTAL'!AP4</f>
        <v>44648</v>
      </c>
      <c r="AH1" s="25">
        <f>'RESUMEN TOTAL'!AQ4</f>
        <v>44649</v>
      </c>
      <c r="AI1" s="25">
        <f>'RESUMEN TOTAL'!AR4</f>
        <v>44650</v>
      </c>
      <c r="AJ1" s="25">
        <f>'RESUMEN TOTAL'!AS4</f>
        <v>44651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 t="str">
        <f>'RESUMEN TOTAL'!Y5</f>
        <v>APAGADO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 t="str">
        <f>'RESUMEN TOTAL'!AK5</f>
        <v>APAGADO</v>
      </c>
      <c r="AC2" t="str">
        <f>'RESUMEN TOTAL'!AL5</f>
        <v>APAGADO</v>
      </c>
      <c r="AD2" t="str">
        <f>'RESUMEN TOTAL'!AM5</f>
        <v>APAGADO</v>
      </c>
      <c r="AE2" t="str">
        <f>'RESUMEN TOTAL'!AN5</f>
        <v>APAGADO</v>
      </c>
      <c r="AF2" t="str">
        <f>'RESUMEN TOTAL'!AO5</f>
        <v>APAGADO</v>
      </c>
      <c r="AG2" t="str">
        <f>'RESUMEN TOTAL'!AP5</f>
        <v>APAGADO</v>
      </c>
      <c r="AH2" t="str">
        <f>'RESUMEN TOTAL'!AQ5</f>
        <v>APAGADO</v>
      </c>
      <c r="AI2">
        <f>'RESUMEN TOTAL'!AR5</f>
        <v>0</v>
      </c>
      <c r="AJ2">
        <f>'RESUMEN TOTAL'!AS5</f>
        <v>0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>
        <f>'RESUMEN TOTAL'!AS6</f>
        <v>0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>
        <f>'RESUMEN TOTAL'!AS7</f>
        <v>0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>
        <f>'RESUMEN TOTAL'!AS8</f>
        <v>0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>
        <f>'RESUMEN TOTAL'!AS9</f>
        <v>0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 t="str">
        <f>'RESUMEN TOTAL'!AL10</f>
        <v>APAGADO</v>
      </c>
      <c r="AD7" t="str">
        <f>'RESUMEN TOTAL'!AM10</f>
        <v>APAGADO</v>
      </c>
      <c r="AE7" t="str">
        <f>'RESUMEN TOTAL'!AN10</f>
        <v>APAGADO</v>
      </c>
      <c r="AF7" t="str">
        <f>'RESUMEN TOTAL'!AO10</f>
        <v>APAGADO</v>
      </c>
      <c r="AG7" t="str">
        <f>'RESUMEN TOTAL'!AP10</f>
        <v>APAGADO</v>
      </c>
      <c r="AH7" t="str">
        <f>'RESUMEN TOTAL'!AQ10</f>
        <v>APAGADO</v>
      </c>
      <c r="AI7">
        <f>'RESUMEN TOTAL'!AR10</f>
        <v>0</v>
      </c>
      <c r="AJ7">
        <f>'RESUMEN TOTAL'!AS10</f>
        <v>0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>
        <f>'RESUMEN TOTAL'!AS11</f>
        <v>0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>
        <f>'RESUMEN TOTAL'!AS12</f>
        <v>0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 t="str">
        <f>'RESUMEN TOTAL'!AJ13</f>
        <v>APAGADO</v>
      </c>
      <c r="AB10">
        <f>'RESUMEN TOTAL'!AK13</f>
        <v>0</v>
      </c>
      <c r="AC10" t="str">
        <f>'RESUMEN TOTAL'!AL13</f>
        <v>APAGADO</v>
      </c>
      <c r="AD10" t="str">
        <f>'RESUMEN TOTAL'!AM13</f>
        <v>APAGADO</v>
      </c>
      <c r="AE10" t="str">
        <f>'RESUMEN TOTAL'!AN13</f>
        <v>APAGADO</v>
      </c>
      <c r="AF10" t="str">
        <f>'RESUMEN TOTAL'!AO13</f>
        <v>APAGADO</v>
      </c>
      <c r="AG10" t="str">
        <f>'RESUMEN TOTAL'!AP13</f>
        <v>APAGADO</v>
      </c>
      <c r="AH10" t="str">
        <f>'RESUMEN TOTAL'!AQ13</f>
        <v>APAGADO</v>
      </c>
      <c r="AI10">
        <f>'RESUMEN TOTAL'!AR13</f>
        <v>0</v>
      </c>
      <c r="AJ10">
        <f>'RESUMEN TOTAL'!AS13</f>
        <v>0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>
        <f>'RESUMEN TOTAL'!AH14</f>
        <v>0</v>
      </c>
      <c r="Z11">
        <f>'RESUMEN TOTAL'!AI14</f>
        <v>0</v>
      </c>
      <c r="AA11" t="str">
        <f>'RESUMEN TOTAL'!AJ14</f>
        <v>APAGADO</v>
      </c>
      <c r="AB11">
        <f>'RESUMEN TOTAL'!AK14</f>
        <v>0</v>
      </c>
      <c r="AC11" t="str">
        <f>'RESUMEN TOTAL'!AL14</f>
        <v>APAGADO</v>
      </c>
      <c r="AD11" t="str">
        <f>'RESUMEN TOTAL'!AM14</f>
        <v>APAGADO</v>
      </c>
      <c r="AE11">
        <f>'RESUMEN TOTAL'!AN14</f>
        <v>0</v>
      </c>
      <c r="AF11" t="str">
        <f>'RESUMEN TOTAL'!AO14</f>
        <v>APAGADO</v>
      </c>
      <c r="AG11" t="str">
        <f>'RESUMEN TOTAL'!AP14</f>
        <v>APAGADO</v>
      </c>
      <c r="AH11" t="str">
        <f>'RESUMEN TOTAL'!AQ14</f>
        <v>APAGADO</v>
      </c>
      <c r="AI11">
        <f>'RESUMEN TOTAL'!AR14</f>
        <v>0</v>
      </c>
      <c r="AJ11">
        <f>'RESUMEN TOTAL'!AS14</f>
        <v>0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 t="str">
        <f>'RESUMEN TOTAL'!AG15</f>
        <v>APAGADO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>
        <f>'RESUMEN TOTAL'!AS15</f>
        <v>0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>
        <f>'RESUMEN TOTAL'!AS16</f>
        <v>0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 t="str">
        <f>'RESUMEN TOTAL'!AJ17</f>
        <v>APAGADO</v>
      </c>
      <c r="AB14">
        <f>'RESUMEN TOTAL'!AK17</f>
        <v>0</v>
      </c>
      <c r="AC14" t="str">
        <f>'RESUMEN TOTAL'!AL17</f>
        <v>APAGADO</v>
      </c>
      <c r="AD14" t="str">
        <f>'RESUMEN TOTAL'!AM17</f>
        <v>APAGADO</v>
      </c>
      <c r="AE14" t="str">
        <f>'RESUMEN TOTAL'!AN17</f>
        <v>APAGADO</v>
      </c>
      <c r="AF14" t="str">
        <f>'RESUMEN TOTAL'!AO17</f>
        <v>APAGADO</v>
      </c>
      <c r="AG14" t="str">
        <f>'RESUMEN TOTAL'!AP17</f>
        <v>APAGADO</v>
      </c>
      <c r="AH14" t="str">
        <f>'RESUMEN TOTAL'!AQ17</f>
        <v>APAGADO</v>
      </c>
      <c r="AI14">
        <f>'RESUMEN TOTAL'!AR17</f>
        <v>0</v>
      </c>
      <c r="AJ14">
        <f>'RESUMEN TOTAL'!AS17</f>
        <v>0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 t="str">
        <f>'RESUMEN TOTAL'!AJ18</f>
        <v>APAGADO</v>
      </c>
      <c r="AB15">
        <f>'RESUMEN TOTAL'!AK18</f>
        <v>0</v>
      </c>
      <c r="AC15" t="str">
        <f>'RESUMEN TOTAL'!AL18</f>
        <v>APAGADO</v>
      </c>
      <c r="AD15" t="str">
        <f>'RESUMEN TOTAL'!AM18</f>
        <v>APAGADO</v>
      </c>
      <c r="AE15" t="str">
        <f>'RESUMEN TOTAL'!AN18</f>
        <v>APAGADO</v>
      </c>
      <c r="AF15" t="str">
        <f>'RESUMEN TOTAL'!AO18</f>
        <v>APAGADO</v>
      </c>
      <c r="AG15" t="str">
        <f>'RESUMEN TOTAL'!AP18</f>
        <v>APAGADO</v>
      </c>
      <c r="AH15" t="str">
        <f>'RESUMEN TOTAL'!AQ18</f>
        <v>APAGADO</v>
      </c>
      <c r="AI15">
        <f>'RESUMEN TOTAL'!AR18</f>
        <v>0</v>
      </c>
      <c r="AJ15">
        <f>'RESUMEN TOTAL'!AS18</f>
        <v>0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 t="str">
        <f>'RESUMEN TOTAL'!P19</f>
        <v>APAGADO</v>
      </c>
      <c r="H16" t="str">
        <f>'RESUMEN TOTAL'!Q19</f>
        <v>APAGADO</v>
      </c>
      <c r="I16" t="str">
        <f>'RESUMEN TOTAL'!R19</f>
        <v>APAGADO</v>
      </c>
      <c r="J16" t="str">
        <f>'RESUMEN TOTAL'!S19</f>
        <v>APAGADO</v>
      </c>
      <c r="K16" t="str">
        <f>'RESUMEN TOTAL'!T19</f>
        <v>APAGADO</v>
      </c>
      <c r="L16" t="str">
        <f>'RESUMEN TOTAL'!U19</f>
        <v>APAGADO</v>
      </c>
      <c r="M16" t="str">
        <f>'RESUMEN TOTAL'!V19</f>
        <v>APAGADO</v>
      </c>
      <c r="N16" t="str">
        <f>'RESUMEN TOTAL'!W19</f>
        <v>APAGADO</v>
      </c>
      <c r="O16" t="str">
        <f>'RESUMEN TOTAL'!X19</f>
        <v>APAGADO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>
        <f>'RESUMEN TOTAL'!AS19</f>
        <v>0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 t="str">
        <f>'RESUMEN TOTAL'!AL20</f>
        <v>APAGADO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>
        <f>'RESUMEN TOTAL'!AS20</f>
        <v>0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>
        <f>'RESUMEN TOTAL'!AS21</f>
        <v>0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>
        <f>'RESUMEN TOTAL'!AS22</f>
        <v>0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>
        <f>'RESUMEN TOTAL'!AS23</f>
        <v>0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 t="str">
        <f>'RESUMEN TOTAL'!R24</f>
        <v>APAGADO</v>
      </c>
      <c r="J21" t="str">
        <f>'RESUMEN TOTAL'!S24</f>
        <v>APAGADO</v>
      </c>
      <c r="K21" t="str">
        <f>'RESUMEN TOTAL'!T24</f>
        <v>APAGADO</v>
      </c>
      <c r="L21" t="str">
        <f>'RESUMEN TOTAL'!U24</f>
        <v>APAGADO</v>
      </c>
      <c r="M21">
        <f>'RESUMEN TOTAL'!V24</f>
        <v>0</v>
      </c>
      <c r="N21" t="str">
        <f>'RESUMEN TOTAL'!W24</f>
        <v>APAGADO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>
        <f>'RESUMEN TOTAL'!AS24</f>
        <v>0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>
        <f>'RESUMEN TOTAL'!AS25</f>
        <v>0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>
        <f>'RESUMEN TOTAL'!AS26</f>
        <v>0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>
        <f>'RESUMEN TOTAL'!AS27</f>
        <v>0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>
        <f>'RESUMEN TOTAL'!AS28</f>
        <v>0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>
        <f>'RESUMEN TOTAL'!AS29</f>
        <v>0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 t="str">
        <f>'RESUMEN TOTAL'!W30</f>
        <v>APAGADO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 t="str">
        <f>'RESUMEN TOTAL'!AG30</f>
        <v>APAGADO</v>
      </c>
      <c r="Y27" t="str">
        <f>'RESUMEN TOTAL'!AH30</f>
        <v>APAGADO</v>
      </c>
      <c r="Z27" t="str">
        <f>'RESUMEN TOTAL'!AI30</f>
        <v>APAGADO</v>
      </c>
      <c r="AA27" t="str">
        <f>'RESUMEN TOTAL'!AJ30</f>
        <v>APAGADO</v>
      </c>
      <c r="AB27" t="str">
        <f>'RESUMEN TOTAL'!AK30</f>
        <v>APAGADO</v>
      </c>
      <c r="AC27" t="str">
        <f>'RESUMEN TOTAL'!AL30</f>
        <v>APAGADO</v>
      </c>
      <c r="AD27" t="str">
        <f>'RESUMEN TOTAL'!AM30</f>
        <v>APAGADO</v>
      </c>
      <c r="AE27" t="str">
        <f>'RESUMEN TOTAL'!AN30</f>
        <v>APAGADO</v>
      </c>
      <c r="AF27" t="str">
        <f>'RESUMEN TOTAL'!AO30</f>
        <v>APAGADO</v>
      </c>
      <c r="AG27" t="str">
        <f>'RESUMEN TOTAL'!AP30</f>
        <v>APAGADO</v>
      </c>
      <c r="AH27" t="str">
        <f>'RESUMEN TOTAL'!AQ30</f>
        <v>APAGADO</v>
      </c>
      <c r="AI27">
        <f>'RESUMEN TOTAL'!AR30</f>
        <v>0</v>
      </c>
      <c r="AJ27">
        <f>'RESUMEN TOTAL'!AS30</f>
        <v>0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>
        <f>'RESUMEN TOTAL'!AS31</f>
        <v>0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>
        <f>'RESUMEN TOTAL'!AS32</f>
        <v>0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>
        <f>'RESUMEN TOTAL'!AS33</f>
        <v>0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 t="str">
        <f>'RESUMEN TOTAL'!AL34</f>
        <v>APAGADO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>
        <f>'RESUMEN TOTAL'!AS34</f>
        <v>0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 t="str">
        <f>'RESUMEN TOTAL'!AL35</f>
        <v>APAGADO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>
        <f>'RESUMEN TOTAL'!AS35</f>
        <v>0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 t="str">
        <f>'RESUMEN TOTAL'!AL36</f>
        <v>APAGADO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>
        <f>'RESUMEN TOTAL'!AS36</f>
        <v>0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 t="str">
        <f>'RESUMEN TOTAL'!O37</f>
        <v>APAGADO</v>
      </c>
      <c r="G34" t="str">
        <f>'RESUMEN TOTAL'!P37</f>
        <v>APAGADO</v>
      </c>
      <c r="H34" t="str">
        <f>'RESUMEN TOTAL'!Q37</f>
        <v>APAGADO</v>
      </c>
      <c r="I34" t="str">
        <f>'RESUMEN TOTAL'!R37</f>
        <v>APAGADO</v>
      </c>
      <c r="J34" t="str">
        <f>'RESUMEN TOTAL'!S37</f>
        <v>APAGADO</v>
      </c>
      <c r="K34" t="str">
        <f>'RESUMEN TOTAL'!T37</f>
        <v>APAGADO</v>
      </c>
      <c r="L34" t="str">
        <f>'RESUMEN TOTAL'!U37</f>
        <v>APAGADO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>
        <f>'RESUMEN TOTAL'!AS37</f>
        <v>0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 t="str">
        <f>'RESUMEN TOTAL'!U38</f>
        <v xml:space="preserve"> 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>
        <f>'RESUMEN TOTAL'!AS38</f>
        <v>0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>
        <f>'RESUMEN TOTAL'!AS39</f>
        <v>0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>
        <f>'RESUMEN TOTAL'!AS40</f>
        <v>0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 t="str">
        <f>'RESUMEN TOTAL'!P41</f>
        <v>APAGADO</v>
      </c>
      <c r="H38" t="str">
        <f>'RESUMEN TOTAL'!Q41</f>
        <v>APAGADO</v>
      </c>
      <c r="I38" t="str">
        <f>'RESUMEN TOTAL'!R41</f>
        <v>APAGADO</v>
      </c>
      <c r="J38" t="str">
        <f>'RESUMEN TOTAL'!S41</f>
        <v>APAGADO</v>
      </c>
      <c r="K38" t="str">
        <f>'RESUMEN TOTAL'!T41</f>
        <v>APAGADO</v>
      </c>
      <c r="L38" t="str">
        <f>'RESUMEN TOTAL'!U41</f>
        <v>APAGADO</v>
      </c>
      <c r="M38">
        <f>'RESUMEN TOTAL'!V41</f>
        <v>0</v>
      </c>
      <c r="N38" t="str">
        <f>'RESUMEN TOTAL'!W41</f>
        <v>APAGADO</v>
      </c>
      <c r="O38" t="str">
        <f>'RESUMEN TOTAL'!X41</f>
        <v>APAGADO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 t="str">
        <f>'RESUMEN TOTAL'!AG41</f>
        <v>APAGADO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>
        <f>'RESUMEN TOTAL'!AS41</f>
        <v>0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>
        <f>'RESUMEN TOTAL'!AS42</f>
        <v>0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 t="str">
        <f>'RESUMEN TOTAL'!W43</f>
        <v>APAGADO</v>
      </c>
      <c r="O40" t="str">
        <f>'RESUMEN TOTAL'!X43</f>
        <v>APAGADO</v>
      </c>
      <c r="P40" t="str">
        <f>'RESUMEN TOTAL'!Y43</f>
        <v>APAGADO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>
        <f>'RESUMEN TOTAL'!AS43</f>
        <v>0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 t="str">
        <f>'RESUMEN TOTAL'!O44</f>
        <v>APAGADO</v>
      </c>
      <c r="G41" t="str">
        <f>'RESUMEN TOTAL'!P44</f>
        <v>APAGADO</v>
      </c>
      <c r="H41" t="str">
        <f>'RESUMEN TOTAL'!Q44</f>
        <v>APAGADO</v>
      </c>
      <c r="I41" t="str">
        <f>'RESUMEN TOTAL'!R44</f>
        <v>APAGADO</v>
      </c>
      <c r="J41" t="str">
        <f>'RESUMEN TOTAL'!S44</f>
        <v>APAGADO</v>
      </c>
      <c r="K41" t="str">
        <f>'RESUMEN TOTAL'!T44</f>
        <v>APAGADO</v>
      </c>
      <c r="L41" t="str">
        <f>'RESUMEN TOTAL'!U44</f>
        <v>APAGADO</v>
      </c>
      <c r="M41" t="str">
        <f>'RESUMEN TOTAL'!V44</f>
        <v>APAGADO</v>
      </c>
      <c r="N41" t="str">
        <f>'RESUMEN TOTAL'!W44</f>
        <v>APAGADO</v>
      </c>
      <c r="O41" t="str">
        <f>'RESUMEN TOTAL'!X44</f>
        <v>APAGADO</v>
      </c>
      <c r="P41" t="str">
        <f>'RESUMEN TOTAL'!Y44</f>
        <v>APAGADO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 t="str">
        <f>'RESUMEN TOTAL'!AG44</f>
        <v>APAGADO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>
        <f>'RESUMEN TOTAL'!AS44</f>
        <v>0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>
        <f>'RESUMEN TOTAL'!AS45</f>
        <v>0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>
        <f>'RESUMEN TOTAL'!AS46</f>
        <v>0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>
        <f>'RESUMEN TOTAL'!AS47</f>
        <v>0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 t="str">
        <f>'RESUMEN TOTAL'!W48</f>
        <v>APAGADO</v>
      </c>
      <c r="O45" t="str">
        <f>'RESUMEN TOTAL'!X48</f>
        <v>APAGADO</v>
      </c>
      <c r="P45" t="str">
        <f>'RESUMEN TOTAL'!Y48</f>
        <v>APAGADO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>
        <f>'RESUMEN TOTAL'!AS48</f>
        <v>0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 t="str">
        <f>'RESUMEN TOTAL'!AG49</f>
        <v>APAGADO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>
        <f>'RESUMEN TOTAL'!AS49</f>
        <v>0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>
        <f>'RESUMEN TOTAL'!AS50</f>
        <v>0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 t="str">
        <f>'RESUMEN TOTAL'!AG51</f>
        <v>APAGADO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 t="str">
        <f>'RESUMEN TOTAL'!AL51</f>
        <v>APAGADO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>
        <f>'RESUMEN TOTAL'!AS51</f>
        <v>0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 t="str">
        <f>'RESUMEN TOTAL'!O52</f>
        <v>APAGADO</v>
      </c>
      <c r="G49" t="str">
        <f>'RESUMEN TOTAL'!P52</f>
        <v>APAGADO</v>
      </c>
      <c r="H49" t="str">
        <f>'RESUMEN TOTAL'!Q52</f>
        <v>APAGADO</v>
      </c>
      <c r="I49" t="str">
        <f>'RESUMEN TOTAL'!R52</f>
        <v>APAGADO</v>
      </c>
      <c r="J49" t="str">
        <f>'RESUMEN TOTAL'!S52</f>
        <v>APAGADO</v>
      </c>
      <c r="K49" t="str">
        <f>'RESUMEN TOTAL'!T52</f>
        <v>APAGADO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 t="str">
        <f>'RESUMEN TOTAL'!Y52</f>
        <v>APAGADO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 t="str">
        <f>'RESUMEN TOTAL'!AG52</f>
        <v>APAGADO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>
        <f>'RESUMEN TOTAL'!AS52</f>
        <v>0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>
        <f>'RESUMEN TOTAL'!AS53</f>
        <v>0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>
        <f>'RESUMEN TOTAL'!AS54</f>
        <v>0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>
        <f>'RESUMEN TOTAL'!AS55</f>
        <v>0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>
        <f>'RESUMEN TOTAL'!AS56</f>
        <v>0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>
        <f>'RESUMEN TOTAL'!AS57</f>
        <v>0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>
        <f>'RESUMEN TOTAL'!AS58</f>
        <v>0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 t="str">
        <f>'RESUMEN TOTAL'!W59</f>
        <v>APAGADO</v>
      </c>
      <c r="O56" t="str">
        <f>'RESUMEN TOTAL'!X59</f>
        <v>APAGADO</v>
      </c>
      <c r="P56" t="str">
        <f>'RESUMEN TOTAL'!Y59</f>
        <v>APAGADO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>
        <f>'RESUMEN TOTAL'!AS59</f>
        <v>0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 t="str">
        <f>'RESUMEN TOTAL'!O60</f>
        <v>APAGADO</v>
      </c>
      <c r="G57" t="str">
        <f>'RESUMEN TOTAL'!P60</f>
        <v>APAGADO</v>
      </c>
      <c r="H57" t="str">
        <f>'RESUMEN TOTAL'!Q60</f>
        <v>APAGADO</v>
      </c>
      <c r="I57" t="str">
        <f>'RESUMEN TOTAL'!R60</f>
        <v>APAGADO</v>
      </c>
      <c r="J57" t="str">
        <f>'RESUMEN TOTAL'!S60</f>
        <v>APAGADO</v>
      </c>
      <c r="K57" t="str">
        <f>'RESUMEN TOTAL'!T60</f>
        <v>APAGADO</v>
      </c>
      <c r="L57" t="str">
        <f>'RESUMEN TOTAL'!U60</f>
        <v>APAGADO</v>
      </c>
      <c r="M57">
        <f>'RESUMEN TOTAL'!V60</f>
        <v>0</v>
      </c>
      <c r="N57" t="str">
        <f>'RESUMEN TOTAL'!W60</f>
        <v>APAGADO</v>
      </c>
      <c r="O57" t="str">
        <f>'RESUMEN TOTAL'!X60</f>
        <v>APAGADO</v>
      </c>
      <c r="P57" t="str">
        <f>'RESUMEN TOTAL'!Y60</f>
        <v>APAGADO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>
        <f>'RESUMEN TOTAL'!AS60</f>
        <v>0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>
        <f>'RESUMEN TOTAL'!AS61</f>
        <v>0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 t="str">
        <f>'RESUMEN TOTAL'!V62</f>
        <v>APAGADO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 t="str">
        <f>'RESUMEN TOTAL'!AN62</f>
        <v>APAGADO</v>
      </c>
      <c r="AF59" t="str">
        <f>'RESUMEN TOTAL'!AO62</f>
        <v>APAGADO</v>
      </c>
      <c r="AG59" t="str">
        <f>'RESUMEN TOTAL'!AP62</f>
        <v>APAGADO</v>
      </c>
      <c r="AH59" t="str">
        <f>'RESUMEN TOTAL'!AQ62</f>
        <v>APAGADO</v>
      </c>
      <c r="AI59">
        <f>'RESUMEN TOTAL'!AR62</f>
        <v>0</v>
      </c>
      <c r="AJ59">
        <f>'RESUMEN TOTAL'!AS62</f>
        <v>0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 t="str">
        <f>'RESUMEN TOTAL'!P63</f>
        <v>APAGADO</v>
      </c>
      <c r="H60" t="str">
        <f>'RESUMEN TOTAL'!Q63</f>
        <v>APAGADO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 t="str">
        <f>'RESUMEN TOTAL'!AN63</f>
        <v>APAGADO</v>
      </c>
      <c r="AF60" t="str">
        <f>'RESUMEN TOTAL'!AO63</f>
        <v>APAGADO</v>
      </c>
      <c r="AG60" t="str">
        <f>'RESUMEN TOTAL'!AP63</f>
        <v>APAGADO</v>
      </c>
      <c r="AH60" t="str">
        <f>'RESUMEN TOTAL'!AQ63</f>
        <v>APAGADO</v>
      </c>
      <c r="AI60">
        <f>'RESUMEN TOTAL'!AR63</f>
        <v>0</v>
      </c>
      <c r="AJ60">
        <f>'RESUMEN TOTAL'!AS63</f>
        <v>0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>
        <f>'RESUMEN TOTAL'!AS64</f>
        <v>0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 t="str">
        <f>'RESUMEN TOTAL'!P65</f>
        <v>APAGADO</v>
      </c>
      <c r="H62" t="str">
        <f>'RESUMEN TOTAL'!Q65</f>
        <v>APAGADO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 t="str">
        <f>'RESUMEN TOTAL'!AN65</f>
        <v>APAGADO</v>
      </c>
      <c r="AF62" t="str">
        <f>'RESUMEN TOTAL'!AO65</f>
        <v>APAGADO</v>
      </c>
      <c r="AG62" t="str">
        <f>'RESUMEN TOTAL'!AP65</f>
        <v>APAGADO</v>
      </c>
      <c r="AH62" t="str">
        <f>'RESUMEN TOTAL'!AQ65</f>
        <v>APAGADO</v>
      </c>
      <c r="AI62">
        <f>'RESUMEN TOTAL'!AR65</f>
        <v>0</v>
      </c>
      <c r="AJ62">
        <f>'RESUMEN TOTAL'!AS65</f>
        <v>0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>
        <f>'RESUMEN TOTAL'!AS66</f>
        <v>0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>
        <f>'RESUMEN TOTAL'!AS67</f>
        <v>0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 t="str">
        <f>'RESUMEN TOTAL'!P68</f>
        <v>APAGADO</v>
      </c>
      <c r="H65" t="str">
        <f>'RESUMEN TOTAL'!Q68</f>
        <v>APAGADO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 t="str">
        <f>'RESUMEN TOTAL'!AN68</f>
        <v>APAGADO</v>
      </c>
      <c r="AF65" t="str">
        <f>'RESUMEN TOTAL'!AO68</f>
        <v>APAGADO</v>
      </c>
      <c r="AG65" t="str">
        <f>'RESUMEN TOTAL'!AP68</f>
        <v>APAGADO</v>
      </c>
      <c r="AH65" t="str">
        <f>'RESUMEN TOTAL'!AQ68</f>
        <v>APAGADO</v>
      </c>
      <c r="AI65">
        <f>'RESUMEN TOTAL'!AR68</f>
        <v>0</v>
      </c>
      <c r="AJ65">
        <f>'RESUMEN TOTAL'!AS68</f>
        <v>0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>
        <f>'RESUMEN TOTAL'!AS69</f>
        <v>0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 t="str">
        <f>'RESUMEN TOTAL'!O70</f>
        <v>APAGADO</v>
      </c>
      <c r="G67" t="str">
        <f>'RESUMEN TOTAL'!P70</f>
        <v>APAGADO</v>
      </c>
      <c r="H67" t="str">
        <f>'RESUMEN TOTAL'!Q70</f>
        <v>APAGADO</v>
      </c>
      <c r="I67" t="str">
        <f>'RESUMEN TOTAL'!R70</f>
        <v>APAGADO</v>
      </c>
      <c r="J67" t="str">
        <f>'RESUMEN TOTAL'!S70</f>
        <v>APAGADO</v>
      </c>
      <c r="K67" t="str">
        <f>'RESUMEN TOTAL'!T70</f>
        <v>APAGADO</v>
      </c>
      <c r="L67" t="str">
        <f>'RESUMEN TOTAL'!U70</f>
        <v>APAGADO</v>
      </c>
      <c r="M67" t="str">
        <f>'RESUMEN TOTAL'!V70</f>
        <v>APAGADO</v>
      </c>
      <c r="N67" t="str">
        <f>'RESUMEN TOTAL'!W70</f>
        <v>APAGADO</v>
      </c>
      <c r="O67" t="str">
        <f>'RESUMEN TOTAL'!X70</f>
        <v>APAGADO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 t="str">
        <f>'RESUMEN TOTAL'!AG70</f>
        <v>APAGADO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 t="str">
        <f>'RESUMEN TOTAL'!AN70</f>
        <v>APAGADO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>
        <f>'RESUMEN TOTAL'!AS70</f>
        <v>0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>
        <f>'RESUMEN TOTAL'!AS71</f>
        <v>0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>
        <f>'RESUMEN TOTAL'!AS72</f>
        <v>0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>
        <f>'RESUMEN TOTAL'!AS73</f>
        <v>0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>
        <f>'RESUMEN TOTAL'!AS74</f>
        <v>0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>
        <f>'RESUMEN TOTAL'!AS75</f>
        <v>0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>
        <f>'RESUMEN TOTAL'!AS76</f>
        <v>0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>
        <f>'RESUMEN TOTAL'!AS77</f>
        <v>0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>
        <f>'RESUMEN TOTAL'!AS78</f>
        <v>0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>
        <f>'RESUMEN TOTAL'!AS79</f>
        <v>0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 t="str">
        <f>'RESUMEN TOTAL'!AN80</f>
        <v>APAGADO</v>
      </c>
      <c r="AF77" t="str">
        <f>'RESUMEN TOTAL'!AO80</f>
        <v>APAGADO</v>
      </c>
      <c r="AG77" t="str">
        <f>'RESUMEN TOTAL'!AP80</f>
        <v>APAGADO</v>
      </c>
      <c r="AH77" t="str">
        <f>'RESUMEN TOTAL'!AQ80</f>
        <v>APAGADO</v>
      </c>
      <c r="AI77">
        <f>'RESUMEN TOTAL'!AR80</f>
        <v>0</v>
      </c>
      <c r="AJ77">
        <f>'RESUMEN TOTAL'!AS80</f>
        <v>0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>
        <f>'RESUMEN TOTAL'!AS81</f>
        <v>0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 t="str">
        <f>'RESUMEN TOTAL'!AL82</f>
        <v>APAGADO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>
        <f>'RESUMEN TOTAL'!AS82</f>
        <v>0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>
        <f>'RESUMEN TOTAL'!AS83</f>
        <v>0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 t="str">
        <f>'RESUMEN TOTAL'!Y84</f>
        <v>APAGADO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>
        <f>'RESUMEN TOTAL'!AS84</f>
        <v>0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>
        <f>'RESUMEN TOTAL'!AS85</f>
        <v>0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 t="str">
        <f>'RESUMEN TOTAL'!O86</f>
        <v>APAGADO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>
        <f>'RESUMEN TOTAL'!AS86</f>
        <v>0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>
        <f>'RESUMEN TOTAL'!AS87</f>
        <v>0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 t="str">
        <f>'RESUMEN TOTAL'!O88</f>
        <v>APAGADO</v>
      </c>
      <c r="G85" t="str">
        <f>'RESUMEN TOTAL'!P88</f>
        <v>APAGADO</v>
      </c>
      <c r="H85" t="str">
        <f>'RESUMEN TOTAL'!Q88</f>
        <v>APAGADO</v>
      </c>
      <c r="I85" t="str">
        <f>'RESUMEN TOTAL'!R88</f>
        <v>APAGADO</v>
      </c>
      <c r="J85" t="str">
        <f>'RESUMEN TOTAL'!S88</f>
        <v>APAGADO</v>
      </c>
      <c r="K85" t="str">
        <f>'RESUMEN TOTAL'!T88</f>
        <v>APAGADO</v>
      </c>
      <c r="L85" t="str">
        <f>'RESUMEN TOTAL'!U88</f>
        <v>APAGADO</v>
      </c>
      <c r="M85" t="str">
        <f>'RESUMEN TOTAL'!V88</f>
        <v>APAGADO</v>
      </c>
      <c r="N85" t="str">
        <f>'RESUMEN TOTAL'!W88</f>
        <v>APAGADO</v>
      </c>
      <c r="O85" t="str">
        <f>'RESUMEN TOTAL'!X88</f>
        <v>APAGADO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>
        <f>'RESUMEN TOTAL'!AS88</f>
        <v>0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 t="str">
        <f>'RESUMEN TOTAL'!P89</f>
        <v>APAGADO</v>
      </c>
      <c r="H86" t="str">
        <f>'RESUMEN TOTAL'!Q89</f>
        <v>APAGADO</v>
      </c>
      <c r="I86" t="str">
        <f>'RESUMEN TOTAL'!R89</f>
        <v>APAGADO</v>
      </c>
      <c r="J86" t="str">
        <f>'RESUMEN TOTAL'!S89</f>
        <v>APAGADO</v>
      </c>
      <c r="K86" t="str">
        <f>'RESUMEN TOTAL'!T89</f>
        <v>APAGADO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 t="str">
        <f>'RESUMEN TOTAL'!AC89</f>
        <v>APAGADO</v>
      </c>
      <c r="U86" t="str">
        <f>'RESUMEN TOTAL'!AD89</f>
        <v>APAGADO</v>
      </c>
      <c r="V86" t="str">
        <f>'RESUMEN TOTAL'!AE89</f>
        <v>APAGADO</v>
      </c>
      <c r="W86" t="str">
        <f>'RESUMEN TOTAL'!AF89</f>
        <v>APAGADO</v>
      </c>
      <c r="X86" t="str">
        <f>'RESUMEN TOTAL'!AG89</f>
        <v>APAGADO</v>
      </c>
      <c r="Y86" t="str">
        <f>'RESUMEN TOTAL'!AH89</f>
        <v>APAGADO</v>
      </c>
      <c r="Z86" t="str">
        <f>'RESUMEN TOTAL'!AI89</f>
        <v>APAGADO</v>
      </c>
      <c r="AA86" t="str">
        <f>'RESUMEN TOTAL'!AJ89</f>
        <v>APAGADO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>
        <f>'RESUMEN TOTAL'!AS89</f>
        <v>0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 t="str">
        <f>'RESUMEN TOTAL'!P90</f>
        <v>APAGADO</v>
      </c>
      <c r="H87" t="str">
        <f>'RESUMEN TOTAL'!Q90</f>
        <v>APAGADO</v>
      </c>
      <c r="I87" t="str">
        <f>'RESUMEN TOTAL'!R90</f>
        <v>APAGADO</v>
      </c>
      <c r="J87" t="str">
        <f>'RESUMEN TOTAL'!S90</f>
        <v>APAGADO</v>
      </c>
      <c r="K87" t="str">
        <f>'RESUMEN TOTAL'!T90</f>
        <v>APAGADO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 t="str">
        <f>'RESUMEN TOTAL'!AC90</f>
        <v>APAGADO</v>
      </c>
      <c r="U87" t="str">
        <f>'RESUMEN TOTAL'!AD90</f>
        <v>APAGADO</v>
      </c>
      <c r="V87" t="str">
        <f>'RESUMEN TOTAL'!AE90</f>
        <v>APAGADO</v>
      </c>
      <c r="W87" t="str">
        <f>'RESUMEN TOTAL'!AF90</f>
        <v>APAGADO</v>
      </c>
      <c r="X87" t="str">
        <f>'RESUMEN TOTAL'!AG90</f>
        <v>APAGADO</v>
      </c>
      <c r="Y87" t="str">
        <f>'RESUMEN TOTAL'!AH90</f>
        <v>APAGADO</v>
      </c>
      <c r="Z87" t="str">
        <f>'RESUMEN TOTAL'!AI90</f>
        <v>APAGADO</v>
      </c>
      <c r="AA87" t="str">
        <f>'RESUMEN TOTAL'!AJ90</f>
        <v>APAGADO</v>
      </c>
      <c r="AB87">
        <f>'RESUMEN TOTAL'!AK90</f>
        <v>0</v>
      </c>
      <c r="AC87" t="str">
        <f>'RESUMEN TOTAL'!AL90</f>
        <v>APAGADO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>
        <f>'RESUMEN TOTAL'!AS90</f>
        <v>0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 t="str">
        <f>'RESUMEN TOTAL'!P91</f>
        <v>APAGADO</v>
      </c>
      <c r="H88" t="str">
        <f>'RESUMEN TOTAL'!Q91</f>
        <v>APAGADO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 t="str">
        <f>'RESUMEN TOTAL'!V91</f>
        <v>APAGADO</v>
      </c>
      <c r="N88" t="str">
        <f>'RESUMEN TOTAL'!W91</f>
        <v>APAGADO</v>
      </c>
      <c r="O88" t="str">
        <f>'RESUMEN TOTAL'!X91</f>
        <v>APAGADO</v>
      </c>
      <c r="P88" t="str">
        <f>'RESUMEN TOTAL'!Y91</f>
        <v>APAGADO</v>
      </c>
      <c r="Q88" t="str">
        <f>'RESUMEN TOTAL'!Z91</f>
        <v>APAGADO</v>
      </c>
      <c r="R88" t="str">
        <f>'RESUMEN TOTAL'!AA91</f>
        <v>APAGADO</v>
      </c>
      <c r="S88" t="str">
        <f>'RESUMEN TOTAL'!AB91</f>
        <v>APAGADO</v>
      </c>
      <c r="T88" t="str">
        <f>'RESUMEN TOTAL'!AC91</f>
        <v>APAGADO</v>
      </c>
      <c r="U88" t="str">
        <f>'RESUMEN TOTAL'!AD91</f>
        <v>APAGADO</v>
      </c>
      <c r="V88" t="str">
        <f>'RESUMEN TOTAL'!AE91</f>
        <v>APAGADO</v>
      </c>
      <c r="W88" t="str">
        <f>'RESUMEN TOTAL'!AF91</f>
        <v>APAGADO</v>
      </c>
      <c r="X88" t="str">
        <f>'RESUMEN TOTAL'!AG91</f>
        <v>APAGADO</v>
      </c>
      <c r="Y88" t="str">
        <f>'RESUMEN TOTAL'!AH91</f>
        <v>APAGADO</v>
      </c>
      <c r="Z88" t="str">
        <f>'RESUMEN TOTAL'!AI91</f>
        <v>APAGADO</v>
      </c>
      <c r="AA88" t="str">
        <f>'RESUMEN TOTAL'!AJ91</f>
        <v>APAGADO</v>
      </c>
      <c r="AB88" t="str">
        <f>'RESUMEN TOTAL'!AK91</f>
        <v>APAGADO</v>
      </c>
      <c r="AC88" t="str">
        <f>'RESUMEN TOTAL'!AL91</f>
        <v>APAGADO</v>
      </c>
      <c r="AD88" t="str">
        <f>'RESUMEN TOTAL'!AM91</f>
        <v>APAGADO</v>
      </c>
      <c r="AE88" t="str">
        <f>'RESUMEN TOTAL'!AN91</f>
        <v>APAGADO</v>
      </c>
      <c r="AF88" t="str">
        <f>'RESUMEN TOTAL'!AO91</f>
        <v>APAGADO</v>
      </c>
      <c r="AG88" t="str">
        <f>'RESUMEN TOTAL'!AP91</f>
        <v>APAGADO</v>
      </c>
      <c r="AH88" t="str">
        <f>'RESUMEN TOTAL'!AQ91</f>
        <v>APAGADO</v>
      </c>
      <c r="AI88">
        <f>'RESUMEN TOTAL'!AR91</f>
        <v>0</v>
      </c>
      <c r="AJ88">
        <f>'RESUMEN TOTAL'!AS91</f>
        <v>0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 t="str">
        <f>'RESUMEN TOTAL'!P92</f>
        <v>APAGADO</v>
      </c>
      <c r="H89" t="str">
        <f>'RESUMEN TOTAL'!Q92</f>
        <v>APAGADO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 t="str">
        <f>'RESUMEN TOTAL'!V92</f>
        <v>APAGADO</v>
      </c>
      <c r="N89" t="str">
        <f>'RESUMEN TOTAL'!W92</f>
        <v>APAGADO</v>
      </c>
      <c r="O89" t="str">
        <f>'RESUMEN TOTAL'!X92</f>
        <v>APAGADO</v>
      </c>
      <c r="P89" t="str">
        <f>'RESUMEN TOTAL'!Y92</f>
        <v>APAGADO</v>
      </c>
      <c r="Q89" t="str">
        <f>'RESUMEN TOTAL'!Z92</f>
        <v>APAGADO</v>
      </c>
      <c r="R89" t="str">
        <f>'RESUMEN TOTAL'!AA92</f>
        <v>APAGADO</v>
      </c>
      <c r="S89" t="str">
        <f>'RESUMEN TOTAL'!AB92</f>
        <v>APAGADO</v>
      </c>
      <c r="T89" t="str">
        <f>'RESUMEN TOTAL'!AC92</f>
        <v>APAGADO</v>
      </c>
      <c r="U89" t="str">
        <f>'RESUMEN TOTAL'!AD92</f>
        <v>APAGADO</v>
      </c>
      <c r="V89" t="str">
        <f>'RESUMEN TOTAL'!AE92</f>
        <v>APAGADO</v>
      </c>
      <c r="W89" t="str">
        <f>'RESUMEN TOTAL'!AF92</f>
        <v>APAGADO</v>
      </c>
      <c r="X89" t="str">
        <f>'RESUMEN TOTAL'!AG92</f>
        <v>APAGADO</v>
      </c>
      <c r="Y89" t="str">
        <f>'RESUMEN TOTAL'!AH92</f>
        <v>APAGADO</v>
      </c>
      <c r="Z89" t="str">
        <f>'RESUMEN TOTAL'!AI92</f>
        <v>APAGADO</v>
      </c>
      <c r="AA89" t="str">
        <f>'RESUMEN TOTAL'!AJ92</f>
        <v>APAGADO</v>
      </c>
      <c r="AB89" t="str">
        <f>'RESUMEN TOTAL'!AK92</f>
        <v>APAGADO</v>
      </c>
      <c r="AC89" t="str">
        <f>'RESUMEN TOTAL'!AL92</f>
        <v>APAGADO</v>
      </c>
      <c r="AD89" t="str">
        <f>'RESUMEN TOTAL'!AM92</f>
        <v>APAGADO</v>
      </c>
      <c r="AE89" t="str">
        <f>'RESUMEN TOTAL'!AN92</f>
        <v>APAGADO</v>
      </c>
      <c r="AF89" t="str">
        <f>'RESUMEN TOTAL'!AO92</f>
        <v>APAGADO</v>
      </c>
      <c r="AG89" t="str">
        <f>'RESUMEN TOTAL'!AP92</f>
        <v>APAGADO</v>
      </c>
      <c r="AH89" t="str">
        <f>'RESUMEN TOTAL'!AQ92</f>
        <v>APAGADO</v>
      </c>
      <c r="AI89">
        <f>'RESUMEN TOTAL'!AR92</f>
        <v>0</v>
      </c>
      <c r="AJ89">
        <f>'RESUMEN TOTAL'!AS92</f>
        <v>0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 t="str">
        <f>'RESUMEN TOTAL'!AL93</f>
        <v>APAGADO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>
        <f>'RESUMEN TOTAL'!AS93</f>
        <v>0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 t="str">
        <f>'RESUMEN TOTAL'!W94</f>
        <v>APAGADO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>
        <f>'RESUMEN TOTAL'!AS94</f>
        <v>0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 t="str">
        <f>'RESUMEN TOTAL'!AL95</f>
        <v>APAGADO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>
        <f>'RESUMEN TOTAL'!AS95</f>
        <v>0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>
        <f>'RESUMEN TOTAL'!AS96</f>
        <v>0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 t="str">
        <f>'RESUMEN TOTAL'!V97</f>
        <v>APAGADO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>
        <f>'RESUMEN TOTAL'!AS97</f>
        <v>0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>
        <f>'RESUMEN TOTAL'!AS98</f>
        <v>0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>
        <f>'RESUMEN TOTAL'!AS99</f>
        <v>0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>
        <f>'RESUMEN TOTAL'!AS100</f>
        <v>0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>
        <f>'RESUMEN TOTAL'!AS101</f>
        <v>0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 t="str">
        <f>'RESUMEN TOTAL'!U102</f>
        <v>APAGADO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 t="str">
        <f>'RESUMEN TOTAL'!Z102</f>
        <v>APAGADO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>
        <f>'RESUMEN TOTAL'!AS102</f>
        <v>0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>
        <f>'RESUMEN TOTAL'!AS103</f>
        <v>0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 t="str">
        <f>'RESUMEN TOTAL'!Y104</f>
        <v>APAGADO</v>
      </c>
      <c r="Q101" t="str">
        <f>'RESUMEN TOTAL'!Z104</f>
        <v>APAGADO</v>
      </c>
      <c r="R101" t="str">
        <f>'RESUMEN TOTAL'!AA104</f>
        <v>APAGADO</v>
      </c>
      <c r="S101" t="str">
        <f>'RESUMEN TOTAL'!AB104</f>
        <v>APAGADO</v>
      </c>
      <c r="T101" t="str">
        <f>'RESUMEN TOTAL'!AC104</f>
        <v>APAGADO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 t="str">
        <f>'RESUMEN TOTAL'!AH104</f>
        <v>APAGADO</v>
      </c>
      <c r="Z101" t="str">
        <f>'RESUMEN TOTAL'!AI104</f>
        <v>APAGADO</v>
      </c>
      <c r="AA101" t="str">
        <f>'RESUMEN TOTAL'!AJ104</f>
        <v>APAGADO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>
        <f>'RESUMEN TOTAL'!AS104</f>
        <v>0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 t="str">
        <f>'RESUMEN TOTAL'!Y105</f>
        <v>APAGADO</v>
      </c>
      <c r="Q102" t="str">
        <f>'RESUMEN TOTAL'!Z105</f>
        <v>APAGADO</v>
      </c>
      <c r="R102" t="str">
        <f>'RESUMEN TOTAL'!AA105</f>
        <v>APAGADO</v>
      </c>
      <c r="S102" t="str">
        <f>'RESUMEN TOTAL'!AB105</f>
        <v>APAGADO</v>
      </c>
      <c r="T102" t="str">
        <f>'RESUMEN TOTAL'!AC105</f>
        <v>APAGADO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 t="str">
        <f>'RESUMEN TOTAL'!AH105</f>
        <v>APAGADO</v>
      </c>
      <c r="Z102" t="str">
        <f>'RESUMEN TOTAL'!AI105</f>
        <v>APAGADO</v>
      </c>
      <c r="AA102" t="str">
        <f>'RESUMEN TOTAL'!AJ105</f>
        <v>APAGADO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>
        <f>'RESUMEN TOTAL'!AS105</f>
        <v>0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 t="str">
        <f>'RESUMEN TOTAL'!P106</f>
        <v>APAGADO</v>
      </c>
      <c r="H103" t="str">
        <f>'RESUMEN TOTAL'!Q106</f>
        <v>APAGADO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 t="str">
        <f>'RESUMEN TOTAL'!X106</f>
        <v>APAGADO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 t="str">
        <f>'RESUMEN TOTAL'!AB106</f>
        <v>APAGADO</v>
      </c>
      <c r="T103">
        <f>'RESUMEN TOTAL'!AC106</f>
        <v>0</v>
      </c>
      <c r="U103" t="str">
        <f>'RESUMEN TOTAL'!AD106</f>
        <v>APAGADO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 t="str">
        <f>'RESUMEN TOTAL'!AJ106</f>
        <v>APAGADO</v>
      </c>
      <c r="AB103">
        <f>'RESUMEN TOTAL'!AK106</f>
        <v>0</v>
      </c>
      <c r="AC103" t="str">
        <f>'RESUMEN TOTAL'!AL106</f>
        <v>APAGADO</v>
      </c>
      <c r="AD103" t="str">
        <f>'RESUMEN TOTAL'!AM106</f>
        <v>APAGADO</v>
      </c>
      <c r="AE103" t="str">
        <f>'RESUMEN TOTAL'!AN106</f>
        <v>APAGADO</v>
      </c>
      <c r="AF103" t="str">
        <f>'RESUMEN TOTAL'!AO106</f>
        <v>APAGADO</v>
      </c>
      <c r="AG103" t="str">
        <f>'RESUMEN TOTAL'!AP106</f>
        <v>APAGADO</v>
      </c>
      <c r="AH103">
        <f>'RESUMEN TOTAL'!AQ106</f>
        <v>0</v>
      </c>
      <c r="AI103">
        <f>'RESUMEN TOTAL'!AR106</f>
        <v>0</v>
      </c>
      <c r="AJ103">
        <f>'RESUMEN TOTAL'!AS106</f>
        <v>0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 t="str">
        <f>'RESUMEN TOTAL'!P107</f>
        <v>APAGADO</v>
      </c>
      <c r="H104" t="str">
        <f>'RESUMEN TOTAL'!Q107</f>
        <v>APAGADO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 t="str">
        <f>'RESUMEN TOTAL'!X107</f>
        <v>APAGADO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 t="str">
        <f>'RESUMEN TOTAL'!AB107</f>
        <v>APAGADO</v>
      </c>
      <c r="T104">
        <f>'RESUMEN TOTAL'!AC107</f>
        <v>0</v>
      </c>
      <c r="U104" t="str">
        <f>'RESUMEN TOTAL'!AD107</f>
        <v>APAGADO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 t="str">
        <f>'RESUMEN TOTAL'!AJ107</f>
        <v>APAGADO</v>
      </c>
      <c r="AB104">
        <f>'RESUMEN TOTAL'!AK107</f>
        <v>0</v>
      </c>
      <c r="AC104" t="str">
        <f>'RESUMEN TOTAL'!AL107</f>
        <v>APAGADO</v>
      </c>
      <c r="AD104" t="str">
        <f>'RESUMEN TOTAL'!AM107</f>
        <v>APAGADO</v>
      </c>
      <c r="AE104" t="str">
        <f>'RESUMEN TOTAL'!AN107</f>
        <v>APAGADO</v>
      </c>
      <c r="AF104" t="str">
        <f>'RESUMEN TOTAL'!AO107</f>
        <v>APAGADO</v>
      </c>
      <c r="AG104" t="str">
        <f>'RESUMEN TOTAL'!AP107</f>
        <v>APAGADO</v>
      </c>
      <c r="AH104">
        <f>'RESUMEN TOTAL'!AQ107</f>
        <v>0</v>
      </c>
      <c r="AI104">
        <f>'RESUMEN TOTAL'!AR107</f>
        <v>0</v>
      </c>
      <c r="AJ104">
        <f>'RESUMEN TOTAL'!AS107</f>
        <v>0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 t="str">
        <f>'RESUMEN TOTAL'!P108</f>
        <v>APAGADO</v>
      </c>
      <c r="H105" t="str">
        <f>'RESUMEN TOTAL'!Q108</f>
        <v>APAGADO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 t="str">
        <f>'RESUMEN TOTAL'!X108</f>
        <v>APAGADO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 t="str">
        <f>'RESUMEN TOTAL'!AB108</f>
        <v>APAGADO</v>
      </c>
      <c r="T105">
        <f>'RESUMEN TOTAL'!AC108</f>
        <v>0</v>
      </c>
      <c r="U105" t="str">
        <f>'RESUMEN TOTAL'!AD108</f>
        <v>APAGADO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 t="str">
        <f>'RESUMEN TOTAL'!AJ108</f>
        <v>APAGADO</v>
      </c>
      <c r="AB105">
        <f>'RESUMEN TOTAL'!AK108</f>
        <v>0</v>
      </c>
      <c r="AC105" t="str">
        <f>'RESUMEN TOTAL'!AL108</f>
        <v>APAGADO</v>
      </c>
      <c r="AD105" t="str">
        <f>'RESUMEN TOTAL'!AM108</f>
        <v>APAGADO</v>
      </c>
      <c r="AE105" t="str">
        <f>'RESUMEN TOTAL'!AN108</f>
        <v>APAGADO</v>
      </c>
      <c r="AF105" t="str">
        <f>'RESUMEN TOTAL'!AO108</f>
        <v>APAGADO</v>
      </c>
      <c r="AG105" t="str">
        <f>'RESUMEN TOTAL'!AP108</f>
        <v>APAGADO</v>
      </c>
      <c r="AH105">
        <f>'RESUMEN TOTAL'!AQ108</f>
        <v>0</v>
      </c>
      <c r="AI105">
        <f>'RESUMEN TOTAL'!AR108</f>
        <v>0</v>
      </c>
      <c r="AJ105">
        <f>'RESUMEN TOTAL'!AS108</f>
        <v>0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 t="str">
        <f>'RESUMEN TOTAL'!P109</f>
        <v>APAGADO</v>
      </c>
      <c r="H106" t="str">
        <f>'RESUMEN TOTAL'!Q109</f>
        <v>APAGADO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 t="str">
        <f>'RESUMEN TOTAL'!X109</f>
        <v>APAGADO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 t="str">
        <f>'RESUMEN TOTAL'!AB109</f>
        <v>APAGADO</v>
      </c>
      <c r="T106">
        <f>'RESUMEN TOTAL'!AC109</f>
        <v>0</v>
      </c>
      <c r="U106" t="str">
        <f>'RESUMEN TOTAL'!AD109</f>
        <v>APAGADO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 t="str">
        <f>'RESUMEN TOTAL'!AJ109</f>
        <v>APAGADO</v>
      </c>
      <c r="AB106">
        <f>'RESUMEN TOTAL'!AK109</f>
        <v>0</v>
      </c>
      <c r="AC106" t="str">
        <f>'RESUMEN TOTAL'!AL109</f>
        <v>APAGADO</v>
      </c>
      <c r="AD106" t="str">
        <f>'RESUMEN TOTAL'!AM109</f>
        <v>APAGADO</v>
      </c>
      <c r="AE106" t="str">
        <f>'RESUMEN TOTAL'!AN109</f>
        <v>APAGADO</v>
      </c>
      <c r="AF106" t="str">
        <f>'RESUMEN TOTAL'!AO109</f>
        <v>APAGADO</v>
      </c>
      <c r="AG106" t="str">
        <f>'RESUMEN TOTAL'!AP109</f>
        <v>APAGADO</v>
      </c>
      <c r="AH106">
        <f>'RESUMEN TOTAL'!AQ109</f>
        <v>0</v>
      </c>
      <c r="AI106">
        <f>'RESUMEN TOTAL'!AR109</f>
        <v>0</v>
      </c>
      <c r="AJ106">
        <f>'RESUMEN TOTAL'!AS109</f>
        <v>0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>
        <f>'RESUMEN TOTAL'!AS110</f>
        <v>0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>
        <f>'RESUMEN TOTAL'!AS111</f>
        <v>0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 t="str">
        <f>'RESUMEN TOTAL'!S112</f>
        <v>APAGADO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 t="str">
        <f>'RESUMEN TOTAL'!W112</f>
        <v>APAGADO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 t="str">
        <f>'RESUMEN TOTAL'!AG112</f>
        <v>APAGADO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 t="str">
        <f>'RESUMEN TOTAL'!AL112</f>
        <v>APAGADO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>
        <f>'RESUMEN TOTAL'!AS112</f>
        <v>0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>
        <f>'RESUMEN TOTAL'!AS113</f>
        <v>0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>
        <f>'RESUMEN TOTAL'!AS114</f>
        <v>0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 t="str">
        <f>'RESUMEN TOTAL'!AK115</f>
        <v>APAGADO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>
        <f>'RESUMEN TOTAL'!AS115</f>
        <v>0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>
        <f>'RESUMEN TOTAL'!AS116</f>
        <v>0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 t="str">
        <f>'RESUMEN TOTAL'!AI117</f>
        <v xml:space="preserve"> 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>
        <f>'RESUMEN TOTAL'!AS117</f>
        <v>0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>
        <f>'RESUMEN TOTAL'!AS118</f>
        <v>0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>
        <f>'RESUMEN TOTAL'!AS119</f>
        <v>0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>
        <f>'RESUMEN TOTAL'!AS120</f>
        <v>0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>
        <f>'RESUMEN TOTAL'!AS121</f>
        <v>0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 t="str">
        <f>'RESUMEN TOTAL'!P122</f>
        <v>APAGADO</v>
      </c>
      <c r="H119" t="str">
        <f>'RESUMEN TOTAL'!Q122</f>
        <v>APAGADO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 t="str">
        <f>'RESUMEN TOTAL'!X122</f>
        <v>APAGADO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 t="str">
        <f>'RESUMEN TOTAL'!AB122</f>
        <v>APAGADO</v>
      </c>
      <c r="T119">
        <f>'RESUMEN TOTAL'!AC122</f>
        <v>0</v>
      </c>
      <c r="U119" t="str">
        <f>'RESUMEN TOTAL'!AD122</f>
        <v>APAGADO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 t="str">
        <f>'RESUMEN TOTAL'!AJ122</f>
        <v>APAGADO</v>
      </c>
      <c r="AB119">
        <f>'RESUMEN TOTAL'!AK122</f>
        <v>0</v>
      </c>
      <c r="AC119" t="str">
        <f>'RESUMEN TOTAL'!AL122</f>
        <v>APAGADO</v>
      </c>
      <c r="AD119" t="str">
        <f>'RESUMEN TOTAL'!AM122</f>
        <v>APAGADO</v>
      </c>
      <c r="AE119" t="str">
        <f>'RESUMEN TOTAL'!AN122</f>
        <v>APAGADO</v>
      </c>
      <c r="AF119" t="str">
        <f>'RESUMEN TOTAL'!AO122</f>
        <v>APAGADO</v>
      </c>
      <c r="AG119" t="str">
        <f>'RESUMEN TOTAL'!AP122</f>
        <v>APAGADO</v>
      </c>
      <c r="AH119">
        <f>'RESUMEN TOTAL'!AQ122</f>
        <v>0</v>
      </c>
      <c r="AI119">
        <f>'RESUMEN TOTAL'!AR122</f>
        <v>0</v>
      </c>
      <c r="AJ119">
        <f>'RESUMEN TOTAL'!AS122</f>
        <v>0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 t="str">
        <f>'RESUMEN TOTAL'!P123</f>
        <v>APAGADO</v>
      </c>
      <c r="H120" t="str">
        <f>'RESUMEN TOTAL'!Q123</f>
        <v>APAGADO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 t="str">
        <f>'RESUMEN TOTAL'!X123</f>
        <v>APAGADO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 t="str">
        <f>'RESUMEN TOTAL'!AB123</f>
        <v>APAGADO</v>
      </c>
      <c r="T120">
        <f>'RESUMEN TOTAL'!AC123</f>
        <v>0</v>
      </c>
      <c r="U120" t="str">
        <f>'RESUMEN TOTAL'!AD123</f>
        <v>APAGADO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 t="str">
        <f>'RESUMEN TOTAL'!AJ123</f>
        <v>APAGADO</v>
      </c>
      <c r="AB120">
        <f>'RESUMEN TOTAL'!AK123</f>
        <v>0</v>
      </c>
      <c r="AC120" t="str">
        <f>'RESUMEN TOTAL'!AL123</f>
        <v>APAGADO</v>
      </c>
      <c r="AD120" t="str">
        <f>'RESUMEN TOTAL'!AM123</f>
        <v>APAGADO</v>
      </c>
      <c r="AE120" t="str">
        <f>'RESUMEN TOTAL'!AN123</f>
        <v>APAGADO</v>
      </c>
      <c r="AF120" t="str">
        <f>'RESUMEN TOTAL'!AO123</f>
        <v>APAGADO</v>
      </c>
      <c r="AG120" t="str">
        <f>'RESUMEN TOTAL'!AP123</f>
        <v>APAGADO</v>
      </c>
      <c r="AH120">
        <f>'RESUMEN TOTAL'!AQ123</f>
        <v>0</v>
      </c>
      <c r="AI120">
        <f>'RESUMEN TOTAL'!AR123</f>
        <v>0</v>
      </c>
      <c r="AJ120">
        <f>'RESUMEN TOTAL'!AS123</f>
        <v>0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 t="str">
        <f>'RESUMEN TOTAL'!AQ124</f>
        <v>APAGADO</v>
      </c>
      <c r="AI121">
        <f>'RESUMEN TOTAL'!AR124</f>
        <v>0</v>
      </c>
      <c r="AJ121">
        <f>'RESUMEN TOTAL'!AS124</f>
        <v>0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>
        <f>'RESUMEN TOTAL'!AS125</f>
        <v>0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>
        <f>'RESUMEN TOTAL'!AS126</f>
        <v>0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>
        <f>'RESUMEN TOTAL'!AS127</f>
        <v>0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>
        <f>'RESUMEN TOTAL'!AS128</f>
        <v>0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 t="str">
        <f>'RESUMEN TOTAL'!Y129</f>
        <v>APAGADO</v>
      </c>
      <c r="Q126" t="str">
        <f>'RESUMEN TOTAL'!Z129</f>
        <v>APAGADO</v>
      </c>
      <c r="R126" t="str">
        <f>'RESUMEN TOTAL'!AA129</f>
        <v>APAGADO</v>
      </c>
      <c r="S126" t="str">
        <f>'RESUMEN TOTAL'!AB129</f>
        <v>APAGADO</v>
      </c>
      <c r="T126" t="str">
        <f>'RESUMEN TOTAL'!AC129</f>
        <v>APAGADO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 t="str">
        <f>'RESUMEN TOTAL'!AH129</f>
        <v>APAGADO</v>
      </c>
      <c r="Z126" t="str">
        <f>'RESUMEN TOTAL'!AI129</f>
        <v>APAGADO</v>
      </c>
      <c r="AA126" t="str">
        <f>'RESUMEN TOTAL'!AJ129</f>
        <v>APAGADO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>
        <f>'RESUMEN TOTAL'!AS129</f>
        <v>0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 t="str">
        <f>'RESUMEN TOTAL'!Y130</f>
        <v>APAGADO</v>
      </c>
      <c r="Q127" t="str">
        <f>'RESUMEN TOTAL'!Z130</f>
        <v>APAGADO</v>
      </c>
      <c r="R127" t="str">
        <f>'RESUMEN TOTAL'!AA130</f>
        <v>APAGADO</v>
      </c>
      <c r="S127" t="str">
        <f>'RESUMEN TOTAL'!AB130</f>
        <v>APAGADO</v>
      </c>
      <c r="T127" t="str">
        <f>'RESUMEN TOTAL'!AC130</f>
        <v>APAGADO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 t="str">
        <f>'RESUMEN TOTAL'!AH130</f>
        <v>APAGADO</v>
      </c>
      <c r="Z127" t="str">
        <f>'RESUMEN TOTAL'!AI130</f>
        <v>APAGADO</v>
      </c>
      <c r="AA127" t="str">
        <f>'RESUMEN TOTAL'!AJ130</f>
        <v>APAGADO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>
        <f>'RESUMEN TOTAL'!AS130</f>
        <v>0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>
        <f>'RESUMEN TOTAL'!AS131</f>
        <v>0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>
        <f>'RESUMEN TOTAL'!AS132</f>
        <v>0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 t="str">
        <f>'RESUMEN TOTAL'!AN133</f>
        <v>APAGADO</v>
      </c>
      <c r="AF130" t="str">
        <f>'RESUMEN TOTAL'!AO133</f>
        <v>APAGADO</v>
      </c>
      <c r="AG130" t="str">
        <f>'RESUMEN TOTAL'!AP133</f>
        <v>APAGADO</v>
      </c>
      <c r="AH130" t="str">
        <f>'RESUMEN TOTAL'!AQ133</f>
        <v>APAGADO</v>
      </c>
      <c r="AI130">
        <f>'RESUMEN TOTAL'!AR133</f>
        <v>0</v>
      </c>
      <c r="AJ130">
        <f>'RESUMEN TOTAL'!AS133</f>
        <v>0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 t="str">
        <f>'RESUMEN TOTAL'!S134</f>
        <v>APAGADO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>
        <f>'RESUMEN TOTAL'!AS134</f>
        <v>0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>
        <f>'RESUMEN TOTAL'!AS135</f>
        <v>0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 t="str">
        <f>'RESUMEN TOTAL'!AM136</f>
        <v>APAGADO</v>
      </c>
      <c r="AE133" t="str">
        <f>'RESUMEN TOTAL'!AN136</f>
        <v>APAGADO</v>
      </c>
      <c r="AF133" t="str">
        <f>'RESUMEN TOTAL'!AO136</f>
        <v>APAGADO</v>
      </c>
      <c r="AG133" t="str">
        <f>'RESUMEN TOTAL'!AP136</f>
        <v>APAGADO</v>
      </c>
      <c r="AH133">
        <f>'RESUMEN TOTAL'!AQ136</f>
        <v>0</v>
      </c>
      <c r="AI133">
        <f>'RESUMEN TOTAL'!AR136</f>
        <v>0</v>
      </c>
      <c r="AJ133">
        <f>'RESUMEN TOTAL'!AS136</f>
        <v>0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 t="str">
        <f>'RESUMEN TOTAL'!O137</f>
        <v>APAGADO</v>
      </c>
      <c r="G134" t="str">
        <f>'RESUMEN TOTAL'!P137</f>
        <v>APAGADO</v>
      </c>
      <c r="H134" t="str">
        <f>'RESUMEN TOTAL'!Q137</f>
        <v>APAGADO</v>
      </c>
      <c r="I134" t="str">
        <f>'RESUMEN TOTAL'!R137</f>
        <v>APAGADO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>
        <f>'RESUMEN TOTAL'!AS137</f>
        <v>0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 t="str">
        <f>'RESUMEN TOTAL'!Y138</f>
        <v>APAGADO</v>
      </c>
      <c r="Q135" t="str">
        <f>'RESUMEN TOTAL'!Z138</f>
        <v>APAGADO</v>
      </c>
      <c r="R135" t="str">
        <f>'RESUMEN TOTAL'!AA138</f>
        <v>APAGADO</v>
      </c>
      <c r="S135" t="str">
        <f>'RESUMEN TOTAL'!AB138</f>
        <v>APAGADO</v>
      </c>
      <c r="T135" t="str">
        <f>'RESUMEN TOTAL'!AC138</f>
        <v>APAGADO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 t="str">
        <f>'RESUMEN TOTAL'!AH138</f>
        <v>APAGADO</v>
      </c>
      <c r="Z135" t="str">
        <f>'RESUMEN TOTAL'!AI138</f>
        <v>APAGADO</v>
      </c>
      <c r="AA135" t="str">
        <f>'RESUMEN TOTAL'!AJ138</f>
        <v>APAGADO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>
        <f>'RESUMEN TOTAL'!AS138</f>
        <v>0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 t="str">
        <f>'RESUMEN TOTAL'!Y139</f>
        <v>APAGADO</v>
      </c>
      <c r="Q136" t="str">
        <f>'RESUMEN TOTAL'!Z139</f>
        <v>APAGADO</v>
      </c>
      <c r="R136" t="str">
        <f>'RESUMEN TOTAL'!AA139</f>
        <v>APAGADO</v>
      </c>
      <c r="S136" t="str">
        <f>'RESUMEN TOTAL'!AB139</f>
        <v>APAGADO</v>
      </c>
      <c r="T136" t="str">
        <f>'RESUMEN TOTAL'!AC139</f>
        <v>APAGADO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 t="str">
        <f>'RESUMEN TOTAL'!AH139</f>
        <v>APAGADO</v>
      </c>
      <c r="Z136" t="str">
        <f>'RESUMEN TOTAL'!AI139</f>
        <v>APAGADO</v>
      </c>
      <c r="AA136" t="str">
        <f>'RESUMEN TOTAL'!AJ139</f>
        <v>APAGADO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>
        <f>'RESUMEN TOTAL'!AS139</f>
        <v>0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 t="str">
        <f>'RESUMEN TOTAL'!Y140</f>
        <v>APAGADO</v>
      </c>
      <c r="Q137" t="str">
        <f>'RESUMEN TOTAL'!Z140</f>
        <v>APAGADO</v>
      </c>
      <c r="R137" t="str">
        <f>'RESUMEN TOTAL'!AA140</f>
        <v>APAGADO</v>
      </c>
      <c r="S137" t="str">
        <f>'RESUMEN TOTAL'!AB140</f>
        <v>APAGADO</v>
      </c>
      <c r="T137" t="str">
        <f>'RESUMEN TOTAL'!AC140</f>
        <v>APAGADO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 t="str">
        <f>'RESUMEN TOTAL'!AH140</f>
        <v>APAGADO</v>
      </c>
      <c r="Z137" t="str">
        <f>'RESUMEN TOTAL'!AI140</f>
        <v>APAGADO</v>
      </c>
      <c r="AA137" t="str">
        <f>'RESUMEN TOTAL'!AJ140</f>
        <v>APAGADO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>
        <f>'RESUMEN TOTAL'!AS140</f>
        <v>0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 t="str">
        <f>'RESUMEN TOTAL'!S141</f>
        <v>APAGADO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 t="str">
        <f>'RESUMEN TOTAL'!AA141</f>
        <v>APAGADO</v>
      </c>
      <c r="S138" t="str">
        <f>'RESUMEN TOTAL'!AB141</f>
        <v>APAGADO</v>
      </c>
      <c r="T138" t="str">
        <f>'RESUMEN TOTAL'!AC141</f>
        <v>APAGADO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 t="str">
        <f>'RESUMEN TOTAL'!AH141</f>
        <v>APAGADO</v>
      </c>
      <c r="Z138" t="str">
        <f>'RESUMEN TOTAL'!AI141</f>
        <v>APAGADO</v>
      </c>
      <c r="AA138" t="str">
        <f>'RESUMEN TOTAL'!AJ141</f>
        <v>APAGADO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>
        <f>'RESUMEN TOTAL'!AS141</f>
        <v>0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 t="str">
        <f>'RESUMEN TOTAL'!W142</f>
        <v>APAGADO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 t="str">
        <f>'RESUMEN TOTAL'!AG142</f>
        <v>APAGADO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>
        <f>'RESUMEN TOTAL'!AS142</f>
        <v>0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 t="str">
        <f>'RESUMEN TOTAL'!W143</f>
        <v>APAGADO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>
        <f>'RESUMEN TOTAL'!AS143</f>
        <v>0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 t="str">
        <f>'RESUMEN TOTAL'!V144</f>
        <v>APAGADO</v>
      </c>
      <c r="N141" t="str">
        <f>'RESUMEN TOTAL'!W144</f>
        <v>APAGADO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>
        <f>'RESUMEN TOTAL'!AS144</f>
        <v>0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>
        <f>'RESUMEN TOTAL'!AS145</f>
        <v>0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 t="str">
        <f>'RESUMEN TOTAL'!S146</f>
        <v>APAGADO</v>
      </c>
      <c r="K143" t="str">
        <f>'RESUMEN TOTAL'!T146</f>
        <v>APAGADO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>
        <f>'RESUMEN TOTAL'!AS146</f>
        <v>0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>
        <f>'RESUMEN TOTAL'!AS147</f>
        <v>0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>
        <f>'RESUMEN TOTAL'!AS148</f>
        <v>0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 t="str">
        <f>'RESUMEN TOTAL'!O149</f>
        <v>APAGADO</v>
      </c>
      <c r="G146" t="str">
        <f>'RESUMEN TOTAL'!P149</f>
        <v>APAGADO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>
        <f>'RESUMEN TOTAL'!AS149</f>
        <v>0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 t="str">
        <f>'RESUMEN TOTAL'!O150</f>
        <v>APAGADO</v>
      </c>
      <c r="G147" t="str">
        <f>'RESUMEN TOTAL'!P150</f>
        <v>APAGADO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>
        <f>'RESUMEN TOTAL'!AS150</f>
        <v>0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 t="str">
        <f>'RESUMEN TOTAL'!O151</f>
        <v>APAGADO</v>
      </c>
      <c r="G148" t="str">
        <f>'RESUMEN TOTAL'!P151</f>
        <v>APAGADO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>
        <f>'RESUMEN TOTAL'!AS151</f>
        <v>0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>
        <f>'RESUMEN TOTAL'!AS152</f>
        <v>0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 t="str">
        <f>'RESUMEN TOTAL'!V153</f>
        <v>APAGADO</v>
      </c>
      <c r="N150" t="str">
        <f>'RESUMEN TOTAL'!W153</f>
        <v>APAGADO</v>
      </c>
      <c r="O150" t="str">
        <f>'RESUMEN TOTAL'!X153</f>
        <v>APAGADO</v>
      </c>
      <c r="P150" t="str">
        <f>'RESUMEN TOTAL'!Y153</f>
        <v>APAGADO</v>
      </c>
      <c r="Q150" t="str">
        <f>'RESUMEN TOTAL'!Z153</f>
        <v>APAGADO</v>
      </c>
      <c r="R150" t="str">
        <f>'RESUMEN TOTAL'!AA153</f>
        <v>APAGADO</v>
      </c>
      <c r="S150" t="str">
        <f>'RESUMEN TOTAL'!AB153</f>
        <v>APAGADO</v>
      </c>
      <c r="T150" t="str">
        <f>'RESUMEN TOTAL'!AC153</f>
        <v>APAGADO</v>
      </c>
      <c r="U150" t="str">
        <f>'RESUMEN TOTAL'!AD153</f>
        <v>APAGADO</v>
      </c>
      <c r="V150" t="str">
        <f>'RESUMEN TOTAL'!AE153</f>
        <v>APAGADO</v>
      </c>
      <c r="W150" t="str">
        <f>'RESUMEN TOTAL'!AF153</f>
        <v>APAGADO</v>
      </c>
      <c r="X150" t="str">
        <f>'RESUMEN TOTAL'!AG153</f>
        <v>APAGADO</v>
      </c>
      <c r="Y150" t="str">
        <f>'RESUMEN TOTAL'!AH153</f>
        <v>APAGADO</v>
      </c>
      <c r="Z150" t="str">
        <f>'RESUMEN TOTAL'!AI153</f>
        <v>APAGADO</v>
      </c>
      <c r="AA150" t="str">
        <f>'RESUMEN TOTAL'!AJ153</f>
        <v>APAGADO</v>
      </c>
      <c r="AB150" t="str">
        <f>'RESUMEN TOTAL'!AK153</f>
        <v>APAGADO</v>
      </c>
      <c r="AC150" t="str">
        <f>'RESUMEN TOTAL'!AL153</f>
        <v>APAGADO</v>
      </c>
      <c r="AD150" t="str">
        <f>'RESUMEN TOTAL'!AM153</f>
        <v>APAGADO</v>
      </c>
      <c r="AE150">
        <f>'RESUMEN TOTAL'!AN153</f>
        <v>0</v>
      </c>
      <c r="AF150" t="str">
        <f>'RESUMEN TOTAL'!AO153</f>
        <v>APAGADO</v>
      </c>
      <c r="AG150" t="str">
        <f>'RESUMEN TOTAL'!AP153</f>
        <v>APAGADO</v>
      </c>
      <c r="AH150" t="str">
        <f>'RESUMEN TOTAL'!AQ153</f>
        <v>APAGADO</v>
      </c>
      <c r="AI150">
        <f>'RESUMEN TOTAL'!AR153</f>
        <v>0</v>
      </c>
      <c r="AJ150">
        <f>'RESUMEN TOTAL'!AS153</f>
        <v>0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 t="str">
        <f>'RESUMEN TOTAL'!AG154</f>
        <v>APAGADO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>
        <f>'RESUMEN TOTAL'!AS154</f>
        <v>0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 t="str">
        <f>'RESUMEN TOTAL'!AE155</f>
        <v>APAGADO</v>
      </c>
      <c r="W152">
        <f>'RESUMEN TOTAL'!AF155</f>
        <v>0</v>
      </c>
      <c r="X152" t="str">
        <f>'RESUMEN TOTAL'!AG155</f>
        <v>APAGADO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>
        <f>'RESUMEN TOTAL'!AS155</f>
        <v>0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 t="str">
        <f>'RESUMEN TOTAL'!W156</f>
        <v>APAGADO</v>
      </c>
      <c r="O153" t="str">
        <f>'RESUMEN TOTAL'!X156</f>
        <v>APAGADO</v>
      </c>
      <c r="P153" t="str">
        <f>'RESUMEN TOTAL'!Y156</f>
        <v>APAGADO</v>
      </c>
      <c r="Q153" t="str">
        <f>'RESUMEN TOTAL'!Z156</f>
        <v>APAGADO</v>
      </c>
      <c r="R153" t="str">
        <f>'RESUMEN TOTAL'!AA156</f>
        <v>APAGADO</v>
      </c>
      <c r="S153" t="str">
        <f>'RESUMEN TOTAL'!AB156</f>
        <v>APAGADO</v>
      </c>
      <c r="T153" t="str">
        <f>'RESUMEN TOTAL'!AC156</f>
        <v>APAGADO</v>
      </c>
      <c r="U153" t="str">
        <f>'RESUMEN TOTAL'!AD156</f>
        <v>APAGADO</v>
      </c>
      <c r="V153" t="str">
        <f>'RESUMEN TOTAL'!AE156</f>
        <v>APAGADO</v>
      </c>
      <c r="W153" t="str">
        <f>'RESUMEN TOTAL'!AF156</f>
        <v>APAGADO</v>
      </c>
      <c r="X153" t="str">
        <f>'RESUMEN TOTAL'!AG156</f>
        <v>APAGADO</v>
      </c>
      <c r="Y153" t="str">
        <f>'RESUMEN TOTAL'!AH156</f>
        <v>APAGADO</v>
      </c>
      <c r="Z153" t="str">
        <f>'RESUMEN TOTAL'!AI156</f>
        <v>APAGADO</v>
      </c>
      <c r="AA153" t="str">
        <f>'RESUMEN TOTAL'!AJ156</f>
        <v>APAGADO</v>
      </c>
      <c r="AB153" t="str">
        <f>'RESUMEN TOTAL'!AK156</f>
        <v>APAGADO</v>
      </c>
      <c r="AC153" t="str">
        <f>'RESUMEN TOTAL'!AL156</f>
        <v>APAGADO</v>
      </c>
      <c r="AD153" t="str">
        <f>'RESUMEN TOTAL'!AM156</f>
        <v>APAGADO</v>
      </c>
      <c r="AE153" t="str">
        <f>'RESUMEN TOTAL'!AN156</f>
        <v>APAGADO</v>
      </c>
      <c r="AF153" t="str">
        <f>'RESUMEN TOTAL'!AO156</f>
        <v>APAGADO</v>
      </c>
      <c r="AG153" t="str">
        <f>'RESUMEN TOTAL'!AP156</f>
        <v>APAGADO</v>
      </c>
      <c r="AH153" t="str">
        <f>'RESUMEN TOTAL'!AQ156</f>
        <v>APAGADO</v>
      </c>
      <c r="AI153">
        <f>'RESUMEN TOTAL'!AR156</f>
        <v>0</v>
      </c>
      <c r="AJ153">
        <f>'RESUMEN TOTAL'!AS156</f>
        <v>0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>
        <f>'RESUMEN TOTAL'!AS157</f>
        <v>0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 t="str">
        <f>'RESUMEN TOTAL'!AL158</f>
        <v>APAGADO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>
        <f>'RESUMEN TOTAL'!AS158</f>
        <v>0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 t="str">
        <f>'RESUMEN TOTAL'!O159</f>
        <v>APAGADO</v>
      </c>
      <c r="G156" t="str">
        <f>'RESUMEN TOTAL'!P159</f>
        <v>APAGADO</v>
      </c>
      <c r="H156" t="str">
        <f>'RESUMEN TOTAL'!Q159</f>
        <v>APAGADO</v>
      </c>
      <c r="I156" t="str">
        <f>'RESUMEN TOTAL'!R159</f>
        <v>APAGADO</v>
      </c>
      <c r="J156" t="str">
        <f>'RESUMEN TOTAL'!S159</f>
        <v>APAGADO</v>
      </c>
      <c r="K156" t="str">
        <f>'RESUMEN TOTAL'!T159</f>
        <v>APAGADO</v>
      </c>
      <c r="L156" t="str">
        <f>'RESUMEN TOTAL'!U159</f>
        <v>APAGADO</v>
      </c>
      <c r="M156">
        <f>'RESUMEN TOTAL'!V159</f>
        <v>0</v>
      </c>
      <c r="N156" t="str">
        <f>'RESUMEN TOTAL'!W159</f>
        <v>APAGADO</v>
      </c>
      <c r="O156" t="str">
        <f>'RESUMEN TOTAL'!X159</f>
        <v>APAGADO</v>
      </c>
      <c r="P156" t="str">
        <f>'RESUMEN TOTAL'!Y159</f>
        <v>APAGADO</v>
      </c>
      <c r="Q156" t="str">
        <f>'RESUMEN TOTAL'!Z159</f>
        <v>APAGADO</v>
      </c>
      <c r="R156" t="str">
        <f>'RESUMEN TOTAL'!AA159</f>
        <v>APAGADO</v>
      </c>
      <c r="S156" t="str">
        <f>'RESUMEN TOTAL'!AB159</f>
        <v>APAGADO</v>
      </c>
      <c r="T156">
        <f>'RESUMEN TOTAL'!AC159</f>
        <v>0</v>
      </c>
      <c r="U156" t="str">
        <f>'RESUMEN TOTAL'!AD159</f>
        <v>APAGADO</v>
      </c>
      <c r="V156" t="str">
        <f>'RESUMEN TOTAL'!AE159</f>
        <v>APAGADO</v>
      </c>
      <c r="W156" t="str">
        <f>'RESUMEN TOTAL'!AF159</f>
        <v>APAGADO</v>
      </c>
      <c r="X156" t="str">
        <f>'RESUMEN TOTAL'!AG159</f>
        <v>APAGADO</v>
      </c>
      <c r="Y156" t="str">
        <f>'RESUMEN TOTAL'!AH159</f>
        <v>APAGADO</v>
      </c>
      <c r="Z156" t="str">
        <f>'RESUMEN TOTAL'!AI159</f>
        <v>APAGADO</v>
      </c>
      <c r="AA156" t="str">
        <f>'RESUMEN TOTAL'!AJ159</f>
        <v>APAGADO</v>
      </c>
      <c r="AB156">
        <f>'RESUMEN TOTAL'!AK159</f>
        <v>0</v>
      </c>
      <c r="AC156" t="str">
        <f>'RESUMEN TOTAL'!AL159</f>
        <v>APAGADO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>
        <f>'RESUMEN TOTAL'!AS159</f>
        <v>0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 t="str">
        <f>'RESUMEN TOTAL'!P160</f>
        <v>APAGADO</v>
      </c>
      <c r="H157" t="str">
        <f>'RESUMEN TOTAL'!Q160</f>
        <v>APAGADO</v>
      </c>
      <c r="I157" t="str">
        <f>'RESUMEN TOTAL'!R160</f>
        <v>APAGADO</v>
      </c>
      <c r="J157" t="str">
        <f>'RESUMEN TOTAL'!S160</f>
        <v>APAGADO</v>
      </c>
      <c r="K157" t="str">
        <f>'RESUMEN TOTAL'!T160</f>
        <v>APAGADO</v>
      </c>
      <c r="L157" t="str">
        <f>'RESUMEN TOTAL'!U160</f>
        <v>APAGADO</v>
      </c>
      <c r="M157" t="str">
        <f>'RESUMEN TOTAL'!V160</f>
        <v>APAGADO</v>
      </c>
      <c r="N157" t="str">
        <f>'RESUMEN TOTAL'!W160</f>
        <v>APAGADO</v>
      </c>
      <c r="O157" t="str">
        <f>'RESUMEN TOTAL'!X160</f>
        <v>APAGADO</v>
      </c>
      <c r="P157" t="str">
        <f>'RESUMEN TOTAL'!Y160</f>
        <v>APAGADO</v>
      </c>
      <c r="Q157" t="str">
        <f>'RESUMEN TOTAL'!Z160</f>
        <v>APAGADO</v>
      </c>
      <c r="R157">
        <f>'RESUMEN TOTAL'!AA160</f>
        <v>0</v>
      </c>
      <c r="S157" t="str">
        <f>'RESUMEN TOTAL'!AB160</f>
        <v>APAGADO</v>
      </c>
      <c r="T157" t="str">
        <f>'RESUMEN TOTAL'!AC160</f>
        <v>APAGADO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 t="str">
        <f>'RESUMEN TOTAL'!AL160</f>
        <v>APAGADO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>
        <f>'RESUMEN TOTAL'!AS160</f>
        <v>0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 t="str">
        <f>'RESUMEN TOTAL'!Z161</f>
        <v>APAGADO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>
        <f>'RESUMEN TOTAL'!AS161</f>
        <v>0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>
        <f>'RESUMEN TOTAL'!AS162</f>
        <v>0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 t="str">
        <f>'RESUMEN TOTAL'!W163</f>
        <v>APAGADO</v>
      </c>
      <c r="O160" t="str">
        <f>'RESUMEN TOTAL'!X163</f>
        <v>APAGADO</v>
      </c>
      <c r="P160" t="str">
        <f>'RESUMEN TOTAL'!Y163</f>
        <v>APAGADO</v>
      </c>
      <c r="Q160" t="str">
        <f>'RESUMEN TOTAL'!Z163</f>
        <v>APAGADO</v>
      </c>
      <c r="R160" t="str">
        <f>'RESUMEN TOTAL'!AA163</f>
        <v>APAGADO</v>
      </c>
      <c r="S160" t="str">
        <f>'RESUMEN TOTAL'!AB163</f>
        <v>APAGADO</v>
      </c>
      <c r="T160" t="str">
        <f>'RESUMEN TOTAL'!AC163</f>
        <v>APAGADO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>
        <f>'RESUMEN TOTAL'!AS163</f>
        <v>0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 t="str">
        <f>'RESUMEN TOTAL'!P164</f>
        <v>APAGADO</v>
      </c>
      <c r="H161" t="str">
        <f>'RESUMEN TOTAL'!Q164</f>
        <v>APAGADO</v>
      </c>
      <c r="I161" t="str">
        <f>'RESUMEN TOTAL'!R164</f>
        <v>APAGADO</v>
      </c>
      <c r="J161" t="str">
        <f>'RESUMEN TOTAL'!S164</f>
        <v>APAGADO</v>
      </c>
      <c r="K161" t="str">
        <f>'RESUMEN TOTAL'!T164</f>
        <v>APAGADO</v>
      </c>
      <c r="L161" t="str">
        <f>'RESUMEN TOTAL'!U164</f>
        <v>APAGADO</v>
      </c>
      <c r="M161" t="str">
        <f>'RESUMEN TOTAL'!V164</f>
        <v>APAGADO</v>
      </c>
      <c r="N161" t="str">
        <f>'RESUMEN TOTAL'!W164</f>
        <v>APAGADO</v>
      </c>
      <c r="O161" t="str">
        <f>'RESUMEN TOTAL'!X164</f>
        <v>APAGADO</v>
      </c>
      <c r="P161" t="str">
        <f>'RESUMEN TOTAL'!Y164</f>
        <v>APAGADO</v>
      </c>
      <c r="Q161" t="str">
        <f>'RESUMEN TOTAL'!Z164</f>
        <v>APAGADO</v>
      </c>
      <c r="R161" t="str">
        <f>'RESUMEN TOTAL'!AA164</f>
        <v>APAGADO</v>
      </c>
      <c r="S161" t="str">
        <f>'RESUMEN TOTAL'!AB164</f>
        <v>APAGADO</v>
      </c>
      <c r="T161" t="str">
        <f>'RESUMEN TOTAL'!AC164</f>
        <v>APAGADO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>
        <f>'RESUMEN TOTAL'!AS164</f>
        <v>0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>
        <f>'RESUMEN TOTAL'!AS165</f>
        <v>0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>
        <f>'RESUMEN TOTAL'!AS166</f>
        <v>0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>
        <f>'RESUMEN TOTAL'!AS167</f>
        <v>0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>
        <f>'RESUMEN TOTAL'!AS168</f>
        <v>0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 t="str">
        <f>'RESUMEN TOTAL'!P169</f>
        <v>APAGADO</v>
      </c>
      <c r="H166" t="str">
        <f>'RESUMEN TOTAL'!Q169</f>
        <v>APAGADO</v>
      </c>
      <c r="I166" t="str">
        <f>'RESUMEN TOTAL'!R169</f>
        <v>APAGADO</v>
      </c>
      <c r="J166" t="str">
        <f>'RESUMEN TOTAL'!S169</f>
        <v>APAGADO</v>
      </c>
      <c r="K166" t="str">
        <f>'RESUMEN TOTAL'!T169</f>
        <v>APAGADO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 t="str">
        <f>'RESUMEN TOTAL'!AJ169</f>
        <v>APAGADO</v>
      </c>
      <c r="AB166" t="str">
        <f>'RESUMEN TOTAL'!AK169</f>
        <v>APAGADO</v>
      </c>
      <c r="AC166" t="str">
        <f>'RESUMEN TOTAL'!AL169</f>
        <v>APAGADO</v>
      </c>
      <c r="AD166" t="str">
        <f>'RESUMEN TOTAL'!AM169</f>
        <v>APAGADO</v>
      </c>
      <c r="AE166" t="str">
        <f>'RESUMEN TOTAL'!AN169</f>
        <v>APAGADO</v>
      </c>
      <c r="AF166" t="str">
        <f>'RESUMEN TOTAL'!AO169</f>
        <v>APAGADO</v>
      </c>
      <c r="AG166" t="str">
        <f>'RESUMEN TOTAL'!AP169</f>
        <v>APAGADO</v>
      </c>
      <c r="AH166" t="str">
        <f>'RESUMEN TOTAL'!AQ169</f>
        <v>APAGADO</v>
      </c>
      <c r="AI166">
        <f>'RESUMEN TOTAL'!AR169</f>
        <v>0</v>
      </c>
      <c r="AJ166">
        <f>'RESUMEN TOTAL'!AS169</f>
        <v>0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>
        <f>'RESUMEN TOTAL'!AS170</f>
        <v>0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 t="str">
        <f>'RESUMEN TOTAL'!P171</f>
        <v>APAGADO</v>
      </c>
      <c r="H168" t="str">
        <f>'RESUMEN TOTAL'!Q171</f>
        <v>APAGADO</v>
      </c>
      <c r="I168" t="str">
        <f>'RESUMEN TOTAL'!R171</f>
        <v>APAGADO</v>
      </c>
      <c r="J168" t="str">
        <f>'RESUMEN TOTAL'!S171</f>
        <v>APAGADO</v>
      </c>
      <c r="K168" t="str">
        <f>'RESUMEN TOTAL'!T171</f>
        <v>APAGADO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 t="str">
        <f>'RESUMEN TOTAL'!Z171</f>
        <v>APAGADO</v>
      </c>
      <c r="R168" t="str">
        <f>'RESUMEN TOTAL'!AA171</f>
        <v>APAGADO</v>
      </c>
      <c r="S168" t="str">
        <f>'RESUMEN TOTAL'!AB171</f>
        <v>APAGADO</v>
      </c>
      <c r="T168" t="str">
        <f>'RESUMEN TOTAL'!AC171</f>
        <v>APAGADO</v>
      </c>
      <c r="U168" t="str">
        <f>'RESUMEN TOTAL'!AD171</f>
        <v>APAGADO</v>
      </c>
      <c r="V168" t="str">
        <f>'RESUMEN TOTAL'!AE171</f>
        <v>APAGADO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 t="str">
        <f>'RESUMEN TOTAL'!AJ171</f>
        <v>APAGADO</v>
      </c>
      <c r="AB168" t="str">
        <f>'RESUMEN TOTAL'!AK171</f>
        <v>APAGADO</v>
      </c>
      <c r="AC168" t="str">
        <f>'RESUMEN TOTAL'!AL171</f>
        <v>APAGADO</v>
      </c>
      <c r="AD168" t="str">
        <f>'RESUMEN TOTAL'!AM171</f>
        <v>APAGADO</v>
      </c>
      <c r="AE168" t="str">
        <f>'RESUMEN TOTAL'!AN171</f>
        <v>APAGADO</v>
      </c>
      <c r="AF168" t="str">
        <f>'RESUMEN TOTAL'!AO171</f>
        <v>APAGADO</v>
      </c>
      <c r="AG168" t="str">
        <f>'RESUMEN TOTAL'!AP171</f>
        <v>APAGADO</v>
      </c>
      <c r="AH168" t="str">
        <f>'RESUMEN TOTAL'!AQ171</f>
        <v>APAGADO</v>
      </c>
      <c r="AI168">
        <f>'RESUMEN TOTAL'!AR171</f>
        <v>0</v>
      </c>
      <c r="AJ168">
        <f>'RESUMEN TOTAL'!AS171</f>
        <v>0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>
        <f>'RESUMEN TOTAL'!AS172</f>
        <v>0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 t="str">
        <f>'RESUMEN TOTAL'!AJ173</f>
        <v>APAGADO</v>
      </c>
      <c r="AB170" t="str">
        <f>'RESUMEN TOTAL'!AK173</f>
        <v>APAGADO</v>
      </c>
      <c r="AC170" t="str">
        <f>'RESUMEN TOTAL'!AL173</f>
        <v>APAGADO</v>
      </c>
      <c r="AD170" t="str">
        <f>'RESUMEN TOTAL'!AM173</f>
        <v>APAGADO</v>
      </c>
      <c r="AE170" t="str">
        <f>'RESUMEN TOTAL'!AN173</f>
        <v>APAGADO</v>
      </c>
      <c r="AF170" t="str">
        <f>'RESUMEN TOTAL'!AO173</f>
        <v>APAGADO</v>
      </c>
      <c r="AG170" t="str">
        <f>'RESUMEN TOTAL'!AP173</f>
        <v>APAGADO</v>
      </c>
      <c r="AH170" t="str">
        <f>'RESUMEN TOTAL'!AQ173</f>
        <v>APAGADO</v>
      </c>
      <c r="AI170">
        <f>'RESUMEN TOTAL'!AR173</f>
        <v>0</v>
      </c>
      <c r="AJ170">
        <f>'RESUMEN TOTAL'!AS173</f>
        <v>0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 t="str">
        <f>'RESUMEN TOTAL'!P174</f>
        <v>APAGADO</v>
      </c>
      <c r="H171" t="str">
        <f>'RESUMEN TOTAL'!Q174</f>
        <v>APAGADO</v>
      </c>
      <c r="I171" t="str">
        <f>'RESUMEN TOTAL'!R174</f>
        <v>APAGADO</v>
      </c>
      <c r="J171">
        <f>'RESUMEN TOTAL'!S174</f>
        <v>0</v>
      </c>
      <c r="K171" t="str">
        <f>'RESUMEN TOTAL'!T174</f>
        <v>APAGADO</v>
      </c>
      <c r="L171" t="str">
        <f>'RESUMEN TOTAL'!U174</f>
        <v>APAGADO</v>
      </c>
      <c r="M171" t="str">
        <f>'RESUMEN TOTAL'!V174</f>
        <v>APAGADO</v>
      </c>
      <c r="N171" t="str">
        <f>'RESUMEN TOTAL'!W174</f>
        <v>APAGADO</v>
      </c>
      <c r="O171" t="str">
        <f>'RESUMEN TOTAL'!X174</f>
        <v>APAGADO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 t="str">
        <f>'RESUMEN TOTAL'!AJ174</f>
        <v>APAGADO</v>
      </c>
      <c r="AB171" t="str">
        <f>'RESUMEN TOTAL'!AK174</f>
        <v>APAGADO</v>
      </c>
      <c r="AC171" t="str">
        <f>'RESUMEN TOTAL'!AL174</f>
        <v>APAGADO</v>
      </c>
      <c r="AD171" t="str">
        <f>'RESUMEN TOTAL'!AM174</f>
        <v>APAGADO</v>
      </c>
      <c r="AE171" t="str">
        <f>'RESUMEN TOTAL'!AN174</f>
        <v>APAGADO</v>
      </c>
      <c r="AF171" t="str">
        <f>'RESUMEN TOTAL'!AO174</f>
        <v>APAGADO</v>
      </c>
      <c r="AG171" t="str">
        <f>'RESUMEN TOTAL'!AP174</f>
        <v>APAGADO</v>
      </c>
      <c r="AH171" t="str">
        <f>'RESUMEN TOTAL'!AQ174</f>
        <v>APAGADO</v>
      </c>
      <c r="AI171">
        <f>'RESUMEN TOTAL'!AR174</f>
        <v>0</v>
      </c>
      <c r="AJ171">
        <f>'RESUMEN TOTAL'!AS174</f>
        <v>0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>
        <f>'RESUMEN TOTAL'!AS175</f>
        <v>0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>
        <f>'RESUMEN TOTAL'!AS176</f>
        <v>0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>
        <f>'RESUMEN TOTAL'!AS177</f>
        <v>0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>
        <f>'RESUMEN TOTAL'!AS178</f>
        <v>0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>
        <f>'RESUMEN TOTAL'!AS179</f>
        <v>0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 t="str">
        <f>'RESUMEN TOTAL'!O180</f>
        <v>APAGADO</v>
      </c>
      <c r="G177">
        <f>'RESUMEN TOTAL'!P180</f>
        <v>0</v>
      </c>
      <c r="H177">
        <f>'RESUMEN TOTAL'!Q180</f>
        <v>0</v>
      </c>
      <c r="I177" t="str">
        <f>'RESUMEN TOTAL'!R180</f>
        <v>APAGADO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 t="str">
        <f>'RESUMEN TOTAL'!AD180</f>
        <v>APAGADO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 t="str">
        <f>'RESUMEN TOTAL'!AI180</f>
        <v>APAGADO</v>
      </c>
      <c r="AA177" t="str">
        <f>'RESUMEN TOTAL'!AJ180</f>
        <v>APAGADO</v>
      </c>
      <c r="AB177" t="str">
        <f>'RESUMEN TOTAL'!AK180</f>
        <v>APAGADO</v>
      </c>
      <c r="AC177" t="str">
        <f>'RESUMEN TOTAL'!AL180</f>
        <v>APAGADO</v>
      </c>
      <c r="AD177" t="str">
        <f>'RESUMEN TOTAL'!AM180</f>
        <v>APAGADO</v>
      </c>
      <c r="AE177" t="str">
        <f>'RESUMEN TOTAL'!AN180</f>
        <v>APAGADO</v>
      </c>
      <c r="AF177" t="str">
        <f>'RESUMEN TOTAL'!AO180</f>
        <v>APAGADO</v>
      </c>
      <c r="AG177" t="str">
        <f>'RESUMEN TOTAL'!AP180</f>
        <v>APAGADO</v>
      </c>
      <c r="AH177" t="str">
        <f>'RESUMEN TOTAL'!AQ180</f>
        <v>APAGADO</v>
      </c>
      <c r="AI177">
        <f>'RESUMEN TOTAL'!AR180</f>
        <v>0</v>
      </c>
      <c r="AJ177">
        <f>'RESUMEN TOTAL'!AS180</f>
        <v>0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>
        <f>'RESUMEN TOTAL'!AS181</f>
        <v>0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>
        <f>'RESUMEN TOTAL'!AS182</f>
        <v>0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>
        <f>'RESUMEN TOTAL'!AS183</f>
        <v>0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>
        <f>'RESUMEN TOTAL'!AS184</f>
        <v>0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>
        <f>'RESUMEN TOTAL'!AS185</f>
        <v>0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>
        <f>'RESUMEN TOTAL'!AS186</f>
        <v>0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>
        <f>'RESUMEN TOTAL'!AS187</f>
        <v>0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>
        <f>'RESUMEN TOTAL'!AS188</f>
        <v>0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>
        <f>'RESUMEN TOTAL'!AS189</f>
        <v>0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>
        <f>'RESUMEN TOTAL'!AS190</f>
        <v>0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 t="str">
        <f>'RESUMEN TOTAL'!AN191</f>
        <v>APAGADO</v>
      </c>
      <c r="AF188" t="str">
        <f>'RESUMEN TOTAL'!AO191</f>
        <v>APAGADO</v>
      </c>
      <c r="AG188" t="str">
        <f>'RESUMEN TOTAL'!AP191</f>
        <v>APAGADO</v>
      </c>
      <c r="AH188" t="str">
        <f>'RESUMEN TOTAL'!AQ191</f>
        <v>APAGADO</v>
      </c>
      <c r="AI188">
        <f>'RESUMEN TOTAL'!AR191</f>
        <v>0</v>
      </c>
      <c r="AJ188">
        <f>'RESUMEN TOTAL'!AS191</f>
        <v>0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 t="str">
        <f>'RESUMEN TOTAL'!AN192</f>
        <v>APAGADO</v>
      </c>
      <c r="AF189" t="str">
        <f>'RESUMEN TOTAL'!AO192</f>
        <v>APAGADO</v>
      </c>
      <c r="AG189" t="str">
        <f>'RESUMEN TOTAL'!AP192</f>
        <v>APAGADO</v>
      </c>
      <c r="AH189" t="str">
        <f>'RESUMEN TOTAL'!AQ192</f>
        <v>APAGADO</v>
      </c>
      <c r="AI189">
        <f>'RESUMEN TOTAL'!AR192</f>
        <v>0</v>
      </c>
      <c r="AJ189">
        <f>'RESUMEN TOTAL'!AS192</f>
        <v>0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 t="str">
        <f>'RESUMEN TOTAL'!P193</f>
        <v>APAGADO</v>
      </c>
      <c r="H190" t="str">
        <f>'RESUMEN TOTAL'!Q193</f>
        <v>APAGADO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 t="str">
        <f>'RESUMEN TOTAL'!V193</f>
        <v>APAGADO</v>
      </c>
      <c r="N190" t="str">
        <f>'RESUMEN TOTAL'!W193</f>
        <v>APAGADO</v>
      </c>
      <c r="O190" t="str">
        <f>'RESUMEN TOTAL'!X193</f>
        <v>APAGADO</v>
      </c>
      <c r="P190" t="str">
        <f>'RESUMEN TOTAL'!Y193</f>
        <v>APAGADO</v>
      </c>
      <c r="Q190" t="str">
        <f>'RESUMEN TOTAL'!Z193</f>
        <v>APAGADO</v>
      </c>
      <c r="R190" t="str">
        <f>'RESUMEN TOTAL'!AA193</f>
        <v>APAGADO</v>
      </c>
      <c r="S190" t="str">
        <f>'RESUMEN TOTAL'!AB193</f>
        <v>APAGADO</v>
      </c>
      <c r="T190" t="str">
        <f>'RESUMEN TOTAL'!AC193</f>
        <v>APAGADO</v>
      </c>
      <c r="U190" t="str">
        <f>'RESUMEN TOTAL'!AD193</f>
        <v>APAGADO</v>
      </c>
      <c r="V190">
        <f>'RESUMEN TOTAL'!AE193</f>
        <v>0</v>
      </c>
      <c r="W190" t="str">
        <f>'RESUMEN TOTAL'!AF193</f>
        <v>APAGADO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 t="str">
        <f>'RESUMEN TOTAL'!AJ193</f>
        <v>APAGADO</v>
      </c>
      <c r="AB190" t="str">
        <f>'RESUMEN TOTAL'!AK193</f>
        <v>APAGADO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 t="str">
        <f>'RESUMEN TOTAL'!AP193</f>
        <v>APAGADO</v>
      </c>
      <c r="AH190" t="str">
        <f>'RESUMEN TOTAL'!AQ193</f>
        <v>APAGADO</v>
      </c>
      <c r="AI190">
        <f>'RESUMEN TOTAL'!AR193</f>
        <v>0</v>
      </c>
      <c r="AJ190">
        <f>'RESUMEN TOTAL'!AS193</f>
        <v>0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 t="str">
        <f>'RESUMEN TOTAL'!AJ194</f>
        <v>APAGADO</v>
      </c>
      <c r="AB191" t="str">
        <f>'RESUMEN TOTAL'!AK194</f>
        <v>APAGADO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 t="str">
        <f>'RESUMEN TOTAL'!AP194</f>
        <v>APAGADO</v>
      </c>
      <c r="AH191" t="str">
        <f>'RESUMEN TOTAL'!AQ194</f>
        <v>APAGADO</v>
      </c>
      <c r="AI191">
        <f>'RESUMEN TOTAL'!AR194</f>
        <v>0</v>
      </c>
      <c r="AJ191">
        <f>'RESUMEN TOTAL'!AS194</f>
        <v>0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 t="str">
        <f>'RESUMEN TOTAL'!P195</f>
        <v>APAGADO</v>
      </c>
      <c r="H192" t="str">
        <f>'RESUMEN TOTAL'!Q195</f>
        <v>APAGADO</v>
      </c>
      <c r="I192" t="str">
        <f>'RESUMEN TOTAL'!R195</f>
        <v>APAGADO</v>
      </c>
      <c r="J192" t="str">
        <f>'RESUMEN TOTAL'!S195</f>
        <v>APAGADO</v>
      </c>
      <c r="K192" t="str">
        <f>'RESUMEN TOTAL'!T195</f>
        <v>APAGADO</v>
      </c>
      <c r="L192" t="str">
        <f>'RESUMEN TOTAL'!U195</f>
        <v>APAGADO</v>
      </c>
      <c r="M192" t="str">
        <f>'RESUMEN TOTAL'!V195</f>
        <v>APAGADO</v>
      </c>
      <c r="N192" t="str">
        <f>'RESUMEN TOTAL'!W195</f>
        <v>APAGADO</v>
      </c>
      <c r="O192" t="str">
        <f>'RESUMEN TOTAL'!X195</f>
        <v>APAGADO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>
        <f>'RESUMEN TOTAL'!AS195</f>
        <v>0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 t="str">
        <f>'RESUMEN TOTAL'!P196</f>
        <v>APAGADO</v>
      </c>
      <c r="H193" t="str">
        <f>'RESUMEN TOTAL'!Q196</f>
        <v>APAGADO</v>
      </c>
      <c r="I193" t="str">
        <f>'RESUMEN TOTAL'!R196</f>
        <v>APAGADO</v>
      </c>
      <c r="J193" t="str">
        <f>'RESUMEN TOTAL'!S196</f>
        <v>APAGADO</v>
      </c>
      <c r="K193" t="str">
        <f>'RESUMEN TOTAL'!T196</f>
        <v>APAGADO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>
        <f>'RESUMEN TOTAL'!AS196</f>
        <v>0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 t="str">
        <f>'RESUMEN TOTAL'!X197</f>
        <v>APAGADO</v>
      </c>
      <c r="P194">
        <f>'RESUMEN TOTAL'!Y197</f>
        <v>0</v>
      </c>
      <c r="Q194">
        <f>'RESUMEN TOTAL'!Z197</f>
        <v>0</v>
      </c>
      <c r="R194" t="str">
        <f>'RESUMEN TOTAL'!AA197</f>
        <v>APAGADO</v>
      </c>
      <c r="S194" t="str">
        <f>'RESUMEN TOTAL'!AB197</f>
        <v>APAGADO</v>
      </c>
      <c r="T194">
        <f>'RESUMEN TOTAL'!AC197</f>
        <v>0</v>
      </c>
      <c r="U194" t="str">
        <f>'RESUMEN TOTAL'!AD197</f>
        <v>APAGADO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 t="str">
        <f>'RESUMEN TOTAL'!AJ197</f>
        <v>APAGADO</v>
      </c>
      <c r="AB194">
        <f>'RESUMEN TOTAL'!AK197</f>
        <v>0</v>
      </c>
      <c r="AC194" t="str">
        <f>'RESUMEN TOTAL'!AL197</f>
        <v>APAGADO</v>
      </c>
      <c r="AD194" t="str">
        <f>'RESUMEN TOTAL'!AM197</f>
        <v>APAGADO</v>
      </c>
      <c r="AE194" t="str">
        <f>'RESUMEN TOTAL'!AN197</f>
        <v>APAGADO</v>
      </c>
      <c r="AF194" t="str">
        <f>'RESUMEN TOTAL'!AO197</f>
        <v>APAGADO</v>
      </c>
      <c r="AG194" t="str">
        <f>'RESUMEN TOTAL'!AP197</f>
        <v>APAGADO</v>
      </c>
      <c r="AH194" t="str">
        <f>'RESUMEN TOTAL'!AQ197</f>
        <v>APAGADO</v>
      </c>
      <c r="AI194">
        <f>'RESUMEN TOTAL'!AR197</f>
        <v>0</v>
      </c>
      <c r="AJ194">
        <f>'RESUMEN TOTAL'!AS197</f>
        <v>0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 t="str">
        <f>'RESUMEN TOTAL'!P198</f>
        <v>APAGADO</v>
      </c>
      <c r="H195" t="str">
        <f>'RESUMEN TOTAL'!Q198</f>
        <v>APAGADO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 t="str">
        <f>'RESUMEN TOTAL'!AA198</f>
        <v>APAGADO</v>
      </c>
      <c r="S195" t="str">
        <f>'RESUMEN TOTAL'!AB198</f>
        <v>APAGADO</v>
      </c>
      <c r="T195">
        <f>'RESUMEN TOTAL'!AC198</f>
        <v>0</v>
      </c>
      <c r="U195" t="str">
        <f>'RESUMEN TOTAL'!AD198</f>
        <v>APAGADO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 t="str">
        <f>'RESUMEN TOTAL'!AJ198</f>
        <v>APAGADO</v>
      </c>
      <c r="AB195">
        <f>'RESUMEN TOTAL'!AK198</f>
        <v>0</v>
      </c>
      <c r="AC195" t="str">
        <f>'RESUMEN TOTAL'!AL198</f>
        <v>APAGADO</v>
      </c>
      <c r="AD195" t="str">
        <f>'RESUMEN TOTAL'!AM198</f>
        <v>APAGADO</v>
      </c>
      <c r="AE195" t="str">
        <f>'RESUMEN TOTAL'!AN198</f>
        <v>APAGADO</v>
      </c>
      <c r="AF195" t="str">
        <f>'RESUMEN TOTAL'!AO198</f>
        <v>APAGADO</v>
      </c>
      <c r="AG195" t="str">
        <f>'RESUMEN TOTAL'!AP198</f>
        <v>APAGADO</v>
      </c>
      <c r="AH195">
        <f>'RESUMEN TOTAL'!AQ198</f>
        <v>0</v>
      </c>
      <c r="AI195">
        <f>'RESUMEN TOTAL'!AR198</f>
        <v>0</v>
      </c>
      <c r="AJ195">
        <f>'RESUMEN TOTAL'!AS198</f>
        <v>0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>
        <f>'RESUMEN TOTAL'!X199</f>
        <v>0</v>
      </c>
      <c r="P196" t="str">
        <f>'RESUMEN TOTAL'!Y199</f>
        <v>APAGADO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 t="str">
        <f>'RESUMEN TOTAL'!AL199</f>
        <v>APAGADO</v>
      </c>
      <c r="AD196" t="str">
        <f>'RESUMEN TOTAL'!AM199</f>
        <v>APAGADO</v>
      </c>
      <c r="AE196" t="str">
        <f>'RESUMEN TOTAL'!AN199</f>
        <v>APAGADO</v>
      </c>
      <c r="AF196" t="str">
        <f>'RESUMEN TOTAL'!AO199</f>
        <v>APAGADO</v>
      </c>
      <c r="AG196" t="str">
        <f>'RESUMEN TOTAL'!AP199</f>
        <v>APAGADO</v>
      </c>
      <c r="AH196" t="str">
        <f>'RESUMEN TOTAL'!AQ199</f>
        <v>APAGADO</v>
      </c>
      <c r="AI196">
        <f>'RESUMEN TOTAL'!AR199</f>
        <v>0</v>
      </c>
      <c r="AJ196">
        <f>'RESUMEN TOTAL'!AS199</f>
        <v>0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 t="str">
        <f>'RESUMEN TOTAL'!U200</f>
        <v>APAGADO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 t="str">
        <f>'RESUMEN TOTAL'!AL200</f>
        <v>APAGADO</v>
      </c>
      <c r="AD197" t="str">
        <f>'RESUMEN TOTAL'!AM200</f>
        <v>APAGADO</v>
      </c>
      <c r="AE197" t="str">
        <f>'RESUMEN TOTAL'!AN200</f>
        <v>APAGADO</v>
      </c>
      <c r="AF197" t="str">
        <f>'RESUMEN TOTAL'!AO200</f>
        <v>APAGADO</v>
      </c>
      <c r="AG197" t="str">
        <f>'RESUMEN TOTAL'!AP200</f>
        <v>APAGADO</v>
      </c>
      <c r="AH197">
        <f>'RESUMEN TOTAL'!AQ200</f>
        <v>0</v>
      </c>
      <c r="AI197">
        <f>'RESUMEN TOTAL'!AR200</f>
        <v>0</v>
      </c>
      <c r="AJ197">
        <f>'RESUMEN TOTAL'!AS200</f>
        <v>0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 t="str">
        <f>'RESUMEN TOTAL'!AL201</f>
        <v>APAGADO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>
        <f>'RESUMEN TOTAL'!AS201</f>
        <v>0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 t="str">
        <f>'RESUMEN TOTAL'!AL202</f>
        <v>APAGADO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>
        <f>'RESUMEN TOTAL'!AS202</f>
        <v>0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 t="str">
        <f>'RESUMEN TOTAL'!AQ203</f>
        <v>APAGADO</v>
      </c>
      <c r="AI200">
        <f>'RESUMEN TOTAL'!AR203</f>
        <v>0</v>
      </c>
      <c r="AJ200">
        <f>'RESUMEN TOTAL'!AS203</f>
        <v>0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 t="str">
        <f>'RESUMEN TOTAL'!W204</f>
        <v>APAGADO</v>
      </c>
      <c r="O201" t="str">
        <f>'RESUMEN TOTAL'!X204</f>
        <v>APAGADO</v>
      </c>
      <c r="P201" t="str">
        <f>'RESUMEN TOTAL'!Y204</f>
        <v>APAGADO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>
        <f>'RESUMEN TOTAL'!AS204</f>
        <v>0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 t="str">
        <f>'RESUMEN TOTAL'!T205</f>
        <v>APAGADO</v>
      </c>
      <c r="L202" t="str">
        <f>'RESUMEN TOTAL'!U205</f>
        <v>APAGADO</v>
      </c>
      <c r="M202" t="str">
        <f>'RESUMEN TOTAL'!V205</f>
        <v>APAGADO</v>
      </c>
      <c r="N202" t="str">
        <f>'RESUMEN TOTAL'!W205</f>
        <v>APAGADO</v>
      </c>
      <c r="O202" t="str">
        <f>'RESUMEN TOTAL'!X205</f>
        <v>APAGADO</v>
      </c>
      <c r="P202" t="str">
        <f>'RESUMEN TOTAL'!Y205</f>
        <v>APAGADO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>
        <f>'RESUMEN TOTAL'!AS205</f>
        <v>0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>
        <f>'RESUMEN TOTAL'!AJ206</f>
        <v>0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 t="str">
        <f>'RESUMEN TOTAL'!AN206</f>
        <v>APAGADO</v>
      </c>
      <c r="AF203" t="str">
        <f>'RESUMEN TOTAL'!AO206</f>
        <v>APAGADO</v>
      </c>
      <c r="AG203" t="str">
        <f>'RESUMEN TOTAL'!AP206</f>
        <v>APAGADO</v>
      </c>
      <c r="AH203" t="str">
        <f>'RESUMEN TOTAL'!AQ206</f>
        <v>APAGADO</v>
      </c>
      <c r="AI203">
        <f>'RESUMEN TOTAL'!AR206</f>
        <v>0</v>
      </c>
      <c r="AJ203">
        <f>'RESUMEN TOTAL'!AS206</f>
        <v>0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 t="str">
        <f>'RESUMEN TOTAL'!AK207</f>
        <v>APAGADO</v>
      </c>
      <c r="AC204" t="str">
        <f>'RESUMEN TOTAL'!AL207</f>
        <v>APAGADO</v>
      </c>
      <c r="AD204" t="str">
        <f>'RESUMEN TOTAL'!AM207</f>
        <v>APAGADO</v>
      </c>
      <c r="AE204" t="str">
        <f>'RESUMEN TOTAL'!AN207</f>
        <v>APAGADO</v>
      </c>
      <c r="AF204" t="str">
        <f>'RESUMEN TOTAL'!AO207</f>
        <v>APAGADO</v>
      </c>
      <c r="AG204" t="str">
        <f>'RESUMEN TOTAL'!AP207</f>
        <v>APAGADO</v>
      </c>
      <c r="AH204" t="str">
        <f>'RESUMEN TOTAL'!AQ207</f>
        <v>APAGADO</v>
      </c>
      <c r="AI204">
        <f>'RESUMEN TOTAL'!AR207</f>
        <v>0</v>
      </c>
      <c r="AJ204">
        <f>'RESUMEN TOTAL'!AS207</f>
        <v>0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 t="str">
        <f>'RESUMEN TOTAL'!P208</f>
        <v>APAGADO</v>
      </c>
      <c r="H205" t="str">
        <f>'RESUMEN TOTAL'!Q208</f>
        <v>APAGADO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 t="str">
        <f>'RESUMEN TOTAL'!AL208</f>
        <v>APAGADO</v>
      </c>
      <c r="AD205">
        <f>'RESUMEN TOTAL'!AM208</f>
        <v>0</v>
      </c>
      <c r="AE205" t="str">
        <f>'RESUMEN TOTAL'!AN208</f>
        <v>APAGADO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>
        <f>'RESUMEN TOTAL'!AS208</f>
        <v>0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>
        <f>'RESUMEN TOTAL'!AS209</f>
        <v>0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 t="str">
        <f>'RESUMEN TOTAL'!AL210</f>
        <v>APAGADO</v>
      </c>
      <c r="AD207" t="str">
        <f>'RESUMEN TOTAL'!AM210</f>
        <v>APAGADO</v>
      </c>
      <c r="AE207" t="str">
        <f>'RESUMEN TOTAL'!AN210</f>
        <v>APAGADO</v>
      </c>
      <c r="AF207" t="str">
        <f>'RESUMEN TOTAL'!AO210</f>
        <v>APAGADO</v>
      </c>
      <c r="AG207" t="str">
        <f>'RESUMEN TOTAL'!AP210</f>
        <v>APAGADO</v>
      </c>
      <c r="AH207">
        <f>'RESUMEN TOTAL'!AQ210</f>
        <v>0</v>
      </c>
      <c r="AI207">
        <f>'RESUMEN TOTAL'!AR210</f>
        <v>0</v>
      </c>
      <c r="AJ207">
        <f>'RESUMEN TOTAL'!AS210</f>
        <v>0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 t="str">
        <f>'RESUMEN TOTAL'!AI211</f>
        <v>APAGADO</v>
      </c>
      <c r="AA208" t="str">
        <f>'RESUMEN TOTAL'!AJ211</f>
        <v>APAGADO</v>
      </c>
      <c r="AB208">
        <f>'RESUMEN TOTAL'!AK211</f>
        <v>0</v>
      </c>
      <c r="AC208" t="str">
        <f>'RESUMEN TOTAL'!AL211</f>
        <v>APAGADO</v>
      </c>
      <c r="AD208" t="str">
        <f>'RESUMEN TOTAL'!AM211</f>
        <v>APAGADO</v>
      </c>
      <c r="AE208" t="str">
        <f>'RESUMEN TOTAL'!AN211</f>
        <v>APAGADO</v>
      </c>
      <c r="AF208" t="str">
        <f>'RESUMEN TOTAL'!AO211</f>
        <v>APAGADO</v>
      </c>
      <c r="AG208" t="str">
        <f>'RESUMEN TOTAL'!AP211</f>
        <v>APAGADO</v>
      </c>
      <c r="AH208">
        <f>'RESUMEN TOTAL'!AQ211</f>
        <v>0</v>
      </c>
      <c r="AI208">
        <f>'RESUMEN TOTAL'!AR211</f>
        <v>0</v>
      </c>
      <c r="AJ208">
        <f>'RESUMEN TOTAL'!AS211</f>
        <v>0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>
        <f>'RESUMEN TOTAL'!AK212</f>
        <v>0</v>
      </c>
      <c r="AC209" t="str">
        <f>'RESUMEN TOTAL'!AL212</f>
        <v>APAGADO</v>
      </c>
      <c r="AD209" t="str">
        <f>'RESUMEN TOTAL'!AM212</f>
        <v>APAGADO</v>
      </c>
      <c r="AE209" t="str">
        <f>'RESUMEN TOTAL'!AN212</f>
        <v>APAGADO</v>
      </c>
      <c r="AF209" t="str">
        <f>'RESUMEN TOTAL'!AO212</f>
        <v>APAGADO</v>
      </c>
      <c r="AG209" t="str">
        <f>'RESUMEN TOTAL'!AP212</f>
        <v>APAGADO</v>
      </c>
      <c r="AH209">
        <f>'RESUMEN TOTAL'!AQ212</f>
        <v>0</v>
      </c>
      <c r="AI209">
        <f>'RESUMEN TOTAL'!AR212</f>
        <v>0</v>
      </c>
      <c r="AJ209">
        <f>'RESUMEN TOTAL'!AS212</f>
        <v>0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 t="str">
        <f>'RESUMEN TOTAL'!AQ213</f>
        <v>APAGADO</v>
      </c>
      <c r="AI210">
        <f>'RESUMEN TOTAL'!AR213</f>
        <v>0</v>
      </c>
      <c r="AJ210">
        <f>'RESUMEN TOTAL'!AS213</f>
        <v>0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 t="str">
        <f>'RESUMEN TOTAL'!AP214</f>
        <v>APAGADO</v>
      </c>
      <c r="AH211" t="str">
        <f>'RESUMEN TOTAL'!AQ214</f>
        <v>APAGADO</v>
      </c>
      <c r="AI211">
        <f>'RESUMEN TOTAL'!AR214</f>
        <v>0</v>
      </c>
      <c r="AJ211">
        <f>'RESUMEN TOTAL'!AS214</f>
        <v>0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 t="str">
        <f>'RESUMEN TOTAL'!AP215</f>
        <v>APAGADO</v>
      </c>
      <c r="AH212" t="str">
        <f>'RESUMEN TOTAL'!AQ215</f>
        <v>APAGADO</v>
      </c>
      <c r="AI212">
        <f>'RESUMEN TOTAL'!AR215</f>
        <v>0</v>
      </c>
      <c r="AJ212">
        <f>'RESUMEN TOTAL'!AS215</f>
        <v>0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 t="str">
        <f>'RESUMEN TOTAL'!AP216</f>
        <v>APAGADO</v>
      </c>
      <c r="AH213" t="str">
        <f>'RESUMEN TOTAL'!AQ216</f>
        <v>APAGADO</v>
      </c>
      <c r="AI213">
        <f>'RESUMEN TOTAL'!AR216</f>
        <v>0</v>
      </c>
      <c r="AJ213">
        <f>'RESUMEN TOTAL'!AS216</f>
        <v>0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 t="str">
        <f>'RESUMEN TOTAL'!AP217</f>
        <v>APAGADO</v>
      </c>
      <c r="AH214" t="str">
        <f>'RESUMEN TOTAL'!AQ217</f>
        <v>APAGADO</v>
      </c>
      <c r="AI214">
        <f>'RESUMEN TOTAL'!AR217</f>
        <v>0</v>
      </c>
      <c r="AJ214">
        <f>'RESUMEN TOTAL'!AS217</f>
        <v>0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 t="str">
        <f>'RESUMEN TOTAL'!AP218</f>
        <v>APAGADO</v>
      </c>
      <c r="AH215" t="str">
        <f>'RESUMEN TOTAL'!AQ218</f>
        <v>APAGADO</v>
      </c>
      <c r="AI215">
        <f>'RESUMEN TOTAL'!AR218</f>
        <v>0</v>
      </c>
      <c r="AJ215">
        <f>'RESUMEN TOTAL'!AS218</f>
        <v>0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 t="str">
        <f>'RESUMEN TOTAL'!AP219</f>
        <v>APAGADO</v>
      </c>
      <c r="AH216" t="str">
        <f>'RESUMEN TOTAL'!AQ219</f>
        <v>APAGADO</v>
      </c>
      <c r="AI216">
        <f>'RESUMEN TOTAL'!AR219</f>
        <v>0</v>
      </c>
      <c r="AJ216">
        <f>'RESUMEN TOTAL'!AS219</f>
        <v>0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 t="str">
        <f>'RESUMEN TOTAL'!AP220</f>
        <v>APAGADO</v>
      </c>
      <c r="AH217" t="str">
        <f>'RESUMEN TOTAL'!AQ220</f>
        <v>APAGADO</v>
      </c>
      <c r="AI217">
        <f>'RESUMEN TOTAL'!AR220</f>
        <v>0</v>
      </c>
      <c r="AJ217">
        <f>'RESUMEN TOTAL'!AS220</f>
        <v>0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 t="str">
        <f>'RESUMEN TOTAL'!AP221</f>
        <v>APAGADO</v>
      </c>
      <c r="AH218" t="str">
        <f>'RESUMEN TOTAL'!AQ221</f>
        <v>APAGADO</v>
      </c>
      <c r="AI218">
        <f>'RESUMEN TOTAL'!AR221</f>
        <v>0</v>
      </c>
      <c r="AJ218">
        <f>'RESUMEN TOTAL'!AS221</f>
        <v>0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 t="str">
        <f>'RESUMEN TOTAL'!AP222</f>
        <v>APAGADO</v>
      </c>
      <c r="AH219" t="str">
        <f>'RESUMEN TOTAL'!AQ222</f>
        <v>APAGADO</v>
      </c>
      <c r="AI219">
        <f>'RESUMEN TOTAL'!AR222</f>
        <v>0</v>
      </c>
      <c r="AJ219">
        <f>'RESUMEN TOTAL'!AS222</f>
        <v>0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 t="str">
        <f>'RESUMEN TOTAL'!AP223</f>
        <v>APAGADO</v>
      </c>
      <c r="AH220" t="str">
        <f>'RESUMEN TOTAL'!AQ223</f>
        <v>APAGADO</v>
      </c>
      <c r="AI220">
        <f>'RESUMEN TOTAL'!AR223</f>
        <v>0</v>
      </c>
      <c r="AJ220">
        <f>'RESUMEN TOTAL'!AS223</f>
        <v>0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 t="str">
        <f>'RESUMEN TOTAL'!O224</f>
        <v>APAGADO</v>
      </c>
      <c r="G221" t="str">
        <f>'RESUMEN TOTAL'!P224</f>
        <v>APAGADO</v>
      </c>
      <c r="H221" t="str">
        <f>'RESUMEN TOTAL'!Q224</f>
        <v>APAGADO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 t="str">
        <f>'RESUMEN TOTAL'!W224</f>
        <v>APAGADO</v>
      </c>
      <c r="O221" t="str">
        <f>'RESUMEN TOTAL'!X224</f>
        <v>APAGADO</v>
      </c>
      <c r="P221" t="str">
        <f>'RESUMEN TOTAL'!Y224</f>
        <v>APAGADO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 t="str">
        <f>'RESUMEN TOTAL'!AK224</f>
        <v>APAGADO</v>
      </c>
      <c r="AC221" t="str">
        <f>'RESUMEN TOTAL'!AL224</f>
        <v>APAGADO</v>
      </c>
      <c r="AD221" t="str">
        <f>'RESUMEN TOTAL'!AM224</f>
        <v>APAGADO</v>
      </c>
      <c r="AE221" t="str">
        <f>'RESUMEN TOTAL'!AN224</f>
        <v>APAGADO</v>
      </c>
      <c r="AF221" t="str">
        <f>'RESUMEN TOTAL'!AO224</f>
        <v>APAGADO</v>
      </c>
      <c r="AG221" t="str">
        <f>'RESUMEN TOTAL'!AP224</f>
        <v>APAGADO</v>
      </c>
      <c r="AH221" t="str">
        <f>'RESUMEN TOTAL'!AQ224</f>
        <v>APAGADO</v>
      </c>
      <c r="AI221">
        <f>'RESUMEN TOTAL'!AR224</f>
        <v>0</v>
      </c>
      <c r="AJ221">
        <f>'RESUMEN TOTAL'!AS224</f>
        <v>0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 t="str">
        <f>'RESUMEN TOTAL'!AA225</f>
        <v>APAGADO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>
        <f>'RESUMEN TOTAL'!AS225</f>
        <v>0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>
        <f>'RESUMEN TOTAL'!AS226</f>
        <v>0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>
        <f>'RESUMEN TOTAL'!AS227</f>
        <v>0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>
        <f>'RESUMEN TOTAL'!AS228</f>
        <v>0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>
        <f>'RESUMEN TOTAL'!AS229</f>
        <v>0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 t="str">
        <f>'RESUMEN TOTAL'!AJ230</f>
        <v>APAGADO</v>
      </c>
      <c r="AB227" t="str">
        <f>'RESUMEN TOTAL'!AK230</f>
        <v>APAGADO</v>
      </c>
      <c r="AC227" t="str">
        <f>'RESUMEN TOTAL'!AL230</f>
        <v>APAGADO</v>
      </c>
      <c r="AD227" t="str">
        <f>'RESUMEN TOTAL'!AM230</f>
        <v>APAGADO</v>
      </c>
      <c r="AE227" t="str">
        <f>'RESUMEN TOTAL'!AN230</f>
        <v>APAGADO</v>
      </c>
      <c r="AF227" t="str">
        <f>'RESUMEN TOTAL'!AO230</f>
        <v>APAGADO</v>
      </c>
      <c r="AG227" t="str">
        <f>'RESUMEN TOTAL'!AP230</f>
        <v>APAGADO</v>
      </c>
      <c r="AH227" t="str">
        <f>'RESUMEN TOTAL'!AQ230</f>
        <v>APAGADO</v>
      </c>
      <c r="AI227">
        <f>'RESUMEN TOTAL'!AR230</f>
        <v>0</v>
      </c>
      <c r="AJ227">
        <f>'RESUMEN TOTAL'!AS230</f>
        <v>0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>
        <f>'RESUMEN TOTAL'!AS231</f>
        <v>0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>
        <f>'RESUMEN TOTAL'!AS232</f>
        <v>0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 t="str">
        <f>'RESUMEN TOTAL'!Q233</f>
        <v>APAGADO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>
        <f>'RESUMEN TOTAL'!AS233</f>
        <v>0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>
        <f>'RESUMEN TOTAL'!AS234</f>
        <v>0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 t="str">
        <f>'RESUMEN TOTAL'!Z235</f>
        <v>APAGADO</v>
      </c>
      <c r="R232" t="str">
        <f>'RESUMEN TOTAL'!AA235</f>
        <v>APAGADO</v>
      </c>
      <c r="S232" t="str">
        <f>'RESUMEN TOTAL'!AB235</f>
        <v>APAGADO</v>
      </c>
      <c r="T232" t="str">
        <f>'RESUMEN TOTAL'!AC235</f>
        <v>APAGADO</v>
      </c>
      <c r="U232" t="str">
        <f>'RESUMEN TOTAL'!AD235</f>
        <v>APAGADO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 t="str">
        <f>'RESUMEN TOTAL'!AL235</f>
        <v>APAGADO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>
        <f>'RESUMEN TOTAL'!AS235</f>
        <v>0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 t="str">
        <f>'RESUMEN TOTAL'!Z236</f>
        <v>APAGADO</v>
      </c>
      <c r="R233" t="str">
        <f>'RESUMEN TOTAL'!AA236</f>
        <v>APAGADO</v>
      </c>
      <c r="S233" t="str">
        <f>'RESUMEN TOTAL'!AB236</f>
        <v>APAGADO</v>
      </c>
      <c r="T233" t="str">
        <f>'RESUMEN TOTAL'!AC236</f>
        <v>APAGADO</v>
      </c>
      <c r="U233" t="str">
        <f>'RESUMEN TOTAL'!AD236</f>
        <v>APAGADO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 t="str">
        <f>'RESUMEN TOTAL'!AL236</f>
        <v>APAGADO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>
        <f>'RESUMEN TOTAL'!AS236</f>
        <v>0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 t="str">
        <f>'RESUMEN TOTAL'!AA237</f>
        <v>APAGADO</v>
      </c>
      <c r="S234" t="str">
        <f>'RESUMEN TOTAL'!AB237</f>
        <v>APAGADO</v>
      </c>
      <c r="T234" t="str">
        <f>'RESUMEN TOTAL'!AC237</f>
        <v>APAGADO</v>
      </c>
      <c r="U234" t="str">
        <f>'RESUMEN TOTAL'!AD237</f>
        <v>APAGADO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 t="str">
        <f>'RESUMEN TOTAL'!AI237</f>
        <v>APAGADO</v>
      </c>
      <c r="AA234">
        <f>'RESUMEN TOTAL'!AJ237</f>
        <v>0</v>
      </c>
      <c r="AB234">
        <f>'RESUMEN TOTAL'!AK237</f>
        <v>0</v>
      </c>
      <c r="AC234" t="str">
        <f>'RESUMEN TOTAL'!AL237</f>
        <v>APAGADO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>
        <f>'RESUMEN TOTAL'!AS237</f>
        <v>0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 t="str">
        <f>'RESUMEN TOTAL'!O238</f>
        <v>APAGADO</v>
      </c>
      <c r="G235" t="str">
        <f>'RESUMEN TOTAL'!P238</f>
        <v>APAGADO</v>
      </c>
      <c r="H235" t="str">
        <f>'RESUMEN TOTAL'!Q238</f>
        <v>APAGADO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>
        <f>'RESUMEN TOTAL'!AS238</f>
        <v>0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 t="str">
        <f>'RESUMEN TOTAL'!P239</f>
        <v>APAGADO</v>
      </c>
      <c r="H236" t="str">
        <f>'RESUMEN TOTAL'!Q239</f>
        <v>APAGADO</v>
      </c>
      <c r="I236" t="str">
        <f>'RESUMEN TOTAL'!R239</f>
        <v>APAGADO</v>
      </c>
      <c r="J236" t="str">
        <f>'RESUMEN TOTAL'!S239</f>
        <v>APAGADO</v>
      </c>
      <c r="K236" t="str">
        <f>'RESUMEN TOTAL'!T239</f>
        <v>APAGADO</v>
      </c>
      <c r="L236" t="str">
        <f>'RESUMEN TOTAL'!U239</f>
        <v>APAGADO</v>
      </c>
      <c r="M236" t="str">
        <f>'RESUMEN TOTAL'!V239</f>
        <v>APAGADO</v>
      </c>
      <c r="N236" t="str">
        <f>'RESUMEN TOTAL'!W239</f>
        <v>APAGADO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 t="str">
        <f>'RESUMEN TOTAL'!AL239</f>
        <v>APAGADO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>
        <f>'RESUMEN TOTAL'!AS239</f>
        <v>0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 t="str">
        <f>'RESUMEN TOTAL'!P240</f>
        <v>APAGADO</v>
      </c>
      <c r="H237" t="str">
        <f>'RESUMEN TOTAL'!Q240</f>
        <v>APAGADO</v>
      </c>
      <c r="I237" t="str">
        <f>'RESUMEN TOTAL'!R240</f>
        <v>APAGADO</v>
      </c>
      <c r="J237" t="str">
        <f>'RESUMEN TOTAL'!S240</f>
        <v>APAGADO</v>
      </c>
      <c r="K237" t="str">
        <f>'RESUMEN TOTAL'!T240</f>
        <v>APAGADO</v>
      </c>
      <c r="L237" t="str">
        <f>'RESUMEN TOTAL'!U240</f>
        <v>APAGADO</v>
      </c>
      <c r="M237" t="str">
        <f>'RESUMEN TOTAL'!V240</f>
        <v>APAGADO</v>
      </c>
      <c r="N237" t="str">
        <f>'RESUMEN TOTAL'!W240</f>
        <v>APAGADO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 t="str">
        <f>'RESUMEN TOTAL'!AG240</f>
        <v>APAGADO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 t="str">
        <f>'RESUMEN TOTAL'!AL240</f>
        <v>APAGADO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>
        <f>'RESUMEN TOTAL'!AS240</f>
        <v>0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 t="str">
        <f>'RESUMEN TOTAL'!Z241</f>
        <v>APAGADO</v>
      </c>
      <c r="R238" t="str">
        <f>'RESUMEN TOTAL'!AA241</f>
        <v>APAGADO</v>
      </c>
      <c r="S238" t="str">
        <f>'RESUMEN TOTAL'!AB241</f>
        <v>APAGADO</v>
      </c>
      <c r="T238" t="str">
        <f>'RESUMEN TOTAL'!AC241</f>
        <v>APAGADO</v>
      </c>
      <c r="U238" t="str">
        <f>'RESUMEN TOTAL'!AD241</f>
        <v>APAGADO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 t="str">
        <f>'RESUMEN TOTAL'!AL241</f>
        <v>APAGADO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>
        <f>'RESUMEN TOTAL'!AS241</f>
        <v>0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 t="str">
        <f>'RESUMEN TOTAL'!Z242</f>
        <v>APAGADO</v>
      </c>
      <c r="R239" t="str">
        <f>'RESUMEN TOTAL'!AA242</f>
        <v>APAGADO</v>
      </c>
      <c r="S239" t="str">
        <f>'RESUMEN TOTAL'!AB242</f>
        <v>APAGADO</v>
      </c>
      <c r="T239" t="str">
        <f>'RESUMEN TOTAL'!AC242</f>
        <v>APAGADO</v>
      </c>
      <c r="U239" t="str">
        <f>'RESUMEN TOTAL'!AD242</f>
        <v>APAGADO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 t="str">
        <f>'RESUMEN TOTAL'!AL242</f>
        <v>APAGADO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>
        <f>'RESUMEN TOTAL'!AS242</f>
        <v>0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 t="str">
        <f>'RESUMEN TOTAL'!Z243</f>
        <v>APAGADO</v>
      </c>
      <c r="R240" t="str">
        <f>'RESUMEN TOTAL'!AA243</f>
        <v>APAGADO</v>
      </c>
      <c r="S240" t="str">
        <f>'RESUMEN TOTAL'!AB243</f>
        <v>APAGADO</v>
      </c>
      <c r="T240" t="str">
        <f>'RESUMEN TOTAL'!AC243</f>
        <v>APAGADO</v>
      </c>
      <c r="U240" t="str">
        <f>'RESUMEN TOTAL'!AD243</f>
        <v>APAGADO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 t="str">
        <f>'RESUMEN TOTAL'!AL243</f>
        <v>APAGADO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>
        <f>'RESUMEN TOTAL'!AS243</f>
        <v>0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 t="str">
        <f>'RESUMEN TOTAL'!Z244</f>
        <v>APAGADO</v>
      </c>
      <c r="R241" t="str">
        <f>'RESUMEN TOTAL'!AA244</f>
        <v>APAGADO</v>
      </c>
      <c r="S241" t="str">
        <f>'RESUMEN TOTAL'!AB244</f>
        <v>APAGADO</v>
      </c>
      <c r="T241" t="str">
        <f>'RESUMEN TOTAL'!AC244</f>
        <v>APAGADO</v>
      </c>
      <c r="U241" t="str">
        <f>'RESUMEN TOTAL'!AD244</f>
        <v>APAGADO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 t="str">
        <f>'RESUMEN TOTAL'!AL244</f>
        <v>APAGADO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>
        <f>'RESUMEN TOTAL'!AS244</f>
        <v>0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 t="str">
        <f>'RESUMEN TOTAL'!AE245</f>
        <v>APAGADO</v>
      </c>
      <c r="W242" t="str">
        <f>'RESUMEN TOTAL'!AF245</f>
        <v>APAGADO</v>
      </c>
      <c r="X242" t="str">
        <f>'RESUMEN TOTAL'!AG245</f>
        <v>APAGADO</v>
      </c>
      <c r="Y242" t="str">
        <f>'RESUMEN TOTAL'!AH245</f>
        <v>APAGADO</v>
      </c>
      <c r="Z242" t="str">
        <f>'RESUMEN TOTAL'!AI245</f>
        <v>APAGADO</v>
      </c>
      <c r="AA242" t="str">
        <f>'RESUMEN TOTAL'!AJ245</f>
        <v>APAGADO</v>
      </c>
      <c r="AB242" t="str">
        <f>'RESUMEN TOTAL'!AK245</f>
        <v>APAGADO</v>
      </c>
      <c r="AC242" t="str">
        <f>'RESUMEN TOTAL'!AL245</f>
        <v>APAGADO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>
        <f>'RESUMEN TOTAL'!AS245</f>
        <v>0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 t="str">
        <f>'RESUMEN TOTAL'!AB246</f>
        <v>APAGADO</v>
      </c>
      <c r="T243" t="str">
        <f>'RESUMEN TOTAL'!AC246</f>
        <v>APAGADO</v>
      </c>
      <c r="U243" t="str">
        <f>'RESUMEN TOTAL'!AD246</f>
        <v>APAGADO</v>
      </c>
      <c r="V243">
        <f>'RESUMEN TOTAL'!AE246</f>
        <v>0</v>
      </c>
      <c r="W243" t="str">
        <f>'RESUMEN TOTAL'!AF246</f>
        <v>APAGADO</v>
      </c>
      <c r="X243" t="str">
        <f>'RESUMEN TOTAL'!AG246</f>
        <v>APAGADO</v>
      </c>
      <c r="Y243" t="str">
        <f>'RESUMEN TOTAL'!AH246</f>
        <v>APAGADO</v>
      </c>
      <c r="Z243" t="str">
        <f>'RESUMEN TOTAL'!AI246</f>
        <v>APAGADO</v>
      </c>
      <c r="AA243" t="str">
        <f>'RESUMEN TOTAL'!AJ246</f>
        <v>APAGADO</v>
      </c>
      <c r="AB243" t="str">
        <f>'RESUMEN TOTAL'!AK246</f>
        <v>APAGADO</v>
      </c>
      <c r="AC243" t="str">
        <f>'RESUMEN TOTAL'!AL246</f>
        <v>APAGADO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>
        <f>'RESUMEN TOTAL'!AS246</f>
        <v>0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>
        <f>'RESUMEN TOTAL'!AS247</f>
        <v>0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>
        <f>'RESUMEN TOTAL'!AS248</f>
        <v>0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>
        <f>'RESUMEN TOTAL'!AS249</f>
        <v>0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 t="str">
        <f>'RESUMEN TOTAL'!S250</f>
        <v>APAGADO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 t="str">
        <f>'RESUMEN TOTAL'!AG250</f>
        <v>APAGADO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>
        <f>'RESUMEN TOTAL'!AS250</f>
        <v>0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 t="str">
        <f>'RESUMEN TOTAL'!S251</f>
        <v>APAGADO</v>
      </c>
      <c r="K248" t="str">
        <f>'RESUMEN TOTAL'!T251</f>
        <v>APAGADO</v>
      </c>
      <c r="L248" t="str">
        <f>'RESUMEN TOTAL'!U251</f>
        <v>APAGADO</v>
      </c>
      <c r="M248" t="str">
        <f>'RESUMEN TOTAL'!V251</f>
        <v>APAGADO</v>
      </c>
      <c r="N248" t="str">
        <f>'RESUMEN TOTAL'!W251</f>
        <v>APAGADO</v>
      </c>
      <c r="O248" t="str">
        <f>'RESUMEN TOTAL'!X251</f>
        <v>APAGADO</v>
      </c>
      <c r="P248" t="str">
        <f>'RESUMEN TOTAL'!Y251</f>
        <v>APAGADO</v>
      </c>
      <c r="Q248" t="str">
        <f>'RESUMEN TOTAL'!Z251</f>
        <v>APAGADO</v>
      </c>
      <c r="R248" t="str">
        <f>'RESUMEN TOTAL'!AA251</f>
        <v>APAGADO</v>
      </c>
      <c r="S248" t="str">
        <f>'RESUMEN TOTAL'!AB251</f>
        <v>APAGADO</v>
      </c>
      <c r="T248" t="str">
        <f>'RESUMEN TOTAL'!AC251</f>
        <v>APAGADO</v>
      </c>
      <c r="U248" t="str">
        <f>'RESUMEN TOTAL'!AD251</f>
        <v>APAGADO</v>
      </c>
      <c r="V248" t="str">
        <f>'RESUMEN TOTAL'!AE251</f>
        <v>APAGADO</v>
      </c>
      <c r="W248" t="str">
        <f>'RESUMEN TOTAL'!AF251</f>
        <v>APAGADO</v>
      </c>
      <c r="X248" t="str">
        <f>'RESUMEN TOTAL'!AG251</f>
        <v>APAGADO</v>
      </c>
      <c r="Y248" t="str">
        <f>'RESUMEN TOTAL'!AH251</f>
        <v>APAGADO</v>
      </c>
      <c r="Z248" t="str">
        <f>'RESUMEN TOTAL'!AI251</f>
        <v>APAGADO</v>
      </c>
      <c r="AA248" t="str">
        <f>'RESUMEN TOTAL'!AJ251</f>
        <v>APAGADO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>
        <f>'RESUMEN TOTAL'!AS251</f>
        <v>0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 t="str">
        <f>'RESUMEN TOTAL'!S252</f>
        <v>APAGADO</v>
      </c>
      <c r="K249" t="str">
        <f>'RESUMEN TOTAL'!T252</f>
        <v>APAGADO</v>
      </c>
      <c r="L249" t="str">
        <f>'RESUMEN TOTAL'!U252</f>
        <v>APAGADO</v>
      </c>
      <c r="M249" t="str">
        <f>'RESUMEN TOTAL'!V252</f>
        <v>APAGADO</v>
      </c>
      <c r="N249" t="str">
        <f>'RESUMEN TOTAL'!W252</f>
        <v>APAGADO</v>
      </c>
      <c r="O249" t="str">
        <f>'RESUMEN TOTAL'!X252</f>
        <v>APAGADO</v>
      </c>
      <c r="P249" t="str">
        <f>'RESUMEN TOTAL'!Y252</f>
        <v>APAGADO</v>
      </c>
      <c r="Q249" t="str">
        <f>'RESUMEN TOTAL'!Z252</f>
        <v>APAGADO</v>
      </c>
      <c r="R249" t="str">
        <f>'RESUMEN TOTAL'!AA252</f>
        <v>APAGADO</v>
      </c>
      <c r="S249" t="str">
        <f>'RESUMEN TOTAL'!AB252</f>
        <v>APAGADO</v>
      </c>
      <c r="T249" t="str">
        <f>'RESUMEN TOTAL'!AC252</f>
        <v>APAGADO</v>
      </c>
      <c r="U249" t="str">
        <f>'RESUMEN TOTAL'!AD252</f>
        <v>APAGADO</v>
      </c>
      <c r="V249" t="str">
        <f>'RESUMEN TOTAL'!AE252</f>
        <v>APAGADO</v>
      </c>
      <c r="W249" t="str">
        <f>'RESUMEN TOTAL'!AF252</f>
        <v>APAGADO</v>
      </c>
      <c r="X249" t="str">
        <f>'RESUMEN TOTAL'!AG252</f>
        <v>APAGADO</v>
      </c>
      <c r="Y249" t="str">
        <f>'RESUMEN TOTAL'!AH252</f>
        <v>APAGADO</v>
      </c>
      <c r="Z249" t="str">
        <f>'RESUMEN TOTAL'!AI252</f>
        <v>APAGADO</v>
      </c>
      <c r="AA249" t="str">
        <f>'RESUMEN TOTAL'!AJ252</f>
        <v>APAGADO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>
        <f>'RESUMEN TOTAL'!AS252</f>
        <v>0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 t="str">
        <f>'RESUMEN TOTAL'!S253</f>
        <v>APAGADO</v>
      </c>
      <c r="K250" t="str">
        <f>'RESUMEN TOTAL'!T253</f>
        <v>APAGADO</v>
      </c>
      <c r="L250" t="str">
        <f>'RESUMEN TOTAL'!U253</f>
        <v>APAGADO</v>
      </c>
      <c r="M250" t="str">
        <f>'RESUMEN TOTAL'!V253</f>
        <v>APAGADO</v>
      </c>
      <c r="N250" t="str">
        <f>'RESUMEN TOTAL'!W253</f>
        <v>APAGADO</v>
      </c>
      <c r="O250" t="str">
        <f>'RESUMEN TOTAL'!X253</f>
        <v>APAGADO</v>
      </c>
      <c r="P250" t="str">
        <f>'RESUMEN TOTAL'!Y253</f>
        <v>APAGADO</v>
      </c>
      <c r="Q250" t="str">
        <f>'RESUMEN TOTAL'!Z253</f>
        <v>APAGADO</v>
      </c>
      <c r="R250" t="str">
        <f>'RESUMEN TOTAL'!AA253</f>
        <v>APAGADO</v>
      </c>
      <c r="S250" t="str">
        <f>'RESUMEN TOTAL'!AB253</f>
        <v>APAGADO</v>
      </c>
      <c r="T250" t="str">
        <f>'RESUMEN TOTAL'!AC253</f>
        <v>APAGADO</v>
      </c>
      <c r="U250" t="str">
        <f>'RESUMEN TOTAL'!AD253</f>
        <v>APAGADO</v>
      </c>
      <c r="V250" t="str">
        <f>'RESUMEN TOTAL'!AE253</f>
        <v>APAGADO</v>
      </c>
      <c r="W250" t="str">
        <f>'RESUMEN TOTAL'!AF253</f>
        <v>APAGADO</v>
      </c>
      <c r="X250" t="str">
        <f>'RESUMEN TOTAL'!AG253</f>
        <v>APAGADO</v>
      </c>
      <c r="Y250" t="str">
        <f>'RESUMEN TOTAL'!AH253</f>
        <v>APAGADO</v>
      </c>
      <c r="Z250" t="str">
        <f>'RESUMEN TOTAL'!AI253</f>
        <v>APAGADO</v>
      </c>
      <c r="AA250" t="str">
        <f>'RESUMEN TOTAL'!AJ253</f>
        <v>APAGADO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>
        <f>'RESUMEN TOTAL'!AS253</f>
        <v>0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 t="str">
        <f>'RESUMEN TOTAL'!S254</f>
        <v>APAGADO</v>
      </c>
      <c r="K251" t="str">
        <f>'RESUMEN TOTAL'!T254</f>
        <v>APAGADO</v>
      </c>
      <c r="L251" t="str">
        <f>'RESUMEN TOTAL'!U254</f>
        <v>APAGADO</v>
      </c>
      <c r="M251" t="str">
        <f>'RESUMEN TOTAL'!V254</f>
        <v>APAGADO</v>
      </c>
      <c r="N251" t="str">
        <f>'RESUMEN TOTAL'!W254</f>
        <v>APAGADO</v>
      </c>
      <c r="O251" t="str">
        <f>'RESUMEN TOTAL'!X254</f>
        <v>APAGADO</v>
      </c>
      <c r="P251" t="str">
        <f>'RESUMEN TOTAL'!Y254</f>
        <v>APAGADO</v>
      </c>
      <c r="Q251" t="str">
        <f>'RESUMEN TOTAL'!Z254</f>
        <v>APAGADO</v>
      </c>
      <c r="R251" t="str">
        <f>'RESUMEN TOTAL'!AA254</f>
        <v>APAGADO</v>
      </c>
      <c r="S251" t="str">
        <f>'RESUMEN TOTAL'!AB254</f>
        <v>APAGADO</v>
      </c>
      <c r="T251" t="str">
        <f>'RESUMEN TOTAL'!AC254</f>
        <v>APAGADO</v>
      </c>
      <c r="U251" t="str">
        <f>'RESUMEN TOTAL'!AD254</f>
        <v>APAGADO</v>
      </c>
      <c r="V251" t="str">
        <f>'RESUMEN TOTAL'!AE254</f>
        <v>APAGADO</v>
      </c>
      <c r="W251" t="str">
        <f>'RESUMEN TOTAL'!AF254</f>
        <v>APAGADO</v>
      </c>
      <c r="X251" t="str">
        <f>'RESUMEN TOTAL'!AG254</f>
        <v>APAGADO</v>
      </c>
      <c r="Y251" t="str">
        <f>'RESUMEN TOTAL'!AH254</f>
        <v>APAGADO</v>
      </c>
      <c r="Z251" t="str">
        <f>'RESUMEN TOTAL'!AI254</f>
        <v>APAGADO</v>
      </c>
      <c r="AA251" t="str">
        <f>'RESUMEN TOTAL'!AJ254</f>
        <v>APAGADO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>
        <f>'RESUMEN TOTAL'!AS254</f>
        <v>0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>
        <f>'RESUMEN TOTAL'!AS255</f>
        <v>0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>
        <f>'RESUMEN TOTAL'!AS256</f>
        <v>0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>
        <f>'RESUMEN TOTAL'!AS257</f>
        <v>0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 t="str">
        <f>'RESUMEN TOTAL'!AP258</f>
        <v>APAGADO</v>
      </c>
      <c r="AH255" t="str">
        <f>'RESUMEN TOTAL'!AQ258</f>
        <v>APAGADO</v>
      </c>
      <c r="AI255">
        <f>'RESUMEN TOTAL'!AR258</f>
        <v>0</v>
      </c>
      <c r="AJ255">
        <f>'RESUMEN TOTAL'!AS258</f>
        <v>0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 t="str">
        <f>'RESUMEN TOTAL'!AP259</f>
        <v>APAGADO</v>
      </c>
      <c r="AH256" t="str">
        <f>'RESUMEN TOTAL'!AQ259</f>
        <v>APAGADO</v>
      </c>
      <c r="AI256">
        <f>'RESUMEN TOTAL'!AR259</f>
        <v>0</v>
      </c>
      <c r="AJ256">
        <f>'RESUMEN TOTAL'!AS259</f>
        <v>0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>
        <f>'RESUMEN TOTAL'!AS260</f>
        <v>0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 t="str">
        <f>'RESUMEN TOTAL'!O261</f>
        <v>APAGADO</v>
      </c>
      <c r="G258" t="str">
        <f>'RESUMEN TOTAL'!P261</f>
        <v>APAGADO</v>
      </c>
      <c r="H258" t="str">
        <f>'RESUMEN TOTAL'!Q261</f>
        <v>APAGADO</v>
      </c>
      <c r="I258" t="str">
        <f>'RESUMEN TOTAL'!R261</f>
        <v>APAGADO</v>
      </c>
      <c r="J258" t="str">
        <f>'RESUMEN TOTAL'!S261</f>
        <v>APAGADO</v>
      </c>
      <c r="K258" t="str">
        <f>'RESUMEN TOTAL'!T261</f>
        <v>APAGADO</v>
      </c>
      <c r="L258" t="str">
        <f>'RESUMEN TOTAL'!U261</f>
        <v>APAGADO</v>
      </c>
      <c r="M258" t="str">
        <f>'RESUMEN TOTAL'!V261</f>
        <v>APAGADO</v>
      </c>
      <c r="N258" t="str">
        <f>'RESUMEN TOTAL'!W261</f>
        <v>APAGADO</v>
      </c>
      <c r="O258" t="str">
        <f>'RESUMEN TOTAL'!X261</f>
        <v>APAGADO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>
        <f>'RESUMEN TOTAL'!AS261</f>
        <v>0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 t="str">
        <f>'RESUMEN TOTAL'!AD262</f>
        <v>APAGADO</v>
      </c>
      <c r="V259" t="str">
        <f>'RESUMEN TOTAL'!AE262</f>
        <v>APAGADO</v>
      </c>
      <c r="W259" t="str">
        <f>'RESUMEN TOTAL'!AF262</f>
        <v>APAGADO</v>
      </c>
      <c r="X259" t="str">
        <f>'RESUMEN TOTAL'!AG262</f>
        <v>APAGADO</v>
      </c>
      <c r="Y259" t="str">
        <f>'RESUMEN TOTAL'!AH262</f>
        <v>APAGADO</v>
      </c>
      <c r="Z259" t="str">
        <f>'RESUMEN TOTAL'!AI262</f>
        <v>APAGADO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>
        <f>'RESUMEN TOTAL'!AS262</f>
        <v>0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 t="str">
        <f>'RESUMEN TOTAL'!W263</f>
        <v>APAGADO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 t="str">
        <f>'RESUMEN TOTAL'!AF263</f>
        <v>APAGADO</v>
      </c>
      <c r="X260" t="str">
        <f>'RESUMEN TOTAL'!AG263</f>
        <v>APAGADO</v>
      </c>
      <c r="Y260" t="str">
        <f>'RESUMEN TOTAL'!AH263</f>
        <v>APAGADO</v>
      </c>
      <c r="Z260" t="str">
        <f>'RESUMEN TOTAL'!AI263</f>
        <v>APAGADO</v>
      </c>
      <c r="AA260" t="str">
        <f>'RESUMEN TOTAL'!AJ263</f>
        <v>APAGADO</v>
      </c>
      <c r="AB260" t="str">
        <f>'RESUMEN TOTAL'!AK263</f>
        <v>APAGADO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>
        <f>'RESUMEN TOTAL'!AS263</f>
        <v>0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 t="str">
        <f>'RESUMEN TOTAL'!W264</f>
        <v>APAGADO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 t="str">
        <f>'RESUMEN TOTAL'!AF264</f>
        <v>APAGADO</v>
      </c>
      <c r="X261" t="str">
        <f>'RESUMEN TOTAL'!AG264</f>
        <v>APAGADO</v>
      </c>
      <c r="Y261" t="str">
        <f>'RESUMEN TOTAL'!AH264</f>
        <v>APAGADO</v>
      </c>
      <c r="Z261" t="str">
        <f>'RESUMEN TOTAL'!AI264</f>
        <v>APAGADO</v>
      </c>
      <c r="AA261" t="str">
        <f>'RESUMEN TOTAL'!AJ264</f>
        <v>APAGADO</v>
      </c>
      <c r="AB261" t="str">
        <f>'RESUMEN TOTAL'!AK264</f>
        <v>APAGADO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>
        <f>'RESUMEN TOTAL'!AS264</f>
        <v>0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 t="str">
        <f>'RESUMEN TOTAL'!U265</f>
        <v>APAGADO</v>
      </c>
      <c r="M262" t="str">
        <f>'RESUMEN TOTAL'!V265</f>
        <v>APAGADO</v>
      </c>
      <c r="N262" t="str">
        <f>'RESUMEN TOTAL'!W265</f>
        <v>APAGADO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 t="str">
        <f>'RESUMEN TOTAL'!AF265</f>
        <v>APAGADO</v>
      </c>
      <c r="X262" t="str">
        <f>'RESUMEN TOTAL'!AG265</f>
        <v>APAGADO</v>
      </c>
      <c r="Y262" t="str">
        <f>'RESUMEN TOTAL'!AH265</f>
        <v>APAGADO</v>
      </c>
      <c r="Z262" t="str">
        <f>'RESUMEN TOTAL'!AI265</f>
        <v>APAGADO</v>
      </c>
      <c r="AA262" t="str">
        <f>'RESUMEN TOTAL'!AJ265</f>
        <v>APAGADO</v>
      </c>
      <c r="AB262" t="str">
        <f>'RESUMEN TOTAL'!AK265</f>
        <v>APAGADO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>
        <f>'RESUMEN TOTAL'!AS265</f>
        <v>0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 t="str">
        <f>'RESUMEN TOTAL'!U266</f>
        <v>APAGADO</v>
      </c>
      <c r="M263" t="str">
        <f>'RESUMEN TOTAL'!V266</f>
        <v>APAGADO</v>
      </c>
      <c r="N263" t="str">
        <f>'RESUMEN TOTAL'!W266</f>
        <v>APAGADO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 t="str">
        <f>'RESUMEN TOTAL'!AF266</f>
        <v>APAGADO</v>
      </c>
      <c r="X263" t="str">
        <f>'RESUMEN TOTAL'!AG266</f>
        <v>APAGADO</v>
      </c>
      <c r="Y263" t="str">
        <f>'RESUMEN TOTAL'!AH266</f>
        <v>APAGADO</v>
      </c>
      <c r="Z263" t="str">
        <f>'RESUMEN TOTAL'!AI266</f>
        <v>APAGADO</v>
      </c>
      <c r="AA263" t="str">
        <f>'RESUMEN TOTAL'!AJ266</f>
        <v>APAGADO</v>
      </c>
      <c r="AB263" t="str">
        <f>'RESUMEN TOTAL'!AK266</f>
        <v>APAGADO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>
        <f>'RESUMEN TOTAL'!AS266</f>
        <v>0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>
        <f>'RESUMEN TOTAL'!AS267</f>
        <v>0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>
        <f>'RESUMEN TOTAL'!AS268</f>
        <v>0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>
        <f>'RESUMEN TOTAL'!AS269</f>
        <v>0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>
        <f>'RESUMEN TOTAL'!AS270</f>
        <v>0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>
        <f>'RESUMEN TOTAL'!AS271</f>
        <v>0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>
        <f>'RESUMEN TOTAL'!AS272</f>
        <v>0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 t="str">
        <f>'RESUMEN TOTAL'!O273</f>
        <v>APAGADO</v>
      </c>
      <c r="G270" t="str">
        <f>'RESUMEN TOTAL'!P273</f>
        <v>APAGADO</v>
      </c>
      <c r="H270" t="str">
        <f>'RESUMEN TOTAL'!Q273</f>
        <v>APAGADO</v>
      </c>
      <c r="I270" t="str">
        <f>'RESUMEN TOTAL'!R273</f>
        <v>APAGADO</v>
      </c>
      <c r="J270" t="str">
        <f>'RESUMEN TOTAL'!S273</f>
        <v>APAGADO</v>
      </c>
      <c r="K270" t="str">
        <f>'RESUMEN TOTAL'!T273</f>
        <v>APAGADO</v>
      </c>
      <c r="L270">
        <f>'RESUMEN TOTAL'!U273</f>
        <v>0</v>
      </c>
      <c r="M270" t="str">
        <f>'RESUMEN TOTAL'!V273</f>
        <v>APAGADO</v>
      </c>
      <c r="N270" t="str">
        <f>'RESUMEN TOTAL'!W273</f>
        <v>APAGADO</v>
      </c>
      <c r="O270" t="str">
        <f>'RESUMEN TOTAL'!X273</f>
        <v>APAGADO</v>
      </c>
      <c r="P270" t="str">
        <f>'RESUMEN TOTAL'!Y273</f>
        <v>APAGADO</v>
      </c>
      <c r="Q270" t="str">
        <f>'RESUMEN TOTAL'!Z273</f>
        <v>APAGADO</v>
      </c>
      <c r="R270" t="str">
        <f>'RESUMEN TOTAL'!AA273</f>
        <v>APAGADO</v>
      </c>
      <c r="S270" t="str">
        <f>'RESUMEN TOTAL'!AB273</f>
        <v>APAGADO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>
        <f>'RESUMEN TOTAL'!AS273</f>
        <v>0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 t="str">
        <f>'RESUMEN TOTAL'!O274</f>
        <v>APAGADO</v>
      </c>
      <c r="G271" t="str">
        <f>'RESUMEN TOTAL'!P274</f>
        <v>APAGADO</v>
      </c>
      <c r="H271" t="str">
        <f>'RESUMEN TOTAL'!Q274</f>
        <v>APAGADO</v>
      </c>
      <c r="I271" t="str">
        <f>'RESUMEN TOTAL'!R274</f>
        <v>APAGADO</v>
      </c>
      <c r="J271" t="str">
        <f>'RESUMEN TOTAL'!S274</f>
        <v>APAGADO</v>
      </c>
      <c r="K271" t="str">
        <f>'RESUMEN TOTAL'!T274</f>
        <v>APAGADO</v>
      </c>
      <c r="L271">
        <f>'RESUMEN TOTAL'!U274</f>
        <v>0</v>
      </c>
      <c r="M271" t="str">
        <f>'RESUMEN TOTAL'!V274</f>
        <v>APAGADO</v>
      </c>
      <c r="N271" t="str">
        <f>'RESUMEN TOTAL'!W274</f>
        <v>APAGADO</v>
      </c>
      <c r="O271" t="str">
        <f>'RESUMEN TOTAL'!X274</f>
        <v>APAGADO</v>
      </c>
      <c r="P271" t="str">
        <f>'RESUMEN TOTAL'!Y274</f>
        <v>APAGADO</v>
      </c>
      <c r="Q271">
        <f>'RESUMEN TOTAL'!Z274</f>
        <v>0</v>
      </c>
      <c r="R271" t="str">
        <f>'RESUMEN TOTAL'!AA274</f>
        <v>APAGADO</v>
      </c>
      <c r="S271" t="str">
        <f>'RESUMEN TOTAL'!AB274</f>
        <v>APAGADO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>
        <f>'RESUMEN TOTAL'!AS274</f>
        <v>0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>
        <f>'RESUMEN TOTAL'!AS275</f>
        <v>0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>
        <f>'RESUMEN TOTAL'!AS276</f>
        <v>0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>
        <f>'RESUMEN TOTAL'!AS277</f>
        <v>0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 t="str">
        <f>'RESUMEN TOTAL'!P278</f>
        <v>APAGADO</v>
      </c>
      <c r="H275" t="str">
        <f>'RESUMEN TOTAL'!Q278</f>
        <v>APAGADO</v>
      </c>
      <c r="I275" t="str">
        <f>'RESUMEN TOTAL'!R278</f>
        <v>APAGADO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 t="str">
        <f>'RESUMEN TOTAL'!AG278</f>
        <v>APAGADO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>
        <f>'RESUMEN TOTAL'!AS278</f>
        <v>0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 t="str">
        <f>'RESUMEN TOTAL'!P279</f>
        <v>APAGADO</v>
      </c>
      <c r="H276" t="str">
        <f>'RESUMEN TOTAL'!Q279</f>
        <v>APAGADO</v>
      </c>
      <c r="I276" t="str">
        <f>'RESUMEN TOTAL'!R279</f>
        <v>APAGADO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 t="str">
        <f>'RESUMEN TOTAL'!AL279</f>
        <v>APAGADO</v>
      </c>
      <c r="AD276">
        <f>'RESUMEN TOTAL'!AM279</f>
        <v>0</v>
      </c>
      <c r="AE276">
        <f>'RESUMEN TOTAL'!AN279</f>
        <v>0</v>
      </c>
      <c r="AF276" t="str">
        <f>'RESUMEN TOTAL'!AO279</f>
        <v>APAGADO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>
        <f>'RESUMEN TOTAL'!AS279</f>
        <v>0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 t="str">
        <f>'RESUMEN TOTAL'!AN280</f>
        <v>APAGADO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>
        <f>'RESUMEN TOTAL'!AS280</f>
        <v>0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 t="str">
        <f>'RESUMEN TOTAL'!Y281</f>
        <v>APAGADO</v>
      </c>
      <c r="Q278" t="str">
        <f>'RESUMEN TOTAL'!Z281</f>
        <v>APAGADO</v>
      </c>
      <c r="R278" t="str">
        <f>'RESUMEN TOTAL'!AA281</f>
        <v>APAGADO</v>
      </c>
      <c r="S278" t="str">
        <f>'RESUMEN TOTAL'!AB281</f>
        <v>APAGADO</v>
      </c>
      <c r="T278" t="str">
        <f>'RESUMEN TOTAL'!AC281</f>
        <v>APAGADO</v>
      </c>
      <c r="U278" t="str">
        <f>'RESUMEN TOTAL'!AD281</f>
        <v>APAGADO</v>
      </c>
      <c r="V278" t="str">
        <f>'RESUMEN TOTAL'!AE281</f>
        <v>APAGADO</v>
      </c>
      <c r="W278" t="str">
        <f>'RESUMEN TOTAL'!AF281</f>
        <v>APAGADO</v>
      </c>
      <c r="X278" t="str">
        <f>'RESUMEN TOTAL'!AG281</f>
        <v>APAGADO</v>
      </c>
      <c r="Y278" t="str">
        <f>'RESUMEN TOTAL'!AH281</f>
        <v>APAGADO</v>
      </c>
      <c r="Z278" t="str">
        <f>'RESUMEN TOTAL'!AI281</f>
        <v>APAGADO</v>
      </c>
      <c r="AA278" t="str">
        <f>'RESUMEN TOTAL'!AJ281</f>
        <v>APAGADO</v>
      </c>
      <c r="AB278" t="str">
        <f>'RESUMEN TOTAL'!AK281</f>
        <v>APAGADO</v>
      </c>
      <c r="AC278" t="str">
        <f>'RESUMEN TOTAL'!AL281</f>
        <v>APAGADO</v>
      </c>
      <c r="AD278" t="str">
        <f>'RESUMEN TOTAL'!AM281</f>
        <v>APAGADO</v>
      </c>
      <c r="AE278" t="str">
        <f>'RESUMEN TOTAL'!AN281</f>
        <v>APAGADO</v>
      </c>
      <c r="AF278" t="str">
        <f>'RESUMEN TOTAL'!AO281</f>
        <v>APAGADO</v>
      </c>
      <c r="AG278" t="str">
        <f>'RESUMEN TOTAL'!AP281</f>
        <v>APAGADO</v>
      </c>
      <c r="AH278" t="str">
        <f>'RESUMEN TOTAL'!AQ281</f>
        <v>APAGADO</v>
      </c>
      <c r="AI278">
        <f>'RESUMEN TOTAL'!AR281</f>
        <v>0</v>
      </c>
      <c r="AJ278">
        <f>'RESUMEN TOTAL'!AS281</f>
        <v>0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 t="str">
        <f>'RESUMEN TOTAL'!O282</f>
        <v>APAGADO</v>
      </c>
      <c r="G279" t="str">
        <f>'RESUMEN TOTAL'!P282</f>
        <v>APAGADO</v>
      </c>
      <c r="H279" t="str">
        <f>'RESUMEN TOTAL'!Q282</f>
        <v>APAGADO</v>
      </c>
      <c r="I279" t="str">
        <f>'RESUMEN TOTAL'!R282</f>
        <v>APAGADO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 t="str">
        <f>'RESUMEN TOTAL'!Y282</f>
        <v>APAGADO</v>
      </c>
      <c r="Q279" t="str">
        <f>'RESUMEN TOTAL'!Z282</f>
        <v>APAGADO</v>
      </c>
      <c r="R279" t="str">
        <f>'RESUMEN TOTAL'!AA282</f>
        <v>APAGADO</v>
      </c>
      <c r="S279" t="str">
        <f>'RESUMEN TOTAL'!AB282</f>
        <v>APAGADO</v>
      </c>
      <c r="T279" t="str">
        <f>'RESUMEN TOTAL'!AC282</f>
        <v>APAGADO</v>
      </c>
      <c r="U279" t="str">
        <f>'RESUMEN TOTAL'!AD282</f>
        <v>APAGADO</v>
      </c>
      <c r="V279" t="str">
        <f>'RESUMEN TOTAL'!AE282</f>
        <v>APAGADO</v>
      </c>
      <c r="W279" t="str">
        <f>'RESUMEN TOTAL'!AF282</f>
        <v>APAGADO</v>
      </c>
      <c r="X279" t="str">
        <f>'RESUMEN TOTAL'!AG282</f>
        <v>APAGADO</v>
      </c>
      <c r="Y279" t="str">
        <f>'RESUMEN TOTAL'!AH282</f>
        <v>APAGADO</v>
      </c>
      <c r="Z279" t="str">
        <f>'RESUMEN TOTAL'!AI282</f>
        <v>APAGADO</v>
      </c>
      <c r="AA279" t="str">
        <f>'RESUMEN TOTAL'!AJ282</f>
        <v>APAGADO</v>
      </c>
      <c r="AB279">
        <f>'RESUMEN TOTAL'!AK282</f>
        <v>0</v>
      </c>
      <c r="AC279" t="str">
        <f>'RESUMEN TOTAL'!AL282</f>
        <v>APAGADO</v>
      </c>
      <c r="AD279" t="str">
        <f>'RESUMEN TOTAL'!AM282</f>
        <v>APAGADO</v>
      </c>
      <c r="AE279" t="str">
        <f>'RESUMEN TOTAL'!AN282</f>
        <v>APAGADO</v>
      </c>
      <c r="AF279" t="str">
        <f>'RESUMEN TOTAL'!AO282</f>
        <v>APAGADO</v>
      </c>
      <c r="AG279" t="str">
        <f>'RESUMEN TOTAL'!AP282</f>
        <v>APAGADO</v>
      </c>
      <c r="AH279" t="str">
        <f>'RESUMEN TOTAL'!AQ282</f>
        <v>APAGADO</v>
      </c>
      <c r="AI279">
        <f>'RESUMEN TOTAL'!AR282</f>
        <v>0</v>
      </c>
      <c r="AJ279">
        <f>'RESUMEN TOTAL'!AS282</f>
        <v>0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>
        <f>'RESUMEN TOTAL'!AS283</f>
        <v>0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 t="str">
        <f>'RESUMEN TOTAL'!AF284</f>
        <v>APAGADO</v>
      </c>
      <c r="X281" t="str">
        <f>'RESUMEN TOTAL'!AG284</f>
        <v>APAGADO</v>
      </c>
      <c r="Y281" t="str">
        <f>'RESUMEN TOTAL'!AH284</f>
        <v>APAGADO</v>
      </c>
      <c r="Z281" t="str">
        <f>'RESUMEN TOTAL'!AI284</f>
        <v>APAGADO</v>
      </c>
      <c r="AA281" t="str">
        <f>'RESUMEN TOTAL'!AJ284</f>
        <v>APAGADO</v>
      </c>
      <c r="AB281">
        <f>'RESUMEN TOTAL'!AK284</f>
        <v>0</v>
      </c>
      <c r="AC281" t="str">
        <f>'RESUMEN TOTAL'!AL284</f>
        <v>APAGADO</v>
      </c>
      <c r="AD281" t="str">
        <f>'RESUMEN TOTAL'!AM284</f>
        <v>APAGADO</v>
      </c>
      <c r="AE281" t="str">
        <f>'RESUMEN TOTAL'!AN284</f>
        <v>APAGADO</v>
      </c>
      <c r="AF281" t="str">
        <f>'RESUMEN TOTAL'!AO284</f>
        <v>APAGADO</v>
      </c>
      <c r="AG281" t="str">
        <f>'RESUMEN TOTAL'!AP284</f>
        <v>APAGADO</v>
      </c>
      <c r="AH281">
        <f>'RESUMEN TOTAL'!AQ284</f>
        <v>0</v>
      </c>
      <c r="AI281">
        <f>'RESUMEN TOTAL'!AR284</f>
        <v>0</v>
      </c>
      <c r="AJ281">
        <f>'RESUMEN TOTAL'!AS284</f>
        <v>0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 t="str">
        <f>'RESUMEN TOTAL'!AF285</f>
        <v>APAGADO</v>
      </c>
      <c r="X282" t="str">
        <f>'RESUMEN TOTAL'!AG285</f>
        <v>APAGADO</v>
      </c>
      <c r="Y282" t="str">
        <f>'RESUMEN TOTAL'!AH285</f>
        <v>APAGADO</v>
      </c>
      <c r="Z282" t="str">
        <f>'RESUMEN TOTAL'!AI285</f>
        <v>APAGADO</v>
      </c>
      <c r="AA282" t="str">
        <f>'RESUMEN TOTAL'!AJ285</f>
        <v>APAGADO</v>
      </c>
      <c r="AB282">
        <f>'RESUMEN TOTAL'!AK285</f>
        <v>0</v>
      </c>
      <c r="AC282" t="str">
        <f>'RESUMEN TOTAL'!AL285</f>
        <v>APAGADO</v>
      </c>
      <c r="AD282" t="str">
        <f>'RESUMEN TOTAL'!AM285</f>
        <v>APAGADO</v>
      </c>
      <c r="AE282" t="str">
        <f>'RESUMEN TOTAL'!AN285</f>
        <v>APAGADO</v>
      </c>
      <c r="AF282" t="str">
        <f>'RESUMEN TOTAL'!AO285</f>
        <v>APAGADO</v>
      </c>
      <c r="AG282" t="str">
        <f>'RESUMEN TOTAL'!AP285</f>
        <v>APAGADO</v>
      </c>
      <c r="AH282">
        <f>'RESUMEN TOTAL'!AQ285</f>
        <v>0</v>
      </c>
      <c r="AI282">
        <f>'RESUMEN TOTAL'!AR285</f>
        <v>0</v>
      </c>
      <c r="AJ282">
        <f>'RESUMEN TOTAL'!AS285</f>
        <v>0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 t="str">
        <f>'RESUMEN TOTAL'!AP286</f>
        <v>APAGADO</v>
      </c>
      <c r="AH283" t="str">
        <f>'RESUMEN TOTAL'!AQ286</f>
        <v>APAGADO</v>
      </c>
      <c r="AI283">
        <f>'RESUMEN TOTAL'!AR286</f>
        <v>0</v>
      </c>
      <c r="AJ283">
        <f>'RESUMEN TOTAL'!AS286</f>
        <v>0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 t="str">
        <f>'RESUMEN TOTAL'!AP287</f>
        <v>APAGADO</v>
      </c>
      <c r="AH284" t="str">
        <f>'RESUMEN TOTAL'!AQ287</f>
        <v>APAGADO</v>
      </c>
      <c r="AI284">
        <f>'RESUMEN TOTAL'!AR287</f>
        <v>0</v>
      </c>
      <c r="AJ284">
        <f>'RESUMEN TOTAL'!AS287</f>
        <v>0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 t="str">
        <f>'RESUMEN TOTAL'!Y288</f>
        <v>APAGADO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 t="str">
        <f>'RESUMEN TOTAL'!AL288</f>
        <v>APAGADO</v>
      </c>
      <c r="AD285">
        <f>'RESUMEN TOTAL'!AM288</f>
        <v>0</v>
      </c>
      <c r="AE285">
        <f>'RESUMEN TOTAL'!AN288</f>
        <v>0</v>
      </c>
      <c r="AF285" t="str">
        <f>'RESUMEN TOTAL'!AO288</f>
        <v>APAGADO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>
        <f>'RESUMEN TOTAL'!AS288</f>
        <v>0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>
        <f>'RESUMEN TOTAL'!AS289</f>
        <v>0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 t="str">
        <f>'RESUMEN TOTAL'!AM290</f>
        <v>APAGADO</v>
      </c>
      <c r="AE287">
        <f>'RESUMEN TOTAL'!AN290</f>
        <v>0</v>
      </c>
      <c r="AF287">
        <f>'RESUMEN TOTAL'!AO290</f>
        <v>0</v>
      </c>
      <c r="AG287" t="str">
        <f>'RESUMEN TOTAL'!AP290</f>
        <v>APAGADO</v>
      </c>
      <c r="AH287">
        <f>'RESUMEN TOTAL'!AQ290</f>
        <v>0</v>
      </c>
      <c r="AI287">
        <f>'RESUMEN TOTAL'!AR290</f>
        <v>0</v>
      </c>
      <c r="AJ287">
        <f>'RESUMEN TOTAL'!AS290</f>
        <v>0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 t="str">
        <f>'RESUMEN TOTAL'!AL291</f>
        <v>APAGADO</v>
      </c>
      <c r="AD288" t="str">
        <f>'RESUMEN TOTAL'!AM291</f>
        <v>APAGADO</v>
      </c>
      <c r="AE288">
        <f>'RESUMEN TOTAL'!AN291</f>
        <v>0</v>
      </c>
      <c r="AF288" t="str">
        <f>'RESUMEN TOTAL'!AO291</f>
        <v>APAGADO</v>
      </c>
      <c r="AG288" t="str">
        <f>'RESUMEN TOTAL'!AP291</f>
        <v>APAGADO</v>
      </c>
      <c r="AH288" t="str">
        <f>'RESUMEN TOTAL'!AQ291</f>
        <v>APAGADO</v>
      </c>
      <c r="AI288">
        <f>'RESUMEN TOTAL'!AR291</f>
        <v>0</v>
      </c>
      <c r="AJ288">
        <f>'RESUMEN TOTAL'!AS291</f>
        <v>0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 t="str">
        <f>'RESUMEN TOTAL'!AL292</f>
        <v>APAGADO</v>
      </c>
      <c r="AD289" t="str">
        <f>'RESUMEN TOTAL'!AM292</f>
        <v>APAGADO</v>
      </c>
      <c r="AE289" t="str">
        <f>'RESUMEN TOTAL'!AN292</f>
        <v>APAGADO</v>
      </c>
      <c r="AF289" t="str">
        <f>'RESUMEN TOTAL'!AO292</f>
        <v>APAGADO</v>
      </c>
      <c r="AG289" t="str">
        <f>'RESUMEN TOTAL'!AP292</f>
        <v>APAGADO</v>
      </c>
      <c r="AH289" t="str">
        <f>'RESUMEN TOTAL'!AQ292</f>
        <v>APAGADO</v>
      </c>
      <c r="AI289">
        <f>'RESUMEN TOTAL'!AR292</f>
        <v>0</v>
      </c>
      <c r="AJ289">
        <f>'RESUMEN TOTAL'!AS292</f>
        <v>0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 t="str">
        <f>'RESUMEN TOTAL'!AL293</f>
        <v>APAGADO</v>
      </c>
      <c r="AD290" t="str">
        <f>'RESUMEN TOTAL'!AM293</f>
        <v>APAGADO</v>
      </c>
      <c r="AE290" t="str">
        <f>'RESUMEN TOTAL'!AN293</f>
        <v>APAGADO</v>
      </c>
      <c r="AF290" t="str">
        <f>'RESUMEN TOTAL'!AO293</f>
        <v>APAGADO</v>
      </c>
      <c r="AG290" t="str">
        <f>'RESUMEN TOTAL'!AP293</f>
        <v>APAGADO</v>
      </c>
      <c r="AH290" t="str">
        <f>'RESUMEN TOTAL'!AQ293</f>
        <v>APAGADO</v>
      </c>
      <c r="AI290">
        <f>'RESUMEN TOTAL'!AR293</f>
        <v>0</v>
      </c>
      <c r="AJ290">
        <f>'RESUMEN TOTAL'!AS293</f>
        <v>0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 t="str">
        <f>'RESUMEN TOTAL'!AL294</f>
        <v>APAGADO</v>
      </c>
      <c r="AD291" t="str">
        <f>'RESUMEN TOTAL'!AM294</f>
        <v>APAGADO</v>
      </c>
      <c r="AE291" t="str">
        <f>'RESUMEN TOTAL'!AN294</f>
        <v>APAGADO</v>
      </c>
      <c r="AF291" t="str">
        <f>'RESUMEN TOTAL'!AO294</f>
        <v>APAGADO</v>
      </c>
      <c r="AG291" t="str">
        <f>'RESUMEN TOTAL'!AP294</f>
        <v>APAGADO</v>
      </c>
      <c r="AH291" t="str">
        <f>'RESUMEN TOTAL'!AQ294</f>
        <v>APAGADO</v>
      </c>
      <c r="AI291">
        <f>'RESUMEN TOTAL'!AR294</f>
        <v>0</v>
      </c>
      <c r="AJ291">
        <f>'RESUMEN TOTAL'!AS294</f>
        <v>0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 t="str">
        <f>'RESUMEN TOTAL'!AL295</f>
        <v>APAGADO</v>
      </c>
      <c r="AD292" t="str">
        <f>'RESUMEN TOTAL'!AM295</f>
        <v>APAGADO</v>
      </c>
      <c r="AE292" t="str">
        <f>'RESUMEN TOTAL'!AN295</f>
        <v>APAGADO</v>
      </c>
      <c r="AF292" t="str">
        <f>'RESUMEN TOTAL'!AO295</f>
        <v>APAGADO</v>
      </c>
      <c r="AG292" t="str">
        <f>'RESUMEN TOTAL'!AP295</f>
        <v>APAGADO</v>
      </c>
      <c r="AH292" t="str">
        <f>'RESUMEN TOTAL'!AQ295</f>
        <v>APAGADO</v>
      </c>
      <c r="AI292">
        <f>'RESUMEN TOTAL'!AR295</f>
        <v>0</v>
      </c>
      <c r="AJ292">
        <f>'RESUMEN TOTAL'!AS295</f>
        <v>0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 t="str">
        <f>'RESUMEN TOTAL'!Y296</f>
        <v>APAGADO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>
        <f>'RESUMEN TOTAL'!AS296</f>
        <v>0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 t="str">
        <f>'RESUMEN TOTAL'!T297</f>
        <v>APAGADO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 t="str">
        <f>'RESUMEN TOTAL'!AL297</f>
        <v>APAGADO</v>
      </c>
      <c r="AD294" t="str">
        <f>'RESUMEN TOTAL'!AM297</f>
        <v>APAGADO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>
        <f>'RESUMEN TOTAL'!AS297</f>
        <v>0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>
        <f>'RESUMEN TOTAL'!AS298</f>
        <v>0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>
        <f>'RESUMEN TOTAL'!AS299</f>
        <v>0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>
        <f>'RESUMEN TOTAL'!AS300</f>
        <v>0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>
        <f>'RESUMEN TOTAL'!AS301</f>
        <v>0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>
        <f>'RESUMEN TOTAL'!AS302</f>
        <v>0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 t="str">
        <f>'RESUMEN TOTAL'!AL303</f>
        <v>APAGADO</v>
      </c>
      <c r="AD300" t="str">
        <f>'RESUMEN TOTAL'!AM303</f>
        <v>APAGADO</v>
      </c>
      <c r="AE300" t="str">
        <f>'RESUMEN TOTAL'!AN303</f>
        <v>APAGADO</v>
      </c>
      <c r="AF300" t="str">
        <f>'RESUMEN TOTAL'!AO303</f>
        <v>APAGADO</v>
      </c>
      <c r="AG300">
        <f>'RESUMEN TOTAL'!AP303</f>
        <v>0</v>
      </c>
      <c r="AH300" t="str">
        <f>'RESUMEN TOTAL'!AQ303</f>
        <v>APAGADO</v>
      </c>
      <c r="AI300">
        <f>'RESUMEN TOTAL'!AR303</f>
        <v>0</v>
      </c>
      <c r="AJ300">
        <f>'RESUMEN TOTAL'!AS303</f>
        <v>0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 t="str">
        <f>'RESUMEN TOTAL'!Y304</f>
        <v>APAGADO</v>
      </c>
      <c r="Q301" t="str">
        <f>'RESUMEN TOTAL'!Z304</f>
        <v>APAGADO</v>
      </c>
      <c r="R301" t="str">
        <f>'RESUMEN TOTAL'!AA304</f>
        <v>APAGADO</v>
      </c>
      <c r="S301" t="str">
        <f>'RESUMEN TOTAL'!AB304</f>
        <v>APAGADO</v>
      </c>
      <c r="T301" t="str">
        <f>'RESUMEN TOTAL'!AC304</f>
        <v>APAGADO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 t="str">
        <f>'RESUMEN TOTAL'!AH304</f>
        <v>APAGADO</v>
      </c>
      <c r="Z301" t="str">
        <f>'RESUMEN TOTAL'!AI304</f>
        <v>APAGADO</v>
      </c>
      <c r="AA301" t="str">
        <f>'RESUMEN TOTAL'!AJ304</f>
        <v>APAGADO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>
        <f>'RESUMEN TOTAL'!AS304</f>
        <v>0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 t="str">
        <f>'RESUMEN TOTAL'!Y305</f>
        <v>APAGADO</v>
      </c>
      <c r="Q302" t="str">
        <f>'RESUMEN TOTAL'!Z305</f>
        <v>APAGADO</v>
      </c>
      <c r="R302" t="str">
        <f>'RESUMEN TOTAL'!AA305</f>
        <v>APAGADO</v>
      </c>
      <c r="S302" t="str">
        <f>'RESUMEN TOTAL'!AB305</f>
        <v>APAGADO</v>
      </c>
      <c r="T302" t="str">
        <f>'RESUMEN TOTAL'!AC305</f>
        <v>APAGADO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 t="str">
        <f>'RESUMEN TOTAL'!AH305</f>
        <v>APAGADO</v>
      </c>
      <c r="Z302" t="str">
        <f>'RESUMEN TOTAL'!AI305</f>
        <v>APAGADO</v>
      </c>
      <c r="AA302" t="str">
        <f>'RESUMEN TOTAL'!AJ305</f>
        <v>APAGADO</v>
      </c>
      <c r="AB302">
        <f>'RESUMEN TOTAL'!AK305</f>
        <v>0</v>
      </c>
      <c r="AC302" t="str">
        <f>'RESUMEN TOTAL'!AL305</f>
        <v>APAGADO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>
        <f>'RESUMEN TOTAL'!AS305</f>
        <v>0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 t="str">
        <f>'RESUMEN TOTAL'!Y306</f>
        <v>APAGADO</v>
      </c>
      <c r="Q303" t="str">
        <f>'RESUMEN TOTAL'!Z306</f>
        <v>APAGADO</v>
      </c>
      <c r="R303" t="str">
        <f>'RESUMEN TOTAL'!AA306</f>
        <v>APAGADO</v>
      </c>
      <c r="S303" t="str">
        <f>'RESUMEN TOTAL'!AB306</f>
        <v>APAGADO</v>
      </c>
      <c r="T303" t="str">
        <f>'RESUMEN TOTAL'!AC306</f>
        <v>APAGADO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 t="str">
        <f>'RESUMEN TOTAL'!AH306</f>
        <v>APAGADO</v>
      </c>
      <c r="Z303" t="str">
        <f>'RESUMEN TOTAL'!AI306</f>
        <v>APAGADO</v>
      </c>
      <c r="AA303" t="str">
        <f>'RESUMEN TOTAL'!AJ306</f>
        <v>APAGADO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>
        <f>'RESUMEN TOTAL'!AS306</f>
        <v>0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 t="str">
        <f>'RESUMEN TOTAL'!Y307</f>
        <v>APAGADO</v>
      </c>
      <c r="Q304" t="str">
        <f>'RESUMEN TOTAL'!Z307</f>
        <v>APAGADO</v>
      </c>
      <c r="R304" t="str">
        <f>'RESUMEN TOTAL'!AA307</f>
        <v>APAGADO</v>
      </c>
      <c r="S304" t="str">
        <f>'RESUMEN TOTAL'!AB307</f>
        <v>APAGADO</v>
      </c>
      <c r="T304" t="str">
        <f>'RESUMEN TOTAL'!AC307</f>
        <v>APAGADO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 t="str">
        <f>'RESUMEN TOTAL'!AH307</f>
        <v>APAGADO</v>
      </c>
      <c r="Z304" t="str">
        <f>'RESUMEN TOTAL'!AI307</f>
        <v>APAGADO</v>
      </c>
      <c r="AA304" t="str">
        <f>'RESUMEN TOTAL'!AJ307</f>
        <v>APAGADO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>
        <f>'RESUMEN TOTAL'!AS307</f>
        <v>0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>
        <f>'RESUMEN TOTAL'!Q308</f>
        <v>0</v>
      </c>
      <c r="I305">
        <f>'RESUMEN TOTAL'!R308</f>
        <v>0</v>
      </c>
      <c r="J305" t="str">
        <f>'RESUMEN TOTAL'!S308</f>
        <v>APAGADO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 t="str">
        <f>'RESUMEN TOTAL'!AA308</f>
        <v>APAGADO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>
        <f>'RESUMEN TOTAL'!AS308</f>
        <v>0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>
        <f>'RESUMEN TOTAL'!AS309</f>
        <v>0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>
        <f>'RESUMEN TOTAL'!AS310</f>
        <v>0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 t="str">
        <f>'RESUMEN TOTAL'!AD311</f>
        <v>APAGADO</v>
      </c>
      <c r="V308" t="str">
        <f>'RESUMEN TOTAL'!AE311</f>
        <v>APAGADO</v>
      </c>
      <c r="W308" t="str">
        <f>'RESUMEN TOTAL'!AF311</f>
        <v>APAGADO</v>
      </c>
      <c r="X308" t="str">
        <f>'RESUMEN TOTAL'!AG311</f>
        <v>APAGADO</v>
      </c>
      <c r="Y308" t="str">
        <f>'RESUMEN TOTAL'!AH311</f>
        <v>APAGADO</v>
      </c>
      <c r="Z308" t="str">
        <f>'RESUMEN TOTAL'!AI311</f>
        <v>APAGADO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>
        <f>'RESUMEN TOTAL'!AS311</f>
        <v>0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 t="str">
        <f>'RESUMEN TOTAL'!AE312</f>
        <v>APAGADO</v>
      </c>
      <c r="W309" t="str">
        <f>'RESUMEN TOTAL'!AF312</f>
        <v>APAGADO</v>
      </c>
      <c r="X309" t="str">
        <f>'RESUMEN TOTAL'!AG312</f>
        <v>APAGADO</v>
      </c>
      <c r="Y309" t="str">
        <f>'RESUMEN TOTAL'!AH312</f>
        <v>APAGADO</v>
      </c>
      <c r="Z309" t="str">
        <f>'RESUMEN TOTAL'!AI312</f>
        <v>APAGADO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>
        <f>'RESUMEN TOTAL'!AS312</f>
        <v>0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 t="str">
        <f>'RESUMEN TOTAL'!AA313</f>
        <v>APAGADO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 t="str">
        <f>'RESUMEN TOTAL'!AE313</f>
        <v>APAGADO</v>
      </c>
      <c r="W310" t="str">
        <f>'RESUMEN TOTAL'!AF313</f>
        <v>APAGADO</v>
      </c>
      <c r="X310" t="str">
        <f>'RESUMEN TOTAL'!AG313</f>
        <v>APAGADO</v>
      </c>
      <c r="Y310" t="str">
        <f>'RESUMEN TOTAL'!AH313</f>
        <v>APAGADO</v>
      </c>
      <c r="Z310" t="str">
        <f>'RESUMEN TOTAL'!AI313</f>
        <v>APAGADO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>
        <f>'RESUMEN TOTAL'!AS313</f>
        <v>0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 t="str">
        <f>'RESUMEN TOTAL'!AL314</f>
        <v>APAGADO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>
        <f>'RESUMEN TOTAL'!AS314</f>
        <v>0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 t="str">
        <f>'RESUMEN TOTAL'!AA315</f>
        <v>APAGADO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>
        <f>'RESUMEN TOTAL'!AS315</f>
        <v>0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>
        <f>'RESUMEN TOTAL'!AS316</f>
        <v>0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>
        <f>'RESUMEN TOTAL'!AS317</f>
        <v>0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>
        <f>'RESUMEN TOTAL'!AS318</f>
        <v>0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>
        <f>'RESUMEN TOTAL'!AS319</f>
        <v>0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>
        <f>'RESUMEN TOTAL'!AS320</f>
        <v>0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 t="str">
        <f>'RESUMEN TOTAL'!O321</f>
        <v>APAGADO</v>
      </c>
      <c r="G318" t="str">
        <f>'RESUMEN TOTAL'!P321</f>
        <v>APAGADO</v>
      </c>
      <c r="H318" t="str">
        <f>'RESUMEN TOTAL'!Q321</f>
        <v>APAGADO</v>
      </c>
      <c r="I318" t="str">
        <f>'RESUMEN TOTAL'!R321</f>
        <v>APAGADO</v>
      </c>
      <c r="J318" t="str">
        <f>'RESUMEN TOTAL'!S321</f>
        <v>APAGADO</v>
      </c>
      <c r="K318" t="str">
        <f>'RESUMEN TOTAL'!T321</f>
        <v>APAGADO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 t="str">
        <f>'RESUMEN TOTAL'!AD321</f>
        <v>APAGADO</v>
      </c>
      <c r="V318" t="str">
        <f>'RESUMEN TOTAL'!AE321</f>
        <v>APAGADO</v>
      </c>
      <c r="W318" t="str">
        <f>'RESUMEN TOTAL'!AF321</f>
        <v>APAGADO</v>
      </c>
      <c r="X318" t="str">
        <f>'RESUMEN TOTAL'!AG321</f>
        <v>APAGADO</v>
      </c>
      <c r="Y318" t="str">
        <f>'RESUMEN TOTAL'!AH321</f>
        <v>APAGADO</v>
      </c>
      <c r="Z318" t="str">
        <f>'RESUMEN TOTAL'!AI321</f>
        <v>APAGADO</v>
      </c>
      <c r="AA318" t="str">
        <f>'RESUMEN TOTAL'!AJ321</f>
        <v>APAGADO</v>
      </c>
      <c r="AB318" t="str">
        <f>'RESUMEN TOTAL'!AK321</f>
        <v>APAGADO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>
        <f>'RESUMEN TOTAL'!AS321</f>
        <v>0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 t="str">
        <f>'RESUMEN TOTAL'!O322</f>
        <v>APAGADO</v>
      </c>
      <c r="G319" t="str">
        <f>'RESUMEN TOTAL'!P322</f>
        <v>APAGADO</v>
      </c>
      <c r="H319" t="str">
        <f>'RESUMEN TOTAL'!Q322</f>
        <v>APAGADO</v>
      </c>
      <c r="I319" t="str">
        <f>'RESUMEN TOTAL'!R322</f>
        <v>APAGADO</v>
      </c>
      <c r="J319" t="str">
        <f>'RESUMEN TOTAL'!S322</f>
        <v>APAGADO</v>
      </c>
      <c r="K319" t="str">
        <f>'RESUMEN TOTAL'!T322</f>
        <v>APAGADO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 t="str">
        <f>'RESUMEN TOTAL'!AC322</f>
        <v>APAGADO</v>
      </c>
      <c r="U319" t="str">
        <f>'RESUMEN TOTAL'!AD322</f>
        <v>APAGADO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 t="str">
        <f>'RESUMEN TOTAL'!AJ322</f>
        <v>APAGADO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>
        <f>'RESUMEN TOTAL'!AS322</f>
        <v>0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 t="str">
        <f>'RESUMEN TOTAL'!AG323</f>
        <v>APAGADO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>
        <f>'RESUMEN TOTAL'!AS323</f>
        <v>0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 t="str">
        <f>'RESUMEN TOTAL'!AD324</f>
        <v>APAGADO</v>
      </c>
      <c r="V321" t="str">
        <f>'RESUMEN TOTAL'!AE324</f>
        <v>APAGADO</v>
      </c>
      <c r="W321" t="str">
        <f>'RESUMEN TOTAL'!AF324</f>
        <v>APAGADO</v>
      </c>
      <c r="X321">
        <f>'RESUMEN TOTAL'!AG324</f>
        <v>0</v>
      </c>
      <c r="Y321">
        <f>'RESUMEN TOTAL'!AH324</f>
        <v>0</v>
      </c>
      <c r="Z321" t="str">
        <f>'RESUMEN TOTAL'!AI324</f>
        <v>APAGADO</v>
      </c>
      <c r="AA321" t="str">
        <f>'RESUMEN TOTAL'!AJ324</f>
        <v>APAGADO</v>
      </c>
      <c r="AB321" t="str">
        <f>'RESUMEN TOTAL'!AK324</f>
        <v>APAGADO</v>
      </c>
      <c r="AC321">
        <f>'RESUMEN TOTAL'!AL324</f>
        <v>0</v>
      </c>
      <c r="AD321" t="str">
        <f>'RESUMEN TOTAL'!AM324</f>
        <v>APAGADO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>
        <f>'RESUMEN TOTAL'!AS324</f>
        <v>0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>
        <f>'RESUMEN TOTAL'!AS325</f>
        <v>0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>
        <f>'RESUMEN TOTAL'!AS326</f>
        <v>0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>
        <f>'RESUMEN TOTAL'!AS327</f>
        <v>0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>
        <f>'RESUMEN TOTAL'!AS328</f>
        <v>0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>
        <f>'RESUMEN TOTAL'!AS329</f>
        <v>0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 t="str">
        <f>'RESUMEN TOTAL'!P330</f>
        <v>APAGADO</v>
      </c>
      <c r="H327" t="str">
        <f>'RESUMEN TOTAL'!Q330</f>
        <v>APAGADO</v>
      </c>
      <c r="I327" t="str">
        <f>'RESUMEN TOTAL'!R330</f>
        <v>APAGADO</v>
      </c>
      <c r="J327" t="str">
        <f>'RESUMEN TOTAL'!S330</f>
        <v>APAGADO</v>
      </c>
      <c r="K327" t="str">
        <f>'RESUMEN TOTAL'!T330</f>
        <v>APAGADO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 t="str">
        <f>'RESUMEN TOTAL'!AB330</f>
        <v>APAGADO</v>
      </c>
      <c r="T327" t="str">
        <f>'RESUMEN TOTAL'!AC330</f>
        <v>APAGADO</v>
      </c>
      <c r="U327" t="str">
        <f>'RESUMEN TOTAL'!AD330</f>
        <v>APAGADO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 t="str">
        <f>'RESUMEN TOTAL'!AH330</f>
        <v>APAGADO</v>
      </c>
      <c r="Z327" t="str">
        <f>'RESUMEN TOTAL'!AI330</f>
        <v>APAGADO</v>
      </c>
      <c r="AA327" t="str">
        <f>'RESUMEN TOTAL'!AJ330</f>
        <v>APAGADO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>
        <f>'RESUMEN TOTAL'!AS330</f>
        <v>0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 t="str">
        <f>'RESUMEN TOTAL'!P331</f>
        <v>APAGADO</v>
      </c>
      <c r="H328" t="str">
        <f>'RESUMEN TOTAL'!Q331</f>
        <v>APAGADO</v>
      </c>
      <c r="I328" t="str">
        <f>'RESUMEN TOTAL'!R331</f>
        <v>APAGADO</v>
      </c>
      <c r="J328" t="str">
        <f>'RESUMEN TOTAL'!S331</f>
        <v>APAGADO</v>
      </c>
      <c r="K328" t="str">
        <f>'RESUMEN TOTAL'!T331</f>
        <v>APAGADO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 t="str">
        <f>'RESUMEN TOTAL'!AB331</f>
        <v>APAGADO</v>
      </c>
      <c r="T328" t="str">
        <f>'RESUMEN TOTAL'!AC331</f>
        <v>APAGADO</v>
      </c>
      <c r="U328" t="str">
        <f>'RESUMEN TOTAL'!AD331</f>
        <v>APAGADO</v>
      </c>
      <c r="V328">
        <f>'RESUMEN TOTAL'!AE331</f>
        <v>0</v>
      </c>
      <c r="W328">
        <f>'RESUMEN TOTAL'!AF331</f>
        <v>0</v>
      </c>
      <c r="X328" t="str">
        <f>'RESUMEN TOTAL'!AG331</f>
        <v>APAGADO</v>
      </c>
      <c r="Y328" t="str">
        <f>'RESUMEN TOTAL'!AH331</f>
        <v>APAGADO</v>
      </c>
      <c r="Z328" t="str">
        <f>'RESUMEN TOTAL'!AI331</f>
        <v>APAGADO</v>
      </c>
      <c r="AA328" t="str">
        <f>'RESUMEN TOTAL'!AJ331</f>
        <v>APAGADO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>
        <f>'RESUMEN TOTAL'!AS331</f>
        <v>0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 t="str">
        <f>'RESUMEN TOTAL'!AL332</f>
        <v>APAGADO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>
        <f>'RESUMEN TOTAL'!AS332</f>
        <v>0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 t="str">
        <f>'RESUMEN TOTAL'!O333</f>
        <v>APAGADO</v>
      </c>
      <c r="G330" t="str">
        <f>'RESUMEN TOTAL'!P333</f>
        <v>APAGADO</v>
      </c>
      <c r="H330" t="str">
        <f>'RESUMEN TOTAL'!Q333</f>
        <v>APAGADO</v>
      </c>
      <c r="I330" t="str">
        <f>'RESUMEN TOTAL'!R333</f>
        <v>APAGADO</v>
      </c>
      <c r="J330" t="str">
        <f>'RESUMEN TOTAL'!S333</f>
        <v>APAGADO</v>
      </c>
      <c r="K330" t="str">
        <f>'RESUMEN TOTAL'!T333</f>
        <v>APAGADO</v>
      </c>
      <c r="L330" t="str">
        <f>'RESUMEN TOTAL'!U333</f>
        <v>APAGADO</v>
      </c>
      <c r="M330" t="str">
        <f>'RESUMEN TOTAL'!V333</f>
        <v>APAGADO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>
        <f>'RESUMEN TOTAL'!AS333</f>
        <v>0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>
        <f>'RESUMEN TOTAL'!AS334</f>
        <v>0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>
        <f>'RESUMEN TOTAL'!AS335</f>
        <v>0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>
        <f>'RESUMEN TOTAL'!AS336</f>
        <v>0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 t="str">
        <f>'RESUMEN TOTAL'!AL337</f>
        <v>APAGADO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>
        <f>'RESUMEN TOTAL'!AS337</f>
        <v>0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 t="str">
        <f>'RESUMEN TOTAL'!AL338</f>
        <v>APAGADO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>
        <f>'RESUMEN TOTAL'!AS338</f>
        <v>0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 t="str">
        <f>'RESUMEN TOTAL'!AD339</f>
        <v>APAGADO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 t="str">
        <f>'RESUMEN TOTAL'!AL339</f>
        <v>APAGADO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>
        <f>'RESUMEN TOTAL'!AS339</f>
        <v>0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>
        <f>'RESUMEN TOTAL'!AS340</f>
        <v>0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>
        <f>'RESUMEN TOTAL'!AS341</f>
        <v>0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 t="str">
        <f>'RESUMEN TOTAL'!AN342</f>
        <v>APAGADO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>
        <f>'RESUMEN TOTAL'!AS342</f>
        <v>0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>
        <f>'RESUMEN TOTAL'!AS343</f>
        <v>0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>
        <f>'RESUMEN TOTAL'!AS344</f>
        <v>0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 t="str">
        <f>'RESUMEN TOTAL'!AP345</f>
        <v>APAGADO</v>
      </c>
      <c r="AH342" t="str">
        <f>'RESUMEN TOTAL'!AQ345</f>
        <v>APAGADO</v>
      </c>
      <c r="AI342">
        <f>'RESUMEN TOTAL'!AR345</f>
        <v>0</v>
      </c>
      <c r="AJ342">
        <f>'RESUMEN TOTAL'!AS345</f>
        <v>0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 t="str">
        <f>'RESUMEN TOTAL'!AP346</f>
        <v>APAGADO</v>
      </c>
      <c r="AH343" t="str">
        <f>'RESUMEN TOTAL'!AQ346</f>
        <v>APAGADO</v>
      </c>
      <c r="AI343">
        <f>'RESUMEN TOTAL'!AR346</f>
        <v>0</v>
      </c>
      <c r="AJ343">
        <f>'RESUMEN TOTAL'!AS346</f>
        <v>0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 t="str">
        <f>'RESUMEN TOTAL'!O347</f>
        <v>APAGADO</v>
      </c>
      <c r="G344" t="str">
        <f>'RESUMEN TOTAL'!P347</f>
        <v>APAGADO</v>
      </c>
      <c r="H344" t="str">
        <f>'RESUMEN TOTAL'!Q347</f>
        <v>APAGADO</v>
      </c>
      <c r="I344" t="str">
        <f>'RESUMEN TOTAL'!R347</f>
        <v>APAGADO</v>
      </c>
      <c r="J344" t="str">
        <f>'RESUMEN TOTAL'!S347</f>
        <v>APAGADO</v>
      </c>
      <c r="K344" t="str">
        <f>'RESUMEN TOTAL'!T347</f>
        <v>APAGADO</v>
      </c>
      <c r="L344" t="str">
        <f>'RESUMEN TOTAL'!U347</f>
        <v>APAGADO</v>
      </c>
      <c r="M344" t="str">
        <f>'RESUMEN TOTAL'!V347</f>
        <v>APAGADO</v>
      </c>
      <c r="N344" t="str">
        <f>'RESUMEN TOTAL'!W347</f>
        <v>APAGADO</v>
      </c>
      <c r="O344" t="str">
        <f>'RESUMEN TOTAL'!X347</f>
        <v>APAGADO</v>
      </c>
      <c r="P344" t="str">
        <f>'RESUMEN TOTAL'!Y347</f>
        <v>APAGADO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 t="str">
        <f>'RESUMEN TOTAL'!AP347</f>
        <v>APAGADO</v>
      </c>
      <c r="AH344" t="str">
        <f>'RESUMEN TOTAL'!AQ347</f>
        <v>APAGADO</v>
      </c>
      <c r="AI344">
        <f>'RESUMEN TOTAL'!AR347</f>
        <v>0</v>
      </c>
      <c r="AJ344">
        <f>'RESUMEN TOTAL'!AS347</f>
        <v>0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 t="str">
        <f>'RESUMEN TOTAL'!O348</f>
        <v>APAGADO</v>
      </c>
      <c r="G345" t="str">
        <f>'RESUMEN TOTAL'!P348</f>
        <v>APAGADO</v>
      </c>
      <c r="H345" t="str">
        <f>'RESUMEN TOTAL'!Q348</f>
        <v>APAGADO</v>
      </c>
      <c r="I345" t="str">
        <f>'RESUMEN TOTAL'!R348</f>
        <v>APAGADO</v>
      </c>
      <c r="J345" t="str">
        <f>'RESUMEN TOTAL'!S348</f>
        <v>APAGADO</v>
      </c>
      <c r="K345" t="str">
        <f>'RESUMEN TOTAL'!T348</f>
        <v>APAGADO</v>
      </c>
      <c r="L345" t="str">
        <f>'RESUMEN TOTAL'!U348</f>
        <v>APAGADO</v>
      </c>
      <c r="M345" t="str">
        <f>'RESUMEN TOTAL'!V348</f>
        <v>APAGADO</v>
      </c>
      <c r="N345" t="str">
        <f>'RESUMEN TOTAL'!W348</f>
        <v>APAGADO</v>
      </c>
      <c r="O345" t="str">
        <f>'RESUMEN TOTAL'!X348</f>
        <v>APAGADO</v>
      </c>
      <c r="P345" t="str">
        <f>'RESUMEN TOTAL'!Y348</f>
        <v>APAGADO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 t="str">
        <f>'RESUMEN TOTAL'!AP348</f>
        <v>APAGADO</v>
      </c>
      <c r="AH345" t="str">
        <f>'RESUMEN TOTAL'!AQ348</f>
        <v>APAGADO</v>
      </c>
      <c r="AI345">
        <f>'RESUMEN TOTAL'!AR348</f>
        <v>0</v>
      </c>
      <c r="AJ345">
        <f>'RESUMEN TOTAL'!AS348</f>
        <v>0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 t="str">
        <f>'RESUMEN TOTAL'!O349</f>
        <v>APAGADO</v>
      </c>
      <c r="G346" t="str">
        <f>'RESUMEN TOTAL'!P349</f>
        <v>APAGADO</v>
      </c>
      <c r="H346" t="str">
        <f>'RESUMEN TOTAL'!Q349</f>
        <v>APAGADO</v>
      </c>
      <c r="I346" t="str">
        <f>'RESUMEN TOTAL'!R349</f>
        <v>APAGADO</v>
      </c>
      <c r="J346" t="str">
        <f>'RESUMEN TOTAL'!S349</f>
        <v>APAGADO</v>
      </c>
      <c r="K346" t="str">
        <f>'RESUMEN TOTAL'!T349</f>
        <v>APAGADO</v>
      </c>
      <c r="L346" t="str">
        <f>'RESUMEN TOTAL'!U349</f>
        <v>APAGADO</v>
      </c>
      <c r="M346" t="str">
        <f>'RESUMEN TOTAL'!V349</f>
        <v>APAGADO</v>
      </c>
      <c r="N346" t="str">
        <f>'RESUMEN TOTAL'!W349</f>
        <v>APAGADO</v>
      </c>
      <c r="O346" t="str">
        <f>'RESUMEN TOTAL'!X349</f>
        <v>APAGADO</v>
      </c>
      <c r="P346" t="str">
        <f>'RESUMEN TOTAL'!Y349</f>
        <v>APAGADO</v>
      </c>
      <c r="Q346">
        <f>'RESUMEN TOTAL'!Z349</f>
        <v>0</v>
      </c>
      <c r="R346">
        <f>'RESUMEN TOTAL'!AA349</f>
        <v>0</v>
      </c>
      <c r="S346" t="str">
        <f>'RESUMEN TOTAL'!AB349</f>
        <v>APAGADO</v>
      </c>
      <c r="T346" t="str">
        <f>'RESUMEN TOTAL'!AC349</f>
        <v>APAGADO</v>
      </c>
      <c r="U346" t="str">
        <f>'RESUMEN TOTAL'!AD349</f>
        <v>APAGADO</v>
      </c>
      <c r="V346" t="str">
        <f>'RESUMEN TOTAL'!AE349</f>
        <v>APAGADO</v>
      </c>
      <c r="W346" t="str">
        <f>'RESUMEN TOTAL'!AF349</f>
        <v>APAGADO</v>
      </c>
      <c r="X346" t="str">
        <f>'RESUMEN TOTAL'!AG349</f>
        <v>APAGADO</v>
      </c>
      <c r="Y346" t="str">
        <f>'RESUMEN TOTAL'!AH349</f>
        <v>APAGADO</v>
      </c>
      <c r="Z346" t="str">
        <f>'RESUMEN TOTAL'!AI349</f>
        <v>APAGADO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 t="str">
        <f>'RESUMEN TOTAL'!AP349</f>
        <v>APAGADO</v>
      </c>
      <c r="AH346" t="str">
        <f>'RESUMEN TOTAL'!AQ349</f>
        <v>APAGADO</v>
      </c>
      <c r="AI346">
        <f>'RESUMEN TOTAL'!AR349</f>
        <v>0</v>
      </c>
      <c r="AJ346">
        <f>'RESUMEN TOTAL'!AS349</f>
        <v>0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 t="str">
        <f>'RESUMEN TOTAL'!O350</f>
        <v>APAGADO</v>
      </c>
      <c r="G347" t="str">
        <f>'RESUMEN TOTAL'!P350</f>
        <v>APAGADO</v>
      </c>
      <c r="H347" t="str">
        <f>'RESUMEN TOTAL'!Q350</f>
        <v>APAGADO</v>
      </c>
      <c r="I347" t="str">
        <f>'RESUMEN TOTAL'!R350</f>
        <v>APAGADO</v>
      </c>
      <c r="J347">
        <f>'RESUMEN TOTAL'!S350</f>
        <v>0</v>
      </c>
      <c r="K347" t="str">
        <f>'RESUMEN TOTAL'!T350</f>
        <v>APAGADO</v>
      </c>
      <c r="L347" t="str">
        <f>'RESUMEN TOTAL'!U350</f>
        <v>APAGADO</v>
      </c>
      <c r="M347" t="str">
        <f>'RESUMEN TOTAL'!V350</f>
        <v>APAGADO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 t="str">
        <f>'RESUMEN TOTAL'!Z350</f>
        <v>APAGADO</v>
      </c>
      <c r="R347" t="str">
        <f>'RESUMEN TOTAL'!AA350</f>
        <v>APAGADO</v>
      </c>
      <c r="S347">
        <f>'RESUMEN TOTAL'!AB350</f>
        <v>0</v>
      </c>
      <c r="T347">
        <f>'RESUMEN TOTAL'!AC350</f>
        <v>0</v>
      </c>
      <c r="U347" t="str">
        <f>'RESUMEN TOTAL'!AD350</f>
        <v>APAGADO</v>
      </c>
      <c r="V347" t="str">
        <f>'RESUMEN TOTAL'!AE350</f>
        <v>APAGADO</v>
      </c>
      <c r="W347" t="str">
        <f>'RESUMEN TOTAL'!AF350</f>
        <v>APAGADO</v>
      </c>
      <c r="X347" t="str">
        <f>'RESUMEN TOTAL'!AG350</f>
        <v>APAGADO</v>
      </c>
      <c r="Y347" t="str">
        <f>'RESUMEN TOTAL'!AH350</f>
        <v>APAGADO</v>
      </c>
      <c r="Z347" t="str">
        <f>'RESUMEN TOTAL'!AI350</f>
        <v>APAGADO</v>
      </c>
      <c r="AA347" t="str">
        <f>'RESUMEN TOTAL'!AJ350</f>
        <v>APAGADO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>
        <f>'RESUMEN TOTAL'!AS350</f>
        <v>0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 t="str">
        <f>'RESUMEN TOTAL'!O351</f>
        <v>APAGADO</v>
      </c>
      <c r="G348" t="str">
        <f>'RESUMEN TOTAL'!P351</f>
        <v>APAGADO</v>
      </c>
      <c r="H348" t="str">
        <f>'RESUMEN TOTAL'!Q351</f>
        <v>APAGADO</v>
      </c>
      <c r="I348" t="str">
        <f>'RESUMEN TOTAL'!R351</f>
        <v>APAGADO</v>
      </c>
      <c r="J348" t="str">
        <f>'RESUMEN TOTAL'!S351</f>
        <v>APAGADO</v>
      </c>
      <c r="K348" t="str">
        <f>'RESUMEN TOTAL'!T351</f>
        <v>APAGADO</v>
      </c>
      <c r="L348" t="str">
        <f>'RESUMEN TOTAL'!U351</f>
        <v>APAGADO</v>
      </c>
      <c r="M348" t="str">
        <f>'RESUMEN TOTAL'!V351</f>
        <v>APAGADO</v>
      </c>
      <c r="N348" t="str">
        <f>'RESUMEN TOTAL'!W351</f>
        <v>APAGADO</v>
      </c>
      <c r="O348" t="str">
        <f>'RESUMEN TOTAL'!X351</f>
        <v>APAGADO</v>
      </c>
      <c r="P348" t="str">
        <f>'RESUMEN TOTAL'!Y351</f>
        <v>APAGADO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 t="str">
        <f>'RESUMEN TOTAL'!AQ351</f>
        <v>APAGADO</v>
      </c>
      <c r="AI348">
        <f>'RESUMEN TOTAL'!AR351</f>
        <v>0</v>
      </c>
      <c r="AJ348">
        <f>'RESUMEN TOTAL'!AS351</f>
        <v>0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 t="str">
        <f>'RESUMEN TOTAL'!AN352</f>
        <v>APAGADO</v>
      </c>
      <c r="AF349" t="str">
        <f>'RESUMEN TOTAL'!AO352</f>
        <v>APAGADO</v>
      </c>
      <c r="AG349" t="str">
        <f>'RESUMEN TOTAL'!AP352</f>
        <v>APAGADO</v>
      </c>
      <c r="AH349" t="str">
        <f>'RESUMEN TOTAL'!AQ352</f>
        <v>APAGADO</v>
      </c>
      <c r="AI349">
        <f>'RESUMEN TOTAL'!AR352</f>
        <v>0</v>
      </c>
      <c r="AJ349">
        <f>'RESUMEN TOTAL'!AS352</f>
        <v>0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 t="str">
        <f>'RESUMEN TOTAL'!AQ353</f>
        <v>APAGADO</v>
      </c>
      <c r="AI350">
        <f>'RESUMEN TOTAL'!AR353</f>
        <v>0</v>
      </c>
      <c r="AJ350">
        <f>'RESUMEN TOTAL'!AS353</f>
        <v>0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>
        <f>'RESUMEN TOTAL'!AS354</f>
        <v>0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 t="str">
        <f>'RESUMEN TOTAL'!S355</f>
        <v>APAGADO</v>
      </c>
      <c r="K352" t="str">
        <f>'RESUMEN TOTAL'!T355</f>
        <v>APAGADO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 t="str">
        <f>'RESUMEN TOTAL'!AA355</f>
        <v>APAGADO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 t="str">
        <f>'RESUMEN TOTAL'!AG355</f>
        <v>APAGADO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 t="str">
        <f>'RESUMEN TOTAL'!AL355</f>
        <v>APAGADO</v>
      </c>
      <c r="AD352">
        <f>'RESUMEN TOTAL'!AM355</f>
        <v>0</v>
      </c>
      <c r="AE352" t="str">
        <f>'RESUMEN TOTAL'!AN355</f>
        <v>APAGADO</v>
      </c>
      <c r="AF352" t="str">
        <f>'RESUMEN TOTAL'!AO355</f>
        <v>APAGADO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>
        <f>'RESUMEN TOTAL'!AS355</f>
        <v>0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>
        <f>'RESUMEN TOTAL'!AS356</f>
        <v>0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>
        <f>'RESUMEN TOTAL'!AS357</f>
        <v>0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 t="str">
        <f>'RESUMEN TOTAL'!AL358</f>
        <v>APAGADO</v>
      </c>
      <c r="AD355" t="str">
        <f>'RESUMEN TOTAL'!AM358</f>
        <v>APAGADO</v>
      </c>
      <c r="AE355" t="str">
        <f>'RESUMEN TOTAL'!AN358</f>
        <v>APAGADO</v>
      </c>
      <c r="AF355" t="str">
        <f>'RESUMEN TOTAL'!AO358</f>
        <v>APAGADO</v>
      </c>
      <c r="AG355" t="str">
        <f>'RESUMEN TOTAL'!AP358</f>
        <v>APAGADO</v>
      </c>
      <c r="AH355">
        <f>'RESUMEN TOTAL'!AQ358</f>
        <v>0</v>
      </c>
      <c r="AI355">
        <f>'RESUMEN TOTAL'!AR358</f>
        <v>0</v>
      </c>
      <c r="AJ355">
        <f>'RESUMEN TOTAL'!AS358</f>
        <v>0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>
        <f>'RESUMEN TOTAL'!AS359</f>
        <v>0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>
        <f>'RESUMEN TOTAL'!AS360</f>
        <v>0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>
        <f>'RESUMEN TOTAL'!AS361</f>
        <v>0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>
        <f>'RESUMEN TOTAL'!AS362</f>
        <v>0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 t="str">
        <f>'RESUMEN TOTAL'!AP363</f>
        <v>APAGADO</v>
      </c>
      <c r="AH360" t="str">
        <f>'RESUMEN TOTAL'!AQ363</f>
        <v>APAGADO</v>
      </c>
      <c r="AI360">
        <f>'RESUMEN TOTAL'!AR363</f>
        <v>0</v>
      </c>
      <c r="AJ360">
        <f>'RESUMEN TOTAL'!AS363</f>
        <v>0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 t="str">
        <f>'RESUMEN TOTAL'!U364</f>
        <v>APAGADO</v>
      </c>
      <c r="M361" t="str">
        <f>'RESUMEN TOTAL'!V364</f>
        <v>APAGADO</v>
      </c>
      <c r="N361" t="str">
        <f>'RESUMEN TOTAL'!W364</f>
        <v>APAGADO</v>
      </c>
      <c r="O361" t="str">
        <f>'RESUMEN TOTAL'!X364</f>
        <v>APAGADO</v>
      </c>
      <c r="P361" t="str">
        <f>'RESUMEN TOTAL'!Y364</f>
        <v>APAGADO</v>
      </c>
      <c r="Q361">
        <f>'RESUMEN TOTAL'!Z364</f>
        <v>0</v>
      </c>
      <c r="R361" t="str">
        <f>'RESUMEN TOTAL'!AA364</f>
        <v>APAGADO</v>
      </c>
      <c r="S361" t="str">
        <f>'RESUMEN TOTAL'!AB364</f>
        <v>APAGADO</v>
      </c>
      <c r="T361" t="str">
        <f>'RESUMEN TOTAL'!AC364</f>
        <v>APAGADO</v>
      </c>
      <c r="U361" t="str">
        <f>'RESUMEN TOTAL'!AD364</f>
        <v>APAGADO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>
        <f>'RESUMEN TOTAL'!AS364</f>
        <v>0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>
        <f>'RESUMEN TOTAL'!AS365</f>
        <v>0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>
        <f>'RESUMEN TOTAL'!AS366</f>
        <v>0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>
        <f>'RESUMEN TOTAL'!AS367</f>
        <v>0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>
        <f>'RESUMEN TOTAL'!AS368</f>
        <v>0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 t="str">
        <f>'RESUMEN TOTAL'!O369</f>
        <v>APAGADO</v>
      </c>
      <c r="G366" t="str">
        <f>'RESUMEN TOTAL'!P369</f>
        <v>APAGADO</v>
      </c>
      <c r="H366" t="str">
        <f>'RESUMEN TOTAL'!Q369</f>
        <v>APAGADO</v>
      </c>
      <c r="I366" t="str">
        <f>'RESUMEN TOTAL'!R369</f>
        <v>APAGADO</v>
      </c>
      <c r="J366" t="str">
        <f>'RESUMEN TOTAL'!S369</f>
        <v>APAGADO</v>
      </c>
      <c r="K366" t="str">
        <f>'RESUMEN TOTAL'!T369</f>
        <v>APAGADO</v>
      </c>
      <c r="L366" t="str">
        <f>'RESUMEN TOTAL'!U369</f>
        <v>APAGADO</v>
      </c>
      <c r="M366" t="str">
        <f>'RESUMEN TOTAL'!V369</f>
        <v>APAGADO</v>
      </c>
      <c r="N366" t="str">
        <f>'RESUMEN TOTAL'!W369</f>
        <v>APAGADO</v>
      </c>
      <c r="O366" t="str">
        <f>'RESUMEN TOTAL'!X369</f>
        <v>APAGADO</v>
      </c>
      <c r="P366" t="str">
        <f>'RESUMEN TOTAL'!Y369</f>
        <v>APAGADO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 t="str">
        <f>'RESUMEN TOTAL'!AJ369</f>
        <v>APAGADO</v>
      </c>
      <c r="AB366" t="str">
        <f>'RESUMEN TOTAL'!AK369</f>
        <v>APAGADO</v>
      </c>
      <c r="AC366" t="str">
        <f>'RESUMEN TOTAL'!AL369</f>
        <v>APAGADO</v>
      </c>
      <c r="AD366" t="str">
        <f>'RESUMEN TOTAL'!AM369</f>
        <v>APAGADO</v>
      </c>
      <c r="AE366" t="str">
        <f>'RESUMEN TOTAL'!AN369</f>
        <v>APAGADO</v>
      </c>
      <c r="AF366" t="str">
        <f>'RESUMEN TOTAL'!AO369</f>
        <v>APAGADO</v>
      </c>
      <c r="AG366" t="str">
        <f>'RESUMEN TOTAL'!AP369</f>
        <v>APAGADO</v>
      </c>
      <c r="AH366" t="str">
        <f>'RESUMEN TOTAL'!AQ369</f>
        <v>APAGADO</v>
      </c>
      <c r="AI366">
        <f>'RESUMEN TOTAL'!AR369</f>
        <v>0</v>
      </c>
      <c r="AJ366">
        <f>'RESUMEN TOTAL'!AS369</f>
        <v>0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 t="str">
        <f>'RESUMEN TOTAL'!AD370</f>
        <v>APAGADO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>
        <f>'RESUMEN TOTAL'!AS370</f>
        <v>0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 t="str">
        <f>'RESUMEN TOTAL'!AL371</f>
        <v>APAGADO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 t="str">
        <f>'RESUMEN TOTAL'!AP371</f>
        <v>APAGADO</v>
      </c>
      <c r="AH368" t="str">
        <f>'RESUMEN TOTAL'!AQ371</f>
        <v>APAGADO</v>
      </c>
      <c r="AI368">
        <f>'RESUMEN TOTAL'!AR371</f>
        <v>0</v>
      </c>
      <c r="AJ368">
        <f>'RESUMEN TOTAL'!AS371</f>
        <v>0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 t="str">
        <f>'RESUMEN TOTAL'!AL372</f>
        <v>APAGADO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 t="str">
        <f>'RESUMEN TOTAL'!AP372</f>
        <v>APAGADO</v>
      </c>
      <c r="AH369" t="str">
        <f>'RESUMEN TOTAL'!AQ372</f>
        <v>APAGADO</v>
      </c>
      <c r="AI369">
        <f>'RESUMEN TOTAL'!AR372</f>
        <v>0</v>
      </c>
      <c r="AJ369">
        <f>'RESUMEN TOTAL'!AS372</f>
        <v>0</v>
      </c>
    </row>
    <row r="370" spans="1:36" x14ac:dyDescent="0.3">
      <c r="A370">
        <f>'RESUMEN TOTAL'!A373</f>
        <v>0</v>
      </c>
      <c r="B370">
        <f>'RESUMEN TOTAL'!C373</f>
        <v>0</v>
      </c>
      <c r="C370">
        <f>'RESUMEN TOTAL'!D373</f>
        <v>0</v>
      </c>
      <c r="D370">
        <f>'RESUMEN TOTAL'!E373</f>
        <v>0</v>
      </c>
      <c r="E370">
        <f>'RESUMEN TOTAL'!F373</f>
        <v>0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>
        <f>'RESUMEN TOTAL'!AS373</f>
        <v>0</v>
      </c>
    </row>
    <row r="371" spans="1:36" x14ac:dyDescent="0.3">
      <c r="A371">
        <f>'RESUMEN TOTAL'!A374</f>
        <v>0</v>
      </c>
      <c r="B371">
        <f>'RESUMEN TOTAL'!C374</f>
        <v>0</v>
      </c>
      <c r="C371">
        <f>'RESUMEN TOTAL'!D374</f>
        <v>0</v>
      </c>
      <c r="D371">
        <f>'RESUMEN TOTAL'!E374</f>
        <v>0</v>
      </c>
      <c r="E371">
        <f>'RESUMEN TOTAL'!F374</f>
        <v>0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>
        <f>'RESUMEN TOTAL'!AS374</f>
        <v>0</v>
      </c>
    </row>
    <row r="372" spans="1:36" x14ac:dyDescent="0.3">
      <c r="A372">
        <f>'RESUMEN TOTAL'!A375</f>
        <v>0</v>
      </c>
      <c r="B372">
        <f>'RESUMEN TOTAL'!C375</f>
        <v>0</v>
      </c>
      <c r="C372">
        <f>'RESUMEN TOTAL'!D375</f>
        <v>0</v>
      </c>
      <c r="D372">
        <f>'RESUMEN TOTAL'!E375</f>
        <v>0</v>
      </c>
      <c r="E372">
        <f>'RESUMEN TOTAL'!F375</f>
        <v>0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>
        <f>'RESUMEN TOTAL'!AS375</f>
        <v>0</v>
      </c>
    </row>
    <row r="373" spans="1:36" x14ac:dyDescent="0.3">
      <c r="A373">
        <f>'RESUMEN TOTAL'!A376</f>
        <v>0</v>
      </c>
      <c r="B373">
        <f>'RESUMEN TOTAL'!C376</f>
        <v>0</v>
      </c>
      <c r="C373">
        <f>'RESUMEN TOTAL'!D376</f>
        <v>0</v>
      </c>
      <c r="D373">
        <f>'RESUMEN TOTAL'!E376</f>
        <v>0</v>
      </c>
      <c r="E373">
        <f>'RESUMEN TOTAL'!F376</f>
        <v>0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>
        <f>'RESUMEN TOTAL'!AS376</f>
        <v>0</v>
      </c>
    </row>
    <row r="374" spans="1:36" x14ac:dyDescent="0.3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O3" activePane="bottomRight" state="frozen"/>
      <selection pane="topRight" activeCell="F1" sqref="F1"/>
      <selection pane="bottomLeft" activeCell="A3" sqref="A3"/>
      <selection pane="bottomRight" activeCell="B368" sqref="B368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6" t="s">
        <v>934</v>
      </c>
      <c r="F1" s="26">
        <f t="shared" ref="F1:AC1" si="0">COUNTIF(F3:F366, "APAGADO")</f>
        <v>61</v>
      </c>
      <c r="G1" s="26">
        <f t="shared" si="0"/>
        <v>79</v>
      </c>
      <c r="H1" s="26">
        <f t="shared" si="0"/>
        <v>76</v>
      </c>
      <c r="I1" s="26">
        <f t="shared" si="0"/>
        <v>69</v>
      </c>
      <c r="J1" s="26">
        <f t="shared" si="0"/>
        <v>69</v>
      </c>
      <c r="K1" s="26">
        <f t="shared" si="0"/>
        <v>68</v>
      </c>
      <c r="L1" s="26">
        <f t="shared" si="0"/>
        <v>70</v>
      </c>
      <c r="M1" s="26">
        <f t="shared" si="0"/>
        <v>66</v>
      </c>
      <c r="N1" s="26">
        <f t="shared" si="0"/>
        <v>78</v>
      </c>
      <c r="O1" s="26">
        <f t="shared" si="0"/>
        <v>68</v>
      </c>
      <c r="P1" s="26">
        <f t="shared" si="0"/>
        <v>58</v>
      </c>
      <c r="Q1" s="26">
        <f t="shared" si="0"/>
        <v>48</v>
      </c>
      <c r="R1" s="26">
        <f t="shared" si="0"/>
        <v>53</v>
      </c>
      <c r="S1" s="26">
        <f t="shared" si="0"/>
        <v>58</v>
      </c>
      <c r="T1" s="26">
        <f t="shared" si="0"/>
        <v>48</v>
      </c>
      <c r="U1" s="26">
        <f t="shared" si="0"/>
        <v>64</v>
      </c>
      <c r="V1" s="26">
        <f t="shared" si="0"/>
        <v>43</v>
      </c>
      <c r="W1" s="26">
        <f>COUNTIF(W3:W447, "APAGADO")</f>
        <v>52</v>
      </c>
      <c r="X1" s="26">
        <f t="shared" si="0"/>
        <v>73</v>
      </c>
      <c r="Y1" s="26">
        <f t="shared" si="0"/>
        <v>52</v>
      </c>
      <c r="Z1" s="26">
        <f t="shared" si="0"/>
        <v>55</v>
      </c>
      <c r="AA1" s="26">
        <f t="shared" si="0"/>
        <v>68</v>
      </c>
      <c r="AB1" s="26">
        <f t="shared" si="0"/>
        <v>32</v>
      </c>
      <c r="AC1" s="26">
        <f t="shared" si="0"/>
        <v>85</v>
      </c>
      <c r="AD1" s="26">
        <f>COUNTIF(AD3:AD366, "APAGADO")</f>
        <v>52</v>
      </c>
      <c r="AE1" s="26">
        <f t="shared" ref="AE1:AG1" si="1">COUNTIF(AE3:AE366, "APAGADO")</f>
        <v>56</v>
      </c>
      <c r="AF1" s="26">
        <f t="shared" si="1"/>
        <v>57</v>
      </c>
      <c r="AG1" s="26">
        <f t="shared" si="1"/>
        <v>76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44621</v>
      </c>
      <c r="G2" s="25">
        <f>ESTADISTICA!G1</f>
        <v>44622</v>
      </c>
      <c r="H2" s="25">
        <f>ESTADISTICA!H1</f>
        <v>44623</v>
      </c>
      <c r="I2" s="25">
        <f>ESTADISTICA!I1</f>
        <v>44624</v>
      </c>
      <c r="J2" s="25">
        <f>ESTADISTICA!J1</f>
        <v>44625</v>
      </c>
      <c r="K2" s="25">
        <f>ESTADISTICA!K1</f>
        <v>44626</v>
      </c>
      <c r="L2" s="25">
        <f>ESTADISTICA!L1</f>
        <v>44627</v>
      </c>
      <c r="M2" s="25">
        <f>ESTADISTICA!M1</f>
        <v>44628</v>
      </c>
      <c r="N2" s="25">
        <f>ESTADISTICA!N1</f>
        <v>44629</v>
      </c>
      <c r="O2" s="25">
        <f>ESTADISTICA!O1</f>
        <v>44630</v>
      </c>
      <c r="P2" s="25">
        <f>ESTADISTICA!P1</f>
        <v>44631</v>
      </c>
      <c r="Q2" s="25">
        <f>ESTADISTICA!Q1</f>
        <v>44632</v>
      </c>
      <c r="R2" s="25">
        <f>ESTADISTICA!R1</f>
        <v>44633</v>
      </c>
      <c r="S2" s="25">
        <f>ESTADISTICA!S1</f>
        <v>44634</v>
      </c>
      <c r="T2" s="25">
        <f>ESTADISTICA!T1</f>
        <v>44635</v>
      </c>
      <c r="U2" s="25">
        <f>ESTADISTICA!U1</f>
        <v>44636</v>
      </c>
      <c r="V2" s="25">
        <f>ESTADISTICA!V1</f>
        <v>44637</v>
      </c>
      <c r="W2" s="25">
        <f>ESTADISTICA!W1</f>
        <v>44638</v>
      </c>
      <c r="X2" s="25">
        <f>ESTADISTICA!X1</f>
        <v>44639</v>
      </c>
      <c r="Y2" s="25">
        <f>ESTADISTICA!Y1</f>
        <v>44640</v>
      </c>
      <c r="Z2" s="25">
        <f>ESTADISTICA!Z1</f>
        <v>44641</v>
      </c>
      <c r="AA2" s="25">
        <f>ESTADISTICA!AA1</f>
        <v>44642</v>
      </c>
      <c r="AB2" s="25">
        <f>ESTADISTICA!AB1</f>
        <v>44643</v>
      </c>
      <c r="AC2" s="25">
        <f>ESTADISTICA!AC1</f>
        <v>44644</v>
      </c>
      <c r="AD2" s="25">
        <f>ESTADISTICA!AD1</f>
        <v>44645</v>
      </c>
      <c r="AE2" s="25">
        <f>ESTADISTICA!AE1</f>
        <v>44646</v>
      </c>
      <c r="AF2" s="25">
        <f>ESTADISTICA!AF1</f>
        <v>44647</v>
      </c>
      <c r="AG2" s="25">
        <f>ESTADISTICA!AG1</f>
        <v>44648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 t="str">
        <f>ESTADISTICA!AB2</f>
        <v>APAGADO</v>
      </c>
      <c r="AC3" t="str">
        <f>ESTADISTICA!AC2</f>
        <v>APAGADO</v>
      </c>
      <c r="AD3" t="str">
        <f>ESTADISTICA!AD2</f>
        <v>APAGADO</v>
      </c>
      <c r="AE3" t="str">
        <f>ESTADISTICA!AE2</f>
        <v>APAGADO</v>
      </c>
      <c r="AF3" t="str">
        <f>ESTADISTICA!AF2</f>
        <v>APAGADO</v>
      </c>
      <c r="AG3" t="str">
        <f>ESTADISTICA!AG2</f>
        <v>APAGADO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 t="str">
        <f>ESTADISTICA!AF7</f>
        <v>APAGADO</v>
      </c>
      <c r="AG8" t="str">
        <f>ESTADISTICA!AG7</f>
        <v>APAGADO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 t="str">
        <f>ESTADISTICA!AA10</f>
        <v>APAGADO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 t="str">
        <f>ESTADISTICA!AF10</f>
        <v>APAGADO</v>
      </c>
      <c r="AG11" t="str">
        <f>ESTADISTICA!AG10</f>
        <v>APAGADO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 t="str">
        <f>ESTADISTICA!AA11</f>
        <v>APAGADO</v>
      </c>
      <c r="AB12">
        <f>ESTADISTICA!AB11</f>
        <v>0</v>
      </c>
      <c r="AC12" t="str">
        <f>ESTADISTICA!AC11</f>
        <v>APAGADO</v>
      </c>
      <c r="AD12" t="str">
        <f>ESTADISTICA!AD11</f>
        <v>APAGADO</v>
      </c>
      <c r="AE12">
        <f>ESTADISTICA!AE11</f>
        <v>0</v>
      </c>
      <c r="AF12" t="str">
        <f>ESTADISTICA!AF11</f>
        <v>APAGADO</v>
      </c>
      <c r="AG12" t="str">
        <f>ESTADISTICA!AG11</f>
        <v>APAGADO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 t="str">
        <f>ESTADISTICA!AA14</f>
        <v>APAGADO</v>
      </c>
      <c r="AB15">
        <f>ESTADISTICA!AB14</f>
        <v>0</v>
      </c>
      <c r="AC15" t="str">
        <f>ESTADISTICA!AC14</f>
        <v>APAGADO</v>
      </c>
      <c r="AD15" t="str">
        <f>ESTADISTICA!AD14</f>
        <v>APAGADO</v>
      </c>
      <c r="AE15" t="str">
        <f>ESTADISTICA!AE14</f>
        <v>APAGADO</v>
      </c>
      <c r="AF15" t="str">
        <f>ESTADISTICA!AF14</f>
        <v>APAGADO</v>
      </c>
      <c r="AG15" t="str">
        <f>ESTADISTICA!AG14</f>
        <v>APAGADO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 t="str">
        <f>ESTADISTICA!AA15</f>
        <v>APAGADO</v>
      </c>
      <c r="AB16">
        <f>ESTADISTICA!AB15</f>
        <v>0</v>
      </c>
      <c r="AC16" t="str">
        <f>ESTADISTICA!AC15</f>
        <v>APAGADO</v>
      </c>
      <c r="AD16" t="str">
        <f>ESTADISTICA!AD15</f>
        <v>APAGADO</v>
      </c>
      <c r="AE16" t="str">
        <f>ESTADISTICA!AE15</f>
        <v>APAGADO</v>
      </c>
      <c r="AF16" t="str">
        <f>ESTADISTICA!AF15</f>
        <v>APAGADO</v>
      </c>
      <c r="AG16" t="str">
        <f>ESTADISTICA!AG15</f>
        <v>APAGADO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 t="str">
        <f>ESTADISTICA!AC17</f>
        <v>APAGADO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 t="str">
        <f>ESTADISTICA!X27</f>
        <v>APAGADO</v>
      </c>
      <c r="Y28" t="str">
        <f>ESTADISTICA!Y27</f>
        <v>APAGADO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 t="str">
        <f>ESTADISTICA!AE27</f>
        <v>APAGADO</v>
      </c>
      <c r="AF28" t="str">
        <f>ESTADISTICA!AF27</f>
        <v>APAGADO</v>
      </c>
      <c r="AG28" t="str">
        <f>ESTADISTICA!AG27</f>
        <v>APAGADO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 t="str">
        <f>ESTADISTICA!AC31</f>
        <v>APAGADO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 t="str">
        <f>ESTADISTICA!AC32</f>
        <v>APAGADO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 t="str">
        <f>ESTADISTICA!AC33</f>
        <v>APAGADO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 t="str">
        <f>ESTADISTICA!X38</f>
        <v>APAGADO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 t="str">
        <f>ESTADISTICA!N40</f>
        <v>APAGADO</v>
      </c>
      <c r="O41" t="str">
        <f>ESTADISTICA!O40</f>
        <v>APAGADO</v>
      </c>
      <c r="P41" t="str">
        <f>ESTADISTICA!P40</f>
        <v>APAGADO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 t="str">
        <f>ESTADISTICA!X41</f>
        <v>APAGADO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 t="str">
        <f>ESTADISTICA!X46</f>
        <v>APAGADO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 t="str">
        <f>ESTADISTICA!X48</f>
        <v>APAGADO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 t="str">
        <f>ESTADISTICA!AC48</f>
        <v>APAGADO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 t="str">
        <f>ESTADISTICA!X49</f>
        <v>APAGADO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 t="str">
        <f>ESTADISTICA!AE59</f>
        <v>APAGADO</v>
      </c>
      <c r="AF60" t="str">
        <f>ESTADISTICA!AF59</f>
        <v>APAGADO</v>
      </c>
      <c r="AG60" t="str">
        <f>ESTADISTICA!AG59</f>
        <v>APAGADO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 t="str">
        <f>ESTADISTICA!AE60</f>
        <v>APAGADO</v>
      </c>
      <c r="AF61" t="str">
        <f>ESTADISTICA!AF60</f>
        <v>APAGADO</v>
      </c>
      <c r="AG61" t="str">
        <f>ESTADISTICA!AG60</f>
        <v>APAGADO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 t="str">
        <f>ESTADISTICA!AE62</f>
        <v>APAGADO</v>
      </c>
      <c r="AF63" t="str">
        <f>ESTADISTICA!AF62</f>
        <v>APAGADO</v>
      </c>
      <c r="AG63" t="str">
        <f>ESTADISTICA!AG62</f>
        <v>APAGADO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 t="str">
        <f>ESTADISTICA!AE65</f>
        <v>APAGADO</v>
      </c>
      <c r="AF66" t="str">
        <f>ESTADISTICA!AF65</f>
        <v>APAGADO</v>
      </c>
      <c r="AG66" t="str">
        <f>ESTADISTICA!AG65</f>
        <v>APAGADO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 t="str">
        <f>ESTADISTICA!X67</f>
        <v>APAGADO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 t="str">
        <f>ESTADISTICA!AE67</f>
        <v>APAGADO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 t="str">
        <f>ESTADISTICA!AE77</f>
        <v>APAGADO</v>
      </c>
      <c r="AF78" t="str">
        <f>ESTADISTICA!AF77</f>
        <v>APAGADO</v>
      </c>
      <c r="AG78" t="str">
        <f>ESTADISTICA!AG77</f>
        <v>APAGADO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 t="str">
        <f>ESTADISTICA!AC79</f>
        <v>APAGADO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 t="str">
        <f>ESTADISTICA!T86</f>
        <v>APAGADO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 t="str">
        <f>ESTADISTICA!Y86</f>
        <v>APAGADO</v>
      </c>
      <c r="Z87" t="str">
        <f>ESTADISTICA!Z86</f>
        <v>APAGADO</v>
      </c>
      <c r="AA87" t="str">
        <f>ESTADISTICA!AA86</f>
        <v>APAGADO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 t="str">
        <f>ESTADISTICA!AC87</f>
        <v>APAGADO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 t="str">
        <f>ESTADISTICA!AG88</f>
        <v>APAGADO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 t="str">
        <f>ESTADISTICA!U89</f>
        <v>APAGADO</v>
      </c>
      <c r="V90" t="str">
        <f>ESTADISTICA!V89</f>
        <v>APAGADO</v>
      </c>
      <c r="W90" t="str">
        <f>ESTADISTICA!W89</f>
        <v>APAGADO</v>
      </c>
      <c r="X90" t="str">
        <f>ESTADISTICA!X89</f>
        <v>APAGADO</v>
      </c>
      <c r="Y90" t="str">
        <f>ESTADISTICA!Y89</f>
        <v>APAGADO</v>
      </c>
      <c r="Z90" t="str">
        <f>ESTADISTICA!Z89</f>
        <v>APAGADO</v>
      </c>
      <c r="AA90" t="str">
        <f>ESTADISTICA!AA89</f>
        <v>APAGADO</v>
      </c>
      <c r="AB90" t="str">
        <f>ESTADISTICA!AB89</f>
        <v>APAGADO</v>
      </c>
      <c r="AC90" t="str">
        <f>ESTADISTICA!AC89</f>
        <v>APAGADO</v>
      </c>
      <c r="AD90" t="str">
        <f>ESTADISTICA!AD89</f>
        <v>APAGADO</v>
      </c>
      <c r="AE90" t="str">
        <f>ESTADISTICA!AE89</f>
        <v>APAGADO</v>
      </c>
      <c r="AF90" t="str">
        <f>ESTADISTICA!AF89</f>
        <v>APAGADO</v>
      </c>
      <c r="AG90" t="str">
        <f>ESTADISTICA!AG89</f>
        <v>APAGADO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 t="str">
        <f>ESTADISTICA!AC90</f>
        <v>APAGADO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 t="str">
        <f>ESTADISTICA!N91</f>
        <v>APAGADO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 t="str">
        <f>ESTADISTICA!AC92</f>
        <v>APAGADO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 t="str">
        <f>ESTADISTICA!Q99</f>
        <v>APAGADO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 t="str">
        <f>ESTADISTICA!Y101</f>
        <v>APAGADO</v>
      </c>
      <c r="Z102" t="str">
        <f>ESTADISTICA!Z101</f>
        <v>APAGADO</v>
      </c>
      <c r="AA102" t="str">
        <f>ESTADISTICA!AA101</f>
        <v>APAGADO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 t="str">
        <f>ESTADISTICA!Y102</f>
        <v>APAGADO</v>
      </c>
      <c r="Z103" t="str">
        <f>ESTADISTICA!Z102</f>
        <v>APAGADO</v>
      </c>
      <c r="AA103" t="str">
        <f>ESTADISTICA!AA102</f>
        <v>APAGADO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 t="str">
        <f>ESTADISTICA!AA103</f>
        <v>APAGADO</v>
      </c>
      <c r="AB104">
        <f>ESTADISTICA!AB103</f>
        <v>0</v>
      </c>
      <c r="AC104" t="str">
        <f>ESTADISTICA!AC103</f>
        <v>APAGADO</v>
      </c>
      <c r="AD104" t="str">
        <f>ESTADISTICA!AD103</f>
        <v>APAGADO</v>
      </c>
      <c r="AE104" t="str">
        <f>ESTADISTICA!AE103</f>
        <v>APAGADO</v>
      </c>
      <c r="AF104" t="str">
        <f>ESTADISTICA!AF103</f>
        <v>APAGADO</v>
      </c>
      <c r="AG104" t="str">
        <f>ESTADISTICA!AG103</f>
        <v>APAGADO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 t="str">
        <f>ESTADISTICA!S104</f>
        <v>APAGADO</v>
      </c>
      <c r="T105">
        <f>ESTADISTICA!T104</f>
        <v>0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 t="str">
        <f>ESTADISTICA!AA104</f>
        <v>APAGADO</v>
      </c>
      <c r="AB105">
        <f>ESTADISTICA!AB104</f>
        <v>0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 t="str">
        <f>ESTADISTICA!AA105</f>
        <v>APAGADO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 t="str">
        <f>ESTADISTICA!AE105</f>
        <v>APAGADO</v>
      </c>
      <c r="AF106" t="str">
        <f>ESTADISTICA!AF105</f>
        <v>APAGADO</v>
      </c>
      <c r="AG106" t="str">
        <f>ESTADISTICA!AG105</f>
        <v>APAGADO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 t="str">
        <f>ESTADISTICA!S106</f>
        <v>APAGADO</v>
      </c>
      <c r="T107">
        <f>ESTADISTICA!T106</f>
        <v>0</v>
      </c>
      <c r="U107" t="str">
        <f>ESTADISTICA!U106</f>
        <v>APAGADO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 t="str">
        <f>ESTADISTICA!AA106</f>
        <v>APAGADO</v>
      </c>
      <c r="AB107">
        <f>ESTADISTICA!AB106</f>
        <v>0</v>
      </c>
      <c r="AC107" t="str">
        <f>ESTADISTICA!AC106</f>
        <v>APAGADO</v>
      </c>
      <c r="AD107" t="str">
        <f>ESTADISTICA!AD106</f>
        <v>APAGADO</v>
      </c>
      <c r="AE107" t="str">
        <f>ESTADISTICA!AE106</f>
        <v>APAGADO</v>
      </c>
      <c r="AF107" t="str">
        <f>ESTADISTICA!AF106</f>
        <v>APAGADO</v>
      </c>
      <c r="AG107" t="str">
        <f>ESTADISTICA!AG106</f>
        <v>APAGADO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 t="str">
        <f>ESTADISTICA!AC109</f>
        <v>APAGADO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 t="str">
        <f>ESTADISTICA!Z114</f>
        <v xml:space="preserve"> 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 t="str">
        <f>ESTADISTICA!AA119</f>
        <v>APAGADO</v>
      </c>
      <c r="AB120">
        <f>ESTADISTICA!AB119</f>
        <v>0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 t="str">
        <f>ESTADISTICA!AA120</f>
        <v>APAGADO</v>
      </c>
      <c r="AB121">
        <f>ESTADISTICA!AB120</f>
        <v>0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 t="str">
        <f>ESTADISTICA!AG120</f>
        <v>APAGADO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 t="str">
        <f>ESTADISTICA!S127</f>
        <v>APAGADO</v>
      </c>
      <c r="T128" t="str">
        <f>ESTADISTICA!T127</f>
        <v>APAGADO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 t="str">
        <f>ESTADISTICA!Y127</f>
        <v>APAGADO</v>
      </c>
      <c r="Z128" t="str">
        <f>ESTADISTICA!Z127</f>
        <v>APAGADO</v>
      </c>
      <c r="AA128" t="str">
        <f>ESTADISTICA!AA127</f>
        <v>APAGADO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 t="str">
        <f>ESTADISTICA!AD133</f>
        <v>APAGADO</v>
      </c>
      <c r="AE134" t="str">
        <f>ESTADISTICA!AE133</f>
        <v>APAGADO</v>
      </c>
      <c r="AF134" t="str">
        <f>ESTADISTICA!AF133</f>
        <v>APAGADO</v>
      </c>
      <c r="AG134" t="str">
        <f>ESTADISTICA!AG133</f>
        <v>APAGADO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 t="str">
        <f>ESTADISTICA!Y135</f>
        <v>APAGADO</v>
      </c>
      <c r="Z136" t="str">
        <f>ESTADISTICA!Z135</f>
        <v>APAGADO</v>
      </c>
      <c r="AA136" t="str">
        <f>ESTADISTICA!AA135</f>
        <v>APAGADO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 t="str">
        <f>ESTADISTICA!S136</f>
        <v>APAGADO</v>
      </c>
      <c r="T137" t="str">
        <f>ESTADISTICA!T136</f>
        <v>APAGADO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 t="str">
        <f>ESTADISTICA!AA136</f>
        <v>APAGADO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 t="str">
        <f>ESTADISTICA!AA137</f>
        <v>APAGADO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 t="str">
        <f>ESTADISTICA!S138</f>
        <v>APAGADO</v>
      </c>
      <c r="T139" t="str">
        <f>ESTADISTICA!T138</f>
        <v>APAGADO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 t="str">
        <f>ESTADISTICA!Y138</f>
        <v>APAGADO</v>
      </c>
      <c r="Z139" t="str">
        <f>ESTADISTICA!Z138</f>
        <v>APAGADO</v>
      </c>
      <c r="AA139" t="str">
        <f>ESTADISTICA!AA138</f>
        <v>APAGADO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 t="str">
        <f>ESTADISTICA!N139</f>
        <v>APAGADO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 t="str">
        <f>ESTADISTICA!V150</f>
        <v>APAGADO</v>
      </c>
      <c r="W151" t="str">
        <f>ESTADISTICA!W150</f>
        <v>APAGADO</v>
      </c>
      <c r="X151" t="str">
        <f>ESTADISTICA!X150</f>
        <v>APAGADO</v>
      </c>
      <c r="Y151" t="str">
        <f>ESTADISTICA!Y150</f>
        <v>APAGADO</v>
      </c>
      <c r="Z151" t="str">
        <f>ESTADISTICA!Z150</f>
        <v>APAGADO</v>
      </c>
      <c r="AA151" t="str">
        <f>ESTADISTICA!AA150</f>
        <v>APAGADO</v>
      </c>
      <c r="AB151" t="str">
        <f>ESTADISTICA!AB150</f>
        <v>APAGADO</v>
      </c>
      <c r="AC151" t="str">
        <f>ESTADISTICA!AC150</f>
        <v>APAGADO</v>
      </c>
      <c r="AD151" t="str">
        <f>ESTADISTICA!AD150</f>
        <v>APAGADO</v>
      </c>
      <c r="AE151">
        <f>ESTADISTICA!AE150</f>
        <v>0</v>
      </c>
      <c r="AF151" t="str">
        <f>ESTADISTICA!AF150</f>
        <v>APAGADO</v>
      </c>
      <c r="AG151" t="str">
        <f>ESTADISTICA!AG150</f>
        <v>APAGADO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 t="str">
        <f>ESTADISTICA!V152</f>
        <v>APAGADO</v>
      </c>
      <c r="W153">
        <f>ESTADISTICA!W152</f>
        <v>0</v>
      </c>
      <c r="X153" t="str">
        <f>ESTADISTICA!X152</f>
        <v>APAGADO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 t="str">
        <f>ESTADISTICA!AF153</f>
        <v>APAGADO</v>
      </c>
      <c r="AG154" t="str">
        <f>ESTADISTICA!AG153</f>
        <v>APAGADO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 t="str">
        <f>ESTADISTICA!AC155</f>
        <v>APAGADO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 t="str">
        <f>ESTADISTICA!Z156</f>
        <v>APAGADO</v>
      </c>
      <c r="AA157" t="str">
        <f>ESTADISTICA!AA156</f>
        <v>APAGADO</v>
      </c>
      <c r="AB157">
        <f>ESTADISTICA!AB156</f>
        <v>0</v>
      </c>
      <c r="AC157" t="str">
        <f>ESTADISTICA!AC156</f>
        <v>APAGADO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>
        <f>ESTADISTICA!R157</f>
        <v>0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 t="str">
        <f>ESTADISTICA!AC157</f>
        <v>APAGADO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 t="str">
        <f>ESTADISTICA!AE166</f>
        <v>APAGADO</v>
      </c>
      <c r="AF167" t="str">
        <f>ESTADISTICA!AF166</f>
        <v>APAGADO</v>
      </c>
      <c r="AG167" t="str">
        <f>ESTADISTICA!AG166</f>
        <v>APAGADO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 t="str">
        <f>ESTADISTICA!AA168</f>
        <v>APAGADO</v>
      </c>
      <c r="AB169" t="str">
        <f>ESTADISTICA!AB168</f>
        <v>APAGADO</v>
      </c>
      <c r="AC169" t="str">
        <f>ESTADISTICA!AC168</f>
        <v>APAGADO</v>
      </c>
      <c r="AD169" t="str">
        <f>ESTADISTICA!AD168</f>
        <v>APAGADO</v>
      </c>
      <c r="AE169" t="str">
        <f>ESTADISTICA!AE168</f>
        <v>APAGADO</v>
      </c>
      <c r="AF169" t="str">
        <f>ESTADISTICA!AF168</f>
        <v>APAGADO</v>
      </c>
      <c r="AG169" t="str">
        <f>ESTADISTICA!AG168</f>
        <v>APAGADO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 t="str">
        <f>ESTADISTICA!AA170</f>
        <v>APAGADO</v>
      </c>
      <c r="AB171" t="str">
        <f>ESTADISTICA!AB170</f>
        <v>APAGADO</v>
      </c>
      <c r="AC171" t="str">
        <f>ESTADISTICA!AC170</f>
        <v>APAGADO</v>
      </c>
      <c r="AD171" t="str">
        <f>ESTADISTICA!AD170</f>
        <v>APAGADO</v>
      </c>
      <c r="AE171" t="str">
        <f>ESTADISTICA!AE170</f>
        <v>APAGADO</v>
      </c>
      <c r="AF171" t="str">
        <f>ESTADISTICA!AF170</f>
        <v>APAGADO</v>
      </c>
      <c r="AG171" t="str">
        <f>ESTADISTICA!AG170</f>
        <v>APAGADO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 t="str">
        <f>ESTADISTICA!AA171</f>
        <v>APAGADO</v>
      </c>
      <c r="AB172" t="str">
        <f>ESTADISTICA!AB171</f>
        <v>APAGADO</v>
      </c>
      <c r="AC172" t="str">
        <f>ESTADISTICA!AC171</f>
        <v>APAGADO</v>
      </c>
      <c r="AD172" t="str">
        <f>ESTADISTICA!AD171</f>
        <v>APAGADO</v>
      </c>
      <c r="AE172" t="str">
        <f>ESTADISTICA!AE171</f>
        <v>APAGADO</v>
      </c>
      <c r="AF172" t="str">
        <f>ESTADISTICA!AF171</f>
        <v>APAGADO</v>
      </c>
      <c r="AG172" t="str">
        <f>ESTADISTICA!AG171</f>
        <v>APAGADO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 t="str">
        <f>ESTADISTICA!U177</f>
        <v>APAGADO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 t="str">
        <f>ESTADISTICA!Z177</f>
        <v>APAGADO</v>
      </c>
      <c r="AA178" t="str">
        <f>ESTADISTICA!AA177</f>
        <v>APAGADO</v>
      </c>
      <c r="AB178" t="str">
        <f>ESTADISTICA!AB177</f>
        <v>APAGADO</v>
      </c>
      <c r="AC178" t="str">
        <f>ESTADISTICA!AC177</f>
        <v>APAGADO</v>
      </c>
      <c r="AD178" t="str">
        <f>ESTADISTICA!AD177</f>
        <v>APAGADO</v>
      </c>
      <c r="AE178" t="str">
        <f>ESTADISTICA!AE177</f>
        <v>APAGADO</v>
      </c>
      <c r="AF178" t="str">
        <f>ESTADISTICA!AF177</f>
        <v>APAGADO</v>
      </c>
      <c r="AG178" t="str">
        <f>ESTADISTICA!AG177</f>
        <v>APAGADO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 t="str">
        <f>ESTADISTICA!AG188</f>
        <v>APAGADO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 t="str">
        <f>ESTADISTICA!AF189</f>
        <v>APAGADO</v>
      </c>
      <c r="AG190" t="str">
        <f>ESTADISTICA!AG189</f>
        <v>APAGADO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>
        <f>ESTADISTICA!V190</f>
        <v>0</v>
      </c>
      <c r="W191" t="str">
        <f>ESTADISTICA!W190</f>
        <v>APAGADO</v>
      </c>
      <c r="X191">
        <f>ESTADISTICA!X190</f>
        <v>0</v>
      </c>
      <c r="Y191">
        <f>ESTADISTICA!Y190</f>
        <v>0</v>
      </c>
      <c r="Z191">
        <f>ESTADISTICA!Z190</f>
        <v>0</v>
      </c>
      <c r="AA191" t="str">
        <f>ESTADISTICA!AA190</f>
        <v>APAGADO</v>
      </c>
      <c r="AB191" t="str">
        <f>ESTADISTICA!AB190</f>
        <v>APAGADO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 t="str">
        <f>ESTADISTICA!AG190</f>
        <v>APAGADO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 t="str">
        <f>ESTADISTICA!AA191</f>
        <v>APAGADO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 t="str">
        <f>ESTADISTICA!AG191</f>
        <v>APAGADO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 t="str">
        <f>ESTADISTICA!R194</f>
        <v>APAGADO</v>
      </c>
      <c r="S195" t="str">
        <f>ESTADISTICA!S194</f>
        <v>APAGADO</v>
      </c>
      <c r="T195">
        <f>ESTADISTICA!T194</f>
        <v>0</v>
      </c>
      <c r="U195" t="str">
        <f>ESTADISTICA!U194</f>
        <v>APAGADO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 t="str">
        <f>ESTADISTICA!AA194</f>
        <v>APAGADO</v>
      </c>
      <c r="AB195">
        <f>ESTADISTICA!AB194</f>
        <v>0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 t="str">
        <f>ESTADISTICA!AF194</f>
        <v>APAGADO</v>
      </c>
      <c r="AG195" t="str">
        <f>ESTADISTICA!AG194</f>
        <v>APAGADO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 t="str">
        <f>ESTADISTICA!S195</f>
        <v>APAGADO</v>
      </c>
      <c r="T196">
        <f>ESTADISTICA!T195</f>
        <v>0</v>
      </c>
      <c r="U196" t="str">
        <f>ESTADISTICA!U195</f>
        <v>APAGADO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 t="str">
        <f>ESTADISTICA!AA195</f>
        <v>APAGADO</v>
      </c>
      <c r="AB196">
        <f>ESTADISTICA!AB195</f>
        <v>0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 t="str">
        <f>ESTADISTICA!AF195</f>
        <v>APAGADO</v>
      </c>
      <c r="AG196" t="str">
        <f>ESTADISTICA!AG195</f>
        <v>APAGADO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 t="str">
        <f>ESTADISTICA!P196</f>
        <v>APAGADO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 t="str">
        <f>ESTADISTICA!AC196</f>
        <v>APAGADO</v>
      </c>
      <c r="AD197" t="str">
        <f>ESTADISTICA!AD196</f>
        <v>APAGADO</v>
      </c>
      <c r="AE197" t="str">
        <f>ESTADISTICA!AE196</f>
        <v>APAGADO</v>
      </c>
      <c r="AF197" t="str">
        <f>ESTADISTICA!AF196</f>
        <v>APAGADO</v>
      </c>
      <c r="AG197" t="str">
        <f>ESTADISTICA!AG196</f>
        <v>APAGADO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 t="str">
        <f>ESTADISTICA!AC197</f>
        <v>APAGADO</v>
      </c>
      <c r="AD198" t="str">
        <f>ESTADISTICA!AD197</f>
        <v>APAGADO</v>
      </c>
      <c r="AE198" t="str">
        <f>ESTADISTICA!AE197</f>
        <v>APAGADO</v>
      </c>
      <c r="AF198" t="str">
        <f>ESTADISTICA!AF197</f>
        <v>APAGADO</v>
      </c>
      <c r="AG198" t="str">
        <f>ESTADISTICA!AG197</f>
        <v>APAGADO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 t="str">
        <f>ESTADISTICA!AC198</f>
        <v>APAGADO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 t="str">
        <f>ESTADISTICA!AC199</f>
        <v>APAGADO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>
        <f>ESTADISTICA!AA203</f>
        <v>0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 t="str">
        <f>ESTADISTICA!AF203</f>
        <v>APAGADO</v>
      </c>
      <c r="AG204" t="str">
        <f>ESTADISTICA!AG203</f>
        <v>APAGADO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 t="str">
        <f>ESTADISTICA!AB204</f>
        <v>APAGADO</v>
      </c>
      <c r="AC205" t="str">
        <f>ESTADISTICA!AC204</f>
        <v>APAGADO</v>
      </c>
      <c r="AD205" t="str">
        <f>ESTADISTICA!AD204</f>
        <v>APAGADO</v>
      </c>
      <c r="AE205" t="str">
        <f>ESTADISTICA!AE204</f>
        <v>APAGADO</v>
      </c>
      <c r="AF205" t="str">
        <f>ESTADISTICA!AF204</f>
        <v>APAGADO</v>
      </c>
      <c r="AG205" t="str">
        <f>ESTADISTICA!AG204</f>
        <v>APAGADO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>
        <f>ESTADISTICA!AD205</f>
        <v>0</v>
      </c>
      <c r="AE206" t="str">
        <f>ESTADISTICA!AE205</f>
        <v>APAGADO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 t="str">
        <f>ESTADISTICA!AF207</f>
        <v>APAGADO</v>
      </c>
      <c r="AG208" t="str">
        <f>ESTADISTICA!AG207</f>
        <v>APAGADO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 t="str">
        <f>ESTADISTICA!Z208</f>
        <v>APAGADO</v>
      </c>
      <c r="AA209" t="str">
        <f>ESTADISTICA!AA208</f>
        <v>APAGADO</v>
      </c>
      <c r="AB209">
        <f>ESTADISTICA!AB208</f>
        <v>0</v>
      </c>
      <c r="AC209" t="str">
        <f>ESTADISTICA!AC208</f>
        <v>APAGADO</v>
      </c>
      <c r="AD209" t="str">
        <f>ESTADISTICA!AD208</f>
        <v>APAGADO</v>
      </c>
      <c r="AE209" t="str">
        <f>ESTADISTICA!AE208</f>
        <v>APAGADO</v>
      </c>
      <c r="AF209" t="str">
        <f>ESTADISTICA!AF208</f>
        <v>APAGADO</v>
      </c>
      <c r="AG209" t="str">
        <f>ESTADISTICA!AG208</f>
        <v>APAGADO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>
        <f>ESTADISTICA!AB209</f>
        <v>0</v>
      </c>
      <c r="AC210" t="str">
        <f>ESTADISTICA!AC209</f>
        <v>APAGADO</v>
      </c>
      <c r="AD210" t="str">
        <f>ESTADISTICA!AD209</f>
        <v>APAGADO</v>
      </c>
      <c r="AE210" t="str">
        <f>ESTADISTICA!AE209</f>
        <v>APAGADO</v>
      </c>
      <c r="AF210" t="str">
        <f>ESTADISTICA!AF209</f>
        <v>APAGADO</v>
      </c>
      <c r="AG210" t="str">
        <f>ESTADISTICA!AG209</f>
        <v>APAGADO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 t="str">
        <f>ESTADISTICA!AG211</f>
        <v>APAGADO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 t="str">
        <f>ESTADISTICA!AG212</f>
        <v>APAGADO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 t="str">
        <f>ESTADISTICA!AG213</f>
        <v>APAGADO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 t="str">
        <f>ESTADISTICA!AG214</f>
        <v>APAGADO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 t="str">
        <f>ESTADISTICA!AG215</f>
        <v>APAGADO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 t="str">
        <f>ESTADISTICA!AG216</f>
        <v>APAGADO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 t="str">
        <f>ESTADISTICA!AG217</f>
        <v>APAGADO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 t="str">
        <f>ESTADISTICA!AG218</f>
        <v>APAGADO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 t="str">
        <f>ESTADISTICA!AG219</f>
        <v>APAGADO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 t="str">
        <f>ESTADISTICA!AG220</f>
        <v>APAGADO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 t="str">
        <f>ESTADISTICA!AE221</f>
        <v>APAGADO</v>
      </c>
      <c r="AF222" t="str">
        <f>ESTADISTICA!AF221</f>
        <v>APAGADO</v>
      </c>
      <c r="AG222" t="str">
        <f>ESTADISTICA!AG221</f>
        <v>APAGADO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 t="str">
        <f>ESTADISTICA!AD227</f>
        <v>APAGADO</v>
      </c>
      <c r="AE228" t="str">
        <f>ESTADISTICA!AE227</f>
        <v>APAGADO</v>
      </c>
      <c r="AF228" t="str">
        <f>ESTADISTICA!AF227</f>
        <v>APAGADO</v>
      </c>
      <c r="AG228" t="str">
        <f>ESTADISTICA!AG227</f>
        <v>APAGADO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 t="str">
        <f>ESTADISTICA!Q232</f>
        <v>APAGADO</v>
      </c>
      <c r="R233" t="str">
        <f>ESTADISTICA!R232</f>
        <v>APAGADO</v>
      </c>
      <c r="S233" t="str">
        <f>ESTADISTICA!S232</f>
        <v>APAGADO</v>
      </c>
      <c r="T233" t="str">
        <f>ESTADISTICA!T232</f>
        <v>APAGADO</v>
      </c>
      <c r="U233" t="str">
        <f>ESTADISTICA!U232</f>
        <v>APAGADO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 t="str">
        <f>ESTADISTICA!AC232</f>
        <v>APAGADO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 t="str">
        <f>ESTADISTICA!AC233</f>
        <v>APAGADO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 t="str">
        <f>ESTADISTICA!AC234</f>
        <v>APAGADO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 t="str">
        <f>ESTADISTICA!AC236</f>
        <v>APAGADO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 t="str">
        <f>ESTADISTICA!AC237</f>
        <v>APAGADO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 t="str">
        <f>ESTADISTICA!Q238</f>
        <v>APAGADO</v>
      </c>
      <c r="R239" t="str">
        <f>ESTADISTICA!R238</f>
        <v>APAGADO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 t="str">
        <f>ESTADISTICA!AC238</f>
        <v>APAGADO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 t="str">
        <f>ESTADISTICA!AC240</f>
        <v>APAGADO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 t="str">
        <f>ESTADISTICA!AC241</f>
        <v>APAGADO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 t="str">
        <f>ESTADISTICA!S243</f>
        <v>APAGADO</v>
      </c>
      <c r="T244" t="str">
        <f>ESTADISTICA!T243</f>
        <v>APAGADO</v>
      </c>
      <c r="U244" t="str">
        <f>ESTADISTICA!U243</f>
        <v>APAGADO</v>
      </c>
      <c r="V244">
        <f>ESTADISTICA!V243</f>
        <v>0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 t="str">
        <f>ESTADISTICA!AA243</f>
        <v>APAGADO</v>
      </c>
      <c r="AB244" t="str">
        <f>ESTADISTICA!AB243</f>
        <v>APAGADO</v>
      </c>
      <c r="AC244" t="str">
        <f>ESTADISTICA!AC243</f>
        <v>APAGADO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 t="str">
        <f>ESTADISTICA!J247</f>
        <v>APAGADO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 t="str">
        <f>ESTADISTICA!X247</f>
        <v>APAGADO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 t="str">
        <f>ESTADISTICA!AG255</f>
        <v>APAGADO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 t="str">
        <f>ESTADISTICA!AG256</f>
        <v>APAGADO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 t="str">
        <f>ESTADISTICA!K258</f>
        <v>APAGADO</v>
      </c>
      <c r="L259" t="str">
        <f>ESTADISTICA!L258</f>
        <v>APAGADO</v>
      </c>
      <c r="M259" t="str">
        <f>ESTADISTICA!M258</f>
        <v>APAGADO</v>
      </c>
      <c r="N259" t="str">
        <f>ESTADISTICA!N258</f>
        <v>APAGADO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 t="str">
        <f>ESTADISTICA!U259</f>
        <v>APAGADO</v>
      </c>
      <c r="V260" t="str">
        <f>ESTADISTICA!V259</f>
        <v>APAGADO</v>
      </c>
      <c r="W260" t="str">
        <f>ESTADISTICA!W259</f>
        <v>APAGADO</v>
      </c>
      <c r="X260" t="str">
        <f>ESTADISTICA!X259</f>
        <v>APAGADO</v>
      </c>
      <c r="Y260" t="str">
        <f>ESTADISTICA!Y259</f>
        <v>APAGADO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 t="str">
        <f>ESTADISTICA!N261</f>
        <v>APAGADO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 t="str">
        <f>ESTADISTICA!W261</f>
        <v>APAGADO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 t="str">
        <f>ESTADISTICA!W262</f>
        <v>APAGADO</v>
      </c>
      <c r="X263" t="str">
        <f>ESTADISTICA!X262</f>
        <v>APAGADO</v>
      </c>
      <c r="Y263" t="str">
        <f>ESTADISTICA!Y262</f>
        <v>APAGADO</v>
      </c>
      <c r="Z263" t="str">
        <f>ESTADISTICA!Z262</f>
        <v>APAGADO</v>
      </c>
      <c r="AA263" t="str">
        <f>ESTADISTICA!AA262</f>
        <v>APAGADO</v>
      </c>
      <c r="AB263" t="str">
        <f>ESTADISTICA!AB262</f>
        <v>APAGADO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 t="str">
        <f>ESTADISTICA!AB263</f>
        <v>APAGADO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 t="str">
        <f>ESTADISTICA!F270</f>
        <v>APAGADO</v>
      </c>
      <c r="G271" t="str">
        <f>ESTADISTICA!G270</f>
        <v>APAGADO</v>
      </c>
      <c r="H271" t="str">
        <f>ESTADISTICA!H270</f>
        <v>APAGADO</v>
      </c>
      <c r="I271" t="str">
        <f>ESTADISTICA!I270</f>
        <v>APAGADO</v>
      </c>
      <c r="J271" t="str">
        <f>ESTADISTICA!J270</f>
        <v>APAGADO</v>
      </c>
      <c r="K271" t="str">
        <f>ESTADISTICA!K270</f>
        <v>APAGADO</v>
      </c>
      <c r="L271">
        <f>ESTADISTICA!L270</f>
        <v>0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 t="str">
        <f>ESTADISTICA!Q270</f>
        <v>APAGADO</v>
      </c>
      <c r="R271" t="str">
        <f>ESTADISTICA!R270</f>
        <v>APAGADO</v>
      </c>
      <c r="S271" t="str">
        <f>ESTADISTICA!S270</f>
        <v>APAGADO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 t="str">
        <f>ESTADISTICA!F271</f>
        <v>APAGADO</v>
      </c>
      <c r="G272" t="str">
        <f>ESTADISTICA!G271</f>
        <v>APAGADO</v>
      </c>
      <c r="H272" t="str">
        <f>ESTADISTICA!H271</f>
        <v>APAGADO</v>
      </c>
      <c r="I272" t="str">
        <f>ESTADISTICA!I271</f>
        <v>APAGADO</v>
      </c>
      <c r="J272" t="str">
        <f>ESTADISTICA!J271</f>
        <v>APAGADO</v>
      </c>
      <c r="K272" t="str">
        <f>ESTADISTICA!K271</f>
        <v>APAGADO</v>
      </c>
      <c r="L272">
        <f>ESTADISTICA!L271</f>
        <v>0</v>
      </c>
      <c r="M272" t="str">
        <f>ESTADISTICA!M271</f>
        <v>APAGADO</v>
      </c>
      <c r="N272" t="str">
        <f>ESTADISTICA!N271</f>
        <v>APAGADO</v>
      </c>
      <c r="O272" t="str">
        <f>ESTADISTICA!O271</f>
        <v>APAGADO</v>
      </c>
      <c r="P272" t="str">
        <f>ESTADISTICA!P271</f>
        <v>APAGADO</v>
      </c>
      <c r="Q272">
        <f>ESTADISTICA!Q271</f>
        <v>0</v>
      </c>
      <c r="R272" t="str">
        <f>ESTADISTICA!R271</f>
        <v>APAGADO</v>
      </c>
      <c r="S272" t="str">
        <f>ESTADISTICA!S271</f>
        <v>APAGADO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 t="str">
        <f>ESTADISTICA!G275</f>
        <v>APAGADO</v>
      </c>
      <c r="H276" t="str">
        <f>ESTADISTICA!H275</f>
        <v>APAGADO</v>
      </c>
      <c r="I276" t="str">
        <f>ESTADISTICA!I275</f>
        <v>APAGADO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 t="str">
        <f>ESTADISTICA!X275</f>
        <v>APAGADO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 t="str">
        <f>ESTADISTICA!AC276</f>
        <v>APAGADO</v>
      </c>
      <c r="AD277">
        <f>ESTADISTICA!AD276</f>
        <v>0</v>
      </c>
      <c r="AE277">
        <f>ESTADISTICA!AE276</f>
        <v>0</v>
      </c>
      <c r="AF277" t="str">
        <f>ESTADISTICA!AF276</f>
        <v>APAGADO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 t="str">
        <f>ESTADISTICA!AE277</f>
        <v>APAGADO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 t="str">
        <f>ESTADISTICA!Q278</f>
        <v>APAGADO</v>
      </c>
      <c r="R279" t="str">
        <f>ESTADISTICA!R278</f>
        <v>APAGADO</v>
      </c>
      <c r="S279" t="str">
        <f>ESTADISTICA!S278</f>
        <v>APAGADO</v>
      </c>
      <c r="T279" t="str">
        <f>ESTADISTICA!T278</f>
        <v>APAGADO</v>
      </c>
      <c r="U279" t="str">
        <f>ESTADISTICA!U278</f>
        <v>APAGADO</v>
      </c>
      <c r="V279" t="str">
        <f>ESTADISTICA!V278</f>
        <v>APAGADO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 t="str">
        <f>ESTADISTICA!Z278</f>
        <v>APAGADO</v>
      </c>
      <c r="AA279" t="str">
        <f>ESTADISTICA!AA278</f>
        <v>APAGADO</v>
      </c>
      <c r="AB279" t="str">
        <f>ESTADISTICA!AB278</f>
        <v>APAGADO</v>
      </c>
      <c r="AC279" t="str">
        <f>ESTADISTICA!AC278</f>
        <v>APAGADO</v>
      </c>
      <c r="AD279" t="str">
        <f>ESTADISTICA!AD278</f>
        <v>APAGADO</v>
      </c>
      <c r="AE279" t="str">
        <f>ESTADISTICA!AE278</f>
        <v>APAGADO</v>
      </c>
      <c r="AF279" t="str">
        <f>ESTADISTICA!AF278</f>
        <v>APAGADO</v>
      </c>
      <c r="AG279" t="str">
        <f>ESTADISTICA!AG278</f>
        <v>APAGADO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 t="str">
        <f>ESTADISTICA!P279</f>
        <v>APAGADO</v>
      </c>
      <c r="Q280" t="str">
        <f>ESTADISTICA!Q279</f>
        <v>APAGADO</v>
      </c>
      <c r="R280" t="str">
        <f>ESTADISTICA!R279</f>
        <v>APAGADO</v>
      </c>
      <c r="S280" t="str">
        <f>ESTADISTICA!S279</f>
        <v>APAGADO</v>
      </c>
      <c r="T280" t="str">
        <f>ESTADISTICA!T279</f>
        <v>APAGADO</v>
      </c>
      <c r="U280" t="str">
        <f>ESTADISTICA!U279</f>
        <v>APAGADO</v>
      </c>
      <c r="V280" t="str">
        <f>ESTADISTICA!V279</f>
        <v>APAGADO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 t="str">
        <f>ESTADISTICA!Z279</f>
        <v>APAGADO</v>
      </c>
      <c r="AA280" t="str">
        <f>ESTADISTICA!AA279</f>
        <v>APAGADO</v>
      </c>
      <c r="AB280">
        <f>ESTADISTICA!AB279</f>
        <v>0</v>
      </c>
      <c r="AC280" t="str">
        <f>ESTADISTICA!AC279</f>
        <v>APAGADO</v>
      </c>
      <c r="AD280" t="str">
        <f>ESTADISTICA!AD279</f>
        <v>APAGADO</v>
      </c>
      <c r="AE280" t="str">
        <f>ESTADISTICA!AE279</f>
        <v>APAGADO</v>
      </c>
      <c r="AF280" t="str">
        <f>ESTADISTICA!AF279</f>
        <v>APAGADO</v>
      </c>
      <c r="AG280" t="str">
        <f>ESTADISTICA!AG279</f>
        <v>APAGADO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>
        <f>ESTADISTICA!AB281</f>
        <v>0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 t="str">
        <f>ESTADISTICA!AG281</f>
        <v>APAGADO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>
        <f>ESTADISTICA!AB282</f>
        <v>0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 t="str">
        <f>ESTADISTICA!AG283</f>
        <v>APAGADO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 t="str">
        <f>ESTADISTICA!AG284</f>
        <v>APAGADO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 t="str">
        <f>ESTADISTICA!P285</f>
        <v>APAGADO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 t="str">
        <f>ESTADISTICA!AC285</f>
        <v>APAGADO</v>
      </c>
      <c r="AD286">
        <f>ESTADISTICA!AD285</f>
        <v>0</v>
      </c>
      <c r="AE286">
        <f>ESTADISTICA!AE285</f>
        <v>0</v>
      </c>
      <c r="AF286" t="str">
        <f>ESTADISTICA!AF285</f>
        <v>APAGADO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 t="str">
        <f>ESTADISTICA!AD287</f>
        <v>APAGADO</v>
      </c>
      <c r="AE288">
        <f>ESTADISTICA!AE287</f>
        <v>0</v>
      </c>
      <c r="AF288">
        <f>ESTADISTICA!AF287</f>
        <v>0</v>
      </c>
      <c r="AG288" t="str">
        <f>ESTADISTICA!AG287</f>
        <v>APAGADO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 t="str">
        <f>ESTADISTICA!AC288</f>
        <v>APAGADO</v>
      </c>
      <c r="AD289" t="str">
        <f>ESTADISTICA!AD288</f>
        <v>APAGADO</v>
      </c>
      <c r="AE289">
        <f>ESTADISTICA!AE288</f>
        <v>0</v>
      </c>
      <c r="AF289" t="str">
        <f>ESTADISTICA!AF288</f>
        <v>APAGADO</v>
      </c>
      <c r="AG289" t="str">
        <f>ESTADISTICA!AG288</f>
        <v>APAGADO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 t="str">
        <f>ESTADISTICA!AC289</f>
        <v>APAGADO</v>
      </c>
      <c r="AD290" t="str">
        <f>ESTADISTICA!AD289</f>
        <v>APAGADO</v>
      </c>
      <c r="AE290" t="str">
        <f>ESTADISTICA!AE289</f>
        <v>APAGADO</v>
      </c>
      <c r="AF290" t="str">
        <f>ESTADISTICA!AF289</f>
        <v>APAGADO</v>
      </c>
      <c r="AG290" t="str">
        <f>ESTADISTICA!AG289</f>
        <v>APAGADO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 t="str">
        <f>ESTADISTICA!AC290</f>
        <v>APAGADO</v>
      </c>
      <c r="AD291" t="str">
        <f>ESTADISTICA!AD290</f>
        <v>APAGADO</v>
      </c>
      <c r="AE291" t="str">
        <f>ESTADISTICA!AE290</f>
        <v>APAGADO</v>
      </c>
      <c r="AF291" t="str">
        <f>ESTADISTICA!AF290</f>
        <v>APAGADO</v>
      </c>
      <c r="AG291" t="str">
        <f>ESTADISTICA!AG290</f>
        <v>APAGADO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 t="str">
        <f>ESTADISTICA!AC291</f>
        <v>APAGADO</v>
      </c>
      <c r="AD292" t="str">
        <f>ESTADISTICA!AD291</f>
        <v>APAGADO</v>
      </c>
      <c r="AE292" t="str">
        <f>ESTADISTICA!AE291</f>
        <v>APAGADO</v>
      </c>
      <c r="AF292" t="str">
        <f>ESTADISTICA!AF291</f>
        <v>APAGADO</v>
      </c>
      <c r="AG292" t="str">
        <f>ESTADISTICA!AG291</f>
        <v>APAGADO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 t="str">
        <f>ESTADISTICA!AC292</f>
        <v>APAGADO</v>
      </c>
      <c r="AD293" t="str">
        <f>ESTADISTICA!AD292</f>
        <v>APAGADO</v>
      </c>
      <c r="AE293" t="str">
        <f>ESTADISTICA!AE292</f>
        <v>APAGADO</v>
      </c>
      <c r="AF293" t="str">
        <f>ESTADISTICA!AF292</f>
        <v>APAGADO</v>
      </c>
      <c r="AG293" t="str">
        <f>ESTADISTICA!AG292</f>
        <v>APAGADO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 t="str">
        <f>ESTADISTICA!P293</f>
        <v>APAGADO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 t="str">
        <f>ESTADISTICA!K294</f>
        <v>APAGADO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 t="str">
        <f>ESTADISTICA!AC294</f>
        <v>APAGADO</v>
      </c>
      <c r="AD295" t="str">
        <f>ESTADISTICA!AD294</f>
        <v>APAGADO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 t="str">
        <f>ESTADISTICA!AC300</f>
        <v>APAGADO</v>
      </c>
      <c r="AD301" t="str">
        <f>ESTADISTICA!AD300</f>
        <v>APAGADO</v>
      </c>
      <c r="AE301" t="str">
        <f>ESTADISTICA!AE300</f>
        <v>APAGADO</v>
      </c>
      <c r="AF301" t="str">
        <f>ESTADISTICA!AF300</f>
        <v>APAGADO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 t="str">
        <f>ESTADISTICA!T301</f>
        <v>APAGADO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 t="str">
        <f>ESTADISTICA!Y301</f>
        <v>APAGADO</v>
      </c>
      <c r="Z302" t="str">
        <f>ESTADISTICA!Z301</f>
        <v>APAGADO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 t="str">
        <f>ESTADISTICA!S302</f>
        <v>APAGADO</v>
      </c>
      <c r="T303" t="str">
        <f>ESTADISTICA!T302</f>
        <v>APAGADO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 t="str">
        <f>ESTADISTICA!Y302</f>
        <v>APAGADO</v>
      </c>
      <c r="Z303" t="str">
        <f>ESTADISTICA!Z302</f>
        <v>APAGADO</v>
      </c>
      <c r="AA303" t="str">
        <f>ESTADISTICA!AA302</f>
        <v>APAGADO</v>
      </c>
      <c r="AB303">
        <f>ESTADISTICA!AB302</f>
        <v>0</v>
      </c>
      <c r="AC303" t="str">
        <f>ESTADISTICA!AC302</f>
        <v>APAGADO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 t="str">
        <f>ESTADISTICA!P303</f>
        <v>APAGADO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 t="str">
        <f>ESTADISTICA!Y303</f>
        <v>APAGADO</v>
      </c>
      <c r="Z304" t="str">
        <f>ESTADISTICA!Z303</f>
        <v>APAGADO</v>
      </c>
      <c r="AA304" t="str">
        <f>ESTADISTICA!AA303</f>
        <v>APAGADO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 t="str">
        <f>ESTADISTICA!P304</f>
        <v>APAGADO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 t="str">
        <f>ESTADISTICA!Y304</f>
        <v>APAGADO</v>
      </c>
      <c r="Z305" t="str">
        <f>ESTADISTICA!Z304</f>
        <v>APAGADO</v>
      </c>
      <c r="AA305" t="str">
        <f>ESTADISTICA!AA304</f>
        <v>APAGADO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 t="str">
        <f>ESTADISTICA!V308</f>
        <v>APAGADO</v>
      </c>
      <c r="W309" t="str">
        <f>ESTADISTICA!W308</f>
        <v>APAGADO</v>
      </c>
      <c r="X309" t="str">
        <f>ESTADISTICA!X308</f>
        <v>APAGADO</v>
      </c>
      <c r="Y309" t="str">
        <f>ESTADISTICA!Y308</f>
        <v>APAGADO</v>
      </c>
      <c r="Z309" t="str">
        <f>ESTADISTICA!Z308</f>
        <v>APAGADO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 t="str">
        <f>ESTADISTICA!W309</f>
        <v>APAGADO</v>
      </c>
      <c r="X310" t="str">
        <f>ESTADISTICA!X309</f>
        <v>APAGADO</v>
      </c>
      <c r="Y310" t="str">
        <f>ESTADISTICA!Y309</f>
        <v>APAGADO</v>
      </c>
      <c r="Z310" t="str">
        <f>ESTADISTICA!Z309</f>
        <v>APAGADO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 t="str">
        <f>ESTADISTICA!W310</f>
        <v>APAGADO</v>
      </c>
      <c r="X311" t="str">
        <f>ESTADISTICA!X310</f>
        <v>APAGADO</v>
      </c>
      <c r="Y311" t="str">
        <f>ESTADISTICA!Y310</f>
        <v>APAGADO</v>
      </c>
      <c r="Z311" t="str">
        <f>ESTADISTICA!Z310</f>
        <v>APAGADO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 t="str">
        <f>ESTADISTICA!AC311</f>
        <v>APAGADO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 t="str">
        <f>ESTADISTICA!F318</f>
        <v>APAGADO</v>
      </c>
      <c r="G319" t="str">
        <f>ESTADISTICA!G318</f>
        <v>APAGADO</v>
      </c>
      <c r="H319" t="str">
        <f>ESTADISTICA!H318</f>
        <v>APAGADO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 t="str">
        <f>ESTADISTICA!U318</f>
        <v>APAGADO</v>
      </c>
      <c r="V319" t="str">
        <f>ESTADISTICA!V318</f>
        <v>APAGADO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 t="str">
        <f>ESTADISTICA!AA318</f>
        <v>APAGADO</v>
      </c>
      <c r="AB319" t="str">
        <f>ESTADISTICA!AB318</f>
        <v>APAGADO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 t="str">
        <f>ESTADISTICA!U319</f>
        <v>APAGADO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 t="str">
        <f>ESTADISTICA!AA319</f>
        <v>APAGADO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 t="str">
        <f>ESTADISTICA!X320</f>
        <v>APAGADO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>
        <f>ESTADISTICA!X321</f>
        <v>0</v>
      </c>
      <c r="Y322">
        <f>ESTADISTICA!Y321</f>
        <v>0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>
        <f>ESTADISTICA!AC321</f>
        <v>0</v>
      </c>
      <c r="AD322" t="str">
        <f>ESTADISTICA!AD321</f>
        <v>APAGADO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 t="str">
        <f>ESTADISTICA!K327</f>
        <v>APAGADO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>
        <f>ESTADISTICA!P327</f>
        <v>0</v>
      </c>
      <c r="Q328">
        <f>ESTADISTICA!Q327</f>
        <v>0</v>
      </c>
      <c r="R328">
        <f>ESTADISTICA!R327</f>
        <v>0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 t="str">
        <f>ESTADISTICA!AC329</f>
        <v>APAGADO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 t="str">
        <f>ESTADISTICA!M330</f>
        <v>APAGADO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 t="str">
        <f>ESTADISTICA!AC334</f>
        <v>APAGADO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 t="str">
        <f>ESTADISTICA!AC335</f>
        <v>APAGADO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 t="str">
        <f>ESTADISTICA!U336</f>
        <v>APAGADO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 t="str">
        <f>ESTADISTICA!AC336</f>
        <v>APAGADO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 t="str">
        <f>ESTADISTICA!AE339</f>
        <v>APAGADO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 t="str">
        <f>ESTADISTICA!AG342</f>
        <v>APAGADO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 t="str">
        <f>ESTADISTICA!AG343</f>
        <v>APAGADO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 t="str">
        <f>ESTADISTICA!AG344</f>
        <v>APAGADO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 t="str">
        <f>ESTADISTICA!AG345</f>
        <v>APAGADO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 t="str">
        <f>ESTADISTICA!S346</f>
        <v>APAGADO</v>
      </c>
      <c r="T347" t="str">
        <f>ESTADISTICA!T346</f>
        <v>APAGADO</v>
      </c>
      <c r="U347" t="str">
        <f>ESTADISTICA!U346</f>
        <v>APAGADO</v>
      </c>
      <c r="V347" t="str">
        <f>ESTADISTICA!V346</f>
        <v>APAGADO</v>
      </c>
      <c r="W347" t="str">
        <f>ESTADISTICA!W346</f>
        <v>APAGADO</v>
      </c>
      <c r="X347" t="str">
        <f>ESTADISTICA!X346</f>
        <v>APAGADO</v>
      </c>
      <c r="Y347" t="str">
        <f>ESTADISTICA!Y346</f>
        <v>APAGADO</v>
      </c>
      <c r="Z347" t="str">
        <f>ESTADISTICA!Z346</f>
        <v>APAGADO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 t="str">
        <f>ESTADISTICA!AG346</f>
        <v>APAGADO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>
        <f>ESTADISTICA!J347</f>
        <v>0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>
        <f>ESTADISTICA!N347</f>
        <v>0</v>
      </c>
      <c r="O348">
        <f>ESTADISTICA!O347</f>
        <v>0</v>
      </c>
      <c r="P348">
        <f>ESTADISTICA!P347</f>
        <v>0</v>
      </c>
      <c r="Q348" t="str">
        <f>ESTADISTICA!Q347</f>
        <v>APAGADO</v>
      </c>
      <c r="R348" t="str">
        <f>ESTADISTICA!R347</f>
        <v>APAGADO</v>
      </c>
      <c r="S348">
        <f>ESTADISTICA!S347</f>
        <v>0</v>
      </c>
      <c r="T348">
        <f>ESTADISTICA!T347</f>
        <v>0</v>
      </c>
      <c r="U348" t="str">
        <f>ESTADISTICA!U347</f>
        <v>APAGADO</v>
      </c>
      <c r="V348" t="str">
        <f>ESTADISTICA!V347</f>
        <v>APAGADO</v>
      </c>
      <c r="W348" t="str">
        <f>ESTADISTICA!W347</f>
        <v>APAGADO</v>
      </c>
      <c r="X348" t="str">
        <f>ESTADISTICA!X347</f>
        <v>APAGADO</v>
      </c>
      <c r="Y348" t="str">
        <f>ESTADISTICA!Y347</f>
        <v>APAGADO</v>
      </c>
      <c r="Z348" t="str">
        <f>ESTADISTICA!Z347</f>
        <v>APAGADO</v>
      </c>
      <c r="AA348" t="str">
        <f>ESTADISTICA!AA347</f>
        <v>APAGADO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 t="str">
        <f>ESTADISTICA!AE349</f>
        <v>APAGADO</v>
      </c>
      <c r="AF350" t="str">
        <f>ESTADISTICA!AF349</f>
        <v>APAGADO</v>
      </c>
      <c r="AG350" t="str">
        <f>ESTADISTICA!AG349</f>
        <v>APAGADO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 t="str">
        <f>ESTADISTICA!AC352</f>
        <v>APAGADO</v>
      </c>
      <c r="AD353">
        <f>ESTADISTICA!AD352</f>
        <v>0</v>
      </c>
      <c r="AE353" t="str">
        <f>ESTADISTICA!AE352</f>
        <v>APAGADO</v>
      </c>
      <c r="AF353" t="str">
        <f>ESTADISTICA!AF352</f>
        <v>APAGADO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 t="str">
        <f>ESTADISTICA!AC355</f>
        <v>APAGADO</v>
      </c>
      <c r="AD356" t="str">
        <f>ESTADISTICA!AD355</f>
        <v>APAGADO</v>
      </c>
      <c r="AE356" t="str">
        <f>ESTADISTICA!AE355</f>
        <v>APAGADO</v>
      </c>
      <c r="AF356" t="str">
        <f>ESTADISTICA!AF355</f>
        <v>APAGADO</v>
      </c>
      <c r="AG356" t="str">
        <f>ESTADISTICA!AG355</f>
        <v>APAGADO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 t="str">
        <f>ESTADISTICA!AG360</f>
        <v>APAGADO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 t="str">
        <f>ESTADISTICA!AA366</f>
        <v>APAGADO</v>
      </c>
      <c r="AB367" t="str">
        <f>ESTADISTICA!AB366</f>
        <v>APAGADO</v>
      </c>
      <c r="AC367" t="str">
        <f>ESTADISTICA!AC366</f>
        <v>APAGADO</v>
      </c>
      <c r="AD367" t="str">
        <f>ESTADISTICA!AD366</f>
        <v>APAGADO</v>
      </c>
      <c r="AE367" t="str">
        <f>ESTADISTICA!AE366</f>
        <v>APAGADO</v>
      </c>
      <c r="AF367" t="str">
        <f>ESTADISTICA!AF366</f>
        <v>APAGADO</v>
      </c>
      <c r="AG367" t="str">
        <f>ESTADISTICA!AG366</f>
        <v>APAGADO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 t="str">
        <f>ESTADISTICA!U367</f>
        <v>APAGADO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 t="str">
        <f>ESTADISTICA!AC368</f>
        <v>APAGADO</v>
      </c>
      <c r="AD369">
        <f>ESTADISTICA!AD368</f>
        <v>0</v>
      </c>
      <c r="AE369">
        <f>ESTADISTICA!AE368</f>
        <v>0</v>
      </c>
      <c r="AF369">
        <f>ESTADISTICA!AF368</f>
        <v>0</v>
      </c>
      <c r="AG369" t="str">
        <f>ESTADISTICA!AG368</f>
        <v>APAGADO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 t="str">
        <f>ESTADISTICA!AC369</f>
        <v>APAGADO</v>
      </c>
      <c r="AD370">
        <f>ESTADISTICA!AD369</f>
        <v>0</v>
      </c>
      <c r="AE370">
        <f>ESTADISTICA!AE369</f>
        <v>0</v>
      </c>
      <c r="AF370">
        <f>ESTADISTICA!AF369</f>
        <v>0</v>
      </c>
      <c r="AG370" t="str">
        <f>ESTADISTICA!AG369</f>
        <v>APAGADO</v>
      </c>
    </row>
    <row r="371" spans="1:33" hidden="1" x14ac:dyDescent="0.3">
      <c r="A371">
        <f>ESTADISTICA!A370</f>
        <v>0</v>
      </c>
      <c r="B371">
        <f>ESTADISTICA!B370</f>
        <v>0</v>
      </c>
      <c r="C371">
        <f>ESTADISTICA!C370</f>
        <v>0</v>
      </c>
      <c r="D371">
        <f>ESTADISTICA!D370</f>
        <v>0</v>
      </c>
      <c r="E371">
        <f>ESTADISTICA!E370</f>
        <v>0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>
        <f>ESTADISTICA!A371</f>
        <v>0</v>
      </c>
      <c r="B372">
        <f>ESTADISTICA!B371</f>
        <v>0</v>
      </c>
      <c r="C372">
        <f>ESTADISTICA!C371</f>
        <v>0</v>
      </c>
      <c r="D372">
        <f>ESTADISTICA!D371</f>
        <v>0</v>
      </c>
      <c r="E372">
        <f>ESTADISTICA!E371</f>
        <v>0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>
        <f>ESTADISTICA!A372</f>
        <v>0</v>
      </c>
      <c r="B373">
        <f>ESTADISTICA!B372</f>
        <v>0</v>
      </c>
      <c r="C373">
        <f>ESTADISTICA!C372</f>
        <v>0</v>
      </c>
      <c r="D373">
        <f>ESTADISTICA!D372</f>
        <v>0</v>
      </c>
      <c r="E373">
        <f>ESTADISTICA!E372</f>
        <v>0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>
        <f>ESTADISTICA!A373</f>
        <v>0</v>
      </c>
      <c r="B374">
        <f>ESTADISTICA!B373</f>
        <v>0</v>
      </c>
      <c r="C374">
        <f>ESTADISTICA!C373</f>
        <v>0</v>
      </c>
      <c r="D374">
        <f>ESTADISTICA!D373</f>
        <v>0</v>
      </c>
      <c r="E374">
        <f>ESTADISTICA!E373</f>
        <v>0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2291" priority="1" operator="equal">
      <formula>0</formula>
    </cfRule>
    <cfRule type="cellIs" dxfId="229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V9" activePane="bottomRight" state="frozen"/>
      <selection pane="topRight" activeCell="F1" sqref="F1"/>
      <selection pane="bottomLeft" activeCell="A8" sqref="A8"/>
      <selection pane="bottomRight" activeCell="AI34" sqref="AI34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3" t="s">
        <v>1323</v>
      </c>
      <c r="D1" s="54">
        <f>COUNTIFS(E4:E369,"=Fibra Optica")</f>
        <v>237</v>
      </c>
    </row>
    <row r="2" spans="1:36" ht="21" x14ac:dyDescent="0.4">
      <c r="E2" s="26" t="s">
        <v>934</v>
      </c>
      <c r="F2" s="26">
        <f>COUNTIFS(F4:F367, "=APAGADO",E4:E367,"=Fibra Optica")</f>
        <v>52</v>
      </c>
      <c r="G2" s="26">
        <f>COUNTIFS(G4:G367, "=APAGADO",E4:E367,"=Fibra Optica")</f>
        <v>69</v>
      </c>
      <c r="H2" s="26">
        <f>COUNTIFS(H4:H367, "=APAGADO",E4:E367,"=Fibra Optica")</f>
        <v>66</v>
      </c>
      <c r="I2" s="26">
        <f>COUNTIFS(I4:I367, "=APAGADO",E4:E367,"=Fibra Optica")</f>
        <v>60</v>
      </c>
      <c r="J2" s="26">
        <f>COUNTIFS(J4:J367, "=APAGADO",E4:E367,"=Fibra Optica")</f>
        <v>56</v>
      </c>
      <c r="K2" s="26">
        <f>COUNTIFS(K4:K367, "=APAGADO",E4:E367,"=Fibra Optica")</f>
        <v>60</v>
      </c>
      <c r="L2" s="26">
        <f>COUNTIFS(L4:L367, "=APAGADO",E4:E367,"=Fibra Optica")</f>
        <v>61</v>
      </c>
      <c r="M2" s="26">
        <f>COUNTIFS(M4:M367, "=APAGADO",E4:E367,"=Fibra Optica")</f>
        <v>56</v>
      </c>
      <c r="N2" s="26">
        <f>COUNTIFS(N4:N367, "=APAGADO",E4:E367,"=Fibra Optica")</f>
        <v>63</v>
      </c>
      <c r="O2" s="26">
        <f>COUNTIFS(O4:O367, "=APAGADO",E4:E367,"=Fibra Optica")</f>
        <v>59</v>
      </c>
      <c r="P2" s="26">
        <f>COUNTIFS(P4:P367, "=APAGADO",E4:E367,"=Fibra Optica")</f>
        <v>42</v>
      </c>
      <c r="Q2" s="26">
        <f>COUNTIFS(Q4:Q367, "=APAGADO",E4:E367,"=Fibra Optica")</f>
        <v>35</v>
      </c>
      <c r="R2" s="26">
        <f>COUNTIFS(R4:R367, "=APAGADO",E4:E367,"=Fibra Optica")</f>
        <v>37</v>
      </c>
      <c r="S2" s="26">
        <f>COUNTIFS(S4:S367, "=APAGADO",E4:E367,"=Fibra Optica")</f>
        <v>46</v>
      </c>
      <c r="T2" s="26">
        <f>COUNTIFS(T4:T367, "=APAGADO",E4:E367,"=Fibra Optica")</f>
        <v>35</v>
      </c>
      <c r="U2" s="26">
        <f>COUNTIFS(U4:U367, "=APAGADO",E4:E367,"=Fibra Optica")</f>
        <v>49</v>
      </c>
      <c r="V2" s="26">
        <f>COUNTIFS(V4:V367, "=APAGADO",E4:E367,"=Fibra Optica")</f>
        <v>28</v>
      </c>
      <c r="W2" s="26">
        <f>COUNTIFS(W4:W367, "=APAGADO",E4:E367,"=Fibra Optica")</f>
        <v>37</v>
      </c>
      <c r="X2" s="26">
        <f>COUNTIFS(X4:X367, "=APAGADO",E4:E367,"=Fibra Optica")</f>
        <v>50</v>
      </c>
      <c r="Y2" s="26">
        <f>COUNTIFS(Y4:Y367, "=APAGADO",E4:E367,"=Fibra Optica")</f>
        <v>36</v>
      </c>
      <c r="Z2" s="26">
        <f>COUNTIFS(Z4:Z367, "=APAGADO",E4:E367,"=Fibra Optica")</f>
        <v>39</v>
      </c>
      <c r="AA2" s="26">
        <f>COUNTIFS(AA4:AA367, "=APAGADO",E4:E367,"=Fibra Optica")</f>
        <v>55</v>
      </c>
      <c r="AB2" s="26">
        <f>COUNTIFS(AB4:AB367, "=APAGADO",E4:E367,"=Fibra Optica")</f>
        <v>28</v>
      </c>
      <c r="AC2" s="26">
        <f>COUNTIFS(AC4:AC367, "=APAGADO",E4:E367,"=Fibra Optica")</f>
        <v>70</v>
      </c>
      <c r="AD2" s="26">
        <f>COUNTIFS(AD4:AD367, "=APAGADO",E4:E367,"=Fibra Optica")</f>
        <v>43</v>
      </c>
      <c r="AE2" s="26">
        <f>COUNTIFS(AE4:AE367, "=APAGADO",E4:E367,"=Fibra Optica")</f>
        <v>44</v>
      </c>
      <c r="AF2" s="26">
        <f>COUNTIFS(AF4:AF367, "=APAGADO",E4:E367,"=Fibra Optica")</f>
        <v>46</v>
      </c>
      <c r="AG2" s="26">
        <f>COUNTIFS(AG4:AG367, "=APAGADO",E4:E367,"=Fibra Optica")</f>
        <v>68</v>
      </c>
      <c r="AH2" s="26">
        <f>COUNTIFS(AH4:AH367, "=APAGADO",E4:E367,"=Fibra Optica")</f>
        <v>59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 t="str">
        <f>ESTADISTICA!AE2</f>
        <v>APAGADO</v>
      </c>
      <c r="AF4" t="str">
        <f>ESTADISTICA!AF2</f>
        <v>APAGADO</v>
      </c>
      <c r="AG4" t="str">
        <f>ESTADISTICA!AG2</f>
        <v>APAGADO</v>
      </c>
      <c r="AH4" t="str">
        <f>ESTADISTICA!AH2</f>
        <v>APAGADO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t="str">
        <f>ESTADISTICA!AH10</f>
        <v>APAGADO</v>
      </c>
      <c r="AI12">
        <f>ESTADISTICA!AI10</f>
        <v>0</v>
      </c>
      <c r="AJ12">
        <f>ESTADISTICA!AJ10</f>
        <v>0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 t="str">
        <f>ESTADISTICA!AF11</f>
        <v>APAGADO</v>
      </c>
      <c r="AG13" t="str">
        <f>ESTADISTICA!AG11</f>
        <v>APAGADO</v>
      </c>
      <c r="AH13" t="str">
        <f>ESTADISTICA!AH11</f>
        <v>APAGADO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 t="str">
        <f>ESTADISTICA!AE14</f>
        <v>APAGADO</v>
      </c>
      <c r="AF16" t="str">
        <f>ESTADISTICA!AF14</f>
        <v>APAGADO</v>
      </c>
      <c r="AG16" t="str">
        <f>ESTADISTICA!AG14</f>
        <v>APAGADO</v>
      </c>
      <c r="AH16" t="str">
        <f>ESTADISTICA!AH14</f>
        <v>APAGADO</v>
      </c>
      <c r="AI16">
        <f>ESTADISTICA!AI14</f>
        <v>0</v>
      </c>
      <c r="AJ16">
        <f>ESTADISTICA!AJ14</f>
        <v>0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 t="str">
        <f>ESTADISTICA!AE15</f>
        <v>APAGADO</v>
      </c>
      <c r="AF17" t="str">
        <f>ESTADISTICA!AF15</f>
        <v>APAGADO</v>
      </c>
      <c r="AG17" t="str">
        <f>ESTADISTICA!AG15</f>
        <v>APAGADO</v>
      </c>
      <c r="AH17" t="str">
        <f>ESTADISTICA!AH15</f>
        <v>APAGADO</v>
      </c>
      <c r="AI17">
        <f>ESTADISTICA!AI15</f>
        <v>0</v>
      </c>
      <c r="AJ17">
        <f>ESTADISTICA!AJ15</f>
        <v>0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 t="str">
        <f>ESTADISTICA!AG27</f>
        <v>APAGADO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 t="str">
        <f>ESTADISTICA!AE59</f>
        <v>APAGADO</v>
      </c>
      <c r="AF61" t="str">
        <f>ESTADISTICA!AF59</f>
        <v>APAGADO</v>
      </c>
      <c r="AG61" t="str">
        <f>ESTADISTICA!AG59</f>
        <v>APAGADO</v>
      </c>
      <c r="AH61" t="str">
        <f>ESTADISTICA!AH59</f>
        <v>APAGADO</v>
      </c>
      <c r="AI61">
        <f>ESTADISTICA!AI59</f>
        <v>0</v>
      </c>
      <c r="AJ61">
        <f>ESTADISTICA!AJ59</f>
        <v>0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 t="str">
        <f>ESTADISTICA!AE60</f>
        <v>APAGADO</v>
      </c>
      <c r="AF62" t="str">
        <f>ESTADISTICA!AF60</f>
        <v>APAGADO</v>
      </c>
      <c r="AG62" t="str">
        <f>ESTADISTICA!AG60</f>
        <v>APAGADO</v>
      </c>
      <c r="AH62" t="str">
        <f>ESTADISTICA!AH60</f>
        <v>APAGADO</v>
      </c>
      <c r="AI62">
        <f>ESTADISTICA!AI60</f>
        <v>0</v>
      </c>
      <c r="AJ62">
        <f>ESTADISTICA!AJ60</f>
        <v>0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 t="str">
        <f>ESTADISTICA!AE62</f>
        <v>APAGADO</v>
      </c>
      <c r="AF64" t="str">
        <f>ESTADISTICA!AF62</f>
        <v>APAGADO</v>
      </c>
      <c r="AG64" t="str">
        <f>ESTADISTICA!AG62</f>
        <v>APAGADO</v>
      </c>
      <c r="AH64" t="str">
        <f>ESTADISTICA!AH62</f>
        <v>APAGADO</v>
      </c>
      <c r="AI64">
        <f>ESTADISTICA!AI62</f>
        <v>0</v>
      </c>
      <c r="AJ64">
        <f>ESTADISTICA!AJ62</f>
        <v>0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 t="str">
        <f>ESTADISTICA!AE65</f>
        <v>APAGADO</v>
      </c>
      <c r="AF67" t="str">
        <f>ESTADISTICA!AF65</f>
        <v>APAGADO</v>
      </c>
      <c r="AG67" t="str">
        <f>ESTADISTICA!AG65</f>
        <v>APAGADO</v>
      </c>
      <c r="AH67" t="str">
        <f>ESTADISTICA!AH65</f>
        <v>APAGADO</v>
      </c>
      <c r="AI67">
        <f>ESTADISTICA!AI65</f>
        <v>0</v>
      </c>
      <c r="AJ67">
        <f>ESTADISTICA!AJ65</f>
        <v>0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 t="str">
        <f>ESTADISTICA!AE67</f>
        <v>APAGADO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>
        <f>ESTADISTICA!AI77</f>
        <v>0</v>
      </c>
      <c r="AJ79">
        <f>ESTADISTICA!AJ77</f>
        <v>0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  <c r="AH90" t="str">
        <f>ESTADISTICA!AH88</f>
        <v>APAGADO</v>
      </c>
      <c r="AI90">
        <f>ESTADISTICA!AI88</f>
        <v>0</v>
      </c>
      <c r="AJ90">
        <f>ESTADISTICA!AJ88</f>
        <v>0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 t="str">
        <f>ESTADISTICA!AE89</f>
        <v>APAGADO</v>
      </c>
      <c r="AF91" t="str">
        <f>ESTADISTICA!AF89</f>
        <v>APAGADO</v>
      </c>
      <c r="AG91" t="str">
        <f>ESTADISTICA!AG89</f>
        <v>APAGADO</v>
      </c>
      <c r="AH91" t="str">
        <f>ESTADISTICA!AH89</f>
        <v>APAGADO</v>
      </c>
      <c r="AI91">
        <f>ESTADISTICA!AI89</f>
        <v>0</v>
      </c>
      <c r="AJ91">
        <f>ESTADISTICA!AJ89</f>
        <v>0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 t="str">
        <f>ESTADISTICA!AG103</f>
        <v>APAGADO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 t="str">
        <f>ESTADISTICA!AG105</f>
        <v>APAGADO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 t="str">
        <f>ESTADISTICA!AE106</f>
        <v>APAGADO</v>
      </c>
      <c r="AF108" t="str">
        <f>ESTADISTICA!AF106</f>
        <v>APAGADO</v>
      </c>
      <c r="AG108" t="str">
        <f>ESTADISTICA!AG106</f>
        <v>APAGADO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 t="str">
        <f>ESTADISTICA!AE119</f>
        <v>APAGADO</v>
      </c>
      <c r="AF121" t="str">
        <f>ESTADISTICA!AF119</f>
        <v>APAGADO</v>
      </c>
      <c r="AG121" t="str">
        <f>ESTADISTICA!AG119</f>
        <v>APAGADO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 t="str">
        <f>ESTADISTICA!AE120</f>
        <v>APAGADO</v>
      </c>
      <c r="AF122" t="str">
        <f>ESTADISTICA!AF120</f>
        <v>APAGADO</v>
      </c>
      <c r="AG122" t="str">
        <f>ESTADISTICA!AG120</f>
        <v>APAGADO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str">
        <f>ESTADISTICA!AH121</f>
        <v>APAGADO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 t="str">
        <f>ESTADISTICA!AE133</f>
        <v>APAGADO</v>
      </c>
      <c r="AF135" t="str">
        <f>ESTADISTICA!AF133</f>
        <v>APAGADO</v>
      </c>
      <c r="AG135" t="str">
        <f>ESTADISTICA!AG133</f>
        <v>APAGADO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 t="str">
        <f>ESTADISTICA!AF150</f>
        <v>APAGADO</v>
      </c>
      <c r="AG152" t="str">
        <f>ESTADISTICA!AG150</f>
        <v>APAGADO</v>
      </c>
      <c r="AH152" t="str">
        <f>ESTADISTICA!AH150</f>
        <v>APAGADO</v>
      </c>
      <c r="AI152">
        <f>ESTADISTICA!AI150</f>
        <v>0</v>
      </c>
      <c r="AJ152">
        <f>ESTADISTICA!AJ150</f>
        <v>0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 t="str">
        <f>ESTADISTICA!AH153</f>
        <v>APAGADO</v>
      </c>
      <c r="AI155">
        <f>ESTADISTICA!AI153</f>
        <v>0</v>
      </c>
      <c r="AJ155">
        <f>ESTADISTICA!AJ153</f>
        <v>0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 t="str">
        <f>ESTADISTICA!AG166</f>
        <v>APAGADO</v>
      </c>
      <c r="AH168" t="str">
        <f>ESTADISTICA!AH166</f>
        <v>APAGADO</v>
      </c>
      <c r="AI168">
        <f>ESTADISTICA!AI166</f>
        <v>0</v>
      </c>
      <c r="AJ168">
        <f>ESTADISTICA!AJ166</f>
        <v>0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 t="str">
        <f>ESTADISTICA!AE168</f>
        <v>APAGADO</v>
      </c>
      <c r="AF170" t="str">
        <f>ESTADISTICA!AF168</f>
        <v>APAGADO</v>
      </c>
      <c r="AG170" t="str">
        <f>ESTADISTICA!AG168</f>
        <v>APAGADO</v>
      </c>
      <c r="AH170" t="str">
        <f>ESTADISTICA!AH168</f>
        <v>APAGADO</v>
      </c>
      <c r="AI170">
        <f>ESTADISTICA!AI168</f>
        <v>0</v>
      </c>
      <c r="AJ170">
        <f>ESTADISTICA!AJ168</f>
        <v>0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 t="str">
        <f>ESTADISTICA!AE170</f>
        <v>APAGADO</v>
      </c>
      <c r="AF172" t="str">
        <f>ESTADISTICA!AF170</f>
        <v>APAGADO</v>
      </c>
      <c r="AG172" t="str">
        <f>ESTADISTICA!AG170</f>
        <v>APAGADO</v>
      </c>
      <c r="AH172" t="str">
        <f>ESTADISTICA!AH170</f>
        <v>APAGADO</v>
      </c>
      <c r="AI172">
        <f>ESTADISTICA!AI170</f>
        <v>0</v>
      </c>
      <c r="AJ172">
        <f>ESTADISTICA!AJ170</f>
        <v>0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 t="str">
        <f>ESTADISTICA!AE171</f>
        <v>APAGADO</v>
      </c>
      <c r="AF173" t="str">
        <f>ESTADISTICA!AF171</f>
        <v>APAGADO</v>
      </c>
      <c r="AG173" t="str">
        <f>ESTADISTICA!AG171</f>
        <v>APAGADO</v>
      </c>
      <c r="AH173" t="str">
        <f>ESTADISTICA!AH171</f>
        <v>APAGADO</v>
      </c>
      <c r="AI173">
        <f>ESTADISTICA!AI171</f>
        <v>0</v>
      </c>
      <c r="AJ173">
        <f>ESTADISTICA!AJ171</f>
        <v>0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 t="str">
        <f>ESTADISTICA!AH177</f>
        <v>APAGADO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>
        <f>ESTADISTICA!AI188</f>
        <v>0</v>
      </c>
      <c r="AJ190">
        <f>ESTADISTICA!AJ188</f>
        <v>0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>
        <f>ESTADISTICA!AI189</f>
        <v>0</v>
      </c>
      <c r="AJ191">
        <f>ESTADISTICA!AJ189</f>
        <v>0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 t="str">
        <f>ESTADISTICA!AG190</f>
        <v>APAGADO</v>
      </c>
      <c r="AH192" t="str">
        <f>ESTADISTICA!AH190</f>
        <v>APAGADO</v>
      </c>
      <c r="AI192">
        <f>ESTADISTICA!AI190</f>
        <v>0</v>
      </c>
      <c r="AJ192">
        <f>ESTADISTICA!AJ190</f>
        <v>0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 t="str">
        <f>ESTADISTICA!AG191</f>
        <v>APAGADO</v>
      </c>
      <c r="AH193" t="str">
        <f>ESTADISTICA!AH191</f>
        <v>APAGADO</v>
      </c>
      <c r="AI193">
        <f>ESTADISTICA!AI191</f>
        <v>0</v>
      </c>
      <c r="AJ193">
        <f>ESTADISTICA!AJ191</f>
        <v>0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 t="str">
        <f>ESTADISTICA!AH194</f>
        <v>APAGADO</v>
      </c>
      <c r="AI196">
        <f>ESTADISTICA!AI194</f>
        <v>0</v>
      </c>
      <c r="AJ196">
        <f>ESTADISTICA!AJ194</f>
        <v>0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>
        <f>ESTADISTICA!AI196</f>
        <v>0</v>
      </c>
      <c r="AJ198">
        <f>ESTADISTICA!AJ196</f>
        <v>0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 t="str">
        <f>ESTADISTICA!AE197</f>
        <v>APAGADO</v>
      </c>
      <c r="AF199" t="str">
        <f>ESTADISTICA!AF197</f>
        <v>APAGADO</v>
      </c>
      <c r="AG199" t="str">
        <f>ESTADISTICA!AG197</f>
        <v>APAGADO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str">
        <f>ESTADISTICA!AH200</f>
        <v>APAGADO</v>
      </c>
      <c r="AI202">
        <f>ESTADISTICA!AI200</f>
        <v>0</v>
      </c>
      <c r="AJ202">
        <f>ESTADISTICA!AJ200</f>
        <v>0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>
        <f>ESTADISTICA!AI203</f>
        <v>0</v>
      </c>
      <c r="AJ205">
        <f>ESTADISTICA!AJ203</f>
        <v>0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 t="str">
        <f>ESTADISTICA!AE205</f>
        <v>APAGADO</v>
      </c>
      <c r="AF207">
        <f>ESTADISTICA!AF205</f>
        <v>0</v>
      </c>
      <c r="AG207">
        <f>ESTADISTICA!AG205</f>
        <v>0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str">
        <f>ESTADISTICA!AH210</f>
        <v>APAGADO</v>
      </c>
      <c r="AI212">
        <f>ESTADISTICA!AI210</f>
        <v>0</v>
      </c>
      <c r="AJ212">
        <f>ESTADISTICA!AJ210</f>
        <v>0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 t="str">
        <f>ESTADISTICA!AG211</f>
        <v>APAGADO</v>
      </c>
      <c r="AH213" t="str">
        <f>ESTADISTICA!AH211</f>
        <v>APAGADO</v>
      </c>
      <c r="AI213">
        <f>ESTADISTICA!AI211</f>
        <v>0</v>
      </c>
      <c r="AJ213">
        <f>ESTADISTICA!AJ211</f>
        <v>0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 t="str">
        <f>ESTADISTICA!AG212</f>
        <v>APAGADO</v>
      </c>
      <c r="AH214" t="str">
        <f>ESTADISTICA!AH212</f>
        <v>APAGADO</v>
      </c>
      <c r="AI214">
        <f>ESTADISTICA!AI212</f>
        <v>0</v>
      </c>
      <c r="AJ214">
        <f>ESTADISTICA!AJ212</f>
        <v>0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 t="str">
        <f>ESTADISTICA!AG213</f>
        <v>APAGADO</v>
      </c>
      <c r="AH215" t="str">
        <f>ESTADISTICA!AH213</f>
        <v>APAGADO</v>
      </c>
      <c r="AI215">
        <f>ESTADISTICA!AI213</f>
        <v>0</v>
      </c>
      <c r="AJ215">
        <f>ESTADISTICA!AJ213</f>
        <v>0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 t="str">
        <f>ESTADISTICA!AG214</f>
        <v>APAGADO</v>
      </c>
      <c r="AH216" t="str">
        <f>ESTADISTICA!AH214</f>
        <v>APAGADO</v>
      </c>
      <c r="AI216">
        <f>ESTADISTICA!AI214</f>
        <v>0</v>
      </c>
      <c r="AJ216">
        <f>ESTADISTICA!AJ214</f>
        <v>0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 t="str">
        <f>ESTADISTICA!AG215</f>
        <v>APAGADO</v>
      </c>
      <c r="AH217" t="str">
        <f>ESTADISTICA!AH215</f>
        <v>APAGADO</v>
      </c>
      <c r="AI217">
        <f>ESTADISTICA!AI215</f>
        <v>0</v>
      </c>
      <c r="AJ217">
        <f>ESTADISTICA!AJ215</f>
        <v>0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 t="str">
        <f>ESTADISTICA!AG216</f>
        <v>APAGADO</v>
      </c>
      <c r="AH218" t="str">
        <f>ESTADISTICA!AH216</f>
        <v>APAGADO</v>
      </c>
      <c r="AI218">
        <f>ESTADISTICA!AI216</f>
        <v>0</v>
      </c>
      <c r="AJ218">
        <f>ESTADISTICA!AJ216</f>
        <v>0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 t="str">
        <f>ESTADISTICA!AG217</f>
        <v>APAGADO</v>
      </c>
      <c r="AH219" t="str">
        <f>ESTADISTICA!AH217</f>
        <v>APAGADO</v>
      </c>
      <c r="AI219">
        <f>ESTADISTICA!AI217</f>
        <v>0</v>
      </c>
      <c r="AJ219">
        <f>ESTADISTICA!AJ217</f>
        <v>0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 t="str">
        <f>ESTADISTICA!AG218</f>
        <v>APAGADO</v>
      </c>
      <c r="AH220" t="str">
        <f>ESTADISTICA!AH218</f>
        <v>APAGADO</v>
      </c>
      <c r="AI220">
        <f>ESTADISTICA!AI218</f>
        <v>0</v>
      </c>
      <c r="AJ220">
        <f>ESTADISTICA!AJ218</f>
        <v>0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 t="str">
        <f>ESTADISTICA!AG219</f>
        <v>APAGADO</v>
      </c>
      <c r="AH221" t="str">
        <f>ESTADISTICA!AH219</f>
        <v>APAGADO</v>
      </c>
      <c r="AI221">
        <f>ESTADISTICA!AI219</f>
        <v>0</v>
      </c>
      <c r="AJ221">
        <f>ESTADISTICA!AJ219</f>
        <v>0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 t="str">
        <f>ESTADISTICA!AG220</f>
        <v>APAGADO</v>
      </c>
      <c r="AH222" t="str">
        <f>ESTADISTICA!AH220</f>
        <v>APAGADO</v>
      </c>
      <c r="AI222">
        <f>ESTADISTICA!AI220</f>
        <v>0</v>
      </c>
      <c r="AJ222">
        <f>ESTADISTICA!AJ220</f>
        <v>0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 t="str">
        <f>ESTADISTICA!AG221</f>
        <v>APAGADO</v>
      </c>
      <c r="AH223" t="str">
        <f>ESTADISTICA!AH221</f>
        <v>APAGADO</v>
      </c>
      <c r="AI223">
        <f>ESTADISTICA!AI221</f>
        <v>0</v>
      </c>
      <c r="AJ223">
        <f>ESTADISTICA!AJ221</f>
        <v>0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  <c r="AJ229">
        <f>ESTADISTICA!AJ227</f>
        <v>0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 t="str">
        <f>ESTADISTICA!AG255</f>
        <v>APAGADO</v>
      </c>
      <c r="AH257" t="str">
        <f>ESTADISTICA!AH255</f>
        <v>APAGADO</v>
      </c>
      <c r="AI257">
        <f>ESTADISTICA!AI255</f>
        <v>0</v>
      </c>
      <c r="AJ257">
        <f>ESTADISTICA!AJ255</f>
        <v>0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 t="str">
        <f>ESTADISTICA!AG256</f>
        <v>APAGADO</v>
      </c>
      <c r="AH258" t="str">
        <f>ESTADISTICA!AH256</f>
        <v>APAGADO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 t="str">
        <f>ESTADISTICA!AE277</f>
        <v>APAGADO</v>
      </c>
      <c r="AF279">
        <f>ESTADISTICA!AF277</f>
        <v>0</v>
      </c>
      <c r="AG279">
        <f>ESTADISTICA!AG277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 t="str">
        <f>ESTADISTICA!AE278</f>
        <v>APAGADO</v>
      </c>
      <c r="AF280" t="str">
        <f>ESTADISTICA!AF278</f>
        <v>APAGADO</v>
      </c>
      <c r="AG280" t="str">
        <f>ESTADISTICA!AG278</f>
        <v>APAGADO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 t="str">
        <f>ESTADISTICA!AE279</f>
        <v>APAGADO</v>
      </c>
      <c r="AF281" t="str">
        <f>ESTADISTICA!AF279</f>
        <v>APAGADO</v>
      </c>
      <c r="AG281" t="str">
        <f>ESTADISTICA!AG279</f>
        <v>APAGADO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 t="str">
        <f>ESTADISTICA!AE281</f>
        <v>APAGADO</v>
      </c>
      <c r="AF283" t="str">
        <f>ESTADISTICA!AF281</f>
        <v>APAGADO</v>
      </c>
      <c r="AG283" t="str">
        <f>ESTADISTICA!AG281</f>
        <v>APAGADO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 t="str">
        <f>ESTADISTICA!AE282</f>
        <v>APAGADO</v>
      </c>
      <c r="AF284" t="str">
        <f>ESTADISTICA!AF282</f>
        <v>APAGADO</v>
      </c>
      <c r="AG284" t="str">
        <f>ESTADISTICA!AG282</f>
        <v>APAGADO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 t="str">
        <f>ESTADISTICA!AG283</f>
        <v>APAGADO</v>
      </c>
      <c r="AH285" t="str">
        <f>ESTADISTICA!AH283</f>
        <v>APAGADO</v>
      </c>
      <c r="AI285">
        <f>ESTADISTICA!AI283</f>
        <v>0</v>
      </c>
      <c r="AJ285">
        <f>ESTADISTICA!AJ283</f>
        <v>0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 t="str">
        <f>ESTADISTICA!AG284</f>
        <v>APAGADO</v>
      </c>
      <c r="AH286" t="str">
        <f>ESTADISTICA!AH284</f>
        <v>APAGADO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 t="str">
        <f>ESTADISTICA!AF285</f>
        <v>APAGADO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 t="str">
        <f>ESTADISTICA!AG287</f>
        <v>APAGADO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>
        <f>ESTADISTICA!AI288</f>
        <v>0</v>
      </c>
      <c r="AJ290">
        <f>ESTADISTICA!AJ288</f>
        <v>0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>
        <f>ESTADISTICA!AI289</f>
        <v>0</v>
      </c>
      <c r="AJ291">
        <f>ESTADISTICA!AJ289</f>
        <v>0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 t="str">
        <f>ESTADISTICA!AE290</f>
        <v>APAGADO</v>
      </c>
      <c r="AF292" t="str">
        <f>ESTADISTICA!AF290</f>
        <v>APAGADO</v>
      </c>
      <c r="AG292" t="str">
        <f>ESTADISTICA!AG290</f>
        <v>APAGADO</v>
      </c>
      <c r="AH292" t="str">
        <f>ESTADISTICA!AH290</f>
        <v>APAGADO</v>
      </c>
      <c r="AI292">
        <f>ESTADISTICA!AI290</f>
        <v>0</v>
      </c>
      <c r="AJ292">
        <f>ESTADISTICA!AJ290</f>
        <v>0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 t="str">
        <f>ESTADISTICA!AE291</f>
        <v>APAGADO</v>
      </c>
      <c r="AF293" t="str">
        <f>ESTADISTICA!AF291</f>
        <v>APAGADO</v>
      </c>
      <c r="AG293" t="str">
        <f>ESTADISTICA!AG291</f>
        <v>APAGADO</v>
      </c>
      <c r="AH293" t="str">
        <f>ESTADISTICA!AH291</f>
        <v>APAGADO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 t="str">
        <f>ESTADISTICA!AE292</f>
        <v>APAGADO</v>
      </c>
      <c r="AF294" t="str">
        <f>ESTADISTICA!AF292</f>
        <v>APAGADO</v>
      </c>
      <c r="AG294" t="str">
        <f>ESTADISTICA!AG292</f>
        <v>APAGADO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  <c r="AH302" t="str">
        <f>ESTADISTICA!AH300</f>
        <v>APAGADO</v>
      </c>
      <c r="AI302">
        <f>ESTADISTICA!AI300</f>
        <v>0</v>
      </c>
      <c r="AJ302">
        <f>ESTADISTICA!AJ300</f>
        <v>0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 t="str">
        <f>ESTADISTICA!AG342</f>
        <v>APAGADO</v>
      </c>
      <c r="AH344" t="str">
        <f>ESTADISTICA!AH342</f>
        <v>APAGADO</v>
      </c>
      <c r="AI344">
        <f>ESTADISTICA!AI342</f>
        <v>0</v>
      </c>
      <c r="AJ344">
        <f>ESTADISTICA!AJ342</f>
        <v>0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 t="str">
        <f>ESTADISTICA!AG343</f>
        <v>APAGADO</v>
      </c>
      <c r="AH345" t="str">
        <f>ESTADISTICA!AH343</f>
        <v>APAGADO</v>
      </c>
      <c r="AI345">
        <f>ESTADISTICA!AI343</f>
        <v>0</v>
      </c>
      <c r="AJ345">
        <f>ESTADISTICA!AJ343</f>
        <v>0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 t="str">
        <f>ESTADISTICA!AG344</f>
        <v>APAGADO</v>
      </c>
      <c r="AH346" t="str">
        <f>ESTADISTICA!AH344</f>
        <v>APAGADO</v>
      </c>
      <c r="AI346">
        <f>ESTADISTICA!AI344</f>
        <v>0</v>
      </c>
      <c r="AJ346">
        <f>ESTADISTICA!AJ344</f>
        <v>0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 t="str">
        <f>ESTADISTICA!AG345</f>
        <v>APAGADO</v>
      </c>
      <c r="AH347" t="str">
        <f>ESTADISTICA!AH345</f>
        <v>APAGADO</v>
      </c>
      <c r="AI347">
        <f>ESTADISTICA!AI345</f>
        <v>0</v>
      </c>
      <c r="AJ347">
        <f>ESTADISTICA!AJ345</f>
        <v>0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 t="str">
        <f>ESTADISTICA!AG346</f>
        <v>APAGADO</v>
      </c>
      <c r="AH348" t="str">
        <f>ESTADISTICA!AH346</f>
        <v>APAGADO</v>
      </c>
      <c r="AI348">
        <f>ESTADISTICA!AI346</f>
        <v>0</v>
      </c>
      <c r="AJ348">
        <f>ESTADISTICA!AJ346</f>
        <v>0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str">
        <f>ESTADISTICA!AH348</f>
        <v>APAGADO</v>
      </c>
      <c r="AI350">
        <f>ESTADISTICA!AI348</f>
        <v>0</v>
      </c>
      <c r="AJ350">
        <f>ESTADISTICA!AJ348</f>
        <v>0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>
        <f>ESTADISTICA!AI349</f>
        <v>0</v>
      </c>
      <c r="AJ351">
        <f>ESTADISTICA!AJ349</f>
        <v>0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str">
        <f>ESTADISTICA!AH350</f>
        <v>APAGADO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>
        <f>ESTADISTICA!AG352</f>
        <v>0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 t="str">
        <f>ESTADISTICA!AG360</f>
        <v>APAGADO</v>
      </c>
      <c r="AH362" t="str">
        <f>ESTADISTICA!AH360</f>
        <v>APAGADO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 t="str">
        <f>ESTADISTICA!AE366</f>
        <v>APAGADO</v>
      </c>
      <c r="AF368" t="str">
        <f>ESTADISTICA!AF366</f>
        <v>APAGADO</v>
      </c>
      <c r="AG368" t="str">
        <f>ESTADISTICA!AG366</f>
        <v>APAGADO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2289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W355" activePane="bottomRight" state="frozenSplit"/>
      <selection pane="topRight" activeCell="F1" sqref="F1"/>
      <selection pane="bottomLeft" activeCell="A3" sqref="A3"/>
      <selection pane="bottomRight" activeCell="AH3" sqref="AH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5" t="s">
        <v>1324</v>
      </c>
      <c r="D1" s="55">
        <f>COUNTIFS(E4:E367,"=PTP A FO")</f>
        <v>38</v>
      </c>
    </row>
    <row r="2" spans="1:36" ht="21" x14ac:dyDescent="0.4">
      <c r="E2" s="26" t="s">
        <v>934</v>
      </c>
      <c r="F2" s="26">
        <f>COUNTIFS(F4:F367, "=APAGADO",E4:E367,"=PTP A FO")</f>
        <v>2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1</v>
      </c>
      <c r="J2" s="26">
        <f>COUNTIFS(J4:J367, "=APAGADO",E4:E367,"=PTP A FO")</f>
        <v>4</v>
      </c>
      <c r="K2" s="26">
        <f>COUNTIFS(K4:K367, "=APAGADO",E4:E367,"=PTP A FO")</f>
        <v>1</v>
      </c>
      <c r="L2" s="26">
        <f>COUNTIFS(L4:L367, "=APAGADO",E4:E367,"=PTP A FO")</f>
        <v>1</v>
      </c>
      <c r="M2" s="26">
        <f>COUNTIFS(M4:M367, "=APAGADO",E4:E367,"=PTP A FO")</f>
        <v>2</v>
      </c>
      <c r="N2" s="26">
        <f>COUNTIFS(N4:N367, "=APAGADO",E4:E367,"=PTP A FO")</f>
        <v>6</v>
      </c>
      <c r="O2" s="26">
        <f>COUNTIFS(O4:O367,"APAGADO", E4:E367,"=PTP A FO" )</f>
        <v>2</v>
      </c>
      <c r="P2" s="26">
        <f>COUNTIFS(P4:P367, "=APAGADO",E4:E367,"=PTP A FO")</f>
        <v>11</v>
      </c>
      <c r="Q2" s="26">
        <f>COUNTIFS(Q4:Q367, "=APAGADO",E4:E367,"=PTP A FO")</f>
        <v>8</v>
      </c>
      <c r="R2" s="26">
        <f>COUNTIFS(R4:R367, "=APAGADO",E4:E367,"=PTP A FO")</f>
        <v>10</v>
      </c>
      <c r="S2" s="26">
        <f>COUNTIFS(S4:S367, "=APAGADO",E4:E367,"=PTP A FO")</f>
        <v>8</v>
      </c>
      <c r="T2" s="26">
        <f>COUNTIFS(T4:T367, "=APAGADO",E4:E367,"=PTP A FO")</f>
        <v>9</v>
      </c>
      <c r="U2" s="26">
        <f>COUNTIFS(U4:U367, "=APAGADO",E4:E367,"=PTP A FO")</f>
        <v>11</v>
      </c>
      <c r="V2" s="26">
        <f>COUNTIFS(V4:V367, "=APAGADO",E4:E367,"=PTP A FO")</f>
        <v>12</v>
      </c>
      <c r="W2" s="26">
        <f>COUNTIFS(W4:W367, "=APAGADO",E4:E367,"=PTP A FO")</f>
        <v>12</v>
      </c>
      <c r="X2" s="26">
        <f>COUNTIFS(X4:X367, "=APAGADO",E4:E367,"=PTP A FO")</f>
        <v>16</v>
      </c>
      <c r="Y2" s="26">
        <f>COUNTIFS(Y4:Y367, "=APAGADO",E4:E367,"=PTP A FO")</f>
        <v>13</v>
      </c>
      <c r="Z2" s="26">
        <f>COUNTIFS(Z4:Z367, "=APAGADO",E4:E367,"=PTP A FO")</f>
        <v>13</v>
      </c>
      <c r="AA2" s="26">
        <f>COUNTIFS(AA4:AA367, "=APAGADO",E4:E367,"=PTP A FO")</f>
        <v>10</v>
      </c>
      <c r="AB2" s="26">
        <f>COUNTIFS(AB4:AB367, "=APAGADO",E4:E367,"=PTP A FO")</f>
        <v>2</v>
      </c>
      <c r="AC2" s="26">
        <f>COUNTIFS(AC4:AC367, "=APAGADO",E4:E367,"=PTP A FO")</f>
        <v>7</v>
      </c>
      <c r="AD2" s="26">
        <f>COUNTIFS(AD4:AD367, "=APAGADO",E4:E367,"=PTP A FO")</f>
        <v>4</v>
      </c>
      <c r="AE2" s="26">
        <f>COUNTIFS(AE4:AE367, "=APAGADO",E4:E367,"=PTP A FO")</f>
        <v>5</v>
      </c>
      <c r="AF2" s="26">
        <f>COUNTIFS(AF4:AF367, "=APAGADO",E4:E367,"=PTP A FO")</f>
        <v>5</v>
      </c>
      <c r="AG2" s="26">
        <f>COUNTIFS(AG4:AG367, "=APAGADO",E4:E367,"=PTP A FO")</f>
        <v>4</v>
      </c>
      <c r="AH2" s="26">
        <f>COUNTIFS(AH4:AH367, "=APAGADO",E4:E367,"=PTP A FO")</f>
        <v>4</v>
      </c>
      <c r="AI2" s="26">
        <f t="shared" ref="AH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 t="str">
        <f>ESTADISTICA!AE2</f>
        <v>APAGADO</v>
      </c>
      <c r="AF4" t="str">
        <f>ESTADISTICA!AF2</f>
        <v>APAGADO</v>
      </c>
      <c r="AG4" t="str">
        <f>ESTADISTICA!AG2</f>
        <v>APAGADO</v>
      </c>
      <c r="AH4" t="str">
        <f>ESTADISTICA!AH2</f>
        <v>APAGADO</v>
      </c>
      <c r="AI4">
        <f>ESTADISTICA!AI2</f>
        <v>0</v>
      </c>
      <c r="AJ4">
        <f>ESTADISTICA!AJ2</f>
        <v>0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 t="str">
        <f>ESTADISTICA!AH7</f>
        <v>APAGADO</v>
      </c>
      <c r="AI9">
        <f>ESTADISTICA!AI7</f>
        <v>0</v>
      </c>
      <c r="AJ9">
        <f>ESTADISTICA!AJ7</f>
        <v>0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t="str">
        <f>ESTADISTICA!AH10</f>
        <v>APAGADO</v>
      </c>
      <c r="AI12">
        <f>ESTADISTICA!AI10</f>
        <v>0</v>
      </c>
      <c r="AJ12">
        <f>ESTADISTICA!AJ10</f>
        <v>0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 t="str">
        <f>ESTADISTICA!AF11</f>
        <v>APAGADO</v>
      </c>
      <c r="AG13" t="str">
        <f>ESTADISTICA!AG11</f>
        <v>APAGADO</v>
      </c>
      <c r="AH13" t="str">
        <f>ESTADISTICA!AH11</f>
        <v>APAGADO</v>
      </c>
      <c r="AI13">
        <f>ESTADISTICA!AI11</f>
        <v>0</v>
      </c>
      <c r="AJ13">
        <f>ESTADISTICA!AJ11</f>
        <v>0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 t="str">
        <f>ESTADISTICA!AE14</f>
        <v>APAGADO</v>
      </c>
      <c r="AF16" t="str">
        <f>ESTADISTICA!AF14</f>
        <v>APAGADO</v>
      </c>
      <c r="AG16" t="str">
        <f>ESTADISTICA!AG14</f>
        <v>APAGADO</v>
      </c>
      <c r="AH16" t="str">
        <f>ESTADISTICA!AH14</f>
        <v>APAGADO</v>
      </c>
      <c r="AI16">
        <f>ESTADISTICA!AI14</f>
        <v>0</v>
      </c>
      <c r="AJ16">
        <f>ESTADISTICA!AJ14</f>
        <v>0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 t="str">
        <f>ESTADISTICA!AE15</f>
        <v>APAGADO</v>
      </c>
      <c r="AF17" t="str">
        <f>ESTADISTICA!AF15</f>
        <v>APAGADO</v>
      </c>
      <c r="AG17" t="str">
        <f>ESTADISTICA!AG15</f>
        <v>APAGADO</v>
      </c>
      <c r="AH17" t="str">
        <f>ESTADISTICA!AH15</f>
        <v>APAGADO</v>
      </c>
      <c r="AI17">
        <f>ESTADISTICA!AI15</f>
        <v>0</v>
      </c>
      <c r="AJ17">
        <f>ESTADISTICA!AJ15</f>
        <v>0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 t="str">
        <f>ESTADISTICA!AG27</f>
        <v>APAGADO</v>
      </c>
      <c r="AH29" t="str">
        <f>ESTADISTICA!AH27</f>
        <v>APAGADO</v>
      </c>
      <c r="AI29">
        <f>ESTADISTICA!AI27</f>
        <v>0</v>
      </c>
      <c r="AJ29">
        <f>ESTADISTICA!AJ27</f>
        <v>0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 t="str">
        <f>ESTADISTICA!AE59</f>
        <v>APAGADO</v>
      </c>
      <c r="AF61" t="str">
        <f>ESTADISTICA!AF59</f>
        <v>APAGADO</v>
      </c>
      <c r="AG61" t="str">
        <f>ESTADISTICA!AG59</f>
        <v>APAGADO</v>
      </c>
      <c r="AH61" t="str">
        <f>ESTADISTICA!AH59</f>
        <v>APAGADO</v>
      </c>
      <c r="AI61">
        <f>ESTADISTICA!AI59</f>
        <v>0</v>
      </c>
      <c r="AJ61">
        <f>ESTADISTICA!AJ59</f>
        <v>0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 t="str">
        <f>ESTADISTICA!AE60</f>
        <v>APAGADO</v>
      </c>
      <c r="AF62" t="str">
        <f>ESTADISTICA!AF60</f>
        <v>APAGADO</v>
      </c>
      <c r="AG62" t="str">
        <f>ESTADISTICA!AG60</f>
        <v>APAGADO</v>
      </c>
      <c r="AH62" t="str">
        <f>ESTADISTICA!AH60</f>
        <v>APAGADO</v>
      </c>
      <c r="AI62">
        <f>ESTADISTICA!AI60</f>
        <v>0</v>
      </c>
      <c r="AJ62">
        <f>ESTADISTICA!AJ60</f>
        <v>0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 t="str">
        <f>ESTADISTICA!AE62</f>
        <v>APAGADO</v>
      </c>
      <c r="AF64" t="str">
        <f>ESTADISTICA!AF62</f>
        <v>APAGADO</v>
      </c>
      <c r="AG64" t="str">
        <f>ESTADISTICA!AG62</f>
        <v>APAGADO</v>
      </c>
      <c r="AH64" t="str">
        <f>ESTADISTICA!AH62</f>
        <v>APAGADO</v>
      </c>
      <c r="AI64">
        <f>ESTADISTICA!AI62</f>
        <v>0</v>
      </c>
      <c r="AJ64">
        <f>ESTADISTICA!AJ62</f>
        <v>0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 t="str">
        <f>ESTADISTICA!AE65</f>
        <v>APAGADO</v>
      </c>
      <c r="AF67" t="str">
        <f>ESTADISTICA!AF65</f>
        <v>APAGADO</v>
      </c>
      <c r="AG67" t="str">
        <f>ESTADISTICA!AG65</f>
        <v>APAGADO</v>
      </c>
      <c r="AH67" t="str">
        <f>ESTADISTICA!AH65</f>
        <v>APAGADO</v>
      </c>
      <c r="AI67">
        <f>ESTADISTICA!AI65</f>
        <v>0</v>
      </c>
      <c r="AJ67">
        <f>ESTADISTICA!AJ65</f>
        <v>0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 t="str">
        <f>ESTADISTICA!AE67</f>
        <v>APAGADO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>
        <f>ESTADISTICA!AI77</f>
        <v>0</v>
      </c>
      <c r="AJ79">
        <f>ESTADISTICA!AJ77</f>
        <v>0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  <c r="AH90" t="str">
        <f>ESTADISTICA!AH88</f>
        <v>APAGADO</v>
      </c>
      <c r="AI90">
        <f>ESTADISTICA!AI88</f>
        <v>0</v>
      </c>
      <c r="AJ90">
        <f>ESTADISTICA!AJ88</f>
        <v>0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 t="str">
        <f>ESTADISTICA!AE89</f>
        <v>APAGADO</v>
      </c>
      <c r="AF91" t="str">
        <f>ESTADISTICA!AF89</f>
        <v>APAGADO</v>
      </c>
      <c r="AG91" t="str">
        <f>ESTADISTICA!AG89</f>
        <v>APAGADO</v>
      </c>
      <c r="AH91" t="str">
        <f>ESTADISTICA!AH89</f>
        <v>APAGADO</v>
      </c>
      <c r="AI91">
        <f>ESTADISTICA!AI89</f>
        <v>0</v>
      </c>
      <c r="AJ91">
        <f>ESTADISTICA!AJ89</f>
        <v>0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 t="str">
        <f>ESTADISTICA!AG103</f>
        <v>APAGADO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 t="str">
        <f>ESTADISTICA!AG105</f>
        <v>APAGADO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 t="str">
        <f>ESTADISTICA!AE106</f>
        <v>APAGADO</v>
      </c>
      <c r="AF108" t="str">
        <f>ESTADISTICA!AF106</f>
        <v>APAGADO</v>
      </c>
      <c r="AG108" t="str">
        <f>ESTADISTICA!AG106</f>
        <v>APAGADO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 t="str">
        <f>ESTADISTICA!AE119</f>
        <v>APAGADO</v>
      </c>
      <c r="AF121" t="str">
        <f>ESTADISTICA!AF119</f>
        <v>APAGADO</v>
      </c>
      <c r="AG121" t="str">
        <f>ESTADISTICA!AG119</f>
        <v>APAGADO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 t="str">
        <f>ESTADISTICA!AE120</f>
        <v>APAGADO</v>
      </c>
      <c r="AF122" t="str">
        <f>ESTADISTICA!AF120</f>
        <v>APAGADO</v>
      </c>
      <c r="AG122" t="str">
        <f>ESTADISTICA!AG120</f>
        <v>APAGADO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str">
        <f>ESTADISTICA!AH121</f>
        <v>APAGADO</v>
      </c>
      <c r="AI123">
        <f>ESTADISTICA!AI121</f>
        <v>0</v>
      </c>
      <c r="AJ123">
        <f>ESTADISTICA!AJ121</f>
        <v>0</v>
      </c>
    </row>
    <row r="124" spans="1:36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 t="str">
        <f>ESTADISTICA!AH130</f>
        <v>APAGADO</v>
      </c>
      <c r="AI132">
        <f>ESTADISTICA!AI130</f>
        <v>0</v>
      </c>
      <c r="AJ132">
        <f>ESTADISTICA!AJ130</f>
        <v>0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 t="str">
        <f>ESTADISTICA!AE133</f>
        <v>APAGADO</v>
      </c>
      <c r="AF135" t="str">
        <f>ESTADISTICA!AF133</f>
        <v>APAGADO</v>
      </c>
      <c r="AG135" t="str">
        <f>ESTADISTICA!AG133</f>
        <v>APAGADO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 t="str">
        <f>ESTADISTICA!AF150</f>
        <v>APAGADO</v>
      </c>
      <c r="AG152" t="str">
        <f>ESTADISTICA!AG150</f>
        <v>APAGADO</v>
      </c>
      <c r="AH152" t="str">
        <f>ESTADISTICA!AH150</f>
        <v>APAGADO</v>
      </c>
      <c r="AI152">
        <f>ESTADISTICA!AI150</f>
        <v>0</v>
      </c>
      <c r="AJ152">
        <f>ESTADISTICA!AJ150</f>
        <v>0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 t="str">
        <f>ESTADISTICA!AH153</f>
        <v>APAGADO</v>
      </c>
      <c r="AI155">
        <f>ESTADISTICA!AI153</f>
        <v>0</v>
      </c>
      <c r="AJ155">
        <f>ESTADISTICA!AJ153</f>
        <v>0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 t="str">
        <f>ESTADISTICA!AG166</f>
        <v>APAGADO</v>
      </c>
      <c r="AH168" t="str">
        <f>ESTADISTICA!AH166</f>
        <v>APAGADO</v>
      </c>
      <c r="AI168">
        <f>ESTADISTICA!AI166</f>
        <v>0</v>
      </c>
      <c r="AJ168">
        <f>ESTADISTICA!AJ166</f>
        <v>0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 t="str">
        <f>ESTADISTICA!AE168</f>
        <v>APAGADO</v>
      </c>
      <c r="AF170" t="str">
        <f>ESTADISTICA!AF168</f>
        <v>APAGADO</v>
      </c>
      <c r="AG170" t="str">
        <f>ESTADISTICA!AG168</f>
        <v>APAGADO</v>
      </c>
      <c r="AH170" t="str">
        <f>ESTADISTICA!AH168</f>
        <v>APAGADO</v>
      </c>
      <c r="AI170">
        <f>ESTADISTICA!AI168</f>
        <v>0</v>
      </c>
      <c r="AJ170">
        <f>ESTADISTICA!AJ168</f>
        <v>0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 t="str">
        <f>ESTADISTICA!AE170</f>
        <v>APAGADO</v>
      </c>
      <c r="AF172" t="str">
        <f>ESTADISTICA!AF170</f>
        <v>APAGADO</v>
      </c>
      <c r="AG172" t="str">
        <f>ESTADISTICA!AG170</f>
        <v>APAGADO</v>
      </c>
      <c r="AH172" t="str">
        <f>ESTADISTICA!AH170</f>
        <v>APAGADO</v>
      </c>
      <c r="AI172">
        <f>ESTADISTICA!AI170</f>
        <v>0</v>
      </c>
      <c r="AJ172">
        <f>ESTADISTICA!AJ170</f>
        <v>0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 t="str">
        <f>ESTADISTICA!AE171</f>
        <v>APAGADO</v>
      </c>
      <c r="AF173" t="str">
        <f>ESTADISTICA!AF171</f>
        <v>APAGADO</v>
      </c>
      <c r="AG173" t="str">
        <f>ESTADISTICA!AG171</f>
        <v>APAGADO</v>
      </c>
      <c r="AH173" t="str">
        <f>ESTADISTICA!AH171</f>
        <v>APAGADO</v>
      </c>
      <c r="AI173">
        <f>ESTADISTICA!AI171</f>
        <v>0</v>
      </c>
      <c r="AJ173">
        <f>ESTADISTICA!AJ171</f>
        <v>0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 t="str">
        <f>ESTADISTICA!AH177</f>
        <v>APAGADO</v>
      </c>
      <c r="AI179">
        <f>ESTADISTICA!AI177</f>
        <v>0</v>
      </c>
      <c r="AJ179">
        <f>ESTADISTICA!AJ177</f>
        <v>0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>
        <f>ESTADISTICA!AI188</f>
        <v>0</v>
      </c>
      <c r="AJ190">
        <f>ESTADISTICA!AJ188</f>
        <v>0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>
        <f>ESTADISTICA!AI189</f>
        <v>0</v>
      </c>
      <c r="AJ191">
        <f>ESTADISTICA!AJ189</f>
        <v>0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 t="str">
        <f>ESTADISTICA!AG190</f>
        <v>APAGADO</v>
      </c>
      <c r="AH192" t="str">
        <f>ESTADISTICA!AH190</f>
        <v>APAGADO</v>
      </c>
      <c r="AI192">
        <f>ESTADISTICA!AI190</f>
        <v>0</v>
      </c>
      <c r="AJ192">
        <f>ESTADISTICA!AJ190</f>
        <v>0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 t="str">
        <f>ESTADISTICA!AG191</f>
        <v>APAGADO</v>
      </c>
      <c r="AH193" t="str">
        <f>ESTADISTICA!AH191</f>
        <v>APAGADO</v>
      </c>
      <c r="AI193">
        <f>ESTADISTICA!AI191</f>
        <v>0</v>
      </c>
      <c r="AJ193">
        <f>ESTADISTICA!AJ191</f>
        <v>0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 t="str">
        <f>ESTADISTICA!AH194</f>
        <v>APAGADO</v>
      </c>
      <c r="AI196">
        <f>ESTADISTICA!AI194</f>
        <v>0</v>
      </c>
      <c r="AJ196">
        <f>ESTADISTICA!AJ194</f>
        <v>0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>
        <f>ESTADISTICA!AI196</f>
        <v>0</v>
      </c>
      <c r="AJ198">
        <f>ESTADISTICA!AJ196</f>
        <v>0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 t="str">
        <f>ESTADISTICA!AE197</f>
        <v>APAGADO</v>
      </c>
      <c r="AF199" t="str">
        <f>ESTADISTICA!AF197</f>
        <v>APAGADO</v>
      </c>
      <c r="AG199" t="str">
        <f>ESTADISTICA!AG197</f>
        <v>APAGADO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str">
        <f>ESTADISTICA!AH200</f>
        <v>APAGADO</v>
      </c>
      <c r="AI202">
        <f>ESTADISTICA!AI200</f>
        <v>0</v>
      </c>
      <c r="AJ202">
        <f>ESTADISTICA!AJ200</f>
        <v>0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 t="str">
        <f>ESTADISTICA!AH204</f>
        <v>APAGADO</v>
      </c>
      <c r="AI206">
        <f>ESTADISTICA!AI204</f>
        <v>0</v>
      </c>
      <c r="AJ206">
        <f>ESTADISTICA!AJ204</f>
        <v>0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 t="str">
        <f>ESTADISTICA!AE205</f>
        <v>APAGADO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str">
        <f>ESTADISTICA!AH210</f>
        <v>APAGADO</v>
      </c>
      <c r="AI212">
        <f>ESTADISTICA!AI210</f>
        <v>0</v>
      </c>
      <c r="AJ212">
        <f>ESTADISTICA!AJ210</f>
        <v>0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 t="str">
        <f>ESTADISTICA!AG211</f>
        <v>APAGADO</v>
      </c>
      <c r="AH213" t="str">
        <f>ESTADISTICA!AH211</f>
        <v>APAGADO</v>
      </c>
      <c r="AI213">
        <f>ESTADISTICA!AI211</f>
        <v>0</v>
      </c>
      <c r="AJ213">
        <f>ESTADISTICA!AJ211</f>
        <v>0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 t="str">
        <f>ESTADISTICA!AG212</f>
        <v>APAGADO</v>
      </c>
      <c r="AH214" t="str">
        <f>ESTADISTICA!AH212</f>
        <v>APAGADO</v>
      </c>
      <c r="AI214">
        <f>ESTADISTICA!AI212</f>
        <v>0</v>
      </c>
      <c r="AJ214">
        <f>ESTADISTICA!AJ212</f>
        <v>0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 t="str">
        <f>ESTADISTICA!AG213</f>
        <v>APAGADO</v>
      </c>
      <c r="AH215" t="str">
        <f>ESTADISTICA!AH213</f>
        <v>APAGADO</v>
      </c>
      <c r="AI215">
        <f>ESTADISTICA!AI213</f>
        <v>0</v>
      </c>
      <c r="AJ215">
        <f>ESTADISTICA!AJ213</f>
        <v>0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 t="str">
        <f>ESTADISTICA!AG214</f>
        <v>APAGADO</v>
      </c>
      <c r="AH216" t="str">
        <f>ESTADISTICA!AH214</f>
        <v>APAGADO</v>
      </c>
      <c r="AI216">
        <f>ESTADISTICA!AI214</f>
        <v>0</v>
      </c>
      <c r="AJ216">
        <f>ESTADISTICA!AJ214</f>
        <v>0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 t="str">
        <f>ESTADISTICA!AG215</f>
        <v>APAGADO</v>
      </c>
      <c r="AH217" t="str">
        <f>ESTADISTICA!AH215</f>
        <v>APAGADO</v>
      </c>
      <c r="AI217">
        <f>ESTADISTICA!AI215</f>
        <v>0</v>
      </c>
      <c r="AJ217">
        <f>ESTADISTICA!AJ215</f>
        <v>0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 t="str">
        <f>ESTADISTICA!AG216</f>
        <v>APAGADO</v>
      </c>
      <c r="AH218" t="str">
        <f>ESTADISTICA!AH216</f>
        <v>APAGADO</v>
      </c>
      <c r="AI218">
        <f>ESTADISTICA!AI216</f>
        <v>0</v>
      </c>
      <c r="AJ218">
        <f>ESTADISTICA!AJ216</f>
        <v>0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 t="str">
        <f>ESTADISTICA!AG217</f>
        <v>APAGADO</v>
      </c>
      <c r="AH219" t="str">
        <f>ESTADISTICA!AH217</f>
        <v>APAGADO</v>
      </c>
      <c r="AI219">
        <f>ESTADISTICA!AI217</f>
        <v>0</v>
      </c>
      <c r="AJ219">
        <f>ESTADISTICA!AJ217</f>
        <v>0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 t="str">
        <f>ESTADISTICA!AG218</f>
        <v>APAGADO</v>
      </c>
      <c r="AH220" t="str">
        <f>ESTADISTICA!AH218</f>
        <v>APAGADO</v>
      </c>
      <c r="AI220">
        <f>ESTADISTICA!AI218</f>
        <v>0</v>
      </c>
      <c r="AJ220">
        <f>ESTADISTICA!AJ218</f>
        <v>0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 t="str">
        <f>ESTADISTICA!AG219</f>
        <v>APAGADO</v>
      </c>
      <c r="AH221" t="str">
        <f>ESTADISTICA!AH219</f>
        <v>APAGADO</v>
      </c>
      <c r="AI221">
        <f>ESTADISTICA!AI219</f>
        <v>0</v>
      </c>
      <c r="AJ221">
        <f>ESTADISTICA!AJ219</f>
        <v>0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 t="str">
        <f>ESTADISTICA!AG220</f>
        <v>APAGADO</v>
      </c>
      <c r="AH222" t="str">
        <f>ESTADISTICA!AH220</f>
        <v>APAGADO</v>
      </c>
      <c r="AI222">
        <f>ESTADISTICA!AI220</f>
        <v>0</v>
      </c>
      <c r="AJ222">
        <f>ESTADISTICA!AJ220</f>
        <v>0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 t="str">
        <f>ESTADISTICA!AG221</f>
        <v>APAGADO</v>
      </c>
      <c r="AH223" t="str">
        <f>ESTADISTICA!AH221</f>
        <v>APAGADO</v>
      </c>
      <c r="AI223">
        <f>ESTADISTICA!AI221</f>
        <v>0</v>
      </c>
      <c r="AJ223">
        <f>ESTADISTICA!AJ221</f>
        <v>0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  <c r="AJ229">
        <f>ESTADISTICA!AJ227</f>
        <v>0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 t="str">
        <f>ESTADISTICA!AG255</f>
        <v>APAGADO</v>
      </c>
      <c r="AH257" t="str">
        <f>ESTADISTICA!AH255</f>
        <v>APAGADO</v>
      </c>
      <c r="AI257">
        <f>ESTADISTICA!AI255</f>
        <v>0</v>
      </c>
      <c r="AJ257">
        <f>ESTADISTICA!AJ255</f>
        <v>0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 t="str">
        <f>ESTADISTICA!AG256</f>
        <v>APAGADO</v>
      </c>
      <c r="AH258" t="str">
        <f>ESTADISTICA!AH256</f>
        <v>APAGADO</v>
      </c>
      <c r="AI258">
        <f>ESTADISTICA!AI256</f>
        <v>0</v>
      </c>
      <c r="AJ258">
        <f>ESTADISTICA!AJ256</f>
        <v>0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x14ac:dyDescent="0.3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 t="str">
        <f>ESTADISTICA!AE277</f>
        <v>APAGADO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 t="str">
        <f>ESTADISTICA!AE278</f>
        <v>APAGADO</v>
      </c>
      <c r="AF280" t="str">
        <f>ESTADISTICA!AF278</f>
        <v>APAGADO</v>
      </c>
      <c r="AG280" t="str">
        <f>ESTADISTICA!AG278</f>
        <v>APAGADO</v>
      </c>
      <c r="AH280" t="str">
        <f>ESTADISTICA!AH278</f>
        <v>APAGADO</v>
      </c>
      <c r="AI280">
        <f>ESTADISTICA!AI278</f>
        <v>0</v>
      </c>
      <c r="AJ280">
        <f>ESTADISTICA!AJ278</f>
        <v>0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 t="str">
        <f>ESTADISTICA!AE279</f>
        <v>APAGADO</v>
      </c>
      <c r="AF281" t="str">
        <f>ESTADISTICA!AF279</f>
        <v>APAGADO</v>
      </c>
      <c r="AG281" t="str">
        <f>ESTADISTICA!AG279</f>
        <v>APAGADO</v>
      </c>
      <c r="AH281" t="str">
        <f>ESTADISTICA!AH279</f>
        <v>APAGADO</v>
      </c>
      <c r="AI281">
        <f>ESTADISTICA!AI279</f>
        <v>0</v>
      </c>
      <c r="AJ281">
        <f>ESTADISTICA!AJ279</f>
        <v>0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 t="str">
        <f>ESTADISTICA!AE281</f>
        <v>APAGADO</v>
      </c>
      <c r="AF283" t="str">
        <f>ESTADISTICA!AF281</f>
        <v>APAGADO</v>
      </c>
      <c r="AG283" t="str">
        <f>ESTADISTICA!AG281</f>
        <v>APAGADO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 t="str">
        <f>ESTADISTICA!AE282</f>
        <v>APAGADO</v>
      </c>
      <c r="AF284" t="str">
        <f>ESTADISTICA!AF282</f>
        <v>APAGADO</v>
      </c>
      <c r="AG284" t="str">
        <f>ESTADISTICA!AG282</f>
        <v>APAGADO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 t="str">
        <f>ESTADISTICA!AG283</f>
        <v>APAGADO</v>
      </c>
      <c r="AH285" t="str">
        <f>ESTADISTICA!AH283</f>
        <v>APAGADO</v>
      </c>
      <c r="AI285">
        <f>ESTADISTICA!AI283</f>
        <v>0</v>
      </c>
      <c r="AJ285">
        <f>ESTADISTICA!AJ283</f>
        <v>0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 t="str">
        <f>ESTADISTICA!AG284</f>
        <v>APAGADO</v>
      </c>
      <c r="AH286" t="str">
        <f>ESTADISTICA!AH284</f>
        <v>APAGADO</v>
      </c>
      <c r="AI286">
        <f>ESTADISTICA!AI284</f>
        <v>0</v>
      </c>
      <c r="AJ286">
        <f>ESTADISTICA!AJ284</f>
        <v>0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 t="str">
        <f>ESTADISTICA!AF285</f>
        <v>APAGADO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 t="str">
        <f>ESTADISTICA!AG287</f>
        <v>APAGADO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>
        <f>ESTADISTICA!AI288</f>
        <v>0</v>
      </c>
      <c r="AJ290">
        <f>ESTADISTICA!AJ288</f>
        <v>0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>
        <f>ESTADISTICA!AI289</f>
        <v>0</v>
      </c>
      <c r="AJ291">
        <f>ESTADISTICA!AJ289</f>
        <v>0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 t="str">
        <f>ESTADISTICA!AE290</f>
        <v>APAGADO</v>
      </c>
      <c r="AF292" t="str">
        <f>ESTADISTICA!AF290</f>
        <v>APAGADO</v>
      </c>
      <c r="AG292" t="str">
        <f>ESTADISTICA!AG290</f>
        <v>APAGADO</v>
      </c>
      <c r="AH292" t="str">
        <f>ESTADISTICA!AH290</f>
        <v>APAGADO</v>
      </c>
      <c r="AI292">
        <f>ESTADISTICA!AI290</f>
        <v>0</v>
      </c>
      <c r="AJ292">
        <f>ESTADISTICA!AJ290</f>
        <v>0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 t="str">
        <f>ESTADISTICA!AE291</f>
        <v>APAGADO</v>
      </c>
      <c r="AF293" t="str">
        <f>ESTADISTICA!AF291</f>
        <v>APAGADO</v>
      </c>
      <c r="AG293" t="str">
        <f>ESTADISTICA!AG291</f>
        <v>APAGADO</v>
      </c>
      <c r="AH293" t="str">
        <f>ESTADISTICA!AH291</f>
        <v>APAGADO</v>
      </c>
      <c r="AI293">
        <f>ESTADISTICA!AI291</f>
        <v>0</v>
      </c>
      <c r="AJ293">
        <f>ESTADISTICA!AJ291</f>
        <v>0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 t="str">
        <f>ESTADISTICA!AE292</f>
        <v>APAGADO</v>
      </c>
      <c r="AF294" t="str">
        <f>ESTADISTICA!AF292</f>
        <v>APAGADO</v>
      </c>
      <c r="AG294" t="str">
        <f>ESTADISTICA!AG292</f>
        <v>APAGADO</v>
      </c>
      <c r="AH294" t="str">
        <f>ESTADISTICA!AH292</f>
        <v>APAGADO</v>
      </c>
      <c r="AI294">
        <f>ESTADISTICA!AI292</f>
        <v>0</v>
      </c>
      <c r="AJ294">
        <f>ESTADISTICA!AJ292</f>
        <v>0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  <c r="AH302" t="str">
        <f>ESTADISTICA!AH300</f>
        <v>APAGADO</v>
      </c>
      <c r="AI302">
        <f>ESTADISTICA!AI300</f>
        <v>0</v>
      </c>
      <c r="AJ302">
        <f>ESTADISTICA!AJ300</f>
        <v>0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 t="str">
        <f>ESTADISTICA!AG342</f>
        <v>APAGADO</v>
      </c>
      <c r="AH344" t="str">
        <f>ESTADISTICA!AH342</f>
        <v>APAGADO</v>
      </c>
      <c r="AI344">
        <f>ESTADISTICA!AI342</f>
        <v>0</v>
      </c>
      <c r="AJ344">
        <f>ESTADISTICA!AJ342</f>
        <v>0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 t="str">
        <f>ESTADISTICA!AG343</f>
        <v>APAGADO</v>
      </c>
      <c r="AH345" t="str">
        <f>ESTADISTICA!AH343</f>
        <v>APAGADO</v>
      </c>
      <c r="AI345">
        <f>ESTADISTICA!AI343</f>
        <v>0</v>
      </c>
      <c r="AJ345">
        <f>ESTADISTICA!AJ343</f>
        <v>0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 t="str">
        <f>ESTADISTICA!AG344</f>
        <v>APAGADO</v>
      </c>
      <c r="AH346" t="str">
        <f>ESTADISTICA!AH344</f>
        <v>APAGADO</v>
      </c>
      <c r="AI346">
        <f>ESTADISTICA!AI344</f>
        <v>0</v>
      </c>
      <c r="AJ346">
        <f>ESTADISTICA!AJ344</f>
        <v>0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 t="str">
        <f>ESTADISTICA!AG345</f>
        <v>APAGADO</v>
      </c>
      <c r="AH347" t="str">
        <f>ESTADISTICA!AH345</f>
        <v>APAGADO</v>
      </c>
      <c r="AI347">
        <f>ESTADISTICA!AI345</f>
        <v>0</v>
      </c>
      <c r="AJ347">
        <f>ESTADISTICA!AJ345</f>
        <v>0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 t="str">
        <f>ESTADISTICA!AG346</f>
        <v>APAGADO</v>
      </c>
      <c r="AH348" t="str">
        <f>ESTADISTICA!AH346</f>
        <v>APAGADO</v>
      </c>
      <c r="AI348">
        <f>ESTADISTICA!AI346</f>
        <v>0</v>
      </c>
      <c r="AJ348">
        <f>ESTADISTICA!AJ346</f>
        <v>0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str">
        <f>ESTADISTICA!AH348</f>
        <v>APAGADO</v>
      </c>
      <c r="AI350">
        <f>ESTADISTICA!AI348</f>
        <v>0</v>
      </c>
      <c r="AJ350">
        <f>ESTADISTICA!AJ348</f>
        <v>0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>
        <f>ESTADISTICA!AI349</f>
        <v>0</v>
      </c>
      <c r="AJ351">
        <f>ESTADISTICA!AJ349</f>
        <v>0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str">
        <f>ESTADISTICA!AH350</f>
        <v>APAGADO</v>
      </c>
      <c r="AI352">
        <f>ESTADISTICA!AI350</f>
        <v>0</v>
      </c>
      <c r="AJ352">
        <f>ESTADISTICA!AJ350</f>
        <v>0</v>
      </c>
    </row>
    <row r="353" spans="1:36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 t="str">
        <f>ESTADISTICA!AG360</f>
        <v>APAGADO</v>
      </c>
      <c r="AH362" t="str">
        <f>ESTADISTICA!AH360</f>
        <v>APAGADO</v>
      </c>
      <c r="AI362">
        <f>ESTADISTICA!AI360</f>
        <v>0</v>
      </c>
      <c r="AJ362">
        <f>ESTADISTICA!AJ360</f>
        <v>0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 t="str">
        <f>ESTADISTICA!AE366</f>
        <v>APAGADO</v>
      </c>
      <c r="AF368" t="str">
        <f>ESTADISTICA!AF366</f>
        <v>APAGADO</v>
      </c>
      <c r="AG368" t="str">
        <f>ESTADISTICA!AG366</f>
        <v>APAGADO</v>
      </c>
      <c r="AH368" t="str">
        <f>ESTADISTICA!AH366</f>
        <v>APAGADO</v>
      </c>
      <c r="AI368">
        <f>ESTADISTICA!AI366</f>
        <v>0</v>
      </c>
      <c r="AJ368">
        <f>ESTADISTICA!AJ366</f>
        <v>0</v>
      </c>
    </row>
    <row r="369" spans="1:36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G369" xr:uid="{FC730B5B-E791-4742-8990-AFF1FAD7E538}"/>
  <conditionalFormatting sqref="AE3:AE1048576">
    <cfRule type="containsText" dxfId="2288" priority="2" operator="containsText" text="APAGADO">
      <formula>NOT(ISERROR(SEARCH("APAGADO",AE3)))</formula>
    </cfRule>
  </conditionalFormatting>
  <conditionalFormatting sqref="F4:AG370 AH4:AJ369">
    <cfRule type="containsText" dxfId="228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W263" activePane="bottomRight" state="frozenSplit"/>
      <selection pane="topRight" activeCell="F1" sqref="F1"/>
      <selection pane="bottomLeft" activeCell="A3" sqref="A3"/>
      <selection pane="bottomRight" activeCell="AH3" sqref="AH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5" t="s">
        <v>1325</v>
      </c>
      <c r="D1" s="55">
        <f>COUNTIFS(E4:E367,"=radio")</f>
        <v>88</v>
      </c>
    </row>
    <row r="2" spans="1:36" ht="21" x14ac:dyDescent="0.4">
      <c r="E2" s="26" t="s">
        <v>934</v>
      </c>
      <c r="F2" s="26">
        <f>COUNTIFS(F4:F367, "=APAGADO",E4:E367,"=radio")</f>
        <v>7</v>
      </c>
      <c r="G2" s="26">
        <f>COUNTIFS(G4:G367, "=APAGADO",E4:E367,"=radio")</f>
        <v>6</v>
      </c>
      <c r="H2" s="26">
        <f>COUNTIFS(H4:H367, "=APAGADO",E4:E367,"=radio")</f>
        <v>7</v>
      </c>
      <c r="I2" s="26">
        <f>COUNTIFS(I4:I367, "=APAGADO",E4:E367,"=radio")</f>
        <v>8</v>
      </c>
      <c r="J2" s="26">
        <f>COUNTIFS(J4:J367, "=APAGADO",E4:E367,"=radio")</f>
        <v>8</v>
      </c>
      <c r="K2" s="26">
        <f>COUNTIFS(K4:K367, "=APAGADO",E4:E367,"=radio")</f>
        <v>6</v>
      </c>
      <c r="L2" s="26">
        <f>COUNTIFS(L4:L367, "=APAGADO",E4:E367,"=radio")</f>
        <v>8</v>
      </c>
      <c r="M2" s="26">
        <f>COUNTIFS(M4:M367, "=APAGADO",E4:E367,"=radio")</f>
        <v>8</v>
      </c>
      <c r="N2" s="26">
        <f>COUNTIFS(N4:N367, "=APAGADO",E4:E367,"=radio")</f>
        <v>9</v>
      </c>
      <c r="O2" s="26">
        <f>COUNTIFS(O4:O367, "=APAGADO",E4:E367,"=radio")</f>
        <v>7</v>
      </c>
      <c r="P2" s="26">
        <f>COUNTIFS(P4:P367, "=APAGADO",E4:E367,"=radio")</f>
        <v>5</v>
      </c>
      <c r="Q2" s="26">
        <f>COUNTIFS(Q4:Q367, "=APAGADO",E4:E367,"=radio")</f>
        <v>4</v>
      </c>
      <c r="R2" s="26">
        <f>COUNTIFS(R4:R367, "=APAGADO",E4:E367,"=radio")</f>
        <v>5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4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6</v>
      </c>
      <c r="Y2" s="26">
        <f>COUNTIFS(Y4:Y367, "=APAGADO",E4:E367,"=radio")</f>
        <v>3</v>
      </c>
      <c r="Z2" s="26">
        <f>COUNTIFS(Z4:Z367, "=APAGADO",E4:E367,"=radio")</f>
        <v>3</v>
      </c>
      <c r="AA2" s="26">
        <f>COUNTIFS(AA4:AA367, "=APAGADO",E4:E367,"=radio")</f>
        <v>3</v>
      </c>
      <c r="AB2" s="26">
        <f>COUNTIFS(AB4:AB367, "=APAGADO",E4:E367,"=radio")</f>
        <v>2</v>
      </c>
      <c r="AC2" s="26">
        <f>COUNTIFS(AC4:AC367, "=APAGADO",E4:E367,"=radio")</f>
        <v>7</v>
      </c>
      <c r="AD2" s="26">
        <f>COUNTIFS(AD4:AD367, "=APAGADO",E4:E367,"=radio")</f>
        <v>5</v>
      </c>
      <c r="AE2" s="26">
        <f>COUNTIFS(AE4:AE367, "=APAGADO",E4:E367,"=radio")</f>
        <v>6</v>
      </c>
      <c r="AF2" s="26">
        <f>COUNTIFS(AF4:AF367, "=APAGADO",E4:E367,"=radio")</f>
        <v>5</v>
      </c>
      <c r="AG2" s="26">
        <f>COUNTIFS(AG4:AG367, "=APAGADO",E4:E367,"=radio")</f>
        <v>4</v>
      </c>
      <c r="AH2" s="26">
        <f>COUNTIFS(AH4:AH367, "=APAGADO",E4:E367,"=radio")</f>
        <v>3</v>
      </c>
      <c r="AI2" s="26">
        <f t="shared" ref="AH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 t="str">
        <f>ESTADISTICA!AE2</f>
        <v>APAGADO</v>
      </c>
      <c r="AF4" t="str">
        <f>ESTADISTICA!AF2</f>
        <v>APAGADO</v>
      </c>
      <c r="AG4" t="str">
        <f>ESTADISTICA!AG2</f>
        <v>APAGADO</v>
      </c>
      <c r="AH4" t="str">
        <f>ESTADISTICA!AH2</f>
        <v>APAGADO</v>
      </c>
      <c r="AI4">
        <f>ESTADISTICA!AI2</f>
        <v>0</v>
      </c>
      <c r="AJ4">
        <f>ESTADISTICA!AJ2</f>
        <v>0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 t="str">
        <f>ESTADISTICA!AH7</f>
        <v>APAGADO</v>
      </c>
      <c r="AI9">
        <f>ESTADISTICA!AI7</f>
        <v>0</v>
      </c>
      <c r="AJ9">
        <f>ESTADISTICA!AJ7</f>
        <v>0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t="str">
        <f>ESTADISTICA!AH10</f>
        <v>APAGADO</v>
      </c>
      <c r="AI12">
        <f>ESTADISTICA!AI10</f>
        <v>0</v>
      </c>
      <c r="AJ12">
        <f>ESTADISTICA!AJ10</f>
        <v>0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 t="str">
        <f>ESTADISTICA!AF11</f>
        <v>APAGADO</v>
      </c>
      <c r="AG13" t="str">
        <f>ESTADISTICA!AG11</f>
        <v>APAGADO</v>
      </c>
      <c r="AH13" t="str">
        <f>ESTADISTICA!AH11</f>
        <v>APAGADO</v>
      </c>
      <c r="AI13">
        <f>ESTADISTICA!AI11</f>
        <v>0</v>
      </c>
      <c r="AJ13">
        <f>ESTADISTICA!AJ11</f>
        <v>0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 t="str">
        <f>ESTADISTICA!AE14</f>
        <v>APAGADO</v>
      </c>
      <c r="AF16" t="str">
        <f>ESTADISTICA!AF14</f>
        <v>APAGADO</v>
      </c>
      <c r="AG16" t="str">
        <f>ESTADISTICA!AG14</f>
        <v>APAGADO</v>
      </c>
      <c r="AH16" t="str">
        <f>ESTADISTICA!AH14</f>
        <v>APAGADO</v>
      </c>
      <c r="AI16">
        <f>ESTADISTICA!AI14</f>
        <v>0</v>
      </c>
      <c r="AJ16">
        <f>ESTADISTICA!AJ14</f>
        <v>0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 t="str">
        <f>ESTADISTICA!AE15</f>
        <v>APAGADO</v>
      </c>
      <c r="AF17" t="str">
        <f>ESTADISTICA!AF15</f>
        <v>APAGADO</v>
      </c>
      <c r="AG17" t="str">
        <f>ESTADISTICA!AG15</f>
        <v>APAGADO</v>
      </c>
      <c r="AH17" t="str">
        <f>ESTADISTICA!AH15</f>
        <v>APAGADO</v>
      </c>
      <c r="AI17">
        <f>ESTADISTICA!AI15</f>
        <v>0</v>
      </c>
      <c r="AJ17">
        <f>ESTADISTICA!AJ15</f>
        <v>0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 t="str">
        <f>ESTADISTICA!AE27</f>
        <v>APAGADO</v>
      </c>
      <c r="AF29" t="str">
        <f>ESTADISTICA!AF27</f>
        <v>APAGADO</v>
      </c>
      <c r="AG29" t="str">
        <f>ESTADISTICA!AG27</f>
        <v>APAGADO</v>
      </c>
      <c r="AH29" t="str">
        <f>ESTADISTICA!AH27</f>
        <v>APAGADO</v>
      </c>
      <c r="AI29">
        <f>ESTADISTICA!AI27</f>
        <v>0</v>
      </c>
      <c r="AJ29">
        <f>ESTADISTICA!AJ27</f>
        <v>0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 t="str">
        <f>ESTADISTICA!AE59</f>
        <v>APAGADO</v>
      </c>
      <c r="AF61" t="str">
        <f>ESTADISTICA!AF59</f>
        <v>APAGADO</v>
      </c>
      <c r="AG61" t="str">
        <f>ESTADISTICA!AG59</f>
        <v>APAGADO</v>
      </c>
      <c r="AH61" t="str">
        <f>ESTADISTICA!AH59</f>
        <v>APAGADO</v>
      </c>
      <c r="AI61">
        <f>ESTADISTICA!AI59</f>
        <v>0</v>
      </c>
      <c r="AJ61">
        <f>ESTADISTICA!AJ59</f>
        <v>0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 t="str">
        <f>ESTADISTICA!AE60</f>
        <v>APAGADO</v>
      </c>
      <c r="AF62" t="str">
        <f>ESTADISTICA!AF60</f>
        <v>APAGADO</v>
      </c>
      <c r="AG62" t="str">
        <f>ESTADISTICA!AG60</f>
        <v>APAGADO</v>
      </c>
      <c r="AH62" t="str">
        <f>ESTADISTICA!AH60</f>
        <v>APAGADO</v>
      </c>
      <c r="AI62">
        <f>ESTADISTICA!AI60</f>
        <v>0</v>
      </c>
      <c r="AJ62">
        <f>ESTADISTICA!AJ60</f>
        <v>0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 t="str">
        <f>ESTADISTICA!AE62</f>
        <v>APAGADO</v>
      </c>
      <c r="AF64" t="str">
        <f>ESTADISTICA!AF62</f>
        <v>APAGADO</v>
      </c>
      <c r="AG64" t="str">
        <f>ESTADISTICA!AG62</f>
        <v>APAGADO</v>
      </c>
      <c r="AH64" t="str">
        <f>ESTADISTICA!AH62</f>
        <v>APAGADO</v>
      </c>
      <c r="AI64">
        <f>ESTADISTICA!AI62</f>
        <v>0</v>
      </c>
      <c r="AJ64">
        <f>ESTADISTICA!AJ62</f>
        <v>0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 t="str">
        <f>ESTADISTICA!AE65</f>
        <v>APAGADO</v>
      </c>
      <c r="AF67" t="str">
        <f>ESTADISTICA!AF65</f>
        <v>APAGADO</v>
      </c>
      <c r="AG67" t="str">
        <f>ESTADISTICA!AG65</f>
        <v>APAGADO</v>
      </c>
      <c r="AH67" t="str">
        <f>ESTADISTICA!AH65</f>
        <v>APAGADO</v>
      </c>
      <c r="AI67">
        <f>ESTADISTICA!AI65</f>
        <v>0</v>
      </c>
      <c r="AJ67">
        <f>ESTADISTICA!AJ65</f>
        <v>0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 t="str">
        <f>ESTADISTICA!AE67</f>
        <v>APAGADO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>
        <f>ESTADISTICA!AI77</f>
        <v>0</v>
      </c>
      <c r="AJ79">
        <f>ESTADISTICA!AJ77</f>
        <v>0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 t="str">
        <f>ESTADISTICA!AG88</f>
        <v>APAGADO</v>
      </c>
      <c r="AH90" t="str">
        <f>ESTADISTICA!AH88</f>
        <v>APAGADO</v>
      </c>
      <c r="AI90">
        <f>ESTADISTICA!AI88</f>
        <v>0</v>
      </c>
      <c r="AJ90">
        <f>ESTADISTICA!AJ88</f>
        <v>0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 t="str">
        <f>ESTADISTICA!AE89</f>
        <v>APAGADO</v>
      </c>
      <c r="AF91" t="str">
        <f>ESTADISTICA!AF89</f>
        <v>APAGADO</v>
      </c>
      <c r="AG91" t="str">
        <f>ESTADISTICA!AG89</f>
        <v>APAGADO</v>
      </c>
      <c r="AH91" t="str">
        <f>ESTADISTICA!AH89</f>
        <v>APAGADO</v>
      </c>
      <c r="AI91">
        <f>ESTADISTICA!AI89</f>
        <v>0</v>
      </c>
      <c r="AJ91">
        <f>ESTADISTICA!AJ89</f>
        <v>0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 t="str">
        <f>ESTADISTICA!AG103</f>
        <v>APAGADO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 t="str">
        <f>ESTADISTICA!AG105</f>
        <v>APAGADO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 t="str">
        <f>ESTADISTICA!AE106</f>
        <v>APAGADO</v>
      </c>
      <c r="AF108" t="str">
        <f>ESTADISTICA!AF106</f>
        <v>APAGADO</v>
      </c>
      <c r="AG108" t="str">
        <f>ESTADISTICA!AG106</f>
        <v>APAGADO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 t="str">
        <f>ESTADISTICA!AE119</f>
        <v>APAGADO</v>
      </c>
      <c r="AF121" t="str">
        <f>ESTADISTICA!AF119</f>
        <v>APAGADO</v>
      </c>
      <c r="AG121" t="str">
        <f>ESTADISTICA!AG119</f>
        <v>APAGADO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 t="str">
        <f>ESTADISTICA!AE120</f>
        <v>APAGADO</v>
      </c>
      <c r="AF122" t="str">
        <f>ESTADISTICA!AF120</f>
        <v>APAGADO</v>
      </c>
      <c r="AG122" t="str">
        <f>ESTADISTICA!AG120</f>
        <v>APAGADO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str">
        <f>ESTADISTICA!AH121</f>
        <v>APAGADO</v>
      </c>
      <c r="AI123">
        <f>ESTADISTICA!AI121</f>
        <v>0</v>
      </c>
      <c r="AJ123">
        <f>ESTADISTICA!AJ121</f>
        <v>0</v>
      </c>
    </row>
    <row r="124" spans="1:36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 t="str">
        <f>ESTADISTICA!AH130</f>
        <v>APAGADO</v>
      </c>
      <c r="AI132">
        <f>ESTADISTICA!AI130</f>
        <v>0</v>
      </c>
      <c r="AJ132">
        <f>ESTADISTICA!AJ130</f>
        <v>0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 t="str">
        <f>ESTADISTICA!AE133</f>
        <v>APAGADO</v>
      </c>
      <c r="AF135" t="str">
        <f>ESTADISTICA!AF133</f>
        <v>APAGADO</v>
      </c>
      <c r="AG135" t="str">
        <f>ESTADISTICA!AG133</f>
        <v>APAGADO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 t="str">
        <f>ESTADISTICA!AF150</f>
        <v>APAGADO</v>
      </c>
      <c r="AG152" t="str">
        <f>ESTADISTICA!AG150</f>
        <v>APAGADO</v>
      </c>
      <c r="AH152" t="str">
        <f>ESTADISTICA!AH150</f>
        <v>APAGADO</v>
      </c>
      <c r="AI152">
        <f>ESTADISTICA!AI150</f>
        <v>0</v>
      </c>
      <c r="AJ152">
        <f>ESTADISTICA!AJ150</f>
        <v>0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 t="str">
        <f>ESTADISTICA!AH153</f>
        <v>APAGADO</v>
      </c>
      <c r="AI155">
        <f>ESTADISTICA!AI153</f>
        <v>0</v>
      </c>
      <c r="AJ155">
        <f>ESTADISTICA!AJ153</f>
        <v>0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 t="str">
        <f>ESTADISTICA!AG166</f>
        <v>APAGADO</v>
      </c>
      <c r="AH168" t="str">
        <f>ESTADISTICA!AH166</f>
        <v>APAGADO</v>
      </c>
      <c r="AI168">
        <f>ESTADISTICA!AI166</f>
        <v>0</v>
      </c>
      <c r="AJ168">
        <f>ESTADISTICA!AJ166</f>
        <v>0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 t="str">
        <f>ESTADISTICA!AE168</f>
        <v>APAGADO</v>
      </c>
      <c r="AF170" t="str">
        <f>ESTADISTICA!AF168</f>
        <v>APAGADO</v>
      </c>
      <c r="AG170" t="str">
        <f>ESTADISTICA!AG168</f>
        <v>APAGADO</v>
      </c>
      <c r="AH170" t="str">
        <f>ESTADISTICA!AH168</f>
        <v>APAGADO</v>
      </c>
      <c r="AI170">
        <f>ESTADISTICA!AI168</f>
        <v>0</v>
      </c>
      <c r="AJ170">
        <f>ESTADISTICA!AJ168</f>
        <v>0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 t="str">
        <f>ESTADISTICA!AE170</f>
        <v>APAGADO</v>
      </c>
      <c r="AF172" t="str">
        <f>ESTADISTICA!AF170</f>
        <v>APAGADO</v>
      </c>
      <c r="AG172" t="str">
        <f>ESTADISTICA!AG170</f>
        <v>APAGADO</v>
      </c>
      <c r="AH172" t="str">
        <f>ESTADISTICA!AH170</f>
        <v>APAGADO</v>
      </c>
      <c r="AI172">
        <f>ESTADISTICA!AI170</f>
        <v>0</v>
      </c>
      <c r="AJ172">
        <f>ESTADISTICA!AJ170</f>
        <v>0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 t="str">
        <f>ESTADISTICA!AE171</f>
        <v>APAGADO</v>
      </c>
      <c r="AF173" t="str">
        <f>ESTADISTICA!AF171</f>
        <v>APAGADO</v>
      </c>
      <c r="AG173" t="str">
        <f>ESTADISTICA!AG171</f>
        <v>APAGADO</v>
      </c>
      <c r="AH173" t="str">
        <f>ESTADISTICA!AH171</f>
        <v>APAGADO</v>
      </c>
      <c r="AI173">
        <f>ESTADISTICA!AI171</f>
        <v>0</v>
      </c>
      <c r="AJ173">
        <f>ESTADISTICA!AJ171</f>
        <v>0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 t="str">
        <f>ESTADISTICA!AH177</f>
        <v>APAGADO</v>
      </c>
      <c r="AI179">
        <f>ESTADISTICA!AI177</f>
        <v>0</v>
      </c>
      <c r="AJ179">
        <f>ESTADISTICA!AJ177</f>
        <v>0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>
        <f>ESTADISTICA!AI188</f>
        <v>0</v>
      </c>
      <c r="AJ190">
        <f>ESTADISTICA!AJ188</f>
        <v>0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>
        <f>ESTADISTICA!AI189</f>
        <v>0</v>
      </c>
      <c r="AJ191">
        <f>ESTADISTICA!AJ189</f>
        <v>0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 t="str">
        <f>ESTADISTICA!AG190</f>
        <v>APAGADO</v>
      </c>
      <c r="AH192" t="str">
        <f>ESTADISTICA!AH190</f>
        <v>APAGADO</v>
      </c>
      <c r="AI192">
        <f>ESTADISTICA!AI190</f>
        <v>0</v>
      </c>
      <c r="AJ192">
        <f>ESTADISTICA!AJ190</f>
        <v>0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 t="str">
        <f>ESTADISTICA!AG191</f>
        <v>APAGADO</v>
      </c>
      <c r="AH193" t="str">
        <f>ESTADISTICA!AH191</f>
        <v>APAGADO</v>
      </c>
      <c r="AI193">
        <f>ESTADISTICA!AI191</f>
        <v>0</v>
      </c>
      <c r="AJ193">
        <f>ESTADISTICA!AJ191</f>
        <v>0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 t="str">
        <f>ESTADISTICA!AH194</f>
        <v>APAGADO</v>
      </c>
      <c r="AI196">
        <f>ESTADISTICA!AI194</f>
        <v>0</v>
      </c>
      <c r="AJ196">
        <f>ESTADISTICA!AJ194</f>
        <v>0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>
        <f>ESTADISTICA!AI196</f>
        <v>0</v>
      </c>
      <c r="AJ198">
        <f>ESTADISTICA!AJ196</f>
        <v>0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 t="str">
        <f>ESTADISTICA!AE197</f>
        <v>APAGADO</v>
      </c>
      <c r="AF199" t="str">
        <f>ESTADISTICA!AF197</f>
        <v>APAGADO</v>
      </c>
      <c r="AG199" t="str">
        <f>ESTADISTICA!AG197</f>
        <v>APAGADO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str">
        <f>ESTADISTICA!AH200</f>
        <v>APAGADO</v>
      </c>
      <c r="AI202">
        <f>ESTADISTICA!AI200</f>
        <v>0</v>
      </c>
      <c r="AJ202">
        <f>ESTADISTICA!AJ200</f>
        <v>0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 t="str">
        <f>ESTADISTICA!AH204</f>
        <v>APAGADO</v>
      </c>
      <c r="AI206">
        <f>ESTADISTICA!AI204</f>
        <v>0</v>
      </c>
      <c r="AJ206">
        <f>ESTADISTICA!AJ204</f>
        <v>0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 t="str">
        <f>ESTADISTICA!AE205</f>
        <v>APAGADO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str">
        <f>ESTADISTICA!AH210</f>
        <v>APAGADO</v>
      </c>
      <c r="AI212">
        <f>ESTADISTICA!AI210</f>
        <v>0</v>
      </c>
      <c r="AJ212">
        <f>ESTADISTICA!AJ210</f>
        <v>0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 t="str">
        <f>ESTADISTICA!AG211</f>
        <v>APAGADO</v>
      </c>
      <c r="AH213" t="str">
        <f>ESTADISTICA!AH211</f>
        <v>APAGADO</v>
      </c>
      <c r="AI213">
        <f>ESTADISTICA!AI211</f>
        <v>0</v>
      </c>
      <c r="AJ213">
        <f>ESTADISTICA!AJ211</f>
        <v>0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 t="str">
        <f>ESTADISTICA!AG212</f>
        <v>APAGADO</v>
      </c>
      <c r="AH214" t="str">
        <f>ESTADISTICA!AH212</f>
        <v>APAGADO</v>
      </c>
      <c r="AI214">
        <f>ESTADISTICA!AI212</f>
        <v>0</v>
      </c>
      <c r="AJ214">
        <f>ESTADISTICA!AJ212</f>
        <v>0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 t="str">
        <f>ESTADISTICA!AG213</f>
        <v>APAGADO</v>
      </c>
      <c r="AH215" t="str">
        <f>ESTADISTICA!AH213</f>
        <v>APAGADO</v>
      </c>
      <c r="AI215">
        <f>ESTADISTICA!AI213</f>
        <v>0</v>
      </c>
      <c r="AJ215">
        <f>ESTADISTICA!AJ213</f>
        <v>0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 t="str">
        <f>ESTADISTICA!AG214</f>
        <v>APAGADO</v>
      </c>
      <c r="AH216" t="str">
        <f>ESTADISTICA!AH214</f>
        <v>APAGADO</v>
      </c>
      <c r="AI216">
        <f>ESTADISTICA!AI214</f>
        <v>0</v>
      </c>
      <c r="AJ216">
        <f>ESTADISTICA!AJ214</f>
        <v>0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 t="str">
        <f>ESTADISTICA!AG215</f>
        <v>APAGADO</v>
      </c>
      <c r="AH217" t="str">
        <f>ESTADISTICA!AH215</f>
        <v>APAGADO</v>
      </c>
      <c r="AI217">
        <f>ESTADISTICA!AI215</f>
        <v>0</v>
      </c>
      <c r="AJ217">
        <f>ESTADISTICA!AJ215</f>
        <v>0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 t="str">
        <f>ESTADISTICA!AG216</f>
        <v>APAGADO</v>
      </c>
      <c r="AH218" t="str">
        <f>ESTADISTICA!AH216</f>
        <v>APAGADO</v>
      </c>
      <c r="AI218">
        <f>ESTADISTICA!AI216</f>
        <v>0</v>
      </c>
      <c r="AJ218">
        <f>ESTADISTICA!AJ216</f>
        <v>0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 t="str">
        <f>ESTADISTICA!AG217</f>
        <v>APAGADO</v>
      </c>
      <c r="AH219" t="str">
        <f>ESTADISTICA!AH217</f>
        <v>APAGADO</v>
      </c>
      <c r="AI219">
        <f>ESTADISTICA!AI217</f>
        <v>0</v>
      </c>
      <c r="AJ219">
        <f>ESTADISTICA!AJ217</f>
        <v>0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 t="str">
        <f>ESTADISTICA!AG218</f>
        <v>APAGADO</v>
      </c>
      <c r="AH220" t="str">
        <f>ESTADISTICA!AH218</f>
        <v>APAGADO</v>
      </c>
      <c r="AI220">
        <f>ESTADISTICA!AI218</f>
        <v>0</v>
      </c>
      <c r="AJ220">
        <f>ESTADISTICA!AJ218</f>
        <v>0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 t="str">
        <f>ESTADISTICA!AG219</f>
        <v>APAGADO</v>
      </c>
      <c r="AH221" t="str">
        <f>ESTADISTICA!AH219</f>
        <v>APAGADO</v>
      </c>
      <c r="AI221">
        <f>ESTADISTICA!AI219</f>
        <v>0</v>
      </c>
      <c r="AJ221">
        <f>ESTADISTICA!AJ219</f>
        <v>0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 t="str">
        <f>ESTADISTICA!AG220</f>
        <v>APAGADO</v>
      </c>
      <c r="AH222" t="str">
        <f>ESTADISTICA!AH220</f>
        <v>APAGADO</v>
      </c>
      <c r="AI222">
        <f>ESTADISTICA!AI220</f>
        <v>0</v>
      </c>
      <c r="AJ222">
        <f>ESTADISTICA!AJ220</f>
        <v>0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 t="str">
        <f>ESTADISTICA!AE221</f>
        <v>APAGADO</v>
      </c>
      <c r="AF223" t="str">
        <f>ESTADISTICA!AF221</f>
        <v>APAGADO</v>
      </c>
      <c r="AG223" t="str">
        <f>ESTADISTICA!AG221</f>
        <v>APAGADO</v>
      </c>
      <c r="AH223" t="str">
        <f>ESTADISTICA!AH221</f>
        <v>APAGADO</v>
      </c>
      <c r="AI223">
        <f>ESTADISTICA!AI221</f>
        <v>0</v>
      </c>
      <c r="AJ223">
        <f>ESTADISTICA!AJ221</f>
        <v>0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  <c r="AJ229">
        <f>ESTADISTICA!AJ227</f>
        <v>0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 t="str">
        <f>ESTADISTICA!AG255</f>
        <v>APAGADO</v>
      </c>
      <c r="AH257" t="str">
        <f>ESTADISTICA!AH255</f>
        <v>APAGADO</v>
      </c>
      <c r="AI257">
        <f>ESTADISTICA!AI255</f>
        <v>0</v>
      </c>
      <c r="AJ257">
        <f>ESTADISTICA!AJ255</f>
        <v>0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 t="str">
        <f>ESTADISTICA!AG256</f>
        <v>APAGADO</v>
      </c>
      <c r="AH258" t="str">
        <f>ESTADISTICA!AH256</f>
        <v>APAGADO</v>
      </c>
      <c r="AI258">
        <f>ESTADISTICA!AI256</f>
        <v>0</v>
      </c>
      <c r="AJ258">
        <f>ESTADISTICA!AJ256</f>
        <v>0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x14ac:dyDescent="0.3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 t="str">
        <f>ESTADISTICA!AE277</f>
        <v>APAGADO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 t="str">
        <f>ESTADISTICA!AE278</f>
        <v>APAGADO</v>
      </c>
      <c r="AF280" t="str">
        <f>ESTADISTICA!AF278</f>
        <v>APAGADO</v>
      </c>
      <c r="AG280" t="str">
        <f>ESTADISTICA!AG278</f>
        <v>APAGADO</v>
      </c>
      <c r="AH280" t="str">
        <f>ESTADISTICA!AH278</f>
        <v>APAGADO</v>
      </c>
      <c r="AI280">
        <f>ESTADISTICA!AI278</f>
        <v>0</v>
      </c>
      <c r="AJ280">
        <f>ESTADISTICA!AJ278</f>
        <v>0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 t="str">
        <f>ESTADISTICA!AE279</f>
        <v>APAGADO</v>
      </c>
      <c r="AF281" t="str">
        <f>ESTADISTICA!AF279</f>
        <v>APAGADO</v>
      </c>
      <c r="AG281" t="str">
        <f>ESTADISTICA!AG279</f>
        <v>APAGADO</v>
      </c>
      <c r="AH281" t="str">
        <f>ESTADISTICA!AH279</f>
        <v>APAGADO</v>
      </c>
      <c r="AI281">
        <f>ESTADISTICA!AI279</f>
        <v>0</v>
      </c>
      <c r="AJ281">
        <f>ESTADISTICA!AJ279</f>
        <v>0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 t="str">
        <f>ESTADISTICA!AE281</f>
        <v>APAGADO</v>
      </c>
      <c r="AF283" t="str">
        <f>ESTADISTICA!AF281</f>
        <v>APAGADO</v>
      </c>
      <c r="AG283" t="str">
        <f>ESTADISTICA!AG281</f>
        <v>APAGADO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 t="str">
        <f>ESTADISTICA!AE282</f>
        <v>APAGADO</v>
      </c>
      <c r="AF284" t="str">
        <f>ESTADISTICA!AF282</f>
        <v>APAGADO</v>
      </c>
      <c r="AG284" t="str">
        <f>ESTADISTICA!AG282</f>
        <v>APAGADO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 t="str">
        <f>ESTADISTICA!AG283</f>
        <v>APAGADO</v>
      </c>
      <c r="AH285" t="str">
        <f>ESTADISTICA!AH283</f>
        <v>APAGADO</v>
      </c>
      <c r="AI285">
        <f>ESTADISTICA!AI283</f>
        <v>0</v>
      </c>
      <c r="AJ285">
        <f>ESTADISTICA!AJ283</f>
        <v>0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 t="str">
        <f>ESTADISTICA!AG284</f>
        <v>APAGADO</v>
      </c>
      <c r="AH286" t="str">
        <f>ESTADISTICA!AH284</f>
        <v>APAGADO</v>
      </c>
      <c r="AI286">
        <f>ESTADISTICA!AI284</f>
        <v>0</v>
      </c>
      <c r="AJ286">
        <f>ESTADISTICA!AJ284</f>
        <v>0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 t="str">
        <f>ESTADISTICA!AF285</f>
        <v>APAGADO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 t="str">
        <f>ESTADISTICA!AG287</f>
        <v>APAGADO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>
        <f>ESTADISTICA!AI288</f>
        <v>0</v>
      </c>
      <c r="AJ290">
        <f>ESTADISTICA!AJ288</f>
        <v>0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>
        <f>ESTADISTICA!AI289</f>
        <v>0</v>
      </c>
      <c r="AJ291">
        <f>ESTADISTICA!AJ289</f>
        <v>0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 t="str">
        <f>ESTADISTICA!AE290</f>
        <v>APAGADO</v>
      </c>
      <c r="AF292" t="str">
        <f>ESTADISTICA!AF290</f>
        <v>APAGADO</v>
      </c>
      <c r="AG292" t="str">
        <f>ESTADISTICA!AG290</f>
        <v>APAGADO</v>
      </c>
      <c r="AH292" t="str">
        <f>ESTADISTICA!AH290</f>
        <v>APAGADO</v>
      </c>
      <c r="AI292">
        <f>ESTADISTICA!AI290</f>
        <v>0</v>
      </c>
      <c r="AJ292">
        <f>ESTADISTICA!AJ290</f>
        <v>0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 t="str">
        <f>ESTADISTICA!AE291</f>
        <v>APAGADO</v>
      </c>
      <c r="AF293" t="str">
        <f>ESTADISTICA!AF291</f>
        <v>APAGADO</v>
      </c>
      <c r="AG293" t="str">
        <f>ESTADISTICA!AG291</f>
        <v>APAGADO</v>
      </c>
      <c r="AH293" t="str">
        <f>ESTADISTICA!AH291</f>
        <v>APAGADO</v>
      </c>
      <c r="AI293">
        <f>ESTADISTICA!AI291</f>
        <v>0</v>
      </c>
      <c r="AJ293">
        <f>ESTADISTICA!AJ291</f>
        <v>0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 t="str">
        <f>ESTADISTICA!AE292</f>
        <v>APAGADO</v>
      </c>
      <c r="AF294" t="str">
        <f>ESTADISTICA!AF292</f>
        <v>APAGADO</v>
      </c>
      <c r="AG294" t="str">
        <f>ESTADISTICA!AG292</f>
        <v>APAGADO</v>
      </c>
      <c r="AH294" t="str">
        <f>ESTADISTICA!AH292</f>
        <v>APAGADO</v>
      </c>
      <c r="AI294">
        <f>ESTADISTICA!AI292</f>
        <v>0</v>
      </c>
      <c r="AJ294">
        <f>ESTADISTICA!AJ292</f>
        <v>0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  <c r="AH302" t="str">
        <f>ESTADISTICA!AH300</f>
        <v>APAGADO</v>
      </c>
      <c r="AI302">
        <f>ESTADISTICA!AI300</f>
        <v>0</v>
      </c>
      <c r="AJ302">
        <f>ESTADISTICA!AJ300</f>
        <v>0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 t="str">
        <f>ESTADISTICA!AE339</f>
        <v>APAGADO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 t="str">
        <f>ESTADISTICA!AG342</f>
        <v>APAGADO</v>
      </c>
      <c r="AH344" t="str">
        <f>ESTADISTICA!AH342</f>
        <v>APAGADO</v>
      </c>
      <c r="AI344">
        <f>ESTADISTICA!AI342</f>
        <v>0</v>
      </c>
      <c r="AJ344">
        <f>ESTADISTICA!AJ342</f>
        <v>0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 t="str">
        <f>ESTADISTICA!AG343</f>
        <v>APAGADO</v>
      </c>
      <c r="AH345" t="str">
        <f>ESTADISTICA!AH343</f>
        <v>APAGADO</v>
      </c>
      <c r="AI345">
        <f>ESTADISTICA!AI343</f>
        <v>0</v>
      </c>
      <c r="AJ345">
        <f>ESTADISTICA!AJ343</f>
        <v>0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 t="str">
        <f>ESTADISTICA!AG344</f>
        <v>APAGADO</v>
      </c>
      <c r="AH346" t="str">
        <f>ESTADISTICA!AH344</f>
        <v>APAGADO</v>
      </c>
      <c r="AI346">
        <f>ESTADISTICA!AI344</f>
        <v>0</v>
      </c>
      <c r="AJ346">
        <f>ESTADISTICA!AJ344</f>
        <v>0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 t="str">
        <f>ESTADISTICA!AG345</f>
        <v>APAGADO</v>
      </c>
      <c r="AH347" t="str">
        <f>ESTADISTICA!AH345</f>
        <v>APAGADO</v>
      </c>
      <c r="AI347">
        <f>ESTADISTICA!AI345</f>
        <v>0</v>
      </c>
      <c r="AJ347">
        <f>ESTADISTICA!AJ345</f>
        <v>0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 t="str">
        <f>ESTADISTICA!AG346</f>
        <v>APAGADO</v>
      </c>
      <c r="AH348" t="str">
        <f>ESTADISTICA!AH346</f>
        <v>APAGADO</v>
      </c>
      <c r="AI348">
        <f>ESTADISTICA!AI346</f>
        <v>0</v>
      </c>
      <c r="AJ348">
        <f>ESTADISTICA!AJ346</f>
        <v>0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str">
        <f>ESTADISTICA!AH348</f>
        <v>APAGADO</v>
      </c>
      <c r="AI350">
        <f>ESTADISTICA!AI348</f>
        <v>0</v>
      </c>
      <c r="AJ350">
        <f>ESTADISTICA!AJ348</f>
        <v>0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>
        <f>ESTADISTICA!AI349</f>
        <v>0</v>
      </c>
      <c r="AJ351">
        <f>ESTADISTICA!AJ349</f>
        <v>0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str">
        <f>ESTADISTICA!AH350</f>
        <v>APAGADO</v>
      </c>
      <c r="AI352">
        <f>ESTADISTICA!AI350</f>
        <v>0</v>
      </c>
      <c r="AJ352">
        <f>ESTADISTICA!AJ350</f>
        <v>0</v>
      </c>
    </row>
    <row r="353" spans="1:36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 t="str">
        <f>ESTADISTICA!AE355</f>
        <v>APAGADO</v>
      </c>
      <c r="AF357" t="str">
        <f>ESTADISTICA!AF355</f>
        <v>APAGADO</v>
      </c>
      <c r="AG357" t="str">
        <f>ESTADISTICA!AG355</f>
        <v>APAGADO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 t="str">
        <f>ESTADISTICA!AG360</f>
        <v>APAGADO</v>
      </c>
      <c r="AH362" t="str">
        <f>ESTADISTICA!AH360</f>
        <v>APAGADO</v>
      </c>
      <c r="AI362">
        <f>ESTADISTICA!AI360</f>
        <v>0</v>
      </c>
      <c r="AJ362">
        <f>ESTADISTICA!AJ360</f>
        <v>0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 t="str">
        <f>ESTADISTICA!AE366</f>
        <v>APAGADO</v>
      </c>
      <c r="AF368" t="str">
        <f>ESTADISTICA!AF366</f>
        <v>APAGADO</v>
      </c>
      <c r="AG368" t="str">
        <f>ESTADISTICA!AG366</f>
        <v>APAGADO</v>
      </c>
      <c r="AH368" t="str">
        <f>ESTADISTICA!AH366</f>
        <v>APAGADO</v>
      </c>
      <c r="AI368">
        <f>ESTADISTICA!AI366</f>
        <v>0</v>
      </c>
      <c r="AJ368">
        <f>ESTADISTICA!AJ366</f>
        <v>0</v>
      </c>
    </row>
    <row r="369" spans="1:36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G369" xr:uid="{FC730B5B-E791-4742-8990-AFF1FAD7E538}"/>
  <conditionalFormatting sqref="AE3:AE1048576">
    <cfRule type="containsText" dxfId="2286" priority="2" operator="containsText" text="APAGADO">
      <formula>NOT(ISERROR(SEARCH("APAGADO",AE3)))</formula>
    </cfRule>
  </conditionalFormatting>
  <conditionalFormatting sqref="F4:AG370 AH4:AJ369">
    <cfRule type="containsText" dxfId="2285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G7" sqref="G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zoomScaleNormal="100" workbookViewId="0">
      <selection activeCell="Q34" sqref="Q3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workbookViewId="0">
      <selection activeCell="O35" sqref="O35"/>
    </sheetView>
  </sheetViews>
  <sheetFormatPr baseColWidth="10" defaultRowHeight="14.4" x14ac:dyDescent="0.3"/>
  <cols>
    <col min="5" max="5" width="15.6640625" bestFit="1" customWidth="1"/>
  </cols>
  <sheetData>
    <row r="1" spans="1:6" x14ac:dyDescent="0.3">
      <c r="A1" t="s">
        <v>935</v>
      </c>
      <c r="B1" t="s">
        <v>20</v>
      </c>
      <c r="C1" t="s">
        <v>936</v>
      </c>
      <c r="D1" t="s">
        <v>1313</v>
      </c>
      <c r="E1" t="s">
        <v>938</v>
      </c>
      <c r="F1" t="s">
        <v>937</v>
      </c>
    </row>
    <row r="2" spans="1:6" x14ac:dyDescent="0.3">
      <c r="A2" s="25">
        <f>'APAGADOS RADIO'!F3</f>
        <v>44621</v>
      </c>
      <c r="B2">
        <f>'APAGADOS RADIO'!F2+D2</f>
        <v>9</v>
      </c>
      <c r="C2">
        <f>'APAGADOS FIBRA'!F2</f>
        <v>52</v>
      </c>
      <c r="D2">
        <f>'APAGADOS ANTENA'!F2</f>
        <v>2</v>
      </c>
      <c r="E2">
        <f>B2+C2</f>
        <v>61</v>
      </c>
      <c r="F2">
        <f>'RESUMEN TOTAL'!C1</f>
        <v>368</v>
      </c>
    </row>
    <row r="3" spans="1:6" x14ac:dyDescent="0.3">
      <c r="A3" s="25">
        <f>'APAGADOS RADIO'!G3</f>
        <v>44622</v>
      </c>
      <c r="B3">
        <f>'APAGADOS RADIO'!G2+D3</f>
        <v>10</v>
      </c>
      <c r="C3" s="30">
        <f>'APAGADOS FIBRA'!G2</f>
        <v>69</v>
      </c>
      <c r="D3">
        <f>'APAGADOS ANTENA'!G2</f>
        <v>4</v>
      </c>
      <c r="E3">
        <f t="shared" ref="E3:E4" si="0">B3+C3</f>
        <v>79</v>
      </c>
      <c r="F3">
        <f>'RESUMEN TOTAL'!C1</f>
        <v>368</v>
      </c>
    </row>
    <row r="4" spans="1:6" x14ac:dyDescent="0.3">
      <c r="A4" s="25">
        <f>'APAGADOS RADIO'!H3</f>
        <v>44623</v>
      </c>
      <c r="B4">
        <f>'APAGADOS RADIO'!H2+D4</f>
        <v>10</v>
      </c>
      <c r="C4">
        <f>'APAGADOS FIBRA'!H2</f>
        <v>66</v>
      </c>
      <c r="D4">
        <f>'APAGADOS ANTENA'!H2</f>
        <v>3</v>
      </c>
      <c r="E4">
        <f t="shared" si="0"/>
        <v>76</v>
      </c>
      <c r="F4">
        <f>'RESUMEN TOTAL'!C1</f>
        <v>368</v>
      </c>
    </row>
    <row r="5" spans="1:6" x14ac:dyDescent="0.3">
      <c r="A5" s="25">
        <f>'APAGADOS RADIO'!I3</f>
        <v>44624</v>
      </c>
      <c r="B5">
        <f>'APAGADOS RADIO'!I2+D5</f>
        <v>9</v>
      </c>
      <c r="C5" s="30">
        <f>'APAGADOS FIBRA'!I2</f>
        <v>60</v>
      </c>
      <c r="D5">
        <f>'APAGADOS ANTENA'!I2</f>
        <v>1</v>
      </c>
      <c r="E5">
        <f t="shared" ref="E5:E9" si="1">B5+C5</f>
        <v>69</v>
      </c>
      <c r="F5">
        <f>'RESUMEN TOTAL'!C1</f>
        <v>368</v>
      </c>
    </row>
    <row r="6" spans="1:6" x14ac:dyDescent="0.3">
      <c r="A6" s="25">
        <f>'APAGADOS RADIO'!J3</f>
        <v>44625</v>
      </c>
      <c r="B6">
        <f>'APAGADOS RADIO'!J2+D6</f>
        <v>8</v>
      </c>
      <c r="C6">
        <f>'APAGADOS FIBRA'!J2</f>
        <v>56</v>
      </c>
      <c r="D6">
        <f>'APAGADOS ANTENA'!F52</f>
        <v>0</v>
      </c>
      <c r="E6">
        <f t="shared" si="1"/>
        <v>64</v>
      </c>
      <c r="F6">
        <f>'RESUMEN TOTAL'!C1</f>
        <v>368</v>
      </c>
    </row>
    <row r="7" spans="1:6" x14ac:dyDescent="0.3">
      <c r="A7" s="25">
        <f>'APAGADOS RADIO'!K3</f>
        <v>44626</v>
      </c>
      <c r="B7">
        <f>'APAGADOS RADIO'!K2+D7</f>
        <v>7</v>
      </c>
      <c r="C7" s="30">
        <f>'APAGADOS FIBRA'!K2</f>
        <v>60</v>
      </c>
      <c r="D7">
        <f>'APAGADOS ANTENA'!K2</f>
        <v>1</v>
      </c>
      <c r="E7">
        <f t="shared" si="1"/>
        <v>67</v>
      </c>
      <c r="F7">
        <f>'RESUMEN TOTAL'!C1</f>
        <v>368</v>
      </c>
    </row>
    <row r="8" spans="1:6" x14ac:dyDescent="0.3">
      <c r="A8" s="25">
        <f>'APAGADOS RADIO'!L3</f>
        <v>44627</v>
      </c>
      <c r="B8">
        <f>'APAGADOS RADIO'!L2+D8</f>
        <v>9</v>
      </c>
      <c r="C8">
        <f>'APAGADOS FIBRA'!L2</f>
        <v>61</v>
      </c>
      <c r="D8">
        <f>'APAGADOS ANTENA'!L2</f>
        <v>1</v>
      </c>
      <c r="E8">
        <f t="shared" si="1"/>
        <v>70</v>
      </c>
      <c r="F8">
        <f>'RESUMEN TOTAL'!C1</f>
        <v>368</v>
      </c>
    </row>
    <row r="9" spans="1:6" x14ac:dyDescent="0.3">
      <c r="A9" s="25">
        <f>'APAGADOS RADIO'!M3</f>
        <v>44628</v>
      </c>
      <c r="B9">
        <f>'APAGADOS RADIO'!M2+D9</f>
        <v>10</v>
      </c>
      <c r="C9" s="30">
        <f>'APAGADOS FIBRA'!M2</f>
        <v>56</v>
      </c>
      <c r="D9">
        <f>'APAGADOS ANTENA'!M2</f>
        <v>2</v>
      </c>
      <c r="E9">
        <f t="shared" si="1"/>
        <v>66</v>
      </c>
      <c r="F9">
        <f>'RESUMEN TOTAL'!C1</f>
        <v>368</v>
      </c>
    </row>
    <row r="10" spans="1:6" x14ac:dyDescent="0.3">
      <c r="A10" s="25">
        <f>'APAGADOS RADIO'!N3</f>
        <v>44629</v>
      </c>
      <c r="B10">
        <f>'APAGADOS RADIO'!N2+D10</f>
        <v>15</v>
      </c>
      <c r="C10" s="30">
        <f>'APAGADOS FIBRA'!N2</f>
        <v>63</v>
      </c>
      <c r="D10">
        <f>'APAGADOS ANTENA'!N2</f>
        <v>6</v>
      </c>
      <c r="E10">
        <f t="shared" ref="E10" si="2">B10+C10</f>
        <v>78</v>
      </c>
      <c r="F10">
        <f>'RESUMEN TOTAL'!C1</f>
        <v>368</v>
      </c>
    </row>
    <row r="11" spans="1:6" x14ac:dyDescent="0.3">
      <c r="A11" s="25">
        <f>'APAGADOS RADIO'!O3</f>
        <v>44630</v>
      </c>
      <c r="B11">
        <f>'APAGADOS RADIO'!O2+D11</f>
        <v>9</v>
      </c>
      <c r="C11" s="30">
        <f>'APAGADOS FIBRA'!O2</f>
        <v>59</v>
      </c>
      <c r="D11">
        <f>'APAGADOS ANTENA'!O2</f>
        <v>2</v>
      </c>
      <c r="E11">
        <f t="shared" ref="E11" si="3">B11+C11</f>
        <v>68</v>
      </c>
      <c r="F11">
        <f>'RESUMEN TOTAL'!C1</f>
        <v>368</v>
      </c>
    </row>
    <row r="12" spans="1:6" x14ac:dyDescent="0.3">
      <c r="A12" s="25">
        <f>'APAGADOS RADIO'!P3</f>
        <v>44631</v>
      </c>
      <c r="B12">
        <f>'APAGADOS RADIO'!P2+D12</f>
        <v>16</v>
      </c>
      <c r="C12" s="30">
        <f>'APAGADOS FIBRA'!P2</f>
        <v>42</v>
      </c>
      <c r="D12">
        <f>'APAGADOS ANTENA'!P2</f>
        <v>11</v>
      </c>
      <c r="E12">
        <f t="shared" ref="E12:E15" si="4">B12+C12</f>
        <v>58</v>
      </c>
      <c r="F12">
        <f>'RESUMEN TOTAL'!C1</f>
        <v>368</v>
      </c>
    </row>
    <row r="13" spans="1:6" x14ac:dyDescent="0.3">
      <c r="A13" s="25">
        <f>'APAGADOS RADIO'!Q3</f>
        <v>44632</v>
      </c>
      <c r="B13">
        <f>'APAGADOS RADIO'!Q2+D13</f>
        <v>12</v>
      </c>
      <c r="C13" s="30">
        <f>'APAGADOS FIBRA'!Q2</f>
        <v>35</v>
      </c>
      <c r="D13">
        <f>'APAGADOS ANTENA'!Q2</f>
        <v>8</v>
      </c>
      <c r="E13">
        <f t="shared" si="4"/>
        <v>47</v>
      </c>
      <c r="F13">
        <f>'RESUMEN TOTAL'!C1</f>
        <v>368</v>
      </c>
    </row>
    <row r="14" spans="1:6" x14ac:dyDescent="0.3">
      <c r="A14" s="25">
        <f>'APAGADOS RADIO'!R3</f>
        <v>44633</v>
      </c>
      <c r="B14">
        <f>'APAGADOS RADIO'!R2+D14</f>
        <v>15</v>
      </c>
      <c r="C14" s="30">
        <f>'APAGADOS FIBRA'!R2</f>
        <v>37</v>
      </c>
      <c r="D14">
        <f>'APAGADOS ANTENA'!R2</f>
        <v>10</v>
      </c>
      <c r="E14">
        <f t="shared" si="4"/>
        <v>52</v>
      </c>
      <c r="F14">
        <f>'RESUMEN TOTAL'!C1</f>
        <v>368</v>
      </c>
    </row>
    <row r="15" spans="1:6" x14ac:dyDescent="0.3">
      <c r="A15" s="25">
        <f>'APAGADOS RADIO'!S3</f>
        <v>44634</v>
      </c>
      <c r="B15">
        <f>'APAGADOS RADIO'!S2+D15</f>
        <v>12</v>
      </c>
      <c r="C15" s="30">
        <f>'APAGADOS FIBRA'!S2</f>
        <v>46</v>
      </c>
      <c r="D15">
        <f>'APAGADOS ANTENA'!S2</f>
        <v>8</v>
      </c>
      <c r="E15">
        <f t="shared" si="4"/>
        <v>58</v>
      </c>
      <c r="F15">
        <f>'RESUMEN TOTAL'!C1</f>
        <v>368</v>
      </c>
    </row>
    <row r="16" spans="1:6" x14ac:dyDescent="0.3">
      <c r="A16" s="25">
        <f>'APAGADOS RADIO'!T3</f>
        <v>44635</v>
      </c>
      <c r="B16">
        <f>'APAGADOS RADIO'!T2+D16</f>
        <v>13</v>
      </c>
      <c r="C16" s="30">
        <f>'APAGADOS FIBRA'!T2</f>
        <v>35</v>
      </c>
      <c r="D16">
        <f>'APAGADOS ANTENA'!T2</f>
        <v>9</v>
      </c>
      <c r="E16">
        <f t="shared" ref="E16" si="5">B16+C16</f>
        <v>48</v>
      </c>
      <c r="F16">
        <f>'RESUMEN TOTAL'!C1</f>
        <v>368</v>
      </c>
    </row>
    <row r="17" spans="1:6" x14ac:dyDescent="0.3">
      <c r="A17" s="25">
        <f>'APAGADOS RADIO'!U3</f>
        <v>44636</v>
      </c>
      <c r="B17">
        <f>'APAGADOS RADIO'!U2+D17</f>
        <v>15</v>
      </c>
      <c r="C17" s="30">
        <f>'APAGADOS FIBRA'!U2</f>
        <v>49</v>
      </c>
      <c r="D17">
        <f>'APAGADOS ANTENA'!U2</f>
        <v>11</v>
      </c>
      <c r="E17">
        <f t="shared" ref="E17:E18" si="6">B17+C17</f>
        <v>64</v>
      </c>
      <c r="F17">
        <f>'RESUMEN TOTAL'!C1</f>
        <v>368</v>
      </c>
    </row>
    <row r="18" spans="1:6" x14ac:dyDescent="0.3">
      <c r="A18" s="25">
        <f>'APAGADOS RADIO'!V3</f>
        <v>44637</v>
      </c>
      <c r="B18">
        <f>'APAGADOS RADIO'!V2+D18</f>
        <v>15</v>
      </c>
      <c r="C18" s="30">
        <f>'APAGADOS FIBRA'!V2</f>
        <v>28</v>
      </c>
      <c r="D18">
        <f>'APAGADOS ANTENA'!V2</f>
        <v>12</v>
      </c>
      <c r="E18">
        <f t="shared" si="6"/>
        <v>43</v>
      </c>
      <c r="F18">
        <f>'RESUMEN TOTAL'!C1</f>
        <v>368</v>
      </c>
    </row>
    <row r="19" spans="1:6" x14ac:dyDescent="0.3">
      <c r="A19" s="25">
        <f>'APAGADOS RADIO'!W3</f>
        <v>44638</v>
      </c>
      <c r="B19">
        <f>'APAGADOS RADIO'!W2+D19</f>
        <v>15</v>
      </c>
      <c r="C19" s="30">
        <f>'APAGADOS FIBRA'!W2</f>
        <v>37</v>
      </c>
      <c r="D19">
        <f>'APAGADOS ANTENA'!W2</f>
        <v>12</v>
      </c>
      <c r="E19">
        <f t="shared" ref="E19" si="7">B19+C19</f>
        <v>52</v>
      </c>
      <c r="F19">
        <f>'RESUMEN TOTAL'!C1</f>
        <v>368</v>
      </c>
    </row>
    <row r="20" spans="1:6" x14ac:dyDescent="0.3">
      <c r="A20" s="25">
        <f>'APAGADOS RADIO'!X3</f>
        <v>44639</v>
      </c>
      <c r="B20">
        <f>'APAGADOS RADIO'!X2+D20</f>
        <v>22</v>
      </c>
      <c r="C20" s="30">
        <f>'APAGADOS FIBRA'!X2</f>
        <v>50</v>
      </c>
      <c r="D20">
        <f>'APAGADOS ANTENA'!X2</f>
        <v>16</v>
      </c>
      <c r="E20">
        <f t="shared" ref="E20:E22" si="8">B20+C20</f>
        <v>72</v>
      </c>
      <c r="F20">
        <f>'RESUMEN TOTAL'!C1</f>
        <v>368</v>
      </c>
    </row>
    <row r="21" spans="1:6" x14ac:dyDescent="0.3">
      <c r="A21" s="25">
        <f>'APAGADOS RADIO'!Y3</f>
        <v>44640</v>
      </c>
      <c r="B21">
        <f>'APAGADOS RADIO'!Y2+D21</f>
        <v>16</v>
      </c>
      <c r="C21" s="30">
        <f>'APAGADOS FIBRA'!Y2</f>
        <v>36</v>
      </c>
      <c r="D21">
        <f>'APAGADOS ANTENA'!Y2</f>
        <v>13</v>
      </c>
      <c r="E21">
        <f t="shared" si="8"/>
        <v>52</v>
      </c>
      <c r="F21">
        <f>'RESUMEN TOTAL'!C1</f>
        <v>368</v>
      </c>
    </row>
    <row r="22" spans="1:6" x14ac:dyDescent="0.3">
      <c r="A22" s="25">
        <f>'APAGADOS RADIO'!Z3</f>
        <v>44641</v>
      </c>
      <c r="B22">
        <f>'APAGADOS RADIO'!Z2+D22</f>
        <v>16</v>
      </c>
      <c r="C22" s="30">
        <f>'APAGADOS FIBRA'!Z2</f>
        <v>39</v>
      </c>
      <c r="D22">
        <f>'APAGADOS ANTENA'!Z2</f>
        <v>13</v>
      </c>
      <c r="E22">
        <f t="shared" si="8"/>
        <v>55</v>
      </c>
      <c r="F22">
        <f>'RESUMEN TOTAL'!C1</f>
        <v>368</v>
      </c>
    </row>
    <row r="23" spans="1:6" x14ac:dyDescent="0.3">
      <c r="A23" s="25">
        <f>'APAGADOS RADIO'!AA3</f>
        <v>44642</v>
      </c>
      <c r="B23">
        <f>'APAGADOS RADIO'!AA2+D23</f>
        <v>13</v>
      </c>
      <c r="C23" s="30">
        <f>'APAGADOS FIBRA'!AA2</f>
        <v>55</v>
      </c>
      <c r="D23">
        <f>'APAGADOS ANTENA'!AA2</f>
        <v>10</v>
      </c>
      <c r="E23">
        <f t="shared" ref="E23" si="9">B23+C23</f>
        <v>68</v>
      </c>
      <c r="F23">
        <f>'RESUMEN TOTAL'!C1</f>
        <v>368</v>
      </c>
    </row>
    <row r="24" spans="1:6" x14ac:dyDescent="0.3">
      <c r="A24" s="25">
        <f>'APAGADOS RADIO'!AB3</f>
        <v>44643</v>
      </c>
      <c r="B24">
        <f>'APAGADOS RADIO'!AB2+D24</f>
        <v>4</v>
      </c>
      <c r="C24" s="30">
        <f>'APAGADOS FIBRA'!AB2</f>
        <v>28</v>
      </c>
      <c r="D24">
        <f>'APAGADOS ANTENA'!AB2</f>
        <v>2</v>
      </c>
      <c r="E24">
        <f t="shared" ref="E24" si="10">B24+C24</f>
        <v>32</v>
      </c>
      <c r="F24">
        <f>'RESUMEN TOTAL'!C1</f>
        <v>368</v>
      </c>
    </row>
    <row r="25" spans="1:6" x14ac:dyDescent="0.3">
      <c r="A25" s="25">
        <f>'APAGADOS RADIO'!AC3</f>
        <v>44644</v>
      </c>
      <c r="B25">
        <f>'APAGADOS RADIO'!AC2+D25</f>
        <v>14</v>
      </c>
      <c r="C25" s="30">
        <f>'APAGADOS FIBRA'!AC2</f>
        <v>70</v>
      </c>
      <c r="D25">
        <f>'APAGADOS ANTENA'!AC2</f>
        <v>7</v>
      </c>
      <c r="E25">
        <f t="shared" ref="E25" si="11">B25+C25</f>
        <v>84</v>
      </c>
      <c r="F25">
        <f>'RESUMEN TOTAL'!C1</f>
        <v>368</v>
      </c>
    </row>
    <row r="26" spans="1:6" x14ac:dyDescent="0.3">
      <c r="A26" s="25">
        <f>'APAGADOS RADIO'!AD3</f>
        <v>44645</v>
      </c>
      <c r="B26">
        <f>'APAGADOS RADIO'!AD2+D26</f>
        <v>9</v>
      </c>
      <c r="C26" s="30">
        <f>'APAGADOS FIBRA'!AD2</f>
        <v>43</v>
      </c>
      <c r="D26">
        <f>'APAGADOS ANTENA'!AD2</f>
        <v>4</v>
      </c>
      <c r="E26">
        <f t="shared" ref="E26" si="12">B26+C26</f>
        <v>52</v>
      </c>
      <c r="F26">
        <f>'RESUMEN TOTAL'!C1</f>
        <v>368</v>
      </c>
    </row>
    <row r="27" spans="1:6" x14ac:dyDescent="0.3">
      <c r="A27" s="25">
        <f>'APAGADOS RADIO'!AE3</f>
        <v>44646</v>
      </c>
      <c r="B27">
        <f>'APAGADOS RADIO'!AE2+D27</f>
        <v>11</v>
      </c>
      <c r="C27" s="30">
        <f>'APAGADOS FIBRA'!AE2</f>
        <v>44</v>
      </c>
      <c r="D27">
        <f>'APAGADOS ANTENA'!AE2</f>
        <v>5</v>
      </c>
      <c r="E27">
        <f t="shared" ref="E27:E30" si="13">B27+C27</f>
        <v>55</v>
      </c>
      <c r="F27">
        <f>'RESUMEN TOTAL'!C1</f>
        <v>368</v>
      </c>
    </row>
    <row r="28" spans="1:6" x14ac:dyDescent="0.3">
      <c r="A28" s="25">
        <f>'APAGADOS RADIO'!AF3</f>
        <v>44647</v>
      </c>
      <c r="B28">
        <f>'APAGADOS RADIO'!AF2+D28</f>
        <v>10</v>
      </c>
      <c r="C28" s="30">
        <f>'APAGADOS FIBRA'!AF2</f>
        <v>46</v>
      </c>
      <c r="D28">
        <f>'APAGADOS ANTENA'!AF2</f>
        <v>5</v>
      </c>
      <c r="E28">
        <f t="shared" si="13"/>
        <v>56</v>
      </c>
      <c r="F28">
        <f>'RESUMEN TOTAL'!C1</f>
        <v>368</v>
      </c>
    </row>
    <row r="29" spans="1:6" x14ac:dyDescent="0.3">
      <c r="A29" s="25">
        <f>'APAGADOS RADIO'!AG3</f>
        <v>44648</v>
      </c>
      <c r="B29">
        <f>'APAGADOS RADIO'!AG2+D29</f>
        <v>8</v>
      </c>
      <c r="C29" s="30">
        <f>'APAGADOS FIBRA'!AG2</f>
        <v>68</v>
      </c>
      <c r="D29">
        <f>'APAGADOS ANTENA'!AG2</f>
        <v>4</v>
      </c>
      <c r="E29">
        <f t="shared" si="13"/>
        <v>76</v>
      </c>
      <c r="F29">
        <f>'RESUMEN TOTAL'!C1</f>
        <v>368</v>
      </c>
    </row>
    <row r="30" spans="1:6" x14ac:dyDescent="0.3">
      <c r="A30" s="25">
        <f>'APAGADOS RADIO'!AH3</f>
        <v>44649</v>
      </c>
      <c r="B30">
        <f>'APAGADOS RADIO'!AH2+D30</f>
        <v>7</v>
      </c>
      <c r="C30" s="30">
        <f>'APAGADOS FIBRA'!AH2</f>
        <v>59</v>
      </c>
      <c r="D30">
        <f>'APAGADOS ANTENA'!AH2</f>
        <v>4</v>
      </c>
      <c r="E30">
        <f t="shared" si="13"/>
        <v>66</v>
      </c>
      <c r="F30">
        <f>'RESUMEN TOTAL'!C1</f>
        <v>368</v>
      </c>
    </row>
    <row r="31" spans="1:6" x14ac:dyDescent="0.3">
      <c r="A31" s="25">
        <f>'APAGADOS RADIO'!AI3</f>
        <v>44650</v>
      </c>
      <c r="F31">
        <f>'RESUMEN TOTAL'!C1</f>
        <v>368</v>
      </c>
    </row>
    <row r="32" spans="1:6" x14ac:dyDescent="0.3">
      <c r="A32" s="25">
        <f>'APAGADOS RADIO'!AJ3</f>
        <v>44651</v>
      </c>
      <c r="F32">
        <f>'RESUMEN TOTAL'!C1</f>
        <v>368</v>
      </c>
    </row>
    <row r="34" spans="1:30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/>
    <row r="36" spans="1:30" s="30" customFormat="1" x14ac:dyDescent="0.3"/>
    <row r="37" spans="1:30" s="20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2022-03-29T13:21:15Z</dcterms:modified>
</cp:coreProperties>
</file>