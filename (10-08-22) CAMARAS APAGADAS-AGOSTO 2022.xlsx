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A8C0F758-ACE0-4715-8610-A5A1D62888BD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I4" i="25" l="1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<sst xmlns="http://schemas.openxmlformats.org/spreadsheetml/2006/main" count="3373" uniqueCount="1208">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</sst>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D166" sqref="D166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hidden="1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>(Y3)/(Y2+Y3)</f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24</v>
      </c>
      <c r="I5" s="17">
        <f t="shared" ref="I5:I68" si="8">COUNTIF(K5:AL5,"APAGADO")</f>
        <v>6</v>
      </c>
      <c r="J5" s="18">
        <f t="shared" ref="J5:J68" si="9">(H5)/(I5+H5)</f>
        <v>0.8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24</v>
      </c>
      <c r="I6" s="17">
        <f t="shared" si="8"/>
        <v>6</v>
      </c>
      <c r="J6" s="18">
        <f t="shared" si="9"/>
        <v>0.8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24</v>
      </c>
      <c r="I7" s="17">
        <f t="shared" si="8"/>
        <v>6</v>
      </c>
      <c r="J7" s="18">
        <f t="shared" si="9"/>
        <v>0.8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24</v>
      </c>
      <c r="I8" s="17">
        <f t="shared" si="8"/>
        <v>6</v>
      </c>
      <c r="J8" s="18">
        <f t="shared" si="9"/>
        <v>0.8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24</v>
      </c>
      <c r="I9" s="17">
        <f t="shared" si="8"/>
        <v>6</v>
      </c>
      <c r="J9" s="18">
        <f t="shared" si="9"/>
        <v>0.8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29</v>
      </c>
      <c r="I16" s="17">
        <f t="shared" si="8"/>
        <v>1</v>
      </c>
      <c r="J16" s="18">
        <f t="shared" si="9"/>
        <v>0.96666666666666667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21</v>
      </c>
      <c r="I31" s="17">
        <f t="shared" si="8"/>
        <v>9</v>
      </c>
      <c r="J31" s="18">
        <f t="shared" si="9"/>
        <v>0.7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19</v>
      </c>
      <c r="I34" s="17">
        <f t="shared" si="8"/>
        <v>11</v>
      </c>
      <c r="J34" s="18">
        <f t="shared" si="9"/>
        <v>0.6333333333333333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19</v>
      </c>
      <c r="I67" s="17">
        <f t="shared" si="8"/>
        <v>11</v>
      </c>
      <c r="J67" s="18">
        <f t="shared" si="9"/>
        <v>0.6333333333333333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21</v>
      </c>
      <c r="I87" s="17">
        <f t="shared" si="11"/>
        <v>9</v>
      </c>
      <c r="J87" s="18">
        <f t="shared" si="12"/>
        <v>0.7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27</v>
      </c>
      <c r="I96" s="17">
        <f t="shared" si="11"/>
        <v>3</v>
      </c>
      <c r="J96" s="18">
        <f t="shared" si="12"/>
        <v>0.9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30</v>
      </c>
      <c r="I113" s="17">
        <f t="shared" si="11"/>
        <v>0</v>
      </c>
      <c r="J113" s="18">
        <f t="shared" si="12"/>
        <v>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19</v>
      </c>
      <c r="I134" s="17">
        <f t="shared" si="14"/>
        <v>11</v>
      </c>
      <c r="J134" s="18">
        <f t="shared" si="15"/>
        <v>0.6333333333333333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30</v>
      </c>
      <c r="I135" s="17">
        <f t="shared" si="14"/>
        <v>0</v>
      </c>
      <c r="J135" s="18">
        <f t="shared" si="15"/>
        <v>1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30</v>
      </c>
      <c r="I137" s="17">
        <f t="shared" si="14"/>
        <v>0</v>
      </c>
      <c r="J137" s="18">
        <f t="shared" si="15"/>
        <v>1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19</v>
      </c>
      <c r="I156" s="17">
        <f t="shared" si="14"/>
        <v>11</v>
      </c>
      <c r="J156" s="18">
        <f t="shared" si="15"/>
        <v>0.6333333333333333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19</v>
      </c>
      <c r="I157" s="17">
        <f t="shared" si="14"/>
        <v>11</v>
      </c>
      <c r="J157" s="18">
        <f t="shared" si="15"/>
        <v>0.6333333333333333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19</v>
      </c>
      <c r="I158" s="17">
        <f t="shared" si="14"/>
        <v>11</v>
      </c>
      <c r="J158" s="18">
        <f t="shared" si="15"/>
        <v>0.6333333333333333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28</v>
      </c>
      <c r="I162" s="17">
        <f t="shared" si="14"/>
        <v>2</v>
      </c>
      <c r="J162" s="18">
        <f t="shared" si="15"/>
        <v>0.93333333333333335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19</v>
      </c>
      <c r="I163" s="17">
        <f t="shared" si="14"/>
        <v>11</v>
      </c>
      <c r="J163" s="18">
        <f t="shared" si="15"/>
        <v>0.6333333333333333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19</v>
      </c>
      <c r="I166" s="17">
        <f t="shared" si="14"/>
        <v>11</v>
      </c>
      <c r="J166" s="18">
        <f t="shared" si="15"/>
        <v>0.6333333333333333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24</v>
      </c>
      <c r="I175" s="17">
        <f t="shared" si="14"/>
        <v>6</v>
      </c>
      <c r="J175" s="18">
        <f t="shared" si="15"/>
        <v>0.8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24</v>
      </c>
      <c r="I176" s="17">
        <f t="shared" si="14"/>
        <v>6</v>
      </c>
      <c r="J176" s="18">
        <f t="shared" si="15"/>
        <v>0.8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24</v>
      </c>
      <c r="I177" s="17">
        <f t="shared" si="14"/>
        <v>6</v>
      </c>
      <c r="J177" s="18">
        <f t="shared" si="15"/>
        <v>0.8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24</v>
      </c>
      <c r="I180" s="17">
        <f t="shared" si="14"/>
        <v>6</v>
      </c>
      <c r="J180" s="18">
        <f t="shared" si="15"/>
        <v>0.8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30</v>
      </c>
      <c r="I205" s="17">
        <f t="shared" si="17"/>
        <v>0</v>
      </c>
      <c r="J205" s="18">
        <f t="shared" si="18"/>
        <v>1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19</v>
      </c>
      <c r="I210" s="17">
        <f t="shared" si="17"/>
        <v>11</v>
      </c>
      <c r="J210" s="18">
        <f t="shared" si="18"/>
        <v>0.6333333333333333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22</v>
      </c>
      <c r="I213" s="17">
        <f t="shared" si="17"/>
        <v>8</v>
      </c>
      <c r="J213" s="18">
        <f t="shared" si="18"/>
        <v>0.73333333333333328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22</v>
      </c>
      <c r="I214" s="17">
        <f t="shared" si="17"/>
        <v>8</v>
      </c>
      <c r="J214" s="18">
        <f t="shared" si="18"/>
        <v>0.73333333333333328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19</v>
      </c>
      <c r="I215" s="17">
        <f t="shared" si="17"/>
        <v>11</v>
      </c>
      <c r="J215" s="18">
        <f t="shared" si="18"/>
        <v>0.6333333333333333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19</v>
      </c>
      <c r="I216" s="17">
        <f t="shared" si="17"/>
        <v>11</v>
      </c>
      <c r="J216" s="18">
        <f t="shared" si="18"/>
        <v>0.6333333333333333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21</v>
      </c>
      <c r="I217" s="17">
        <f t="shared" si="17"/>
        <v>9</v>
      </c>
      <c r="J217" s="18">
        <f t="shared" si="18"/>
        <v>0.7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24</v>
      </c>
      <c r="I224" s="17">
        <f t="shared" si="17"/>
        <v>6</v>
      </c>
      <c r="J224" s="18">
        <f t="shared" si="18"/>
        <v>0.8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25</v>
      </c>
      <c r="I242" s="17">
        <f t="shared" si="17"/>
        <v>5</v>
      </c>
      <c r="J242" s="18">
        <f t="shared" si="18"/>
        <v>0.83333333333333337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24</v>
      </c>
      <c r="I243" s="17">
        <f t="shared" si="17"/>
        <v>6</v>
      </c>
      <c r="J243" s="18">
        <f t="shared" si="18"/>
        <v>0.8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24</v>
      </c>
      <c r="I252" s="17">
        <f t="shared" si="17"/>
        <v>6</v>
      </c>
      <c r="J252" s="18">
        <f t="shared" si="18"/>
        <v>0.8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19</v>
      </c>
      <c r="I254" s="17">
        <f t="shared" si="17"/>
        <v>11</v>
      </c>
      <c r="J254" s="18">
        <f t="shared" si="18"/>
        <v>0.6333333333333333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19</v>
      </c>
      <c r="I255" s="17">
        <f t="shared" si="17"/>
        <v>11</v>
      </c>
      <c r="J255" s="18">
        <f t="shared" si="18"/>
        <v>0.6333333333333333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30</v>
      </c>
      <c r="I256" s="17">
        <f t="shared" si="17"/>
        <v>0</v>
      </c>
      <c r="J256" s="18">
        <f t="shared" si="18"/>
        <v>1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25</v>
      </c>
      <c r="I289" s="17">
        <f t="shared" si="21"/>
        <v>5</v>
      </c>
      <c r="J289" s="18">
        <f t="shared" si="22"/>
        <v>0.83333333333333337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25</v>
      </c>
      <c r="I290" s="17">
        <f t="shared" si="21"/>
        <v>5</v>
      </c>
      <c r="J290" s="18">
        <f t="shared" si="22"/>
        <v>0.83333333333333337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25</v>
      </c>
      <c r="I291" s="17">
        <f t="shared" si="21"/>
        <v>5</v>
      </c>
      <c r="J291" s="18">
        <f t="shared" si="22"/>
        <v>0.83333333333333337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25</v>
      </c>
      <c r="I292" s="17">
        <f t="shared" si="21"/>
        <v>5</v>
      </c>
      <c r="J292" s="18">
        <f t="shared" si="22"/>
        <v>0.83333333333333337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30</v>
      </c>
      <c r="I316" s="17">
        <f t="shared" si="21"/>
        <v>0</v>
      </c>
      <c r="J316" s="18">
        <f t="shared" si="22"/>
        <v>1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19</v>
      </c>
      <c r="I327" s="17">
        <f t="shared" ref="I327:I372" si="24">COUNTIF(K327:AL327,"APAGADO")</f>
        <v>11</v>
      </c>
      <c r="J327" s="18">
        <f t="shared" ref="J327:J372" si="25">(H327)/(I327+H327)</f>
        <v>0.6333333333333333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19</v>
      </c>
      <c r="I328" s="17">
        <f t="shared" si="24"/>
        <v>11</v>
      </c>
      <c r="J328" s="18">
        <f t="shared" si="25"/>
        <v>0.6333333333333333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30</v>
      </c>
      <c r="I336" s="17">
        <f t="shared" si="24"/>
        <v>0</v>
      </c>
      <c r="J336" s="18">
        <f t="shared" si="25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22</v>
      </c>
      <c r="I348" s="17">
        <f t="shared" si="24"/>
        <v>8</v>
      </c>
      <c r="J348" s="18">
        <f t="shared" si="25"/>
        <v>0.73333333333333328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22</v>
      </c>
      <c r="I356" s="17">
        <f t="shared" si="24"/>
        <v>8</v>
      </c>
      <c r="J356" s="18">
        <f t="shared" si="25"/>
        <v>0.73333333333333328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22</v>
      </c>
      <c r="I357" s="17">
        <f t="shared" si="24"/>
        <v>8</v>
      </c>
      <c r="J357" s="18">
        <f t="shared" si="25"/>
        <v>0.73333333333333328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20</v>
      </c>
      <c r="I361" s="17">
        <f t="shared" si="24"/>
        <v>10</v>
      </c>
      <c r="J361" s="18">
        <f t="shared" si="25"/>
        <v>0.66666666666666663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20</v>
      </c>
      <c r="I362" s="17">
        <f t="shared" si="24"/>
        <v>10</v>
      </c>
      <c r="J362" s="18">
        <f t="shared" si="25"/>
        <v>0.66666666666666663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30</v>
      </c>
      <c r="I369" s="17">
        <f t="shared" si="24"/>
        <v>0</v>
      </c>
      <c r="J369" s="18">
        <f t="shared" si="25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24</v>
      </c>
      <c r="I370" s="17">
        <f t="shared" si="24"/>
        <v>6</v>
      </c>
      <c r="J370" s="18">
        <f t="shared" si="25"/>
        <v>0.8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12" sqref="G12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/>
      <c r="C13" s="51"/>
      <c r="D13" s="51"/>
      <c r="E13" s="51"/>
      <c r="F13" s="51"/>
    </row>
    <row r="14" spans="1:7" x14ac:dyDescent="0.3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3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3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" thickTop="1" x14ac:dyDescent="0.3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" thickTop="1" x14ac:dyDescent="0.3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3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3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3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" thickBot="1" x14ac:dyDescent="0.35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" thickTop="1" x14ac:dyDescent="0.3">
      <c r="A22" s="58"/>
      <c r="B22" s="69"/>
      <c r="C22" s="65"/>
      <c r="D22" s="62"/>
      <c r="E22" s="135"/>
    </row>
    <row r="23" spans="1:13" ht="15" thickBot="1" x14ac:dyDescent="0.35">
      <c r="A23" s="59"/>
      <c r="B23" s="70"/>
      <c r="C23" s="66"/>
      <c r="D23" s="63"/>
      <c r="E23" s="136"/>
    </row>
    <row r="24" spans="1:13" ht="15" thickTop="1" x14ac:dyDescent="0.3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3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" thickBot="1" x14ac:dyDescent="0.35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" thickTop="1" x14ac:dyDescent="0.3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3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" thickBot="1" x14ac:dyDescent="0.35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" thickTop="1" x14ac:dyDescent="0.3">
      <c r="A30" s="59"/>
      <c r="B30" s="70"/>
      <c r="C30" s="66"/>
      <c r="D30" s="63"/>
      <c r="E30" s="136"/>
    </row>
    <row r="31" spans="1:13" ht="15" thickBot="1" x14ac:dyDescent="0.35">
      <c r="A31" s="60"/>
      <c r="B31" s="71"/>
      <c r="C31" s="67"/>
      <c r="D31" s="64"/>
      <c r="E31" s="137"/>
    </row>
    <row r="32" spans="1:13" ht="15" thickTop="1" x14ac:dyDescent="0.3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36"/>
    </row>
    <row r="40" spans="1:13" ht="15" thickTop="1" x14ac:dyDescent="0.3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" thickBot="1" x14ac:dyDescent="0.35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3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3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3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" thickBot="1" x14ac:dyDescent="0.35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5.6" thickTop="1" thickBot="1" x14ac:dyDescent="0.35">
      <c r="A46" s="60"/>
      <c r="B46" s="71"/>
      <c r="C46" s="67"/>
      <c r="D46" s="64"/>
      <c r="E46" s="137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workbookViewId="0">
      <selection activeCell="D17" sqref="D17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6640625" style="11" bestFit="1" customWidth="1"/>
    <col min="17" max="36" width="6.6640625" bestFit="1" customWidth="1"/>
  </cols>
  <sheetData>
    <row r="1" spans="1:36" s="51" customFormat="1" ht="15.6" thickTop="1" thickBot="1" x14ac:dyDescent="0.35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/>
      <c r="R3" s="127">
        <f>COUNTIFS('RESUMEN TOTAL'!C5:C396, "=BONOMO",'RESUMEN TOTAL'!W5:W396,"=APAGADO")</f>
        <v>0</v>
      </c>
      <c r="S3" s="127">
        <f>COUNTIFS('RESUMEN TOTAL'!C5:C396, "=BONOMO",'RESUMEN TOTAL'!X5:X396,"=APAGADO")</f>
        <v>0</v>
      </c>
      <c r="T3" s="127">
        <f>COUNTIFS('RESUMEN TOTAL'!C5:C396, "=BONOMO",'RESUMEN TOTAL'!Y5:Y396,"=APAGADO")</f>
        <v>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5.6" thickTop="1" thickBot="1" x14ac:dyDescent="0.35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/>
      <c r="R4" s="115">
        <f t="shared" si="0"/>
        <v>0</v>
      </c>
      <c r="S4" s="115">
        <f t="shared" si="0"/>
        <v>0</v>
      </c>
      <c r="T4" s="115">
        <f t="shared" si="0"/>
        <v>0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5.6" thickTop="1" thickBot="1" x14ac:dyDescent="0.35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/>
      <c r="R5" s="129">
        <f>COUNTIFS('RESUMEN TOTAL'!C7:C398, "=COSEIDI",'RESUMEN TOTAL'!W7:W398,"=APAGADO")</f>
        <v>0</v>
      </c>
      <c r="S5" s="129">
        <f>COUNTIFS('RESUMEN TOTAL'!C7:C398, "=COSEIDI",'RESUMEN TOTAL'!X7:X398,"=APAGADO")</f>
        <v>0</v>
      </c>
      <c r="T5" s="129">
        <f>COUNTIFS('RESUMEN TOTAL'!C7:C398, "=COSEIDI",'RESUMEN TOTAL'!Y7:Y398,"=APAGADO")</f>
        <v>0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5.6" thickTop="1" thickBot="1" x14ac:dyDescent="0.35">
      <c r="D6" s="118"/>
      <c r="E6" s="116" t="s">
        <v>1207</v>
      </c>
      <c r="F6" s="114">
        <f t="shared" ref="F6:AJ6" si="1">F5/COSEIDIcam</f>
        <v>6.6666666666666666E-2</v>
      </c>
      <c r="G6" s="114">
        <f t="shared" si="1"/>
        <v>7.7777777777777779E-2</v>
      </c>
      <c r="H6" s="114">
        <f t="shared" si="1"/>
        <v>6.1111111111111109E-2</v>
      </c>
      <c r="I6" s="114">
        <f t="shared" si="1"/>
        <v>7.2222222222222215E-2</v>
      </c>
      <c r="J6" s="114">
        <f t="shared" si="1"/>
        <v>7.7777777777777779E-2</v>
      </c>
      <c r="K6" s="114">
        <f t="shared" si="1"/>
        <v>0.1</v>
      </c>
      <c r="L6" s="114">
        <f t="shared" si="1"/>
        <v>0.23333333333333334</v>
      </c>
      <c r="M6" s="114">
        <f t="shared" si="1"/>
        <v>0.10555555555555556</v>
      </c>
      <c r="N6" s="114">
        <f t="shared" si="1"/>
        <v>8.8888888888888892E-2</v>
      </c>
      <c r="O6" s="114">
        <f t="shared" si="1"/>
        <v>0.10555555555555556</v>
      </c>
      <c r="P6" s="114">
        <f t="shared" si="1"/>
        <v>5.5555555555555552E-2</v>
      </c>
      <c r="Q6" s="114"/>
      <c r="R6" s="114">
        <f t="shared" si="1"/>
        <v>0</v>
      </c>
      <c r="S6" s="114">
        <f t="shared" si="1"/>
        <v>0</v>
      </c>
      <c r="T6" s="114">
        <f t="shared" si="1"/>
        <v>0</v>
      </c>
      <c r="U6" s="114">
        <f t="shared" si="1"/>
        <v>0</v>
      </c>
      <c r="V6" s="114">
        <f t="shared" si="1"/>
        <v>0</v>
      </c>
      <c r="W6" s="114">
        <f t="shared" si="1"/>
        <v>0</v>
      </c>
      <c r="X6" s="114">
        <f t="shared" si="1"/>
        <v>0</v>
      </c>
      <c r="Y6" s="114">
        <f t="shared" si="1"/>
        <v>0</v>
      </c>
      <c r="Z6" s="114">
        <f t="shared" si="1"/>
        <v>0</v>
      </c>
      <c r="AA6" s="114">
        <f t="shared" si="1"/>
        <v>0</v>
      </c>
      <c r="AB6" s="114">
        <f t="shared" si="1"/>
        <v>0</v>
      </c>
      <c r="AC6" s="114">
        <f t="shared" si="1"/>
        <v>0</v>
      </c>
      <c r="AD6" s="114">
        <f t="shared" si="1"/>
        <v>0</v>
      </c>
      <c r="AE6" s="114">
        <f t="shared" si="1"/>
        <v>0</v>
      </c>
      <c r="AF6" s="114">
        <f t="shared" si="1"/>
        <v>0</v>
      </c>
      <c r="AG6" s="114">
        <f t="shared" si="1"/>
        <v>0</v>
      </c>
      <c r="AH6" s="114">
        <f t="shared" si="1"/>
        <v>0</v>
      </c>
      <c r="AI6" s="114">
        <f t="shared" si="1"/>
        <v>0</v>
      </c>
      <c r="AJ6" s="114">
        <f t="shared" si="1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2022-08-11T12:48:27Z</dcterms:modified>
</cp:coreProperties>
</file>