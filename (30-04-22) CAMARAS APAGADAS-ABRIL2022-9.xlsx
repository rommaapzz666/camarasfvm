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0183A84F-DE0E-4D72-9146-3A371DEBB4C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" i="14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M377" i="2" l="1"/>
  <c r="L377" i="2"/>
  <c r="M376" i="2"/>
  <c r="L376" i="2"/>
  <c r="N376" i="2" s="1"/>
  <c r="M375" i="2"/>
  <c r="L375" i="2"/>
  <c r="M374" i="2"/>
  <c r="L374" i="2"/>
  <c r="N374" i="2" s="1"/>
  <c r="M373" i="2"/>
  <c r="L373" i="2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9" i="2"/>
  <c r="N273" i="2"/>
  <c r="N274" i="2"/>
  <c r="N275" i="2"/>
  <c r="N277" i="2"/>
  <c r="N280" i="2"/>
  <c r="N288" i="2"/>
  <c r="N298" i="2"/>
  <c r="N299" i="2"/>
  <c r="N301" i="2"/>
  <c r="N312" i="2"/>
  <c r="N314" i="2"/>
  <c r="N315" i="2"/>
  <c r="N317" i="2"/>
  <c r="N320" i="2"/>
  <c r="N322" i="2"/>
  <c r="N323" i="2"/>
  <c r="N330" i="2"/>
  <c r="N331" i="2"/>
  <c r="N336" i="2"/>
  <c r="N337" i="2"/>
  <c r="N338" i="2"/>
  <c r="N341" i="2"/>
  <c r="N344" i="2"/>
  <c r="N349" i="2"/>
  <c r="N353" i="2"/>
  <c r="N354" i="2"/>
  <c r="N357" i="2"/>
  <c r="N360" i="2"/>
  <c r="N361" i="2"/>
  <c r="N362" i="2"/>
  <c r="N365" i="2"/>
  <c r="N368" i="2"/>
  <c r="N369" i="2"/>
  <c r="N370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N329" i="2" s="1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28" i="2" l="1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D24" i="14" s="1"/>
  <c r="AH2" i="21"/>
  <c r="D3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D19" i="14" l="1"/>
  <c r="D20" i="14"/>
  <c r="D21" i="14"/>
  <c r="D18" i="14"/>
  <c r="AH2" i="11"/>
  <c r="B30" i="14" s="1"/>
  <c r="AD2" i="10"/>
  <c r="C26" i="14" s="1"/>
  <c r="AE2" i="10"/>
  <c r="C27" i="14" s="1"/>
  <c r="AF2" i="10"/>
  <c r="C28" i="14" s="1"/>
  <c r="AG2" i="10"/>
  <c r="C29" i="14" s="1"/>
  <c r="AH2" i="10"/>
  <c r="C30" i="14" s="1"/>
  <c r="W1" i="9"/>
  <c r="AG2" i="21"/>
  <c r="D29" i="14" s="1"/>
  <c r="D1" i="11"/>
  <c r="F2" i="10"/>
  <c r="C2" i="14" s="1"/>
  <c r="O2" i="11"/>
  <c r="B11" i="14" s="1"/>
  <c r="D1" i="10"/>
  <c r="AE2" i="21"/>
  <c r="D27" i="14" s="1"/>
  <c r="AF2" i="21"/>
  <c r="D28" i="14" s="1"/>
  <c r="AB2" i="10"/>
  <c r="C24" i="14" s="1"/>
  <c r="AC2" i="10"/>
  <c r="C25" i="14" s="1"/>
  <c r="AA2" i="10"/>
  <c r="C23" i="14" s="1"/>
  <c r="K2" i="10"/>
  <c r="C7" i="14" s="1"/>
  <c r="AG2" i="11"/>
  <c r="Z2" i="10"/>
  <c r="C22" i="14" s="1"/>
  <c r="X2" i="10"/>
  <c r="Y2" i="10"/>
  <c r="W2" i="10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AD2" i="11"/>
  <c r="B26" i="14" s="1"/>
  <c r="Y2" i="11"/>
  <c r="Z2" i="11"/>
  <c r="B22" i="14" s="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0" i="14" l="1"/>
  <c r="B29" i="14"/>
  <c r="E29" i="14" s="1"/>
  <c r="B28" i="14"/>
  <c r="E28" i="14" s="1"/>
  <c r="B27" i="14"/>
  <c r="E27" i="14" s="1"/>
  <c r="G27" i="14" s="1"/>
  <c r="C19" i="14"/>
  <c r="C21" i="14"/>
  <c r="E26" i="14"/>
  <c r="G26" i="14" s="1"/>
  <c r="C20" i="14"/>
  <c r="B21" i="14"/>
  <c r="E25" i="14"/>
  <c r="G25" i="14" s="1"/>
  <c r="B20" i="14"/>
  <c r="B19" i="14"/>
  <c r="E5" i="14"/>
  <c r="G5" i="14" s="1"/>
  <c r="E15" i="14"/>
  <c r="G15" i="14" s="1"/>
  <c r="E13" i="14"/>
  <c r="G13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C18" i="14"/>
  <c r="E2" i="14"/>
  <c r="G2" i="14" s="1"/>
  <c r="E21" i="14" l="1"/>
  <c r="G21" i="14" s="1"/>
  <c r="E19" i="14"/>
  <c r="G19" i="14" s="1"/>
  <c r="E24" i="14"/>
  <c r="G24" i="14" s="1"/>
  <c r="E20" i="14"/>
  <c r="G20" i="14" s="1"/>
  <c r="E23" i="14"/>
  <c r="G23" i="14" s="1"/>
  <c r="E18" i="14"/>
  <c r="G18" i="14" s="1"/>
  <c r="E22" i="14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<sst xmlns="http://schemas.openxmlformats.org/spreadsheetml/2006/main" count="3714" uniqueCount="1351">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</sst>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  <c:pt idx="26">
                  <c:v>0.20107238605898123</c:v>
                </c:pt>
                <c:pt idx="27">
                  <c:v>0.12332439678284182</c:v>
                </c:pt>
                <c:pt idx="28">
                  <c:v>0.13404825737265416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  <c:pt idx="26" formatCode="General">
                  <c:v>13</c:v>
                </c:pt>
                <c:pt idx="27" formatCode="General">
                  <c:v>9</c:v>
                </c:pt>
                <c:pt idx="28" formatCode="General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  <c:pt idx="26">
                  <c:v>62</c:v>
                </c:pt>
                <c:pt idx="27">
                  <c:v>37</c:v>
                </c:pt>
                <c:pt idx="28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  <c:pt idx="26">
                  <c:v>75</c:v>
                </c:pt>
                <c:pt idx="27">
                  <c:v>46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  <c:pt idx="26">
                  <c:v>0.20107238605898123</c:v>
                </c:pt>
                <c:pt idx="27">
                  <c:v>0.12332439678284182</c:v>
                </c:pt>
                <c:pt idx="28">
                  <c:v>0.13404825737265416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R200" activePane="bottomRight" state="frozen"/>
      <selection pane="topRight" activeCell="M1" sqref="M1"/>
      <selection pane="bottomLeft" activeCell="A5" sqref="A5"/>
      <selection pane="bottomRight" activeCell="AR207" sqref="AR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7.3369565217391311E-2</v>
      </c>
      <c r="AM1" s="4">
        <f t="shared" si="0"/>
        <v>0.16847826086956522</v>
      </c>
      <c r="AN1" s="4">
        <f t="shared" si="0"/>
        <v>0.15718157181571815</v>
      </c>
      <c r="AO1" s="4">
        <f t="shared" si="0"/>
        <v>0.21983914209115282</v>
      </c>
      <c r="AP1" s="4">
        <f t="shared" si="0"/>
        <v>0.125</v>
      </c>
      <c r="AQ1" s="4">
        <f t="shared" ref="AQ1:AR1" si="1">(AQ3)/(AQ2+AQ3)</f>
        <v>0.1358695652173913</v>
      </c>
      <c r="AR1" s="4">
        <f t="shared" si="1"/>
        <v>7.880434782608696E-2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341</v>
      </c>
      <c r="AM2" s="10">
        <f t="shared" si="2"/>
        <v>306</v>
      </c>
      <c r="AN2" s="10">
        <f t="shared" si="2"/>
        <v>311</v>
      </c>
      <c r="AO2" s="10">
        <f t="shared" si="2"/>
        <v>291</v>
      </c>
      <c r="AP2" s="10">
        <f t="shared" si="2"/>
        <v>322</v>
      </c>
      <c r="AQ2" s="10">
        <f t="shared" si="2"/>
        <v>318</v>
      </c>
      <c r="AR2" s="10">
        <f t="shared" si="2"/>
        <v>339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27</v>
      </c>
      <c r="AM3" s="14">
        <f t="shared" si="3"/>
        <v>62</v>
      </c>
      <c r="AN3" s="14">
        <f t="shared" si="3"/>
        <v>58</v>
      </c>
      <c r="AO3" s="14">
        <f t="shared" si="3"/>
        <v>82</v>
      </c>
      <c r="AP3" s="14">
        <f t="shared" si="3"/>
        <v>46</v>
      </c>
      <c r="AQ3" s="14">
        <f t="shared" ref="AQ3:AR3" si="4">COUNTIF(AQ4:AQ447, "apagado")</f>
        <v>50</v>
      </c>
      <c r="AR3" s="14">
        <f t="shared" si="4"/>
        <v>29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23</v>
      </c>
      <c r="M5" s="17">
        <f t="shared" ref="M5:M68" si="6">COUNTIF(O5:AP5,"APAGADO")</f>
        <v>5</v>
      </c>
      <c r="N5" s="18">
        <f t="shared" ref="N5:N68" si="7">(L5)/(M5+L5)</f>
        <v>0.8214285714285714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1343</v>
      </c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4</v>
      </c>
      <c r="M7" s="17">
        <f t="shared" si="6"/>
        <v>24</v>
      </c>
      <c r="N7" s="18">
        <f t="shared" si="7"/>
        <v>0.14285714285714285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 t="s">
        <v>1343</v>
      </c>
      <c r="AM7" s="8" t="s">
        <v>1343</v>
      </c>
      <c r="AN7" s="27" t="s">
        <v>1343</v>
      </c>
      <c r="AO7" s="8" t="s">
        <v>1343</v>
      </c>
      <c r="AP7" s="8" t="s">
        <v>1343</v>
      </c>
      <c r="AQ7" s="27" t="s">
        <v>1343</v>
      </c>
      <c r="AR7" s="27" t="s">
        <v>1343</v>
      </c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17</v>
      </c>
      <c r="M10" s="17">
        <f t="shared" si="6"/>
        <v>11</v>
      </c>
      <c r="N10" s="18">
        <f t="shared" si="7"/>
        <v>0.6071428571428571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 t="s">
        <v>1343</v>
      </c>
      <c r="AM10" s="8"/>
      <c r="AN10" s="27" t="s">
        <v>1343</v>
      </c>
      <c r="AO10" s="8"/>
      <c r="AP10" s="8"/>
      <c r="AQ10" s="27" t="s">
        <v>1343</v>
      </c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 t="s">
        <v>1343</v>
      </c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20</v>
      </c>
      <c r="M12" s="17">
        <f t="shared" si="6"/>
        <v>8</v>
      </c>
      <c r="N12" s="18">
        <f t="shared" si="7"/>
        <v>0.7142857142857143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 t="s">
        <v>1343</v>
      </c>
      <c r="AN12" s="27" t="s">
        <v>1343</v>
      </c>
      <c r="AO12" s="8"/>
      <c r="AP12" s="8"/>
      <c r="AQ12" s="27" t="s">
        <v>1343</v>
      </c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 t="s">
        <v>1343</v>
      </c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21</v>
      </c>
      <c r="M14" s="17">
        <f t="shared" si="6"/>
        <v>7</v>
      </c>
      <c r="N14" s="18">
        <f t="shared" si="7"/>
        <v>0.75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 t="s">
        <v>1343</v>
      </c>
      <c r="AN14" s="27" t="s">
        <v>1343</v>
      </c>
      <c r="AO14" s="8" t="s">
        <v>1343</v>
      </c>
      <c r="AP14" s="8" t="s">
        <v>1343</v>
      </c>
      <c r="AQ14" s="27" t="s">
        <v>1343</v>
      </c>
      <c r="AR14" s="27" t="s">
        <v>1343</v>
      </c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23</v>
      </c>
      <c r="M19" s="17">
        <f t="shared" si="6"/>
        <v>5</v>
      </c>
      <c r="N19" s="18">
        <f t="shared" si="7"/>
        <v>0.8214285714285714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 t="s">
        <v>1343</v>
      </c>
      <c r="AM19" s="8" t="s">
        <v>1343</v>
      </c>
      <c r="AN19" s="27" t="s">
        <v>1343</v>
      </c>
      <c r="AO19" s="8" t="s">
        <v>1343</v>
      </c>
      <c r="AP19" s="8" t="s">
        <v>1343</v>
      </c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19</v>
      </c>
      <c r="M21" s="17">
        <f t="shared" si="6"/>
        <v>9</v>
      </c>
      <c r="N21" s="18">
        <f t="shared" si="7"/>
        <v>0.6785714285714286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 t="s">
        <v>1343</v>
      </c>
      <c r="AN21" s="27" t="s">
        <v>1343</v>
      </c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23</v>
      </c>
      <c r="M22" s="17">
        <f t="shared" si="6"/>
        <v>5</v>
      </c>
      <c r="N22" s="18">
        <f t="shared" si="7"/>
        <v>0.8214285714285714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 t="s">
        <v>1343</v>
      </c>
      <c r="AN22" s="27"/>
      <c r="AO22" s="8"/>
      <c r="AP22" s="8"/>
      <c r="AQ22" s="27" t="s">
        <v>1343</v>
      </c>
      <c r="AR22" s="27" t="s">
        <v>1343</v>
      </c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26</v>
      </c>
      <c r="M28" s="17">
        <f t="shared" si="6"/>
        <v>2</v>
      </c>
      <c r="N28" s="18">
        <f t="shared" si="7"/>
        <v>0.9285714285714286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 t="s">
        <v>1343</v>
      </c>
      <c r="AP28" s="8" t="s">
        <v>1343</v>
      </c>
      <c r="AQ28" s="27" t="s">
        <v>1343</v>
      </c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 t="s">
        <v>1343</v>
      </c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24</v>
      </c>
      <c r="M45" s="17">
        <f t="shared" si="6"/>
        <v>4</v>
      </c>
      <c r="N45" s="18">
        <f t="shared" si="7"/>
        <v>0.8571428571428571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 t="s">
        <v>1343</v>
      </c>
      <c r="AN45" s="27" t="s">
        <v>1343</v>
      </c>
      <c r="AO45" s="8" t="s">
        <v>1343</v>
      </c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24</v>
      </c>
      <c r="M49" s="17">
        <f t="shared" si="6"/>
        <v>4</v>
      </c>
      <c r="N49" s="18">
        <f t="shared" si="7"/>
        <v>0.8571428571428571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 t="s">
        <v>1343</v>
      </c>
      <c r="AN49" s="27" t="s">
        <v>1343</v>
      </c>
      <c r="AO49" s="8" t="s">
        <v>1343</v>
      </c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 t="s">
        <v>1343</v>
      </c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21</v>
      </c>
      <c r="M53" s="17">
        <f t="shared" si="6"/>
        <v>7</v>
      </c>
      <c r="N53" s="18">
        <f t="shared" si="7"/>
        <v>0.75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 t="s">
        <v>1343</v>
      </c>
      <c r="AN53" s="27" t="s">
        <v>1343</v>
      </c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25</v>
      </c>
      <c r="M55" s="17">
        <f t="shared" si="6"/>
        <v>3</v>
      </c>
      <c r="N55" s="18">
        <f t="shared" si="7"/>
        <v>0.8928571428571429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 t="s">
        <v>1343</v>
      </c>
      <c r="AN55" s="27" t="s">
        <v>1343</v>
      </c>
      <c r="AO55" s="8" t="s">
        <v>1343</v>
      </c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15</v>
      </c>
      <c r="M66" s="17">
        <f t="shared" si="6"/>
        <v>13</v>
      </c>
      <c r="N66" s="18">
        <f t="shared" si="7"/>
        <v>0.5357142857142857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 t="s">
        <v>1343</v>
      </c>
      <c r="AM66" s="8" t="s">
        <v>1343</v>
      </c>
      <c r="AN66" s="27" t="s">
        <v>1343</v>
      </c>
      <c r="AO66" s="8" t="s">
        <v>1343</v>
      </c>
      <c r="AP66" s="8" t="s">
        <v>1343</v>
      </c>
      <c r="AQ66" s="27" t="s">
        <v>1343</v>
      </c>
      <c r="AR66" s="27" t="s">
        <v>1343</v>
      </c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24</v>
      </c>
      <c r="M73" s="17">
        <f t="shared" si="9"/>
        <v>4</v>
      </c>
      <c r="N73" s="18">
        <f t="shared" si="10"/>
        <v>0.8571428571428571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 t="s">
        <v>1343</v>
      </c>
      <c r="AN73" s="27" t="s">
        <v>1343</v>
      </c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</v>
      </c>
      <c r="M80" s="17">
        <f t="shared" si="9"/>
        <v>26</v>
      </c>
      <c r="N80" s="18">
        <f t="shared" si="10"/>
        <v>7.1428571428571425E-2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 t="s">
        <v>1343</v>
      </c>
      <c r="AM80" s="8" t="s">
        <v>1343</v>
      </c>
      <c r="AN80" s="27" t="s">
        <v>1343</v>
      </c>
      <c r="AO80" s="8" t="s">
        <v>1343</v>
      </c>
      <c r="AP80" s="8" t="s">
        <v>1343</v>
      </c>
      <c r="AQ80" s="27" t="s">
        <v>1343</v>
      </c>
      <c r="AR80" s="27" t="s">
        <v>1343</v>
      </c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26</v>
      </c>
      <c r="M81" s="17">
        <f t="shared" si="9"/>
        <v>2</v>
      </c>
      <c r="N81" s="18">
        <f t="shared" si="10"/>
        <v>0.9285714285714286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 t="s">
        <v>1343</v>
      </c>
      <c r="AP81" s="8" t="s">
        <v>1343</v>
      </c>
      <c r="AQ81" s="27" t="s">
        <v>1343</v>
      </c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26</v>
      </c>
      <c r="M82" s="17">
        <f t="shared" si="9"/>
        <v>2</v>
      </c>
      <c r="N82" s="18">
        <f t="shared" si="10"/>
        <v>0.9285714285714286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 t="s">
        <v>1343</v>
      </c>
      <c r="AP82" s="8" t="s">
        <v>1343</v>
      </c>
      <c r="AQ82" s="27" t="s">
        <v>1343</v>
      </c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 t="s">
        <v>1343</v>
      </c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 t="s">
        <v>1343</v>
      </c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 t="s">
        <v>1343</v>
      </c>
      <c r="AP101" s="8" t="s">
        <v>1343</v>
      </c>
      <c r="AQ101" s="27" t="s">
        <v>1343</v>
      </c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26</v>
      </c>
      <c r="M104" s="17">
        <f t="shared" si="9"/>
        <v>2</v>
      </c>
      <c r="N104" s="18">
        <f t="shared" si="10"/>
        <v>0.9285714285714286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1343</v>
      </c>
      <c r="AN104" s="27" t="s">
        <v>1343</v>
      </c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26</v>
      </c>
      <c r="M105" s="17">
        <f t="shared" si="9"/>
        <v>2</v>
      </c>
      <c r="N105" s="18">
        <f t="shared" si="10"/>
        <v>0.9285714285714286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1343</v>
      </c>
      <c r="AN105" s="27" t="s">
        <v>1343</v>
      </c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 t="s">
        <v>1343</v>
      </c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 t="s">
        <v>1343</v>
      </c>
      <c r="AN115" s="27" t="s">
        <v>1343</v>
      </c>
      <c r="AO115" s="8"/>
      <c r="AP115" s="8"/>
      <c r="AQ115" s="27" t="s">
        <v>1343</v>
      </c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20</v>
      </c>
      <c r="M116" s="17">
        <f t="shared" si="9"/>
        <v>8</v>
      </c>
      <c r="N116" s="18">
        <f t="shared" si="10"/>
        <v>0.7142857142857143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 t="s">
        <v>1343</v>
      </c>
      <c r="AN116" s="27" t="s">
        <v>1343</v>
      </c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 t="s">
        <v>1343</v>
      </c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26</v>
      </c>
      <c r="M118" s="17">
        <f t="shared" si="9"/>
        <v>2</v>
      </c>
      <c r="N118" s="18">
        <f t="shared" si="10"/>
        <v>0.9285714285714286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 t="s">
        <v>1343</v>
      </c>
      <c r="AP118" s="8" t="s">
        <v>1343</v>
      </c>
      <c r="AQ118" s="27" t="s">
        <v>1343</v>
      </c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26</v>
      </c>
      <c r="M119" s="17">
        <f t="shared" si="9"/>
        <v>2</v>
      </c>
      <c r="N119" s="18">
        <f t="shared" si="10"/>
        <v>0.9285714285714286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 t="s">
        <v>1343</v>
      </c>
      <c r="AP119" s="8" t="s">
        <v>1343</v>
      </c>
      <c r="AQ119" s="27" t="s">
        <v>1343</v>
      </c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 t="s">
        <v>1343</v>
      </c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 t="s">
        <v>1343</v>
      </c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1343</v>
      </c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1343</v>
      </c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23</v>
      </c>
      <c r="M124" s="17">
        <f t="shared" si="9"/>
        <v>5</v>
      </c>
      <c r="N124" s="18">
        <f t="shared" si="10"/>
        <v>0.8214285714285714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 t="s">
        <v>1343</v>
      </c>
      <c r="AN124" s="27" t="s">
        <v>1343</v>
      </c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26</v>
      </c>
      <c r="M129" s="17">
        <f t="shared" si="9"/>
        <v>2</v>
      </c>
      <c r="N129" s="18">
        <f t="shared" si="10"/>
        <v>0.9285714285714286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1343</v>
      </c>
      <c r="AN129" s="27" t="s">
        <v>1343</v>
      </c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26</v>
      </c>
      <c r="M130" s="17">
        <f t="shared" si="9"/>
        <v>2</v>
      </c>
      <c r="N130" s="18">
        <f t="shared" si="10"/>
        <v>0.9285714285714286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1343</v>
      </c>
      <c r="AN130" s="27" t="s">
        <v>1343</v>
      </c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 t="s">
        <v>1343</v>
      </c>
      <c r="AM133" s="8" t="s">
        <v>1343</v>
      </c>
      <c r="AN133" s="27" t="s">
        <v>1343</v>
      </c>
      <c r="AO133" s="8" t="s">
        <v>1343</v>
      </c>
      <c r="AP133" s="8" t="s">
        <v>1343</v>
      </c>
      <c r="AQ133" s="27" t="s">
        <v>1343</v>
      </c>
      <c r="AR133" s="27" t="s">
        <v>1343</v>
      </c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26</v>
      </c>
      <c r="M138" s="17">
        <f t="shared" si="12"/>
        <v>2</v>
      </c>
      <c r="N138" s="18">
        <f t="shared" si="13"/>
        <v>0.9285714285714286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1343</v>
      </c>
      <c r="AN138" s="27" t="s">
        <v>1343</v>
      </c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26</v>
      </c>
      <c r="M139" s="17">
        <f t="shared" si="12"/>
        <v>2</v>
      </c>
      <c r="N139" s="18">
        <f t="shared" si="13"/>
        <v>0.9285714285714286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1343</v>
      </c>
      <c r="AN139" s="27" t="s">
        <v>1343</v>
      </c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26</v>
      </c>
      <c r="M140" s="17">
        <f t="shared" si="12"/>
        <v>2</v>
      </c>
      <c r="N140" s="18">
        <f t="shared" si="13"/>
        <v>0.9285714285714286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1343</v>
      </c>
      <c r="AN140" s="27" t="s">
        <v>1343</v>
      </c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26</v>
      </c>
      <c r="M141" s="17">
        <f t="shared" si="12"/>
        <v>2</v>
      </c>
      <c r="N141" s="18">
        <f t="shared" si="13"/>
        <v>0.9285714285714286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1343</v>
      </c>
      <c r="AN141" s="27" t="s">
        <v>1343</v>
      </c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 t="s">
        <v>1343</v>
      </c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 t="s">
        <v>1343</v>
      </c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27</v>
      </c>
      <c r="M166" s="17">
        <f t="shared" si="12"/>
        <v>1</v>
      </c>
      <c r="N166" s="18">
        <f t="shared" si="13"/>
        <v>0.9642857142857143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 t="s">
        <v>1343</v>
      </c>
      <c r="AQ166" s="27" t="s">
        <v>1343</v>
      </c>
      <c r="AR166" s="27" t="s">
        <v>1343</v>
      </c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 t="s">
        <v>1343</v>
      </c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10</v>
      </c>
      <c r="M177" s="17">
        <f t="shared" si="12"/>
        <v>18</v>
      </c>
      <c r="N177" s="18">
        <f t="shared" si="13"/>
        <v>0.35714285714285715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 t="s">
        <v>1343</v>
      </c>
      <c r="AM177" s="8" t="s">
        <v>1343</v>
      </c>
      <c r="AN177" s="27" t="s">
        <v>1343</v>
      </c>
      <c r="AO177" s="8" t="s">
        <v>1343</v>
      </c>
      <c r="AP177" s="8" t="s">
        <v>1343</v>
      </c>
      <c r="AQ177" s="27" t="s">
        <v>1343</v>
      </c>
      <c r="AR177" s="27" t="s">
        <v>1343</v>
      </c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 t="s">
        <v>1343</v>
      </c>
      <c r="AN186" s="27" t="s">
        <v>1343</v>
      </c>
      <c r="AO186" s="8"/>
      <c r="AP186" s="8"/>
      <c r="AQ186" s="27" t="s">
        <v>1343</v>
      </c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</v>
      </c>
      <c r="M191" s="17">
        <f t="shared" si="12"/>
        <v>26</v>
      </c>
      <c r="N191" s="18">
        <f t="shared" si="13"/>
        <v>7.1428571428571425E-2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 t="s">
        <v>1343</v>
      </c>
      <c r="AM191" s="8" t="s">
        <v>1343</v>
      </c>
      <c r="AN191" s="27" t="s">
        <v>1343</v>
      </c>
      <c r="AO191" s="8" t="s">
        <v>1343</v>
      </c>
      <c r="AP191" s="8" t="s">
        <v>1343</v>
      </c>
      <c r="AQ191" s="27" t="s">
        <v>1343</v>
      </c>
      <c r="AR191" s="27" t="s">
        <v>1343</v>
      </c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</v>
      </c>
      <c r="M192" s="17">
        <f t="shared" si="12"/>
        <v>26</v>
      </c>
      <c r="N192" s="18">
        <f t="shared" si="13"/>
        <v>7.1428571428571425E-2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 t="s">
        <v>1343</v>
      </c>
      <c r="AM192" s="8" t="s">
        <v>1343</v>
      </c>
      <c r="AN192" s="27" t="s">
        <v>1343</v>
      </c>
      <c r="AO192" s="8" t="s">
        <v>1343</v>
      </c>
      <c r="AP192" s="8" t="s">
        <v>1343</v>
      </c>
      <c r="AQ192" s="27" t="s">
        <v>1343</v>
      </c>
      <c r="AR192" s="27" t="s">
        <v>1343</v>
      </c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8</v>
      </c>
      <c r="M194" s="17">
        <f t="shared" si="12"/>
        <v>20</v>
      </c>
      <c r="N194" s="18">
        <f t="shared" si="13"/>
        <v>0.2857142857142857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 t="s">
        <v>1343</v>
      </c>
      <c r="AM194" s="8" t="s">
        <v>1343</v>
      </c>
      <c r="AN194" s="27" t="s">
        <v>1343</v>
      </c>
      <c r="AO194" s="8" t="s">
        <v>1343</v>
      </c>
      <c r="AP194" s="8" t="s">
        <v>1343</v>
      </c>
      <c r="AQ194" s="27" t="s">
        <v>1343</v>
      </c>
      <c r="AR194" s="27" t="s">
        <v>1343</v>
      </c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23</v>
      </c>
      <c r="M195" s="17">
        <f t="shared" si="12"/>
        <v>5</v>
      </c>
      <c r="N195" s="18">
        <f t="shared" si="13"/>
        <v>0.8214285714285714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 t="s">
        <v>1343</v>
      </c>
      <c r="AM195" s="8" t="s">
        <v>1343</v>
      </c>
      <c r="AN195" s="27" t="s">
        <v>1343</v>
      </c>
      <c r="AO195" s="8" t="s">
        <v>1343</v>
      </c>
      <c r="AP195" s="8" t="s">
        <v>1343</v>
      </c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 t="s">
        <v>1343</v>
      </c>
      <c r="AM196" s="8" t="s">
        <v>1343</v>
      </c>
      <c r="AN196" s="27" t="s">
        <v>1343</v>
      </c>
      <c r="AO196" s="8" t="s">
        <v>1343</v>
      </c>
      <c r="AP196" s="8" t="s">
        <v>1343</v>
      </c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15</v>
      </c>
      <c r="M199" s="17">
        <f t="shared" si="15"/>
        <v>13</v>
      </c>
      <c r="N199" s="18">
        <f t="shared" si="16"/>
        <v>0.5357142857142857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 t="s">
        <v>1343</v>
      </c>
      <c r="AM199" s="8"/>
      <c r="AN199" s="27"/>
      <c r="AO199" s="8" t="s">
        <v>1343</v>
      </c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18</v>
      </c>
      <c r="M200" s="17">
        <f t="shared" si="15"/>
        <v>10</v>
      </c>
      <c r="N200" s="18">
        <f t="shared" si="16"/>
        <v>0.6428571428571429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 t="s">
        <v>1343</v>
      </c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20</v>
      </c>
      <c r="M201" s="17">
        <f t="shared" si="15"/>
        <v>8</v>
      </c>
      <c r="N201" s="18">
        <f t="shared" si="16"/>
        <v>0.7142857142857143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 t="s">
        <v>1343</v>
      </c>
      <c r="AN201" s="27" t="s">
        <v>1343</v>
      </c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24</v>
      </c>
      <c r="M204" s="17">
        <f t="shared" si="15"/>
        <v>4</v>
      </c>
      <c r="N204" s="18">
        <f t="shared" si="16"/>
        <v>0.8571428571428571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 t="s">
        <v>1343</v>
      </c>
      <c r="AN204" s="27" t="s">
        <v>1343</v>
      </c>
      <c r="AO204" s="8" t="s">
        <v>1343</v>
      </c>
      <c r="AP204" s="8" t="s">
        <v>1343</v>
      </c>
      <c r="AQ204" s="27" t="s">
        <v>1343</v>
      </c>
      <c r="AR204" s="27" t="s">
        <v>1343</v>
      </c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24</v>
      </c>
      <c r="M205" s="17">
        <f t="shared" si="15"/>
        <v>4</v>
      </c>
      <c r="N205" s="18">
        <f t="shared" si="16"/>
        <v>0.8571428571428571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 t="s">
        <v>1343</v>
      </c>
      <c r="AN205" s="27" t="s">
        <v>1343</v>
      </c>
      <c r="AO205" s="8" t="s">
        <v>1343</v>
      </c>
      <c r="AP205" s="8" t="s">
        <v>1343</v>
      </c>
      <c r="AQ205" s="27" t="s">
        <v>1343</v>
      </c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</v>
      </c>
      <c r="M206" s="17">
        <f t="shared" si="15"/>
        <v>26</v>
      </c>
      <c r="N206" s="18">
        <f t="shared" si="16"/>
        <v>7.1428571428571425E-2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 t="s">
        <v>1343</v>
      </c>
      <c r="AM206" s="8" t="s">
        <v>1343</v>
      </c>
      <c r="AN206" s="27" t="s">
        <v>1343</v>
      </c>
      <c r="AO206" s="8" t="s">
        <v>1343</v>
      </c>
      <c r="AP206" s="8" t="s">
        <v>1343</v>
      </c>
      <c r="AQ206" s="27" t="s">
        <v>1343</v>
      </c>
      <c r="AR206" s="27" t="s">
        <v>1343</v>
      </c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24</v>
      </c>
      <c r="M209" s="17">
        <f t="shared" si="15"/>
        <v>4</v>
      </c>
      <c r="N209" s="18">
        <f t="shared" si="16"/>
        <v>0.8571428571428571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 t="s">
        <v>1343</v>
      </c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 t="s">
        <v>1343</v>
      </c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 t="s">
        <v>1343</v>
      </c>
      <c r="AR211" s="27" t="s">
        <v>1343</v>
      </c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 t="s">
        <v>1343</v>
      </c>
      <c r="AR212" s="27" t="s">
        <v>1343</v>
      </c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 t="s">
        <v>1343</v>
      </c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1343</v>
      </c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 t="s">
        <v>1343</v>
      </c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 t="s">
        <v>1343</v>
      </c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26</v>
      </c>
      <c r="M218" s="17">
        <f t="shared" si="15"/>
        <v>2</v>
      </c>
      <c r="N218" s="18">
        <f t="shared" si="16"/>
        <v>0.9285714285714286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 t="s">
        <v>1343</v>
      </c>
      <c r="AN218" s="27"/>
      <c r="AO218" s="8" t="s">
        <v>1343</v>
      </c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26</v>
      </c>
      <c r="M219" s="17">
        <f t="shared" si="15"/>
        <v>2</v>
      </c>
      <c r="N219" s="18">
        <f t="shared" si="16"/>
        <v>0.9285714285714286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 t="s">
        <v>1343</v>
      </c>
      <c r="AN219" s="27"/>
      <c r="AO219" s="8" t="s">
        <v>1343</v>
      </c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1343</v>
      </c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1343</v>
      </c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1343</v>
      </c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1343</v>
      </c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1343</v>
      </c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20</v>
      </c>
      <c r="M227" s="17">
        <f t="shared" si="15"/>
        <v>8</v>
      </c>
      <c r="N227" s="18">
        <f t="shared" si="16"/>
        <v>0.7142857142857143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 t="s">
        <v>1343</v>
      </c>
      <c r="AM227" s="8" t="s">
        <v>1343</v>
      </c>
      <c r="AN227" s="27" t="s">
        <v>1343</v>
      </c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23</v>
      </c>
      <c r="M230" s="17">
        <f t="shared" si="15"/>
        <v>5</v>
      </c>
      <c r="N230" s="18">
        <f t="shared" si="16"/>
        <v>0.8214285714285714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 t="s">
        <v>1343</v>
      </c>
      <c r="AN230" s="27" t="s">
        <v>1343</v>
      </c>
      <c r="AO230" s="8" t="s">
        <v>1343</v>
      </c>
      <c r="AP230" s="8" t="s">
        <v>1343</v>
      </c>
      <c r="AQ230" s="27" t="s">
        <v>1343</v>
      </c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 t="s">
        <v>1343</v>
      </c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 t="s">
        <v>1343</v>
      </c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13</v>
      </c>
      <c r="M241" s="17">
        <f t="shared" si="15"/>
        <v>15</v>
      </c>
      <c r="N241" s="18">
        <f t="shared" si="16"/>
        <v>0.4642857142857143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 t="s">
        <v>1343</v>
      </c>
      <c r="AM241" s="8" t="s">
        <v>1343</v>
      </c>
      <c r="AN241" s="27" t="s">
        <v>1343</v>
      </c>
      <c r="AO241" s="8" t="s">
        <v>1343</v>
      </c>
      <c r="AP241" s="8" t="s">
        <v>1343</v>
      </c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14</v>
      </c>
      <c r="M242" s="17">
        <f t="shared" si="15"/>
        <v>14</v>
      </c>
      <c r="N242" s="18">
        <f t="shared" si="16"/>
        <v>0.5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 t="s">
        <v>1343</v>
      </c>
      <c r="AM242" s="8" t="s">
        <v>1343</v>
      </c>
      <c r="AN242" s="27" t="s">
        <v>1343</v>
      </c>
      <c r="AO242" s="8" t="s">
        <v>1343</v>
      </c>
      <c r="AP242" s="8" t="s">
        <v>1343</v>
      </c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14</v>
      </c>
      <c r="M243" s="17">
        <f t="shared" si="15"/>
        <v>14</v>
      </c>
      <c r="N243" s="18">
        <f t="shared" si="16"/>
        <v>0.5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 t="s">
        <v>1343</v>
      </c>
      <c r="AM243" s="8" t="s">
        <v>1343</v>
      </c>
      <c r="AN243" s="27" t="s">
        <v>1343</v>
      </c>
      <c r="AO243" s="8" t="s">
        <v>1343</v>
      </c>
      <c r="AP243" s="8" t="s">
        <v>1343</v>
      </c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13</v>
      </c>
      <c r="M244" s="17">
        <f t="shared" si="15"/>
        <v>15</v>
      </c>
      <c r="N244" s="18">
        <f t="shared" si="16"/>
        <v>0.4642857142857143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 t="s">
        <v>1343</v>
      </c>
      <c r="AM244" s="8" t="s">
        <v>1343</v>
      </c>
      <c r="AN244" s="27" t="s">
        <v>1343</v>
      </c>
      <c r="AO244" s="8" t="s">
        <v>1343</v>
      </c>
      <c r="AP244" s="8" t="s">
        <v>1343</v>
      </c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13</v>
      </c>
      <c r="M246" s="17">
        <f t="shared" si="15"/>
        <v>15</v>
      </c>
      <c r="N246" s="18">
        <f t="shared" si="16"/>
        <v>0.4642857142857143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 t="s">
        <v>1343</v>
      </c>
      <c r="AM246" s="27" t="s">
        <v>1343</v>
      </c>
      <c r="AN246" s="27" t="s">
        <v>1343</v>
      </c>
      <c r="AO246" s="27" t="s">
        <v>1343</v>
      </c>
      <c r="AP246" s="27" t="s">
        <v>1343</v>
      </c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26</v>
      </c>
      <c r="M247" s="17">
        <f t="shared" si="15"/>
        <v>2</v>
      </c>
      <c r="N247" s="18">
        <f t="shared" si="16"/>
        <v>0.9285714285714286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 t="s">
        <v>1343</v>
      </c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 t="s">
        <v>1343</v>
      </c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27</v>
      </c>
      <c r="M267" s="17">
        <f t="shared" si="18"/>
        <v>1</v>
      </c>
      <c r="N267" s="18">
        <f t="shared" si="19"/>
        <v>0.9642857142857143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 t="s">
        <v>1343</v>
      </c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25</v>
      </c>
      <c r="M270" s="17">
        <f t="shared" si="18"/>
        <v>3</v>
      </c>
      <c r="N270" s="18">
        <f t="shared" si="19"/>
        <v>0.8928571428571429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 t="s">
        <v>1343</v>
      </c>
      <c r="AN270" s="27" t="s">
        <v>1343</v>
      </c>
      <c r="AO270" s="8"/>
      <c r="AP270" s="8"/>
      <c r="AQ270" s="27" t="s">
        <v>1343</v>
      </c>
      <c r="AR270" s="27" t="s">
        <v>1343</v>
      </c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25</v>
      </c>
      <c r="M272" s="17">
        <f t="shared" si="18"/>
        <v>3</v>
      </c>
      <c r="N272" s="18">
        <f t="shared" si="19"/>
        <v>0.8928571428571429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 t="s">
        <v>1343</v>
      </c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25</v>
      </c>
      <c r="M279" s="17">
        <f t="shared" si="18"/>
        <v>3</v>
      </c>
      <c r="N279" s="18">
        <f t="shared" si="19"/>
        <v>0.8928571428571429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1343</v>
      </c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25</v>
      </c>
      <c r="M284" s="17">
        <f t="shared" si="18"/>
        <v>3</v>
      </c>
      <c r="N284" s="18">
        <f t="shared" si="19"/>
        <v>0.8928571428571429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 t="s">
        <v>1343</v>
      </c>
      <c r="AP284" s="8"/>
      <c r="AQ284" s="27" t="s">
        <v>1343</v>
      </c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25</v>
      </c>
      <c r="M285" s="17">
        <f t="shared" si="18"/>
        <v>3</v>
      </c>
      <c r="N285" s="18">
        <f t="shared" si="19"/>
        <v>0.8928571428571429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 t="s">
        <v>1343</v>
      </c>
      <c r="AP285" s="8"/>
      <c r="AQ285" s="27" t="s">
        <v>1343</v>
      </c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1343</v>
      </c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1343</v>
      </c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12</v>
      </c>
      <c r="M289" s="17">
        <f t="shared" si="18"/>
        <v>16</v>
      </c>
      <c r="N289" s="18">
        <f t="shared" si="19"/>
        <v>0.42857142857142855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 t="s">
        <v>1343</v>
      </c>
      <c r="AM289" s="8" t="s">
        <v>1343</v>
      </c>
      <c r="AN289" s="27" t="s">
        <v>1343</v>
      </c>
      <c r="AO289" s="8" t="s">
        <v>1343</v>
      </c>
      <c r="AP289" s="8" t="s">
        <v>1343</v>
      </c>
      <c r="AQ289" s="27" t="s">
        <v>1343</v>
      </c>
      <c r="AR289" s="27" t="s">
        <v>1343</v>
      </c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 t="s">
        <v>1343</v>
      </c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24</v>
      </c>
      <c r="M291" s="17">
        <f t="shared" si="18"/>
        <v>4</v>
      </c>
      <c r="N291" s="18">
        <f t="shared" si="19"/>
        <v>0.8571428571428571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 t="s">
        <v>1343</v>
      </c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25</v>
      </c>
      <c r="M292" s="17">
        <f t="shared" si="18"/>
        <v>3</v>
      </c>
      <c r="N292" s="18">
        <f t="shared" si="19"/>
        <v>0.8928571428571429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 t="s">
        <v>1343</v>
      </c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25</v>
      </c>
      <c r="M293" s="17">
        <f t="shared" si="18"/>
        <v>3</v>
      </c>
      <c r="N293" s="18">
        <f t="shared" si="19"/>
        <v>0.8928571428571429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 t="s">
        <v>1343</v>
      </c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25</v>
      </c>
      <c r="M294" s="17">
        <f t="shared" si="18"/>
        <v>3</v>
      </c>
      <c r="N294" s="18">
        <f t="shared" si="19"/>
        <v>0.8928571428571429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 t="s">
        <v>1343</v>
      </c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25</v>
      </c>
      <c r="M295" s="17">
        <f t="shared" si="18"/>
        <v>3</v>
      </c>
      <c r="N295" s="18">
        <f t="shared" si="19"/>
        <v>0.8928571428571429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 t="s">
        <v>1343</v>
      </c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19</v>
      </c>
      <c r="M296" s="17">
        <f t="shared" si="18"/>
        <v>9</v>
      </c>
      <c r="N296" s="18">
        <f t="shared" si="19"/>
        <v>0.6785714285714286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 t="s">
        <v>1343</v>
      </c>
      <c r="AN296" s="27" t="s">
        <v>1343</v>
      </c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23</v>
      </c>
      <c r="M297" s="17">
        <f t="shared" si="18"/>
        <v>5</v>
      </c>
      <c r="N297" s="18">
        <f t="shared" si="19"/>
        <v>0.8214285714285714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1343</v>
      </c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</v>
      </c>
      <c r="M303" s="17">
        <f t="shared" si="18"/>
        <v>26</v>
      </c>
      <c r="N303" s="18">
        <f t="shared" si="19"/>
        <v>7.1428571428571425E-2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 t="s">
        <v>1343</v>
      </c>
      <c r="AM303" s="8" t="s">
        <v>1343</v>
      </c>
      <c r="AN303" s="27" t="s">
        <v>1343</v>
      </c>
      <c r="AO303" s="8" t="s">
        <v>1343</v>
      </c>
      <c r="AP303" s="8" t="s">
        <v>1343</v>
      </c>
      <c r="AQ303" s="27" t="s">
        <v>1343</v>
      </c>
      <c r="AR303" s="27" t="s">
        <v>1343</v>
      </c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26</v>
      </c>
      <c r="M304" s="17">
        <f t="shared" si="18"/>
        <v>2</v>
      </c>
      <c r="N304" s="18">
        <f t="shared" si="19"/>
        <v>0.9285714285714286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1343</v>
      </c>
      <c r="AN304" s="27" t="s">
        <v>1343</v>
      </c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26</v>
      </c>
      <c r="M305" s="17">
        <f t="shared" si="18"/>
        <v>2</v>
      </c>
      <c r="N305" s="18">
        <f t="shared" si="19"/>
        <v>0.9285714285714286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1343</v>
      </c>
      <c r="AN305" s="27" t="s">
        <v>1343</v>
      </c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26</v>
      </c>
      <c r="M306" s="17">
        <f t="shared" si="18"/>
        <v>2</v>
      </c>
      <c r="N306" s="18">
        <f t="shared" si="19"/>
        <v>0.9285714285714286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1343</v>
      </c>
      <c r="AN306" s="27" t="s">
        <v>1343</v>
      </c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26</v>
      </c>
      <c r="M307" s="17">
        <f t="shared" si="18"/>
        <v>2</v>
      </c>
      <c r="N307" s="18">
        <f t="shared" si="19"/>
        <v>0.9285714285714286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1343</v>
      </c>
      <c r="AN307" s="27" t="s">
        <v>1343</v>
      </c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21</v>
      </c>
      <c r="M309" s="17">
        <f t="shared" si="18"/>
        <v>7</v>
      </c>
      <c r="N309" s="18">
        <f t="shared" si="19"/>
        <v>0.75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 t="s">
        <v>1343</v>
      </c>
      <c r="AN309" s="27" t="s">
        <v>1343</v>
      </c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23</v>
      </c>
      <c r="M310" s="17">
        <f t="shared" si="18"/>
        <v>5</v>
      </c>
      <c r="N310" s="18">
        <f t="shared" si="19"/>
        <v>0.8214285714285714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 t="s">
        <v>1343</v>
      </c>
      <c r="AN310" s="27" t="s">
        <v>1343</v>
      </c>
      <c r="AO310" s="8" t="s">
        <v>1343</v>
      </c>
      <c r="AP310" s="8" t="s">
        <v>1343</v>
      </c>
      <c r="AQ310" s="27" t="s">
        <v>1343</v>
      </c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26</v>
      </c>
      <c r="M313" s="17">
        <f t="shared" si="18"/>
        <v>2</v>
      </c>
      <c r="N313" s="18">
        <f t="shared" si="19"/>
        <v>0.9285714285714286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 t="s">
        <v>1343</v>
      </c>
      <c r="AP313" s="8" t="s">
        <v>1343</v>
      </c>
      <c r="AQ313" s="27" t="s">
        <v>1343</v>
      </c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26</v>
      </c>
      <c r="M318" s="17">
        <f t="shared" si="18"/>
        <v>2</v>
      </c>
      <c r="N318" s="18">
        <f t="shared" si="19"/>
        <v>0.9285714285714286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 t="s">
        <v>1343</v>
      </c>
      <c r="AP318" s="8" t="s">
        <v>1343</v>
      </c>
      <c r="AQ318" s="27" t="s">
        <v>1343</v>
      </c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26</v>
      </c>
      <c r="M319" s="17">
        <f t="shared" si="18"/>
        <v>2</v>
      </c>
      <c r="N319" s="18">
        <f t="shared" si="19"/>
        <v>0.9285714285714286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 t="s">
        <v>1343</v>
      </c>
      <c r="AP319" s="8" t="s">
        <v>1343</v>
      </c>
      <c r="AQ319" s="27" t="s">
        <v>1343</v>
      </c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 t="s">
        <v>1343</v>
      </c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20</v>
      </c>
      <c r="M325" s="17">
        <f t="shared" si="18"/>
        <v>8</v>
      </c>
      <c r="N325" s="18">
        <f t="shared" si="19"/>
        <v>0.7142857142857143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 t="s">
        <v>1343</v>
      </c>
      <c r="AN325" s="27" t="s">
        <v>1343</v>
      </c>
      <c r="AO325" s="8" t="s">
        <v>1343</v>
      </c>
      <c r="AP325" s="8" t="s">
        <v>1343</v>
      </c>
      <c r="AQ325" s="27" t="s">
        <v>1343</v>
      </c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 t="s">
        <v>1343</v>
      </c>
      <c r="AN327" s="27"/>
      <c r="AO327" s="8"/>
      <c r="AP327" s="8"/>
      <c r="AQ327" s="27" t="s">
        <v>1343</v>
      </c>
      <c r="AR327" s="27" t="s">
        <v>1343</v>
      </c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26</v>
      </c>
      <c r="M328" s="17">
        <f t="shared" si="21"/>
        <v>2</v>
      </c>
      <c r="N328" s="18">
        <f t="shared" si="22"/>
        <v>0.9285714285714286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 t="s">
        <v>1343</v>
      </c>
      <c r="AP328" s="8" t="s">
        <v>1343</v>
      </c>
      <c r="AQ328" s="27" t="s">
        <v>1343</v>
      </c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26</v>
      </c>
      <c r="M329" s="17">
        <f t="shared" si="21"/>
        <v>2</v>
      </c>
      <c r="N329" s="18">
        <f t="shared" si="22"/>
        <v>0.9285714285714286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 t="s">
        <v>1343</v>
      </c>
      <c r="AP329" s="8" t="s">
        <v>1343</v>
      </c>
      <c r="AQ329" s="27" t="s">
        <v>1343</v>
      </c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 t="s">
        <v>1343</v>
      </c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 t="s">
        <v>1343</v>
      </c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25</v>
      </c>
      <c r="M334" s="17">
        <f t="shared" si="21"/>
        <v>3</v>
      </c>
      <c r="N334" s="18">
        <f t="shared" si="22"/>
        <v>0.8928571428571429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 t="s">
        <v>1343</v>
      </c>
      <c r="AN334" s="27"/>
      <c r="AO334" s="8"/>
      <c r="AP334" s="8"/>
      <c r="AQ334" s="27" t="s">
        <v>1343</v>
      </c>
      <c r="AR334" s="27" t="s">
        <v>1343</v>
      </c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 t="s">
        <v>1343</v>
      </c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12</v>
      </c>
      <c r="M343" s="17">
        <f t="shared" si="21"/>
        <v>16</v>
      </c>
      <c r="N343" s="18">
        <f t="shared" si="22"/>
        <v>0.42857142857142855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 t="s">
        <v>1343</v>
      </c>
      <c r="AM343" s="8" t="s">
        <v>1343</v>
      </c>
      <c r="AN343" s="27" t="s">
        <v>1343</v>
      </c>
      <c r="AO343" s="8" t="s">
        <v>1343</v>
      </c>
      <c r="AP343" s="8" t="s">
        <v>1343</v>
      </c>
      <c r="AQ343" s="27" t="s">
        <v>1343</v>
      </c>
      <c r="AR343" s="27" t="s">
        <v>1343</v>
      </c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 t="s">
        <v>1343</v>
      </c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1343</v>
      </c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 t="s">
        <v>1343</v>
      </c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 t="s">
        <v>1343</v>
      </c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</v>
      </c>
      <c r="M352" s="17">
        <f t="shared" si="21"/>
        <v>26</v>
      </c>
      <c r="N352" s="18">
        <f t="shared" si="22"/>
        <v>7.1428571428571425E-2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 t="s">
        <v>1343</v>
      </c>
      <c r="AM352" s="8" t="s">
        <v>1343</v>
      </c>
      <c r="AN352" s="27" t="s">
        <v>1343</v>
      </c>
      <c r="AO352" s="8" t="s">
        <v>1343</v>
      </c>
      <c r="AP352" s="8" t="s">
        <v>1343</v>
      </c>
      <c r="AQ352" s="27" t="s">
        <v>1343</v>
      </c>
      <c r="AR352" s="27" t="s">
        <v>1343</v>
      </c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 t="s">
        <v>1343</v>
      </c>
      <c r="AM355" s="8"/>
      <c r="AN355" s="27"/>
      <c r="AO355" s="8"/>
      <c r="AP355" s="8"/>
      <c r="AQ355" s="27"/>
      <c r="AR355" s="27" t="s">
        <v>1343</v>
      </c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21</v>
      </c>
      <c r="M363" s="17">
        <f t="shared" si="21"/>
        <v>7</v>
      </c>
      <c r="N363" s="18">
        <f t="shared" si="22"/>
        <v>0.75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 t="s">
        <v>1343</v>
      </c>
      <c r="AN363" s="27" t="s">
        <v>1343</v>
      </c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27</v>
      </c>
      <c r="M371" s="17">
        <f t="shared" si="21"/>
        <v>1</v>
      </c>
      <c r="N371" s="18">
        <f t="shared" si="22"/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 t="s">
        <v>1343</v>
      </c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27</v>
      </c>
      <c r="M372" s="17">
        <f t="shared" si="21"/>
        <v>1</v>
      </c>
      <c r="N372" s="18">
        <f t="shared" si="22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 t="s">
        <v>1343</v>
      </c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27</v>
      </c>
      <c r="M373" s="73">
        <f t="shared" ref="M373:M377" si="24">COUNTIF(O373:AP373,"APAGADO")</f>
        <v>1</v>
      </c>
      <c r="N373" s="74">
        <f t="shared" ref="N373:N377" si="25">(L373)/(M373+L373)</f>
        <v>0.9642857142857143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 t="s">
        <v>1343</v>
      </c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27</v>
      </c>
      <c r="M374" s="73">
        <f t="shared" si="24"/>
        <v>1</v>
      </c>
      <c r="N374" s="74">
        <f t="shared" si="25"/>
        <v>0.9642857142857143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 t="s">
        <v>1343</v>
      </c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27</v>
      </c>
      <c r="M375" s="73">
        <f t="shared" si="24"/>
        <v>1</v>
      </c>
      <c r="N375" s="74">
        <f t="shared" si="25"/>
        <v>0.9642857142857143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 t="s">
        <v>1343</v>
      </c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27</v>
      </c>
      <c r="M376" s="73">
        <f t="shared" si="24"/>
        <v>1</v>
      </c>
      <c r="N376" s="74">
        <f t="shared" si="25"/>
        <v>0.9642857142857143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 t="s">
        <v>1343</v>
      </c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26</v>
      </c>
      <c r="M377" s="73">
        <f t="shared" si="24"/>
        <v>2</v>
      </c>
      <c r="N377" s="74">
        <f t="shared" si="25"/>
        <v>0.9285714285714286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 t="s">
        <v>1343</v>
      </c>
      <c r="AO377" s="75" t="s">
        <v>1343</v>
      </c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1" workbookViewId="0">
      <selection activeCell="AD1" sqref="AD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 t="str">
        <f>'RESUMEN TOTAL'!AQ7</f>
        <v>APAGADO</v>
      </c>
      <c r="AI4" t="str">
        <f>'RESUMEN TOTAL'!AR7</f>
        <v>APAGADO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 t="str">
        <f>'RESUMEN TOTAL'!AN10</f>
        <v>APAGADO</v>
      </c>
      <c r="AF7">
        <f>'RESUMEN TOTAL'!AO10</f>
        <v>0</v>
      </c>
      <c r="AG7">
        <f>'RESUMEN TOTAL'!AP10</f>
        <v>0</v>
      </c>
      <c r="AH7" t="str">
        <f>'RESUMEN TOTAL'!AQ10</f>
        <v>APAGADO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 t="str">
        <f>'RESUMEN TOTAL'!AR11</f>
        <v>APAGADO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 t="str">
        <f>'RESUMEN TOTAL'!AM12</f>
        <v>APAGADO</v>
      </c>
      <c r="AE9" t="str">
        <f>'RESUMEN TOTAL'!AN12</f>
        <v>APAGADO</v>
      </c>
      <c r="AF9">
        <f>'RESUMEN TOTAL'!AO12</f>
        <v>0</v>
      </c>
      <c r="AG9">
        <f>'RESUMEN TOTAL'!AP12</f>
        <v>0</v>
      </c>
      <c r="AH9" t="str">
        <f>'RESUMEN TOTAL'!AQ12</f>
        <v>APAGADO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 t="str">
        <f>'RESUMEN TOTAL'!AM14</f>
        <v>APAGADO</v>
      </c>
      <c r="AE11" t="str">
        <f>'RESUMEN TOTAL'!AN14</f>
        <v>APAGADO</v>
      </c>
      <c r="AF11" t="str">
        <f>'RESUMEN TOTAL'!AO14</f>
        <v>APAGADO</v>
      </c>
      <c r="AG11" t="str">
        <f>'RESUMEN TOTAL'!AP14</f>
        <v>APAGADO</v>
      </c>
      <c r="AH11" t="str">
        <f>'RESUMEN TOTAL'!AQ14</f>
        <v>APAGADO</v>
      </c>
      <c r="AI11" t="str">
        <f>'RESUMEN TOTAL'!AR14</f>
        <v>APAGADO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 t="str">
        <f>'RESUMEN TOTAL'!AL19</f>
        <v>APAGADO</v>
      </c>
      <c r="AD16" t="str">
        <f>'RESUMEN TOTAL'!AM19</f>
        <v>APAGADO</v>
      </c>
      <c r="AE16" t="str">
        <f>'RESUMEN TOTAL'!AN19</f>
        <v>APAGADO</v>
      </c>
      <c r="AF16" t="str">
        <f>'RESUMEN TOTAL'!AO19</f>
        <v>APAGADO</v>
      </c>
      <c r="AG16" t="str">
        <f>'RESUMEN TOTAL'!AP19</f>
        <v>APAGADO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 t="str">
        <f>'RESUMEN TOTAL'!AQ22</f>
        <v>APAGADO</v>
      </c>
      <c r="AI19" t="str">
        <f>'RESUMEN TOTAL'!AR22</f>
        <v>APAGADO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 t="str">
        <f>'RESUMEN TOTAL'!AO28</f>
        <v>APAGADO</v>
      </c>
      <c r="AG25" t="str">
        <f>'RESUMEN TOTAL'!AP28</f>
        <v>APAGADO</v>
      </c>
      <c r="AH25" t="str">
        <f>'RESUMEN TOTAL'!AQ28</f>
        <v>APAGADO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 t="str">
        <f>'RESUMEN TOTAL'!AR32</f>
        <v>APAGADO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 t="str">
        <f>'RESUMEN TOTAL'!AM45</f>
        <v>APAGADO</v>
      </c>
      <c r="AE42" t="str">
        <f>'RESUMEN TOTAL'!AN45</f>
        <v>APAGADO</v>
      </c>
      <c r="AF42" t="str">
        <f>'RESUMEN TOTAL'!AO45</f>
        <v>APAGADO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 t="str">
        <f>'RESUMEN TOTAL'!AM49</f>
        <v>APAGADO</v>
      </c>
      <c r="AE46" t="str">
        <f>'RESUMEN TOTAL'!AN49</f>
        <v>APAGADO</v>
      </c>
      <c r="AF46" t="str">
        <f>'RESUMEN TOTAL'!AO49</f>
        <v>APAGADO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 t="str">
        <f>'RESUMEN TOTAL'!AQ52</f>
        <v>APAGADO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 t="str">
        <f>'RESUMEN TOTAL'!AM53</f>
        <v>APAGADO</v>
      </c>
      <c r="AE50" t="str">
        <f>'RESUMEN TOTAL'!AN53</f>
        <v>APAGADO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 t="str">
        <f>'RESUMEN TOTAL'!AM55</f>
        <v>APAGADO</v>
      </c>
      <c r="AE52" t="str">
        <f>'RESUMEN TOTAL'!AN55</f>
        <v>APAGADO</v>
      </c>
      <c r="AF52" t="str">
        <f>'RESUMEN TOTAL'!AO55</f>
        <v>APAGADO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 t="str">
        <f>'RESUMEN TOTAL'!AL66</f>
        <v>APAGADO</v>
      </c>
      <c r="AD63" t="str">
        <f>'RESUMEN TOTAL'!AM66</f>
        <v>APAGADO</v>
      </c>
      <c r="AE63" t="str">
        <f>'RESUMEN TOTAL'!AN66</f>
        <v>APAGADO</v>
      </c>
      <c r="AF63" t="str">
        <f>'RESUMEN TOTAL'!AO66</f>
        <v>APAGADO</v>
      </c>
      <c r="AG63" t="str">
        <f>'RESUMEN TOTAL'!AP66</f>
        <v>APAGADO</v>
      </c>
      <c r="AH63" t="str">
        <f>'RESUMEN TOTAL'!AQ66</f>
        <v>APAGADO</v>
      </c>
      <c r="AI63" t="str">
        <f>'RESUMEN TOTAL'!AR66</f>
        <v>APAGADO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 t="str">
        <f>'RESUMEN TOTAL'!AM73</f>
        <v>APAGADO</v>
      </c>
      <c r="AE70" t="str">
        <f>'RESUMEN TOTAL'!AN73</f>
        <v>APAGADO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 t="str">
        <f>'RESUMEN TOTAL'!AR80</f>
        <v>APAGADO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 t="str">
        <f>'RESUMEN TOTAL'!AO81</f>
        <v>APAGADO</v>
      </c>
      <c r="AG78" t="str">
        <f>'RESUMEN TOTAL'!AP81</f>
        <v>APAGADO</v>
      </c>
      <c r="AH78" t="str">
        <f>'RESUMEN TOTAL'!AQ81</f>
        <v>APAGADO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 t="str">
        <f>'RESUMEN TOTAL'!AO82</f>
        <v>APAGADO</v>
      </c>
      <c r="AG79" t="str">
        <f>'RESUMEN TOTAL'!AP82</f>
        <v>APAGADO</v>
      </c>
      <c r="AH79" t="str">
        <f>'RESUMEN TOTAL'!AQ82</f>
        <v>APAGADO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 t="str">
        <f>'RESUMEN TOTAL'!AQ89</f>
        <v>APAGADO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 t="str">
        <f>'RESUMEN TOTAL'!AQ90</f>
        <v>APAGADO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 t="str">
        <f>'RESUMEN TOTAL'!AO101</f>
        <v>APAGADO</v>
      </c>
      <c r="AG98" t="str">
        <f>'RESUMEN TOTAL'!AP101</f>
        <v>APAGADO</v>
      </c>
      <c r="AH98" t="str">
        <f>'RESUMEN TOTAL'!AQ101</f>
        <v>APAGADO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 t="str">
        <f>'RESUMEN TOTAL'!AO114</f>
        <v>APAGADO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 t="str">
        <f>'RESUMEN TOTAL'!AM115</f>
        <v>APAGADO</v>
      </c>
      <c r="AE112" t="str">
        <f>'RESUMEN TOTAL'!AN115</f>
        <v>APAGADO</v>
      </c>
      <c r="AF112">
        <f>'RESUMEN TOTAL'!AO115</f>
        <v>0</v>
      </c>
      <c r="AG112">
        <f>'RESUMEN TOTAL'!AP115</f>
        <v>0</v>
      </c>
      <c r="AH112" t="str">
        <f>'RESUMEN TOTAL'!AQ115</f>
        <v>APAGADO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 t="str">
        <f>'RESUMEN TOTAL'!AM116</f>
        <v>APAGADO</v>
      </c>
      <c r="AE113" t="str">
        <f>'RESUMEN TOTAL'!AN116</f>
        <v>APAGADO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 t="str">
        <f>'RESUMEN TOTAL'!AO117</f>
        <v>APAGADO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 t="str">
        <f>'RESUMEN TOTAL'!AO118</f>
        <v>APAGADO</v>
      </c>
      <c r="AG115" t="str">
        <f>'RESUMEN TOTAL'!AP118</f>
        <v>APAGADO</v>
      </c>
      <c r="AH115" t="str">
        <f>'RESUMEN TOTAL'!AQ118</f>
        <v>APAGADO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 t="str">
        <f>'RESUMEN TOTAL'!AO119</f>
        <v>APAGADO</v>
      </c>
      <c r="AG116" t="str">
        <f>'RESUMEN TOTAL'!AP119</f>
        <v>APAGADO</v>
      </c>
      <c r="AH116" t="str">
        <f>'RESUMEN TOTAL'!AQ119</f>
        <v>APAGADO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 t="str">
        <f>'RESUMEN TOTAL'!AO120</f>
        <v>APAGADO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 t="str">
        <f>'RESUMEN TOTAL'!AO121</f>
        <v>APAGADO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 t="str">
        <f>'RESUMEN TOTAL'!AM124</f>
        <v>APAGADO</v>
      </c>
      <c r="AE121" t="str">
        <f>'RESUMEN TOTAL'!AN124</f>
        <v>APAGADO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 t="str">
        <f>'RESUMEN TOTAL'!AR133</f>
        <v>APAGADO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 t="str">
        <f>'RESUMEN TOTAL'!AR144</f>
        <v>APAGADO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 t="str">
        <f>'RESUMEN TOTAL'!AQ154</f>
        <v>APAGADO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 t="str">
        <f>'RESUMEN TOTAL'!AP166</f>
        <v>APAGADO</v>
      </c>
      <c r="AH163" t="str">
        <f>'RESUMEN TOTAL'!AQ166</f>
        <v>APAGADO</v>
      </c>
      <c r="AI163" t="str">
        <f>'RESUMEN TOTAL'!AR166</f>
        <v>APAGADO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 t="str">
        <f>'RESUMEN TOTAL'!AR167</f>
        <v>APAGADO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 t="str">
        <f>'RESUMEN TOTAL'!AQ177</f>
        <v>APAGADO</v>
      </c>
      <c r="AI174" t="str">
        <f>'RESUMEN TOTAL'!AR177</f>
        <v>APAGADO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 t="str">
        <f>'RESUMEN TOTAL'!AM186</f>
        <v>APAGADO</v>
      </c>
      <c r="AE183" t="str">
        <f>'RESUMEN TOTAL'!AN186</f>
        <v>APAGADO</v>
      </c>
      <c r="AF183">
        <f>'RESUMEN TOTAL'!AO186</f>
        <v>0</v>
      </c>
      <c r="AG183">
        <f>'RESUMEN TOTAL'!AP186</f>
        <v>0</v>
      </c>
      <c r="AH183" t="str">
        <f>'RESUMEN TOTAL'!AQ186</f>
        <v>APAGADO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 t="str">
        <f>'RESUMEN TOTAL'!AR191</f>
        <v>APAGADO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 t="str">
        <f>'RESUMEN TOTAL'!AQ192</f>
        <v>APAGADO</v>
      </c>
      <c r="AI189" t="str">
        <f>'RESUMEN TOTAL'!AR192</f>
        <v>APAGADO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 t="str">
        <f>'RESUMEN TOTAL'!AL194</f>
        <v>APAGADO</v>
      </c>
      <c r="AD191" t="str">
        <f>'RESUMEN TOTAL'!AM194</f>
        <v>APAGADO</v>
      </c>
      <c r="AE191" t="str">
        <f>'RESUMEN TOTAL'!AN194</f>
        <v>APAGADO</v>
      </c>
      <c r="AF191" t="str">
        <f>'RESUMEN TOTAL'!AO194</f>
        <v>APAGADO</v>
      </c>
      <c r="AG191" t="str">
        <f>'RESUMEN TOTAL'!AP194</f>
        <v>APAGADO</v>
      </c>
      <c r="AH191" t="str">
        <f>'RESUMEN TOTAL'!AQ194</f>
        <v>APAGADO</v>
      </c>
      <c r="AI191" t="str">
        <f>'RESUMEN TOTAL'!AR194</f>
        <v>APAGADO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 t="str">
        <f>'RESUMEN TOTAL'!AL195</f>
        <v>APAGADO</v>
      </c>
      <c r="AD192" t="str">
        <f>'RESUMEN TOTAL'!AM195</f>
        <v>APAGADO</v>
      </c>
      <c r="AE192" t="str">
        <f>'RESUMEN TOTAL'!AN195</f>
        <v>APAGADO</v>
      </c>
      <c r="AF192" t="str">
        <f>'RESUMEN TOTAL'!AO195</f>
        <v>APAGADO</v>
      </c>
      <c r="AG192" t="str">
        <f>'RESUMEN TOTAL'!AP195</f>
        <v>APAGADO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 t="str">
        <f>'RESUMEN TOTAL'!AL196</f>
        <v>APAGADO</v>
      </c>
      <c r="AD193" t="str">
        <f>'RESUMEN TOTAL'!AM196</f>
        <v>APAGADO</v>
      </c>
      <c r="AE193" t="str">
        <f>'RESUMEN TOTAL'!AN196</f>
        <v>APAGADO</v>
      </c>
      <c r="AF193" t="str">
        <f>'RESUMEN TOTAL'!AO196</f>
        <v>APAGADO</v>
      </c>
      <c r="AG193" t="str">
        <f>'RESUMEN TOTAL'!AP196</f>
        <v>APAGADO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 t="str">
        <f>'RESUMEN TOTAL'!AL199</f>
        <v>APAGADO</v>
      </c>
      <c r="AD196">
        <f>'RESUMEN TOTAL'!AM199</f>
        <v>0</v>
      </c>
      <c r="AE196">
        <f>'RESUMEN TOTAL'!AN199</f>
        <v>0</v>
      </c>
      <c r="AF196" t="str">
        <f>'RESUMEN TOTAL'!AO199</f>
        <v>APAGADO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 t="str">
        <f>'RESUMEN TOTAL'!AO200</f>
        <v>APAGADO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 t="str">
        <f>'RESUMEN TOTAL'!AM201</f>
        <v>APAGADO</v>
      </c>
      <c r="AE198" t="str">
        <f>'RESUMEN TOTAL'!AN201</f>
        <v>APAGADO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 t="str">
        <f>'RESUMEN TOTAL'!AM204</f>
        <v>APAGADO</v>
      </c>
      <c r="AE201" t="str">
        <f>'RESUMEN TOTAL'!AN204</f>
        <v>APAGADO</v>
      </c>
      <c r="AF201" t="str">
        <f>'RESUMEN TOTAL'!AO204</f>
        <v>APAGADO</v>
      </c>
      <c r="AG201" t="str">
        <f>'RESUMEN TOTAL'!AP204</f>
        <v>APAGADO</v>
      </c>
      <c r="AH201" t="str">
        <f>'RESUMEN TOTAL'!AQ204</f>
        <v>APAGADO</v>
      </c>
      <c r="AI201" t="str">
        <f>'RESUMEN TOTAL'!AR204</f>
        <v>APAGADO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 t="str">
        <f>'RESUMEN TOTAL'!AM205</f>
        <v>APAGADO</v>
      </c>
      <c r="AE202" t="str">
        <f>'RESUMEN TOTAL'!AN205</f>
        <v>APAGADO</v>
      </c>
      <c r="AF202" t="str">
        <f>'RESUMEN TOTAL'!AO205</f>
        <v>APAGADO</v>
      </c>
      <c r="AG202" t="str">
        <f>'RESUMEN TOTAL'!AP205</f>
        <v>APAGADO</v>
      </c>
      <c r="AH202" t="str">
        <f>'RESUMEN TOTAL'!AQ205</f>
        <v>APAGADO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 t="str">
        <f>'RESUMEN TOTAL'!AR206</f>
        <v>APAGADO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 t="str">
        <f>'RESUMEN TOTAL'!AO209</f>
        <v>APAGADO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 t="str">
        <f>'RESUMEN TOTAL'!AO210</f>
        <v>APAGADO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 t="str">
        <f>'RESUMEN TOTAL'!AQ211</f>
        <v>APAGADO</v>
      </c>
      <c r="AI208" t="str">
        <f>'RESUMEN TOTAL'!AR211</f>
        <v>APAGADO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 t="str">
        <f>'RESUMEN TOTAL'!AQ212</f>
        <v>APAGADO</v>
      </c>
      <c r="AI209" t="str">
        <f>'RESUMEN TOTAL'!AR212</f>
        <v>APAGADO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 t="str">
        <f>'RESUMEN TOTAL'!AO216</f>
        <v>APAGADO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 t="str">
        <f>'RESUMEN TOTAL'!AO217</f>
        <v>APAGADO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 t="str">
        <f>'RESUMEN TOTAL'!AM218</f>
        <v>APAGADO</v>
      </c>
      <c r="AE215">
        <f>'RESUMEN TOTAL'!AN218</f>
        <v>0</v>
      </c>
      <c r="AF215" t="str">
        <f>'RESUMEN TOTAL'!AO218</f>
        <v>APAGADO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 t="str">
        <f>'RESUMEN TOTAL'!AM219</f>
        <v>APAGADO</v>
      </c>
      <c r="AE216">
        <f>'RESUMEN TOTAL'!AN219</f>
        <v>0</v>
      </c>
      <c r="AF216" t="str">
        <f>'RESUMEN TOTAL'!AO219</f>
        <v>APAGADO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 t="str">
        <f>'RESUMEN TOTAL'!AL227</f>
        <v>APAGADO</v>
      </c>
      <c r="AD224" t="str">
        <f>'RESUMEN TOTAL'!AM227</f>
        <v>APAGADO</v>
      </c>
      <c r="AE224" t="str">
        <f>'RESUMEN TOTAL'!AN227</f>
        <v>APAGADO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 t="str">
        <f>'RESUMEN TOTAL'!AP230</f>
        <v>APAGADO</v>
      </c>
      <c r="AH227" t="str">
        <f>'RESUMEN TOTAL'!AQ230</f>
        <v>APAGADO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 t="str">
        <f>'RESUMEN TOTAL'!AR231</f>
        <v>APAGADO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 t="str">
        <f>'RESUMEN TOTAL'!AR232</f>
        <v>APAGADO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 t="str">
        <f>'RESUMEN TOTAL'!AL241</f>
        <v>APAGADO</v>
      </c>
      <c r="AD238" t="str">
        <f>'RESUMEN TOTAL'!AM241</f>
        <v>APAGADO</v>
      </c>
      <c r="AE238" t="str">
        <f>'RESUMEN TOTAL'!AN241</f>
        <v>APAGADO</v>
      </c>
      <c r="AF238" t="str">
        <f>'RESUMEN TOTAL'!AO241</f>
        <v>APAGADO</v>
      </c>
      <c r="AG238" t="str">
        <f>'RESUMEN TOTAL'!AP241</f>
        <v>APAGADO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 t="str">
        <f>'RESUMEN TOTAL'!AL242</f>
        <v>APAGADO</v>
      </c>
      <c r="AD239" t="str">
        <f>'RESUMEN TOTAL'!AM242</f>
        <v>APAGADO</v>
      </c>
      <c r="AE239" t="str">
        <f>'RESUMEN TOTAL'!AN242</f>
        <v>APAGADO</v>
      </c>
      <c r="AF239" t="str">
        <f>'RESUMEN TOTAL'!AO242</f>
        <v>APAGADO</v>
      </c>
      <c r="AG239" t="str">
        <f>'RESUMEN TOTAL'!AP242</f>
        <v>APAGADO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 t="str">
        <f>'RESUMEN TOTAL'!AL243</f>
        <v>APAGADO</v>
      </c>
      <c r="AD240" t="str">
        <f>'RESUMEN TOTAL'!AM243</f>
        <v>APAGADO</v>
      </c>
      <c r="AE240" t="str">
        <f>'RESUMEN TOTAL'!AN243</f>
        <v>APAGADO</v>
      </c>
      <c r="AF240" t="str">
        <f>'RESUMEN TOTAL'!AO243</f>
        <v>APAGADO</v>
      </c>
      <c r="AG240" t="str">
        <f>'RESUMEN TOTAL'!AP243</f>
        <v>APAGADO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 t="str">
        <f>'RESUMEN TOTAL'!AL244</f>
        <v>APAGADO</v>
      </c>
      <c r="AD241" t="str">
        <f>'RESUMEN TOTAL'!AM244</f>
        <v>APAGADO</v>
      </c>
      <c r="AE241" t="str">
        <f>'RESUMEN TOTAL'!AN244</f>
        <v>APAGADO</v>
      </c>
      <c r="AF241" t="str">
        <f>'RESUMEN TOTAL'!AO244</f>
        <v>APAGADO</v>
      </c>
      <c r="AG241" t="str">
        <f>'RESUMEN TOTAL'!AP244</f>
        <v>APAGADO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 t="str">
        <f>'RESUMEN TOTAL'!AM246</f>
        <v>APAGADO</v>
      </c>
      <c r="AE243" t="str">
        <f>'RESUMEN TOTAL'!AN246</f>
        <v>APAGADO</v>
      </c>
      <c r="AF243" t="str">
        <f>'RESUMEN TOTAL'!AO246</f>
        <v>APAGADO</v>
      </c>
      <c r="AG243" t="str">
        <f>'RESUMEN TOTAL'!AP246</f>
        <v>APAGADO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 t="str">
        <f>'RESUMEN TOTAL'!AO247</f>
        <v>APAGADO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 t="str">
        <f>'RESUMEN TOTAL'!AL250</f>
        <v>APAGADO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 t="str">
        <f>'RESUMEN TOTAL'!AO267</f>
        <v>APAGADO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 t="str">
        <f>'RESUMEN TOTAL'!AM270</f>
        <v>APAGADO</v>
      </c>
      <c r="AE267" t="str">
        <f>'RESUMEN TOTAL'!AN270</f>
        <v>APAGADO</v>
      </c>
      <c r="AF267">
        <f>'RESUMEN TOTAL'!AO270</f>
        <v>0</v>
      </c>
      <c r="AG267">
        <f>'RESUMEN TOTAL'!AP270</f>
        <v>0</v>
      </c>
      <c r="AH267" t="str">
        <f>'RESUMEN TOTAL'!AQ270</f>
        <v>APAGADO</v>
      </c>
      <c r="AI267" t="str">
        <f>'RESUMEN TOTAL'!AR270</f>
        <v>APAGADO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 t="str">
        <f>'RESUMEN TOTAL'!AO272</f>
        <v>APAGADO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 t="str">
        <f>'RESUMEN TOTAL'!AO284</f>
        <v>APAGADO</v>
      </c>
      <c r="AG281">
        <f>'RESUMEN TOTAL'!AP284</f>
        <v>0</v>
      </c>
      <c r="AH281" t="str">
        <f>'RESUMEN TOTAL'!AQ284</f>
        <v>APAGADO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 t="str">
        <f>'RESUMEN TOTAL'!AO285</f>
        <v>APAGADO</v>
      </c>
      <c r="AG282">
        <f>'RESUMEN TOTAL'!AP285</f>
        <v>0</v>
      </c>
      <c r="AH282" t="str">
        <f>'RESUMEN TOTAL'!AQ285</f>
        <v>APAGADO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 t="str">
        <f>'RESUMEN TOTAL'!AP289</f>
        <v>APAGADO</v>
      </c>
      <c r="AH286" t="str">
        <f>'RESUMEN TOTAL'!AQ289</f>
        <v>APAGADO</v>
      </c>
      <c r="AI286" t="str">
        <f>'RESUMEN TOTAL'!AR289</f>
        <v>APAGADO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 t="str">
        <f>'RESUMEN TOTAL'!AP290</f>
        <v>APAGADO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 t="str">
        <f>'RESUMEN TOTAL'!AP291</f>
        <v>APAGADO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 t="str">
        <f>'RESUMEN TOTAL'!AP292</f>
        <v>APAGADO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 t="str">
        <f>'RESUMEN TOTAL'!AP293</f>
        <v>APAGADO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 t="str">
        <f>'RESUMEN TOTAL'!AP294</f>
        <v>APAGADO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 t="str">
        <f>'RESUMEN TOTAL'!AP295</f>
        <v>APAGADO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 t="str">
        <f>'RESUMEN TOTAL'!AM296</f>
        <v>APAGADO</v>
      </c>
      <c r="AE293" t="str">
        <f>'RESUMEN TOTAL'!AN296</f>
        <v>APAGADO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 t="str">
        <f>'RESUMEN TOTAL'!AQ303</f>
        <v>APAGADO</v>
      </c>
      <c r="AI300" t="str">
        <f>'RESUMEN TOTAL'!AR303</f>
        <v>APAGADO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 t="str">
        <f>'RESUMEN TOTAL'!AM309</f>
        <v>APAGADO</v>
      </c>
      <c r="AE306" t="str">
        <f>'RESUMEN TOTAL'!AN309</f>
        <v>APAGADO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 t="str">
        <f>'RESUMEN TOTAL'!AM310</f>
        <v>APAGADO</v>
      </c>
      <c r="AE307" t="str">
        <f>'RESUMEN TOTAL'!AN310</f>
        <v>APAGADO</v>
      </c>
      <c r="AF307" t="str">
        <f>'RESUMEN TOTAL'!AO310</f>
        <v>APAGADO</v>
      </c>
      <c r="AG307" t="str">
        <f>'RESUMEN TOTAL'!AP310</f>
        <v>APAGADO</v>
      </c>
      <c r="AH307" t="str">
        <f>'RESUMEN TOTAL'!AQ310</f>
        <v>APAGADO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 t="str">
        <f>'RESUMEN TOTAL'!AO313</f>
        <v>APAGADO</v>
      </c>
      <c r="AG310" t="str">
        <f>'RESUMEN TOTAL'!AP313</f>
        <v>APAGADO</v>
      </c>
      <c r="AH310" t="str">
        <f>'RESUMEN TOTAL'!AQ313</f>
        <v>APAGADO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 t="str">
        <f>'RESUMEN TOTAL'!AO318</f>
        <v>APAGADO</v>
      </c>
      <c r="AG315" t="str">
        <f>'RESUMEN TOTAL'!AP318</f>
        <v>APAGADO</v>
      </c>
      <c r="AH315" t="str">
        <f>'RESUMEN TOTAL'!AQ318</f>
        <v>APAGADO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 t="str">
        <f>'RESUMEN TOTAL'!AO319</f>
        <v>APAGADO</v>
      </c>
      <c r="AG316" t="str">
        <f>'RESUMEN TOTAL'!AP319</f>
        <v>APAGADO</v>
      </c>
      <c r="AH316" t="str">
        <f>'RESUMEN TOTAL'!AQ319</f>
        <v>APAGADO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 t="str">
        <f>'RESUMEN TOTAL'!AQ322</f>
        <v>APAGADO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 t="str">
        <f>'RESUMEN TOTAL'!AM325</f>
        <v>APAGADO</v>
      </c>
      <c r="AE322" t="str">
        <f>'RESUMEN TOTAL'!AN325</f>
        <v>APAGADO</v>
      </c>
      <c r="AF322" t="str">
        <f>'RESUMEN TOTAL'!AO325</f>
        <v>APAGADO</v>
      </c>
      <c r="AG322" t="str">
        <f>'RESUMEN TOTAL'!AP325</f>
        <v>APAGADO</v>
      </c>
      <c r="AH322" t="str">
        <f>'RESUMEN TOTAL'!AQ325</f>
        <v>APAGADO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 t="str">
        <f>'RESUMEN TOTAL'!AM327</f>
        <v>APAGADO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 t="str">
        <f>'RESUMEN TOTAL'!AQ327</f>
        <v>APAGADO</v>
      </c>
      <c r="AI324" t="str">
        <f>'RESUMEN TOTAL'!AR327</f>
        <v>APAGADO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 t="str">
        <f>'RESUMEN TOTAL'!AO328</f>
        <v>APAGADO</v>
      </c>
      <c r="AG325" t="str">
        <f>'RESUMEN TOTAL'!AP328</f>
        <v>APAGADO</v>
      </c>
      <c r="AH325" t="str">
        <f>'RESUMEN TOTAL'!AQ328</f>
        <v>APAGADO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 t="str">
        <f>'RESUMEN TOTAL'!AO329</f>
        <v>APAGADO</v>
      </c>
      <c r="AG326" t="str">
        <f>'RESUMEN TOTAL'!AP329</f>
        <v>APAGADO</v>
      </c>
      <c r="AH326" t="str">
        <f>'RESUMEN TOTAL'!AQ329</f>
        <v>APAGADO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 t="str">
        <f>'RESUMEN TOTAL'!AQ330</f>
        <v>APAGADO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 t="str">
        <f>'RESUMEN TOTAL'!AQ331</f>
        <v>APAGADO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 t="str">
        <f>'RESUMEN TOTAL'!AM334</f>
        <v>APAGADO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 t="str">
        <f>'RESUMEN TOTAL'!AQ334</f>
        <v>APAGADO</v>
      </c>
      <c r="AI331" t="str">
        <f>'RESUMEN TOTAL'!AR334</f>
        <v>APAGADO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 t="str">
        <f>'RESUMEN TOTAL'!AP340</f>
        <v>APAGADO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 t="str">
        <f>'RESUMEN TOTAL'!AL343</f>
        <v>APAGADO</v>
      </c>
      <c r="AD340" t="str">
        <f>'RESUMEN TOTAL'!AM343</f>
        <v>APAGADO</v>
      </c>
      <c r="AE340" t="str">
        <f>'RESUMEN TOTAL'!AN343</f>
        <v>APAGADO</v>
      </c>
      <c r="AF340" t="str">
        <f>'RESUMEN TOTAL'!AO343</f>
        <v>APAGADO</v>
      </c>
      <c r="AG340" t="str">
        <f>'RESUMEN TOTAL'!AP343</f>
        <v>APAGADO</v>
      </c>
      <c r="AH340" t="str">
        <f>'RESUMEN TOTAL'!AQ343</f>
        <v>APAGADO</v>
      </c>
      <c r="AI340" t="str">
        <f>'RESUMEN TOTAL'!AR343</f>
        <v>APAGADO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 t="str">
        <f>'RESUMEN TOTAL'!AO345</f>
        <v>APAGADO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 t="str">
        <f>'RESUMEN TOTAL'!AO347</f>
        <v>APAGADO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 t="str">
        <f>'RESUMEN TOTAL'!AO348</f>
        <v>APAGADO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 t="str">
        <f>'RESUMEN TOTAL'!AR352</f>
        <v>APAGADO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 t="str">
        <f>'RESUMEN TOTAL'!AR355</f>
        <v>APAGADO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 t="str">
        <f>'RESUMEN TOTAL'!AO371</f>
        <v>APAGADO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 t="str">
        <f>'RESUMEN TOTAL'!AO372</f>
        <v>APAGADO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 t="str">
        <f>'RESUMEN TOTAL'!AN377</f>
        <v>APAGADO</v>
      </c>
      <c r="AF374" t="str">
        <f>'RESUMEN TOTAL'!AO377</f>
        <v>APAGADO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AA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27</v>
      </c>
      <c r="AD1" s="26">
        <f>COUNTIF(AD3:AD366, "APAGADO")</f>
        <v>62</v>
      </c>
      <c r="AE1" s="26">
        <f t="shared" ref="AE1:AG1" si="1">COUNTIF(AE3:AE366, "APAGADO")</f>
        <v>57</v>
      </c>
      <c r="AF1" s="26">
        <f t="shared" si="1"/>
        <v>75</v>
      </c>
      <c r="AG1" s="26">
        <f t="shared" si="1"/>
        <v>46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 t="str">
        <f>ESTADISTICA!AE7</f>
        <v>APAGADO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 t="str">
        <f>ESTADISTICA!AG16</f>
        <v>APAGADO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 t="str">
        <f>ESTADISTICA!AF25</f>
        <v>APAGADO</v>
      </c>
      <c r="AG26" t="str">
        <f>ESTADISTICA!AG25</f>
        <v>APAGADO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 t="str">
        <f>ESTADISTICA!AF78</f>
        <v>APAGADO</v>
      </c>
      <c r="AG79" t="str">
        <f>ESTADISTICA!AG78</f>
        <v>APAGADO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 t="str">
        <f>ESTADISTICA!AF79</f>
        <v>APAGADO</v>
      </c>
      <c r="AG80" t="str">
        <f>ESTADISTICA!AG79</f>
        <v>APAGADO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 t="str">
        <f>ESTADISTICA!AF98</f>
        <v>APAGADO</v>
      </c>
      <c r="AG99" t="str">
        <f>ESTADISTICA!AG98</f>
        <v>APAGADO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 t="str">
        <f>ESTADISTICA!AF111</f>
        <v>APAGADO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 t="str">
        <f>ESTADISTICA!AD112</f>
        <v>APAGADO</v>
      </c>
      <c r="AE113" t="str">
        <f>ESTADISTICA!AE112</f>
        <v>APAGADO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 t="str">
        <f>ESTADISTICA!AD113</f>
        <v>APAGADO</v>
      </c>
      <c r="AE114" t="str">
        <f>ESTADISTICA!AE113</f>
        <v>APAGADO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 t="str">
        <f>ESTADISTICA!AG115</f>
        <v>APAGADO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 t="str">
        <f>ESTADISTICA!AF116</f>
        <v>APAGADO</v>
      </c>
      <c r="AG117" t="str">
        <f>ESTADISTICA!AG116</f>
        <v>APAGADO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 t="str">
        <f>ESTADISTICA!AF117</f>
        <v>APAGADO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 t="str">
        <f>ESTADISTICA!AF118</f>
        <v>APAGADO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 t="str">
        <f>ESTADISTICA!AG163</f>
        <v>APAGADO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 t="str">
        <f>ESTADISTICA!AG192</f>
        <v>APAGADO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 t="str">
        <f>ESTADISTICA!AF196</f>
        <v>APAGADO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 t="str">
        <f>ESTADISTICA!AF197</f>
        <v>APAGADO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 t="str">
        <f>ESTADISTICA!AF206</f>
        <v>APAGADO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 t="str">
        <f>ESTADISTICA!AF207</f>
        <v>APAGADO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 t="str">
        <f>ESTADISTICA!AF213</f>
        <v>APAGADO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 t="str">
        <f>ESTADISTICA!AF214</f>
        <v>APAGADO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 t="str">
        <f>ESTADISTICA!AD215</f>
        <v>APAGADO</v>
      </c>
      <c r="AE216">
        <f>ESTADISTICA!AE215</f>
        <v>0</v>
      </c>
      <c r="AF216" t="str">
        <f>ESTADISTICA!AF215</f>
        <v>APAGADO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 t="str">
        <f>ESTADISTICA!AD216</f>
        <v>APAGADO</v>
      </c>
      <c r="AE217">
        <f>ESTADISTICA!AE216</f>
        <v>0</v>
      </c>
      <c r="AF217" t="str">
        <f>ESTADISTICA!AF216</f>
        <v>APAGADO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 t="str">
        <f>ESTADISTICA!AC238</f>
        <v>APAGADO</v>
      </c>
      <c r="AD239" t="str">
        <f>ESTADISTICA!AD238</f>
        <v>APAGADO</v>
      </c>
      <c r="AE239" t="str">
        <f>ESTADISTICA!AE238</f>
        <v>APAGADO</v>
      </c>
      <c r="AF239" t="str">
        <f>ESTADISTICA!AF238</f>
        <v>APAGADO</v>
      </c>
      <c r="AG239" t="str">
        <f>ESTADISTICA!AG238</f>
        <v>APAGADO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 t="str">
        <f>ESTADISTICA!AE239</f>
        <v>APAGADO</v>
      </c>
      <c r="AF240" t="str">
        <f>ESTADISTICA!AF239</f>
        <v>APAGADO</v>
      </c>
      <c r="AG240" t="str">
        <f>ESTADISTICA!AG239</f>
        <v>APAGADO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 t="str">
        <f>ESTADISTICA!AD243</f>
        <v>APAGADO</v>
      </c>
      <c r="AE244" t="str">
        <f>ESTADISTICA!AE243</f>
        <v>APAGADO</v>
      </c>
      <c r="AF244" t="str">
        <f>ESTADISTICA!AF243</f>
        <v>APAGADO</v>
      </c>
      <c r="AG244" t="str">
        <f>ESTADISTICA!AG243</f>
        <v>APAGADO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 t="str">
        <f>ESTADISTICA!AF244</f>
        <v>APAGADO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 t="str">
        <f>ESTADISTICA!AC247</f>
        <v>APAGADO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 t="str">
        <f>ESTADISTICA!AF264</f>
        <v>APAGADO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 t="str">
        <f>ESTADISTICA!AF269</f>
        <v>APAGADO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 t="str">
        <f>ESTADISTICA!AF281</f>
        <v>APAGADO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 t="str">
        <f>ESTADISTICA!AG287</f>
        <v>APAGADO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 t="str">
        <f>ESTADISTICA!AG288</f>
        <v>APAGADO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 t="str">
        <f>ESTADISTICA!AG289</f>
        <v>APAGADO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 t="str">
        <f>ESTADISTICA!AG290</f>
        <v>APAGADO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 t="str">
        <f>ESTADISTICA!AG291</f>
        <v>APAGADO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 t="str">
        <f>ESTADISTICA!AG292</f>
        <v>APAGADO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 t="str">
        <f>ESTADISTICA!AF310</f>
        <v>APAGADO</v>
      </c>
      <c r="AG311" t="str">
        <f>ESTADISTICA!AG310</f>
        <v>APAGADO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 t="str">
        <f>ESTADISTICA!AG315</f>
        <v>APAGADO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 t="str">
        <f>ESTADISTICA!AF316</f>
        <v>APAGADO</v>
      </c>
      <c r="AG317" t="str">
        <f>ESTADISTICA!AG316</f>
        <v>APAGADO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 t="str">
        <f>ESTADISTICA!AF325</f>
        <v>APAGADO</v>
      </c>
      <c r="AG326" t="str">
        <f>ESTADISTICA!AG325</f>
        <v>APAGADO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 t="str">
        <f>ESTADISTICA!AF326</f>
        <v>APAGADO</v>
      </c>
      <c r="AG327" t="str">
        <f>ESTADISTICA!AG326</f>
        <v>APAGADO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 t="str">
        <f>ESTADISTICA!AG337</f>
        <v>APAGADO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 t="str">
        <f>ESTADISTICA!AF342</f>
        <v>APAGADO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 t="str">
        <f>ESTADISTICA!AF345</f>
        <v>APAGADO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 t="str">
        <f>ESTADISTICA!AF368</f>
        <v>APAGADO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 t="str">
        <f>ESTADISTICA!AF369</f>
        <v>APAGADO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3" sqref="A3:XFD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19</v>
      </c>
      <c r="AD2" s="26">
        <f>COUNTIFS(AD4:AD367, "=APAGADO",E4:E367,"=Fibra Optica")</f>
        <v>45</v>
      </c>
      <c r="AE2" s="26">
        <f>COUNTIFS(AE4:AE367, "=APAGADO",E4:E367,"=Fibra Optica")</f>
        <v>39</v>
      </c>
      <c r="AF2" s="26">
        <f>COUNTIFS(AF4:AF367, "=APAGADO",E4:E367,"=Fibra Optica")</f>
        <v>62</v>
      </c>
      <c r="AG2" s="26">
        <f>COUNTIFS(AG4:AG367, "=APAGADO",E4:E367,"=Fibra Optica")</f>
        <v>37</v>
      </c>
      <c r="AH2" s="26">
        <f>COUNTIFS(AH4:AH367, "=APAGADO",E4:E367,"=Fibra Optica")</f>
        <v>39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 t="str">
        <f>ESTADISTICA!AI8</f>
        <v>APAGADO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 t="str">
        <f>ESTADISTICA!AI11</f>
        <v>APAGADO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 t="str">
        <f>ESTADISTICA!AH19</f>
        <v>APAGADO</v>
      </c>
      <c r="AI21" t="str">
        <f>ESTADISTICA!AI19</f>
        <v>APAGADO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str">
        <f>ESTADISTICA!AH49</f>
        <v>APAGADO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 t="str">
        <f>ESTADISTICA!AH63</f>
        <v>APAGADO</v>
      </c>
      <c r="AI65" t="str">
        <f>ESTADISTICA!AI63</f>
        <v>APAGADO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str">
        <f>ESTADISTICA!AH86</f>
        <v>APAGADO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str">
        <f>ESTADISTICA!AH87</f>
        <v>APAGADO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 t="str">
        <f>ESTADISTICA!AH112</f>
        <v>APAGADO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 t="str">
        <f>ESTADISTICA!AH116</f>
        <v>APAGADO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str">
        <f>ESTADISTICA!AH151</f>
        <v>APAGADO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 t="str">
        <f>ESTADISTICA!AH183</f>
        <v>APAGADO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 t="str">
        <f>ESTADISTICA!AH191</f>
        <v>APAGADO</v>
      </c>
      <c r="AI193" t="str">
        <f>ESTADISTICA!AI191</f>
        <v>APAGADO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 t="str">
        <f>ESTADISTICA!AI201</f>
        <v>APAGADO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str">
        <f>ESTADISTICA!AH208</f>
        <v>APAGADO</v>
      </c>
      <c r="AI210" t="str">
        <f>ESTADISTICA!AI208</f>
        <v>APAGADO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str">
        <f>ESTADISTICA!AH209</f>
        <v>APAGADO</v>
      </c>
      <c r="AI211" t="str">
        <f>ESTADISTICA!AI209</f>
        <v>APAGADO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 t="str">
        <f>ESTADISTICA!AI228</f>
        <v>APAGADO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 t="str">
        <f>ESTADISTICA!AH267</f>
        <v>APAGADO</v>
      </c>
      <c r="AI269" t="str">
        <f>ESTADISTICA!AI267</f>
        <v>APAGADO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 t="str">
        <f>ESTADISTICA!AH281</f>
        <v>APAGADO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 t="str">
        <f>ESTADISTICA!AH282</f>
        <v>APAGADO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 t="str">
        <f>ESTADISTICA!AI286</f>
        <v>APAGADO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 t="str">
        <f>ESTADISTICA!AH315</f>
        <v>APAGADO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 t="str">
        <f>ESTADISTICA!AH316</f>
        <v>APAGADO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 t="str">
        <f>ESTADISTICA!AH322</f>
        <v>APAGADO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str">
        <f>ESTADISTICA!AH324</f>
        <v>APAGADO</v>
      </c>
      <c r="AI326" t="str">
        <f>ESTADISTICA!AI324</f>
        <v>APAGADO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str">
        <f>ESTADISTICA!AH327</f>
        <v>APAGADO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str">
        <f>ESTADISTICA!AH328</f>
        <v>APAGADO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str">
        <f>ESTADISTICA!AH331</f>
        <v>APAGADO</v>
      </c>
      <c r="AI333" t="str">
        <f>ESTADISTICA!AI331</f>
        <v>APAGADO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3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2</v>
      </c>
      <c r="AD2" s="26">
        <f>COUNTIFS(AD4:AD367, "=APAGADO",E4:E367,"=PTP A FO")</f>
        <v>14</v>
      </c>
      <c r="AE2" s="26">
        <f>COUNTIFS(AE4:AE367, "=APAGADO",E4:E367,"=PTP A FO")</f>
        <v>15</v>
      </c>
      <c r="AF2" s="26">
        <f>COUNTIFS(AF4:AF367, "=APAGADO",E4:E367,"=PTP A FO")</f>
        <v>4</v>
      </c>
      <c r="AG2" s="26">
        <f>COUNTIFS(AG4:AG367, "=APAGADO",E4:E367,"=PTP A FO")</f>
        <v>4</v>
      </c>
      <c r="AH2" s="26">
        <f>COUNTIFS(AH4:AH367, "=APAGADO",E4:E367,"=PTP A FO")</f>
        <v>6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 t="str">
        <f>ESTADISTICA!AH7</f>
        <v>APAGADO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 t="str">
        <f>ESTADISTICA!AI8</f>
        <v>APAGADO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 t="str">
        <f>ESTADISTICA!AH9</f>
        <v>APAGADO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 t="str">
        <f>ESTADISTICA!AI11</f>
        <v>APAGADO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 t="str">
        <f>ESTADISTICA!AH19</f>
        <v>APAGADO</v>
      </c>
      <c r="AI21" t="str">
        <f>ESTADISTICA!AI19</f>
        <v>APAGADO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 t="str">
        <f>ESTADISTICA!AI29</f>
        <v>APAGADO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str">
        <f>ESTADISTICA!AH49</f>
        <v>APAGADO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 t="str">
        <f>ESTADISTICA!AH63</f>
        <v>APAGADO</v>
      </c>
      <c r="AI65" t="str">
        <f>ESTADISTICA!AI63</f>
        <v>APAGADO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str">
        <f>ESTADISTICA!AH86</f>
        <v>APAGADO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str">
        <f>ESTADISTICA!AH87</f>
        <v>APAGADO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  <c r="AH100" t="str">
        <f>ESTADISTICA!AH98</f>
        <v>APAGADO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 t="str">
        <f>ESTADISTICA!AH112</f>
        <v>APAGADO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 t="str">
        <f>ESTADISTICA!AH116</f>
        <v>APAGADO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 t="str">
        <f>ESTADISTICA!AI141</f>
        <v>APAGADO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str">
        <f>ESTADISTICA!AH151</f>
        <v>APAGADO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 t="str">
        <f>ESTADISTICA!AI164</f>
        <v>APAGADO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 t="str">
        <f>ESTADISTICA!AI174</f>
        <v>APAGADO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 t="str">
        <f>ESTADISTICA!AH183</f>
        <v>APAGADO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t="e">
        <f>ESTADISTICA!AJ188</f>
        <v>#REF!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 t="str">
        <f>ESTADISTICA!AH191</f>
        <v>APAGADO</v>
      </c>
      <c r="AI193" t="str">
        <f>ESTADISTICA!AI191</f>
        <v>APAGADO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 t="str">
        <f>ESTADISTICA!AI201</f>
        <v>APAGADO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  <c r="AJ204" t="e">
        <f>ESTADISTICA!AJ202</f>
        <v>#REF!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str">
        <f>ESTADISTICA!AH208</f>
        <v>APAGADO</v>
      </c>
      <c r="AI210" t="str">
        <f>ESTADISTICA!AI208</f>
        <v>APAGADO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str">
        <f>ESTADISTICA!AH209</f>
        <v>APAGADO</v>
      </c>
      <c r="AI211" t="str">
        <f>ESTADISTICA!AI209</f>
        <v>APAGADO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 t="str">
        <f>ESTADISTICA!AI228</f>
        <v>APAGADO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 t="str">
        <f>ESTADISTICA!AH267</f>
        <v>APAGADO</v>
      </c>
      <c r="AI269" t="str">
        <f>ESTADISTICA!AI267</f>
        <v>APAGADO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 t="str">
        <f>ESTADISTICA!AH281</f>
        <v>APAGADO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 t="str">
        <f>ESTADISTICA!AH282</f>
        <v>APAGADO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 t="str">
        <f>ESTADISTICA!AI286</f>
        <v>APAGADO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  <c r="AH309" t="str">
        <f>ESTADISTICA!AH307</f>
        <v>APAGADO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  <c r="AH312" t="str">
        <f>ESTADISTICA!AH310</f>
        <v>APAGADO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 t="str">
        <f>ESTADISTICA!AH315</f>
        <v>APAGADO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 t="str">
        <f>ESTADISTICA!AH316</f>
        <v>APAGADO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str">
        <f>ESTADISTICA!AH319</f>
        <v>APAGADO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 t="str">
        <f>ESTADISTICA!AH322</f>
        <v>APAGADO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str">
        <f>ESTADISTICA!AH324</f>
        <v>APAGADO</v>
      </c>
      <c r="AI326" t="str">
        <f>ESTADISTICA!AI324</f>
        <v>APAGADO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str">
        <f>ESTADISTICA!AH327</f>
        <v>APAGADO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str">
        <f>ESTADISTICA!AH328</f>
        <v>APAGADO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str">
        <f>ESTADISTICA!AH331</f>
        <v>APAGADO</v>
      </c>
      <c r="AI333" t="str">
        <f>ESTADISTICA!AI331</f>
        <v>APAGADO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 t="str">
        <f>ESTADISTICA!AI352</f>
        <v>APAGADO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J369" xr:uid="{2F39BBCA-B383-47C1-9E39-FB69E1A84820}">
    <filterColumn colId="4">
      <filters>
        <filter val="PTP A FO"/>
      </filters>
    </filterColumn>
    <filterColumn colId="3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5</v>
      </c>
      <c r="AD2" s="26">
        <f>COUNTIFS(AD4:AD367, "=APAGADO",E4:E367,"=radio")</f>
        <v>3</v>
      </c>
      <c r="AE2" s="26">
        <f>COUNTIFS(AE4:AE367, "=APAGADO",E4:E367,"=radio")</f>
        <v>3</v>
      </c>
      <c r="AF2" s="26">
        <f>COUNTIFS(AF4:AF367, "=APAGADO",E4:E367,"=radio")</f>
        <v>9</v>
      </c>
      <c r="AG2" s="26">
        <f>COUNTIFS(AG4:AG367, "=APAGADO",E4:E367,"=radio")</f>
        <v>5</v>
      </c>
      <c r="AH2" s="26">
        <f>COUNTIFS(AH4:AH367, "=APAGADO",E4:E367,"=radio")</f>
        <v>5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 t="str">
        <f>ESTADISTICA!AH7</f>
        <v>APAGADO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 t="str">
        <f>ESTADISTICA!AI8</f>
        <v>APAGADO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 t="str">
        <f>ESTADISTICA!AH9</f>
        <v>APAGADO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 t="str">
        <f>ESTADISTICA!AI11</f>
        <v>APAGADO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 t="str">
        <f>ESTADISTICA!AH19</f>
        <v>APAGADO</v>
      </c>
      <c r="AI21" t="str">
        <f>ESTADISTICA!AI19</f>
        <v>APAGADO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 t="str">
        <f>ESTADISTICA!AI29</f>
        <v>APAGADO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str">
        <f>ESTADISTICA!AH49</f>
        <v>APAGADO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 t="str">
        <f>ESTADISTICA!AH63</f>
        <v>APAGADO</v>
      </c>
      <c r="AI65" t="str">
        <f>ESTADISTICA!AI63</f>
        <v>APAGADO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 t="str">
        <f>ESTADISTICA!AI77</f>
        <v>APAGADO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str">
        <f>ESTADISTICA!AH86</f>
        <v>APAGADO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str">
        <f>ESTADISTICA!AH87</f>
        <v>APAGADO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  <c r="AH100" t="str">
        <f>ESTADISTICA!AH98</f>
        <v>APAGADO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 t="str">
        <f>ESTADISTICA!AH112</f>
        <v>APAGADO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 t="str">
        <f>ESTADISTICA!AH116</f>
        <v>APAGADO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 t="str">
        <f>ESTADISTICA!AI141</f>
        <v>APAGADO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str">
        <f>ESTADISTICA!AH151</f>
        <v>APAGADO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 t="str">
        <f>ESTADISTICA!AI164</f>
        <v>APAGADO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 t="str">
        <f>ESTADISTICA!AI174</f>
        <v>APAGADO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 t="str">
        <f>ESTADISTICA!AH183</f>
        <v>APAGADO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t="e">
        <f>ESTADISTICA!AJ188</f>
        <v>#REF!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 t="str">
        <f>ESTADISTICA!AH191</f>
        <v>APAGADO</v>
      </c>
      <c r="AI193" t="str">
        <f>ESTADISTICA!AI191</f>
        <v>APAGADO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 t="str">
        <f>ESTADISTICA!AH201</f>
        <v>APAGADO</v>
      </c>
      <c r="AI203" t="str">
        <f>ESTADISTICA!AI201</f>
        <v>APAGADO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 t="str">
        <f>ESTADISTICA!AH202</f>
        <v>APAGADO</v>
      </c>
      <c r="AI204">
        <f>ESTADISTICA!AI202</f>
        <v>0</v>
      </c>
      <c r="AJ204" t="e">
        <f>ESTADISTICA!AJ202</f>
        <v>#REF!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str">
        <f>ESTADISTICA!AH208</f>
        <v>APAGADO</v>
      </c>
      <c r="AI210" t="str">
        <f>ESTADISTICA!AI208</f>
        <v>APAGADO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str">
        <f>ESTADISTICA!AH209</f>
        <v>APAGADO</v>
      </c>
      <c r="AI211" t="str">
        <f>ESTADISTICA!AI209</f>
        <v>APAGADO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 t="str">
        <f>ESTADISTICA!AI228</f>
        <v>APAGADO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 t="str">
        <f>ESTADISTICA!AH267</f>
        <v>APAGADO</v>
      </c>
      <c r="AI269" t="str">
        <f>ESTADISTICA!AI267</f>
        <v>APAGADO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 t="str">
        <f>ESTADISTICA!AH281</f>
        <v>APAGADO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 t="str">
        <f>ESTADISTICA!AH282</f>
        <v>APAGADO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 t="str">
        <f>ESTADISTICA!AI286</f>
        <v>APAGADO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  <c r="AH309" t="str">
        <f>ESTADISTICA!AH307</f>
        <v>APAGADO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  <c r="AH312" t="str">
        <f>ESTADISTICA!AH310</f>
        <v>APAGADO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 t="str">
        <f>ESTADISTICA!AH315</f>
        <v>APAGADO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 t="str">
        <f>ESTADISTICA!AH316</f>
        <v>APAGADO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str">
        <f>ESTADISTICA!AH319</f>
        <v>APAGADO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 t="str">
        <f>ESTADISTICA!AH322</f>
        <v>APAGADO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str">
        <f>ESTADISTICA!AH324</f>
        <v>APAGADO</v>
      </c>
      <c r="AI326" t="str">
        <f>ESTADISTICA!AI324</f>
        <v>APAGADO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str">
        <f>ESTADISTICA!AH327</f>
        <v>APAGADO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str">
        <f>ESTADISTICA!AH328</f>
        <v>APAGADO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str">
        <f>ESTADISTICA!AH331</f>
        <v>APAGADO</v>
      </c>
      <c r="AI333" t="str">
        <f>ESTADISTICA!AI331</f>
        <v>APAGADO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 t="str">
        <f>ESTADISTICA!AI352</f>
        <v>APAGADO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J369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opLeftCell="B10" workbookViewId="0">
      <selection activeCell="G27" sqref="G27:G30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30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25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25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25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25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25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25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25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25">
      <c r="A22" s="25">
        <f>'APAGADOS RADIO'!Z3</f>
        <v>44672</v>
      </c>
      <c r="B22" s="70">
        <f>'APAGADOS RADIO'!Z2+D22</f>
        <v>9</v>
      </c>
      <c r="C22" s="70">
        <f>'APAGADOS FIBRA'!Z2</f>
        <v>25</v>
      </c>
      <c r="D22" s="70">
        <f>'APAGADOS ANTENA'!Z2</f>
        <v>5</v>
      </c>
      <c r="E22" s="70">
        <f t="shared" ref="E22" si="8">B22+C22</f>
        <v>34</v>
      </c>
      <c r="F22">
        <f>'RESUMEN TOTAL'!C1</f>
        <v>373</v>
      </c>
      <c r="G22" s="77">
        <f t="shared" si="0"/>
        <v>9.1152815013404831E-2</v>
      </c>
    </row>
    <row r="23" spans="1:7" x14ac:dyDescent="0.25">
      <c r="A23" s="25">
        <f>'APAGADOS RADIO'!AA3</f>
        <v>44673</v>
      </c>
      <c r="B23" s="70">
        <f>'APAGADOS RADIO'!AA2+D23</f>
        <v>8</v>
      </c>
      <c r="C23" s="70">
        <f>'APAGADOS FIBRA'!AA2</f>
        <v>25</v>
      </c>
      <c r="D23" s="70">
        <f>'APAGADOS ANTENA'!AA2</f>
        <v>5</v>
      </c>
      <c r="E23" s="70">
        <f t="shared" ref="E23:E26" si="9">B23+C23</f>
        <v>33</v>
      </c>
      <c r="F23">
        <f>'RESUMEN TOTAL'!C1</f>
        <v>373</v>
      </c>
      <c r="G23" s="77">
        <f t="shared" si="0"/>
        <v>8.8471849865951746E-2</v>
      </c>
    </row>
    <row r="24" spans="1:7" x14ac:dyDescent="0.25">
      <c r="A24" s="25">
        <f>'APAGADOS RADIO'!AB3</f>
        <v>44674</v>
      </c>
      <c r="B24" s="70">
        <f>'APAGADOS RADIO'!AB2+D24</f>
        <v>7</v>
      </c>
      <c r="C24" s="70">
        <f>'APAGADOS FIBRA'!AB2</f>
        <v>20</v>
      </c>
      <c r="D24" s="70">
        <f>'APAGADOS ANTENA'!AB2</f>
        <v>4</v>
      </c>
      <c r="E24" s="70">
        <f t="shared" si="9"/>
        <v>27</v>
      </c>
      <c r="F24">
        <f>'RESUMEN TOTAL'!C1</f>
        <v>373</v>
      </c>
      <c r="G24" s="77">
        <f t="shared" si="0"/>
        <v>7.2386058981233251E-2</v>
      </c>
    </row>
    <row r="25" spans="1:7" x14ac:dyDescent="0.25">
      <c r="A25" s="25">
        <f>'APAGADOS RADIO'!AC3</f>
        <v>44675</v>
      </c>
      <c r="B25" s="70">
        <f>'APAGADOS RADIO'!AC2+D25</f>
        <v>7</v>
      </c>
      <c r="C25" s="70">
        <f>'APAGADOS FIBRA'!AC2</f>
        <v>19</v>
      </c>
      <c r="D25" s="70">
        <f>'APAGADOS ANTENA'!AC2</f>
        <v>2</v>
      </c>
      <c r="E25" s="70">
        <f t="shared" si="9"/>
        <v>26</v>
      </c>
      <c r="F25">
        <f>'RESUMEN TOTAL'!C1</f>
        <v>373</v>
      </c>
      <c r="G25" s="77">
        <f t="shared" si="0"/>
        <v>6.9705093833780166E-2</v>
      </c>
    </row>
    <row r="26" spans="1:7" x14ac:dyDescent="0.25">
      <c r="A26" s="25">
        <f>'APAGADOS RADIO'!AD3</f>
        <v>44676</v>
      </c>
      <c r="B26" s="70">
        <f>'APAGADOS RADIO'!AD2+D26</f>
        <v>17</v>
      </c>
      <c r="C26" s="70">
        <f>'APAGADOS FIBRA'!AD2</f>
        <v>45</v>
      </c>
      <c r="D26" s="70">
        <f>'APAGADOS ANTENA'!AD2</f>
        <v>14</v>
      </c>
      <c r="E26" s="70">
        <f t="shared" si="9"/>
        <v>62</v>
      </c>
      <c r="F26">
        <f>'RESUMEN TOTAL'!C1</f>
        <v>373</v>
      </c>
      <c r="G26" s="77">
        <f t="shared" si="0"/>
        <v>0.16621983914209115</v>
      </c>
    </row>
    <row r="27" spans="1:7" x14ac:dyDescent="0.25">
      <c r="A27" s="25">
        <f>'APAGADOS RADIO'!AE3</f>
        <v>44677</v>
      </c>
      <c r="B27" s="70">
        <f>'APAGADOS RADIO'!AE2+D27</f>
        <v>18</v>
      </c>
      <c r="C27" s="70">
        <f>'APAGADOS FIBRA'!AE2</f>
        <v>39</v>
      </c>
      <c r="D27" s="70">
        <f>'APAGADOS ANTENA'!AE2</f>
        <v>15</v>
      </c>
      <c r="E27" s="70">
        <f t="shared" ref="E27" si="10">B27+C27</f>
        <v>57</v>
      </c>
      <c r="F27">
        <f>'RESUMEN TOTAL'!C1</f>
        <v>373</v>
      </c>
      <c r="G27" s="77">
        <f t="shared" si="0"/>
        <v>0.15281501340482573</v>
      </c>
    </row>
    <row r="28" spans="1:7" x14ac:dyDescent="0.25">
      <c r="A28" s="25">
        <f>'APAGADOS RADIO'!AF3</f>
        <v>44678</v>
      </c>
      <c r="B28" s="70">
        <f>'APAGADOS RADIO'!AF2+D28</f>
        <v>13</v>
      </c>
      <c r="C28" s="70">
        <f>'APAGADOS FIBRA'!AF2</f>
        <v>62</v>
      </c>
      <c r="D28" s="70">
        <f>'APAGADOS ANTENA'!AF2</f>
        <v>4</v>
      </c>
      <c r="E28" s="70">
        <f t="shared" ref="E28:E30" si="11">B28+C28</f>
        <v>75</v>
      </c>
      <c r="F28">
        <f>'RESUMEN TOTAL'!C1</f>
        <v>373</v>
      </c>
      <c r="G28" s="77">
        <f t="shared" si="0"/>
        <v>0.20107238605898123</v>
      </c>
    </row>
    <row r="29" spans="1:7" x14ac:dyDescent="0.25">
      <c r="A29" s="25">
        <f>'APAGADOS RADIO'!AG3</f>
        <v>44679</v>
      </c>
      <c r="B29" s="70">
        <f>'APAGADOS RADIO'!AG2+D29</f>
        <v>9</v>
      </c>
      <c r="C29" s="70">
        <f>'APAGADOS FIBRA'!AG2</f>
        <v>37</v>
      </c>
      <c r="D29" s="70">
        <f>'APAGADOS ANTENA'!AG2</f>
        <v>4</v>
      </c>
      <c r="E29" s="70">
        <f t="shared" si="11"/>
        <v>46</v>
      </c>
      <c r="F29">
        <f>'RESUMEN TOTAL'!C1</f>
        <v>373</v>
      </c>
      <c r="G29" s="77">
        <f t="shared" si="0"/>
        <v>0.12332439678284182</v>
      </c>
    </row>
    <row r="30" spans="1:7" x14ac:dyDescent="0.25">
      <c r="A30" s="25">
        <f>'APAGADOS RADIO'!AH3</f>
        <v>44680</v>
      </c>
      <c r="B30" s="70">
        <f>'APAGADOS RADIO'!AH2+D30</f>
        <v>11</v>
      </c>
      <c r="C30" s="70">
        <f>'APAGADOS FIBRA'!AH2</f>
        <v>39</v>
      </c>
      <c r="D30" s="70">
        <f>'APAGADOS ANTENA'!AH2</f>
        <v>6</v>
      </c>
      <c r="E30" s="70">
        <f t="shared" si="11"/>
        <v>50</v>
      </c>
      <c r="F30">
        <f>'RESUMEN TOTAL'!C1</f>
        <v>373</v>
      </c>
      <c r="G30" s="77">
        <f t="shared" si="0"/>
        <v>0.13404825737265416</v>
      </c>
    </row>
    <row r="31" spans="1:7" x14ac:dyDescent="0.25">
      <c r="A31" s="25">
        <f>'APAGADOS RADIO'!AI3</f>
        <v>44681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12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12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12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12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12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12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12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12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12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12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12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12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12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12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12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12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12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12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12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12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2022-05-02T10:21:24Z</dcterms:modified>
</cp:coreProperties>
</file>